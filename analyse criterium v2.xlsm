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6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7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8.xml" ContentType="application/vnd.openxmlformats-officedocument.themeOverrid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oris\PycharmProjects\halterodata\"/>
    </mc:Choice>
  </mc:AlternateContent>
  <xr:revisionPtr revIDLastSave="0" documentId="8_{28BEC026-EA5E-4D46-A7FD-53D9DFB80CBA}" xr6:coauthVersionLast="47" xr6:coauthVersionMax="47" xr10:uidLastSave="{00000000-0000-0000-0000-000000000000}"/>
  <bookViews>
    <workbookView xWindow="-120" yWindow="-120" windowWidth="29040" windowHeight="15720" xr2:uid="{15EF7CE6-7FEF-4BE8-BDC9-A8D87EB8E0F5}"/>
  </bookViews>
  <sheets>
    <sheet name="Bulles&amp;6sur6" sheetId="29" r:id="rId1"/>
    <sheet name="Analyses" sheetId="10" r:id="rId2"/>
    <sheet name="Classement F" sheetId="3" r:id="rId3"/>
    <sheet name="H" sheetId="2" r:id="rId4"/>
    <sheet name="U20 F" sheetId="4" r:id="rId5"/>
    <sheet name="U20 H" sheetId="5" r:id="rId6"/>
    <sheet name="U17 F" sheetId="6" r:id="rId7"/>
    <sheet name="U17 H" sheetId="7" r:id="rId8"/>
    <sheet name="U15 F" sheetId="8" r:id="rId9"/>
    <sheet name="U15 M" sheetId="9" r:id="rId10"/>
    <sheet name="full_haltero_db" sheetId="1" r:id="rId11"/>
  </sheets>
  <definedNames>
    <definedName name="_xlnm._FilterDatabase" localSheetId="10" hidden="1">full_haltero_db!$A$1:$BA$769</definedName>
  </definedNames>
  <calcPr calcId="0"/>
  <pivotCaches>
    <pivotCache cacheId="51" r:id="rId12"/>
  </pivotCaches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2" i="1"/>
  <c r="O38" i="10"/>
  <c r="T38" i="10"/>
  <c r="D38" i="29"/>
  <c r="D37" i="29"/>
  <c r="I37" i="10"/>
  <c r="I35" i="10"/>
  <c r="I38" i="10"/>
  <c r="I39" i="10"/>
  <c r="I40" i="10"/>
  <c r="I41" i="10"/>
  <c r="I36" i="10"/>
  <c r="S36" i="10"/>
  <c r="S38" i="10"/>
  <c r="S37" i="10"/>
  <c r="S39" i="10"/>
  <c r="S41" i="10"/>
  <c r="S40" i="10"/>
  <c r="S42" i="10"/>
  <c r="S35" i="10"/>
  <c r="N36" i="10"/>
  <c r="N37" i="10"/>
  <c r="N38" i="10"/>
  <c r="N39" i="10"/>
  <c r="N40" i="10"/>
  <c r="N41" i="10"/>
  <c r="N35" i="10"/>
  <c r="D36" i="10"/>
  <c r="D37" i="10"/>
  <c r="D38" i="10"/>
  <c r="D39" i="10"/>
  <c r="D40" i="10"/>
  <c r="D35" i="10"/>
  <c r="D96" i="10"/>
  <c r="D104" i="10"/>
  <c r="D105" i="10"/>
  <c r="D106" i="10"/>
  <c r="D99" i="10"/>
  <c r="D101" i="10"/>
  <c r="D102" i="10"/>
  <c r="D97" i="10"/>
  <c r="D107" i="10"/>
  <c r="D98" i="10"/>
  <c r="D100" i="10"/>
  <c r="D108" i="10"/>
  <c r="D103" i="10"/>
  <c r="D95" i="10"/>
  <c r="D56" i="10"/>
  <c r="D57" i="10"/>
  <c r="D58" i="10"/>
  <c r="D59" i="10"/>
  <c r="D67" i="10"/>
  <c r="D62" i="10"/>
  <c r="D63" i="10"/>
  <c r="D64" i="10"/>
  <c r="D65" i="10"/>
  <c r="D66" i="10"/>
  <c r="D60" i="10"/>
  <c r="D61" i="10"/>
  <c r="D55" i="10"/>
</calcChain>
</file>

<file path=xl/sharedStrings.xml><?xml version="1.0" encoding="utf-8"?>
<sst xmlns="http://schemas.openxmlformats.org/spreadsheetml/2006/main" count="23231" uniqueCount="4542">
  <si>
    <t>Nom</t>
  </si>
  <si>
    <t>DateNaissance</t>
  </si>
  <si>
    <t>AthleteID</t>
  </si>
  <si>
    <t>Licence</t>
  </si>
  <si>
    <t>Nationalite</t>
  </si>
  <si>
    <t>CATNomCompetition</t>
  </si>
  <si>
    <t>CATClub</t>
  </si>
  <si>
    <t>PoidsDeCorps</t>
  </si>
  <si>
    <t>Arr1</t>
  </si>
  <si>
    <t>Arr2</t>
  </si>
  <si>
    <t>Arr3</t>
  </si>
  <si>
    <t>Arrache</t>
  </si>
  <si>
    <t>ArracheU13</t>
  </si>
  <si>
    <t>Arrache_OK_KO</t>
  </si>
  <si>
    <t>EpJ1</t>
  </si>
  <si>
    <t>EpJ2</t>
  </si>
  <si>
    <t>EpJ3</t>
  </si>
  <si>
    <t>EpJete</t>
  </si>
  <si>
    <t>EpJeteU13</t>
  </si>
  <si>
    <t>EpJete_OK_KO</t>
  </si>
  <si>
    <t>PoidsTotal</t>
  </si>
  <si>
    <t>TotalU13</t>
  </si>
  <si>
    <t>IWF_Calcul</t>
  </si>
  <si>
    <t>IWF_CalculU13</t>
  </si>
  <si>
    <t>Serie</t>
  </si>
  <si>
    <t>RangSerie</t>
  </si>
  <si>
    <t>CatePoids</t>
  </si>
  <si>
    <t>CateAge</t>
  </si>
  <si>
    <t>CateMaster</t>
  </si>
  <si>
    <t>Categorie</t>
  </si>
  <si>
    <t>IWF</t>
  </si>
  <si>
    <t>Sexe</t>
  </si>
  <si>
    <t>NomCompetition</t>
  </si>
  <si>
    <t>NomCompetitionCourt</t>
  </si>
  <si>
    <t>LigueCompetition</t>
  </si>
  <si>
    <t>DateCompet</t>
  </si>
  <si>
    <t>AnneeCompet</t>
  </si>
  <si>
    <t>MoisCompet</t>
  </si>
  <si>
    <t>AnneeMois</t>
  </si>
  <si>
    <t>SemaineCompet</t>
  </si>
  <si>
    <t>Saison</t>
  </si>
  <si>
    <t>SaisonAnnee</t>
  </si>
  <si>
    <t>Club</t>
  </si>
  <si>
    <t>Ligue</t>
  </si>
  <si>
    <t>MaxIWF</t>
  </si>
  <si>
    <t>MaxIWFSaison</t>
  </si>
  <si>
    <t>FR</t>
  </si>
  <si>
    <t>LANGRES HM</t>
  </si>
  <si>
    <t>OOO</t>
  </si>
  <si>
    <t>N.C.</t>
  </si>
  <si>
    <t>U13</t>
  </si>
  <si>
    <t>U13 M 40</t>
  </si>
  <si>
    <t>M</t>
  </si>
  <si>
    <t xml:space="preserve">GE </t>
  </si>
  <si>
    <t>GE</t>
  </si>
  <si>
    <t>OXX</t>
  </si>
  <si>
    <t>DPT</t>
  </si>
  <si>
    <t>U15</t>
  </si>
  <si>
    <t>U15 M 49</t>
  </si>
  <si>
    <t>53.8</t>
  </si>
  <si>
    <t>OOX</t>
  </si>
  <si>
    <t>U15 M 55</t>
  </si>
  <si>
    <t>54.8</t>
  </si>
  <si>
    <t>XOO</t>
  </si>
  <si>
    <t>REG</t>
  </si>
  <si>
    <t>OXO</t>
  </si>
  <si>
    <t>CHCD COMINES</t>
  </si>
  <si>
    <t>U13 M 45</t>
  </si>
  <si>
    <t>HDF</t>
  </si>
  <si>
    <t>41.3</t>
  </si>
  <si>
    <t>HC FIGEAC</t>
  </si>
  <si>
    <t>42.7</t>
  </si>
  <si>
    <t>OCC</t>
  </si>
  <si>
    <t>U15 M 61</t>
  </si>
  <si>
    <t>U13 M 49</t>
  </si>
  <si>
    <t>50.8</t>
  </si>
  <si>
    <t>48.4</t>
  </si>
  <si>
    <t>47.5</t>
  </si>
  <si>
    <t>KOALA CLUB VILLERS BRETONNEUX</t>
  </si>
  <si>
    <t>U10 M </t>
  </si>
  <si>
    <t>U10</t>
  </si>
  <si>
    <t xml:space="preserve">U10 M </t>
  </si>
  <si>
    <t>U13 M 55</t>
  </si>
  <si>
    <t>51.9</t>
  </si>
  <si>
    <t>CHFM ROISEL</t>
  </si>
  <si>
    <t>2024-2025</t>
  </si>
  <si>
    <t>Aaron MAGGIO</t>
  </si>
  <si>
    <t>Aaron MAGGIO03/10/2007</t>
  </si>
  <si>
    <t>ASL DUMONT D URVILLE</t>
  </si>
  <si>
    <t>FED</t>
  </si>
  <si>
    <t>PAC</t>
  </si>
  <si>
    <t>PACA</t>
  </si>
  <si>
    <t>312.6244113640815</t>
  </si>
  <si>
    <t>IRG</t>
  </si>
  <si>
    <t>NAT</t>
  </si>
  <si>
    <t>U17</t>
  </si>
  <si>
    <t>U17 M 61</t>
  </si>
  <si>
    <t>60.4</t>
  </si>
  <si>
    <t>INT B</t>
  </si>
  <si>
    <t>0.0</t>
  </si>
  <si>
    <t>56.7</t>
  </si>
  <si>
    <t>54.1</t>
  </si>
  <si>
    <t>XXO</t>
  </si>
  <si>
    <t>55.3</t>
  </si>
  <si>
    <t>XOX</t>
  </si>
  <si>
    <t>U17 M 67</t>
  </si>
  <si>
    <t>54.9</t>
  </si>
  <si>
    <t>60.7</t>
  </si>
  <si>
    <t>XXX</t>
  </si>
  <si>
    <t>PACA - Critérium National - Toulon - SUD PACA TOULON COTE AZURven 13 Déc 2024</t>
  </si>
  <si>
    <t>63.55</t>
  </si>
  <si>
    <t>149.10764717398916</t>
  </si>
  <si>
    <t>293.78635433290935</t>
  </si>
  <si>
    <t>U20</t>
  </si>
  <si>
    <t>U20 M 67</t>
  </si>
  <si>
    <t>Critérium National - Toulon - SUD PACA TOULON COTE AZUR</t>
  </si>
  <si>
    <t>2024-12</t>
  </si>
  <si>
    <t>60.9</t>
  </si>
  <si>
    <t>62.7</t>
  </si>
  <si>
    <t>54.6</t>
  </si>
  <si>
    <t>HALTEROPHILIE CLUB DE POINTE A PITRE 971</t>
  </si>
  <si>
    <t>54.7</t>
  </si>
  <si>
    <t>U17 M 55</t>
  </si>
  <si>
    <t>GUA</t>
  </si>
  <si>
    <t>SPORTING CLUB DE NEUILLY</t>
  </si>
  <si>
    <t>&gt;109</t>
  </si>
  <si>
    <t>SEN</t>
  </si>
  <si>
    <t>SEN M &gt;109</t>
  </si>
  <si>
    <t>IDF</t>
  </si>
  <si>
    <t>SGT ANGERS</t>
  </si>
  <si>
    <t>62.4</t>
  </si>
  <si>
    <t>U13 F 64</t>
  </si>
  <si>
    <t>F</t>
  </si>
  <si>
    <t>PDL</t>
  </si>
  <si>
    <t>ASPTT STRASBOURG</t>
  </si>
  <si>
    <t>&gt;87</t>
  </si>
  <si>
    <t>SEN F &gt;87</t>
  </si>
  <si>
    <t>DZ</t>
  </si>
  <si>
    <t>SEN M 81</t>
  </si>
  <si>
    <t>AUR</t>
  </si>
  <si>
    <t>AURA</t>
  </si>
  <si>
    <t>SEN M 73</t>
  </si>
  <si>
    <t>CLUB DES STAGIAIRES</t>
  </si>
  <si>
    <t>CVL</t>
  </si>
  <si>
    <t>SEN M 61</t>
  </si>
  <si>
    <t>NAQ</t>
  </si>
  <si>
    <t>60.2</t>
  </si>
  <si>
    <t>STADE MONTOIS HALTEROPHILIE</t>
  </si>
  <si>
    <t>SEN M 102</t>
  </si>
  <si>
    <t>99.9</t>
  </si>
  <si>
    <t>108.7</t>
  </si>
  <si>
    <t>SEN M 109</t>
  </si>
  <si>
    <t>101.4</t>
  </si>
  <si>
    <t>CH PAMIERS</t>
  </si>
  <si>
    <t>CSM GENNEVILLOIS HALTEROPHILIE</t>
  </si>
  <si>
    <t>SEN M 89</t>
  </si>
  <si>
    <t>84.8</t>
  </si>
  <si>
    <t>79.4</t>
  </si>
  <si>
    <t>77.2</t>
  </si>
  <si>
    <t>82.7</t>
  </si>
  <si>
    <t>85.2</t>
  </si>
  <si>
    <t>VGA ST MAUR HALTEROPHILIE</t>
  </si>
  <si>
    <t>76.1</t>
  </si>
  <si>
    <t>78.5</t>
  </si>
  <si>
    <t>35.7</t>
  </si>
  <si>
    <t>HC MARSEILLE</t>
  </si>
  <si>
    <t>62.6</t>
  </si>
  <si>
    <t>SEN F 64</t>
  </si>
  <si>
    <t>HC AVALLON MFAC</t>
  </si>
  <si>
    <t>U17 F 64</t>
  </si>
  <si>
    <t>BFC</t>
  </si>
  <si>
    <t>CH DU TAMPON</t>
  </si>
  <si>
    <t>U15 F 55</t>
  </si>
  <si>
    <t>REU</t>
  </si>
  <si>
    <t>53.3</t>
  </si>
  <si>
    <t>U17 F 55</t>
  </si>
  <si>
    <t>54.2</t>
  </si>
  <si>
    <t>BRE</t>
  </si>
  <si>
    <t>135.5</t>
  </si>
  <si>
    <t>RU</t>
  </si>
  <si>
    <t>AS MONTFERRANDAISE</t>
  </si>
  <si>
    <t>51.8</t>
  </si>
  <si>
    <t>54.4</t>
  </si>
  <si>
    <t>66.7</t>
  </si>
  <si>
    <t>INT A</t>
  </si>
  <si>
    <t>U15 M 67</t>
  </si>
  <si>
    <t>66.4</t>
  </si>
  <si>
    <t>66.3</t>
  </si>
  <si>
    <t>60.8</t>
  </si>
  <si>
    <t>65.5</t>
  </si>
  <si>
    <t>U10 F </t>
  </si>
  <si>
    <t xml:space="preserve">U10 F </t>
  </si>
  <si>
    <t>Abyr TOUTI</t>
  </si>
  <si>
    <t>Abyr TOUTI09/10/1989</t>
  </si>
  <si>
    <t>REIMS HM</t>
  </si>
  <si>
    <t>SEN F 49</t>
  </si>
  <si>
    <t>178.4082460694401</t>
  </si>
  <si>
    <t>SEN F 55</t>
  </si>
  <si>
    <t>164.86778624989662</t>
  </si>
  <si>
    <t>GE - Critérium National - Langres - LOR - CHAsam 14 Déc 2024</t>
  </si>
  <si>
    <t>57.9</t>
  </si>
  <si>
    <t>321.4229110082018</t>
  </si>
  <si>
    <t>SEN F 59</t>
  </si>
  <si>
    <t>Critérium National - Langres - LOR - CHA</t>
  </si>
  <si>
    <t>Aby SOW</t>
  </si>
  <si>
    <t>Aby SOW25/06/2010</t>
  </si>
  <si>
    <t>U13 F 45</t>
  </si>
  <si>
    <t>126.48785533180504</t>
  </si>
  <si>
    <t>44.5</t>
  </si>
  <si>
    <t>U13 F 55</t>
  </si>
  <si>
    <t>U13 F 49</t>
  </si>
  <si>
    <t>54.3</t>
  </si>
  <si>
    <t>45.6</t>
  </si>
  <si>
    <t>OCC - Critérium National - Hc montalbanais - Plateau 3sam 14 Déc 2024</t>
  </si>
  <si>
    <t>53.5</t>
  </si>
  <si>
    <t>124.40880546558684</t>
  </si>
  <si>
    <t>241.4994459037862</t>
  </si>
  <si>
    <t>Critérium National - Hc montalbanais - Plateau 3</t>
  </si>
  <si>
    <t>U20 M 73</t>
  </si>
  <si>
    <t>U17 M 81</t>
  </si>
  <si>
    <t>76.9</t>
  </si>
  <si>
    <t>ANGERS MENESTYS BARBELL CLUB</t>
  </si>
  <si>
    <t>SEN M 96</t>
  </si>
  <si>
    <t>Aciyah RAHMANI</t>
  </si>
  <si>
    <t>Aciyah RAHMANI03/11/1999</t>
  </si>
  <si>
    <t>69.7</t>
  </si>
  <si>
    <t>SEN F 71</t>
  </si>
  <si>
    <t>203.43967460093853</t>
  </si>
  <si>
    <t>SEN F 76</t>
  </si>
  <si>
    <t>70.9</t>
  </si>
  <si>
    <t>70.5</t>
  </si>
  <si>
    <t>72.1</t>
  </si>
  <si>
    <t>IDF - Critérium National - Franconville - Seniors Femmes 2ème plateausam 14 Déc 2024</t>
  </si>
  <si>
    <t>68.5</t>
  </si>
  <si>
    <t>195.05813745096788</t>
  </si>
  <si>
    <t>217.56484561838724</t>
  </si>
  <si>
    <t>Critérium National - Franconville - Seniors Femmes 2ème plateau</t>
  </si>
  <si>
    <t>70.7</t>
  </si>
  <si>
    <t>71.8</t>
  </si>
  <si>
    <t>73.2</t>
  </si>
  <si>
    <t>AAEEP PERONNE HALTERO</t>
  </si>
  <si>
    <t>69.1</t>
  </si>
  <si>
    <t>U13 M 73</t>
  </si>
  <si>
    <t>71.9</t>
  </si>
  <si>
    <t>U15 M 73</t>
  </si>
  <si>
    <t>U15 M 89</t>
  </si>
  <si>
    <t>87.7</t>
  </si>
  <si>
    <t>86.2</t>
  </si>
  <si>
    <t>72.9</t>
  </si>
  <si>
    <t>U13 M 67</t>
  </si>
  <si>
    <t>68.4</t>
  </si>
  <si>
    <t>SA MONTMARTROISE</t>
  </si>
  <si>
    <t>U20 M 81</t>
  </si>
  <si>
    <t>U13 M 35</t>
  </si>
  <si>
    <t>BE</t>
  </si>
  <si>
    <t>CA ROSENDAEL</t>
  </si>
  <si>
    <t>Adam HASSAINE</t>
  </si>
  <si>
    <t>Adam HASSAINE30/12/1994</t>
  </si>
  <si>
    <t>AFHMA FRANCONVILLE</t>
  </si>
  <si>
    <t>80.2</t>
  </si>
  <si>
    <t>363.3255771657123</t>
  </si>
  <si>
    <t>80.8</t>
  </si>
  <si>
    <t>84.2</t>
  </si>
  <si>
    <t>NAQ - Critérium National - Mont de marsan - ligue Nouvelle Aquitainesam 14 Déc 2024</t>
  </si>
  <si>
    <t>80.5</t>
  </si>
  <si>
    <t>350.2039551978588</t>
  </si>
  <si>
    <t>318.36723199805346</t>
  </si>
  <si>
    <t>Critérium National - Mont de marsan - ligue Nouvelle Aquitaine</t>
  </si>
  <si>
    <t>CLUB ROCHELAIS HM</t>
  </si>
  <si>
    <t>Adam IAFRATE</t>
  </si>
  <si>
    <t>Adam IAFRATE07/12/2007</t>
  </si>
  <si>
    <t>LA GAULOISE DE VAISE</t>
  </si>
  <si>
    <t>57.8</t>
  </si>
  <si>
    <t>336.6753718864641</t>
  </si>
  <si>
    <t>58.4</t>
  </si>
  <si>
    <t>68.9</t>
  </si>
  <si>
    <t>U17 M 73</t>
  </si>
  <si>
    <t>67.9</t>
  </si>
  <si>
    <t>59.8</t>
  </si>
  <si>
    <t>65.9</t>
  </si>
  <si>
    <t>56.05</t>
  </si>
  <si>
    <t>AURA - Critérium National - Vaulx en velin - PLATEAU JEUNES MASCULINSsam 14 Déc 2024</t>
  </si>
  <si>
    <t>71.7</t>
  </si>
  <si>
    <t>354.3951283015412</t>
  </si>
  <si>
    <t>Critérium National - Vaulx en velin - PLATEAU JEUNES MASCULINS</t>
  </si>
  <si>
    <t>65.1</t>
  </si>
  <si>
    <t>65.4</t>
  </si>
  <si>
    <t>64.4</t>
  </si>
  <si>
    <t>63.9</t>
  </si>
  <si>
    <t>HM SAINTE TULLE</t>
  </si>
  <si>
    <t>U13 M 61</t>
  </si>
  <si>
    <t>66.2</t>
  </si>
  <si>
    <t>63.5</t>
  </si>
  <si>
    <t>65.6</t>
  </si>
  <si>
    <t>48.45</t>
  </si>
  <si>
    <t>46.7</t>
  </si>
  <si>
    <t>OGS HALTEROPHILIE MUSCULATION</t>
  </si>
  <si>
    <t>70.6</t>
  </si>
  <si>
    <t>67.8</t>
  </si>
  <si>
    <t>71.5</t>
  </si>
  <si>
    <t>ASHM GIBERVILLE</t>
  </si>
  <si>
    <t>U17 F 71</t>
  </si>
  <si>
    <t>NDI</t>
  </si>
  <si>
    <t>NDIE</t>
  </si>
  <si>
    <t>U17 F 76</t>
  </si>
  <si>
    <t>U20 F 71</t>
  </si>
  <si>
    <t>69.9</t>
  </si>
  <si>
    <t>70.2</t>
  </si>
  <si>
    <t>69.2</t>
  </si>
  <si>
    <t>69.22</t>
  </si>
  <si>
    <t>SEN F 87</t>
  </si>
  <si>
    <t>67.1</t>
  </si>
  <si>
    <t>SAVOIE BARBELL TEAM</t>
  </si>
  <si>
    <t>U15 F 45</t>
  </si>
  <si>
    <t>U15 F 40</t>
  </si>
  <si>
    <t>HFC CP95 CERGY</t>
  </si>
  <si>
    <t>HALTERO CROSSFIT BRIVE</t>
  </si>
  <si>
    <t>65.8</t>
  </si>
  <si>
    <t>74.3</t>
  </si>
  <si>
    <t>SEN F 81</t>
  </si>
  <si>
    <t>79.3</t>
  </si>
  <si>
    <t>80.1</t>
  </si>
  <si>
    <t>79.6</t>
  </si>
  <si>
    <t>77.1</t>
  </si>
  <si>
    <t>77.4</t>
  </si>
  <si>
    <t>75.3</t>
  </si>
  <si>
    <t>75.1</t>
  </si>
  <si>
    <t>CHOLET BARBELL CLUB</t>
  </si>
  <si>
    <t>AL CHARLIEU</t>
  </si>
  <si>
    <t>CA EVRON 53 HALTEROPHILIE</t>
  </si>
  <si>
    <t>U17 F 49</t>
  </si>
  <si>
    <t>AS MANTAISE</t>
  </si>
  <si>
    <t>64.7</t>
  </si>
  <si>
    <t>Adeline POURRE</t>
  </si>
  <si>
    <t>Adeline POURRE01/09/1991</t>
  </si>
  <si>
    <t>HCVM CHELLES</t>
  </si>
  <si>
    <t>223.5871216486258</t>
  </si>
  <si>
    <t>56.5</t>
  </si>
  <si>
    <t>IDF - Critérium National - Neuilly-sur-seinesam 14 Déc 2024</t>
  </si>
  <si>
    <t>435.6342628250645</t>
  </si>
  <si>
    <t>Critérium National - Neuilly-sur-seine</t>
  </si>
  <si>
    <t>70.4</t>
  </si>
  <si>
    <t>364.6489926406352</t>
  </si>
  <si>
    <t>70.3</t>
  </si>
  <si>
    <t>69.6</t>
  </si>
  <si>
    <t>68.2</t>
  </si>
  <si>
    <t>Adeline WOLFF</t>
  </si>
  <si>
    <t>Adeline WOLFF05/05/2005</t>
  </si>
  <si>
    <t>ASI AVENIR DURSTEL</t>
  </si>
  <si>
    <t>185.95668517623625</t>
  </si>
  <si>
    <t>U17 F 59</t>
  </si>
  <si>
    <t>185.6494399788752</t>
  </si>
  <si>
    <t>U20 F 59</t>
  </si>
  <si>
    <t>63.3</t>
  </si>
  <si>
    <t>205.50141351799937</t>
  </si>
  <si>
    <t>U20 F 64</t>
  </si>
  <si>
    <t>57.5</t>
  </si>
  <si>
    <t>62.3</t>
  </si>
  <si>
    <t>57.1</t>
  </si>
  <si>
    <t>58.35</t>
  </si>
  <si>
    <t>GE - Critérium National - Haguenau - ALS - U15 - U17 - U20 Femsam 14 Déc 2024</t>
  </si>
  <si>
    <t>61.62</t>
  </si>
  <si>
    <t>105.1324552206824</t>
  </si>
  <si>
    <t>Critérium National - Haguenau - ALS - U15 - U17 - U20 Fem</t>
  </si>
  <si>
    <t>179.08606954858783</t>
  </si>
  <si>
    <t>65.07</t>
  </si>
  <si>
    <t>57.3</t>
  </si>
  <si>
    <t>58.2</t>
  </si>
  <si>
    <t>64.1</t>
  </si>
  <si>
    <t>62.2</t>
  </si>
  <si>
    <t>51.7</t>
  </si>
  <si>
    <t>52.4</t>
  </si>
  <si>
    <t>88.3</t>
  </si>
  <si>
    <t>88.5</t>
  </si>
  <si>
    <t>AO SALLAUMINES</t>
  </si>
  <si>
    <t>61.9</t>
  </si>
  <si>
    <t>61.7</t>
  </si>
  <si>
    <t>57.2</t>
  </si>
  <si>
    <t>58.9</t>
  </si>
  <si>
    <t>62.1</t>
  </si>
  <si>
    <t>36.7</t>
  </si>
  <si>
    <t>39.1</t>
  </si>
  <si>
    <t>74.2</t>
  </si>
  <si>
    <t>AVIGNON SORGUES HALTEROPHILIE</t>
  </si>
  <si>
    <t>Adis DURIC</t>
  </si>
  <si>
    <t>Adis DURIC01/04/2009</t>
  </si>
  <si>
    <t>CLUB HALTEROPHILE LUXOVIEN</t>
  </si>
  <si>
    <t>231.5768931006436</t>
  </si>
  <si>
    <t>58.5</t>
  </si>
  <si>
    <t>64.9</t>
  </si>
  <si>
    <t>BFC - Critérium National - Besançon - BFC-Critérium 2 SEN Hdim 15 Déc 2024</t>
  </si>
  <si>
    <t>246.05044891943382</t>
  </si>
  <si>
    <t>Critérium National - Besançon - BFC-Critérium 2 SEN H</t>
  </si>
  <si>
    <t>62.9</t>
  </si>
  <si>
    <t>LA FRANCAISE DE BESANCON</t>
  </si>
  <si>
    <t>BALLERS HALTEROPHILIE CLUB DE ROUEN</t>
  </si>
  <si>
    <t>CAEN CALVADOS HALTEROPHILIE MUSCULATION</t>
  </si>
  <si>
    <t>86.9</t>
  </si>
  <si>
    <t>87.8</t>
  </si>
  <si>
    <t>86.8</t>
  </si>
  <si>
    <t>HC MONTALBANAIS</t>
  </si>
  <si>
    <t>SEN M 67</t>
  </si>
  <si>
    <t>ATHLETIC CLUB SAINT MARCELLIN</t>
  </si>
  <si>
    <t>80.55</t>
  </si>
  <si>
    <t>CERCLE MICHELET ORLEANS HMS</t>
  </si>
  <si>
    <t>79.9</t>
  </si>
  <si>
    <t>79.7</t>
  </si>
  <si>
    <t>75.6</t>
  </si>
  <si>
    <t>72.5</t>
  </si>
  <si>
    <t>88.8</t>
  </si>
  <si>
    <t>88.9</t>
  </si>
  <si>
    <t>95.7</t>
  </si>
  <si>
    <t>76.5</t>
  </si>
  <si>
    <t>ESVL HALTERO- MUSCU-GYM</t>
  </si>
  <si>
    <t>EURO FITNESS SPORTS ET LOISIRS</t>
  </si>
  <si>
    <t>78.1</t>
  </si>
  <si>
    <t>HALTERO CLUB DE LA POSSESSION PLIIISSS</t>
  </si>
  <si>
    <t>TOULOUSE HC</t>
  </si>
  <si>
    <t>AS FORCE TESTERINE</t>
  </si>
  <si>
    <t>CJF LAVAL VOUTRE HALTERO 53</t>
  </si>
  <si>
    <t>80.9</t>
  </si>
  <si>
    <t>80.7</t>
  </si>
  <si>
    <t>AL SAVENAY</t>
  </si>
  <si>
    <t>79.46</t>
  </si>
  <si>
    <t>77.8</t>
  </si>
  <si>
    <t>78.9</t>
  </si>
  <si>
    <t>80.6</t>
  </si>
  <si>
    <t>CHM CHAVILLE</t>
  </si>
  <si>
    <t>85.5</t>
  </si>
  <si>
    <t>CH PETITE ROSSELLE</t>
  </si>
  <si>
    <t>85.7</t>
  </si>
  <si>
    <t>80.4</t>
  </si>
  <si>
    <t>93.7</t>
  </si>
  <si>
    <t>94.9</t>
  </si>
  <si>
    <t>74.8</t>
  </si>
  <si>
    <t>U20 M 89</t>
  </si>
  <si>
    <t>Adèlaïde BICH</t>
  </si>
  <si>
    <t>Adèlaïde BICH25/05/1998</t>
  </si>
  <si>
    <t>US TOURS HALTEROPHILIE</t>
  </si>
  <si>
    <t>200.24791962655772</t>
  </si>
  <si>
    <t>56.6</t>
  </si>
  <si>
    <t>OCC - Critérium National - Hc montalbanais - Plateau 1sam 14 Déc 2024</t>
  </si>
  <si>
    <t>58.8</t>
  </si>
  <si>
    <t>191.99058421303138</t>
  </si>
  <si>
    <t>373.0102778996038</t>
  </si>
  <si>
    <t>Critérium National - Hc montalbanais - Plateau 1</t>
  </si>
  <si>
    <t>53.6</t>
  </si>
  <si>
    <t>Adèle VEFOUR</t>
  </si>
  <si>
    <t>Adèle VEFOUR09/03/2010</t>
  </si>
  <si>
    <t>SCHM SAINT PAUL</t>
  </si>
  <si>
    <t>U13 F 35</t>
  </si>
  <si>
    <t>168.46439692660817</t>
  </si>
  <si>
    <t>U13 F 40</t>
  </si>
  <si>
    <t>31.6</t>
  </si>
  <si>
    <t>39.8</t>
  </si>
  <si>
    <t>159.8172986925422</t>
  </si>
  <si>
    <t>REU - Critérium National - La possession - U15-17-20dim 15 Déc 2024</t>
  </si>
  <si>
    <t>43.33</t>
  </si>
  <si>
    <t>160.91323486952766</t>
  </si>
  <si>
    <t>314.90547038982834</t>
  </si>
  <si>
    <t>Critérium National - La possession - U15-17-20</t>
  </si>
  <si>
    <t>42.9</t>
  </si>
  <si>
    <t>54.5</t>
  </si>
  <si>
    <t>163.62043399735634</t>
  </si>
  <si>
    <t>CHM SALEUX</t>
  </si>
  <si>
    <t>U20 F 55</t>
  </si>
  <si>
    <t>52.3</t>
  </si>
  <si>
    <t>U13 F 71</t>
  </si>
  <si>
    <t>68.6</t>
  </si>
  <si>
    <t>OSM LOMME HALTEROPHILIE</t>
  </si>
  <si>
    <t>57.7</t>
  </si>
  <si>
    <t>180.10766565114758</t>
  </si>
  <si>
    <t>59.4</t>
  </si>
  <si>
    <t>201.38186059676136</t>
  </si>
  <si>
    <t>62.78</t>
  </si>
  <si>
    <t>63.4</t>
  </si>
  <si>
    <t>56.8</t>
  </si>
  <si>
    <t>57.4</t>
  </si>
  <si>
    <t>CAHC BERCK</t>
  </si>
  <si>
    <t>&gt;81</t>
  </si>
  <si>
    <t>U17 F &gt;81</t>
  </si>
  <si>
    <t>66.5</t>
  </si>
  <si>
    <t>VALENCE HALTEROPHILIE</t>
  </si>
  <si>
    <t>63.2</t>
  </si>
  <si>
    <t>63.6</t>
  </si>
  <si>
    <t>63.8</t>
  </si>
  <si>
    <t>U15 F 64</t>
  </si>
  <si>
    <t>Agkop ANDREASIAN</t>
  </si>
  <si>
    <t>Agkop ANDREASIAN30/04/2008</t>
  </si>
  <si>
    <t>GR</t>
  </si>
  <si>
    <t>EEAR MONTEUX</t>
  </si>
  <si>
    <t>302.63187682724083</t>
  </si>
  <si>
    <t>PACA - Critérium National - Mondragon - Provence U15 à SEN HOMsam 14 Déc 2024</t>
  </si>
  <si>
    <t>592.3858014490672</t>
  </si>
  <si>
    <t>Critérium National - Mondragon - Provence U15 à SEN HOM</t>
  </si>
  <si>
    <t>69.8</t>
  </si>
  <si>
    <t>65.2</t>
  </si>
  <si>
    <t>64.6</t>
  </si>
  <si>
    <t>63.1</t>
  </si>
  <si>
    <t>63.7</t>
  </si>
  <si>
    <t>64.45</t>
  </si>
  <si>
    <t>TEAM LA FOURNAISE LIFTER</t>
  </si>
  <si>
    <t>95.1</t>
  </si>
  <si>
    <t>95.5</t>
  </si>
  <si>
    <t>95.4</t>
  </si>
  <si>
    <t>93.1</t>
  </si>
  <si>
    <t>HMDB21 DIJON</t>
  </si>
  <si>
    <t>94.6</t>
  </si>
  <si>
    <t>47.7</t>
  </si>
  <si>
    <t>SEN F 45</t>
  </si>
  <si>
    <t>47.6</t>
  </si>
  <si>
    <t>48.1</t>
  </si>
  <si>
    <t>48.6</t>
  </si>
  <si>
    <t>POWERCAMP BORDEAUX HALTEROPHILIE</t>
  </si>
  <si>
    <t>47.9</t>
  </si>
  <si>
    <t>Ainoa SAOUT</t>
  </si>
  <si>
    <t>Ainoa SAOUT11/03/2008</t>
  </si>
  <si>
    <t>173.75707570650545</t>
  </si>
  <si>
    <t>BRE - Critérium National - Plouhinec - Femmessam 14 Déc 2024</t>
  </si>
  <si>
    <t>CROSSFIT CALLISTO</t>
  </si>
  <si>
    <t>54.95</t>
  </si>
  <si>
    <t>333.1540625116468</t>
  </si>
  <si>
    <t>Critérium National - Plouhinec - Femmes</t>
  </si>
  <si>
    <t>Aisha EL KORRICHI</t>
  </si>
  <si>
    <t>Aisha EL KORRICHI08/03/2008</t>
  </si>
  <si>
    <t>U15 F 59</t>
  </si>
  <si>
    <t>148.56343749936048</t>
  </si>
  <si>
    <t>58.52</t>
  </si>
  <si>
    <t>58.28</t>
  </si>
  <si>
    <t>HDF - Critérium National - Comines - U15 / U17 Femmessam 14 Déc 2024</t>
  </si>
  <si>
    <t>287.6728380669434</t>
  </si>
  <si>
    <t>Critérium National - Comines - U15 / U17 Femmes</t>
  </si>
  <si>
    <t>CHA ANGOUMOISIN</t>
  </si>
  <si>
    <t>79.15</t>
  </si>
  <si>
    <t>105.4</t>
  </si>
  <si>
    <t>LANEUVEVILLE HMS</t>
  </si>
  <si>
    <t>RUEIL ATHLETIC CLUB</t>
  </si>
  <si>
    <t>60.1</t>
  </si>
  <si>
    <t>LO SAN JOSEPH BARBELL CLUB</t>
  </si>
  <si>
    <t>67.4</t>
  </si>
  <si>
    <t>53.9</t>
  </si>
  <si>
    <t>FITNESS ES ST AVE</t>
  </si>
  <si>
    <t>Alan MOCAËR LORGERE</t>
  </si>
  <si>
    <t>Alan MOCAËR LORGERE07/03/1996</t>
  </si>
  <si>
    <t>EA DE SAINT MEDARD</t>
  </si>
  <si>
    <t>325.25380768121767</t>
  </si>
  <si>
    <t>57.58</t>
  </si>
  <si>
    <t>OCC - Critérium National - Hc montalbanais - Plateau 2sam 14 Déc 2024</t>
  </si>
  <si>
    <t>OCCITAN BARBELL CREW</t>
  </si>
  <si>
    <t>310.3828843062872</t>
  </si>
  <si>
    <t>609.8477777073282</t>
  </si>
  <si>
    <t>Critérium National - Hc montalbanais - Plateau 2</t>
  </si>
  <si>
    <t>87.3</t>
  </si>
  <si>
    <t>350.23841270310623</t>
  </si>
  <si>
    <t>Alan RENAUX</t>
  </si>
  <si>
    <t>Alan RENAUX01/07/1999</t>
  </si>
  <si>
    <t>CHM LE TRAIT</t>
  </si>
  <si>
    <t>72.4</t>
  </si>
  <si>
    <t>302.71741059212917</t>
  </si>
  <si>
    <t>NDIE - Critérium National - Caen - Plateau B Masculinsam 14 Déc 2024</t>
  </si>
  <si>
    <t>300.6054254794936</t>
  </si>
  <si>
    <t>281.7333359875074</t>
  </si>
  <si>
    <t>Critérium National - Caen - Plateau B Masculin</t>
  </si>
  <si>
    <t>73.4</t>
  </si>
  <si>
    <t>72.2</t>
  </si>
  <si>
    <t>194.18605388386706</t>
  </si>
  <si>
    <t>STADE CLERMONTOIS HALTEROPHILIE</t>
  </si>
  <si>
    <t>172.6909393832679</t>
  </si>
  <si>
    <t>Albane RICHEZ</t>
  </si>
  <si>
    <t>Albane RICHEZ18/08/2008</t>
  </si>
  <si>
    <t>129.3137375159915</t>
  </si>
  <si>
    <t>61.3</t>
  </si>
  <si>
    <t>62.47</t>
  </si>
  <si>
    <t>252.0298353627998</t>
  </si>
  <si>
    <t>57.34</t>
  </si>
  <si>
    <t>63.75</t>
  </si>
  <si>
    <t>235.11045767425597</t>
  </si>
  <si>
    <t>234.79225892692355</t>
  </si>
  <si>
    <t>Albin THIM</t>
  </si>
  <si>
    <t>Albin THIM16/05/2000</t>
  </si>
  <si>
    <t>SE</t>
  </si>
  <si>
    <t>279.87493832928016</t>
  </si>
  <si>
    <t>BFC - Critérium National - Besançon - BFC - Critérium National - Besançon - BFC-Critérium 81 89 96sam 14 Déc 2024</t>
  </si>
  <si>
    <t>271.23802075455995</t>
  </si>
  <si>
    <t>252.66007412753527</t>
  </si>
  <si>
    <t>Critérium National - Besançon - BFC - Critérium National - Besançon - BFC-Critérium 81 89 96</t>
  </si>
  <si>
    <t>Alec BRUNEAU</t>
  </si>
  <si>
    <t>Alec BRUNEAU12/05/2001</t>
  </si>
  <si>
    <t>HDF - Critérium National - Comines - Seniors Hommessam 14 Déc 2024</t>
  </si>
  <si>
    <t>ASPTT LILLE METROPOLE</t>
  </si>
  <si>
    <t>324.0503694168841</t>
  </si>
  <si>
    <t>637.7311270124279</t>
  </si>
  <si>
    <t>Critérium National - Comines - Seniors Hommes</t>
  </si>
  <si>
    <t>78.2</t>
  </si>
  <si>
    <t>HALTEROPHILIE PONTISSALIENNE</t>
  </si>
  <si>
    <t>44.7</t>
  </si>
  <si>
    <t>U20 M 102</t>
  </si>
  <si>
    <t>U20 M &gt;109</t>
  </si>
  <si>
    <t>OLYMPE ATHLÉTIQUE</t>
  </si>
  <si>
    <t>311.36595864925516</t>
  </si>
  <si>
    <t>87.6</t>
  </si>
  <si>
    <t>91.7</t>
  </si>
  <si>
    <t>CFSP SPORTS</t>
  </si>
  <si>
    <t>Alexandra LAURENT</t>
  </si>
  <si>
    <t>Alexandra LAURENT25/10/1988</t>
  </si>
  <si>
    <t>223.58916193290642</t>
  </si>
  <si>
    <t>CACHAN HM</t>
  </si>
  <si>
    <t>419.03423355257985</t>
  </si>
  <si>
    <t>48.9</t>
  </si>
  <si>
    <t>60.3</t>
  </si>
  <si>
    <t>47.75</t>
  </si>
  <si>
    <t>HYBRID ATHLETICS</t>
  </si>
  <si>
    <t>Alexandra MLODZINSKI</t>
  </si>
  <si>
    <t>Alexandra MLODZINSKI24/02/1994</t>
  </si>
  <si>
    <t>PL</t>
  </si>
  <si>
    <t>ATHLETIC CLUB FIT ARLESIEN</t>
  </si>
  <si>
    <t>158.2389161597751</t>
  </si>
  <si>
    <t>PACA - Critérium National - Mondragon - Provence F59 à F&gt;87sam 14 Déc 2024</t>
  </si>
  <si>
    <t>156.81428754978722</t>
  </si>
  <si>
    <t>134.4122464712462</t>
  </si>
  <si>
    <t>Critérium National - Mondragon - Provence F59 à F&gt;87</t>
  </si>
  <si>
    <t>CA LORIENTAIS</t>
  </si>
  <si>
    <t>Alexandra RODRIGUEZ</t>
  </si>
  <si>
    <t>Alexandra RODRIGUEZ07/12/1990</t>
  </si>
  <si>
    <t>212.22678579423638</t>
  </si>
  <si>
    <t>AURA - Critérium National - Vaulx en velin - PLATEAU 1  SENIOR FEMININESdim 15 Déc 2024</t>
  </si>
  <si>
    <t>187.345024701119</t>
  </si>
  <si>
    <t>Critérium National - Vaulx en velin - PLATEAU 1  SENIOR FEMININES</t>
  </si>
  <si>
    <t>50.9</t>
  </si>
  <si>
    <t>Alexandre lala RAMBELO MANGA</t>
  </si>
  <si>
    <t>Alexandre lala RAMBELO MANGA27/05/1995</t>
  </si>
  <si>
    <t>350.68491271758467</t>
  </si>
  <si>
    <t>86.45</t>
  </si>
  <si>
    <t>AURA - Critérium National - Vaulx en velin - PLATEAU SEN MASCULINSsam 14 Déc 2024</t>
  </si>
  <si>
    <t>LEMPDES ATHLETIC CLUB</t>
  </si>
  <si>
    <t>335.47901607866675</t>
  </si>
  <si>
    <t>357.35808234466674</t>
  </si>
  <si>
    <t>Critérium National - Vaulx en velin - PLATEAU SEN MASCULINS</t>
  </si>
  <si>
    <t>US MELUN</t>
  </si>
  <si>
    <t>CHM PLOUHINEC POINTE DU RAZ</t>
  </si>
  <si>
    <t>90.8</t>
  </si>
  <si>
    <t>69.3</t>
  </si>
  <si>
    <t>70.8</t>
  </si>
  <si>
    <t>72.3</t>
  </si>
  <si>
    <t>U20 M 55</t>
  </si>
  <si>
    <t>Alexandre FAVETTE</t>
  </si>
  <si>
    <t>Alexandre FAVETTE03/04/1995</t>
  </si>
  <si>
    <t>338.6185878885842</t>
  </si>
  <si>
    <t>86.7</t>
  </si>
  <si>
    <t>658.9004291406026</t>
  </si>
  <si>
    <t>86.5</t>
  </si>
  <si>
    <t>333.4736311788369</t>
  </si>
  <si>
    <t>88.7</t>
  </si>
  <si>
    <t>US WITTENHEIM</t>
  </si>
  <si>
    <t>79.1</t>
  </si>
  <si>
    <t>330.4921964755068</t>
  </si>
  <si>
    <t>73.7</t>
  </si>
  <si>
    <t>71.3</t>
  </si>
  <si>
    <t>244.65671922316696</t>
  </si>
  <si>
    <t>88.4</t>
  </si>
  <si>
    <t>MAHAVELI HALTÉROPHILIE RÉUNION</t>
  </si>
  <si>
    <t>RE</t>
  </si>
  <si>
    <t>Alexandre MOLESTI</t>
  </si>
  <si>
    <t>Alexandre MOLESTI22/10/1993</t>
  </si>
  <si>
    <t>315.954963055657</t>
  </si>
  <si>
    <t>1789 BARBELL LIFTING CLUB</t>
  </si>
  <si>
    <t>74.7</t>
  </si>
  <si>
    <t>272.8666792934517</t>
  </si>
  <si>
    <t>533.041885131394</t>
  </si>
  <si>
    <t>66.9</t>
  </si>
  <si>
    <t>66.95</t>
  </si>
  <si>
    <t>325.15975352205237</t>
  </si>
  <si>
    <t>CEHT HIRSON</t>
  </si>
  <si>
    <t>BLANC MESNIL SPORT HM</t>
  </si>
  <si>
    <t>SAS COLMARIENNE</t>
  </si>
  <si>
    <t>68.3</t>
  </si>
  <si>
    <t>Alexandru URSU</t>
  </si>
  <si>
    <t>Alexandru URSU09/06/2008</t>
  </si>
  <si>
    <t>MD</t>
  </si>
  <si>
    <t>IDF - Critérium National - Franconville - Jeunes Hommesdim 15 Déc 2024</t>
  </si>
  <si>
    <t>276.22125221803213</t>
  </si>
  <si>
    <t>306.1565603401834</t>
  </si>
  <si>
    <t>Critérium National - Franconville - Jeunes Hommes</t>
  </si>
  <si>
    <t>54.65</t>
  </si>
  <si>
    <t>ISTRES SPORT HALTEROPHILIE</t>
  </si>
  <si>
    <t>155.98738163900364</t>
  </si>
  <si>
    <t>215.97282312401205</t>
  </si>
  <si>
    <t>CLERMONT SPORTS</t>
  </si>
  <si>
    <t>63.05</t>
  </si>
  <si>
    <t>Alexia DORIATH</t>
  </si>
  <si>
    <t>Alexia DORIATH31/12/1995</t>
  </si>
  <si>
    <t>ARAVIS HAL-FA</t>
  </si>
  <si>
    <t>183.36256904208383</t>
  </si>
  <si>
    <t>AURA - Critérium National - Vaulx en velin - PLATEAU 3  SENIOR FEMININESdim 15 Déc 2024</t>
  </si>
  <si>
    <t>68.8</t>
  </si>
  <si>
    <t>212.05195059288604</t>
  </si>
  <si>
    <t>Critérium National - Vaulx en velin - PLATEAU 3  SENIOR FEMININES</t>
  </si>
  <si>
    <t>CHM ANGERIEN</t>
  </si>
  <si>
    <t>Alexine BIZEAU</t>
  </si>
  <si>
    <t>Alexine BIZEAU14/08/2007</t>
  </si>
  <si>
    <t>213.2759176687834</t>
  </si>
  <si>
    <t>U17 F 40</t>
  </si>
  <si>
    <t>213.09170694386876</t>
  </si>
  <si>
    <t>U20 F 45</t>
  </si>
  <si>
    <t>39.5</t>
  </si>
  <si>
    <t>92.20787135429555</t>
  </si>
  <si>
    <t>71.6</t>
  </si>
  <si>
    <t>Alexis ANGOT</t>
  </si>
  <si>
    <t>Alexis ANGOT19/03/1995</t>
  </si>
  <si>
    <t>318.1497088198122</t>
  </si>
  <si>
    <t>IDF - Critérium National - Franconville - Seniors Hommes 3ème plateausam 14 Déc 2024</t>
  </si>
  <si>
    <t>288.8799356083895</t>
  </si>
  <si>
    <t>Critérium National - Franconville - Seniors Hommes 3ème plateau</t>
  </si>
  <si>
    <t>CH ARBRESLE</t>
  </si>
  <si>
    <t>ULTIMATE FACTORY HALTEROPHILIE REZE</t>
  </si>
  <si>
    <t>261.24009637693877</t>
  </si>
  <si>
    <t>80.75</t>
  </si>
  <si>
    <t>Alexis GLEYZE</t>
  </si>
  <si>
    <t>Alexis GLEYZE22/09/2006</t>
  </si>
  <si>
    <t>284.79526205927783</t>
  </si>
  <si>
    <t>59.7</t>
  </si>
  <si>
    <t>271.3672650633939</t>
  </si>
  <si>
    <t>242.802289793563</t>
  </si>
  <si>
    <t>91.3</t>
  </si>
  <si>
    <t>Alexis JEROME</t>
  </si>
  <si>
    <t>Alexis JEROME11/12/1989</t>
  </si>
  <si>
    <t>314.3705395257698</t>
  </si>
  <si>
    <t>LIGNE ET FORME SENLIS</t>
  </si>
  <si>
    <t>291.0710865334832</t>
  </si>
  <si>
    <t>HDF - Critérium National - La Ferté Milon - U17 / Seniors Hommessam 14 Déc 2024</t>
  </si>
  <si>
    <t>66.82</t>
  </si>
  <si>
    <t>278.17408683897196</t>
  </si>
  <si>
    <t>Critérium National - La Ferté Milon - U17 / Seniors Hommes</t>
  </si>
  <si>
    <t>93.9</t>
  </si>
  <si>
    <t>94.5</t>
  </si>
  <si>
    <t>284.6883116032626</t>
  </si>
  <si>
    <t>96.6</t>
  </si>
  <si>
    <t>U20 M 61</t>
  </si>
  <si>
    <t>OSQ  ST QUENTIN FALLAVIER</t>
  </si>
  <si>
    <t>74.9</t>
  </si>
  <si>
    <t>U17 M 49</t>
  </si>
  <si>
    <t>134.3058227129762</t>
  </si>
  <si>
    <t>52.6</t>
  </si>
  <si>
    <t>279.9147785578968</t>
  </si>
  <si>
    <t>ADAPTAFORME</t>
  </si>
  <si>
    <t>U17 M 89</t>
  </si>
  <si>
    <t>CROSSFIT GRILLEN</t>
  </si>
  <si>
    <t>58.6</t>
  </si>
  <si>
    <t>125.5647572706138</t>
  </si>
  <si>
    <t>HALTERO CLUB OYONNAXIEN</t>
  </si>
  <si>
    <t>44.1</t>
  </si>
  <si>
    <t>62.22</t>
  </si>
  <si>
    <t>U15 F 71</t>
  </si>
  <si>
    <t>26.5</t>
  </si>
  <si>
    <t>62.38</t>
  </si>
  <si>
    <t>49.4</t>
  </si>
  <si>
    <t>Alice FOURNIER</t>
  </si>
  <si>
    <t>Alice FOURNIER28/01/2014</t>
  </si>
  <si>
    <t>81.53487019443078</t>
  </si>
  <si>
    <t>U13 F 59</t>
  </si>
  <si>
    <t>PDL - Critérium National - Laval - U10 -U13sam 14 Déc 2024</t>
  </si>
  <si>
    <t>58.12</t>
  </si>
  <si>
    <t>157.54195257906963</t>
  </si>
  <si>
    <t>Critérium National - Laval - U10 -U13</t>
  </si>
  <si>
    <t>63.85</t>
  </si>
  <si>
    <t>63.97</t>
  </si>
  <si>
    <t>THE ALPHA'S BARBEL</t>
  </si>
  <si>
    <t>Alice RENAULT</t>
  </si>
  <si>
    <t>Alice RENAULT17/09/2008</t>
  </si>
  <si>
    <t>178.79805365329798</t>
  </si>
  <si>
    <t>NDIE - Critérium National - Caen - Plateau B fémininsam 14 Déc 2024</t>
  </si>
  <si>
    <t>175.44514917270916</t>
  </si>
  <si>
    <t>342.8546426581187</t>
  </si>
  <si>
    <t>Critérium National - Caen - Plateau B féminin</t>
  </si>
  <si>
    <t>51.4</t>
  </si>
  <si>
    <t>Alicia RIQUIER</t>
  </si>
  <si>
    <t>Alicia RIQUIER10/08/2011</t>
  </si>
  <si>
    <t>103.2960439442052</t>
  </si>
  <si>
    <t>27.2</t>
  </si>
  <si>
    <t>38.68</t>
  </si>
  <si>
    <t>86.28177399322956</t>
  </si>
  <si>
    <t>99.70338328106527</t>
  </si>
  <si>
    <t>96.28948916982645</t>
  </si>
  <si>
    <t>AZUR HALTEROPHILIE - ASSOCIATION AZUR FIT EVENT</t>
  </si>
  <si>
    <t>U15 F 49</t>
  </si>
  <si>
    <t>Alina SEVERIN</t>
  </si>
  <si>
    <t>Alina SEVERIN11/10/1995</t>
  </si>
  <si>
    <t>ASPTT DRAGUIGNAN</t>
  </si>
  <si>
    <t>179.45380731296027</t>
  </si>
  <si>
    <t>70.93</t>
  </si>
  <si>
    <t>79.75641228707418</t>
  </si>
  <si>
    <t>170.40956057762423</t>
  </si>
  <si>
    <t>GRAVITY HALTEROPHILIE</t>
  </si>
  <si>
    <t>139.02225142170522</t>
  </si>
  <si>
    <t>Alissia LOISNARD</t>
  </si>
  <si>
    <t>Alissia LOISNARD13/04/2001</t>
  </si>
  <si>
    <t>187.87453293454664</t>
  </si>
  <si>
    <t>366.48764523147474</t>
  </si>
  <si>
    <t>Alix CLEUTJENS</t>
  </si>
  <si>
    <t>Alix CLEUTJENS25/10/2003</t>
  </si>
  <si>
    <t>201.3504208874771</t>
  </si>
  <si>
    <t>HDF - Critérium National - Comines - U20 - Seniors Femmessam 14 Déc 2024</t>
  </si>
  <si>
    <t>58.15</t>
  </si>
  <si>
    <t>196.16915145024547</t>
  </si>
  <si>
    <t>Critérium National - Comines - U20 - Seniors Femmes</t>
  </si>
  <si>
    <t>74.6</t>
  </si>
  <si>
    <t>Alix PERVIER</t>
  </si>
  <si>
    <t>Alix PERVIER06/02/1990</t>
  </si>
  <si>
    <t>283.22712257768876</t>
  </si>
  <si>
    <t>60.85</t>
  </si>
  <si>
    <t>BRE - Critérium National - Plouhinec - Hommesam 14 Déc 2024</t>
  </si>
  <si>
    <t>554.2724334316059</t>
  </si>
  <si>
    <t>Critérium National - Plouhinec - Homme</t>
  </si>
  <si>
    <t>61.5</t>
  </si>
  <si>
    <t>Aliyah ARAB</t>
  </si>
  <si>
    <t>Aliyah ARAB07/02/2011</t>
  </si>
  <si>
    <t>124.8156750728722</t>
  </si>
  <si>
    <t>43.35</t>
  </si>
  <si>
    <t>43.8</t>
  </si>
  <si>
    <t>49.93</t>
  </si>
  <si>
    <t>112.48820099160086</t>
  </si>
  <si>
    <t>U20 F 49</t>
  </si>
  <si>
    <t>48.3</t>
  </si>
  <si>
    <t>47.4</t>
  </si>
  <si>
    <t>36.4</t>
  </si>
  <si>
    <t>Allan MOUSSET</t>
  </si>
  <si>
    <t>Allan MOUSSET05/09/2002</t>
  </si>
  <si>
    <t>331.1843714250099</t>
  </si>
  <si>
    <t>321.19537265298715</t>
  </si>
  <si>
    <t>626.0335735504981</t>
  </si>
  <si>
    <t>60.5</t>
  </si>
  <si>
    <t>US</t>
  </si>
  <si>
    <t>47.2</t>
  </si>
  <si>
    <t>Alya maïwenn ADOLPHE</t>
  </si>
  <si>
    <t>Alya maïwenn ADOLPHE07/05/2012</t>
  </si>
  <si>
    <t>CHSM SAINT DENIS</t>
  </si>
  <si>
    <t>124.46143859618707</t>
  </si>
  <si>
    <t>REU - Critérium National - La possession - LA REUNION-CRITERIUM-LA POSSESSION-U13sam 14 Déc 2024</t>
  </si>
  <si>
    <t>50.93</t>
  </si>
  <si>
    <t>242.85158750475523</t>
  </si>
  <si>
    <t>Critérium National - La possession - LA REUNION-CRITERIUM-LA POSSESSION-U13</t>
  </si>
  <si>
    <t>Alyssa BRASSART</t>
  </si>
  <si>
    <t>Alyssa BRASSART06/02/2003</t>
  </si>
  <si>
    <t>212.79908385722757</t>
  </si>
  <si>
    <t>57.95</t>
  </si>
  <si>
    <t>NDIE - Critérium National - Caen - Plateau Elite fémininsam 14 Déc 2024</t>
  </si>
  <si>
    <t>93.04510483730041</t>
  </si>
  <si>
    <t>181.98527857883758</t>
  </si>
  <si>
    <t>Critérium National - Caen - Plateau Elite féminin</t>
  </si>
  <si>
    <t>197.81834579109187</t>
  </si>
  <si>
    <t>180.7350653692912</t>
  </si>
  <si>
    <t>45.2</t>
  </si>
  <si>
    <t>44.2</t>
  </si>
  <si>
    <t>45.4</t>
  </si>
  <si>
    <t>Alysée STOKLOSA</t>
  </si>
  <si>
    <t>Alysée STOKLOSA28/12/1987</t>
  </si>
  <si>
    <t>194.9902137345748</t>
  </si>
  <si>
    <t>190.6570978738065</t>
  </si>
  <si>
    <t>183.691640966792</t>
  </si>
  <si>
    <t>GUA - Critérium National - Creps antilles guyane - GUA-Critérium National d'Haltérophiliesam 14 Déc 2024</t>
  </si>
  <si>
    <t>191.60409861508407</t>
  </si>
  <si>
    <t>371.6831386668548</t>
  </si>
  <si>
    <t>Critérium National - Creps antilles guyane - GUA-Critérium National d'Haltérophilie</t>
  </si>
  <si>
    <t>Amalia PEREIRA</t>
  </si>
  <si>
    <t>Amalia PEREIRA05/02/2012</t>
  </si>
  <si>
    <t>122.6942709982831</t>
  </si>
  <si>
    <t>32.8</t>
  </si>
  <si>
    <t>HDF - Critérium National - Comines - U13 Fillesdim 15 Déc 2024</t>
  </si>
  <si>
    <t>238.2758306343469</t>
  </si>
  <si>
    <t>Critérium National - Comines - U13 Filles</t>
  </si>
  <si>
    <t>Amanda KLOCK</t>
  </si>
  <si>
    <t>Amanda KLOCK09/10/2009</t>
  </si>
  <si>
    <t>163.23041617977336</t>
  </si>
  <si>
    <t>&gt;71</t>
  </si>
  <si>
    <t>U13 F &gt;71</t>
  </si>
  <si>
    <t>U15 F 76</t>
  </si>
  <si>
    <t>74.95</t>
  </si>
  <si>
    <t>87.36</t>
  </si>
  <si>
    <t>137.19764801479445</t>
  </si>
  <si>
    <t>267.70272783374526</t>
  </si>
  <si>
    <t>140.68131200867757</t>
  </si>
  <si>
    <t>U20 F 81</t>
  </si>
  <si>
    <t>U20 F 87</t>
  </si>
  <si>
    <t>CLUB MILONAIS HM</t>
  </si>
  <si>
    <t>67.85</t>
  </si>
  <si>
    <t>Amandine DESHAIES</t>
  </si>
  <si>
    <t>Amandine DESHAIES08/04/2009</t>
  </si>
  <si>
    <t>164.38328613480678</t>
  </si>
  <si>
    <t>152.42813805227536</t>
  </si>
  <si>
    <t>Amandine GONTIER</t>
  </si>
  <si>
    <t>Amandine GONTIER05/01/1998</t>
  </si>
  <si>
    <t>194.73717046815798</t>
  </si>
  <si>
    <t>186.80077941818402</t>
  </si>
  <si>
    <t>BFC - Critérium National - Besançon - BFC-Critérium 2 SEN Fsam 14 Déc 2024</t>
  </si>
  <si>
    <t>59.95</t>
  </si>
  <si>
    <t>181.4617519167973</t>
  </si>
  <si>
    <t>353.4441585842097</t>
  </si>
  <si>
    <t>Critérium National - Besançon - BFC-Critérium 2 SEN F</t>
  </si>
  <si>
    <t>Amandine LE FLOCH</t>
  </si>
  <si>
    <t>Amandine LE FLOCH07/11/1995</t>
  </si>
  <si>
    <t>177.95127718657974</t>
  </si>
  <si>
    <t>CERCLE PAUL BERT</t>
  </si>
  <si>
    <t>172.89728873992073</t>
  </si>
  <si>
    <t>150.7541995641817</t>
  </si>
  <si>
    <t>50.7</t>
  </si>
  <si>
    <t>48.65</t>
  </si>
  <si>
    <t>130.59327599982868</t>
  </si>
  <si>
    <t>Ambre BOCQUET</t>
  </si>
  <si>
    <t>Ambre BOCQUET06/10/1994</t>
  </si>
  <si>
    <t>225.90546961550308</t>
  </si>
  <si>
    <t>58.32</t>
  </si>
  <si>
    <t>225.0515356966021</t>
  </si>
  <si>
    <t>IDF - Critérium National - Franconville - Seniors Femmes 1er plateausam 14 Déc 2024</t>
  </si>
  <si>
    <t>194.6764817989012</t>
  </si>
  <si>
    <t>Critérium National - Franconville - Seniors Femmes 1er plateau</t>
  </si>
  <si>
    <t>50.05</t>
  </si>
  <si>
    <t>U20 F 76</t>
  </si>
  <si>
    <t>CLUB HALTEROPHILIE RAPTOR</t>
  </si>
  <si>
    <t>69.63</t>
  </si>
  <si>
    <t>70.25</t>
  </si>
  <si>
    <t>Amelie JOUGLA</t>
  </si>
  <si>
    <t>Amelie JOUGLA11/01/2002</t>
  </si>
  <si>
    <t>196.0571660669785</t>
  </si>
  <si>
    <t>386.59159506164775</t>
  </si>
  <si>
    <t>58.14</t>
  </si>
  <si>
    <t>193.42831797076192</t>
  </si>
  <si>
    <t>379.9484817282824</t>
  </si>
  <si>
    <t>168.47065288898614</t>
  </si>
  <si>
    <t>176.70374530778736</t>
  </si>
  <si>
    <t>Amine LAMLICHE</t>
  </si>
  <si>
    <t>Amine LAMLICHE15/09/2008</t>
  </si>
  <si>
    <t>255.75021869151743</t>
  </si>
  <si>
    <t>494.87667316808626</t>
  </si>
  <si>
    <t>CAHM ALENCON</t>
  </si>
  <si>
    <t>60.95</t>
  </si>
  <si>
    <t>Amélie CORBETHAU</t>
  </si>
  <si>
    <t>Amélie CORBETHAU24/10/2004</t>
  </si>
  <si>
    <t>SHC HAGUENAU</t>
  </si>
  <si>
    <t>196.22988682935076</t>
  </si>
  <si>
    <t>180.09710151356214</t>
  </si>
  <si>
    <t>363.0780090984248</t>
  </si>
  <si>
    <t>GE - Critérium National - Haguenau - ALS - SEN Femsam 14 Déc 2024</t>
  </si>
  <si>
    <t>191.02746510734715</t>
  </si>
  <si>
    <t>370.8180205024974</t>
  </si>
  <si>
    <t>Critérium National - Haguenau - ALS - SEN Fem</t>
  </si>
  <si>
    <t>CO</t>
  </si>
  <si>
    <t>Anaelle BILLON</t>
  </si>
  <si>
    <t>Anaelle BILLON12/09/1997</t>
  </si>
  <si>
    <t>PDL - Critérium National - Laval - seniors Fsam 14 Déc 2024</t>
  </si>
  <si>
    <t>Critérium National - Laval - seniors F</t>
  </si>
  <si>
    <t>Anais CADIEU</t>
  </si>
  <si>
    <t>Anais CADIEU30/06/2005</t>
  </si>
  <si>
    <t>184.81683889796352</t>
  </si>
  <si>
    <t>58.26</t>
  </si>
  <si>
    <t>PDL - Critérium National - Laval - U15 au U20 Fdim 15 Déc 2024</t>
  </si>
  <si>
    <t>182.6804727404548</t>
  </si>
  <si>
    <t>200.8090692719503</t>
  </si>
  <si>
    <t>Critérium National - Laval - U15 au U20 F</t>
  </si>
  <si>
    <t>225.24905136947987</t>
  </si>
  <si>
    <t>48.58</t>
  </si>
  <si>
    <t>48.56</t>
  </si>
  <si>
    <t>Anass WISSAADEN</t>
  </si>
  <si>
    <t>Anass WISSAADEN29/05/2014</t>
  </si>
  <si>
    <t>89.95343769780935</t>
  </si>
  <si>
    <t>HDF - Critérium National - Comines - U13 garçonsdim 15 Déc 2024</t>
  </si>
  <si>
    <t>31.54</t>
  </si>
  <si>
    <t>168.66269568339254</t>
  </si>
  <si>
    <t>Critérium National - Comines - U13 garçons</t>
  </si>
  <si>
    <t>HALTEROPHILIE VALLEROY AUBOUE</t>
  </si>
  <si>
    <t>56.1</t>
  </si>
  <si>
    <t>Ana BURGEOT</t>
  </si>
  <si>
    <t>Ana BURGEOT06/01/2015</t>
  </si>
  <si>
    <t>57.409030731600545</t>
  </si>
  <si>
    <t>33.99</t>
  </si>
  <si>
    <t>56.63915762723856</t>
  </si>
  <si>
    <t>104.56459869644041</t>
  </si>
  <si>
    <t>65.62</t>
  </si>
  <si>
    <t>196.22693371327756</t>
  </si>
  <si>
    <t>195.9642038025058</t>
  </si>
  <si>
    <t>192.96898282665092</t>
  </si>
  <si>
    <t>Andrada GALVAO PEREIRA</t>
  </si>
  <si>
    <t>Andrada GALVAO PEREIRA29/08/2008</t>
  </si>
  <si>
    <t>229.6846903747992</t>
  </si>
  <si>
    <t>60.72</t>
  </si>
  <si>
    <t>57.53</t>
  </si>
  <si>
    <t>51.85</t>
  </si>
  <si>
    <t>Andréa MALBRUN</t>
  </si>
  <si>
    <t>Andréa MALBRUN03/08/1993</t>
  </si>
  <si>
    <t>GT</t>
  </si>
  <si>
    <t>216.5206580776295</t>
  </si>
  <si>
    <t>NAQ - Critérium National - Mont de marsan - ligue Nouvelle Aquitaine plateau 2 fillessam 14 Déc 2024</t>
  </si>
  <si>
    <t>214.65421574171074</t>
  </si>
  <si>
    <t>230.50117126626657</t>
  </si>
  <si>
    <t>Critérium National - Mont de marsan - ligue Nouvelle Aquitaine plateau 2 filles</t>
  </si>
  <si>
    <t>317.93291074766154</t>
  </si>
  <si>
    <t>Angel jesus GEREDA LIZCANO</t>
  </si>
  <si>
    <t>Angel jesus GEREDA LIZCANO05/01/2000</t>
  </si>
  <si>
    <t>326.00416562155215</t>
  </si>
  <si>
    <t>284.27940381145896</t>
  </si>
  <si>
    <t>GE - Critérium National - Haguenau - ALS - U15 - U17 - U20 - SEN Homsam 14 Déc 2024</t>
  </si>
  <si>
    <t>634.3497722719369</t>
  </si>
  <si>
    <t>Critérium National - Haguenau - ALS - U15 - U17 - U20 - SEN Hom</t>
  </si>
  <si>
    <t>49.92</t>
  </si>
  <si>
    <t>164.4074329236023</t>
  </si>
  <si>
    <t>ELITE BARBELL VAULX EN VELIN</t>
  </si>
  <si>
    <t>Angelique LUGUIN</t>
  </si>
  <si>
    <t>Angelique LUGUIN21/07/1995</t>
  </si>
  <si>
    <t>AURA - Critérium National - Vaulx en velin - PLATEAU 2  SENIOR FEMININESdim 15 Déc 2024</t>
  </si>
  <si>
    <t>172.40710602205667</t>
  </si>
  <si>
    <t>Critérium National - Vaulx en velin - PLATEAU 2  SENIOR FEMININES</t>
  </si>
  <si>
    <t>&gt;102</t>
  </si>
  <si>
    <t>276.9732323944015</t>
  </si>
  <si>
    <t>192.80268866014003</t>
  </si>
  <si>
    <t>41.1</t>
  </si>
  <si>
    <t>CROSSFIT SAINT SIMON</t>
  </si>
  <si>
    <t>Anissa CHOYER</t>
  </si>
  <si>
    <t>Anissa CHOYER18/07/1988</t>
  </si>
  <si>
    <t>199.38696917031555</t>
  </si>
  <si>
    <t>70.69</t>
  </si>
  <si>
    <t>186.84265858329792</t>
  </si>
  <si>
    <t>366.30994906462354</t>
  </si>
  <si>
    <t>53.42</t>
  </si>
  <si>
    <t>55.75</t>
  </si>
  <si>
    <t>Annabelle LUGUIN</t>
  </si>
  <si>
    <t>Annabelle LUGUIN23/07/2000</t>
  </si>
  <si>
    <t>185.3423505781569</t>
  </si>
  <si>
    <t>191.14054664650322</t>
  </si>
  <si>
    <t>43.28</t>
  </si>
  <si>
    <t>52.75</t>
  </si>
  <si>
    <t>84.43227093969892</t>
  </si>
  <si>
    <t>150.11113440850644</t>
  </si>
  <si>
    <t>63.35</t>
  </si>
  <si>
    <t>L'ABSOLU HALTERO CLUB</t>
  </si>
  <si>
    <t>GORILLA LIFTING CLUB</t>
  </si>
  <si>
    <t>Anthony CLAUX</t>
  </si>
  <si>
    <t>Anthony CLAUX11/06/1991</t>
  </si>
  <si>
    <t>345.57373551076296</t>
  </si>
  <si>
    <t>320.39466981668755</t>
  </si>
  <si>
    <t>348.87419602261537</t>
  </si>
  <si>
    <t>323.22286433712094</t>
  </si>
  <si>
    <t>Anthony COULLET</t>
  </si>
  <si>
    <t>Anthony COULLET10/01/1997</t>
  </si>
  <si>
    <t>397.6370889537941</t>
  </si>
  <si>
    <t>119.4</t>
  </si>
  <si>
    <t>306.686582227011</t>
  </si>
  <si>
    <t>316.0582697193054</t>
  </si>
  <si>
    <t>CHC MONDRAGON</t>
  </si>
  <si>
    <t>260.1752058379423</t>
  </si>
  <si>
    <t>78.05</t>
  </si>
  <si>
    <t>Anthony LAROIX</t>
  </si>
  <si>
    <t>Anthony LAROIX29/11/1986</t>
  </si>
  <si>
    <t>343.82639649052055</t>
  </si>
  <si>
    <t>100.8</t>
  </si>
  <si>
    <t>100.7</t>
  </si>
  <si>
    <t>338.48870940932466</t>
  </si>
  <si>
    <t>372.79499752513453</t>
  </si>
  <si>
    <t>70.22</t>
  </si>
  <si>
    <t>ASSOCIATION SPORTIVE BIBOS COMPETITION</t>
  </si>
  <si>
    <t>97.4</t>
  </si>
  <si>
    <t>Antoine CHAUDUN</t>
  </si>
  <si>
    <t>Antoine CHAUDUN20/07/2007</t>
  </si>
  <si>
    <t>214.71689681059118</t>
  </si>
  <si>
    <t>421.4319216903529</t>
  </si>
  <si>
    <t>Antoine COTTEREAU</t>
  </si>
  <si>
    <t>Antoine COTTEREAU22/01/2003</t>
  </si>
  <si>
    <t>300.78001460708754</t>
  </si>
  <si>
    <t>296.8106138590344</t>
  </si>
  <si>
    <t>330.5390927066519</t>
  </si>
  <si>
    <t>Antoine FELICIANO</t>
  </si>
  <si>
    <t>Antoine FELICIANO20/06/2007</t>
  </si>
  <si>
    <t>263.4879588229768</t>
  </si>
  <si>
    <t>HDF - Critérium National - Comines - U15 / U17 / U20 Hommessam 14 Déc 2024</t>
  </si>
  <si>
    <t>511.4766259504844</t>
  </si>
  <si>
    <t>Critérium National - Comines - U15 / U17 / U20 Hommes</t>
  </si>
  <si>
    <t>Antoine MARCHAND</t>
  </si>
  <si>
    <t>Antoine MARCHAND02/10/1985</t>
  </si>
  <si>
    <t>283.31740715536466</t>
  </si>
  <si>
    <t>273.48832832500005</t>
  </si>
  <si>
    <t>534.8216198355557</t>
  </si>
  <si>
    <t>Antoine MARY</t>
  </si>
  <si>
    <t>Antoine MARY04/05/2005</t>
  </si>
  <si>
    <t>314.3925695858164</t>
  </si>
  <si>
    <t>297.71051487309956</t>
  </si>
  <si>
    <t>256.31573585335</t>
  </si>
  <si>
    <t>359.31019020107396</t>
  </si>
  <si>
    <t>STADE ST LOIS</t>
  </si>
  <si>
    <t>&gt;73</t>
  </si>
  <si>
    <t>U13 M &gt;73</t>
  </si>
  <si>
    <t>Antranig APRAHAMIAN</t>
  </si>
  <si>
    <t>Antranig APRAHAMIAN02/08/1997</t>
  </si>
  <si>
    <t>364.15501746278255</t>
  </si>
  <si>
    <t>350.62562902668424</t>
  </si>
  <si>
    <t>384.97262942113497</t>
  </si>
  <si>
    <t>Apoline LECHAT</t>
  </si>
  <si>
    <t>Apoline LECHAT05/10/2011</t>
  </si>
  <si>
    <t>108.86644793107001</t>
  </si>
  <si>
    <t>59.58</t>
  </si>
  <si>
    <t>53.05</t>
  </si>
  <si>
    <t>70.32</t>
  </si>
  <si>
    <t>107.24237913340127</t>
  </si>
  <si>
    <t>123.26710245218537</t>
  </si>
  <si>
    <t>Apolline LENY</t>
  </si>
  <si>
    <t>Apolline LENY29/01/1999</t>
  </si>
  <si>
    <t>179.90047117206817</t>
  </si>
  <si>
    <t>Armand BOIS</t>
  </si>
  <si>
    <t>Armand BOIS01/01/2003</t>
  </si>
  <si>
    <t>318.077873292754</t>
  </si>
  <si>
    <t>NDIE - Critérium National - Caen - Plateauu Elite masculinsam 14 Déc 2024</t>
  </si>
  <si>
    <t>Critérium National - Caen - Plateauu Elite masculin</t>
  </si>
  <si>
    <t>Armans SUDROT</t>
  </si>
  <si>
    <t>Armans SUDROT08/02/2005</t>
  </si>
  <si>
    <t>257.0649647264083</t>
  </si>
  <si>
    <t>236.70338336194027</t>
  </si>
  <si>
    <t>Armelle GORGES</t>
  </si>
  <si>
    <t>Armelle GORGES07/04/2005</t>
  </si>
  <si>
    <t>182.2192767403551</t>
  </si>
  <si>
    <t>141.97240153131673</t>
  </si>
  <si>
    <t>355.69202819717316</t>
  </si>
  <si>
    <t>Armelle LAURENT</t>
  </si>
  <si>
    <t>Armelle LAURENT29/07/1992</t>
  </si>
  <si>
    <t>172.7032487011122</t>
  </si>
  <si>
    <t>166.96562212650713</t>
  </si>
  <si>
    <t>322.00512838683517</t>
  </si>
  <si>
    <t>Armony DUMUR</t>
  </si>
  <si>
    <t>Armony DUMUR02/12/1991</t>
  </si>
  <si>
    <t>209.48998476686234</t>
  </si>
  <si>
    <t>409.4576974988673</t>
  </si>
  <si>
    <t>29.6</t>
  </si>
  <si>
    <t>104.8</t>
  </si>
  <si>
    <t>173.63484537367424</t>
  </si>
  <si>
    <t>Arthur DESCHRYVER</t>
  </si>
  <si>
    <t>Arthur DESCHRYVER14/11/2009</t>
  </si>
  <si>
    <t>237.2207480456947</t>
  </si>
  <si>
    <t>44.4</t>
  </si>
  <si>
    <t>229.81426455928033</t>
  </si>
  <si>
    <t>MASSILIA BARBELL CLUB</t>
  </si>
  <si>
    <t>Arthur SIMONET</t>
  </si>
  <si>
    <t>Arthur SIMONET14/05/2013</t>
  </si>
  <si>
    <t>74.0264140793429</t>
  </si>
  <si>
    <t>66.1249782832034</t>
  </si>
  <si>
    <t>126.73954170947317</t>
  </si>
  <si>
    <t>Aschkenaz PINEAU</t>
  </si>
  <si>
    <t>Aschkenaz PINEAU28/12/1984</t>
  </si>
  <si>
    <t>307.48707183901683</t>
  </si>
  <si>
    <t>601.6051405545982</t>
  </si>
  <si>
    <t>Ashley PIZEM</t>
  </si>
  <si>
    <t>Ashley PIZEM02/03/2011</t>
  </si>
  <si>
    <t>148.80504358763667</t>
  </si>
  <si>
    <t>138.8847073484609</t>
  </si>
  <si>
    <t>Aslam NICOLIN</t>
  </si>
  <si>
    <t>Aslam NICOLIN25/08/2001</t>
  </si>
  <si>
    <t>306.8738529468471</t>
  </si>
  <si>
    <t>91.85</t>
  </si>
  <si>
    <t>306.00879688526544</t>
  </si>
  <si>
    <t>261.49950893135997</t>
  </si>
  <si>
    <t>Astrid HANOCQUE</t>
  </si>
  <si>
    <t>Astrid HANOCQUE23/01/2008</t>
  </si>
  <si>
    <t>203.94960728134535</t>
  </si>
  <si>
    <t>53.85</t>
  </si>
  <si>
    <t>397.70173419862346</t>
  </si>
  <si>
    <t>Asya HORVATH</t>
  </si>
  <si>
    <t>Asya HORVATH24/11/2010</t>
  </si>
  <si>
    <t>171.4035644857249</t>
  </si>
  <si>
    <t>AURA - Critérium National - Vaulx en velin - PLATEAU JEUNES FEMININESsam 14 Déc 2024</t>
  </si>
  <si>
    <t>334.44597948434125</t>
  </si>
  <si>
    <t>Critérium National - Vaulx en velin - PLATEAU JEUNES FEMININES</t>
  </si>
  <si>
    <t>Atilla AYDOGAN</t>
  </si>
  <si>
    <t>Atilla AYDOGAN28/12/2005</t>
  </si>
  <si>
    <t>323.2514658681926</t>
  </si>
  <si>
    <t>USC MOISLAINS</t>
  </si>
  <si>
    <t>Auberi CADET</t>
  </si>
  <si>
    <t>Auberi CADET20/11/1988</t>
  </si>
  <si>
    <t>199.9094348390322</t>
  </si>
  <si>
    <t>REU - Critérium National - La possession - SENIOREdim 15 Déc 2024</t>
  </si>
  <si>
    <t>57.89</t>
  </si>
  <si>
    <t>188.44205831831366</t>
  </si>
  <si>
    <t>162.11559428854926</t>
  </si>
  <si>
    <t>Critérium National - La possession - SENIORE</t>
  </si>
  <si>
    <t>195.23606944072552</t>
  </si>
  <si>
    <t>48.92</t>
  </si>
  <si>
    <t>86.39576289586412</t>
  </si>
  <si>
    <t>102.40488359025417</t>
  </si>
  <si>
    <t>Audrey LE VAILLANT DE CHARNY</t>
  </si>
  <si>
    <t>Audrey LE VAILLANT DE CHARNY18/02/1997</t>
  </si>
  <si>
    <t>253.081068360095</t>
  </si>
  <si>
    <t>217.56443181127443</t>
  </si>
  <si>
    <t>227.11026567612262</t>
  </si>
  <si>
    <t>245.14284059229914</t>
  </si>
  <si>
    <t>164.19724383053017</t>
  </si>
  <si>
    <t>63.95</t>
  </si>
  <si>
    <t>Augustine CAMPTON</t>
  </si>
  <si>
    <t>Augustine CAMPTON24/01/2010</t>
  </si>
  <si>
    <t>116.04941190532635</t>
  </si>
  <si>
    <t>105.59482131716726</t>
  </si>
  <si>
    <t>201.59011342368294</t>
  </si>
  <si>
    <t>46.3</t>
  </si>
  <si>
    <t>53.84</t>
  </si>
  <si>
    <t>Aurelien TURPIN</t>
  </si>
  <si>
    <t>Aurelien TURPIN28/03/2004</t>
  </si>
  <si>
    <t>314.3093288905956</t>
  </si>
  <si>
    <t>305.64523538719106</t>
  </si>
  <si>
    <t>262.79777248244466</t>
  </si>
  <si>
    <t>CROSSFIT EPSILON</t>
  </si>
  <si>
    <t>165.12283018721328</t>
  </si>
  <si>
    <t>196.10466816045349</t>
  </si>
  <si>
    <t>87.45</t>
  </si>
  <si>
    <t>Axelle VAN OVERBEKE</t>
  </si>
  <si>
    <t>Axelle VAN OVERBEKE16/09/2003</t>
  </si>
  <si>
    <t>200.25976185918063</t>
  </si>
  <si>
    <t>HDF - Critérium National - La ferte milon - U17 / U20 / Seniors Femmessam 14 Déc 2024</t>
  </si>
  <si>
    <t>72.48</t>
  </si>
  <si>
    <t>197.76253872657546</t>
  </si>
  <si>
    <t>387.0322076918869</t>
  </si>
  <si>
    <t>Critérium National - La ferte milon - U17 / U20 / Seniors Femmes</t>
  </si>
  <si>
    <t>Axelle ZHENG</t>
  </si>
  <si>
    <t>Axelle ZHENG25/12/2002</t>
  </si>
  <si>
    <t>90.26247838622095</t>
  </si>
  <si>
    <t>160.82350350167505</t>
  </si>
  <si>
    <t>Ayah TATI</t>
  </si>
  <si>
    <t>Ayah TATI26/05/2006</t>
  </si>
  <si>
    <t>138.46536467574225</t>
  </si>
  <si>
    <t>IDF - Critérium National - Franconville - Jeunes Femmesdim 15 Déc 2024</t>
  </si>
  <si>
    <t>264.2380709228748</t>
  </si>
  <si>
    <t>Critérium National - Franconville - Jeunes Femmes</t>
  </si>
  <si>
    <t>MA</t>
  </si>
  <si>
    <t>Aymeric GEIGER</t>
  </si>
  <si>
    <t>Aymeric GEIGER26/11/2009</t>
  </si>
  <si>
    <t>295.76835999937833</t>
  </si>
  <si>
    <t>546.175177673945</t>
  </si>
  <si>
    <t>70.14</t>
  </si>
  <si>
    <t>579.0978637371006</t>
  </si>
  <si>
    <t>Ayoub BEKKAR</t>
  </si>
  <si>
    <t>Ayoub BEKKAR10/11/2001</t>
  </si>
  <si>
    <t>323.4303929357133</t>
  </si>
  <si>
    <t>293.97147431566026</t>
  </si>
  <si>
    <t>305.7803457884987</t>
  </si>
  <si>
    <t>HCC NOVAIS</t>
  </si>
  <si>
    <t>Baptiste PATRY</t>
  </si>
  <si>
    <t>Baptiste PATRY04/02/2007</t>
  </si>
  <si>
    <t>287.73903310244015</t>
  </si>
  <si>
    <t>PDL - Critérium National - Laval - U15 au U20 Hdim 15 Déc 2024</t>
  </si>
  <si>
    <t>83.19</t>
  </si>
  <si>
    <t>565.4697520100128</t>
  </si>
  <si>
    <t>Critérium National - Laval - U15 au U20 H</t>
  </si>
  <si>
    <t>Barbara GLASSIER</t>
  </si>
  <si>
    <t>Barbara GLASSIER24/07/2010</t>
  </si>
  <si>
    <t>U15 F &gt;81</t>
  </si>
  <si>
    <t>109.85152871695367</t>
  </si>
  <si>
    <t>124.79</t>
  </si>
  <si>
    <t>103.53043728695496</t>
  </si>
  <si>
    <t>201.9858531382749</t>
  </si>
  <si>
    <t>Bastien HAVET</t>
  </si>
  <si>
    <t>Bastien HAVET27/04/2002</t>
  </si>
  <si>
    <t>359.70885164515005</t>
  </si>
  <si>
    <t>OCC - Critérium National - Hc montalbanais - Plateau 4sam 14 Déc 2024</t>
  </si>
  <si>
    <t>705.2186696727283</t>
  </si>
  <si>
    <t>Critérium National - Hc montalbanais - Plateau 4</t>
  </si>
  <si>
    <t>256.2477860506761</t>
  </si>
  <si>
    <t>HC PELISSANNAIS</t>
  </si>
  <si>
    <t>87.25</t>
  </si>
  <si>
    <t>Benjamin FERRE</t>
  </si>
  <si>
    <t>Benjamin FERRE22/07/2000</t>
  </si>
  <si>
    <t>398.12142012244317</t>
  </si>
  <si>
    <t>105.2</t>
  </si>
  <si>
    <t>106.8</t>
  </si>
  <si>
    <t>101.5</t>
  </si>
  <si>
    <t>106.4</t>
  </si>
  <si>
    <t>101.9</t>
  </si>
  <si>
    <t>393.031890408513</t>
  </si>
  <si>
    <t>770.5201467330735</t>
  </si>
  <si>
    <t>90.7</t>
  </si>
  <si>
    <t>106.6</t>
  </si>
  <si>
    <t>Benjamin PEDRAK</t>
  </si>
  <si>
    <t>Benjamin PEDRAK25/11/1998</t>
  </si>
  <si>
    <t>360.50215406568446</t>
  </si>
  <si>
    <t>317.6916001020713</t>
  </si>
  <si>
    <t>332.6611755002434</t>
  </si>
  <si>
    <t>296.0639379358287</t>
  </si>
  <si>
    <t>Benjamin RENARD</t>
  </si>
  <si>
    <t>Benjamin RENARD11/01/2005</t>
  </si>
  <si>
    <t>291.83317617815777</t>
  </si>
  <si>
    <t>574.9549142614452</t>
  </si>
  <si>
    <t>Benoit ABADIE</t>
  </si>
  <si>
    <t>Benoit ABADIE01/09/1999</t>
  </si>
  <si>
    <t>293.1165395367985</t>
  </si>
  <si>
    <t>NEO WEIGHTLIFTING CLUB</t>
  </si>
  <si>
    <t>570.9910190176835</t>
  </si>
  <si>
    <t>265.4503640058667</t>
  </si>
  <si>
    <t>37.5</t>
  </si>
  <si>
    <t>147.943030461582</t>
  </si>
  <si>
    <t>181.01855653867867</t>
  </si>
  <si>
    <t>363.9617259168756</t>
  </si>
  <si>
    <t>Bertille MIZSER</t>
  </si>
  <si>
    <t>Bertille MIZSER15/07/1999</t>
  </si>
  <si>
    <t>219.9098509231595</t>
  </si>
  <si>
    <t>214.15304854297207</t>
  </si>
  <si>
    <t>416.7924923255693</t>
  </si>
  <si>
    <t>Bibi-fatima YSSOUFI</t>
  </si>
  <si>
    <t>Bibi-fatima YSSOUFI03/10/2002</t>
  </si>
  <si>
    <t>193.4020659801676</t>
  </si>
  <si>
    <t>BFC - Critérium National - Besançon - BFC-Critérium U17-20 SEN Fsam 14 Déc 2024</t>
  </si>
  <si>
    <t>165.09932461721624</t>
  </si>
  <si>
    <t>Critérium National - Besançon - BFC-Critérium U17-20 SEN F</t>
  </si>
  <si>
    <t>U20 F &gt;87</t>
  </si>
  <si>
    <t>153.14108066698134</t>
  </si>
  <si>
    <t>185.8600800675468</t>
  </si>
  <si>
    <t>Bobbi lee SCIASCIA</t>
  </si>
  <si>
    <t>Bobbi lee SCIASCIA05/04/1984</t>
  </si>
  <si>
    <t>174.2369608886492</t>
  </si>
  <si>
    <t>341.9725426396622</t>
  </si>
  <si>
    <t>41.6</t>
  </si>
  <si>
    <t>88.22695188601566</t>
  </si>
  <si>
    <t>Brahim DJALAB</t>
  </si>
  <si>
    <t>Brahim DJALAB01/01/2001</t>
  </si>
  <si>
    <t>295.81320036607735</t>
  </si>
  <si>
    <t>CVL - Critérium National - Orleans - Hommessam 14 Déc 2024</t>
  </si>
  <si>
    <t>135.6746304918874</t>
  </si>
  <si>
    <t>Critérium National - Orleans - Hommes</t>
  </si>
  <si>
    <t>289.78257569010333</t>
  </si>
  <si>
    <t>284.84624358256053</t>
  </si>
  <si>
    <t>Brandon VAUTARD</t>
  </si>
  <si>
    <t>Brandon VAUTARD09/09/1996</t>
  </si>
  <si>
    <t>411.3154404602152</t>
  </si>
  <si>
    <t>356.79293025406497</t>
  </si>
  <si>
    <t>697.8284440300324</t>
  </si>
  <si>
    <t>363.36281583430167</t>
  </si>
  <si>
    <t>100.2</t>
  </si>
  <si>
    <t>Briac THOMAS</t>
  </si>
  <si>
    <t>Briac THOMAS23/09/2012</t>
  </si>
  <si>
    <t>171.58063669858592</t>
  </si>
  <si>
    <t>GE - Critérium National - Haguenau - ALS - U13sam 14 Déc 2024</t>
  </si>
  <si>
    <t>40.72</t>
  </si>
  <si>
    <t>334.58224156224253</t>
  </si>
  <si>
    <t>Critérium National - Haguenau - ALS - U13</t>
  </si>
  <si>
    <t>Brice KHOON-YAM</t>
  </si>
  <si>
    <t>Brice KHOON-YAM01/02/1996</t>
  </si>
  <si>
    <t>300.2903948353921</t>
  </si>
  <si>
    <t>585.9324777275942</t>
  </si>
  <si>
    <t>57.38</t>
  </si>
  <si>
    <t>144.73166908379446</t>
  </si>
  <si>
    <t>133.73490867722518</t>
  </si>
  <si>
    <t>201.5427532667211</t>
  </si>
  <si>
    <t>55.55</t>
  </si>
  <si>
    <t>Calie PERROUAULT</t>
  </si>
  <si>
    <t>Calie PERROUAULT20/10/2010</t>
  </si>
  <si>
    <t>108.88801422289677</t>
  </si>
  <si>
    <t>210.88438197598995</t>
  </si>
  <si>
    <t>Calista CHAIX</t>
  </si>
  <si>
    <t>Calista CHAIX31/12/2002</t>
  </si>
  <si>
    <t>185.87370722872757</t>
  </si>
  <si>
    <t>PACA - Critérium National - Mondragon - Provence U15 - U17 - U20 - SEN F 45 à F55sam 14 Déc 2024</t>
  </si>
  <si>
    <t>363.6659489257713</t>
  </si>
  <si>
    <t>Critérium National - Mondragon - Provence U15 - U17 - U20 - SEN F 45 à F55</t>
  </si>
  <si>
    <t>Caly VENTUROLI</t>
  </si>
  <si>
    <t>Caly VENTUROLI30/07/2014</t>
  </si>
  <si>
    <t>52.40627392961733</t>
  </si>
  <si>
    <t>47.94413213030209</t>
  </si>
  <si>
    <t>90.40893487428394</t>
  </si>
  <si>
    <t>Camellia GONERA</t>
  </si>
  <si>
    <t>Camellia GONERA27/01/2012</t>
  </si>
  <si>
    <t>HDF - Critérium National - La Ferté Milon - U13sam 14 Déc 2024</t>
  </si>
  <si>
    <t>61.04</t>
  </si>
  <si>
    <t>40.161643032367394</t>
  </si>
  <si>
    <t>74.9684003270858</t>
  </si>
  <si>
    <t>Critérium National - La Ferté Milon - U13</t>
  </si>
  <si>
    <t>Camille BINETRUY</t>
  </si>
  <si>
    <t>Camille BINETRUY01/06/2003</t>
  </si>
  <si>
    <t>215.74829779495872</t>
  </si>
  <si>
    <t>193.29579753082388</t>
  </si>
  <si>
    <t>58.99</t>
  </si>
  <si>
    <t>212.11164877003233</t>
  </si>
  <si>
    <t>179.24865784832875</t>
  </si>
  <si>
    <t>114.80727560424499</t>
  </si>
  <si>
    <t>227.9009543245147</t>
  </si>
  <si>
    <t>118.61043515850477</t>
  </si>
  <si>
    <t>Camille BOYER</t>
  </si>
  <si>
    <t>Camille BOYER26/07/2010</t>
  </si>
  <si>
    <t>129.26227488090768</t>
  </si>
  <si>
    <t>148.41224152993107</t>
  </si>
  <si>
    <t>130.42239207513632</t>
  </si>
  <si>
    <t>Camille BRAILLY</t>
  </si>
  <si>
    <t>Camille BRAILLY01/03/2010</t>
  </si>
  <si>
    <t>139.7052555153142</t>
  </si>
  <si>
    <t>HDF - Critérium National - La ferte milon - U15 Femmessam 14 Déc 2024</t>
  </si>
  <si>
    <t>54.72</t>
  </si>
  <si>
    <t>272.2092091999421</t>
  </si>
  <si>
    <t>Critérium National - La ferte milon - U15 Femmes</t>
  </si>
  <si>
    <t>Camille CHABRE</t>
  </si>
  <si>
    <t>Camille CHABRE12/02/2001</t>
  </si>
  <si>
    <t>169.59227498202557</t>
  </si>
  <si>
    <t>147.5314912445263</t>
  </si>
  <si>
    <t>Camille CHOURRET</t>
  </si>
  <si>
    <t>Camille CHOURRET23/06/2012</t>
  </si>
  <si>
    <t>113.54704313712324</t>
  </si>
  <si>
    <t>CVL - Critérium National - Orleans - Minimessam 14 Déc 2024</t>
  </si>
  <si>
    <t>219.76847058798046</t>
  </si>
  <si>
    <t>Critérium National - Orleans - Minimes</t>
  </si>
  <si>
    <t>Camille FAUCHER</t>
  </si>
  <si>
    <t>Camille FAUCHER13/02/2001</t>
  </si>
  <si>
    <t>350.77618001522245</t>
  </si>
  <si>
    <t>IDF - Critérium National - Neuilly - Seniors Hommes 3ème plateausam 14 Déc 2024</t>
  </si>
  <si>
    <t>318.3968403215096</t>
  </si>
  <si>
    <t>Critérium National - Neuilly - Seniors Hommes 3ème plateau</t>
  </si>
  <si>
    <t>285.164325086858</t>
  </si>
  <si>
    <t>Camille FERRANDIN</t>
  </si>
  <si>
    <t>Camille FERRANDIN20/02/2012</t>
  </si>
  <si>
    <t>82.95410503576345</t>
  </si>
  <si>
    <t>81.01654400093167</t>
  </si>
  <si>
    <t>36.41</t>
  </si>
  <si>
    <t>41.42</t>
  </si>
  <si>
    <t>154.83161742400276</t>
  </si>
  <si>
    <t>Camille GARNIER (2006)</t>
  </si>
  <si>
    <t>Camille GARNIER03/04/2006</t>
  </si>
  <si>
    <t>167.40736046232237</t>
  </si>
  <si>
    <t>157.5052885787684</t>
  </si>
  <si>
    <t>160.21777276856523</t>
  </si>
  <si>
    <t>Camille GIORDANO</t>
  </si>
  <si>
    <t>Camille GIORDANO30/08/1996</t>
  </si>
  <si>
    <t>175.68743893671072</t>
  </si>
  <si>
    <t>174.23547663144865</t>
  </si>
  <si>
    <t>198.91883582090387</t>
  </si>
  <si>
    <t>193.1562067745733</t>
  </si>
  <si>
    <t>Camille JOUNIAUX</t>
  </si>
  <si>
    <t>Camille JOUNIAUX06/01/1997</t>
  </si>
  <si>
    <t>255.4461882194451</t>
  </si>
  <si>
    <t>243.9654606590206</t>
  </si>
  <si>
    <t>237.09329695384895</t>
  </si>
  <si>
    <t>235.22917552290923</t>
  </si>
  <si>
    <t>54.25</t>
  </si>
  <si>
    <t>247.9061969582756</t>
  </si>
  <si>
    <t>Camille MOUNIER</t>
  </si>
  <si>
    <t>Camille MOUNIER15/07/1993</t>
  </si>
  <si>
    <t>218.78250147308037</t>
  </si>
  <si>
    <t>427.933068919044</t>
  </si>
  <si>
    <t>58.93</t>
  </si>
  <si>
    <t>220.540125075655</t>
  </si>
  <si>
    <t>Camille PEREIRA</t>
  </si>
  <si>
    <t>Camille PEREIRA16/01/1993</t>
  </si>
  <si>
    <t>189.42063754415028</t>
  </si>
  <si>
    <t>188.1147199591273</t>
  </si>
  <si>
    <t>62.35</t>
  </si>
  <si>
    <t>Camille PILARDEAU</t>
  </si>
  <si>
    <t>Camille PILARDEAU01/04/1994</t>
  </si>
  <si>
    <t>190.32174876076743</t>
  </si>
  <si>
    <t>77.06</t>
  </si>
  <si>
    <t>178.92736279097127</t>
  </si>
  <si>
    <t>347.26034225879295</t>
  </si>
  <si>
    <t>Camille TABARIES</t>
  </si>
  <si>
    <t>Camille TABARIES06/03/2000</t>
  </si>
  <si>
    <t>205.5210688561596</t>
  </si>
  <si>
    <t>395.5983579716829</t>
  </si>
  <si>
    <t>214.47702400683602</t>
  </si>
  <si>
    <t>Cammille BORSANI</t>
  </si>
  <si>
    <t>Cammille BORSANI11/02/2010</t>
  </si>
  <si>
    <t>112.24746195530926</t>
  </si>
  <si>
    <t>Capucine NOIRON</t>
  </si>
  <si>
    <t>Capucine NOIRON09/09/1998</t>
  </si>
  <si>
    <t>227.73917623600363</t>
  </si>
  <si>
    <t>221.6662791712157</t>
  </si>
  <si>
    <t>431.01776505514164</t>
  </si>
  <si>
    <t>206.19361695875503</t>
  </si>
  <si>
    <t>404.08413524803</t>
  </si>
  <si>
    <t>Capucine VAGLIO</t>
  </si>
  <si>
    <t>Capucine VAGLIO01/10/2013</t>
  </si>
  <si>
    <t>89.0177077168304</t>
  </si>
  <si>
    <t>30.96</t>
  </si>
  <si>
    <t>170.8177634566205</t>
  </si>
  <si>
    <t>U17 F 81</t>
  </si>
  <si>
    <t>Carla DALIA</t>
  </si>
  <si>
    <t>Carla DALIA18/04/2003</t>
  </si>
  <si>
    <t>195.6418830417655</t>
  </si>
  <si>
    <t>184.74826687348147</t>
  </si>
  <si>
    <t>359.3579093453694</t>
  </si>
  <si>
    <t>181.73542432730608</t>
  </si>
  <si>
    <t>53.95</t>
  </si>
  <si>
    <t>Carla LUCAS</t>
  </si>
  <si>
    <t>Carla LUCAS09/02/2001</t>
  </si>
  <si>
    <t>188.4137202214336</t>
  </si>
  <si>
    <t>57.27</t>
  </si>
  <si>
    <t>174.45714835317926</t>
  </si>
  <si>
    <t>Carla MATEOS</t>
  </si>
  <si>
    <t>Carla MATEOS10/08/2006</t>
  </si>
  <si>
    <t>205.41770986146406</t>
  </si>
  <si>
    <t>197.43785033505583</t>
  </si>
  <si>
    <t>357.1290053314031</t>
  </si>
  <si>
    <t>Carla MURER</t>
  </si>
  <si>
    <t>Carla MURER02/11/2004</t>
  </si>
  <si>
    <t>203.75873408976736</t>
  </si>
  <si>
    <t>199.10281161440827</t>
  </si>
  <si>
    <t>BREST HALTEROPHILIE 29</t>
  </si>
  <si>
    <t>Caroline BIGNON</t>
  </si>
  <si>
    <t>Caroline BIGNON27/11/1990</t>
  </si>
  <si>
    <t>170.2147119647603</t>
  </si>
  <si>
    <t>163.6407751109655</t>
  </si>
  <si>
    <t>178.1222596340598</t>
  </si>
  <si>
    <t>Caroline CORNIL</t>
  </si>
  <si>
    <t>Caroline CORNIL29/02/1988</t>
  </si>
  <si>
    <t>190.0566467470969</t>
  </si>
  <si>
    <t>371.36068476241957</t>
  </si>
  <si>
    <t>Caroline GROSJEAN</t>
  </si>
  <si>
    <t>Caroline GROSJEAN13/03/1995</t>
  </si>
  <si>
    <t>186.2184900248914</t>
  </si>
  <si>
    <t>69.74</t>
  </si>
  <si>
    <t>183.2494338496889</t>
  </si>
  <si>
    <t>354.1171491960204</t>
  </si>
  <si>
    <t>58.55</t>
  </si>
  <si>
    <t>60.58</t>
  </si>
  <si>
    <t>Cassandre CHASSIGNOLE</t>
  </si>
  <si>
    <t>Cassandre CHASSIGNOLE23/12/1996</t>
  </si>
  <si>
    <t>194.0952101160265</t>
  </si>
  <si>
    <t>192.48235202758292</t>
  </si>
  <si>
    <t>377.74661585413145</t>
  </si>
  <si>
    <t>Caterina SPERONI</t>
  </si>
  <si>
    <t>Caterina SPERONI27/11/2010</t>
  </si>
  <si>
    <t>159.2321718572853</t>
  </si>
  <si>
    <t>50.35</t>
  </si>
  <si>
    <t>307.7467936857148</t>
  </si>
  <si>
    <t>Cathie LEROY</t>
  </si>
  <si>
    <t>Cathie LEROY10/07/2008</t>
  </si>
  <si>
    <t>131.1413026914562</t>
  </si>
  <si>
    <t>251.7310063157837</t>
  </si>
  <si>
    <t>Cecile PENE</t>
  </si>
  <si>
    <t>Cecile PENE18/08/1983</t>
  </si>
  <si>
    <t>171.4800978486099</t>
  </si>
  <si>
    <t>338.7086230232873</t>
  </si>
  <si>
    <t>Celeste SIKORA</t>
  </si>
  <si>
    <t>Celeste SIKORA26/05/2009</t>
  </si>
  <si>
    <t>168.34050542232373</t>
  </si>
  <si>
    <t>167.418611111683</t>
  </si>
  <si>
    <t>327.5581521750319</t>
  </si>
  <si>
    <t>222.90536953951136</t>
  </si>
  <si>
    <t>Celia CHAPELLE</t>
  </si>
  <si>
    <t>Celia CHAPELLE20/06/1991</t>
  </si>
  <si>
    <t>202.50993405765385</t>
  </si>
  <si>
    <t>Celia CONSOLO</t>
  </si>
  <si>
    <t>Celia CONSOLO01/04/1994</t>
  </si>
  <si>
    <t>181.75950330293387</t>
  </si>
  <si>
    <t>172.10441216493055</t>
  </si>
  <si>
    <t>Celia MAHIEUX</t>
  </si>
  <si>
    <t>Celia MAHIEUX17/12/1996</t>
  </si>
  <si>
    <t>214.26983118473373</t>
  </si>
  <si>
    <t>201.14074532458667</t>
  </si>
  <si>
    <t>203.4482660050821</t>
  </si>
  <si>
    <t>205.38206757605485</t>
  </si>
  <si>
    <t>192.26624206577742</t>
  </si>
  <si>
    <t>279.82357059389716</t>
  </si>
  <si>
    <t>194.27115634113528</t>
  </si>
  <si>
    <t>37.7</t>
  </si>
  <si>
    <t>SEN M 55</t>
  </si>
  <si>
    <t>54.37</t>
  </si>
  <si>
    <t>306.48732596074575</t>
  </si>
  <si>
    <t>341.1895104376531</t>
  </si>
  <si>
    <t>AS MONACO SECTION HALTEROPHILIE</t>
  </si>
  <si>
    <t>179.43806419875813</t>
  </si>
  <si>
    <t>244.15369469286014</t>
  </si>
  <si>
    <t>202.29877560265555</t>
  </si>
  <si>
    <t>210.34516629349508</t>
  </si>
  <si>
    <t>412.38723391751006</t>
  </si>
  <si>
    <t>72.27</t>
  </si>
  <si>
    <t>Charline LEON</t>
  </si>
  <si>
    <t>Charline LEON23/04/2010</t>
  </si>
  <si>
    <t>150.51414017798598</t>
  </si>
  <si>
    <t>53.52</t>
  </si>
  <si>
    <t>Charline RECH</t>
  </si>
  <si>
    <t>Charline RECH03/12/1999</t>
  </si>
  <si>
    <t>214.37560247987497</t>
  </si>
  <si>
    <t>183.21635793338152</t>
  </si>
  <si>
    <t>230.443131165095</t>
  </si>
  <si>
    <t>180.5496693329468</t>
  </si>
  <si>
    <t>Charlotte PETIT</t>
  </si>
  <si>
    <t>Charlotte PETIT22/06/1997</t>
  </si>
  <si>
    <t>359.92288725177565</t>
  </si>
  <si>
    <t>63.44</t>
  </si>
  <si>
    <t>188.82287428670222</t>
  </si>
  <si>
    <t>Charlotte THIERRY</t>
  </si>
  <si>
    <t>Charlotte THIERRY06/08/2003</t>
  </si>
  <si>
    <t>223.48509567382868</t>
  </si>
  <si>
    <t>48.16</t>
  </si>
  <si>
    <t>194.95508346014844</t>
  </si>
  <si>
    <t>Cheyenne THIRY</t>
  </si>
  <si>
    <t>Cheyenne THIRY07/11/2012</t>
  </si>
  <si>
    <t>86.07832254320216</t>
  </si>
  <si>
    <t>70.64</t>
  </si>
  <si>
    <t>167.23788379822133</t>
  </si>
  <si>
    <t>Chloe CAZEAU</t>
  </si>
  <si>
    <t>Chloe CAZEAU14/02/1997</t>
  </si>
  <si>
    <t>184.50014760897173</t>
  </si>
  <si>
    <t>359.61893178019915</t>
  </si>
  <si>
    <t>Chloe FONTENELLE</t>
  </si>
  <si>
    <t>Chloe FONTENELLE10/09/2011</t>
  </si>
  <si>
    <t>141.3606014527335</t>
  </si>
  <si>
    <t>212.39345986785324</t>
  </si>
  <si>
    <t>58.49</t>
  </si>
  <si>
    <t>73.72</t>
  </si>
  <si>
    <t>137.12497471117373</t>
  </si>
  <si>
    <t>158.77628650767485</t>
  </si>
  <si>
    <t>255.09316273301798</t>
  </si>
  <si>
    <t>Chloé BAISSE</t>
  </si>
  <si>
    <t>Chloé BAISSE23/02/1997</t>
  </si>
  <si>
    <t>164.57742827565215</t>
  </si>
  <si>
    <t>76.15314797396911</t>
  </si>
  <si>
    <t>148.49863854923979</t>
  </si>
  <si>
    <t>Chloé BLANCHARD</t>
  </si>
  <si>
    <t>Chloé BLANCHARD22/08/2005</t>
  </si>
  <si>
    <t>177.0782985809221</t>
  </si>
  <si>
    <t>169.2119010361082</t>
  </si>
  <si>
    <t>343.7402266570841</t>
  </si>
  <si>
    <t>315.5850835980548</t>
  </si>
  <si>
    <t>184.67932521095378</t>
  </si>
  <si>
    <t>Chloé GRANDMONTAGNE</t>
  </si>
  <si>
    <t>Chloé GRANDMONTAGNE11/03/2009</t>
  </si>
  <si>
    <t>133.29334159033044</t>
  </si>
  <si>
    <t>47.55</t>
  </si>
  <si>
    <t>132.89989384511603</t>
  </si>
  <si>
    <t>137.70350446602382</t>
  </si>
  <si>
    <t>42.1</t>
  </si>
  <si>
    <t>Chloé PROUVOST</t>
  </si>
  <si>
    <t>Chloé PROUVOST15/09/1996</t>
  </si>
  <si>
    <t>351.0744734323529</t>
  </si>
  <si>
    <t>Christelle EL DEBS</t>
  </si>
  <si>
    <t>Christelle EL DEBS08/11/1984</t>
  </si>
  <si>
    <t>234.48130598854118</t>
  </si>
  <si>
    <t>224.65305504111353</t>
  </si>
  <si>
    <t>436.46879265130633</t>
  </si>
  <si>
    <t>324.89074721309595</t>
  </si>
  <si>
    <t>317.3148648063588</t>
  </si>
  <si>
    <t>CM</t>
  </si>
  <si>
    <t>CROSSFIT FREJUS</t>
  </si>
  <si>
    <t>Christophe NAJOS</t>
  </si>
  <si>
    <t>Christophe NAJOS10/03/1994</t>
  </si>
  <si>
    <t>264.73518971835847</t>
  </si>
  <si>
    <t>256.9241423478822</t>
  </si>
  <si>
    <t>121.5</t>
  </si>
  <si>
    <t>283.6870738424533</t>
  </si>
  <si>
    <t>76.55</t>
  </si>
  <si>
    <t>186.56182285689812</t>
  </si>
  <si>
    <t>Claire JAUNEAU</t>
  </si>
  <si>
    <t>Claire JAUNEAU30/06/1992</t>
  </si>
  <si>
    <t>437.9842665517664</t>
  </si>
  <si>
    <t>Clara AUTILLO</t>
  </si>
  <si>
    <t>Clara AUTILLO08/12/1993</t>
  </si>
  <si>
    <t>234.5050012587036</t>
  </si>
  <si>
    <t>227.13952063223337</t>
  </si>
  <si>
    <t>203.87824442290827</t>
  </si>
  <si>
    <t>229.5768831800485</t>
  </si>
  <si>
    <t>Clara BIANCHI</t>
  </si>
  <si>
    <t>Clara BIANCHI11/05/2005</t>
  </si>
  <si>
    <t>180.18858435327556</t>
  </si>
  <si>
    <t>173.38060147457153</t>
  </si>
  <si>
    <t>147.02675005043668</t>
  </si>
  <si>
    <t>173.54139666228335</t>
  </si>
  <si>
    <t>57.72</t>
  </si>
  <si>
    <t>Clara GIRARD</t>
  </si>
  <si>
    <t>Clara GIRARD06/03/2001</t>
  </si>
  <si>
    <t>191.43869375890546</t>
  </si>
  <si>
    <t>79.51949792839925</t>
  </si>
  <si>
    <t>154.5590241425225</t>
  </si>
  <si>
    <t>179.73550030644785</t>
  </si>
  <si>
    <t>Clara GODELLE</t>
  </si>
  <si>
    <t>Clara GODELLE15/03/2010</t>
  </si>
  <si>
    <t>Clara GUCCIARDI</t>
  </si>
  <si>
    <t>Clara GUCCIARDI01/12/2010</t>
  </si>
  <si>
    <t>125.4122451614362</t>
  </si>
  <si>
    <t>124.61811791980799</t>
  </si>
  <si>
    <t>50.55</t>
  </si>
  <si>
    <t>240.92836131162878</t>
  </si>
  <si>
    <t>Clara VAN STRAATEN</t>
  </si>
  <si>
    <t>Clara VAN STRAATEN28/03/2007</t>
  </si>
  <si>
    <t>202.27061456945165</t>
  </si>
  <si>
    <t>396.28528568708896</t>
  </si>
  <si>
    <t>187.13357244408087</t>
  </si>
  <si>
    <t>218.4463390245751</t>
  </si>
  <si>
    <t>Clarisse GOMIS</t>
  </si>
  <si>
    <t>Clarisse GOMIS30/06/1988</t>
  </si>
  <si>
    <t>229.64756634815436</t>
  </si>
  <si>
    <t>216.45591243788115</t>
  </si>
  <si>
    <t>Clarisse LETELIER ALEGRE</t>
  </si>
  <si>
    <t>Clarisse LETELIER ALEGRE07/10/2000</t>
  </si>
  <si>
    <t>179.76919088571236</t>
  </si>
  <si>
    <t>Clarisse TISSOT</t>
  </si>
  <si>
    <t>Clarisse TISSOT21/10/2003</t>
  </si>
  <si>
    <t>198.07630943828113</t>
  </si>
  <si>
    <t>75.79</t>
  </si>
  <si>
    <t>193.40592246794466</t>
  </si>
  <si>
    <t>210.0174740909583</t>
  </si>
  <si>
    <t>Clarys BOUCHEZ</t>
  </si>
  <si>
    <t>Clarys BOUCHEZ07/10/2011</t>
  </si>
  <si>
    <t>109.73475713608379</t>
  </si>
  <si>
    <t>126.61702746471207</t>
  </si>
  <si>
    <t>Clea MARTINEZ</t>
  </si>
  <si>
    <t>Clea MARTINEZ25/03/2011</t>
  </si>
  <si>
    <t>112.17893233158281</t>
  </si>
  <si>
    <t>200.77779889187238</t>
  </si>
  <si>
    <t>97.1694446777304</t>
  </si>
  <si>
    <t>108.42595294666985</t>
  </si>
  <si>
    <t>208.0606124111773</t>
  </si>
  <si>
    <t>111.44706538263954</t>
  </si>
  <si>
    <t>Clemence BARROCHE</t>
  </si>
  <si>
    <t>Clemence BARROCHE12/09/2001</t>
  </si>
  <si>
    <t>180.91479202489504</t>
  </si>
  <si>
    <t>323.2804337928941</t>
  </si>
  <si>
    <t>173.27090677397132</t>
  </si>
  <si>
    <t>200.13461325055601</t>
  </si>
  <si>
    <t>174.3542290189427</t>
  </si>
  <si>
    <t>83.62533071121395</t>
  </si>
  <si>
    <t>159.3680511356776</t>
  </si>
  <si>
    <t>Clemence ZOGHLAMI</t>
  </si>
  <si>
    <t>Clemence ZOGHLAMI17/06/2007</t>
  </si>
  <si>
    <t>154.117160846333</t>
  </si>
  <si>
    <t>300.52846365034935</t>
  </si>
  <si>
    <t>Clementine MORAND</t>
  </si>
  <si>
    <t>Clementine MORAND08/10/2011</t>
  </si>
  <si>
    <t>100.8363116409517</t>
  </si>
  <si>
    <t>38.98</t>
  </si>
  <si>
    <t>97.07786165267888</t>
  </si>
  <si>
    <t>Clementine ROUSSEAU</t>
  </si>
  <si>
    <t>Clementine ROUSSEAU11/01/2005</t>
  </si>
  <si>
    <t>219.24630809457287</t>
  </si>
  <si>
    <t>211.05287779455614</t>
  </si>
  <si>
    <t>54.97</t>
  </si>
  <si>
    <t>208.16800938629473</t>
  </si>
  <si>
    <t>185.19774628160013</t>
  </si>
  <si>
    <t>214.377650518924</t>
  </si>
  <si>
    <t>208.08818703269407</t>
  </si>
  <si>
    <t>200.91273230742874</t>
  </si>
  <si>
    <t>222.4390964832247</t>
  </si>
  <si>
    <t>188.9671802320644</t>
  </si>
  <si>
    <t>Clement BARILLOT</t>
  </si>
  <si>
    <t>Clement BARILLOT21/11/2004</t>
  </si>
  <si>
    <t>472.53697769960246</t>
  </si>
  <si>
    <t>Clement BOADA</t>
  </si>
  <si>
    <t>Clement BOADA15/12/1997</t>
  </si>
  <si>
    <t>309.3903429079886</t>
  </si>
  <si>
    <t>281.8889790939452</t>
  </si>
  <si>
    <t>Clement CADIEU</t>
  </si>
  <si>
    <t>Clement CADIEU21/09/2002</t>
  </si>
  <si>
    <t>309.5925259747279</t>
  </si>
  <si>
    <t>PDL - Critérium National - Laval - SENIORS hsam 14 Déc 2024</t>
  </si>
  <si>
    <t>612.8344360320255</t>
  </si>
  <si>
    <t>Critérium National - Laval - SENIORS h</t>
  </si>
  <si>
    <t>Clement CORDEIRO</t>
  </si>
  <si>
    <t>Clement CORDEIRO04/11/2013</t>
  </si>
  <si>
    <t>88.00131419415723</t>
  </si>
  <si>
    <t>85.32911738343954</t>
  </si>
  <si>
    <t>166.94827314151215</t>
  </si>
  <si>
    <t>Clement MOREL</t>
  </si>
  <si>
    <t>Clement MOREL09/12/2013</t>
  </si>
  <si>
    <t>78.62295006447172</t>
  </si>
  <si>
    <t>150.09835921399147</t>
  </si>
  <si>
    <t>Clodyne YU HING</t>
  </si>
  <si>
    <t>Clodyne YU HING19/06/1972</t>
  </si>
  <si>
    <t>147.76980421294184</t>
  </si>
  <si>
    <t>161.02135301265747</t>
  </si>
  <si>
    <t>135.01367127166452</t>
  </si>
  <si>
    <t>Cloé DOMAS</t>
  </si>
  <si>
    <t>Cloé DOMAS10/11/2000</t>
  </si>
  <si>
    <t>193.42918006203695</t>
  </si>
  <si>
    <t>377.8316650545122</t>
  </si>
  <si>
    <t>95.66538930582465</t>
  </si>
  <si>
    <t>Cléa BILLON</t>
  </si>
  <si>
    <t>Cléa BILLON03/07/2014</t>
  </si>
  <si>
    <t>37.64184148053511</t>
  </si>
  <si>
    <t>33.46</t>
  </si>
  <si>
    <t>70.85523102218374</t>
  </si>
  <si>
    <t>Cléa BRICOUT</t>
  </si>
  <si>
    <t>Cléa BRICOUT02/04/2010</t>
  </si>
  <si>
    <t>104.51436858885664</t>
  </si>
  <si>
    <t>193.73896895453493</t>
  </si>
  <si>
    <t>138.3579418887205</t>
  </si>
  <si>
    <t>Clément MARIN</t>
  </si>
  <si>
    <t>Clément MARIN04/07/2002</t>
  </si>
  <si>
    <t>293.89841784623286</t>
  </si>
  <si>
    <t>291.440827710849</t>
  </si>
  <si>
    <t>Clément ROSS</t>
  </si>
  <si>
    <t>Clément ROSS02/09/2009</t>
  </si>
  <si>
    <t>238.66679076019494</t>
  </si>
  <si>
    <t>463.8875651395338</t>
  </si>
  <si>
    <t>Coline GAUTRAT</t>
  </si>
  <si>
    <t>Coline GAUTRAT07/01/2007</t>
  </si>
  <si>
    <t>150.28784290922798</t>
  </si>
  <si>
    <t>291.8088949820843</t>
  </si>
  <si>
    <t>Constance TORNEY</t>
  </si>
  <si>
    <t>Constance TORNEY14/07/2001</t>
  </si>
  <si>
    <t>160.0923127347669</t>
  </si>
  <si>
    <t>378.3074894531839</t>
  </si>
  <si>
    <t>Constant CAUPENNE GRZESIAK</t>
  </si>
  <si>
    <t>Constant CAUPENNE GRZESIAK17/08/2015</t>
  </si>
  <si>
    <t>132.12037686531042</t>
  </si>
  <si>
    <t>IDF - Critérium National - Franconville - Minimesdim 15 Déc 2024</t>
  </si>
  <si>
    <t>124.57813708628336</t>
  </si>
  <si>
    <t>235.31425894075747</t>
  </si>
  <si>
    <t>Critérium National - Franconville - Minimes</t>
  </si>
  <si>
    <t>Coralie AUDIBERT</t>
  </si>
  <si>
    <t>Coralie AUDIBERT27/12/1987</t>
  </si>
  <si>
    <t>165.1679921007374</t>
  </si>
  <si>
    <t>321.56600232001966</t>
  </si>
  <si>
    <t>48.25</t>
  </si>
  <si>
    <t>Coraline DEMAN</t>
  </si>
  <si>
    <t>Coraline DEMAN26/03/2007</t>
  </si>
  <si>
    <t>181.58319745186358</t>
  </si>
  <si>
    <t>177.13072174909487</t>
  </si>
  <si>
    <t>346.38896697600774</t>
  </si>
  <si>
    <t>31.9</t>
  </si>
  <si>
    <t>195.78513469769135</t>
  </si>
  <si>
    <t>Cyril BAILLIEUX</t>
  </si>
  <si>
    <t>Cyril BAILLIEUX24/04/2005</t>
  </si>
  <si>
    <t>267.458972713495</t>
  </si>
  <si>
    <t>266.8513939787107</t>
  </si>
  <si>
    <t>522.7147893818274</t>
  </si>
  <si>
    <t>153.38195573759597</t>
  </si>
  <si>
    <t>Cécile SITTER</t>
  </si>
  <si>
    <t>Cécile SITTER26/03/1984</t>
  </si>
  <si>
    <t>195.80712658128786</t>
  </si>
  <si>
    <t>184.2868778370749</t>
  </si>
  <si>
    <t>46.97</t>
  </si>
  <si>
    <t>172.94920502753814</t>
  </si>
  <si>
    <t>186.25299002965647</t>
  </si>
  <si>
    <t>Célia ROBERT</t>
  </si>
  <si>
    <t>Célia ROBERT17/11/2008</t>
  </si>
  <si>
    <t>150.52040729578914</t>
  </si>
  <si>
    <t>66.12</t>
  </si>
  <si>
    <t>292.1116378875908</t>
  </si>
  <si>
    <t>Célia XAVIER</t>
  </si>
  <si>
    <t>Célia XAVIER02/08/2007</t>
  </si>
  <si>
    <t>114.50608843052096</t>
  </si>
  <si>
    <t>51.96405277020965</t>
  </si>
  <si>
    <t>Céline LOUISON TANGUY</t>
  </si>
  <si>
    <t>Céline LOUISON TANGUY10/07/1993</t>
  </si>
  <si>
    <t>228.93118641714443</t>
  </si>
  <si>
    <t>255.58259648771198</t>
  </si>
  <si>
    <t>225.82012743747902</t>
  </si>
  <si>
    <t>Céline TURRI</t>
  </si>
  <si>
    <t>Céline TURRI04/03/1996</t>
  </si>
  <si>
    <t>166.199561187384</t>
  </si>
  <si>
    <t>164.1221149275062</t>
  </si>
  <si>
    <t>320.1059431643923</t>
  </si>
  <si>
    <t>248.43197601738422</t>
  </si>
  <si>
    <t>Damien CARLIER</t>
  </si>
  <si>
    <t>Damien CARLIER17/05/1999</t>
  </si>
  <si>
    <t>353.1339790451348</t>
  </si>
  <si>
    <t>153.93818270206464</t>
  </si>
  <si>
    <t>340.30758011615336</t>
  </si>
  <si>
    <t>101.6</t>
  </si>
  <si>
    <t>Damien SCHACHERER</t>
  </si>
  <si>
    <t>Damien SCHACHERER25/09/1991</t>
  </si>
  <si>
    <t>353.58660994337004</t>
  </si>
  <si>
    <t>339.7158181115324</t>
  </si>
  <si>
    <t>299.48631333516676</t>
  </si>
  <si>
    <t>AMERICAN GYM BEAUVAIS</t>
  </si>
  <si>
    <t>249.38118257267405</t>
  </si>
  <si>
    <t>Dan PARASSOURAMIN-LATCHIMY</t>
  </si>
  <si>
    <t>Dan PARASSOURAMIN-LATCHIMY02/01/1996</t>
  </si>
  <si>
    <t>319.0964109140546</t>
  </si>
  <si>
    <t>290.7082960376785</t>
  </si>
  <si>
    <t>566.6348143107293</t>
  </si>
  <si>
    <t>209.43393327046925</t>
  </si>
  <si>
    <t>72.95</t>
  </si>
  <si>
    <t>Darya KOUCHENSKY</t>
  </si>
  <si>
    <t>Darya KOUCHENSKY11/03/2006</t>
  </si>
  <si>
    <t>187.7683539666276</t>
  </si>
  <si>
    <t>365.4261042581291</t>
  </si>
  <si>
    <t>174.17232765182158</t>
  </si>
  <si>
    <t>306.6526146658386</t>
  </si>
  <si>
    <t>David GABRIEL</t>
  </si>
  <si>
    <t>David GABRIEL13/01/2012</t>
  </si>
  <si>
    <t>90.41089748111514</t>
  </si>
  <si>
    <t>175.5805835140497</t>
  </si>
  <si>
    <t>David LAPOSTOLLE</t>
  </si>
  <si>
    <t>David LAPOSTOLLE26/06/1992</t>
  </si>
  <si>
    <t>302.7833990179686</t>
  </si>
  <si>
    <t>92.68</t>
  </si>
  <si>
    <t>136.3580391897925</t>
  </si>
  <si>
    <t>266.7874679800288</t>
  </si>
  <si>
    <t>David PERUGA</t>
  </si>
  <si>
    <t>David PERUGA06/07/1988</t>
  </si>
  <si>
    <t>294.50904344585217</t>
  </si>
  <si>
    <t>579.5177951676446</t>
  </si>
  <si>
    <t>David POTENZA</t>
  </si>
  <si>
    <t>David POTENZA22/01/1990</t>
  </si>
  <si>
    <t>330.56776538331803</t>
  </si>
  <si>
    <t>60.02</t>
  </si>
  <si>
    <t>324.536856253334</t>
  </si>
  <si>
    <t>638.3070869437612</t>
  </si>
  <si>
    <t>326.15486755975644</t>
  </si>
  <si>
    <t>285.3170316268195</t>
  </si>
  <si>
    <t>Deborah ULDRY</t>
  </si>
  <si>
    <t>Deborah ULDRY02/12/1991</t>
  </si>
  <si>
    <t>186.81920762505553</t>
  </si>
  <si>
    <t>363.18699104731076</t>
  </si>
  <si>
    <t>203.09505350678955</t>
  </si>
  <si>
    <t>129.99347582304986</t>
  </si>
  <si>
    <t>Delphine GROBOTEK MOUROT</t>
  </si>
  <si>
    <t>Delphine GROBOTEK MOUROT05/06/1982</t>
  </si>
  <si>
    <t>213.82855081290631</t>
  </si>
  <si>
    <t>SNAGA HM</t>
  </si>
  <si>
    <t>392.0410754782497</t>
  </si>
  <si>
    <t>54.85</t>
  </si>
  <si>
    <t>Denis LEJEUNE</t>
  </si>
  <si>
    <t>Denis LEJEUNE27/07/1992</t>
  </si>
  <si>
    <t>328.1185807569162</t>
  </si>
  <si>
    <t>326.3685258399782</t>
  </si>
  <si>
    <t>640.649328500698</t>
  </si>
  <si>
    <t>191.56345113561852</t>
  </si>
  <si>
    <t>Dimitri ENGASSER</t>
  </si>
  <si>
    <t>Dimitri ENGASSER19/08/1994</t>
  </si>
  <si>
    <t>333.2373710144613</t>
  </si>
  <si>
    <t>657.0307679515897</t>
  </si>
  <si>
    <t>Dino SPATAFORA</t>
  </si>
  <si>
    <t>Dino SPATAFORA04/02/2005</t>
  </si>
  <si>
    <t>293.1518589138436</t>
  </si>
  <si>
    <t>576.8034261036275</t>
  </si>
  <si>
    <t>195.44507161967346</t>
  </si>
  <si>
    <t>Djalil BOUHENNOUCHE</t>
  </si>
  <si>
    <t>Djalil BOUHENNOUCHE19/08/2000</t>
  </si>
  <si>
    <t>287.39107294719815</t>
  </si>
  <si>
    <t>281.65265043597316</t>
  </si>
  <si>
    <t>544.9366497565568</t>
  </si>
  <si>
    <t>127.97042445881732</t>
  </si>
  <si>
    <t>U17 M &gt;102</t>
  </si>
  <si>
    <t>Dorian REY</t>
  </si>
  <si>
    <t>Dorian REY14/08/2004</t>
  </si>
  <si>
    <t>335.0663105768084</t>
  </si>
  <si>
    <t>79.64</t>
  </si>
  <si>
    <t>331.5684545953005</t>
  </si>
  <si>
    <t>650.5297436166353</t>
  </si>
  <si>
    <t>231.4686178336997</t>
  </si>
  <si>
    <t>Dylan FLAUS</t>
  </si>
  <si>
    <t>Dylan FLAUS28/05/1998</t>
  </si>
  <si>
    <t>358.56116802629754</t>
  </si>
  <si>
    <t>345.06993829735217</t>
  </si>
  <si>
    <t>30.5</t>
  </si>
  <si>
    <t>Edgar FINANCE</t>
  </si>
  <si>
    <t>Edgar FINANCE28/09/2001</t>
  </si>
  <si>
    <t>289.2032404764091</t>
  </si>
  <si>
    <t>282.53694353867854</t>
  </si>
  <si>
    <t>311.06230803056434</t>
  </si>
  <si>
    <t>Eleane LEJEUNE</t>
  </si>
  <si>
    <t>Eleane LEJEUNE25/06/2014</t>
  </si>
  <si>
    <t>91.9420414062996</t>
  </si>
  <si>
    <t>27.92</t>
  </si>
  <si>
    <t>173.06737205891687</t>
  </si>
  <si>
    <t>Elena AIGLE</t>
  </si>
  <si>
    <t>Elena AIGLE25/03/1998</t>
  </si>
  <si>
    <t>244.9816617625413</t>
  </si>
  <si>
    <t>235.3493828237599</t>
  </si>
  <si>
    <t>Elena FLECHAUD</t>
  </si>
  <si>
    <t>Elena FLECHAUD23/04/2014</t>
  </si>
  <si>
    <t>82.90246888294112</t>
  </si>
  <si>
    <t>157.51469087758812</t>
  </si>
  <si>
    <t>Elia SACRIAS</t>
  </si>
  <si>
    <t>Elia SACRIAS18/02/2001</t>
  </si>
  <si>
    <t>AC GARDEEN</t>
  </si>
  <si>
    <t>61.58</t>
  </si>
  <si>
    <t>Elisa ESPLAS</t>
  </si>
  <si>
    <t>Elisa ESPLAS14/01/2003</t>
  </si>
  <si>
    <t>182.22820111580884</t>
  </si>
  <si>
    <t>198.13701232433183</t>
  </si>
  <si>
    <t>Elisa LOIGEROT</t>
  </si>
  <si>
    <t>Elisa LOIGEROT31/07/2009</t>
  </si>
  <si>
    <t>138.99984615000264</t>
  </si>
  <si>
    <t>269.127361694686</t>
  </si>
  <si>
    <t>Elise FREBOURG</t>
  </si>
  <si>
    <t>Elise FREBOURG28/07/1978</t>
  </si>
  <si>
    <t>183.10153772285886</t>
  </si>
  <si>
    <t>175.63596065729905</t>
  </si>
  <si>
    <t>51.98</t>
  </si>
  <si>
    <t>Elisée GONZAGUE-MOLONGO</t>
  </si>
  <si>
    <t>Elisée GONZAGUE-MOLONGO11/04/1995</t>
  </si>
  <si>
    <t>288.52473269422705</t>
  </si>
  <si>
    <t>121.7360735988164</t>
  </si>
  <si>
    <t>287.44337508642025</t>
  </si>
  <si>
    <t>Elixane LECLERCQ</t>
  </si>
  <si>
    <t>Elixane LECLERCQ30/10/2003</t>
  </si>
  <si>
    <t>58.41</t>
  </si>
  <si>
    <t>192.83486098049062</t>
  </si>
  <si>
    <t>371.89580331951765</t>
  </si>
  <si>
    <t>176.3261340463059</t>
  </si>
  <si>
    <t>Eloane CONGA</t>
  </si>
  <si>
    <t>Eloane CONGA30/12/2005</t>
  </si>
  <si>
    <t>188.49293652773923</t>
  </si>
  <si>
    <t>188.32979700507957</t>
  </si>
  <si>
    <t>170.51481620730178</t>
  </si>
  <si>
    <t>170.49594039808855</t>
  </si>
  <si>
    <t>180.63181570371918</t>
  </si>
  <si>
    <t>Elodie CUVILLIER</t>
  </si>
  <si>
    <t>Elodie CUVILLIER05/09/2001</t>
  </si>
  <si>
    <t>180.4921795673372</t>
  </si>
  <si>
    <t>185.08458366171692</t>
  </si>
  <si>
    <t>174.5575092439295</t>
  </si>
  <si>
    <t>52.68</t>
  </si>
  <si>
    <t>Elodie MAZOUZ</t>
  </si>
  <si>
    <t>Elodie MAZOUZ04/07/2000</t>
  </si>
  <si>
    <t>417.6114650104412</t>
  </si>
  <si>
    <t>198.04255041732262</t>
  </si>
  <si>
    <t>Eloise MONIER</t>
  </si>
  <si>
    <t>Eloise MONIER10/06/2013</t>
  </si>
  <si>
    <t>107.78758134457033</t>
  </si>
  <si>
    <t>PACA - Critérium National - Mondragon - Provence U13sam 14 Déc 2024</t>
  </si>
  <si>
    <t>90.9912828109863</t>
  </si>
  <si>
    <t>176.11216027932835</t>
  </si>
  <si>
    <t>Critérium National - Mondragon - Provence U13</t>
  </si>
  <si>
    <t>Elora RODRIGUES</t>
  </si>
  <si>
    <t>Elora RODRIGUES16/09/1994</t>
  </si>
  <si>
    <t>ATHLETIC CLUB MENTON</t>
  </si>
  <si>
    <t>Eloïse QUERE</t>
  </si>
  <si>
    <t>Eloïse QUERE15/11/2006</t>
  </si>
  <si>
    <t>178.75893703487844</t>
  </si>
  <si>
    <t>178.1377883712309</t>
  </si>
  <si>
    <t>168.44043709448553</t>
  </si>
  <si>
    <t>329.3387650653374</t>
  </si>
  <si>
    <t>168.77500595878513</t>
  </si>
  <si>
    <t>Elsa THIERRY</t>
  </si>
  <si>
    <t>Elsa THIERRY22/04/1993</t>
  </si>
  <si>
    <t>200.76895603146343</t>
  </si>
  <si>
    <t>392.80882701808065</t>
  </si>
  <si>
    <t>63.15</t>
  </si>
  <si>
    <t>Elyse SUGNY</t>
  </si>
  <si>
    <t>Elyse SUGNY08/03/1998</t>
  </si>
  <si>
    <t>186.54904706259813</t>
  </si>
  <si>
    <t>362.05242686491084</t>
  </si>
  <si>
    <t>Elyssa JALKH</t>
  </si>
  <si>
    <t>Elyssa JALKH17/01/2006</t>
  </si>
  <si>
    <t>150.08204804862123</t>
  </si>
  <si>
    <t>71.83338025362313</t>
  </si>
  <si>
    <t>139.17717424139482</t>
  </si>
  <si>
    <t>SAINT BREVIN LES PINS HALTEROPHILIE</t>
  </si>
  <si>
    <t>Elésia BLAIZE</t>
  </si>
  <si>
    <t>Elésia BLAIZE18/12/2013</t>
  </si>
  <si>
    <t>105.10453020684972</t>
  </si>
  <si>
    <t>BFC - Critérium National - Besançon - BFC-Critérium U13 F-Besançondim 15 Déc 2024</t>
  </si>
  <si>
    <t>102.76854025664221</t>
  </si>
  <si>
    <t>197.31559729275307</t>
  </si>
  <si>
    <t>Critérium National - Besançon - BFC-Critérium U13 F-Besançon</t>
  </si>
  <si>
    <t>Ema CUVILLIER</t>
  </si>
  <si>
    <t>Ema CUVILLIER01/05/2010</t>
  </si>
  <si>
    <t>123.99276392040741</t>
  </si>
  <si>
    <t>241.4595928976355</t>
  </si>
  <si>
    <t>Ema DURIC</t>
  </si>
  <si>
    <t>Ema DURIC24/01/2012</t>
  </si>
  <si>
    <t>169.35221888333965</t>
  </si>
  <si>
    <t>332.48967744068517</t>
  </si>
  <si>
    <t>Emeline LAURENT</t>
  </si>
  <si>
    <t>Emeline LAURENT08/01/2007</t>
  </si>
  <si>
    <t>213.8086036481041</t>
  </si>
  <si>
    <t>413.03934795656477</t>
  </si>
  <si>
    <t>168.90162644363943</t>
  </si>
  <si>
    <t>Emerick BERGER</t>
  </si>
  <si>
    <t>Emerick BERGER01/04/1987</t>
  </si>
  <si>
    <t>298.8124469561064</t>
  </si>
  <si>
    <t>88.12</t>
  </si>
  <si>
    <t>586.6927312186966</t>
  </si>
  <si>
    <t>CFSM WEIGHTLIFTING CLUB</t>
  </si>
  <si>
    <t>Emilie DUMONT</t>
  </si>
  <si>
    <t>Emilie DUMONT21/03/1993</t>
  </si>
  <si>
    <t>225.35154466796087</t>
  </si>
  <si>
    <t>196.5275098848496</t>
  </si>
  <si>
    <t>216.18026087333456</t>
  </si>
  <si>
    <t>218.30491502957884</t>
  </si>
  <si>
    <t>Emilie MOTAIS DE NARBONNE</t>
  </si>
  <si>
    <t>Emilie MOTAIS DE NARBONNE16/08/2002</t>
  </si>
  <si>
    <t>216.99790292257245</t>
  </si>
  <si>
    <t>62.81</t>
  </si>
  <si>
    <t>193.3254044219282</t>
  </si>
  <si>
    <t>Emilie PEETERS</t>
  </si>
  <si>
    <t>Emilie PEETERS22/07/1991</t>
  </si>
  <si>
    <t>214.32027844946563</t>
  </si>
  <si>
    <t>202.17599664277677</t>
  </si>
  <si>
    <t>395.9279934254378</t>
  </si>
  <si>
    <t>Emmanuelle SCHILLACI</t>
  </si>
  <si>
    <t>Emmanuelle SCHILLACI20/04/1993</t>
  </si>
  <si>
    <t>199.48923568747148</t>
  </si>
  <si>
    <t>193.11098659985558</t>
  </si>
  <si>
    <t>378.96216167340083</t>
  </si>
  <si>
    <t>198.5995652229707</t>
  </si>
  <si>
    <t>78.55</t>
  </si>
  <si>
    <t>Emmanuel LEPAUL</t>
  </si>
  <si>
    <t>Emmanuel LEPAUL16/01/1991</t>
  </si>
  <si>
    <t>388.12623271290676</t>
  </si>
  <si>
    <t>370.5781101910764</t>
  </si>
  <si>
    <t>720.4245778539807</t>
  </si>
  <si>
    <t>377.5658356574402</t>
  </si>
  <si>
    <t>Emma BAILLY</t>
  </si>
  <si>
    <t>Emma BAILLY10/05/2000</t>
  </si>
  <si>
    <t>174.03798762456594</t>
  </si>
  <si>
    <t>172.21259820993416</t>
  </si>
  <si>
    <t>149.40298255298924</t>
  </si>
  <si>
    <t>Emma CONSTENSOUS</t>
  </si>
  <si>
    <t>Emma CONSTENSOUS09/12/2011</t>
  </si>
  <si>
    <t>141.62826875877684</t>
  </si>
  <si>
    <t>272.24100550298215</t>
  </si>
  <si>
    <t>57.92</t>
  </si>
  <si>
    <t>LES REQUINS SCY78</t>
  </si>
  <si>
    <t>Emma PANSERAT</t>
  </si>
  <si>
    <t>Emma PANSERAT22/12/1999</t>
  </si>
  <si>
    <t>164.56833161669664</t>
  </si>
  <si>
    <t>48.36</t>
  </si>
  <si>
    <t>78.99030534638975</t>
  </si>
  <si>
    <t>Emma RAKOTOMALALA</t>
  </si>
  <si>
    <t>Emma RAKOTOMALALA21/03/1995</t>
  </si>
  <si>
    <t>229.61455120848998</t>
  </si>
  <si>
    <t>58.56</t>
  </si>
  <si>
    <t>213.13423896887107</t>
  </si>
  <si>
    <t>182.8829276313539</t>
  </si>
  <si>
    <t>327.4943704116277</t>
  </si>
  <si>
    <t>Emma SCICCHITANO</t>
  </si>
  <si>
    <t>Emma SCICCHITANO31/07/2000</t>
  </si>
  <si>
    <t>225.40822353197595</t>
  </si>
  <si>
    <t>195.5535023989037</t>
  </si>
  <si>
    <t>192.85670911314708</t>
  </si>
  <si>
    <t>442.5698047396113</t>
  </si>
  <si>
    <t>Endrea GAUDEFROY</t>
  </si>
  <si>
    <t>Endrea GAUDEFROY24/06/2012</t>
  </si>
  <si>
    <t>79.9435232679868</t>
  </si>
  <si>
    <t>31.62</t>
  </si>
  <si>
    <t>152.83320624762183</t>
  </si>
  <si>
    <t>Enguerrand ALLAYS RAMACKERS</t>
  </si>
  <si>
    <t>Enguerrand ALLAYS RAMACKERS26/07/2011</t>
  </si>
  <si>
    <t>215.12185130849156</t>
  </si>
  <si>
    <t>213.09414712891729</t>
  </si>
  <si>
    <t>413.8350103663031</t>
  </si>
  <si>
    <t>173.14926042215342</t>
  </si>
  <si>
    <t>160.23466692700828</t>
  </si>
  <si>
    <t>Enzo CORDARO</t>
  </si>
  <si>
    <t>Enzo CORDARO11/04/2014</t>
  </si>
  <si>
    <t>76.89821197345204</t>
  </si>
  <si>
    <t>148.99028569856333</t>
  </si>
  <si>
    <t>Enzo MENONI</t>
  </si>
  <si>
    <t>Enzo MENONI02/08/1997</t>
  </si>
  <si>
    <t>357.87403245513667</t>
  </si>
  <si>
    <t>344.3747365597302</t>
  </si>
  <si>
    <t>672.0669599297157</t>
  </si>
  <si>
    <t>Enzo NORMAND</t>
  </si>
  <si>
    <t>Enzo NORMAND10/03/2009</t>
  </si>
  <si>
    <t>255.54833885870812</t>
  </si>
  <si>
    <t>240.35357276440655</t>
  </si>
  <si>
    <t>345.63335199368004</t>
  </si>
  <si>
    <t>65.76</t>
  </si>
  <si>
    <t>Erine FALGOUX</t>
  </si>
  <si>
    <t>Erine FALGOUX23/05/2000</t>
  </si>
  <si>
    <t>219.83084579049955</t>
  </si>
  <si>
    <t>429.5379026301208</t>
  </si>
  <si>
    <t>120.54763938445724</t>
  </si>
  <si>
    <t>Esteban HUDAN</t>
  </si>
  <si>
    <t>Esteban HUDAN18/07/2012</t>
  </si>
  <si>
    <t>105.52822154921138</t>
  </si>
  <si>
    <t>205.0262590098964</t>
  </si>
  <si>
    <t>Estelle ACINHO</t>
  </si>
  <si>
    <t>Estelle ACINHO05/04/2008</t>
  </si>
  <si>
    <t>192.56393287509954</t>
  </si>
  <si>
    <t>374.1689427410471</t>
  </si>
  <si>
    <t>70.35</t>
  </si>
  <si>
    <t>Ethan LEBON</t>
  </si>
  <si>
    <t>Ethan LEBON01/08/2012</t>
  </si>
  <si>
    <t>87.71550367165865</t>
  </si>
  <si>
    <t>37.84</t>
  </si>
  <si>
    <t>166.19779643051112</t>
  </si>
  <si>
    <t>Ethan VICHON</t>
  </si>
  <si>
    <t>Ethan VICHON06/10/2011</t>
  </si>
  <si>
    <t>182.6466379349562</t>
  </si>
  <si>
    <t>354.33447759381505</t>
  </si>
  <si>
    <t>Etienne ESSOB</t>
  </si>
  <si>
    <t>Etienne ESSOB29/09/2001</t>
  </si>
  <si>
    <t>312.3669927932711</t>
  </si>
  <si>
    <t>303.62233928811924</t>
  </si>
  <si>
    <t>273.7578468991239</t>
  </si>
  <si>
    <t>Eugenie DUJARDIN</t>
  </si>
  <si>
    <t>Eugenie DUJARDIN11/07/2004</t>
  </si>
  <si>
    <t>215.19133186123136</t>
  </si>
  <si>
    <t>420.66434550937487</t>
  </si>
  <si>
    <t>129.15818505477563</t>
  </si>
  <si>
    <t>Eugénie MAKOWSKI</t>
  </si>
  <si>
    <t>Eugénie MAKOWSKI21/11/1990</t>
  </si>
  <si>
    <t>184.97598162280028</t>
  </si>
  <si>
    <t>360.4048158070044</t>
  </si>
  <si>
    <t>Eunice agnes SIVASOTHEY</t>
  </si>
  <si>
    <t>Eunice agnes SIVASOTHEY26/02/1993</t>
  </si>
  <si>
    <t>MY</t>
  </si>
  <si>
    <t>198.80857190622032</t>
  </si>
  <si>
    <t>166.06197338960138</t>
  </si>
  <si>
    <t>171.52324147653437</t>
  </si>
  <si>
    <t>Eurydice FILMOTTE</t>
  </si>
  <si>
    <t>Eurydice FILMOTTE10/12/2008</t>
  </si>
  <si>
    <t>168.46418231050808</t>
  </si>
  <si>
    <t>Eva marie DRENO</t>
  </si>
  <si>
    <t>Eva marie DRENO02/08/1983</t>
  </si>
  <si>
    <t>173.03094142225015</t>
  </si>
  <si>
    <t>162.1462941115227</t>
  </si>
  <si>
    <t>159.6595604325928</t>
  </si>
  <si>
    <t>72.36</t>
  </si>
  <si>
    <t>Eva BAYKOV-SVIATOKHA</t>
  </si>
  <si>
    <t>Eva BAYKOV-SVIATOKHA28/05/2009</t>
  </si>
  <si>
    <t>133.82907175249977</t>
  </si>
  <si>
    <t>Eva BRUNO</t>
  </si>
  <si>
    <t>Eva BRUNO11/10/2001</t>
  </si>
  <si>
    <t>224.0439001463101</t>
  </si>
  <si>
    <t>438.807875434489</t>
  </si>
  <si>
    <t>Eva CORBETHAU</t>
  </si>
  <si>
    <t>Eva CORBETHAU30/08/2002</t>
  </si>
  <si>
    <t>174.7690063843226</t>
  </si>
  <si>
    <t>Eva DOBEL</t>
  </si>
  <si>
    <t>Eva DOBEL09/08/2009</t>
  </si>
  <si>
    <t>136.11837834169398</t>
  </si>
  <si>
    <t>99.44</t>
  </si>
  <si>
    <t>133.3841116103969</t>
  </si>
  <si>
    <t>259.2987129706116</t>
  </si>
  <si>
    <t>Eva MOSTAERT</t>
  </si>
  <si>
    <t>Eva MOSTAERT31/05/1992</t>
  </si>
  <si>
    <t>210.63624120883432</t>
  </si>
  <si>
    <t>412.1143849738063</t>
  </si>
  <si>
    <t>229.49542523534387</t>
  </si>
  <si>
    <t>311.6957135081901</t>
  </si>
  <si>
    <t>308.40618655690827</t>
  </si>
  <si>
    <t>Fadwa PANNECOUCKE</t>
  </si>
  <si>
    <t>Fadwa PANNECOUCKE02/03/2014</t>
  </si>
  <si>
    <t>71.69798647880405</t>
  </si>
  <si>
    <t>39.32</t>
  </si>
  <si>
    <t>69.85938271942456</t>
  </si>
  <si>
    <t>134.05449116430117</t>
  </si>
  <si>
    <t>Fanny BERTIN</t>
  </si>
  <si>
    <t>Fanny BERTIN08/08/1992</t>
  </si>
  <si>
    <t>187.89063841331526</t>
  </si>
  <si>
    <t>169.34073151626137</t>
  </si>
  <si>
    <t>167.44582316784806</t>
  </si>
  <si>
    <t>Fanny MALNOU</t>
  </si>
  <si>
    <t>Fanny MALNOU27/09/2004</t>
  </si>
  <si>
    <t>175.33854036224764</t>
  </si>
  <si>
    <t>Faustine AURAT</t>
  </si>
  <si>
    <t>Faustine AURAT25/02/1992</t>
  </si>
  <si>
    <t>177.99179650118768</t>
  </si>
  <si>
    <t>344.4256841386619</t>
  </si>
  <si>
    <t>179.4474037972986</t>
  </si>
  <si>
    <t>278.0176331229444</t>
  </si>
  <si>
    <t>Federic MEHAULT</t>
  </si>
  <si>
    <t>Federic MEHAULT25/05/1992</t>
  </si>
  <si>
    <t>303.02791870485163</t>
  </si>
  <si>
    <t>Flavien MARGUIER</t>
  </si>
  <si>
    <t>Flavien MARGUIER30/03/2002</t>
  </si>
  <si>
    <t>262.7135005290442</t>
  </si>
  <si>
    <t>260.5278044498512</t>
  </si>
  <si>
    <t>Flavie TESTE</t>
  </si>
  <si>
    <t>Flavie TESTE19/11/1998</t>
  </si>
  <si>
    <t>243.33072421707755</t>
  </si>
  <si>
    <t>58.77</t>
  </si>
  <si>
    <t>240.06874071726054</t>
  </si>
  <si>
    <t>474.65019593241226</t>
  </si>
  <si>
    <t>Flora ANDRIEUX</t>
  </si>
  <si>
    <t>Flora ANDRIEUX05/06/2010</t>
  </si>
  <si>
    <t>178.65857437021106</t>
  </si>
  <si>
    <t>55.32</t>
  </si>
  <si>
    <t>350.17080576561364</t>
  </si>
  <si>
    <t>159.1965749052384</t>
  </si>
  <si>
    <t>Florent ALBOUY</t>
  </si>
  <si>
    <t>Florent ALBOUY09/08/2010</t>
  </si>
  <si>
    <t>203.35080379184805</t>
  </si>
  <si>
    <t>197.77954889344124</t>
  </si>
  <si>
    <t>222.85019593627183</t>
  </si>
  <si>
    <t>Florent BARTHELEMY</t>
  </si>
  <si>
    <t>Florent BARTHELEMY30/08/2005</t>
  </si>
  <si>
    <t>250.9007452236505</t>
  </si>
  <si>
    <t>488.85177456479</t>
  </si>
  <si>
    <t>Florette DEGEZ</t>
  </si>
  <si>
    <t>Florette DEGEZ10/10/2008</t>
  </si>
  <si>
    <t>232.9302415466894</t>
  </si>
  <si>
    <t>454.2139710160443</t>
  </si>
  <si>
    <t>Flore BRAULT</t>
  </si>
  <si>
    <t>Flore BRAULT12/07/1995</t>
  </si>
  <si>
    <t>387.9722793297251</t>
  </si>
  <si>
    <t>194.87842202075493</t>
  </si>
  <si>
    <t>Florian DELOEYERE</t>
  </si>
  <si>
    <t>Florian DELOEYERE04/06/2007</t>
  </si>
  <si>
    <t>213.684865595337</t>
  </si>
  <si>
    <t>108.37436148069318</t>
  </si>
  <si>
    <t>211.58803908135334</t>
  </si>
  <si>
    <t>Florian FLOIRAS</t>
  </si>
  <si>
    <t>Florian FLOIRAS17/06/1996</t>
  </si>
  <si>
    <t>319.1355334878676</t>
  </si>
  <si>
    <t>135.09836762475126</t>
  </si>
  <si>
    <t>121.3</t>
  </si>
  <si>
    <t>Florian MARIGOT</t>
  </si>
  <si>
    <t>Florian MARIGOT05/01/2009</t>
  </si>
  <si>
    <t>190.45457300842304</t>
  </si>
  <si>
    <t>368.72005334430696</t>
  </si>
  <si>
    <t>Florine PRIOUZEAU</t>
  </si>
  <si>
    <t>Florine PRIOUZEAU20/01/2002</t>
  </si>
  <si>
    <t>192.5969596871526</t>
  </si>
  <si>
    <t>376.0226355796789</t>
  </si>
  <si>
    <t>CROSSFIT ISTRES</t>
  </si>
  <si>
    <t>275.7690580561418</t>
  </si>
  <si>
    <t>Gabin KERINGER-DIEUPART</t>
  </si>
  <si>
    <t>Gabin KERINGER-DIEUPART11/04/2013</t>
  </si>
  <si>
    <t>87.13436937505473</t>
  </si>
  <si>
    <t>80.75273895557136</t>
  </si>
  <si>
    <t>156.93456815894058</t>
  </si>
  <si>
    <t>Gabin REUCHET</t>
  </si>
  <si>
    <t>Gabin REUCHET04/09/2013</t>
  </si>
  <si>
    <t>84.89915761849154</t>
  </si>
  <si>
    <t>162.25172344867272</t>
  </si>
  <si>
    <t>139.05282600433833</t>
  </si>
  <si>
    <t>Gabrielle SMITH</t>
  </si>
  <si>
    <t>Gabrielle SMITH14/01/2009</t>
  </si>
  <si>
    <t>152.67791232421106</t>
  </si>
  <si>
    <t>63.62</t>
  </si>
  <si>
    <t>297.5261881189754</t>
  </si>
  <si>
    <t>65.83</t>
  </si>
  <si>
    <t>Gabriel MARTIN</t>
  </si>
  <si>
    <t>Gabriel MARTIN01/01/2007</t>
  </si>
  <si>
    <t>330.41607684362515</t>
  </si>
  <si>
    <t>290.92921444075125</t>
  </si>
  <si>
    <t>148.05932489778863</t>
  </si>
  <si>
    <t>Gabriel NAUDIN</t>
  </si>
  <si>
    <t>Gabriel NAUDIN19/01/2009</t>
  </si>
  <si>
    <t>214.34171032787316</t>
  </si>
  <si>
    <t>422.08829110719637</t>
  </si>
  <si>
    <t>290.63474213116484</t>
  </si>
  <si>
    <t>Gaetan DOMINGUEZ</t>
  </si>
  <si>
    <t>Gaetan DOMINGUEZ21/02/2001</t>
  </si>
  <si>
    <t>369.56322495489667</t>
  </si>
  <si>
    <t>365.28166125754495</t>
  </si>
  <si>
    <t>338.71572225699623</t>
  </si>
  <si>
    <t>Gaetan VINCENT</t>
  </si>
  <si>
    <t>Gaetan VINCENT03/02/2006</t>
  </si>
  <si>
    <t>281.5499151159942</t>
  </si>
  <si>
    <t>U17 M 96</t>
  </si>
  <si>
    <t>267.7585392756086</t>
  </si>
  <si>
    <t>520.5226003517831</t>
  </si>
  <si>
    <t>274.5687864433663</t>
  </si>
  <si>
    <t>Gareth FLOTAT</t>
  </si>
  <si>
    <t>Gareth FLOTAT13/09/1989</t>
  </si>
  <si>
    <t>292.64061956753966</t>
  </si>
  <si>
    <t>88.18</t>
  </si>
  <si>
    <t>576.7813041268935</t>
  </si>
  <si>
    <t>Gatien VANBAELINGHEM</t>
  </si>
  <si>
    <t>Gatien VANBAELINGHEM12/11/2013</t>
  </si>
  <si>
    <t>104.06925399312858</t>
  </si>
  <si>
    <t>103.36271055518151</t>
  </si>
  <si>
    <t>101.98786891326601</t>
  </si>
  <si>
    <t>195.65019750708174</t>
  </si>
  <si>
    <t>Geneviève WAZNI</t>
  </si>
  <si>
    <t>Geneviève WAZNI02/10/1984</t>
  </si>
  <si>
    <t>329.2250926685531</t>
  </si>
  <si>
    <t>91.75</t>
  </si>
  <si>
    <t>180.92670642979556</t>
  </si>
  <si>
    <t>Gianni VEJUX</t>
  </si>
  <si>
    <t>Gianni VEJUX27/11/2001</t>
  </si>
  <si>
    <t>303.42824678423756</t>
  </si>
  <si>
    <t>294.6348711850568</t>
  </si>
  <si>
    <t>Gilles THIERRY</t>
  </si>
  <si>
    <t>Gilles THIERRY16/02/1982</t>
  </si>
  <si>
    <t>294.6771100479313</t>
  </si>
  <si>
    <t>579.8044989369018</t>
  </si>
  <si>
    <t>210.84230797320873</t>
  </si>
  <si>
    <t>Grazia VIOLET</t>
  </si>
  <si>
    <t>Grazia VIOLET28/07/2008</t>
  </si>
  <si>
    <t>164.1517237422929</t>
  </si>
  <si>
    <t>159.91829664511874</t>
  </si>
  <si>
    <t>183.55839267091892</t>
  </si>
  <si>
    <t>Gregoire AUBERTIN</t>
  </si>
  <si>
    <t>Gregoire AUBERTIN11/09/1996</t>
  </si>
  <si>
    <t>321.21644459939836</t>
  </si>
  <si>
    <t>179.15060349251354</t>
  </si>
  <si>
    <t>Gregory DEMEULEMEESTER</t>
  </si>
  <si>
    <t>Gregory DEMEULEMEESTER20/07/1983</t>
  </si>
  <si>
    <t>336.3240465709986</t>
  </si>
  <si>
    <t>318.7714835026996</t>
  </si>
  <si>
    <t>287.0213357434666</t>
  </si>
  <si>
    <t>321.4822540013757</t>
  </si>
  <si>
    <t>191.2785092295613</t>
  </si>
  <si>
    <t>Grégory BASSI</t>
  </si>
  <si>
    <t>Grégory BASSI18/10/1999</t>
  </si>
  <si>
    <t>315.4334957946255</t>
  </si>
  <si>
    <t>Guillaume BARRIERE</t>
  </si>
  <si>
    <t>Guillaume BARRIERE17/04/2006</t>
  </si>
  <si>
    <t>268.35130034422156</t>
  </si>
  <si>
    <t>523.9239673387183</t>
  </si>
  <si>
    <t>266.520942565697</t>
  </si>
  <si>
    <t>Hanzo SOM</t>
  </si>
  <si>
    <t>Hanzo SOM18/06/2005</t>
  </si>
  <si>
    <t>315.6598034326698</t>
  </si>
  <si>
    <t>617.3523589258408</t>
  </si>
  <si>
    <t>Hayate AMRANE</t>
  </si>
  <si>
    <t>Hayate AMRANE30/01/1995</t>
  </si>
  <si>
    <t>323.9612464281046</t>
  </si>
  <si>
    <t>107.17140700238836</t>
  </si>
  <si>
    <t>Hector CANDRAY MEDINA</t>
  </si>
  <si>
    <t>Hector CANDRAY MEDINA24/08/1992</t>
  </si>
  <si>
    <t>SV</t>
  </si>
  <si>
    <t>307.1514509656244</t>
  </si>
  <si>
    <t>98.92</t>
  </si>
  <si>
    <t>132.48667738240005</t>
  </si>
  <si>
    <t>259.21306444382617</t>
  </si>
  <si>
    <t>293.7126549323065</t>
  </si>
  <si>
    <t>Helena CAMACHO GONZALEZ</t>
  </si>
  <si>
    <t>Helena CAMACHO GONZALEZ05/06/2007</t>
  </si>
  <si>
    <t>134.78444128337068</t>
  </si>
  <si>
    <t>126.34504150197941</t>
  </si>
  <si>
    <t>63.46</t>
  </si>
  <si>
    <t>Hevy guy NUIRO</t>
  </si>
  <si>
    <t>Hevy guy NUIRO28/03/2005</t>
  </si>
  <si>
    <t>315.09856396824665</t>
  </si>
  <si>
    <t>294.94240396325745</t>
  </si>
  <si>
    <t>578.318439143642</t>
  </si>
  <si>
    <t>TN</t>
  </si>
  <si>
    <t>197.69721338994046</t>
  </si>
  <si>
    <t>Hugo BEVILACQUA</t>
  </si>
  <si>
    <t>Hugo BEVILACQUA24/07/1999</t>
  </si>
  <si>
    <t>357.67015018882006</t>
  </si>
  <si>
    <t>349.7262018224277</t>
  </si>
  <si>
    <t>46.87</t>
  </si>
  <si>
    <t>Hugo FOURNIER</t>
  </si>
  <si>
    <t>Hugo FOURNIER12/10/2005</t>
  </si>
  <si>
    <t>315.68352884437564</t>
  </si>
  <si>
    <t>283.9502494075059</t>
  </si>
  <si>
    <t>292.5496021028419</t>
  </si>
  <si>
    <t>Hugo MATHIOT</t>
  </si>
  <si>
    <t>Hugo MATHIOT28/09/2003</t>
  </si>
  <si>
    <t>301.0484426538942</t>
  </si>
  <si>
    <t>80.95</t>
  </si>
  <si>
    <t>279.3067795697231</t>
  </si>
  <si>
    <t>291.4139938985559</t>
  </si>
  <si>
    <t>Hugo MEDARD</t>
  </si>
  <si>
    <t>Hugo MEDARD26/10/1999</t>
  </si>
  <si>
    <t>319.7083570388529</t>
  </si>
  <si>
    <t>308.4537743183725</t>
  </si>
  <si>
    <t>341.91809889064876</t>
  </si>
  <si>
    <t>Hugo RENARD</t>
  </si>
  <si>
    <t>Hugo RENARD11/01/2005</t>
  </si>
  <si>
    <t>275.9792287889598</t>
  </si>
  <si>
    <t>262.93421969321673</t>
  </si>
  <si>
    <t>226.05929863868022</t>
  </si>
  <si>
    <t>Hugo ROUGE</t>
  </si>
  <si>
    <t>Hugo ROUGE01/03/2007</t>
  </si>
  <si>
    <t>306.73842401513025</t>
  </si>
  <si>
    <t>600.1403948122114</t>
  </si>
  <si>
    <t>Hylana THOORIS</t>
  </si>
  <si>
    <t>Hylana THOORIS05/07/2012</t>
  </si>
  <si>
    <t>66.03263838664716</t>
  </si>
  <si>
    <t>65.26671514080591</t>
  </si>
  <si>
    <t>124.97881622707516</t>
  </si>
  <si>
    <t>Hélène SUEUR</t>
  </si>
  <si>
    <t>Hélène SUEUR20/05/1985</t>
  </si>
  <si>
    <t>192.7825686338633</t>
  </si>
  <si>
    <t>376.3850149518283</t>
  </si>
  <si>
    <t>Iliana HUYSSEUNE</t>
  </si>
  <si>
    <t>Iliana HUYSSEUNE22/10/2005</t>
  </si>
  <si>
    <t>166.02469989752873</t>
  </si>
  <si>
    <t>86.78</t>
  </si>
  <si>
    <t>156.5648193788849</t>
  </si>
  <si>
    <t>143.1449777178376</t>
  </si>
  <si>
    <t>158.4492057619393</t>
  </si>
  <si>
    <t>Ilona ROUY</t>
  </si>
  <si>
    <t>Ilona ROUY22/10/2009</t>
  </si>
  <si>
    <t>180.10710975786756</t>
  </si>
  <si>
    <t>355.27977815250586</t>
  </si>
  <si>
    <t>Imran DAROUECH</t>
  </si>
  <si>
    <t>Imran DAROUECH10/04/2014</t>
  </si>
  <si>
    <t>109.40929271506471</t>
  </si>
  <si>
    <t>107.76459873219027</t>
  </si>
  <si>
    <t>209.68318761336855</t>
  </si>
  <si>
    <t>Inaia VILFEU</t>
  </si>
  <si>
    <t>Inaia VILFEU31/12/2011</t>
  </si>
  <si>
    <t>125.31439222001173</t>
  </si>
  <si>
    <t>57.47</t>
  </si>
  <si>
    <t>245.05925589691182</t>
  </si>
  <si>
    <t>Inaya CHIZZOLINI</t>
  </si>
  <si>
    <t>Inaya CHIZZOLINI15/09/2012</t>
  </si>
  <si>
    <t>87.55203068515047</t>
  </si>
  <si>
    <t>46.82</t>
  </si>
  <si>
    <t>168.6187257639935</t>
  </si>
  <si>
    <t>Indira MAILLOT</t>
  </si>
  <si>
    <t>Indira MAILLOT02/10/2009</t>
  </si>
  <si>
    <t>158.5240956287952</t>
  </si>
  <si>
    <t>75.09</t>
  </si>
  <si>
    <t>311.0886387903425</t>
  </si>
  <si>
    <t>43.22</t>
  </si>
  <si>
    <t>Ingrid LINGUET</t>
  </si>
  <si>
    <t>Ingrid LINGUET09/03/1992</t>
  </si>
  <si>
    <t>171.072454771605</t>
  </si>
  <si>
    <t>CVL - Critérium National - Orleans - Femmessam 14 Déc 2024</t>
  </si>
  <si>
    <t>Critérium National - Orleans - Femmes</t>
  </si>
  <si>
    <t>Inès AMELINE</t>
  </si>
  <si>
    <t>Inès AMELINE14/06/2011</t>
  </si>
  <si>
    <t>145.26724775559347</t>
  </si>
  <si>
    <t>280.051292064907</t>
  </si>
  <si>
    <t>Inès BIGOT</t>
  </si>
  <si>
    <t>Inès BIGOT29/09/1994</t>
  </si>
  <si>
    <t>192.40954421672035</t>
  </si>
  <si>
    <t>187.02248123741674</t>
  </si>
  <si>
    <t>Irene KUSS--BILDSTEIN</t>
  </si>
  <si>
    <t>Irene KUSS--BILDSTEIN27/04/2009</t>
  </si>
  <si>
    <t>176.60167944634216</t>
  </si>
  <si>
    <t>159.7597222847588</t>
  </si>
  <si>
    <t>310.20012743624</t>
  </si>
  <si>
    <t>Ismael IAFRATE</t>
  </si>
  <si>
    <t>Ismael IAFRATE09/02/2010</t>
  </si>
  <si>
    <t>247.03018024365542</t>
  </si>
  <si>
    <t>Jackie-princesse HYMAN</t>
  </si>
  <si>
    <t>Jackie-princesse HYMAN21/08/2005</t>
  </si>
  <si>
    <t>175.19603195138632</t>
  </si>
  <si>
    <t>166.85684967599684</t>
  </si>
  <si>
    <t>322.2063304088215</t>
  </si>
  <si>
    <t>Jacques SCHNEIDER</t>
  </si>
  <si>
    <t>Jacques SCHNEIDER13/10/2008</t>
  </si>
  <si>
    <t>276.2102361868388</t>
  </si>
  <si>
    <t>204.66698840032396</t>
  </si>
  <si>
    <t>152.49913091807758</t>
  </si>
  <si>
    <t>Jade RICHEVAUX</t>
  </si>
  <si>
    <t>Jade RICHEVAUX04/06/2009</t>
  </si>
  <si>
    <t>167.08599126534557</t>
  </si>
  <si>
    <t>133.1906034984518</t>
  </si>
  <si>
    <t>156.3980102192823</t>
  </si>
  <si>
    <t>288.9316945509166</t>
  </si>
  <si>
    <t>Jamie lynn ANGELO</t>
  </si>
  <si>
    <t>Jamie lynn ANGELO20/03/2010</t>
  </si>
  <si>
    <t>299.9469356646321</t>
  </si>
  <si>
    <t>Janis KLOCK</t>
  </si>
  <si>
    <t>Janis KLOCK21/06/2012</t>
  </si>
  <si>
    <t>136.23577191358817</t>
  </si>
  <si>
    <t>119.94466584261524</t>
  </si>
  <si>
    <t>234.0383723758346</t>
  </si>
  <si>
    <t>Jawed BRET</t>
  </si>
  <si>
    <t>Jawed BRET02/07/2014</t>
  </si>
  <si>
    <t>69.4371922501026</t>
  </si>
  <si>
    <t>132.100024280683</t>
  </si>
  <si>
    <t>Jean baptiste LE GALL</t>
  </si>
  <si>
    <t>Jean baptiste LE GALL02/08/1996</t>
  </si>
  <si>
    <t>330.08536827330835</t>
  </si>
  <si>
    <t>314.62646990161545</t>
  </si>
  <si>
    <t>605.0509036569528</t>
  </si>
  <si>
    <t>88.04</t>
  </si>
  <si>
    <t>96.2108271173068</t>
  </si>
  <si>
    <t>Jeanne HERVAULT</t>
  </si>
  <si>
    <t>Jeanne HERVAULT17/10/1998</t>
  </si>
  <si>
    <t>224.34547789791307</t>
  </si>
  <si>
    <t>217.67613364486516</t>
  </si>
  <si>
    <t>428.14444829486723</t>
  </si>
  <si>
    <t>Jennifer PASTA</t>
  </si>
  <si>
    <t>Jennifer PASTA14/03/1992</t>
  </si>
  <si>
    <t>201.69846746594808</t>
  </si>
  <si>
    <t>167.73558175101303</t>
  </si>
  <si>
    <t>195.16330874733606</t>
  </si>
  <si>
    <t>175.86731735891152</t>
  </si>
  <si>
    <t>308.7462660258805</t>
  </si>
  <si>
    <t>Jeremy RIQUIER</t>
  </si>
  <si>
    <t>Jeremy RIQUIER12/01/2000</t>
  </si>
  <si>
    <t>667.0446608556364</t>
  </si>
  <si>
    <t>Jerome CADET</t>
  </si>
  <si>
    <t>Jerome CADET16/05/1994</t>
  </si>
  <si>
    <t>310.8499323834514</t>
  </si>
  <si>
    <t>308.630950126297</t>
  </si>
  <si>
    <t>605.8311243219905</t>
  </si>
  <si>
    <t>113.9</t>
  </si>
  <si>
    <t>Jessica MORIN</t>
  </si>
  <si>
    <t>Jessica MORIN19/12/1999</t>
  </si>
  <si>
    <t>197.27082083870224</t>
  </si>
  <si>
    <t>386.6508088438564</t>
  </si>
  <si>
    <t>Jessy GRAILLOT</t>
  </si>
  <si>
    <t>Jessy GRAILLOT25/02/2003</t>
  </si>
  <si>
    <t>369.96809286183327</t>
  </si>
  <si>
    <t>359.2024996368697</t>
  </si>
  <si>
    <t>700.2634588880388</t>
  </si>
  <si>
    <t>Jill PAUL</t>
  </si>
  <si>
    <t>Jill PAUL02/01/1996</t>
  </si>
  <si>
    <t>399.0572448321412</t>
  </si>
  <si>
    <t>356.5023058183469</t>
  </si>
  <si>
    <t>360.39407155624</t>
  </si>
  <si>
    <t>Jimmy CHIARISOLO</t>
  </si>
  <si>
    <t>Jimmy CHIARISOLO19/01/1998</t>
  </si>
  <si>
    <t>291.41015843492397</t>
  </si>
  <si>
    <t>270.97298613251127</t>
  </si>
  <si>
    <t>Joana GUILLOT</t>
  </si>
  <si>
    <t>Joana GUILLOT02/11/1998</t>
  </si>
  <si>
    <t>178.95989773882744</t>
  </si>
  <si>
    <t>167.8092518606906</t>
  </si>
  <si>
    <t>329.3098852303778</t>
  </si>
  <si>
    <t>Joanna PONSARD</t>
  </si>
  <si>
    <t>Joanna PONSARD09/03/1994</t>
  </si>
  <si>
    <t>166.97736317478308</t>
  </si>
  <si>
    <t>154.42267421427306</t>
  </si>
  <si>
    <t>Jocelyn BROTEL</t>
  </si>
  <si>
    <t>Jocelyn BROTEL12/02/1992</t>
  </si>
  <si>
    <t>318.2194154384925</t>
  </si>
  <si>
    <t>94.22</t>
  </si>
  <si>
    <t>311.8572145626708</t>
  </si>
  <si>
    <t>613.1230520269867</t>
  </si>
  <si>
    <t>Johanna FORMONT</t>
  </si>
  <si>
    <t>Johanna FORMONT16/06/1988</t>
  </si>
  <si>
    <t>220.64261861232671</t>
  </si>
  <si>
    <t>212.17818698063368</t>
  </si>
  <si>
    <t>183.17541322069096</t>
  </si>
  <si>
    <t>Johanna JACQUET</t>
  </si>
  <si>
    <t>Johanna JACQUET24/04/1987</t>
  </si>
  <si>
    <t>174.7052700156923</t>
  </si>
  <si>
    <t>163.47504364810763</t>
  </si>
  <si>
    <t>138.89233031756515</t>
  </si>
  <si>
    <t>Johan DARCHEN</t>
  </si>
  <si>
    <t>Johan DARCHEN05/06/1996</t>
  </si>
  <si>
    <t>348.7801988507756</t>
  </si>
  <si>
    <t>336.0972825289292</t>
  </si>
  <si>
    <t>332.0144236437237</t>
  </si>
  <si>
    <t>Johan SEGURA</t>
  </si>
  <si>
    <t>Johan SEGURA20/03/2010</t>
  </si>
  <si>
    <t>199.269910339539</t>
  </si>
  <si>
    <t>182.4086102338857</t>
  </si>
  <si>
    <t>John MULLER</t>
  </si>
  <si>
    <t>John MULLER23/10/1998</t>
  </si>
  <si>
    <t>338.62691587000717</t>
  </si>
  <si>
    <t>663.2504630386231</t>
  </si>
  <si>
    <t>Jonah HEAFALA</t>
  </si>
  <si>
    <t>Jonah HEAFALA20/08/2004</t>
  </si>
  <si>
    <t>344.3430287738646</t>
  </si>
  <si>
    <t>676.2549012743045</t>
  </si>
  <si>
    <t>Jonathan COGNON</t>
  </si>
  <si>
    <t>Jonathan COGNON08/11/1990</t>
  </si>
  <si>
    <t>338.61760805393976</t>
  </si>
  <si>
    <t>78.28</t>
  </si>
  <si>
    <t>323.3896234239705</t>
  </si>
  <si>
    <t>278.1150761446146</t>
  </si>
  <si>
    <t>326.7493787291795</t>
  </si>
  <si>
    <t>303.1217000921286</t>
  </si>
  <si>
    <t>Jonathan LAUGIER</t>
  </si>
  <si>
    <t>Jonathan LAUGIER28/12/1989</t>
  </si>
  <si>
    <t>299.98073085829446</t>
  </si>
  <si>
    <t>281.7791624138574</t>
  </si>
  <si>
    <t>Joris DAWID</t>
  </si>
  <si>
    <t>Joris DAWID29/07/1992</t>
  </si>
  <si>
    <t>289.2611453479328</t>
  </si>
  <si>
    <t>277.39780890110995</t>
  </si>
  <si>
    <t>Joris FORESTIERI</t>
  </si>
  <si>
    <t>Joris FORESTIERI18/06/1993</t>
  </si>
  <si>
    <t>88.55</t>
  </si>
  <si>
    <t>306.57917280966916</t>
  </si>
  <si>
    <t>279.92011430448053</t>
  </si>
  <si>
    <t>284.1298945471126</t>
  </si>
  <si>
    <t>555.3447938875382</t>
  </si>
  <si>
    <t>Joy LAMBERT</t>
  </si>
  <si>
    <t>Joy LAMBERT15/06/1985</t>
  </si>
  <si>
    <t>163.48938685248942</t>
  </si>
  <si>
    <t>161.01227493048202</t>
  </si>
  <si>
    <t>173.39783454051909</t>
  </si>
  <si>
    <t>Jules ACHER</t>
  </si>
  <si>
    <t>Jules ACHER03/10/2005</t>
  </si>
  <si>
    <t>259.08828033045035</t>
  </si>
  <si>
    <t>238.25706181141913</t>
  </si>
  <si>
    <t>52.72</t>
  </si>
  <si>
    <t>Jules LEGOUX</t>
  </si>
  <si>
    <t>Jules LEGOUX17/03/2011</t>
  </si>
  <si>
    <t>177.56509652375706</t>
  </si>
  <si>
    <t>189.9131121274562</t>
  </si>
  <si>
    <t>191.3198720497635</t>
  </si>
  <si>
    <t>Julia BOROWIAK</t>
  </si>
  <si>
    <t>Julia BOROWIAK14/05/2007</t>
  </si>
  <si>
    <t>142.54323634743</t>
  </si>
  <si>
    <t>62.08</t>
  </si>
  <si>
    <t>136.43826859846476</t>
  </si>
  <si>
    <t>264.92867689022285</t>
  </si>
  <si>
    <t>256.5887462110515</t>
  </si>
  <si>
    <t>332.47528429897267</t>
  </si>
  <si>
    <t>CH</t>
  </si>
  <si>
    <t>Juliette BESANCENOT</t>
  </si>
  <si>
    <t>Juliette BESANCENOT23/10/2011</t>
  </si>
  <si>
    <t>150.09701631903437</t>
  </si>
  <si>
    <t>291.46746192184577</t>
  </si>
  <si>
    <t>Juliette GARRIC</t>
  </si>
  <si>
    <t>Juliette GARRIC28/08/1997</t>
  </si>
  <si>
    <t>418.85638424050825</t>
  </si>
  <si>
    <t>Juliette ROBERT</t>
  </si>
  <si>
    <t>Juliette ROBERT01/04/1996</t>
  </si>
  <si>
    <t>166.01806613909346</t>
  </si>
  <si>
    <t>165.74971393618722</t>
  </si>
  <si>
    <t>117.24487823927434</t>
  </si>
  <si>
    <t>Julie CHEDED</t>
  </si>
  <si>
    <t>Julie CHEDED29/11/1984</t>
  </si>
  <si>
    <t>187.18971726776016</t>
  </si>
  <si>
    <t>Julie GONZALEZ</t>
  </si>
  <si>
    <t>Julie GONZALEZ07/06/2010</t>
  </si>
  <si>
    <t>Julie ROUSSEL</t>
  </si>
  <si>
    <t>Julie ROUSSEL14/05/2006</t>
  </si>
  <si>
    <t>209.83772914727626</t>
  </si>
  <si>
    <t>291.64448970795536</t>
  </si>
  <si>
    <t>208.89168646005407</t>
  </si>
  <si>
    <t>209.20198087171758</t>
  </si>
  <si>
    <t>Justine LOTTIN</t>
  </si>
  <si>
    <t>Justine LOTTIN24/07/2001</t>
  </si>
  <si>
    <t>176.99208892164006</t>
  </si>
  <si>
    <t>68.02</t>
  </si>
  <si>
    <t>345.19733654929803</t>
  </si>
  <si>
    <t>Justine PRIEUR</t>
  </si>
  <si>
    <t>Justine PRIEUR04/05/1996</t>
  </si>
  <si>
    <t>197.2706096882003</t>
  </si>
  <si>
    <t>385.7457144858439</t>
  </si>
  <si>
    <t>Justine RECURT</t>
  </si>
  <si>
    <t>Justine RECURT30/08/1997</t>
  </si>
  <si>
    <t>227.63349786385248</t>
  </si>
  <si>
    <t>226.08830432284128</t>
  </si>
  <si>
    <t>443.85433977490317</t>
  </si>
  <si>
    <t>170.03140145406542</t>
  </si>
  <si>
    <t>Jérome LEFEVRE</t>
  </si>
  <si>
    <t>Jérome LEFEVRE22/12/1991</t>
  </si>
  <si>
    <t>345.16958333084233</t>
  </si>
  <si>
    <t>344.25604340473956</t>
  </si>
  <si>
    <t>674.9051285721376</t>
  </si>
  <si>
    <t>Kalia MATHUREL</t>
  </si>
  <si>
    <t>Kalia MATHUREL27/09/2005</t>
  </si>
  <si>
    <t>168.46208560279993</t>
  </si>
  <si>
    <t>123.52128526363362</t>
  </si>
  <si>
    <t>165.28654476585044</t>
  </si>
  <si>
    <t>181.0281204578362</t>
  </si>
  <si>
    <t>Kali FERRAND COGNON</t>
  </si>
  <si>
    <t>Kali FERRAND COGNON14/07/2015</t>
  </si>
  <si>
    <t>84.3793584709509</t>
  </si>
  <si>
    <t>26.25</t>
  </si>
  <si>
    <t>160.02981778973447</t>
  </si>
  <si>
    <t>Kalyah DEMEULEMEESTER</t>
  </si>
  <si>
    <t>Kalyah DEMEULEMEESTER20/10/2011</t>
  </si>
  <si>
    <t>97.24441006090353</t>
  </si>
  <si>
    <t>95.25345708865139</t>
  </si>
  <si>
    <t>182.0021412229589</t>
  </si>
  <si>
    <t>Kateryna ILCHUK</t>
  </si>
  <si>
    <t>Kateryna ILCHUK14/02/2001</t>
  </si>
  <si>
    <t>230.38870105563765</t>
  </si>
  <si>
    <t>223.52696211157598</t>
  </si>
  <si>
    <t>237.90588949887035</t>
  </si>
  <si>
    <t>224.17079662431675</t>
  </si>
  <si>
    <t>Katia BAUD</t>
  </si>
  <si>
    <t>Katia BAUD10/05/1988</t>
  </si>
  <si>
    <t>169.21429498871896</t>
  </si>
  <si>
    <t>Katline MUNIER</t>
  </si>
  <si>
    <t>Katline MUNIER24/03/1994</t>
  </si>
  <si>
    <t>176.39345021978065</t>
  </si>
  <si>
    <t>343.77409641373305</t>
  </si>
  <si>
    <t>Kelly PEREIRA</t>
  </si>
  <si>
    <t>Kelly PEREIRA09/11/2008</t>
  </si>
  <si>
    <t>167.20206783435233</t>
  </si>
  <si>
    <t>167.071481292079</t>
  </si>
  <si>
    <t>320.9877278367502</t>
  </si>
  <si>
    <t>Kelya BOURGUIGNON</t>
  </si>
  <si>
    <t>Kelya BOURGUIGNON23/05/2012</t>
  </si>
  <si>
    <t>64.84692129971593</t>
  </si>
  <si>
    <t>59.742414081448906</t>
  </si>
  <si>
    <t>112.0170264027167</t>
  </si>
  <si>
    <t>Kendjy CHIZZOLINI</t>
  </si>
  <si>
    <t>Kendjy CHIZZOLINI07/07/2014</t>
  </si>
  <si>
    <t>70.72694326554516</t>
  </si>
  <si>
    <t>132.6130186228972</t>
  </si>
  <si>
    <t>35.3</t>
  </si>
  <si>
    <t>Kevin JEROME</t>
  </si>
  <si>
    <t>Kevin JEROME08/11/1992</t>
  </si>
  <si>
    <t>292.32951506290925</t>
  </si>
  <si>
    <t>286.0405195302445</t>
  </si>
  <si>
    <t>305.2809132206197</t>
  </si>
  <si>
    <t>Kevin LECHAT</t>
  </si>
  <si>
    <t>Kevin LECHAT10/04/1992</t>
  </si>
  <si>
    <t>307.72276416579734</t>
  </si>
  <si>
    <t>303.0728171313489</t>
  </si>
  <si>
    <t>592.3695971203638</t>
  </si>
  <si>
    <t>272.87681213288175</t>
  </si>
  <si>
    <t>Kevin RANTRUA</t>
  </si>
  <si>
    <t>Kevin RANTRUA06/07/1990</t>
  </si>
  <si>
    <t>279.0120112847528</t>
  </si>
  <si>
    <t>107.17</t>
  </si>
  <si>
    <t>547.9795901632546</t>
  </si>
  <si>
    <t>Kevin RODOLFO</t>
  </si>
  <si>
    <t>Kevin RODOLFO27/04/1989</t>
  </si>
  <si>
    <t>294.6413712056825</t>
  </si>
  <si>
    <t>256.21465710781064</t>
  </si>
  <si>
    <t>224.18782496933432</t>
  </si>
  <si>
    <t>Khadidja RHAMDAMI-KALLIFA</t>
  </si>
  <si>
    <t>Khadidja RHAMDAMI-KALLIFA07/06/2013</t>
  </si>
  <si>
    <t>120.71559745039187</t>
  </si>
  <si>
    <t>117.88433591210047</t>
  </si>
  <si>
    <t>227.6387176233664</t>
  </si>
  <si>
    <t>Kia ST MART</t>
  </si>
  <si>
    <t>Kia ST MART12/02/2011</t>
  </si>
  <si>
    <t>128.96769002862712</t>
  </si>
  <si>
    <t>56.22</t>
  </si>
  <si>
    <t>Killian CABEL</t>
  </si>
  <si>
    <t>Killian CABEL21/12/1998</t>
  </si>
  <si>
    <t>328.7062767052076</t>
  </si>
  <si>
    <t>293.20599882104517</t>
  </si>
  <si>
    <t>317.08361040548306</t>
  </si>
  <si>
    <t>Killian DALOUR</t>
  </si>
  <si>
    <t>Killian DALOUR13/10/1994</t>
  </si>
  <si>
    <t>290.34913099752816</t>
  </si>
  <si>
    <t>558.6012761317721</t>
  </si>
  <si>
    <t>Killian RODRIGUEZ</t>
  </si>
  <si>
    <t>Killian RODRIGUEZ16/11/2001</t>
  </si>
  <si>
    <t>623.7282542132547</t>
  </si>
  <si>
    <t>Klea ROUSSILLAT</t>
  </si>
  <si>
    <t>Klea ROUSSILLAT09/11/2011</t>
  </si>
  <si>
    <t>121.92415234556319</t>
  </si>
  <si>
    <t>42.46</t>
  </si>
  <si>
    <t>117.99702548525883</t>
  </si>
  <si>
    <t>227.18830279997596</t>
  </si>
  <si>
    <t>Kristina BOYER</t>
  </si>
  <si>
    <t>Kristina BOYER19/04/2007</t>
  </si>
  <si>
    <t>207.82295194191306</t>
  </si>
  <si>
    <t>54.21</t>
  </si>
  <si>
    <t>384.60437327422073</t>
  </si>
  <si>
    <t>Kutea UTIA</t>
  </si>
  <si>
    <t>Kutea UTIA07/11/2003</t>
  </si>
  <si>
    <t>263.31876488907284</t>
  </si>
  <si>
    <t>272.17511426273245</t>
  </si>
  <si>
    <t>Kylian emmanuel MBENGA HARDOROCK</t>
  </si>
  <si>
    <t>Kylian emmanuel MBENGA HARDOROCK20/04/2009</t>
  </si>
  <si>
    <t>218.63911252109475</t>
  </si>
  <si>
    <t>Kéllia RICHARD</t>
  </si>
  <si>
    <t>Kéllia RICHARD07/02/2009</t>
  </si>
  <si>
    <t>187.87508830430193</t>
  </si>
  <si>
    <t>52.39</t>
  </si>
  <si>
    <t>182.79886064793587</t>
  </si>
  <si>
    <t>355.1945341045258</t>
  </si>
  <si>
    <t>161.84318659084758</t>
  </si>
  <si>
    <t>Laetitia COMBELLES</t>
  </si>
  <si>
    <t>Laetitia COMBELLES13/04/1990</t>
  </si>
  <si>
    <t>229.06065578567373</t>
  </si>
  <si>
    <t>216.3533323911782</t>
  </si>
  <si>
    <t>426.48961500100074</t>
  </si>
  <si>
    <t>169.01365850097065</t>
  </si>
  <si>
    <t>Laetitia MARTINELLI</t>
  </si>
  <si>
    <t>Laetitia MARTINELLI18/07/1991</t>
  </si>
  <si>
    <t>162.24466480691902</t>
  </si>
  <si>
    <t>159.92717340802935</t>
  </si>
  <si>
    <t>186.09707451116142</t>
  </si>
  <si>
    <t>158.11369050784776</t>
  </si>
  <si>
    <t>223.29800966419572</t>
  </si>
  <si>
    <t>Laetitia PRIMEL</t>
  </si>
  <si>
    <t>Laetitia PRIMEL29/09/1990</t>
  </si>
  <si>
    <t>184.10976745643538</t>
  </si>
  <si>
    <t>178.02204261094772</t>
  </si>
  <si>
    <t>343.82688621918334</t>
  </si>
  <si>
    <t>158.931946057683</t>
  </si>
  <si>
    <t>Laurane DUPONT</t>
  </si>
  <si>
    <t>Laurane DUPONT13/11/1997</t>
  </si>
  <si>
    <t>170.674751750398</t>
  </si>
  <si>
    <t>165.87925085263618</t>
  </si>
  <si>
    <t>332.0880828631775</t>
  </si>
  <si>
    <t>Laura CARTOLANO</t>
  </si>
  <si>
    <t>Laura CARTOLANO29/08/1993</t>
  </si>
  <si>
    <t>171.70628726929726</t>
  </si>
  <si>
    <t>333.9484484686333</t>
  </si>
  <si>
    <t>Laura HOFLACK</t>
  </si>
  <si>
    <t>Laura HOFLACK17/01/2008</t>
  </si>
  <si>
    <t>147.99988275717877</t>
  </si>
  <si>
    <t>68.12</t>
  </si>
  <si>
    <t>285.9658751579386</t>
  </si>
  <si>
    <t>Laura SEJALON</t>
  </si>
  <si>
    <t>Laura SEJALON19/01/1997</t>
  </si>
  <si>
    <t>Laurent RIQUIER</t>
  </si>
  <si>
    <t>Laurent RIQUIER17/05/1979</t>
  </si>
  <si>
    <t>306.6446438077717</t>
  </si>
  <si>
    <t>578.9694786300649</t>
  </si>
  <si>
    <t>223.36665208165522</t>
  </si>
  <si>
    <t>Laurine JOUSSET</t>
  </si>
  <si>
    <t>Laurine JOUSSET18/07/2004</t>
  </si>
  <si>
    <t>206.13891608471513</t>
  </si>
  <si>
    <t>399.0174340587176</t>
  </si>
  <si>
    <t>Layina KIMOUCHE</t>
  </si>
  <si>
    <t>Layina KIMOUCHE17/11/2010</t>
  </si>
  <si>
    <t>132.43056857900356</t>
  </si>
  <si>
    <t>131.9958530210726</t>
  </si>
  <si>
    <t>257.1347786124791</t>
  </si>
  <si>
    <t>Lea marie ANTONIO</t>
  </si>
  <si>
    <t>Lea marie ANTONIO10/02/2005</t>
  </si>
  <si>
    <t>238.34638246087977</t>
  </si>
  <si>
    <t>226.67343126259706</t>
  </si>
  <si>
    <t>221.41941137661544</t>
  </si>
  <si>
    <t>433.77487024073787</t>
  </si>
  <si>
    <t>Lea ALMEIDA</t>
  </si>
  <si>
    <t>Lea ALMEIDA23/03/1995</t>
  </si>
  <si>
    <t>163.32651081604</t>
  </si>
  <si>
    <t>158.90134660855105</t>
  </si>
  <si>
    <t>Lea CARON</t>
  </si>
  <si>
    <t>Lea CARON28/04/2005</t>
  </si>
  <si>
    <t>157.67853614250882</t>
  </si>
  <si>
    <t>142.64330331828913</t>
  </si>
  <si>
    <t>163.02091807804473</t>
  </si>
  <si>
    <t>142.1049665059895</t>
  </si>
  <si>
    <t>Lea FEILLARD</t>
  </si>
  <si>
    <t>Lea FEILLARD12/09/1998</t>
  </si>
  <si>
    <t>177.88354241649756</t>
  </si>
  <si>
    <t>348.29298641213387</t>
  </si>
  <si>
    <t>Lea FONTENELLE</t>
  </si>
  <si>
    <t>Lea FONTENELLE06/05/2008</t>
  </si>
  <si>
    <t>144.75213677394711</t>
  </si>
  <si>
    <t>69.05</t>
  </si>
  <si>
    <t>140.6720472679745</t>
  </si>
  <si>
    <t>128.2231935274458</t>
  </si>
  <si>
    <t>216.597837866649</t>
  </si>
  <si>
    <t>Lea REDIEN</t>
  </si>
  <si>
    <t>Lea REDIEN29/05/2003</t>
  </si>
  <si>
    <t>197.83200578778352</t>
  </si>
  <si>
    <t>Lea SAVARY</t>
  </si>
  <si>
    <t>Lea SAVARY21/07/2013</t>
  </si>
  <si>
    <t>93.1906455183581</t>
  </si>
  <si>
    <t>75.53863550206272</t>
  </si>
  <si>
    <t>28.84</t>
  </si>
  <si>
    <t>140.65814886590988</t>
  </si>
  <si>
    <t>Lee na PHAM</t>
  </si>
  <si>
    <t>Lee na PHAM15/12/2006</t>
  </si>
  <si>
    <t>200.9023333340196</t>
  </si>
  <si>
    <t>53.46</t>
  </si>
  <si>
    <t>191.8394788789377</t>
  </si>
  <si>
    <t>212.34140791943486</t>
  </si>
  <si>
    <t>Leena AUBRY</t>
  </si>
  <si>
    <t>Leena AUBRY21/05/2012</t>
  </si>
  <si>
    <t>114.82140941822865</t>
  </si>
  <si>
    <t>112.15733540109635</t>
  </si>
  <si>
    <t>219.0572957052663</t>
  </si>
  <si>
    <t>Leilana ROULLET</t>
  </si>
  <si>
    <t>Leilana ROULLET03/07/2007</t>
  </si>
  <si>
    <t>CHM VAUZELLES</t>
  </si>
  <si>
    <t>134.5009508353918</t>
  </si>
  <si>
    <t>120.80177991697227</t>
  </si>
  <si>
    <t>172.8758784496999</t>
  </si>
  <si>
    <t>335.66733065650067</t>
  </si>
  <si>
    <t>122.80089027037278</t>
  </si>
  <si>
    <t>Lenny CLOAREC</t>
  </si>
  <si>
    <t>Lenny CLOAREC25/07/2005</t>
  </si>
  <si>
    <t>258.7091079677412</t>
  </si>
  <si>
    <t>502.20003311385057</t>
  </si>
  <si>
    <t>Leonie DECORTE-DELHAIE</t>
  </si>
  <si>
    <t>Leonie DECORTE-DELHAIE20/07/2012</t>
  </si>
  <si>
    <t>86.92713022036027</t>
  </si>
  <si>
    <t>86.08040741209199</t>
  </si>
  <si>
    <t>33.64</t>
  </si>
  <si>
    <t>45.41</t>
  </si>
  <si>
    <t>83.13338853667446</t>
  </si>
  <si>
    <t>159.61610599041495</t>
  </si>
  <si>
    <t>Leo DELABRE</t>
  </si>
  <si>
    <t>Leo DELABRE26/10/2013</t>
  </si>
  <si>
    <t>122.82366109103</t>
  </si>
  <si>
    <t>122.75618141969386</t>
  </si>
  <si>
    <t>237.99667826267176</t>
  </si>
  <si>
    <t>Leya DUFRANNE</t>
  </si>
  <si>
    <t>Leya DUFRANNE14/08/2011</t>
  </si>
  <si>
    <t>126.3066741003248</t>
  </si>
  <si>
    <t>245.18354384180697</t>
  </si>
  <si>
    <t>Leïlou LORET</t>
  </si>
  <si>
    <t>Leïlou LORET31/03/2005</t>
  </si>
  <si>
    <t>214.2077984951621</t>
  </si>
  <si>
    <t>203.92203458197656</t>
  </si>
  <si>
    <t>176.44317885816412</t>
  </si>
  <si>
    <t>Lia DIAW</t>
  </si>
  <si>
    <t>Lia DIAW07/10/2006</t>
  </si>
  <si>
    <t>Lila jade PICOD KINANY</t>
  </si>
  <si>
    <t>Lila jade PICOD KINANY18/04/2009</t>
  </si>
  <si>
    <t>107.88567953405975</t>
  </si>
  <si>
    <t>57.46</t>
  </si>
  <si>
    <t>Liliane FERNANDES</t>
  </si>
  <si>
    <t>Liliane FERNANDES08/06/2001</t>
  </si>
  <si>
    <t>75.84511632865038</t>
  </si>
  <si>
    <t>174.7242807943659</t>
  </si>
  <si>
    <t>Lilian LABERTRANDIE</t>
  </si>
  <si>
    <t>Lilian LABERTRANDIE08/06/2001</t>
  </si>
  <si>
    <t>315.49688958408933</t>
  </si>
  <si>
    <t>326.4916752449378</t>
  </si>
  <si>
    <t>140.08158207914352</t>
  </si>
  <si>
    <t>Lilou ANCEL</t>
  </si>
  <si>
    <t>Lilou ANCEL05/04/2008</t>
  </si>
  <si>
    <t>174.36836897127137</t>
  </si>
  <si>
    <t>Lily SUEUR</t>
  </si>
  <si>
    <t>Lily SUEUR02/08/2009</t>
  </si>
  <si>
    <t>164.4039347845044</t>
  </si>
  <si>
    <t>Lina RISSO</t>
  </si>
  <si>
    <t>Lina RISSO01/12/2011</t>
  </si>
  <si>
    <t>161.17738728358466</t>
  </si>
  <si>
    <t>156.15018945304863</t>
  </si>
  <si>
    <t>140.1802837135323</t>
  </si>
  <si>
    <t>62.14</t>
  </si>
  <si>
    <t>Linoa TYROU</t>
  </si>
  <si>
    <t>Linoa TYROU23/08/2012</t>
  </si>
  <si>
    <t>76.88523740733734</t>
  </si>
  <si>
    <t>67.82998846310696</t>
  </si>
  <si>
    <t>128.87697807990324</t>
  </si>
  <si>
    <t>Lisa GEFFROY</t>
  </si>
  <si>
    <t>Lisa GEFFROY15/02/2003</t>
  </si>
  <si>
    <t>165.21505295424012</t>
  </si>
  <si>
    <t>323.42946807143613</t>
  </si>
  <si>
    <t>Lisa GHILBERT</t>
  </si>
  <si>
    <t>Lisa GHILBERT18/10/2002</t>
  </si>
  <si>
    <t>151.28859066336727</t>
  </si>
  <si>
    <t>Lisa MIMOUNI VAUDIN</t>
  </si>
  <si>
    <t>Lisa MIMOUNI VAUDIN17/07/1995</t>
  </si>
  <si>
    <t>Lisa MONNET-BESSON</t>
  </si>
  <si>
    <t>Lisa MONNET-BESSON05/02/2010</t>
  </si>
  <si>
    <t>114.21697450584293</t>
  </si>
  <si>
    <t>128.7207173002357</t>
  </si>
  <si>
    <t>Lise COGNARD</t>
  </si>
  <si>
    <t>Lise COGNARD25/08/1994</t>
  </si>
  <si>
    <t>208.7215528533163</t>
  </si>
  <si>
    <t>Lison FORESTIER</t>
  </si>
  <si>
    <t>Lison FORESTIER16/05/2010</t>
  </si>
  <si>
    <t>197.88764093448407</t>
  </si>
  <si>
    <t>387.48059033279213</t>
  </si>
  <si>
    <t>Loane PAYET</t>
  </si>
  <si>
    <t>Loane PAYET21/05/2003</t>
  </si>
  <si>
    <t>254.46318720701845</t>
  </si>
  <si>
    <t>249.37453889664798</t>
  </si>
  <si>
    <t>64.88</t>
  </si>
  <si>
    <t>489.79717126880087</t>
  </si>
  <si>
    <t>Loesha AISSA</t>
  </si>
  <si>
    <t>Loesha AISSA31/01/1992</t>
  </si>
  <si>
    <t>294.54313698111577</t>
  </si>
  <si>
    <t>297.1325287669157</t>
  </si>
  <si>
    <t>Loic BOUVOT</t>
  </si>
  <si>
    <t>Loic BOUVOT25/02/1994</t>
  </si>
  <si>
    <t>289.98199962126836</t>
  </si>
  <si>
    <t>287.64755368624583</t>
  </si>
  <si>
    <t>285.3822100124379</t>
  </si>
  <si>
    <t>314.9488353740869</t>
  </si>
  <si>
    <t>Loic SEIGNEMARTIN</t>
  </si>
  <si>
    <t>Loic SEIGNEMARTIN25/12/1993</t>
  </si>
  <si>
    <t>287.71899602795713</t>
  </si>
  <si>
    <t>245.52020994385674</t>
  </si>
  <si>
    <t>Lola BARRET</t>
  </si>
  <si>
    <t>Lola BARRET22/02/2010</t>
  </si>
  <si>
    <t>46.81977206221314</t>
  </si>
  <si>
    <t>Lola RIOT</t>
  </si>
  <si>
    <t>Lola RIOT23/11/2009</t>
  </si>
  <si>
    <t>150.2800521723197</t>
  </si>
  <si>
    <t>56.74</t>
  </si>
  <si>
    <t>136.23518748331787</t>
  </si>
  <si>
    <t>Lolita THIANN-BO MOREL</t>
  </si>
  <si>
    <t>Lolita THIANN-BO MOREL30/07/2005</t>
  </si>
  <si>
    <t>178.01875264774827</t>
  </si>
  <si>
    <t>347.82125517329274</t>
  </si>
  <si>
    <t>Lorenzo MEDARD</t>
  </si>
  <si>
    <t>Lorenzo MEDARD23/01/2013</t>
  </si>
  <si>
    <t>108.92621052232761</t>
  </si>
  <si>
    <t>211.04453288700975</t>
  </si>
  <si>
    <t>Loris GARLOPEAU</t>
  </si>
  <si>
    <t>Loris GARLOPEAU04/07/2014</t>
  </si>
  <si>
    <t>95.3819670577196</t>
  </si>
  <si>
    <t>36.67</t>
  </si>
  <si>
    <t>181.22573740966726</t>
  </si>
  <si>
    <t>Lou ann TERENNE</t>
  </si>
  <si>
    <t>Lou ann TERENNE19/10/2007</t>
  </si>
  <si>
    <t>149.51850557298064</t>
  </si>
  <si>
    <t>144.82097074596433</t>
  </si>
  <si>
    <t>Lou-anne BESLAY DE USATORRE</t>
  </si>
  <si>
    <t>Lou-anne BESLAY DE USATORRE07/11/2010</t>
  </si>
  <si>
    <t>134.0267215822475</t>
  </si>
  <si>
    <t>260.43828852914004</t>
  </si>
  <si>
    <t>Lou-anne CHILLARON-PEREZ</t>
  </si>
  <si>
    <t>Lou-anne CHILLARON-PEREZ18/07/2005</t>
  </si>
  <si>
    <t>186.46503300371688</t>
  </si>
  <si>
    <t>361.19450448971736</t>
  </si>
  <si>
    <t>Lou-anne GODU</t>
  </si>
  <si>
    <t>Lou-anne GODU08/03/2004</t>
  </si>
  <si>
    <t>201.30559638663107</t>
  </si>
  <si>
    <t>180.05960884547042</t>
  </si>
  <si>
    <t>395.9892981552809</t>
  </si>
  <si>
    <t>190.34355448887337</t>
  </si>
  <si>
    <t>Lou-anne POIROT-LAIR</t>
  </si>
  <si>
    <t>Lou-anne POIROT-LAIR23/11/2009</t>
  </si>
  <si>
    <t>127.74977057792064</t>
  </si>
  <si>
    <t>124.74118959677065</t>
  </si>
  <si>
    <t>106.92101965437485</t>
  </si>
  <si>
    <t>Louane ROUGIER</t>
  </si>
  <si>
    <t>Louane ROUGIER28/12/2002</t>
  </si>
  <si>
    <t>218.38236206018684</t>
  </si>
  <si>
    <t>202.496343929256</t>
  </si>
  <si>
    <t>428.12813353042276</t>
  </si>
  <si>
    <t>Loubna COGNON</t>
  </si>
  <si>
    <t>Loubna COGNON15/02/2006</t>
  </si>
  <si>
    <t>187.77127610427831</t>
  </si>
  <si>
    <t>92.18</t>
  </si>
  <si>
    <t>167.31983908048724</t>
  </si>
  <si>
    <t>325.890928405132</t>
  </si>
  <si>
    <t>Louisa PRASZEZYNKI</t>
  </si>
  <si>
    <t>Louisa PRASZEZYNKI20/11/1998</t>
  </si>
  <si>
    <t>173.7712867516873</t>
  </si>
  <si>
    <t>171.97762870280212</t>
  </si>
  <si>
    <t>Louise BUTTEZ DECRAMP</t>
  </si>
  <si>
    <t>Louise BUTTEZ DECRAMP28/08/2012</t>
  </si>
  <si>
    <t>71.7038819806085</t>
  </si>
  <si>
    <t>66.44574684163689</t>
  </si>
  <si>
    <t>59.19214081774132</t>
  </si>
  <si>
    <t>Louise GREMILLET</t>
  </si>
  <si>
    <t>Louise GREMILLET08/05/1996</t>
  </si>
  <si>
    <t>238.25986108850915</t>
  </si>
  <si>
    <t>Louise RIGAUD</t>
  </si>
  <si>
    <t>Louise RIGAUD21/05/2010</t>
  </si>
  <si>
    <t>189.79794367743133</t>
  </si>
  <si>
    <t>369.7787523370645</t>
  </si>
  <si>
    <t>43.12</t>
  </si>
  <si>
    <t>197.18420406359348</t>
  </si>
  <si>
    <t>Louison GENTIL</t>
  </si>
  <si>
    <t>Louison GENTIL24/01/2006</t>
  </si>
  <si>
    <t>287.24540651089694</t>
  </si>
  <si>
    <t>562.1802955998983</t>
  </si>
  <si>
    <t>Louis DUCHAUFFOUR</t>
  </si>
  <si>
    <t>Louis DUCHAUFFOUR25/07/2012</t>
  </si>
  <si>
    <t>147.5238366894493</t>
  </si>
  <si>
    <t>146.0761841855744</t>
  </si>
  <si>
    <t>280.46627363630284</t>
  </si>
  <si>
    <t>Louis MUGNIERY-SIRIEX</t>
  </si>
  <si>
    <t>Louis MUGNIERY-SIRIEX03/03/2010</t>
  </si>
  <si>
    <t>241.21508685165063</t>
  </si>
  <si>
    <t>466.9234895485523</t>
  </si>
  <si>
    <t>Louna BEAUGER</t>
  </si>
  <si>
    <t>Louna BEAUGER02/04/2008</t>
  </si>
  <si>
    <t>140.0524801161711</t>
  </si>
  <si>
    <t>52.97</t>
  </si>
  <si>
    <t>157.7433197097927</t>
  </si>
  <si>
    <t>Lou COSSUTTA</t>
  </si>
  <si>
    <t>Lou COSSUTTA21/07/2001</t>
  </si>
  <si>
    <t>218.28244686818462</t>
  </si>
  <si>
    <t>212.53870213679895</t>
  </si>
  <si>
    <t>416.42757337268165</t>
  </si>
  <si>
    <t>Lou MATHELIN</t>
  </si>
  <si>
    <t>Lou MATHELIN24/07/2006</t>
  </si>
  <si>
    <t>167.9333047040526</t>
  </si>
  <si>
    <t>192.1157005814362</t>
  </si>
  <si>
    <t>Lou PILARD</t>
  </si>
  <si>
    <t>Lou PILARD08/01/2013</t>
  </si>
  <si>
    <t>50.11044201733672</t>
  </si>
  <si>
    <t>Lucas BOFFY</t>
  </si>
  <si>
    <t>Lucas BOFFY20/03/2009</t>
  </si>
  <si>
    <t>276.3839041694335</t>
  </si>
  <si>
    <t>112.1</t>
  </si>
  <si>
    <t>266.8780157608825</t>
  </si>
  <si>
    <t>521.6751336889678</t>
  </si>
  <si>
    <t>Lucas GRANGER</t>
  </si>
  <si>
    <t>Lucas GRANGER05/04/2010</t>
  </si>
  <si>
    <t>282.7178477474735</t>
  </si>
  <si>
    <t>553.794372352404</t>
  </si>
  <si>
    <t>Lucas JARDIN</t>
  </si>
  <si>
    <t>Lucas JARDIN20/03/2008</t>
  </si>
  <si>
    <t>258.7814799836772</t>
  </si>
  <si>
    <t>507.8759526952381</t>
  </si>
  <si>
    <t>Lucas LEBLANC (2010)</t>
  </si>
  <si>
    <t>Lucas LEBLANC10/05/2010</t>
  </si>
  <si>
    <t>237.29236491456933</t>
  </si>
  <si>
    <t>461.1300081071785</t>
  </si>
  <si>
    <t>Lucas REY</t>
  </si>
  <si>
    <t>Lucas REY20/05/2008</t>
  </si>
  <si>
    <t>278.8206482764066</t>
  </si>
  <si>
    <t>542.966525590897</t>
  </si>
  <si>
    <t>Lucas WAUTHIER</t>
  </si>
  <si>
    <t>Lucas WAUTHIER24/02/2013</t>
  </si>
  <si>
    <t>121.60061591410455</t>
  </si>
  <si>
    <t>237.12120103250388</t>
  </si>
  <si>
    <t>Luca VATAN</t>
  </si>
  <si>
    <t>Luca VATAN10/02/1999</t>
  </si>
  <si>
    <t>302.9774596937878</t>
  </si>
  <si>
    <t>88.53</t>
  </si>
  <si>
    <t>333.2752056631666</t>
  </si>
  <si>
    <t>Luce ROQUET</t>
  </si>
  <si>
    <t>Luce ROQUET14/01/2014</t>
  </si>
  <si>
    <t>78.62551781224971</t>
  </si>
  <si>
    <t>73.47151134878428</t>
  </si>
  <si>
    <t>39.18</t>
  </si>
  <si>
    <t>70.09235033382642</t>
  </si>
  <si>
    <t>136.3959249739325</t>
  </si>
  <si>
    <t>Lucie GANGLOFF</t>
  </si>
  <si>
    <t>Lucie GANGLOFF25/06/2003</t>
  </si>
  <si>
    <t>194.14300166626165</t>
  </si>
  <si>
    <t>381.6824998744872</t>
  </si>
  <si>
    <t>Lucille GHIOTTO</t>
  </si>
  <si>
    <t>Lucille GHIOTTO26/01/2007</t>
  </si>
  <si>
    <t>155.2879619228051</t>
  </si>
  <si>
    <t>146.66085292709369</t>
  </si>
  <si>
    <t>Lucio SALVATICI</t>
  </si>
  <si>
    <t>Lucio SALVATICI18/04/2010</t>
  </si>
  <si>
    <t>226.96793873211388</t>
  </si>
  <si>
    <t>66.13</t>
  </si>
  <si>
    <t>443.88033587483034</t>
  </si>
  <si>
    <t>Luc BOUCKÉ</t>
  </si>
  <si>
    <t>Luc BOUCKÉ18/05/2012</t>
  </si>
  <si>
    <t>165.32402239673317</t>
  </si>
  <si>
    <t>323.53733415274667</t>
  </si>
  <si>
    <t>Ludovic GAY</t>
  </si>
  <si>
    <t>Ludovic GAY27/11/1999</t>
  </si>
  <si>
    <t>344.5461179625184</t>
  </si>
  <si>
    <t>676.3312685930916</t>
  </si>
  <si>
    <t>Ludwig COLOMBO</t>
  </si>
  <si>
    <t>Ludwig COLOMBO18/10/1995</t>
  </si>
  <si>
    <t>373.49590601292095</t>
  </si>
  <si>
    <t>349.015520026508</t>
  </si>
  <si>
    <t>685.3395665975066</t>
  </si>
  <si>
    <t>369.305989117742</t>
  </si>
  <si>
    <t>724.6038200275697</t>
  </si>
  <si>
    <t>Lukas DELAMOTTE</t>
  </si>
  <si>
    <t>Lukas DELAMOTTE11/03/2007</t>
  </si>
  <si>
    <t>313.93989946095314</t>
  </si>
  <si>
    <t>343.21926832259646</t>
  </si>
  <si>
    <t>Luna LITZLER</t>
  </si>
  <si>
    <t>Luna LITZLER02/10/2013</t>
  </si>
  <si>
    <t>161.11361258611427</t>
  </si>
  <si>
    <t>314.3680245582717</t>
  </si>
  <si>
    <t>Lyam DANGUY</t>
  </si>
  <si>
    <t>Lyam DANGUY28/09/2013</t>
  </si>
  <si>
    <t>131.45952243751668</t>
  </si>
  <si>
    <t>33.48</t>
  </si>
  <si>
    <t>252.40228308003202</t>
  </si>
  <si>
    <t>Lyam ST MART</t>
  </si>
  <si>
    <t>Lyam ST MART02/03/2014</t>
  </si>
  <si>
    <t>91.89422747639436</t>
  </si>
  <si>
    <t>176.7196682238353</t>
  </si>
  <si>
    <t>Lya SIGUST DUQUESNOY</t>
  </si>
  <si>
    <t>Lya SIGUST DUQUESNOY21/03/2012</t>
  </si>
  <si>
    <t>80.23685811653765</t>
  </si>
  <si>
    <t>155.3793125431364</t>
  </si>
  <si>
    <t>Lyla NOURTIER</t>
  </si>
  <si>
    <t>Lyla NOURTIER04/07/2005</t>
  </si>
  <si>
    <t>182.24063040924312</t>
  </si>
  <si>
    <t>74.08</t>
  </si>
  <si>
    <t>164.3889732222699</t>
  </si>
  <si>
    <t>173.89430558870606</t>
  </si>
  <si>
    <t>Lylou ROGUET</t>
  </si>
  <si>
    <t>Lylou ROGUET23/09/2010</t>
  </si>
  <si>
    <t>115.61644132602484</t>
  </si>
  <si>
    <t>70.99</t>
  </si>
  <si>
    <t>111.60908304769515</t>
  </si>
  <si>
    <t>121.42087056837164</t>
  </si>
  <si>
    <t>111.64233258763872</t>
  </si>
  <si>
    <t>Lyna FERRAND COGNON</t>
  </si>
  <si>
    <t>Lyna FERRAND COGNON23/04/2010</t>
  </si>
  <si>
    <t>129.59428210620115</t>
  </si>
  <si>
    <t>251.08892158076475</t>
  </si>
  <si>
    <t>Lynn CHUI</t>
  </si>
  <si>
    <t>Lynn CHUI13/04/1995</t>
  </si>
  <si>
    <t>Léa CANAMERO</t>
  </si>
  <si>
    <t>Léa CANAMERO02/02/1998</t>
  </si>
  <si>
    <t>174.75080306340382</t>
  </si>
  <si>
    <t>195.03029664950103</t>
  </si>
  <si>
    <t>Léa STATTNER</t>
  </si>
  <si>
    <t>Léa STATTNER14/05/2011</t>
  </si>
  <si>
    <t>118.87473829433405</t>
  </si>
  <si>
    <t>117.09841616300287</t>
  </si>
  <si>
    <t>225.07228041720032</t>
  </si>
  <si>
    <t>Lého GONDRAN</t>
  </si>
  <si>
    <t>Lého GONDRAN11/05/2009</t>
  </si>
  <si>
    <t>250.56024456560516</t>
  </si>
  <si>
    <t>486.3816512155865</t>
  </si>
  <si>
    <t>Léna BERTRAND</t>
  </si>
  <si>
    <t>Léna BERTRAND07/12/2006</t>
  </si>
  <si>
    <t>182.81480787651557</t>
  </si>
  <si>
    <t>173.0817058446778</t>
  </si>
  <si>
    <t>334.6246312997104</t>
  </si>
  <si>
    <t>Léonard LEVEQUE</t>
  </si>
  <si>
    <t>Léonard LEVEQUE31/01/2000</t>
  </si>
  <si>
    <t>337.2925285623498</t>
  </si>
  <si>
    <t>315.41216262285286</t>
  </si>
  <si>
    <t>147.47022278695312</t>
  </si>
  <si>
    <t>Léonie JUNG-BUCH</t>
  </si>
  <si>
    <t>Léonie JUNG-BUCH21/07/2008</t>
  </si>
  <si>
    <t>121.14308919823092</t>
  </si>
  <si>
    <t>234.05315291697042</t>
  </si>
  <si>
    <t>Léo GUILLEMETTE</t>
  </si>
  <si>
    <t>Léo GUILLEMETTE06/06/2010</t>
  </si>
  <si>
    <t>191.98791575808826</t>
  </si>
  <si>
    <t>367.281230145908</t>
  </si>
  <si>
    <t>Léo MOSER</t>
  </si>
  <si>
    <t>Léo MOSER08/10/2007</t>
  </si>
  <si>
    <t>282.66690594242664</t>
  </si>
  <si>
    <t>307.654035749492</t>
  </si>
  <si>
    <t>Maeline ROBIN</t>
  </si>
  <si>
    <t>Maeline ROBIN28/06/2005</t>
  </si>
  <si>
    <t>121.49154613898942</t>
  </si>
  <si>
    <t>Maelle IRENEE</t>
  </si>
  <si>
    <t>Maelle IRENEE21/09/2006</t>
  </si>
  <si>
    <t>138.8231199827242</t>
  </si>
  <si>
    <t>269.1961370099782</t>
  </si>
  <si>
    <t>Maelle MARTIAL (2002)</t>
  </si>
  <si>
    <t>Maelle MARTIAL12/01/2002</t>
  </si>
  <si>
    <t>Maelyn MICHEL</t>
  </si>
  <si>
    <t>Maelyn MICHEL25/02/2004</t>
  </si>
  <si>
    <t>270.1581792140513</t>
  </si>
  <si>
    <t>254.99204128464532</t>
  </si>
  <si>
    <t>496.56344881746725</t>
  </si>
  <si>
    <t>Maelys GROSJEAN</t>
  </si>
  <si>
    <t>Maelys GROSJEAN21/04/2008</t>
  </si>
  <si>
    <t>164.15639435509146</t>
  </si>
  <si>
    <t>153.01624955899885</t>
  </si>
  <si>
    <t>296.56757646486375</t>
  </si>
  <si>
    <t>Maelys HECQUET</t>
  </si>
  <si>
    <t>Maelys HECQUET13/05/2013</t>
  </si>
  <si>
    <t>81.76699002874253</t>
  </si>
  <si>
    <t>41.32</t>
  </si>
  <si>
    <t>79.38820300080448</t>
  </si>
  <si>
    <t>151.55929663789948</t>
  </si>
  <si>
    <t>210.25734840171916</t>
  </si>
  <si>
    <t>Maelys MROZKOWIAK</t>
  </si>
  <si>
    <t>Maelys MROZKOWIAK20/02/2009</t>
  </si>
  <si>
    <t>146.23083037524867</t>
  </si>
  <si>
    <t>283.02741362951355</t>
  </si>
  <si>
    <t>Maelys PY</t>
  </si>
  <si>
    <t>Maelys PY22/01/2009</t>
  </si>
  <si>
    <t>152.49453652058253</t>
  </si>
  <si>
    <t>Maelys RICHARD</t>
  </si>
  <si>
    <t>Maelys RICHARD15/06/2011</t>
  </si>
  <si>
    <t>169.2158131949689</t>
  </si>
  <si>
    <t>48.71</t>
  </si>
  <si>
    <t>161.7977154300412</t>
  </si>
  <si>
    <t>315.7411728294979</t>
  </si>
  <si>
    <t>163.00947262044977</t>
  </si>
  <si>
    <t>Mael DECRAENE</t>
  </si>
  <si>
    <t>Mael DECRAENE23/07/2013</t>
  </si>
  <si>
    <t>137.77139475785563</t>
  </si>
  <si>
    <t>127.31486801669685</t>
  </si>
  <si>
    <t>241.22817097900455</t>
  </si>
  <si>
    <t>Mael JULLIOT</t>
  </si>
  <si>
    <t>Mael JULLIOT20/07/2010</t>
  </si>
  <si>
    <t>88.49495871442836</t>
  </si>
  <si>
    <t>169.9665080070767</t>
  </si>
  <si>
    <t>Mael VILAIN CHANTREAU</t>
  </si>
  <si>
    <t>Mael VILAIN CHANTREAU31/05/2014</t>
  </si>
  <si>
    <t>102.87334483746905</t>
  </si>
  <si>
    <t>196.6696298363379</t>
  </si>
  <si>
    <t>Maeva MARTIN</t>
  </si>
  <si>
    <t>Maeva MARTIN19/02/2005</t>
  </si>
  <si>
    <t>185.78476095495253</t>
  </si>
  <si>
    <t>Maeva RENCK</t>
  </si>
  <si>
    <t>Maeva RENCK22/04/1997</t>
  </si>
  <si>
    <t>169.09985745876955</t>
  </si>
  <si>
    <t>330.2731590991593</t>
  </si>
  <si>
    <t>Malone CATOLIQUOT</t>
  </si>
  <si>
    <t>Malone CATOLIQUOT31/01/2010</t>
  </si>
  <si>
    <t>222.45094127383808</t>
  </si>
  <si>
    <t>434.2364264592045</t>
  </si>
  <si>
    <t>Manoa LE PIOLET</t>
  </si>
  <si>
    <t>Manoa LE PIOLET20/05/2007</t>
  </si>
  <si>
    <t>633.3966945931429</t>
  </si>
  <si>
    <t>168.36435099752296</t>
  </si>
  <si>
    <t>Manon BERNARD</t>
  </si>
  <si>
    <t>Manon BERNARD20/02/1998</t>
  </si>
  <si>
    <t>215.2000905391011</t>
  </si>
  <si>
    <t>53.78</t>
  </si>
  <si>
    <t>225.3092783733308</t>
  </si>
  <si>
    <t>Manon JAN</t>
  </si>
  <si>
    <t>Manon JAN14/03/2008</t>
  </si>
  <si>
    <t>148.3368112936762</t>
  </si>
  <si>
    <t>286.0781360663755</t>
  </si>
  <si>
    <t>Manon LEROY</t>
  </si>
  <si>
    <t>Manon LEROY26/06/2004</t>
  </si>
  <si>
    <t>173.6651430244118</t>
  </si>
  <si>
    <t>354.4223314478134</t>
  </si>
  <si>
    <t>Manon PERRIER</t>
  </si>
  <si>
    <t>Manon PERRIER13/08/2004</t>
  </si>
  <si>
    <t>162.18629582194544</t>
  </si>
  <si>
    <t>75.53394549856787</t>
  </si>
  <si>
    <t>147.4710364495849</t>
  </si>
  <si>
    <t>Manon RETAILLE</t>
  </si>
  <si>
    <t>Manon RETAILLE02/07/1999</t>
  </si>
  <si>
    <t>233.54369638938897</t>
  </si>
  <si>
    <t>221.6709731091047</t>
  </si>
  <si>
    <t>172.5376126994008</t>
  </si>
  <si>
    <t>Manon SALELLES</t>
  </si>
  <si>
    <t>Manon SALELLES05/11/2002</t>
  </si>
  <si>
    <t>198.93601084880822</t>
  </si>
  <si>
    <t>174.54633616414873</t>
  </si>
  <si>
    <t>193.72278274140766</t>
  </si>
  <si>
    <t>Manon WIPLIER</t>
  </si>
  <si>
    <t>Manon WIPLIER26/02/1993</t>
  </si>
  <si>
    <t>73.40558620391276</t>
  </si>
  <si>
    <t>163.30350316875484</t>
  </si>
  <si>
    <t>Manoé DECLERCQ</t>
  </si>
  <si>
    <t>Manoé DECLERCQ14/02/2012</t>
  </si>
  <si>
    <t>143.5106099711376</t>
  </si>
  <si>
    <t>282.2375329432373</t>
  </si>
  <si>
    <t>Marcel JUREK</t>
  </si>
  <si>
    <t>Marcel JUREK25/02/2006</t>
  </si>
  <si>
    <t>269.56788523232416</t>
  </si>
  <si>
    <t>255.6006372928255</t>
  </si>
  <si>
    <t>53.32</t>
  </si>
  <si>
    <t>Marc AGUILERA</t>
  </si>
  <si>
    <t>Marc AGUILERA29/07/1998</t>
  </si>
  <si>
    <t>321.7192458397272</t>
  </si>
  <si>
    <t>633.1434758125831</t>
  </si>
  <si>
    <t>Marc SINGER</t>
  </si>
  <si>
    <t>Marc SINGER16/10/1997</t>
  </si>
  <si>
    <t>324.6456974973249</t>
  </si>
  <si>
    <t>174.35243529027363</t>
  </si>
  <si>
    <t>316.27316055087886</t>
  </si>
  <si>
    <t>Margaux D ABOVILLE</t>
  </si>
  <si>
    <t>Margaux D ABOVILLE27/04/1993</t>
  </si>
  <si>
    <t>342.43059842890244</t>
  </si>
  <si>
    <t>Margaux LEFEBVRE</t>
  </si>
  <si>
    <t>Margaux LEFEBVRE17/12/1993</t>
  </si>
  <si>
    <t>191.86248732947254</t>
  </si>
  <si>
    <t>167.3184277794253</t>
  </si>
  <si>
    <t>147.71079952402388</t>
  </si>
  <si>
    <t>Margaux ROCHER</t>
  </si>
  <si>
    <t>Margaux ROCHER28/03/1992</t>
  </si>
  <si>
    <t>308.7448460300891</t>
  </si>
  <si>
    <t>Margot CERDAN</t>
  </si>
  <si>
    <t>Margot CERDAN05/09/1997</t>
  </si>
  <si>
    <t>202.9045094661156</t>
  </si>
  <si>
    <t>89.94</t>
  </si>
  <si>
    <t>187.5561633240612</t>
  </si>
  <si>
    <t>215.13795204818786</t>
  </si>
  <si>
    <t>188.4604521223234</t>
  </si>
  <si>
    <t>187.25218541005592</t>
  </si>
  <si>
    <t>Margot KOCHETOVA</t>
  </si>
  <si>
    <t>Margot KOCHETOVA02/10/2008</t>
  </si>
  <si>
    <t>257.8346826511388</t>
  </si>
  <si>
    <t>506.77851417637623</t>
  </si>
  <si>
    <t>Marianna GERACI</t>
  </si>
  <si>
    <t>Marianna GERACI03/08/2010</t>
  </si>
  <si>
    <t>173.54006980811656</t>
  </si>
  <si>
    <t>340.79245592753324</t>
  </si>
  <si>
    <t>Maria ZAVLYANOVA</t>
  </si>
  <si>
    <t>Maria ZAVLYANOVA18/02/1997</t>
  </si>
  <si>
    <t>187.68641403734085</t>
  </si>
  <si>
    <t>79.36200118475624</t>
  </si>
  <si>
    <t>Marie amélie LÉPINAY</t>
  </si>
  <si>
    <t>Marie amélie LÉPINAY23/07/1993</t>
  </si>
  <si>
    <t>167.93540401017347</t>
  </si>
  <si>
    <t>57.04</t>
  </si>
  <si>
    <t>155.34024870941045</t>
  </si>
  <si>
    <t>Marielle HERTRICH</t>
  </si>
  <si>
    <t>Marielle HERTRICH22/11/1997</t>
  </si>
  <si>
    <t>242.15846333163518</t>
  </si>
  <si>
    <t>236.2192325994083</t>
  </si>
  <si>
    <t>463.6896047321718</t>
  </si>
  <si>
    <t>168.30217492629342</t>
  </si>
  <si>
    <t>Marie BACQUAERT</t>
  </si>
  <si>
    <t>Marie BACQUAERT16/11/1989</t>
  </si>
  <si>
    <t>181.95324549017073</t>
  </si>
  <si>
    <t>179.55604415949387</t>
  </si>
  <si>
    <t>162.13642793506537</t>
  </si>
  <si>
    <t>Marie CAVALLINI</t>
  </si>
  <si>
    <t>Marie CAVALLINI22/07/2008</t>
  </si>
  <si>
    <t>Marie COUSIN</t>
  </si>
  <si>
    <t>Marie COUSIN01/04/2007</t>
  </si>
  <si>
    <t>164.05843941955857</t>
  </si>
  <si>
    <t>151.27360481005542</t>
  </si>
  <si>
    <t>156.25219183742132</t>
  </si>
  <si>
    <t>Marie KAMIENNY</t>
  </si>
  <si>
    <t>Marie KAMIENNY07/12/1998</t>
  </si>
  <si>
    <t>Marie MANTAROPOULOS</t>
  </si>
  <si>
    <t>Marie MANTAROPOULOS11/04/2002</t>
  </si>
  <si>
    <t>265.3312618273701</t>
  </si>
  <si>
    <t>501.07585536842817</t>
  </si>
  <si>
    <t>Marie RIQUIER</t>
  </si>
  <si>
    <t>Marie RIQUIER09/09/2012</t>
  </si>
  <si>
    <t>84.7020639429586</t>
  </si>
  <si>
    <t>Marilou LALLOYEAU</t>
  </si>
  <si>
    <t>Marilou LALLOYEAU21/09/2000</t>
  </si>
  <si>
    <t>210.03190686243335</t>
  </si>
  <si>
    <t>Marina NONCLERCQ</t>
  </si>
  <si>
    <t>Marina NONCLERCQ18/10/1999</t>
  </si>
  <si>
    <t>167.02283855015617</t>
  </si>
  <si>
    <t>161.39287124242242</t>
  </si>
  <si>
    <t>186.22254374125663</t>
  </si>
  <si>
    <t>232.61276209325106</t>
  </si>
  <si>
    <t>Marine DUGAS</t>
  </si>
  <si>
    <t>Marine DUGAS30/09/2001</t>
  </si>
  <si>
    <t>163.12918353168013</t>
  </si>
  <si>
    <t>54.11</t>
  </si>
  <si>
    <t>161.1465496769764</t>
  </si>
  <si>
    <t>174.2124861372718</t>
  </si>
  <si>
    <t>Marine ESCUILLIE</t>
  </si>
  <si>
    <t>Marine ESCUILLIE09/10/1988</t>
  </si>
  <si>
    <t>326.2356664088503</t>
  </si>
  <si>
    <t>177.85830723336346</t>
  </si>
  <si>
    <t>Marine JULLIEN</t>
  </si>
  <si>
    <t>Marine JULLIEN22/09/1996</t>
  </si>
  <si>
    <t>193.91329147150145</t>
  </si>
  <si>
    <t>182.94709006030055</t>
  </si>
  <si>
    <t>83.27006231338298</t>
  </si>
  <si>
    <t>Marion BITHOREL</t>
  </si>
  <si>
    <t>Marion BITHOREL08/02/2001</t>
  </si>
  <si>
    <t>206.49429827402037</t>
  </si>
  <si>
    <t>406.4539668558249</t>
  </si>
  <si>
    <t>Marion DUBOIS</t>
  </si>
  <si>
    <t>Marion DUBOIS19/11/2000</t>
  </si>
  <si>
    <t>199.0354240682977</t>
  </si>
  <si>
    <t>213.34516043922105</t>
  </si>
  <si>
    <t>Marion MOUDIN</t>
  </si>
  <si>
    <t>Marion MOUDIN17/05/1997</t>
  </si>
  <si>
    <t>177.67421144760524</t>
  </si>
  <si>
    <t>Marion WIETRICH</t>
  </si>
  <si>
    <t>Marion WIETRICH21/10/1999</t>
  </si>
  <si>
    <t>192.5300424855251</t>
  </si>
  <si>
    <t>167.88426226475372</t>
  </si>
  <si>
    <t>327.7740358502335</t>
  </si>
  <si>
    <t>Marlon BONNENFANT</t>
  </si>
  <si>
    <t>Marlon BONNENFANT27/07/2012</t>
  </si>
  <si>
    <t>172.406176482103</t>
  </si>
  <si>
    <t>170.09777998738898</t>
  </si>
  <si>
    <t>165.231083538734</t>
  </si>
  <si>
    <t>321.5307571564553</t>
  </si>
  <si>
    <t>Martin FELICIANO</t>
  </si>
  <si>
    <t>Martin FELICIANO24/09/2004</t>
  </si>
  <si>
    <t>319.0593241756205</t>
  </si>
  <si>
    <t>294.2938119136261</t>
  </si>
  <si>
    <t>272.22177602010413</t>
  </si>
  <si>
    <t>Mathias DIXNEUF</t>
  </si>
  <si>
    <t>Mathias DIXNEUF11/02/1999</t>
  </si>
  <si>
    <t>316.56679161417355</t>
  </si>
  <si>
    <t>299.8470488854514</t>
  </si>
  <si>
    <t>93.05</t>
  </si>
  <si>
    <t>136.10768809267103</t>
  </si>
  <si>
    <t>307.0418496969994</t>
  </si>
  <si>
    <t>Mathieu TANG</t>
  </si>
  <si>
    <t>Mathieu TANG14/09/1992</t>
  </si>
  <si>
    <t>299.29283977057787</t>
  </si>
  <si>
    <t>581.8252805140033</t>
  </si>
  <si>
    <t>Mathilda JAMAR</t>
  </si>
  <si>
    <t>Mathilda JAMAR21/04/1991</t>
  </si>
  <si>
    <t>172.08555586720678</t>
  </si>
  <si>
    <t>179.7338027946382</t>
  </si>
  <si>
    <t>Mathilde DELACHAT</t>
  </si>
  <si>
    <t>Mathilde DELACHAT14/05/1979</t>
  </si>
  <si>
    <t>188.0700881946882</t>
  </si>
  <si>
    <t>204.09984474312722</t>
  </si>
  <si>
    <t>200.9987962499236</t>
  </si>
  <si>
    <t>390.2509096021244</t>
  </si>
  <si>
    <t>Mathilde FERREIRA ROLO</t>
  </si>
  <si>
    <t>Mathilde FERREIRA ROLO16/01/2002</t>
  </si>
  <si>
    <t>179.6171471930289</t>
  </si>
  <si>
    <t>BFC - Critérium National - Besançon - BFC-Critérium u15 F F-Besançondim 15 Déc 2024</t>
  </si>
  <si>
    <t>174.117870351694</t>
  </si>
  <si>
    <t>191.78200212650353</t>
  </si>
  <si>
    <t>Critérium National - Besançon - BFC-Critérium u15 F F-Besançon</t>
  </si>
  <si>
    <t>158.55850098199915</t>
  </si>
  <si>
    <t>Mathilde PAYRARD</t>
  </si>
  <si>
    <t>Mathilde PAYRARD26/02/2000</t>
  </si>
  <si>
    <t>156.02589153569534</t>
  </si>
  <si>
    <t>148.22773490176803</t>
  </si>
  <si>
    <t>Mathilde ROSTOUCHER</t>
  </si>
  <si>
    <t>Mathilde ROSTOUCHER28/11/1995</t>
  </si>
  <si>
    <t>185.31817660306012</t>
  </si>
  <si>
    <t>178.4429530901255</t>
  </si>
  <si>
    <t>Mathis BELLIER--BARREAU</t>
  </si>
  <si>
    <t>Mathis BELLIER--BARREAU07/01/2009</t>
  </si>
  <si>
    <t>222.6414526198061</t>
  </si>
  <si>
    <t>434.30762236398795</t>
  </si>
  <si>
    <t>Mathis HENNOUS</t>
  </si>
  <si>
    <t>Mathis HENNOUS25/04/2001</t>
  </si>
  <si>
    <t>351.5181304164692</t>
  </si>
  <si>
    <t>351.24940012295735</t>
  </si>
  <si>
    <t>690.2601451893657</t>
  </si>
  <si>
    <t>Mathis KUKRIC</t>
  </si>
  <si>
    <t>Mathis KUKRIC25/03/2012</t>
  </si>
  <si>
    <t>160.45630299188554</t>
  </si>
  <si>
    <t>262.36486297418605</t>
  </si>
  <si>
    <t>Mathis SIMARD--FERNANDES</t>
  </si>
  <si>
    <t>Mathis SIMARD--FERNANDES05/08/2006</t>
  </si>
  <si>
    <t>275.76877761391904</t>
  </si>
  <si>
    <t>270.8250329555686</t>
  </si>
  <si>
    <t>242.31713474971923</t>
  </si>
  <si>
    <t>45.79</t>
  </si>
  <si>
    <t>Mathéo MARLOT NIZET</t>
  </si>
  <si>
    <t>Mathéo MARLOT NIZET25/09/2013</t>
  </si>
  <si>
    <t>124.9567507062309</t>
  </si>
  <si>
    <t>123.39484762961027</t>
  </si>
  <si>
    <t>238.69822984088543</t>
  </si>
  <si>
    <t>Matis DEMEILLERS</t>
  </si>
  <si>
    <t>Matis DEMEILLERS26/11/2006</t>
  </si>
  <si>
    <t>121.12437306667074</t>
  </si>
  <si>
    <t>236.34024013008926</t>
  </si>
  <si>
    <t>262.96335457621234</t>
  </si>
  <si>
    <t>Matthieu BITOUN</t>
  </si>
  <si>
    <t>Matthieu BITOUN01/12/2004</t>
  </si>
  <si>
    <t>308.95351123921654</t>
  </si>
  <si>
    <t>Maude GLASSIER</t>
  </si>
  <si>
    <t>Maude GLASSIER17/02/2015</t>
  </si>
  <si>
    <t>94.89332581148592</t>
  </si>
  <si>
    <t>184.12137844019657</t>
  </si>
  <si>
    <t>Maud GARRO</t>
  </si>
  <si>
    <t>Maud GARRO03/12/1993</t>
  </si>
  <si>
    <t>358.7727362632656</t>
  </si>
  <si>
    <t>Maureen DEVOS</t>
  </si>
  <si>
    <t>Maureen DEVOS14/11/1994</t>
  </si>
  <si>
    <t>178.22467164643314</t>
  </si>
  <si>
    <t>190.5160283117044</t>
  </si>
  <si>
    <t>Maureen MORVAN</t>
  </si>
  <si>
    <t>Maureen MORVAN27/12/1987</t>
  </si>
  <si>
    <t>374.588665738494</t>
  </si>
  <si>
    <t>Maxence AOUNI</t>
  </si>
  <si>
    <t>Maxence AOUNI21/07/2010</t>
  </si>
  <si>
    <t>285.50924378554095</t>
  </si>
  <si>
    <t>556.5988287940344</t>
  </si>
  <si>
    <t>Maxence BON</t>
  </si>
  <si>
    <t>Maxence BON30/08/1999</t>
  </si>
  <si>
    <t>150.72417286085428</t>
  </si>
  <si>
    <t>163.41673478597883</t>
  </si>
  <si>
    <t>Maxence DUPONT</t>
  </si>
  <si>
    <t>Maxence DUPONT05/09/2005</t>
  </si>
  <si>
    <t>Maxence GLEVAREC</t>
  </si>
  <si>
    <t>Maxence GLEVAREC26/07/1991</t>
  </si>
  <si>
    <t>285.3049267346877</t>
  </si>
  <si>
    <t>280.08761241621926</t>
  </si>
  <si>
    <t>Maxime BISTEUR</t>
  </si>
  <si>
    <t>Maxime BISTEUR13/12/1993</t>
  </si>
  <si>
    <t>317.8369417004762</t>
  </si>
  <si>
    <t>619.7820363159285</t>
  </si>
  <si>
    <t>Maxime BOULINGUEZ</t>
  </si>
  <si>
    <t>Maxime BOULINGUEZ22/10/1995</t>
  </si>
  <si>
    <t>337.5116234760206</t>
  </si>
  <si>
    <t>308.21373949372713</t>
  </si>
  <si>
    <t>Maxime HERBE</t>
  </si>
  <si>
    <t>Maxime HERBE09/07/2002</t>
  </si>
  <si>
    <t>284.1757862049334</t>
  </si>
  <si>
    <t>282.2395043490133</t>
  </si>
  <si>
    <t>554.1531731730627</t>
  </si>
  <si>
    <t>273.79697738021304</t>
  </si>
  <si>
    <t>Maxime TÉLISMART</t>
  </si>
  <si>
    <t>Maxime TÉLISMART04/07/2011</t>
  </si>
  <si>
    <t>170.67770640778517</t>
  </si>
  <si>
    <t>169.62621460639193</t>
  </si>
  <si>
    <t>329.61457611014794</t>
  </si>
  <si>
    <t>Maya charlotte FIRENZULA</t>
  </si>
  <si>
    <t>Maya charlotte FIRENZULA31/07/2008</t>
  </si>
  <si>
    <t>183.72232837588663</t>
  </si>
  <si>
    <t>360.28664395790753</t>
  </si>
  <si>
    <t>Maé simon RICO</t>
  </si>
  <si>
    <t>Maé simon RICO04/06/2009</t>
  </si>
  <si>
    <t>250.44687787620302</t>
  </si>
  <si>
    <t>486.5825055880516</t>
  </si>
  <si>
    <t>Maïana ZAOUROU</t>
  </si>
  <si>
    <t>Maïana ZAOUROU07/02/2009</t>
  </si>
  <si>
    <t>139.2900009724543</t>
  </si>
  <si>
    <t>60.63</t>
  </si>
  <si>
    <t>Mehdi BAKHOUY</t>
  </si>
  <si>
    <t>Mehdi BAKHOUY10/08/1996</t>
  </si>
  <si>
    <t>306.5757114854706</t>
  </si>
  <si>
    <t>Melanie FRERET</t>
  </si>
  <si>
    <t>Melanie FRERET17/07/1996</t>
  </si>
  <si>
    <t>156.0747904260259</t>
  </si>
  <si>
    <t>151.87526948850447</t>
  </si>
  <si>
    <t>154.79105516354676</t>
  </si>
  <si>
    <t>Melanie PRIM</t>
  </si>
  <si>
    <t>Melanie PRIM15/09/1981</t>
  </si>
  <si>
    <t>159.44154721099306</t>
  </si>
  <si>
    <t>152.52754297266307</t>
  </si>
  <si>
    <t>295.21459930192856</t>
  </si>
  <si>
    <t>Melany LE VIENNESSE - BOHER</t>
  </si>
  <si>
    <t>Melany LE VIENNESSE - BOHER08/08/2012</t>
  </si>
  <si>
    <t>133.19587777179584</t>
  </si>
  <si>
    <t>152.22386031062382</t>
  </si>
  <si>
    <t>100.1929590833358</t>
  </si>
  <si>
    <t>Melyn BAUDY</t>
  </si>
  <si>
    <t>Melyn BAUDY08/03/2015</t>
  </si>
  <si>
    <t>92.49198658202775</t>
  </si>
  <si>
    <t>90.13208091692556</t>
  </si>
  <si>
    <t>176.07197202376156</t>
  </si>
  <si>
    <t>Mickael COSTA</t>
  </si>
  <si>
    <t>Mickael COSTA26/03/1992</t>
  </si>
  <si>
    <t>284.81461765659463</t>
  </si>
  <si>
    <t>130.05889391455557</t>
  </si>
  <si>
    <t>255.25577310333338</t>
  </si>
  <si>
    <t>Miguel adolfo TORREZ DAURA</t>
  </si>
  <si>
    <t>Miguel adolfo TORREZ DAURA07/10/1997</t>
  </si>
  <si>
    <t>309.701713736048</t>
  </si>
  <si>
    <t>300.5718536066827</t>
  </si>
  <si>
    <t>588.0753657522052</t>
  </si>
  <si>
    <t>Mila MARGUERAT</t>
  </si>
  <si>
    <t>Mila MARGUERAT22/04/2013</t>
  </si>
  <si>
    <t>Mohamed BARKAT</t>
  </si>
  <si>
    <t>Mohamed BARKAT25/06/1985</t>
  </si>
  <si>
    <t>290.734661124733</t>
  </si>
  <si>
    <t>285.2716397146439</t>
  </si>
  <si>
    <t>269.5638517356966</t>
  </si>
  <si>
    <t>280.89856360001676</t>
  </si>
  <si>
    <t>546.365087702482</t>
  </si>
  <si>
    <t>181.495288157759</t>
  </si>
  <si>
    <t>Morgane VERMONT</t>
  </si>
  <si>
    <t>Morgane VERMONT19/11/1988</t>
  </si>
  <si>
    <t>232.48991431965356</t>
  </si>
  <si>
    <t>452.5987089418108</t>
  </si>
  <si>
    <t>230.27195172786674</t>
  </si>
  <si>
    <t>Morgan LORE</t>
  </si>
  <si>
    <t>Morgan LORE01/01/1986</t>
  </si>
  <si>
    <t>283.0198580578592</t>
  </si>
  <si>
    <t>308.40280496887794</t>
  </si>
  <si>
    <t>Mounira NAKOULMA</t>
  </si>
  <si>
    <t>Mounira NAKOULMA30/04/2012</t>
  </si>
  <si>
    <t>107.3574341855631</t>
  </si>
  <si>
    <t>99.00003658996778</t>
  </si>
  <si>
    <t>193.87507165535354</t>
  </si>
  <si>
    <t>Mya ONEZIME</t>
  </si>
  <si>
    <t>Mya ONEZIME14/11/2011</t>
  </si>
  <si>
    <t>158.11272680301562</t>
  </si>
  <si>
    <t>142.47967274402114</t>
  </si>
  <si>
    <t>119.89143194313974</t>
  </si>
  <si>
    <t>211.8906308587475</t>
  </si>
  <si>
    <t>Méline FORESTIER</t>
  </si>
  <si>
    <t>Méline FORESTIER12/12/2013</t>
  </si>
  <si>
    <t>107.22930239567813</t>
  </si>
  <si>
    <t>209.2279071135183</t>
  </si>
  <si>
    <t>151.54565094060447</t>
  </si>
  <si>
    <t>Nadji LEMOYNE</t>
  </si>
  <si>
    <t>Nadji LEMOYNE06/11/1986</t>
  </si>
  <si>
    <t>165.44555040430936</t>
  </si>
  <si>
    <t>320.46933385401655</t>
  </si>
  <si>
    <t>Nahil ARAB</t>
  </si>
  <si>
    <t>Nahil ARAB22/10/2013</t>
  </si>
  <si>
    <t>174.0897860982152</t>
  </si>
  <si>
    <t>168.7910646352483</t>
  </si>
  <si>
    <t>29.48</t>
  </si>
  <si>
    <t>167.21257926720656</t>
  </si>
  <si>
    <t>322.2642436786163</t>
  </si>
  <si>
    <t>Naomie ROUSSEL</t>
  </si>
  <si>
    <t>Naomie ROUSSEL23/04/2009</t>
  </si>
  <si>
    <t>169.85178411923255</t>
  </si>
  <si>
    <t>326.50482537731796</t>
  </si>
  <si>
    <t>Nathanael TRANQUILLAIN</t>
  </si>
  <si>
    <t>Nathanael TRANQUILLAIN13/01/2005</t>
  </si>
  <si>
    <t>262.97159093431776</t>
  </si>
  <si>
    <t>236.00014571028518</t>
  </si>
  <si>
    <t>Nathaniel PENEZ</t>
  </si>
  <si>
    <t>Nathaniel PENEZ17/09/2013</t>
  </si>
  <si>
    <t>58.71383159994909</t>
  </si>
  <si>
    <t>58.323942180625025</t>
  </si>
  <si>
    <t>112.57877211609016</t>
  </si>
  <si>
    <t>Nathan DESRIVIERES</t>
  </si>
  <si>
    <t>Nathan DESRIVIERES11/02/2008</t>
  </si>
  <si>
    <t>292.6508250231122</t>
  </si>
  <si>
    <t>322.4578534976884</t>
  </si>
  <si>
    <t>Nathan LUTUN</t>
  </si>
  <si>
    <t>Nathan LUTUN12/04/2012</t>
  </si>
  <si>
    <t>102.21324432688944</t>
  </si>
  <si>
    <t>100.91853264930268</t>
  </si>
  <si>
    <t>194.36161843569406</t>
  </si>
  <si>
    <t>Natymael BOITTIN</t>
  </si>
  <si>
    <t>Natymael BOITTIN10/10/1994</t>
  </si>
  <si>
    <t>Nawel BESBAS</t>
  </si>
  <si>
    <t>Nawel BESBAS18/12/1995</t>
  </si>
  <si>
    <t>153.50183441782823</t>
  </si>
  <si>
    <t>Nicolas LE ROUX</t>
  </si>
  <si>
    <t>Nicolas LE ROUX21/08/1994</t>
  </si>
  <si>
    <t>314.07166584889717</t>
  </si>
  <si>
    <t>99.25</t>
  </si>
  <si>
    <t>621.2406577230934</t>
  </si>
  <si>
    <t>Nicolas MICHELET</t>
  </si>
  <si>
    <t>Nicolas MICHELET16/03/1990</t>
  </si>
  <si>
    <t>290.5843724083767</t>
  </si>
  <si>
    <t>570.2547777779412</t>
  </si>
  <si>
    <t>Nicolas SAMMUT</t>
  </si>
  <si>
    <t>Nicolas SAMMUT14/01/1998</t>
  </si>
  <si>
    <t>358.00994746011105</t>
  </si>
  <si>
    <t>154.02301522503546</t>
  </si>
  <si>
    <t>302.86878624082607</t>
  </si>
  <si>
    <t>343.84132388456726</t>
  </si>
  <si>
    <t>Nicolas SANIER</t>
  </si>
  <si>
    <t>Nicolas SANIER02/02/1995</t>
  </si>
  <si>
    <t>329.39474012801685</t>
  </si>
  <si>
    <t>293.46076847768774</t>
  </si>
  <si>
    <t>Nina CAPITAINE</t>
  </si>
  <si>
    <t>Nina CAPITAINE16/07/1998</t>
  </si>
  <si>
    <t>210.64827443697934</t>
  </si>
  <si>
    <t>193.53310213897475</t>
  </si>
  <si>
    <t>Nina DE SAMPAIO</t>
  </si>
  <si>
    <t>Nina DE SAMPAIO19/10/2002</t>
  </si>
  <si>
    <t>379.1512156322171</t>
  </si>
  <si>
    <t>Nina DIOGUARDI</t>
  </si>
  <si>
    <t>Nina DIOGUARDI05/01/2007</t>
  </si>
  <si>
    <t>174.55155738710894</t>
  </si>
  <si>
    <t>52.03</t>
  </si>
  <si>
    <t>171.7818327641365</t>
  </si>
  <si>
    <t>333.10738005567345</t>
  </si>
  <si>
    <t>Nina FRABBONI</t>
  </si>
  <si>
    <t>Nina FRABBONI14/05/2010</t>
  </si>
  <si>
    <t>150.60743904018065</t>
  </si>
  <si>
    <t>Nina PANN</t>
  </si>
  <si>
    <t>Nina PANN28/07/1993</t>
  </si>
  <si>
    <t>215.0503433188458</t>
  </si>
  <si>
    <t>191.5903058658808</t>
  </si>
  <si>
    <t>198.45901366325347</t>
  </si>
  <si>
    <t>349.2823195300886</t>
  </si>
  <si>
    <t>Noah BURGEOT</t>
  </si>
  <si>
    <t>Noah BURGEOT15/07/2013</t>
  </si>
  <si>
    <t>57.05910057673686</t>
  </si>
  <si>
    <t>64.38</t>
  </si>
  <si>
    <t>108.26598570970583</t>
  </si>
  <si>
    <t>Noah VEFOUR</t>
  </si>
  <si>
    <t>Noah VEFOUR21/11/2012</t>
  </si>
  <si>
    <t>230.3289332056555</t>
  </si>
  <si>
    <t>449.5576768592312</t>
  </si>
  <si>
    <t>40.46</t>
  </si>
  <si>
    <t>327.0261772958059</t>
  </si>
  <si>
    <t>Noa TCHINDA</t>
  </si>
  <si>
    <t>Noa TCHINDA19/09/2005</t>
  </si>
  <si>
    <t>Noelle LARGEAS</t>
  </si>
  <si>
    <t>Noelle LARGEAS12/06/2001</t>
  </si>
  <si>
    <t>Noelle ZHENG</t>
  </si>
  <si>
    <t>Noelle ZHENG25/12/2002</t>
  </si>
  <si>
    <t>190.16346629466992</t>
  </si>
  <si>
    <t>Noe ANTY-MANIER</t>
  </si>
  <si>
    <t>Noe ANTY-MANIER08/05/2008</t>
  </si>
  <si>
    <t>300.16189877188054</t>
  </si>
  <si>
    <t>263.7049879898708</t>
  </si>
  <si>
    <t>Nolan DENHEZ</t>
  </si>
  <si>
    <t>Nolan DENHEZ10/04/2013</t>
  </si>
  <si>
    <t>69.73099727004687</t>
  </si>
  <si>
    <t>34.03</t>
  </si>
  <si>
    <t>129.13147642601274</t>
  </si>
  <si>
    <t>Nourhene TRIMECH</t>
  </si>
  <si>
    <t>Nourhene TRIMECH25/06/2003</t>
  </si>
  <si>
    <t>384.1229511407037</t>
  </si>
  <si>
    <t>Noémie QUERE</t>
  </si>
  <si>
    <t>Noémie QUERE18/06/2005</t>
  </si>
  <si>
    <t>150.09650369312476</t>
  </si>
  <si>
    <t>Noémie TARDY</t>
  </si>
  <si>
    <t>Noémie TARDY28/04/1999</t>
  </si>
  <si>
    <t>Océane GIRARD-CLOS</t>
  </si>
  <si>
    <t>Océane GIRARD-CLOS27/08/2007</t>
  </si>
  <si>
    <t>162.41408068017046</t>
  </si>
  <si>
    <t>Océane HERNEQUET</t>
  </si>
  <si>
    <t>Océane HERNEQUET06/12/1998</t>
  </si>
  <si>
    <t>194.60605246311073</t>
  </si>
  <si>
    <t>Océane SCHOTT</t>
  </si>
  <si>
    <t>Océane SCHOTT05/08/2006</t>
  </si>
  <si>
    <t>148.15326591562496</t>
  </si>
  <si>
    <t>288.3697497286272</t>
  </si>
  <si>
    <t>Olivia ETIENNE</t>
  </si>
  <si>
    <t>Olivia ETIENNE11/08/2004</t>
  </si>
  <si>
    <t>179.80923116444475</t>
  </si>
  <si>
    <t>176.7504108384165</t>
  </si>
  <si>
    <t>341.26425477263496</t>
  </si>
  <si>
    <t>Olivia NANTERMOZ</t>
  </si>
  <si>
    <t>Olivia NANTERMOZ20/06/1995</t>
  </si>
  <si>
    <t>173.99732869278108</t>
  </si>
  <si>
    <t>153.25592527244956</t>
  </si>
  <si>
    <t>Olivier RICHARD</t>
  </si>
  <si>
    <t>Olivier RICHARD23/11/1980</t>
  </si>
  <si>
    <t>239.05974340624792</t>
  </si>
  <si>
    <t>464.3804210994931</t>
  </si>
  <si>
    <t>Ombeline BEGIN</t>
  </si>
  <si>
    <t>Ombeline BEGIN23/05/2008</t>
  </si>
  <si>
    <t>124.58576846551807</t>
  </si>
  <si>
    <t>241.48105739612762</t>
  </si>
  <si>
    <t>Orane LORTAL</t>
  </si>
  <si>
    <t>Orane LORTAL22/06/1999</t>
  </si>
  <si>
    <t>Oriane GREMBER</t>
  </si>
  <si>
    <t>Oriane GREMBER11/10/1993</t>
  </si>
  <si>
    <t>79.24</t>
  </si>
  <si>
    <t>176.6327439814676</t>
  </si>
  <si>
    <t>346.293142805772</t>
  </si>
  <si>
    <t>Oriane SEGAUX</t>
  </si>
  <si>
    <t>Oriane SEGAUX10/03/2008</t>
  </si>
  <si>
    <t>169.00932938158098</t>
  </si>
  <si>
    <t>327.81981992117005</t>
  </si>
  <si>
    <t>Ornella NICOLOSI</t>
  </si>
  <si>
    <t>Ornella NICOLOSI22/09/1993</t>
  </si>
  <si>
    <t>215.844499913735</t>
  </si>
  <si>
    <t>279.21241602120637</t>
  </si>
  <si>
    <t>Paolo DOS SANTOS</t>
  </si>
  <si>
    <t>Paolo DOS SANTOS10/09/2011</t>
  </si>
  <si>
    <t>186.68370370919575</t>
  </si>
  <si>
    <t>186.15564894661748</t>
  </si>
  <si>
    <t>355.38805707990605</t>
  </si>
  <si>
    <t>Paolo SPAGNULO</t>
  </si>
  <si>
    <t>Paolo SPAGNULO30/06/1998</t>
  </si>
  <si>
    <t>304.9486875759723</t>
  </si>
  <si>
    <t>596.3441001485681</t>
  </si>
  <si>
    <t>310.8259126615612</t>
  </si>
  <si>
    <t>297.2982151410804</t>
  </si>
  <si>
    <t>Patricia GOMEZ</t>
  </si>
  <si>
    <t>Patricia GOMEZ07/12/1993</t>
  </si>
  <si>
    <t>Paul-maxime MOULS</t>
  </si>
  <si>
    <t>Paul-maxime MOULS07/06/2011</t>
  </si>
  <si>
    <t>120.47194621672651</t>
  </si>
  <si>
    <t>237.05770062001022</t>
  </si>
  <si>
    <t>Pauline DEPENWEILLER</t>
  </si>
  <si>
    <t>Pauline DEPENWEILLER27/05/2001</t>
  </si>
  <si>
    <t>227.00989219095968</t>
  </si>
  <si>
    <t>207.5865859072412</t>
  </si>
  <si>
    <t>232.32469879037788</t>
  </si>
  <si>
    <t>Pauline JACQUEMIN</t>
  </si>
  <si>
    <t>Pauline JACQUEMIN13/05/2013</t>
  </si>
  <si>
    <t>90.27781481133292</t>
  </si>
  <si>
    <t>171.7480379337553</t>
  </si>
  <si>
    <t>Pauline LAUV</t>
  </si>
  <si>
    <t>Pauline LAUV14/03/2000</t>
  </si>
  <si>
    <t>196.58682397183566</t>
  </si>
  <si>
    <t>194.95324136420237</t>
  </si>
  <si>
    <t>Pauline SCHEER</t>
  </si>
  <si>
    <t>Pauline SCHEER07/12/1997</t>
  </si>
  <si>
    <t>206.1933075630231</t>
  </si>
  <si>
    <t>200.84301314111212</t>
  </si>
  <si>
    <t>Paul CANIVET</t>
  </si>
  <si>
    <t>Paul CANIVET26/10/1994</t>
  </si>
  <si>
    <t>361.2834480732877</t>
  </si>
  <si>
    <t>336.1051348994631</t>
  </si>
  <si>
    <t>Pavel VOTINOV</t>
  </si>
  <si>
    <t>Pavel VOTINOV06/10/1993</t>
  </si>
  <si>
    <t>303.66873496012323</t>
  </si>
  <si>
    <t>143.74333623619387</t>
  </si>
  <si>
    <t>283.98073744223666</t>
  </si>
  <si>
    <t>289.057391155322</t>
  </si>
  <si>
    <t>Penelope TOWNSON VERDIER</t>
  </si>
  <si>
    <t>Penelope TOWNSON VERDIER15/02/2009</t>
  </si>
  <si>
    <t>109.59649346710688</t>
  </si>
  <si>
    <t>Perrine CADONI</t>
  </si>
  <si>
    <t>Perrine CADONI21/02/1998</t>
  </si>
  <si>
    <t>217.62068008044702</t>
  </si>
  <si>
    <t>198.10986048702762</t>
  </si>
  <si>
    <t>Philomène PIARD</t>
  </si>
  <si>
    <t>Philomène PIARD04/06/2003</t>
  </si>
  <si>
    <t>191.69271018345245</t>
  </si>
  <si>
    <t>Pia EAST</t>
  </si>
  <si>
    <t>Pia EAST01/06/2006</t>
  </si>
  <si>
    <t>167.33505791454013</t>
  </si>
  <si>
    <t>327.23300214398955</t>
  </si>
  <si>
    <t>266.7278774744043</t>
  </si>
  <si>
    <t>Pierre TOUSSAINT</t>
  </si>
  <si>
    <t>Pierre TOUSSAINT27/07/1996</t>
  </si>
  <si>
    <t>278.3610459645223</t>
  </si>
  <si>
    <t>268.3848017817127</t>
  </si>
  <si>
    <t>296.3415519673078</t>
  </si>
  <si>
    <t>Prune GUILMAU</t>
  </si>
  <si>
    <t>Prune GUILMAU07/10/2010</t>
  </si>
  <si>
    <t>143.87279857204223</t>
  </si>
  <si>
    <t>280.2522222184573</t>
  </si>
  <si>
    <t>Pryanka MOULS</t>
  </si>
  <si>
    <t>Pryanka MOULS20/06/2005</t>
  </si>
  <si>
    <t>151.33657388326446</t>
  </si>
  <si>
    <t>137.04920031251476</t>
  </si>
  <si>
    <t>265.84242470258886</t>
  </si>
  <si>
    <t>44.38</t>
  </si>
  <si>
    <t>Quentin DUFOUR</t>
  </si>
  <si>
    <t>Quentin DUFOUR21/03/2006</t>
  </si>
  <si>
    <t>Quentin SIRUGUET</t>
  </si>
  <si>
    <t>Quentin SIRUGUET28/07/1995</t>
  </si>
  <si>
    <t>282.31169513828405</t>
  </si>
  <si>
    <t>Rachel LAUBIER</t>
  </si>
  <si>
    <t>Rachel LAUBIER22/06/2001</t>
  </si>
  <si>
    <t>Rachel MAURO</t>
  </si>
  <si>
    <t>Rachel MAURO19/03/2001</t>
  </si>
  <si>
    <t>181.2084100635437</t>
  </si>
  <si>
    <t>87.15</t>
  </si>
  <si>
    <t>Rania SAMAALI</t>
  </si>
  <si>
    <t>Rania SAMAALI16/03/2005</t>
  </si>
  <si>
    <t>211.2177524801848</t>
  </si>
  <si>
    <t>93.58378471235633</t>
  </si>
  <si>
    <t>184.82797480690377</t>
  </si>
  <si>
    <t>Raphaelle PERVIER</t>
  </si>
  <si>
    <t>Raphaelle PERVIER19/12/1992</t>
  </si>
  <si>
    <t>198.52648002085985</t>
  </si>
  <si>
    <t>388.35836967584265</t>
  </si>
  <si>
    <t>Raphael DA FONSECA</t>
  </si>
  <si>
    <t>Raphael DA FONSECA25/01/1993</t>
  </si>
  <si>
    <t>322.461105669447</t>
  </si>
  <si>
    <t>310.6600366398005</t>
  </si>
  <si>
    <t>277.88999058074984</t>
  </si>
  <si>
    <t>Raphael DURAND</t>
  </si>
  <si>
    <t>Raphael DURAND02/03/1998</t>
  </si>
  <si>
    <t>321.13430245001615</t>
  </si>
  <si>
    <t>144.9079836907923</t>
  </si>
  <si>
    <t>Raphael GABARRE FONFREDE</t>
  </si>
  <si>
    <t>Raphael GABARRE FONFREDE14/09/2005</t>
  </si>
  <si>
    <t>311.3624980010417</t>
  </si>
  <si>
    <t>275.77821251520834</t>
  </si>
  <si>
    <t>Raphael LEPINAY BARET</t>
  </si>
  <si>
    <t>Raphael LEPINAY BARET22/02/2014</t>
  </si>
  <si>
    <t>159.4813752138876</t>
  </si>
  <si>
    <t>31.67</t>
  </si>
  <si>
    <t>307.77107497416904</t>
  </si>
  <si>
    <t>Remi DACHICOURT</t>
  </si>
  <si>
    <t>Remi DACHICOURT16/12/1989</t>
  </si>
  <si>
    <t>284.688031944031</t>
  </si>
  <si>
    <t>283.6567766537129</t>
  </si>
  <si>
    <t>554.9806499746556</t>
  </si>
  <si>
    <t>Robin LAPIERRE</t>
  </si>
  <si>
    <t>Robin LAPIERRE22/05/2014</t>
  </si>
  <si>
    <t>130.71655540313216</t>
  </si>
  <si>
    <t>124.49215007200542</t>
  </si>
  <si>
    <t>142.27674293943477</t>
  </si>
  <si>
    <t>Robin LAURET</t>
  </si>
  <si>
    <t>Robin LAURET06/03/1992</t>
  </si>
  <si>
    <t>587.4554427143538</t>
  </si>
  <si>
    <t>Romain DA SILVA</t>
  </si>
  <si>
    <t>Romain DA SILVA03/02/2005</t>
  </si>
  <si>
    <t>361.1152121865203</t>
  </si>
  <si>
    <t>354.45171817608923</t>
  </si>
  <si>
    <t>354.3316489930406</t>
  </si>
  <si>
    <t>697.2332447927573</t>
  </si>
  <si>
    <t>Romain LABONDE</t>
  </si>
  <si>
    <t>Romain LABONDE16/03/1990</t>
  </si>
  <si>
    <t>279.4269280839075</t>
  </si>
  <si>
    <t>Romain MONTE</t>
  </si>
  <si>
    <t>Romain MONTE29/11/1991</t>
  </si>
  <si>
    <t>281.52446706425786</t>
  </si>
  <si>
    <t>551.3187480008384</t>
  </si>
  <si>
    <t>Romain PASTOR</t>
  </si>
  <si>
    <t>Romain PASTOR25/04/2009</t>
  </si>
  <si>
    <t>239.90593193053044</t>
  </si>
  <si>
    <t>470.4496811515768</t>
  </si>
  <si>
    <t>Romy LISERAY LASCAR</t>
  </si>
  <si>
    <t>Romy LISERAY LASCAR10/04/2008</t>
  </si>
  <si>
    <t>57.22821496522877</t>
  </si>
  <si>
    <t>Rose BRETELLE</t>
  </si>
  <si>
    <t>Rose BRETELLE03/09/1997</t>
  </si>
  <si>
    <t>174.59709093565993</t>
  </si>
  <si>
    <t>Rose DUCHAUFFOUR</t>
  </si>
  <si>
    <t>Rose DUCHAUFFOUR28/09/2009</t>
  </si>
  <si>
    <t>135.80811622352223</t>
  </si>
  <si>
    <t>130.08384777299946</t>
  </si>
  <si>
    <t>148.66725459771368</t>
  </si>
  <si>
    <t>Rudy FERRON</t>
  </si>
  <si>
    <t>Rudy FERRON06/05/2008</t>
  </si>
  <si>
    <t>217.37245564994495</t>
  </si>
  <si>
    <t>123.09640963422319</t>
  </si>
  <si>
    <t>240.59752792143624</t>
  </si>
  <si>
    <t>Ryan CALANDRE CONSOLO</t>
  </si>
  <si>
    <t>Ryan CALANDRE CONSOLO13/02/2014</t>
  </si>
  <si>
    <t>81.7043502217928</t>
  </si>
  <si>
    <t>158.60256219524481</t>
  </si>
  <si>
    <t>Ryan DEBAISIEUX</t>
  </si>
  <si>
    <t>Ryan DEBAISIEUX28/07/2013</t>
  </si>
  <si>
    <t>75.07929436643377</t>
  </si>
  <si>
    <t>142.65065929622415</t>
  </si>
  <si>
    <t>Rémi BACQUAERT</t>
  </si>
  <si>
    <t>Rémi BACQUAERT14/11/1997</t>
  </si>
  <si>
    <t>313.72119440467634</t>
  </si>
  <si>
    <t>276.77402406073907</t>
  </si>
  <si>
    <t>Sacha SPERKA</t>
  </si>
  <si>
    <t>Sacha SPERKA16/10/1999</t>
  </si>
  <si>
    <t>357.1770528534696</t>
  </si>
  <si>
    <t>351.4345306676875</t>
  </si>
  <si>
    <t>688.5734194099098</t>
  </si>
  <si>
    <t>Safana BEDEIR LARADE</t>
  </si>
  <si>
    <t>Safana BEDEIR LARADE12/11/2007</t>
  </si>
  <si>
    <t>200.51048587185107</t>
  </si>
  <si>
    <t>196.33893011273824</t>
  </si>
  <si>
    <t>Samantha LE MALEFANT</t>
  </si>
  <si>
    <t>Samantha LE MALEFANT21/08/1995</t>
  </si>
  <si>
    <t>254.4434361442204</t>
  </si>
  <si>
    <t>62.56</t>
  </si>
  <si>
    <t>471.97279865093736</t>
  </si>
  <si>
    <t>Samuel AUROQUE</t>
  </si>
  <si>
    <t>Samuel AUROQUE29/02/1988</t>
  </si>
  <si>
    <t>GP</t>
  </si>
  <si>
    <t>267.18645188962176</t>
  </si>
  <si>
    <t>262.0627554346243</t>
  </si>
  <si>
    <t>512.731478024265</t>
  </si>
  <si>
    <t>Samuel GERINGER</t>
  </si>
  <si>
    <t>Samuel GERINGER04/08/2009</t>
  </si>
  <si>
    <t>267.3599686167419</t>
  </si>
  <si>
    <t>Samuel MASSE</t>
  </si>
  <si>
    <t>Samuel MASSE10/02/2000</t>
  </si>
  <si>
    <t>Sandra VALLUCHE</t>
  </si>
  <si>
    <t>Sandra VALLUCHE13/08/1999</t>
  </si>
  <si>
    <t>217.22226784641438</t>
  </si>
  <si>
    <t>Sarah ERHART</t>
  </si>
  <si>
    <t>Sarah ERHART08/12/2007</t>
  </si>
  <si>
    <t>90.72077757385354</t>
  </si>
  <si>
    <t>172.66212505991479</t>
  </si>
  <si>
    <t>138.16128485288027</t>
  </si>
  <si>
    <t>Sarah MILLE</t>
  </si>
  <si>
    <t>Sarah MILLE17/09/2009</t>
  </si>
  <si>
    <t>131.82423408535504</t>
  </si>
  <si>
    <t>252.38116295568145</t>
  </si>
  <si>
    <t>Sarah SAINT AIME</t>
  </si>
  <si>
    <t>Sarah SAINT AIME11/06/1991</t>
  </si>
  <si>
    <t>253.9278797539857</t>
  </si>
  <si>
    <t>495.6086049751465</t>
  </si>
  <si>
    <t>Sara IAFRATE</t>
  </si>
  <si>
    <t>Sara IAFRATE18/01/2006</t>
  </si>
  <si>
    <t>238.5103807718108</t>
  </si>
  <si>
    <t>231.78623314513715</t>
  </si>
  <si>
    <t>Sara SAID</t>
  </si>
  <si>
    <t>Sara SAID06/11/2012</t>
  </si>
  <si>
    <t>133.0920650559442</t>
  </si>
  <si>
    <t>34.48</t>
  </si>
  <si>
    <t>257.5975452695694</t>
  </si>
  <si>
    <t>Sara TAIMOURI</t>
  </si>
  <si>
    <t>Sara TAIMOURI06/09/1990</t>
  </si>
  <si>
    <t>176.52639639450047</t>
  </si>
  <si>
    <t>169.24684076219424</t>
  </si>
  <si>
    <t>Selena BOSQ</t>
  </si>
  <si>
    <t>Selena BOSQ14/02/2012</t>
  </si>
  <si>
    <t>120.43259873928027</t>
  </si>
  <si>
    <t>49.82</t>
  </si>
  <si>
    <t>117.30995648591079</t>
  </si>
  <si>
    <t>228.445704735721</t>
  </si>
  <si>
    <t>Selenia DECRAENE</t>
  </si>
  <si>
    <t>Selenia DECRAENE17/08/2010</t>
  </si>
  <si>
    <t>176.54083244898695</t>
  </si>
  <si>
    <t>342.0478628699122</t>
  </si>
  <si>
    <t>Servane LITZLER</t>
  </si>
  <si>
    <t>Servane LITZLER26/11/2009</t>
  </si>
  <si>
    <t>181.1003547494722</t>
  </si>
  <si>
    <t>320.1338974627118</t>
  </si>
  <si>
    <t>Shaina RADAMA</t>
  </si>
  <si>
    <t>Shaina RADAMA06/02/2011</t>
  </si>
  <si>
    <t>153.8510735404433</t>
  </si>
  <si>
    <t>298.8261236073995</t>
  </si>
  <si>
    <t>Shanilla BOLDINI</t>
  </si>
  <si>
    <t>Shanilla BOLDINI28/08/2012</t>
  </si>
  <si>
    <t>142.6274996787267</t>
  </si>
  <si>
    <t>278.84477465279156</t>
  </si>
  <si>
    <t>Shirley VAILLES</t>
  </si>
  <si>
    <t>Shirley VAILLES09/08/1995</t>
  </si>
  <si>
    <t>383.98116842606277</t>
  </si>
  <si>
    <t>Shizuka RICO</t>
  </si>
  <si>
    <t>Shizuka RICO29/09/1994</t>
  </si>
  <si>
    <t>248.75595707872316</t>
  </si>
  <si>
    <t>265.8318784028003</t>
  </si>
  <si>
    <t>237.2137234764617</t>
  </si>
  <si>
    <t>Simon DEYRIS</t>
  </si>
  <si>
    <t>Simon DEYRIS10/04/2004</t>
  </si>
  <si>
    <t>318.76155921506466</t>
  </si>
  <si>
    <t>361.6717691094003</t>
  </si>
  <si>
    <t>Simon MECHELAERE</t>
  </si>
  <si>
    <t>Simon MECHELAERE12/07/1995</t>
  </si>
  <si>
    <t>274.0346162280813</t>
  </si>
  <si>
    <t>Simon VAN DEN BLIEK</t>
  </si>
  <si>
    <t>Simon VAN DEN BLIEK23/03/2005</t>
  </si>
  <si>
    <t>274.81361444420804</t>
  </si>
  <si>
    <t>537.4132904686735</t>
  </si>
  <si>
    <t>Soan TAÏLÉ</t>
  </si>
  <si>
    <t>Soan TAÏLÉ22/11/2012</t>
  </si>
  <si>
    <t>110.07879612975121</t>
  </si>
  <si>
    <t>213.86737533780234</t>
  </si>
  <si>
    <t>Solene DOUYERE</t>
  </si>
  <si>
    <t>Solene DOUYERE11/07/2009</t>
  </si>
  <si>
    <t>154.05628504264737</t>
  </si>
  <si>
    <t>300.77655651183534</t>
  </si>
  <si>
    <t>Solenza SANCI</t>
  </si>
  <si>
    <t>Solenza SANCI02/06/1998</t>
  </si>
  <si>
    <t>203.60917022719534</t>
  </si>
  <si>
    <t>392.3023258378468</t>
  </si>
  <si>
    <t>Solène BOUTIN</t>
  </si>
  <si>
    <t>Solène BOUTIN27/06/1999</t>
  </si>
  <si>
    <t>431.370936468734</t>
  </si>
  <si>
    <t>Sonia COGNON</t>
  </si>
  <si>
    <t>Sonia COGNON15/06/1974</t>
  </si>
  <si>
    <t>169.77446127467738</t>
  </si>
  <si>
    <t>333.35277432765116</t>
  </si>
  <si>
    <t>Sonia SAICIC</t>
  </si>
  <si>
    <t>Sonia SAICIC07/10/1993</t>
  </si>
  <si>
    <t>228.08805286413246</t>
  </si>
  <si>
    <t>224.9516038740706</t>
  </si>
  <si>
    <t>210.17537855543094</t>
  </si>
  <si>
    <t>200.62195225745683</t>
  </si>
  <si>
    <t>Sophia ZHYLKO</t>
  </si>
  <si>
    <t>Sophia ZHYLKO31/05/1995</t>
  </si>
  <si>
    <t>426.4904714289324</t>
  </si>
  <si>
    <t>Sophie DOUCET CHARPIN</t>
  </si>
  <si>
    <t>Sophie DOUCET CHARPIN17/02/1990</t>
  </si>
  <si>
    <t>Sovannarith MEY</t>
  </si>
  <si>
    <t>Sovannarith MEY16/08/1989</t>
  </si>
  <si>
    <t>305.45930492164587</t>
  </si>
  <si>
    <t>291.84147819385095</t>
  </si>
  <si>
    <t>Stella BATCHEV</t>
  </si>
  <si>
    <t>Stella BATCHEV05/03/1999</t>
  </si>
  <si>
    <t>193.26893171402654</t>
  </si>
  <si>
    <t>Stephane AUBRY</t>
  </si>
  <si>
    <t>Stephane AUBRY08/02/1982</t>
  </si>
  <si>
    <t>283.0783775799278</t>
  </si>
  <si>
    <t>272.95889821586576</t>
  </si>
  <si>
    <t>247.56737280043637</t>
  </si>
  <si>
    <t>Stephane DUTILLEUL</t>
  </si>
  <si>
    <t>Stephane DUTILLEUL18/03/2001</t>
  </si>
  <si>
    <t>536.7275273222067</t>
  </si>
  <si>
    <t>Steven D'ANNA</t>
  </si>
  <si>
    <t>Steven D'ANNA17/09/2000</t>
  </si>
  <si>
    <t>677.9731135260647</t>
  </si>
  <si>
    <t>Steven RAVALISSE</t>
  </si>
  <si>
    <t>Steven RAVALISSE11/01/2001</t>
  </si>
  <si>
    <t>347.20970057738066</t>
  </si>
  <si>
    <t>678.9878589068778</t>
  </si>
  <si>
    <t>Stéphane BALIAN</t>
  </si>
  <si>
    <t>Stéphane BALIAN21/11/1993</t>
  </si>
  <si>
    <t>338.3095594773064</t>
  </si>
  <si>
    <t>373.5501385895258</t>
  </si>
  <si>
    <t>Sullivan MARIE</t>
  </si>
  <si>
    <t>Sullivan MARIE06/10/1992</t>
  </si>
  <si>
    <t>320.5541068742985</t>
  </si>
  <si>
    <t>629.7107343930664</t>
  </si>
  <si>
    <t>Sylvie EBERENA</t>
  </si>
  <si>
    <t>Sylvie EBERENA29/11/1980</t>
  </si>
  <si>
    <t>194.27879032831345</t>
  </si>
  <si>
    <t>Syndra BAPTE</t>
  </si>
  <si>
    <t>Syndra BAPTE29/06/1987</t>
  </si>
  <si>
    <t>182.8760975388992</t>
  </si>
  <si>
    <t>168.3738868563362</t>
  </si>
  <si>
    <t>325.8849423025862</t>
  </si>
  <si>
    <t>Tamara MONTANDON</t>
  </si>
  <si>
    <t>Tamara MONTANDON18/03/1999</t>
  </si>
  <si>
    <t>194.43183827014914</t>
  </si>
  <si>
    <t>181.50923078735397</t>
  </si>
  <si>
    <t>Tasnym HOFFMANN</t>
  </si>
  <si>
    <t>Tasnym HOFFMANN25/04/2011</t>
  </si>
  <si>
    <t>156.88692799598985</t>
  </si>
  <si>
    <t>135.55478303829116</t>
  </si>
  <si>
    <t>Teddy EREMBERT</t>
  </si>
  <si>
    <t>Teddy EREMBERT07/07/1982</t>
  </si>
  <si>
    <t>549.6894304931363</t>
  </si>
  <si>
    <t>Teiva LE PIOLET</t>
  </si>
  <si>
    <t>Teiva LE PIOLET01/12/2005</t>
  </si>
  <si>
    <t>321.09427842438737</t>
  </si>
  <si>
    <t>632.0353780843672</t>
  </si>
  <si>
    <t>Thais CALMUS</t>
  </si>
  <si>
    <t>Thais CALMUS08/08/2007</t>
  </si>
  <si>
    <t>215.987448708708</t>
  </si>
  <si>
    <t>212.39219308485565</t>
  </si>
  <si>
    <t>417.2881911196576</t>
  </si>
  <si>
    <t>Theo COGNON</t>
  </si>
  <si>
    <t>Theo COGNON10/01/2002</t>
  </si>
  <si>
    <t>349.938217432714</t>
  </si>
  <si>
    <t>313.3593096871341</t>
  </si>
  <si>
    <t>Thibault CREUPELANDT</t>
  </si>
  <si>
    <t>Thibault CREUPELANDT28/01/1992</t>
  </si>
  <si>
    <t>259.5467417085085</t>
  </si>
  <si>
    <t>503.8260280223988</t>
  </si>
  <si>
    <t>Thibault DEIGNAN</t>
  </si>
  <si>
    <t>Thibault DEIGNAN06/08/1991</t>
  </si>
  <si>
    <t>274.53666200353337</t>
  </si>
  <si>
    <t>Thibaut LECHAT</t>
  </si>
  <si>
    <t>Thibaut LECHAT04/10/2015</t>
  </si>
  <si>
    <t>95.68007948545521</t>
  </si>
  <si>
    <t>183.60231468830594</t>
  </si>
  <si>
    <t>269.3359854168479</t>
  </si>
  <si>
    <t>Thierry PONS</t>
  </si>
  <si>
    <t>Thierry PONS26/10/1998</t>
  </si>
  <si>
    <t>319.60406170214975</t>
  </si>
  <si>
    <t>308.61129282738705</t>
  </si>
  <si>
    <t>Thomas ALCARAZ</t>
  </si>
  <si>
    <t>Thomas ALCARAZ22/07/2011</t>
  </si>
  <si>
    <t>248.0359421213314</t>
  </si>
  <si>
    <t>482.8433006628585</t>
  </si>
  <si>
    <t>Thomas COLIN</t>
  </si>
  <si>
    <t>Thomas COLIN08/10/1992</t>
  </si>
  <si>
    <t>372.24348093413903</t>
  </si>
  <si>
    <t>347.8760506731697</t>
  </si>
  <si>
    <t>309.08847707894864</t>
  </si>
  <si>
    <t>Thomas CONSALVES</t>
  </si>
  <si>
    <t>Thomas CONSALVES13/03/1996</t>
  </si>
  <si>
    <t>272.12310578550733</t>
  </si>
  <si>
    <t>Thomas ROGUET</t>
  </si>
  <si>
    <t>Thomas ROGUET24/12/2006</t>
  </si>
  <si>
    <t>303.07008507298826</t>
  </si>
  <si>
    <t>83.94</t>
  </si>
  <si>
    <t>298.83134705580886</t>
  </si>
  <si>
    <t>262.7225592865653</t>
  </si>
  <si>
    <t>Théoline PRIGENT MADEC</t>
  </si>
  <si>
    <t>Théoline PRIGENT MADEC27/05/2005</t>
  </si>
  <si>
    <t>205.0722009756082</t>
  </si>
  <si>
    <t>403.6955905997822</t>
  </si>
  <si>
    <t>Tifanie SESMA</t>
  </si>
  <si>
    <t>Tifanie SESMA21/06/2011</t>
  </si>
  <si>
    <t>339.5628572707782</t>
  </si>
  <si>
    <t>Timael DALLOIS</t>
  </si>
  <si>
    <t>Timael DALLOIS19/09/2010</t>
  </si>
  <si>
    <t>178.73671616319606</t>
  </si>
  <si>
    <t>163.46007375608528</t>
  </si>
  <si>
    <t>Timeo BRUNET</t>
  </si>
  <si>
    <t>Timeo BRUNET05/11/2012</t>
  </si>
  <si>
    <t>95.36893567842677</t>
  </si>
  <si>
    <t>182.32296526758057</t>
  </si>
  <si>
    <t>Timothy DELATTRE</t>
  </si>
  <si>
    <t>Timothy DELATTRE11/02/2014</t>
  </si>
  <si>
    <t>102.91255633021598</t>
  </si>
  <si>
    <t>31.08</t>
  </si>
  <si>
    <t>197.24906629958062</t>
  </si>
  <si>
    <t>Tina BAUD</t>
  </si>
  <si>
    <t>Tina BAUD09/02/2013</t>
  </si>
  <si>
    <t>142.1367703191324</t>
  </si>
  <si>
    <t>140.01936020467102</t>
  </si>
  <si>
    <t>271.4043109964194</t>
  </si>
  <si>
    <t>Tommy PETIT</t>
  </si>
  <si>
    <t>Tommy PETIT07/01/1997</t>
  </si>
  <si>
    <t>339.7838890195594</t>
  </si>
  <si>
    <t>657.9335978393716</t>
  </si>
  <si>
    <t>Tom ADAMY</t>
  </si>
  <si>
    <t>Tom ADAMY07/02/2013</t>
  </si>
  <si>
    <t>170.15197863731592</t>
  </si>
  <si>
    <t>Tom CARCANO</t>
  </si>
  <si>
    <t>Tom CARCANO24/07/2008</t>
  </si>
  <si>
    <t>567.6516366762963</t>
  </si>
  <si>
    <t>Tom DESACHY</t>
  </si>
  <si>
    <t>Tom DESACHY07/04/1998</t>
  </si>
  <si>
    <t>352.38371905924606</t>
  </si>
  <si>
    <t>311.1874398581606</t>
  </si>
  <si>
    <t>Tony ROULLET</t>
  </si>
  <si>
    <t>Tony ROULLET01/12/2011</t>
  </si>
  <si>
    <t>142.104151480146</t>
  </si>
  <si>
    <t>275.64781190727115</t>
  </si>
  <si>
    <t>Tory HOMINAL</t>
  </si>
  <si>
    <t>Tory HOMINAL03/04/1996</t>
  </si>
  <si>
    <t>168.67744184430614</t>
  </si>
  <si>
    <t>Tyler ALARD</t>
  </si>
  <si>
    <t>Tyler ALARD17/12/2013</t>
  </si>
  <si>
    <t>132.31031361123652</t>
  </si>
  <si>
    <t>128.3360000360395</t>
  </si>
  <si>
    <t>31.75</t>
  </si>
  <si>
    <t>245.5123478950321</t>
  </si>
  <si>
    <t>Ugo GRAVOIS</t>
  </si>
  <si>
    <t>Ugo GRAVOIS10/01/2000</t>
  </si>
  <si>
    <t>318.5559837332855</t>
  </si>
  <si>
    <t>351.55381471760984</t>
  </si>
  <si>
    <t>Ulysse GELE</t>
  </si>
  <si>
    <t>Ulysse GELE07/08/2006</t>
  </si>
  <si>
    <t>246.21034843791168</t>
  </si>
  <si>
    <t>Valentine LAMIRAL</t>
  </si>
  <si>
    <t>Valentine LAMIRAL16/07/1999</t>
  </si>
  <si>
    <t>Valentin AUDINOT</t>
  </si>
  <si>
    <t>Valentin AUDINOT14/12/1992</t>
  </si>
  <si>
    <t>280.0398541202305</t>
  </si>
  <si>
    <t>273.02897308874725</t>
  </si>
  <si>
    <t>Valentin CHRISTOPHEL</t>
  </si>
  <si>
    <t>Valentin CHRISTOPHEL09/09/2004</t>
  </si>
  <si>
    <t>715.7913943031887</t>
  </si>
  <si>
    <t>Valentin RIVASSEAU</t>
  </si>
  <si>
    <t>Valentin RIVASSEAU26/07/2004</t>
  </si>
  <si>
    <t>278.7598966301946</t>
  </si>
  <si>
    <t>264.3163786700809</t>
  </si>
  <si>
    <t>Valeriane GIMBERT</t>
  </si>
  <si>
    <t>Valeriane GIMBERT18/08/2000</t>
  </si>
  <si>
    <t>170.1744150496321</t>
  </si>
  <si>
    <t>331.94515528199844</t>
  </si>
  <si>
    <t>Victoria ARMSTRONG</t>
  </si>
  <si>
    <t>Victoria ARMSTRONG31/10/1995</t>
  </si>
  <si>
    <t>218.68095734558088</t>
  </si>
  <si>
    <t>194.524339964383</t>
  </si>
  <si>
    <t>Victoria LAMBOLEY</t>
  </si>
  <si>
    <t>Victoria LAMBOLEY02/02/1993</t>
  </si>
  <si>
    <t>191.2387916346269</t>
  </si>
  <si>
    <t>161.6276238976524</t>
  </si>
  <si>
    <t>Victor COMBEAU</t>
  </si>
  <si>
    <t>Victor COMBEAU21/03/2001</t>
  </si>
  <si>
    <t>634.8906685122583</t>
  </si>
  <si>
    <t>Victor MIEGEBIELLE</t>
  </si>
  <si>
    <t>Victor MIEGEBIELLE12/06/1997</t>
  </si>
  <si>
    <t>299.3445159013628</t>
  </si>
  <si>
    <t>311.0845329807357</t>
  </si>
  <si>
    <t>Vincent CARLIER</t>
  </si>
  <si>
    <t>Vincent CARLIER02/10/1995</t>
  </si>
  <si>
    <t>279.30615740203524</t>
  </si>
  <si>
    <t>266.6981218026993</t>
  </si>
  <si>
    <t>Vincent FONTENELLE</t>
  </si>
  <si>
    <t>Vincent FONTENELLE12/07/1980</t>
  </si>
  <si>
    <t>340.46154382550736</t>
  </si>
  <si>
    <t>336.6027396390649</t>
  </si>
  <si>
    <t>325.14627047703743</t>
  </si>
  <si>
    <t>354.59792541155167</t>
  </si>
  <si>
    <t>Vinciane HERBIN</t>
  </si>
  <si>
    <t>Vinciane HERBIN20/07/2005</t>
  </si>
  <si>
    <t>149.48842033064312</t>
  </si>
  <si>
    <t>65.75195263584287</t>
  </si>
  <si>
    <t>147.05646346639006</t>
  </si>
  <si>
    <t>Willem LINGUET</t>
  </si>
  <si>
    <t>Willem LINGUET18/03/1996</t>
  </si>
  <si>
    <t>307.76163426813287</t>
  </si>
  <si>
    <t>604.1246894892979</t>
  </si>
  <si>
    <t>William steve NGALAMO KROUSSI</t>
  </si>
  <si>
    <t>William steve NGALAMO KROUSSI11/01/2006</t>
  </si>
  <si>
    <t>247.7613709888384</t>
  </si>
  <si>
    <t>Willy DJASSIDJI</t>
  </si>
  <si>
    <t>Willy DJASSIDJI15/10/1991</t>
  </si>
  <si>
    <t>324.05144452598967</t>
  </si>
  <si>
    <t>313.11651649406787</t>
  </si>
  <si>
    <t>336.3103325306655</t>
  </si>
  <si>
    <t>320.35896756326434</t>
  </si>
  <si>
    <t>Wyatt JEAN</t>
  </si>
  <si>
    <t>Wyatt JEAN02/05/2008</t>
  </si>
  <si>
    <t>522.0690676230682</t>
  </si>
  <si>
    <t>Yael PENCOLE</t>
  </si>
  <si>
    <t>Yael PENCOLE13/11/2007</t>
  </si>
  <si>
    <t>296.5591617544588</t>
  </si>
  <si>
    <t>Yanis BOUKRAA</t>
  </si>
  <si>
    <t>Yanis BOUKRAA15/01/2010</t>
  </si>
  <si>
    <t>183.58130275963265</t>
  </si>
  <si>
    <t>168.44900253808552</t>
  </si>
  <si>
    <t>Yannis DERRICK</t>
  </si>
  <si>
    <t>Yannis DERRICK28/02/1998</t>
  </si>
  <si>
    <t>Yann THOMASSON</t>
  </si>
  <si>
    <t>Yann THOMASSON03/12/2002</t>
  </si>
  <si>
    <t>392.93774479889504</t>
  </si>
  <si>
    <t>388.84702281222593</t>
  </si>
  <si>
    <t>766.2909071255596</t>
  </si>
  <si>
    <t>Yohann CHAN TAI TAT</t>
  </si>
  <si>
    <t>Yohann CHAN TAI TAT27/05/2001</t>
  </si>
  <si>
    <t>254.4719471266228</t>
  </si>
  <si>
    <t>Yohan BOESS</t>
  </si>
  <si>
    <t>Yohan BOESS10/09/2001</t>
  </si>
  <si>
    <t>270.30637470575596</t>
  </si>
  <si>
    <t>525.3345630150995</t>
  </si>
  <si>
    <t>Youan SERROUT DE LA CARRE</t>
  </si>
  <si>
    <t>Youan SERROUT DE LA CARRE11/03/2014</t>
  </si>
  <si>
    <t>139.4252973793543</t>
  </si>
  <si>
    <t>115.43616762027057</t>
  </si>
  <si>
    <t>107.22050862620388</t>
  </si>
  <si>
    <t>208.48432232872977</t>
  </si>
  <si>
    <t>Youenn PERSONNIC</t>
  </si>
  <si>
    <t>Youenn PERSONNIC27/11/2004</t>
  </si>
  <si>
    <t>368.02464047207525</t>
  </si>
  <si>
    <t>727.1042375993432</t>
  </si>
  <si>
    <t>Yvan - alexis MILOSEVIC</t>
  </si>
  <si>
    <t>Yvan - alexis MILOSEVIC06/08/1992</t>
  </si>
  <si>
    <t>306.98708400281805</t>
  </si>
  <si>
    <t>280.92822074033444</t>
  </si>
  <si>
    <t>549.9302434303717</t>
  </si>
  <si>
    <t>Zahra LAMDAHBIN</t>
  </si>
  <si>
    <t>Zahra LAMDAHBIN15/09/1998</t>
  </si>
  <si>
    <t>Zahra TRAB</t>
  </si>
  <si>
    <t>Zahra TRAB14/05/2007</t>
  </si>
  <si>
    <t>195.2440634899632</t>
  </si>
  <si>
    <t>172.44183709697478</t>
  </si>
  <si>
    <t>Zakaria BOUKHARTA</t>
  </si>
  <si>
    <t>Zakaria BOUKHARTA24/07/2010</t>
  </si>
  <si>
    <t>207.91142307561012</t>
  </si>
  <si>
    <t>Zakaria CHELALI</t>
  </si>
  <si>
    <t>Zakaria CHELALI20/08/1995</t>
  </si>
  <si>
    <t>317.49794027416385</t>
  </si>
  <si>
    <t>131.68884949905424</t>
  </si>
  <si>
    <t>310.7035319090064</t>
  </si>
  <si>
    <t>Zeline PICOT</t>
  </si>
  <si>
    <t>Zeline PICOT13/02/2003</t>
  </si>
  <si>
    <t>215.22650081728497</t>
  </si>
  <si>
    <t>415.15780581045294</t>
  </si>
  <si>
    <t>Zoé CAUMON</t>
  </si>
  <si>
    <t>Zoé CAUMON01/10/2011</t>
  </si>
  <si>
    <t>119.78761467649227</t>
  </si>
  <si>
    <t>229.99222017886515</t>
  </si>
  <si>
    <t>Zoé FURET</t>
  </si>
  <si>
    <t>Zoé FURET22/01/2005</t>
  </si>
  <si>
    <t>208.04235954684276</t>
  </si>
  <si>
    <t>410.3057646618288</t>
  </si>
  <si>
    <t>Zélyna DECLERCQ</t>
  </si>
  <si>
    <t>Zélyna DECLERCQ07/04/2014</t>
  </si>
  <si>
    <t>120.55028117495435</t>
  </si>
  <si>
    <t>31.12</t>
  </si>
  <si>
    <t>114.83315467378672</t>
  </si>
  <si>
    <t>100.47901033956339</t>
  </si>
  <si>
    <t>Élisabeth MOREAU</t>
  </si>
  <si>
    <t>Élisabeth MOREAU14/12/1996</t>
  </si>
  <si>
    <t>215.72166179024447</t>
  </si>
  <si>
    <t>202.35838167503022</t>
  </si>
  <si>
    <t>Élise MARECHAL</t>
  </si>
  <si>
    <t>Élise MARECHAL27/10/1998</t>
  </si>
  <si>
    <t>352.36389426566507</t>
  </si>
  <si>
    <t>Énora FERREC</t>
  </si>
  <si>
    <t>Énora FERREC11/01/1995</t>
  </si>
  <si>
    <t>195.27043760740327</t>
  </si>
  <si>
    <t>Total général</t>
  </si>
  <si>
    <t>Somme de IWF</t>
  </si>
  <si>
    <t>(Tous)</t>
  </si>
  <si>
    <t>(Plusieurs éléments)</t>
  </si>
  <si>
    <t>Total</t>
  </si>
  <si>
    <t>Valeurs</t>
  </si>
  <si>
    <t>Somme de Arrache</t>
  </si>
  <si>
    <t>Somme de EpJete</t>
  </si>
  <si>
    <t>Somme de PoidsTotal</t>
  </si>
  <si>
    <t>Nombre de DateNaissance</t>
  </si>
  <si>
    <t>Seniors par Ligue</t>
  </si>
  <si>
    <t>Seniors par Caté</t>
  </si>
  <si>
    <t>Vert = 66% des qualifs</t>
  </si>
  <si>
    <t>3 fois + de qualif femmes que hommes</t>
  </si>
  <si>
    <t>Vert = 45% des qualifs</t>
  </si>
  <si>
    <t>Vert = 55% des qualifs</t>
  </si>
  <si>
    <t>Vert = 50% des qualifs</t>
  </si>
  <si>
    <t>~50% de qualif femmes en + que hommes</t>
  </si>
  <si>
    <t>Vert = 63% des qualifs</t>
  </si>
  <si>
    <t>Comme en élite 81 catégorie la plus representée</t>
  </si>
  <si>
    <t>14 qualif en 96 &amp; 102 vs 4 aux élites</t>
  </si>
  <si>
    <t>Vert = 85% des qualifs</t>
  </si>
  <si>
    <t>64 caté la plus représentée vs 59 chez les élites</t>
  </si>
  <si>
    <t>60 qualif SEN+4 U20</t>
  </si>
  <si>
    <t>22 qualif SEN +1 U20</t>
  </si>
  <si>
    <t>Années (DateNaissance)</t>
  </si>
  <si>
    <t>1979</t>
  </si>
  <si>
    <t>1980</t>
  </si>
  <si>
    <t>1982</t>
  </si>
  <si>
    <t>1983</t>
  </si>
  <si>
    <t>1984</t>
  </si>
  <si>
    <t>1985</t>
  </si>
  <si>
    <t>1986</t>
  </si>
  <si>
    <t>1987</t>
  </si>
  <si>
    <t>1988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</si>
  <si>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</si>
  <si>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</si>
  <si>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</si>
  <si>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</si>
  <si>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</si>
  <si>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</si>
  <si>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</si>
  <si>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</si>
  <si>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</si>
  <si>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</si>
  <si>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</si>
  <si>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</si>
  <si>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</si>
  <si>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</si>
  <si>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</si>
  <si>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Difficile d'établir une tendance par age, répartition assez équilibrée des qualif entre 1991 et 2004 avec 2 pics sur 1995 et 2001.</t>
  </si>
  <si>
    <t>Très peu de qualifs de Masters (5).</t>
  </si>
  <si>
    <t xml:space="preserve">Qualif France elites + Federaux par sexe &amp; age </t>
  </si>
  <si>
    <t>Plus de répartition des qualifications par âge chez les femmes mais qui peut simplement s'expliquer par des minima plus accessibles</t>
  </si>
  <si>
    <t>Période de performance assez étendue, entre des athlètes de 21 à 31 ans.</t>
  </si>
  <si>
    <t>A noter pour les qualifications aux France elités chez les femmes, 15% sont nées en 1993.</t>
  </si>
  <si>
    <t>2005</t>
  </si>
  <si>
    <t>2006</t>
  </si>
  <si>
    <t>2007</t>
  </si>
  <si>
    <t>2008</t>
  </si>
  <si>
    <t>2009</t>
  </si>
  <si>
    <t>2010</t>
  </si>
  <si>
    <t>2011</t>
  </si>
  <si>
    <t>1972</t>
  </si>
  <si>
    <t>1974</t>
  </si>
  <si>
    <t>1978</t>
  </si>
  <si>
    <t>1981</t>
  </si>
  <si>
    <t>1989</t>
  </si>
  <si>
    <t>Nombre de Nom</t>
  </si>
  <si>
    <t>Surreprésentation des F vs les H sur quasiment toutes les années en particulier chez les jeunes.</t>
  </si>
  <si>
    <t>Analyse des participations par âge</t>
  </si>
  <si>
    <t>(7/22 pour l'IDF)</t>
  </si>
  <si>
    <t>(7/21 bulles pour l'IDF)</t>
  </si>
  <si>
    <t>63% des qualif sont Fed</t>
  </si>
  <si>
    <t>Jeunes Femmes</t>
  </si>
  <si>
    <t>Jeunes Hommes</t>
  </si>
  <si>
    <t>Femmes</t>
  </si>
  <si>
    <t>Hommes</t>
  </si>
  <si>
    <t>+ de qualif dans les catégories lourdes</t>
  </si>
  <si>
    <t>Les qualifs suivent une loi normale avec 64 comme catégorie centrale</t>
  </si>
  <si>
    <t>Jaune = Qualif France élites</t>
  </si>
  <si>
    <t>Qualif France Elites (Seniors) par ligue &amp; catégories</t>
  </si>
  <si>
    <t>Participations</t>
  </si>
  <si>
    <t>U10 / U13 exclus partout</t>
  </si>
  <si>
    <t>Par ligue</t>
  </si>
  <si>
    <t>Top clubs qualifications (FED et + U15 à SEN)</t>
  </si>
  <si>
    <t>Classements Jeunes</t>
  </si>
  <si>
    <t>Répartition des Classements Seniors</t>
  </si>
  <si>
    <t>Qualifications France Honneur (Fed)</t>
  </si>
  <si>
    <t>30% de toutes les qualifs sur ces 11 clubs</t>
  </si>
  <si>
    <t>Bulles</t>
  </si>
  <si>
    <t>9% chez les F</t>
  </si>
  <si>
    <t>12% chez les H</t>
  </si>
  <si>
    <t>Nb essais réussis</t>
  </si>
  <si>
    <t>6/6</t>
  </si>
  <si>
    <t>5% chez les H</t>
  </si>
  <si>
    <t>Répartition du nombre d'essais réussis</t>
  </si>
  <si>
    <t>à peu près 50% des athlètes ont réussi 3 essais ou moins</t>
  </si>
  <si>
    <t>Quasi Double Bulle</t>
  </si>
  <si>
    <t>Quasi Bulle</t>
  </si>
  <si>
    <t>càd réussi que son dernier essai sur un des deux mouvements</t>
  </si>
  <si>
    <t>double quasi bulles = réussir son dernier sur les 2 mouvements</t>
  </si>
  <si>
    <t>"Quasi Bulles"</t>
  </si>
  <si>
    <t>11% chez les Femmes</t>
  </si>
  <si>
    <t>8% chez les Hommes</t>
  </si>
  <si>
    <t>SENIORS UNIQUEMENT</t>
  </si>
  <si>
    <t>2 "quasi double Bulles"</t>
  </si>
  <si>
    <t>IDF région reine des bulles, 7 des 22 bulles chez les Femmes et 7 des 21 chez les Hommes (23% de bulle en IDF Hommes !)</t>
  </si>
  <si>
    <t>7% chez les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</si>
</sst>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5" formatCode="_-* #,##0_-;\-* #,##0_-;_-* &quot;-&quot;??_-;_-@_-"/>
    <numFmt numFmtId="166" formatCode="0.0%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165" fontId="0" fillId="0" borderId="0" xfId="1" applyNumberFormat="1" applyFont="1"/>
    <xf numFmtId="165" fontId="0" fillId="0" borderId="0" xfId="0" applyNumberFormat="1"/>
    <xf numFmtId="0" fontId="0" fillId="33" borderId="0" xfId="0" applyFill="1"/>
    <xf numFmtId="0" fontId="0" fillId="33" borderId="0" xfId="0" applyNumberFormat="1" applyFill="1"/>
    <xf numFmtId="165" fontId="0" fillId="33" borderId="0" xfId="0" applyNumberFormat="1" applyFill="1"/>
    <xf numFmtId="0" fontId="0" fillId="0" borderId="0" xfId="0" quotePrefix="1"/>
    <xf numFmtId="0" fontId="0" fillId="34" borderId="0" xfId="0" applyFill="1"/>
    <xf numFmtId="9" fontId="0" fillId="0" borderId="0" xfId="2" applyFont="1"/>
    <xf numFmtId="0" fontId="0" fillId="35" borderId="0" xfId="0" applyFill="1"/>
    <xf numFmtId="166" fontId="0" fillId="0" borderId="0" xfId="2" applyNumberFormat="1" applyFont="1"/>
    <xf numFmtId="0" fontId="0" fillId="0" borderId="0" xfId="0" applyAlignment="1">
      <alignment horizontal="right"/>
    </xf>
    <xf numFmtId="0" fontId="0" fillId="36" borderId="0" xfId="0" applyFill="1"/>
    <xf numFmtId="9" fontId="0" fillId="0" borderId="0" xfId="2" quotePrefix="1" applyFont="1"/>
    <xf numFmtId="0" fontId="0" fillId="0" borderId="0" xfId="0" applyFill="1"/>
    <xf numFmtId="0" fontId="18" fillId="0" borderId="0" xfId="0" applyFont="1"/>
    <xf numFmtId="0" fontId="0" fillId="37" borderId="0" xfId="0" applyFill="1"/>
    <xf numFmtId="165" fontId="0" fillId="37" borderId="0" xfId="1" applyNumberFormat="1" applyFont="1" applyFill="1"/>
    <xf numFmtId="16" fontId="16" fillId="0" borderId="0" xfId="0" quotePrefix="1" applyNumberFormat="1" applyFont="1"/>
    <xf numFmtId="0" fontId="0" fillId="38" borderId="0" xfId="0" applyFill="1"/>
    <xf numFmtId="9" fontId="0" fillId="0" borderId="0" xfId="0" applyNumberFormat="1"/>
  </cellXfs>
  <cellStyles count="44">
    <cellStyle name="20 % - Accent1" xfId="21" builtinId="30" customBuiltin="1"/>
    <cellStyle name="20 % - Accent2" xfId="25" builtinId="34" customBuiltin="1"/>
    <cellStyle name="20 % - Accent3" xfId="29" builtinId="38" customBuiltin="1"/>
    <cellStyle name="20 % - Accent4" xfId="33" builtinId="42" customBuiltin="1"/>
    <cellStyle name="20 % - Accent5" xfId="37" builtinId="46" customBuiltin="1"/>
    <cellStyle name="20 % - Accent6" xfId="41" builtinId="50" customBuiltin="1"/>
    <cellStyle name="40 % - Accent1" xfId="22" builtinId="31" customBuiltin="1"/>
    <cellStyle name="40 % - Accent2" xfId="26" builtinId="35" customBuiltin="1"/>
    <cellStyle name="40 % - Accent3" xfId="30" builtinId="39" customBuiltin="1"/>
    <cellStyle name="40 % - Accent4" xfId="34" builtinId="43" customBuiltin="1"/>
    <cellStyle name="40 % - Accent5" xfId="38" builtinId="47" customBuiltin="1"/>
    <cellStyle name="40 % - Accent6" xfId="42" builtinId="51" customBuiltin="1"/>
    <cellStyle name="60 % - Accent1" xfId="23" builtinId="32" customBuiltin="1"/>
    <cellStyle name="60 % - Accent2" xfId="27" builtinId="36" customBuiltin="1"/>
    <cellStyle name="60 % - Accent3" xfId="31" builtinId="40" customBuiltin="1"/>
    <cellStyle name="60 % - Accent4" xfId="35" builtinId="44" customBuiltin="1"/>
    <cellStyle name="60 % - Accent5" xfId="39" builtinId="48" customBuiltin="1"/>
    <cellStyle name="60 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Avertissement" xfId="16" builtinId="11" customBuiltin="1"/>
    <cellStyle name="Calcul" xfId="13" builtinId="22" customBuiltin="1"/>
    <cellStyle name="Cellule liée" xfId="14" builtinId="24" customBuiltin="1"/>
    <cellStyle name="Entrée" xfId="11" builtinId="20" customBuiltin="1"/>
    <cellStyle name="Insatisfaisant" xfId="9" builtinId="27" customBuiltin="1"/>
    <cellStyle name="Milliers" xfId="1" builtinId="3"/>
    <cellStyle name="Neutre" xfId="10" builtinId="28" customBuiltin="1"/>
    <cellStyle name="Normal" xfId="0" builtinId="0"/>
    <cellStyle name="Note" xfId="17" builtinId="10" customBuiltin="1"/>
    <cellStyle name="Pourcentage" xfId="2" builtinId="5"/>
    <cellStyle name="Satisfaisant" xfId="8" builtinId="26" customBuiltin="1"/>
    <cellStyle name="Sortie" xfId="12" builtinId="21" customBuiltin="1"/>
    <cellStyle name="Texte explicatif" xfId="18" builtinId="53" customBuiltin="1"/>
    <cellStyle name="Titre" xfId="3" builtinId="15" customBuiltin="1"/>
    <cellStyle name="Titre 1" xfId="4" builtinId="16" customBuiltin="1"/>
    <cellStyle name="Titre 2" xfId="5" builtinId="17" customBuiltin="1"/>
    <cellStyle name="Titre 3" xfId="6" builtinId="18" customBuiltin="1"/>
    <cellStyle name="Titre 4" xfId="7" builtinId="19" customBuiltin="1"/>
    <cellStyle name="Total" xfId="19" builtinId="25" customBuiltin="1"/>
    <cellStyle name="Vérification" xfId="15" builtinId="23" customBuiltin="1"/>
  </cellStyles>
  <dxfs count="107">
    <dxf>
      <fill>
        <patternFill patternType="none">
          <fgColor indexed="64"/>
          <bgColor indexed="6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alignment horizontal="right"/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alignment horizontal="right"/>
    </dxf>
    <dxf>
      <alignment horizontal="right"/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5" formatCode="_-* #,##0_-;\-* #,##0_-;_-* &quot;-&quot;??_-;_-@_-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alignment horizontal="right"/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alignment horizontal="right"/>
    </dxf>
    <dxf>
      <fill>
        <patternFill>
          <bgColor theme="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alignment horizontal="right"/>
    </dxf>
    <dxf>
      <fill>
        <patternFill>
          <bgColor theme="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alignment horizontal="right"/>
    </dxf>
    <dxf>
      <fill>
        <patternFill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colors>
    <mruColors>
      <color rgb="FFFFE733"/>
      <color rgb="FFFFFF99"/>
      <color rgb="FFC794FA"/>
      <color rgb="FF993D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 criterium v2.xlsm]Bulles&amp;6sur6!Tableau croisé dynamique23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E7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'Bulles&amp;6sur6'!$C$49:$C$50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'Bulles&amp;6sur6'!$B$51:$B$53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'Bulles&amp;6sur6'!$C$51:$C$53</c:f>
              <c:numCache>
                <c:formatCode>0%</c:formatCode>
                <c:ptCount val="2"/>
                <c:pt idx="0">
                  <c:v>2.4390243902439025E-2</c:v>
                </c:pt>
                <c:pt idx="1">
                  <c:v>2.3255813953488372E-2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D-4E05-99A2-9079B8EF9AC8}"/>
            </c:ext>
          </c:extLst>
        </c:ser>
        <c:ser>
          <c:idx val="1"/>
          <c:order val="1"/>
          <c:tx>
            <c:strRef>
              <c:f>'Bulles&amp;6sur6'!$D$49:$D$50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'Bulles&amp;6sur6'!$B$51:$B$53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'Bulles&amp;6sur6'!$D$51:$D$53</c:f>
              <c:numCache>
                <c:formatCode>0%</c:formatCode>
                <c:ptCount val="2"/>
                <c:pt idx="0">
                  <c:v>4.065040650406504E-2</c:v>
                </c:pt>
                <c:pt idx="1">
                  <c:v>5.8139534883720929E-2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BD-4E05-99A2-9079B8EF9AC8}"/>
            </c:ext>
          </c:extLst>
        </c:ser>
        <c:ser>
          <c:idx val="2"/>
          <c:order val="2"/>
          <c:tx>
            <c:strRef>
              <c:f>'Bulles&amp;6sur6'!$E$49:$E$50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'Bulles&amp;6sur6'!$B$51:$B$53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'Bulles&amp;6sur6'!$E$51:$E$53</c:f>
              <c:numCache>
                <c:formatCode>0%</c:formatCode>
                <c:ptCount val="2"/>
                <c:pt idx="0">
                  <c:v>0.17073170731707318</c:v>
                </c:pt>
                <c:pt idx="1">
                  <c:v>0.16860465116279069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BD-4E05-99A2-9079B8EF9AC8}"/>
            </c:ext>
          </c:extLst>
        </c:ser>
        <c:ser>
          <c:idx val="3"/>
          <c:order val="3"/>
          <c:tx>
            <c:strRef>
              <c:f>'Bulles&amp;6sur6'!$F$49:$F$50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E7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'Bulles&amp;6sur6'!$B$51:$B$53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'Bulles&amp;6sur6'!$F$51:$F$53</c:f>
              <c:numCache>
                <c:formatCode>0%</c:formatCode>
                <c:ptCount val="2"/>
                <c:pt idx="0">
                  <c:v>0.24390243902439024</c:v>
                </c:pt>
                <c:pt idx="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BD-4E05-99A2-9079B8EF9AC8}"/>
            </c:ext>
          </c:extLst>
        </c:ser>
        <c:ser>
          <c:idx val="4"/>
          <c:order val="4"/>
          <c:tx>
            <c:strRef>
              <c:f>'Bulles&amp;6sur6'!$G$49:$G$50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'Bulles&amp;6sur6'!$B$51:$B$53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'Bulles&amp;6sur6'!$G$51:$G$53</c:f>
              <c:numCache>
                <c:formatCode>0%</c:formatCode>
                <c:ptCount val="2"/>
                <c:pt idx="0">
                  <c:v>0.26422764227642276</c:v>
                </c:pt>
                <c:pt idx="1">
                  <c:v>0.2558139534883721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BD-4E05-99A2-9079B8EF9AC8}"/>
            </c:ext>
          </c:extLst>
        </c:ser>
        <c:ser>
          <c:idx val="5"/>
          <c:order val="5"/>
          <c:tx>
            <c:strRef>
              <c:f>'Bulles&amp;6sur6'!$H$49:$H$50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'Bulles&amp;6sur6'!$B$51:$B$53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'Bulles&amp;6sur6'!$H$51:$H$53</c:f>
              <c:numCache>
                <c:formatCode>0%</c:formatCode>
                <c:ptCount val="2"/>
                <c:pt idx="0">
                  <c:v>0.18292682926829268</c:v>
                </c:pt>
                <c:pt idx="1">
                  <c:v>0.19186046511627908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BD-4E05-99A2-9079B8EF9AC8}"/>
            </c:ext>
          </c:extLst>
        </c:ser>
        <c:ser>
          <c:idx val="6"/>
          <c:order val="6"/>
          <c:tx>
            <c:strRef>
              <c:f>'Bulles&amp;6sur6'!$I$49:$I$50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'Bulles&amp;6sur6'!$B$51:$B$53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'Bulles&amp;6sur6'!$I$51:$I$53</c:f>
              <c:numCache>
                <c:formatCode>0%</c:formatCode>
                <c:ptCount val="2"/>
                <c:pt idx="0">
                  <c:v>7.3170731707317069E-2</c:v>
                </c:pt>
                <c:pt idx="1">
                  <c:v>5.232558139534884E-2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8BD-4E05-99A2-9079B8EF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8405039"/>
        <c:axId val="1618404079"/>
      </c:barChart>
      <c:catAx>
        <c:axId val="16184050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18404079"/>
        <c:crosses val="autoZero"/>
        <c:auto val="1"/>
        <c:lblAlgn val="ctr"/>
        <c:lblOffset val="100"/>
        <c:noMultiLvlLbl val="0"/>
      </c:catAx>
      <c:valAx>
        <c:axId val="1618404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18405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 criterium v2.xlsm]Analyses!Tableau croisé dynamique6</c:name>
    <c:fmtId val="0"/>
  </c:pivotSource>
  <c:chart>
    <c:autoTitleDeleted val="1"/>
    <c:pivotFmts>
      <c:pivotFmt>
        <c:idx val="0"/>
        <c:spPr>
          <a:solidFill>
            <a:srgbClr val="C794F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794FA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Analyses!$H$53:$H$54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794F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Analyses!$G$55:$G$63</c:f>
              <c:strCache>
                <c:ptCount val="8"/>
                <c:pt idx="0">
                  <c:v>45</c:v>
                </c:pt>
                <c:pt idx="1">
                  <c:v>49</c:v>
                </c:pt>
                <c:pt idx="2">
                  <c:v>55</c:v>
                </c:pt>
                <c:pt idx="3">
                  <c:v>59</c:v>
                </c:pt>
                <c:pt idx="4">
                  <c:v>64</c:v>
                </c:pt>
                <c:pt idx="5">
                  <c:v>71</c:v>
                </c:pt>
                <c:pt idx="6">
                  <c:v>76</c:v>
                </c:pt>
                <c:pt idx="7">
                  <c:v>81</c:v>
                </c:pt>
              </c:strCache>
            </c:strRef>
          </c:cat>
          <c:val>
            <c:numRef>
              <c:f>Analyses!$H$55:$H$63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13</c:v>
                </c:pt>
                <c:pt idx="3">
                  <c:v>15</c:v>
                </c:pt>
                <c:pt idx="4">
                  <c:v>13</c:v>
                </c:pt>
                <c:pt idx="5">
                  <c:v>10</c:v>
                </c:pt>
                <c:pt idx="6">
                  <c:v>3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 v2.xlsm]Analyses!Tableau croisé dynamique7</c:name>
    <c:fmtId val="2"/>
  </c:pivotSource>
  <c:chart>
    <c:autoTitleDeleted val="1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Analyses!$L$53:$L$54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Analyses!$K$55:$K$62</c:f>
              <c:strCache>
                <c:ptCount val="7"/>
                <c:pt idx="0">
                  <c:v>67</c:v>
                </c:pt>
                <c:pt idx="1">
                  <c:v>73</c:v>
                </c:pt>
                <c:pt idx="2">
                  <c:v>81</c:v>
                </c:pt>
                <c:pt idx="3">
                  <c:v>89</c:v>
                </c:pt>
                <c:pt idx="4">
                  <c:v>96</c:v>
                </c:pt>
                <c:pt idx="5">
                  <c:v>102</c:v>
                </c:pt>
                <c:pt idx="6">
                  <c:v>109</c:v>
                </c:pt>
              </c:strCache>
            </c:strRef>
          </c:cat>
          <c:val>
            <c:numRef>
              <c:f>Analyses!$L$55:$L$62</c:f>
              <c:numCache>
                <c:formatCode>General</c:formatCode>
                <c:ptCount val="7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 v2.xlsm]Analyses!Tableau croisé dynamique9</c:name>
    <c:fmtId val="2"/>
  </c:pivotSource>
  <c:chart>
    <c:autoTitleDeleted val="1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C794F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Analyses!$H$93:$H$94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794F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Analyses!$G$95:$G$104</c:f>
              <c:strCache>
                <c:ptCount val="9"/>
                <c:pt idx="0">
                  <c:v>45</c:v>
                </c:pt>
                <c:pt idx="1">
                  <c:v>49</c:v>
                </c:pt>
                <c:pt idx="2">
                  <c:v>55</c:v>
                </c:pt>
                <c:pt idx="3">
                  <c:v>59</c:v>
                </c:pt>
                <c:pt idx="4">
                  <c:v>64</c:v>
                </c:pt>
                <c:pt idx="5">
                  <c:v>71</c:v>
                </c:pt>
                <c:pt idx="6">
                  <c:v>76</c:v>
                </c:pt>
                <c:pt idx="7">
                  <c:v>87</c:v>
                </c:pt>
                <c:pt idx="8">
                  <c:v>&gt;87</c:v>
                </c:pt>
              </c:strCache>
            </c:strRef>
          </c:cat>
          <c:val>
            <c:numRef>
              <c:f>Analyses!$H$95:$H$104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7</c:v>
                </c:pt>
                <c:pt idx="3">
                  <c:v>17</c:v>
                </c:pt>
                <c:pt idx="4">
                  <c:v>21</c:v>
                </c:pt>
                <c:pt idx="5">
                  <c:v>11</c:v>
                </c:pt>
                <c:pt idx="6">
                  <c:v>8</c:v>
                </c:pt>
                <c:pt idx="7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 v2.xlsm]Analyses!Tableau croisé dynamique8</c:name>
    <c:fmtId val="7"/>
  </c:pivotSource>
  <c:chart>
    <c:autoTitleDeleted val="1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Analyses!$M$93:$M$94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Analyses!$L$95:$L$105</c:f>
              <c:strCache>
                <c:ptCount val="10"/>
                <c:pt idx="0">
                  <c:v>55</c:v>
                </c:pt>
                <c:pt idx="1">
                  <c:v>61</c:v>
                </c:pt>
                <c:pt idx="2">
                  <c:v>67</c:v>
                </c:pt>
                <c:pt idx="3">
                  <c:v>73</c:v>
                </c:pt>
                <c:pt idx="4">
                  <c:v>81</c:v>
                </c:pt>
                <c:pt idx="5">
                  <c:v>89</c:v>
                </c:pt>
                <c:pt idx="6">
                  <c:v>96</c:v>
                </c:pt>
                <c:pt idx="7">
                  <c:v>102</c:v>
                </c:pt>
                <c:pt idx="8">
                  <c:v>109</c:v>
                </c:pt>
                <c:pt idx="9">
                  <c:v>&gt;109</c:v>
                </c:pt>
              </c:strCache>
            </c:strRef>
          </c:cat>
          <c:val>
            <c:numRef>
              <c:f>Analyses!$M$95:$M$105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15</c:v>
                </c:pt>
                <c:pt idx="5">
                  <c:v>8</c:v>
                </c:pt>
                <c:pt idx="6">
                  <c:v>8</c:v>
                </c:pt>
                <c:pt idx="7">
                  <c:v>6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 v2.xlsm]Analyses!Tableau croisé dynamique11</c:name>
    <c:fmtId val="0"/>
  </c:pivotSource>
  <c:chart>
    <c:autoTitleDeleted val="1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0F9ED5">
              <a:lumMod val="60000"/>
              <a:lumOff val="4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Analyses!$C$137:$C$138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F9ED5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Analyses!$B$139:$B$157</c:f>
              <c:strCache>
                <c:ptCount val="18"/>
                <c:pt idx="0">
                  <c:v>1980</c:v>
                </c:pt>
                <c:pt idx="1">
                  <c:v>1983</c:v>
                </c:pt>
                <c:pt idx="2">
                  <c:v>1986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</c:strCache>
            </c:strRef>
          </c:cat>
          <c:val>
            <c:numRef>
              <c:f>Analyses!$C$139:$C$157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5</c:v>
                </c:pt>
                <c:pt idx="5">
                  <c:v>4</c:v>
                </c:pt>
                <c:pt idx="6">
                  <c:v>2</c:v>
                </c:pt>
                <c:pt idx="7">
                  <c:v>5</c:v>
                </c:pt>
                <c:pt idx="8">
                  <c:v>7</c:v>
                </c:pt>
                <c:pt idx="9">
                  <c:v>6</c:v>
                </c:pt>
                <c:pt idx="10">
                  <c:v>5</c:v>
                </c:pt>
                <c:pt idx="11">
                  <c:v>6</c:v>
                </c:pt>
                <c:pt idx="12">
                  <c:v>3</c:v>
                </c:pt>
                <c:pt idx="13">
                  <c:v>5</c:v>
                </c:pt>
                <c:pt idx="14">
                  <c:v>7</c:v>
                </c:pt>
                <c:pt idx="15">
                  <c:v>4</c:v>
                </c:pt>
                <c:pt idx="16">
                  <c:v>2</c:v>
                </c:pt>
                <c:pt idx="1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 v2.xlsm]Analyses!Tableau croisé dynamique12</c:name>
    <c:fmtId val="5"/>
  </c:pivotSource>
  <c:chart>
    <c:autoTitleDeleted val="1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C794F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Analyses!$M$136:$M$137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794F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Analyses!$L$138:$L$160</c:f>
              <c:strCache>
                <c:ptCount val="22"/>
                <c:pt idx="0">
                  <c:v>1979</c:v>
                </c:pt>
                <c:pt idx="1">
                  <c:v>1980</c:v>
                </c:pt>
                <c:pt idx="2">
                  <c:v>1982</c:v>
                </c:pt>
                <c:pt idx="3">
                  <c:v>1984</c:v>
                </c:pt>
                <c:pt idx="4">
                  <c:v>1985</c:v>
                </c:pt>
                <c:pt idx="5">
                  <c:v>1987</c:v>
                </c:pt>
                <c:pt idx="6">
                  <c:v>1988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</c:strCache>
            </c:strRef>
          </c:cat>
          <c:val>
            <c:numRef>
              <c:f>Analyses!$M$138:$M$160</c:f>
              <c:numCache>
                <c:formatCode>General</c:formatCode>
                <c:ptCount val="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13</c:v>
                </c:pt>
                <c:pt idx="11">
                  <c:v>3</c:v>
                </c:pt>
                <c:pt idx="12">
                  <c:v>7</c:v>
                </c:pt>
                <c:pt idx="13">
                  <c:v>5</c:v>
                </c:pt>
                <c:pt idx="14">
                  <c:v>11</c:v>
                </c:pt>
                <c:pt idx="15">
                  <c:v>14</c:v>
                </c:pt>
                <c:pt idx="16">
                  <c:v>8</c:v>
                </c:pt>
                <c:pt idx="17">
                  <c:v>9</c:v>
                </c:pt>
                <c:pt idx="18">
                  <c:v>7</c:v>
                </c:pt>
                <c:pt idx="19">
                  <c:v>12</c:v>
                </c:pt>
                <c:pt idx="20">
                  <c:v>11</c:v>
                </c:pt>
                <c:pt idx="2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4FB-4789-A8E1-ED0968010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 criterium v2.xlsm]Analyses!Tableau croisé dynamique13</c:name>
    <c:fmtId val="11"/>
  </c:pivotSource>
  <c:chart>
    <c:autoTitleDeleted val="0"/>
    <c:pivotFmts>
      <c:pivotFmt>
        <c:idx val="0"/>
        <c:spPr>
          <a:solidFill>
            <a:srgbClr val="C794F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Analyses!$C$174:$C$175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Analyses!$B$176:$B$212</c:f>
              <c:strCache>
                <c:ptCount val="36"/>
                <c:pt idx="0">
                  <c:v>2011</c:v>
                </c:pt>
                <c:pt idx="1">
                  <c:v>2010</c:v>
                </c:pt>
                <c:pt idx="2">
                  <c:v>2009</c:v>
                </c:pt>
                <c:pt idx="3">
                  <c:v>2008</c:v>
                </c:pt>
                <c:pt idx="4">
                  <c:v>2007</c:v>
                </c:pt>
                <c:pt idx="5">
                  <c:v>2006</c:v>
                </c:pt>
                <c:pt idx="6">
                  <c:v>2005</c:v>
                </c:pt>
                <c:pt idx="7">
                  <c:v>2004</c:v>
                </c:pt>
                <c:pt idx="8">
                  <c:v>2003</c:v>
                </c:pt>
                <c:pt idx="9">
                  <c:v>2002</c:v>
                </c:pt>
                <c:pt idx="10">
                  <c:v>2001</c:v>
                </c:pt>
                <c:pt idx="11">
                  <c:v>2000</c:v>
                </c:pt>
                <c:pt idx="12">
                  <c:v>1999</c:v>
                </c:pt>
                <c:pt idx="13">
                  <c:v>1998</c:v>
                </c:pt>
                <c:pt idx="14">
                  <c:v>1997</c:v>
                </c:pt>
                <c:pt idx="15">
                  <c:v>1996</c:v>
                </c:pt>
                <c:pt idx="16">
                  <c:v>1995</c:v>
                </c:pt>
                <c:pt idx="17">
                  <c:v>1994</c:v>
                </c:pt>
                <c:pt idx="18">
                  <c:v>1993</c:v>
                </c:pt>
                <c:pt idx="19">
                  <c:v>1992</c:v>
                </c:pt>
                <c:pt idx="20">
                  <c:v>1991</c:v>
                </c:pt>
                <c:pt idx="21">
                  <c:v>1990</c:v>
                </c:pt>
                <c:pt idx="22">
                  <c:v>1989</c:v>
                </c:pt>
                <c:pt idx="23">
                  <c:v>1988</c:v>
                </c:pt>
                <c:pt idx="24">
                  <c:v>1987</c:v>
                </c:pt>
                <c:pt idx="25">
                  <c:v>1986</c:v>
                </c:pt>
                <c:pt idx="26">
                  <c:v>1985</c:v>
                </c:pt>
                <c:pt idx="27">
                  <c:v>1984</c:v>
                </c:pt>
                <c:pt idx="28">
                  <c:v>1983</c:v>
                </c:pt>
                <c:pt idx="29">
                  <c:v>1982</c:v>
                </c:pt>
                <c:pt idx="30">
                  <c:v>1981</c:v>
                </c:pt>
                <c:pt idx="31">
                  <c:v>1980</c:v>
                </c:pt>
                <c:pt idx="32">
                  <c:v>1979</c:v>
                </c:pt>
                <c:pt idx="33">
                  <c:v>1978</c:v>
                </c:pt>
                <c:pt idx="34">
                  <c:v>1974</c:v>
                </c:pt>
                <c:pt idx="35">
                  <c:v>1972</c:v>
                </c:pt>
              </c:strCache>
            </c:strRef>
          </c:cat>
          <c:val>
            <c:numRef>
              <c:f>Analyses!$C$176:$C$212</c:f>
              <c:numCache>
                <c:formatCode>General</c:formatCode>
                <c:ptCount val="36"/>
                <c:pt idx="0">
                  <c:v>8</c:v>
                </c:pt>
                <c:pt idx="1">
                  <c:v>14</c:v>
                </c:pt>
                <c:pt idx="2">
                  <c:v>14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20</c:v>
                </c:pt>
                <c:pt idx="7">
                  <c:v>10</c:v>
                </c:pt>
                <c:pt idx="8">
                  <c:v>5</c:v>
                </c:pt>
                <c:pt idx="9">
                  <c:v>8</c:v>
                </c:pt>
                <c:pt idx="10">
                  <c:v>17</c:v>
                </c:pt>
                <c:pt idx="11">
                  <c:v>9</c:v>
                </c:pt>
                <c:pt idx="12">
                  <c:v>10</c:v>
                </c:pt>
                <c:pt idx="13">
                  <c:v>12</c:v>
                </c:pt>
                <c:pt idx="14">
                  <c:v>9</c:v>
                </c:pt>
                <c:pt idx="15">
                  <c:v>13</c:v>
                </c:pt>
                <c:pt idx="16">
                  <c:v>11</c:v>
                </c:pt>
                <c:pt idx="17">
                  <c:v>9</c:v>
                </c:pt>
                <c:pt idx="18">
                  <c:v>7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6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3</c:v>
                </c:pt>
                <c:pt idx="31">
                  <c:v>2</c:v>
                </c:pt>
                <c:pt idx="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A3-4305-B322-D17BBE597C6C}"/>
            </c:ext>
          </c:extLst>
        </c:ser>
        <c:ser>
          <c:idx val="1"/>
          <c:order val="1"/>
          <c:tx>
            <c:strRef>
              <c:f>Analyses!$D$174:$D$175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rgbClr val="C794FA"/>
            </a:solidFill>
            <a:ln>
              <a:noFill/>
            </a:ln>
            <a:effectLst/>
          </c:spPr>
          <c:invertIfNegative val="0"/>
          <c:cat>
            <c:strRef>
              <c:f>Analyses!$B$176:$B$212</c:f>
              <c:strCache>
                <c:ptCount val="36"/>
                <c:pt idx="0">
                  <c:v>2011</c:v>
                </c:pt>
                <c:pt idx="1">
                  <c:v>2010</c:v>
                </c:pt>
                <c:pt idx="2">
                  <c:v>2009</c:v>
                </c:pt>
                <c:pt idx="3">
                  <c:v>2008</c:v>
                </c:pt>
                <c:pt idx="4">
                  <c:v>2007</c:v>
                </c:pt>
                <c:pt idx="5">
                  <c:v>2006</c:v>
                </c:pt>
                <c:pt idx="6">
                  <c:v>2005</c:v>
                </c:pt>
                <c:pt idx="7">
                  <c:v>2004</c:v>
                </c:pt>
                <c:pt idx="8">
                  <c:v>2003</c:v>
                </c:pt>
                <c:pt idx="9">
                  <c:v>2002</c:v>
                </c:pt>
                <c:pt idx="10">
                  <c:v>2001</c:v>
                </c:pt>
                <c:pt idx="11">
                  <c:v>2000</c:v>
                </c:pt>
                <c:pt idx="12">
                  <c:v>1999</c:v>
                </c:pt>
                <c:pt idx="13">
                  <c:v>1998</c:v>
                </c:pt>
                <c:pt idx="14">
                  <c:v>1997</c:v>
                </c:pt>
                <c:pt idx="15">
                  <c:v>1996</c:v>
                </c:pt>
                <c:pt idx="16">
                  <c:v>1995</c:v>
                </c:pt>
                <c:pt idx="17">
                  <c:v>1994</c:v>
                </c:pt>
                <c:pt idx="18">
                  <c:v>1993</c:v>
                </c:pt>
                <c:pt idx="19">
                  <c:v>1992</c:v>
                </c:pt>
                <c:pt idx="20">
                  <c:v>1991</c:v>
                </c:pt>
                <c:pt idx="21">
                  <c:v>1990</c:v>
                </c:pt>
                <c:pt idx="22">
                  <c:v>1989</c:v>
                </c:pt>
                <c:pt idx="23">
                  <c:v>1988</c:v>
                </c:pt>
                <c:pt idx="24">
                  <c:v>1987</c:v>
                </c:pt>
                <c:pt idx="25">
                  <c:v>1986</c:v>
                </c:pt>
                <c:pt idx="26">
                  <c:v>1985</c:v>
                </c:pt>
                <c:pt idx="27">
                  <c:v>1984</c:v>
                </c:pt>
                <c:pt idx="28">
                  <c:v>1983</c:v>
                </c:pt>
                <c:pt idx="29">
                  <c:v>1982</c:v>
                </c:pt>
                <c:pt idx="30">
                  <c:v>1981</c:v>
                </c:pt>
                <c:pt idx="31">
                  <c:v>1980</c:v>
                </c:pt>
                <c:pt idx="32">
                  <c:v>1979</c:v>
                </c:pt>
                <c:pt idx="33">
                  <c:v>1978</c:v>
                </c:pt>
                <c:pt idx="34">
                  <c:v>1974</c:v>
                </c:pt>
                <c:pt idx="35">
                  <c:v>1972</c:v>
                </c:pt>
              </c:strCache>
            </c:strRef>
          </c:cat>
          <c:val>
            <c:numRef>
              <c:f>Analyses!$D$176:$D$212</c:f>
              <c:numCache>
                <c:formatCode>General</c:formatCode>
                <c:ptCount val="36"/>
                <c:pt idx="0">
                  <c:v>24</c:v>
                </c:pt>
                <c:pt idx="1">
                  <c:v>30</c:v>
                </c:pt>
                <c:pt idx="2">
                  <c:v>26</c:v>
                </c:pt>
                <c:pt idx="3">
                  <c:v>26</c:v>
                </c:pt>
                <c:pt idx="4">
                  <c:v>21</c:v>
                </c:pt>
                <c:pt idx="5">
                  <c:v>16</c:v>
                </c:pt>
                <c:pt idx="6">
                  <c:v>24</c:v>
                </c:pt>
                <c:pt idx="7">
                  <c:v>10</c:v>
                </c:pt>
                <c:pt idx="8">
                  <c:v>16</c:v>
                </c:pt>
                <c:pt idx="9">
                  <c:v>15</c:v>
                </c:pt>
                <c:pt idx="10">
                  <c:v>19</c:v>
                </c:pt>
                <c:pt idx="11">
                  <c:v>13</c:v>
                </c:pt>
                <c:pt idx="12">
                  <c:v>17</c:v>
                </c:pt>
                <c:pt idx="13">
                  <c:v>19</c:v>
                </c:pt>
                <c:pt idx="14">
                  <c:v>17</c:v>
                </c:pt>
                <c:pt idx="15">
                  <c:v>12</c:v>
                </c:pt>
                <c:pt idx="16">
                  <c:v>19</c:v>
                </c:pt>
                <c:pt idx="17">
                  <c:v>11</c:v>
                </c:pt>
                <c:pt idx="18">
                  <c:v>21</c:v>
                </c:pt>
                <c:pt idx="19">
                  <c:v>9</c:v>
                </c:pt>
                <c:pt idx="20">
                  <c:v>8</c:v>
                </c:pt>
                <c:pt idx="21">
                  <c:v>7</c:v>
                </c:pt>
                <c:pt idx="22">
                  <c:v>2</c:v>
                </c:pt>
                <c:pt idx="23">
                  <c:v>9</c:v>
                </c:pt>
                <c:pt idx="24">
                  <c:v>5</c:v>
                </c:pt>
                <c:pt idx="25">
                  <c:v>1</c:v>
                </c:pt>
                <c:pt idx="26">
                  <c:v>2</c:v>
                </c:pt>
                <c:pt idx="27">
                  <c:v>5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A3-4305-B322-D17BBE597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24"/>
        <c:axId val="1416553039"/>
        <c:axId val="1416554959"/>
      </c:barChart>
      <c:catAx>
        <c:axId val="1416553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6554959"/>
        <c:crosses val="autoZero"/>
        <c:auto val="1"/>
        <c:lblAlgn val="ctr"/>
        <c:lblOffset val="100"/>
        <c:noMultiLvlLbl val="0"/>
      </c:catAx>
      <c:valAx>
        <c:axId val="14165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6553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 v2.xlsm]Analyses!Tableau croisé dynamique5</c:name>
    <c:fmtId val="0"/>
  </c:pivotSource>
  <c:chart>
    <c:autoTitleDeleted val="1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Analyses!$C$53:$C$54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Analyses!$B$55:$B$68</c:f>
              <c:strCache>
                <c:ptCount val="13"/>
                <c:pt idx="0">
                  <c:v>AURA</c:v>
                </c:pt>
                <c:pt idx="1">
                  <c:v>IDF</c:v>
                </c:pt>
                <c:pt idx="2">
                  <c:v>PACA</c:v>
                </c:pt>
                <c:pt idx="3">
                  <c:v>GE</c:v>
                </c:pt>
                <c:pt idx="4">
                  <c:v>NAQ</c:v>
                </c:pt>
                <c:pt idx="5">
                  <c:v>BFC</c:v>
                </c:pt>
                <c:pt idx="6">
                  <c:v>OCC</c:v>
                </c:pt>
                <c:pt idx="7">
                  <c:v>REU</c:v>
                </c:pt>
                <c:pt idx="8">
                  <c:v>PDL</c:v>
                </c:pt>
                <c:pt idx="9">
                  <c:v>HDF</c:v>
                </c:pt>
                <c:pt idx="10">
                  <c:v>NDIE</c:v>
                </c:pt>
                <c:pt idx="11">
                  <c:v>GUA</c:v>
                </c:pt>
                <c:pt idx="12">
                  <c:v>BRE</c:v>
                </c:pt>
              </c:strCache>
            </c:strRef>
          </c:cat>
          <c:val>
            <c:numRef>
              <c:f>Analyses!$C$55:$C$68</c:f>
              <c:numCache>
                <c:formatCode>General</c:formatCode>
                <c:ptCount val="13"/>
                <c:pt idx="0">
                  <c:v>15</c:v>
                </c:pt>
                <c:pt idx="1">
                  <c:v>12</c:v>
                </c:pt>
                <c:pt idx="2">
                  <c:v>10</c:v>
                </c:pt>
                <c:pt idx="3">
                  <c:v>7</c:v>
                </c:pt>
                <c:pt idx="4">
                  <c:v>7</c:v>
                </c:pt>
                <c:pt idx="5">
                  <c:v>6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 v2.xlsm]Analyses!Tableau croisé dynamique10</c:name>
    <c:fmtId val="0"/>
  </c:pivotSource>
  <c:chart>
    <c:autoTitleDeleted val="1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Analyses!$C$93:$C$94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Analyses!$B$95:$B$109</c:f>
              <c:strCache>
                <c:ptCount val="14"/>
                <c:pt idx="0">
                  <c:v>IDF</c:v>
                </c:pt>
                <c:pt idx="1">
                  <c:v>PACA</c:v>
                </c:pt>
                <c:pt idx="2">
                  <c:v>OCC</c:v>
                </c:pt>
                <c:pt idx="3">
                  <c:v>AURA</c:v>
                </c:pt>
                <c:pt idx="4">
                  <c:v>GE</c:v>
                </c:pt>
                <c:pt idx="5">
                  <c:v>BFC</c:v>
                </c:pt>
                <c:pt idx="6">
                  <c:v>NAQ</c:v>
                </c:pt>
                <c:pt idx="7">
                  <c:v>PDL</c:v>
                </c:pt>
                <c:pt idx="8">
                  <c:v>HDF</c:v>
                </c:pt>
                <c:pt idx="9">
                  <c:v>REU</c:v>
                </c:pt>
                <c:pt idx="10">
                  <c:v>NDIE</c:v>
                </c:pt>
                <c:pt idx="11">
                  <c:v>BRE</c:v>
                </c:pt>
                <c:pt idx="12">
                  <c:v>CVL</c:v>
                </c:pt>
                <c:pt idx="13">
                  <c:v>GUA</c:v>
                </c:pt>
              </c:strCache>
            </c:strRef>
          </c:cat>
          <c:val>
            <c:numRef>
              <c:f>Analyses!$C$95:$C$109</c:f>
              <c:numCache>
                <c:formatCode>General</c:formatCode>
                <c:ptCount val="14"/>
                <c:pt idx="0">
                  <c:v>20</c:v>
                </c:pt>
                <c:pt idx="1">
                  <c:v>17</c:v>
                </c:pt>
                <c:pt idx="2">
                  <c:v>12</c:v>
                </c:pt>
                <c:pt idx="3">
                  <c:v>12</c:v>
                </c:pt>
                <c:pt idx="4">
                  <c:v>11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6</c:v>
                </c:pt>
                <c:pt idx="10">
                  <c:v>5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-27"/>
        <c:axId val="1415946527"/>
        <c:axId val="1415935487"/>
      </c:barChart>
      <c:catAx>
        <c:axId val="141594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[analyse criterium v2.xlsm]Analyses!Tableau croisé dynamique19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196B24">
              <a:lumMod val="60000"/>
              <a:lumOff val="4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923105019739157"/>
          <c:y val="0.13567442033282995"/>
          <c:w val="0.60768949802608418"/>
          <c:h val="0.820724204843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Analyses!$N$174:$N$175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96B2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Analyses!$M$176:$M$187</c:f>
              <c:strCache>
                <c:ptCount val="11"/>
                <c:pt idx="0">
                  <c:v>CA ROSENDAEL</c:v>
                </c:pt>
                <c:pt idx="1">
                  <c:v>HC MONTALBANAIS</c:v>
                </c:pt>
                <c:pt idx="2">
                  <c:v>ATHLETIC CLUB SAINT MARCELLIN</c:v>
                </c:pt>
                <c:pt idx="3">
                  <c:v>HC FIGEAC</c:v>
                </c:pt>
                <c:pt idx="4">
                  <c:v>HALTEROPHILIE CLUB DE POINTE A PITRE 971</c:v>
                </c:pt>
                <c:pt idx="5">
                  <c:v>ASPTT STRASBOURG</c:v>
                </c:pt>
                <c:pt idx="6">
                  <c:v>ASL DUMONT D URVILLE</c:v>
                </c:pt>
                <c:pt idx="7">
                  <c:v>ELITE BARBELL VAULX EN VELIN</c:v>
                </c:pt>
                <c:pt idx="8">
                  <c:v>EEAR MONTEUX</c:v>
                </c:pt>
                <c:pt idx="9">
                  <c:v>AFHMA FRANCONVILLE</c:v>
                </c:pt>
                <c:pt idx="10">
                  <c:v>CLUB HALTEROPHILE LUXOVIEN</c:v>
                </c:pt>
              </c:strCache>
            </c:strRef>
          </c:cat>
          <c:val>
            <c:numRef>
              <c:f>Analyses!$N$176:$N$187</c:f>
              <c:numCache>
                <c:formatCode>General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16</c:v>
                </c:pt>
                <c:pt idx="1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C-4A86-B44E-F066D485C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axId val="1415946527"/>
        <c:axId val="1415935487"/>
      </c:barChart>
      <c:catAx>
        <c:axId val="1415946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935487"/>
        <c:crosses val="autoZero"/>
        <c:auto val="1"/>
        <c:lblAlgn val="ctr"/>
        <c:lblOffset val="100"/>
        <c:noMultiLvlLbl val="0"/>
      </c:catAx>
      <c:valAx>
        <c:axId val="14159354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1594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638175</xdr:colOff>
      <xdr:row>58</xdr:row>
      <xdr:rowOff>166687</xdr:rowOff>
    </xdr:from>
    <xdr:to>
      <xdr:col>5</xdr:col>
      <xdr:colOff>809625</xdr:colOff>
      <xdr:row>73</xdr:row>
      <xdr:rowOff>52387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301D497-7874-44B5-EF02-AC92B49C3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1381125</xdr:colOff>
      <xdr:row>64</xdr:row>
      <xdr:rowOff>180974</xdr:rowOff>
    </xdr:from>
    <xdr:to>
      <xdr:col>8</xdr:col>
      <xdr:colOff>942975</xdr:colOff>
      <xdr:row>77</xdr:row>
      <xdr:rowOff>114299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E571F9A-CC4C-CE04-8C03-539D5E5221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1028700</xdr:colOff>
      <xdr:row>63</xdr:row>
      <xdr:rowOff>161925</xdr:rowOff>
    </xdr:from>
    <xdr:to>
      <xdr:col>12</xdr:col>
      <xdr:colOff>1038225</xdr:colOff>
      <xdr:row>78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E180BB0-8DEF-FFCC-05EA-FBE42A6FA9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619125</xdr:colOff>
      <xdr:row>108</xdr:row>
      <xdr:rowOff>38100</xdr:rowOff>
    </xdr:from>
    <xdr:to>
      <xdr:col>9</xdr:col>
      <xdr:colOff>180975</xdr:colOff>
      <xdr:row>122</xdr:row>
      <xdr:rowOff>114300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BCAFD390-21AA-36EA-936D-30B4523859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28575</xdr:colOff>
      <xdr:row>107</xdr:row>
      <xdr:rowOff>0</xdr:rowOff>
    </xdr:from>
    <xdr:to>
      <xdr:col>14</xdr:col>
      <xdr:colOff>428625</xdr:colOff>
      <xdr:row>121</xdr:row>
      <xdr:rowOff>76200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BCA050E-C27B-B07E-A4F9-F6E288C060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1276349</xdr:colOff>
      <xdr:row>143</xdr:row>
      <xdr:rowOff>28575</xdr:rowOff>
    </xdr:from>
    <xdr:to>
      <xdr:col>8</xdr:col>
      <xdr:colOff>209549</xdr:colOff>
      <xdr:row>157</xdr:row>
      <xdr:rowOff>104775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47BC239E-82D7-A2D7-EDD0-BC7494E85C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1238250</xdr:colOff>
      <xdr:row>143</xdr:row>
      <xdr:rowOff>180975</xdr:rowOff>
    </xdr:from>
    <xdr:to>
      <xdr:col>18</xdr:col>
      <xdr:colOff>485775</xdr:colOff>
      <xdr:row>158</xdr:row>
      <xdr:rowOff>66675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121A70F-A969-D723-0954-3472B6F6E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1200149</xdr:colOff>
      <xdr:row>178</xdr:row>
      <xdr:rowOff>66675</xdr:rowOff>
    </xdr:from>
    <xdr:to>
      <xdr:col>11</xdr:col>
      <xdr:colOff>781050</xdr:colOff>
      <xdr:row>199</xdr:row>
      <xdr:rowOff>85726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792EC738-6347-E768-08B0-5262117FDA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723900</xdr:colOff>
      <xdr:row>68</xdr:row>
      <xdr:rowOff>76200</xdr:rowOff>
    </xdr:from>
    <xdr:to>
      <xdr:col>5</xdr:col>
      <xdr:colOff>333375</xdr:colOff>
      <xdr:row>82</xdr:row>
      <xdr:rowOff>152400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FAAB3FAB-8C88-D6D3-0E21-9FB02BC689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704850</xdr:colOff>
      <xdr:row>110</xdr:row>
      <xdr:rowOff>66675</xdr:rowOff>
    </xdr:from>
    <xdr:to>
      <xdr:col>5</xdr:col>
      <xdr:colOff>381000</xdr:colOff>
      <xdr:row>124</xdr:row>
      <xdr:rowOff>142875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72FC87ED-34A3-2AB7-A63B-898755991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1609725</xdr:colOff>
      <xdr:row>188</xdr:row>
      <xdr:rowOff>109536</xdr:rowOff>
    </xdr:from>
    <xdr:to>
      <xdr:col>15</xdr:col>
      <xdr:colOff>533401</xdr:colOff>
      <xdr:row>206</xdr:row>
      <xdr:rowOff>152399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BC31387D-6814-C24D-BAEF-72F590B9A7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is Dawid" refreshedDate="45642.575690509257" createdVersion="8" refreshedVersion="8" minRefreshableVersion="3" recordCount="768" xr:uid="{FADE81A4-55F2-4B9C-B609-7ACCF86BBDAF}">
  <cacheSource type="worksheet">
    <worksheetSource ref="A1:AZ769" sheet="full_haltero_db"/>
  </cacheSource>
  <cacheFields count="55">
    <cacheField name="Nom" numFmtId="0">
      <sharedItems count="768">
        <s v="Aaron MAGGIO"/>
        <s v="Aby SOW"/>
        <s v="Abyr TOUTI"/>
        <s v="Aciyah RAHMANI"/>
        <s v="Adam HASSAINE"/>
        <s v="Adam IAFRATE"/>
        <s v="Adèlaïde BICH"/>
        <s v="Adèle VEFOUR"/>
        <s v="Adeline POURRE"/>
        <s v="Adeline WOLFF"/>
        <s v="Adis DURIC"/>
        <s v="Agkop ANDREASIAN"/>
        <s v="Ainoa SAOUT"/>
        <s v="Aisha EL KORRICHI"/>
        <s v="Alan MOCAËR LORGERE"/>
        <s v="Alan RENAUX"/>
        <s v="Albane RICHEZ"/>
        <s v="Albin THIM"/>
        <s v="Alec BRUNEAU"/>
        <s v="Alexandra LAURENT"/>
        <s v="Alexandra MLODZINSKI"/>
        <s v="Alexandra RODRIGUEZ"/>
        <s v="Alexandre lala RAMBELO MANGA"/>
        <s v="Alexandre FAVETTE"/>
        <s v="Alexandre MOLESTI"/>
        <s v="Alexandru URSU"/>
        <s v="Alexia DORIATH"/>
        <s v="Alexine BIZEAU"/>
        <s v="Alexis ANGOT"/>
        <s v="Alexis GLEYZE"/>
        <s v="Alexis JEROME"/>
        <s v="Alice FOURNIER"/>
        <s v="Alice RENAULT"/>
        <s v="Alicia RIQUIER"/>
        <s v="Alina SEVERIN"/>
        <s v="Alissia LOISNARD"/>
        <s v="Alix CLEUTJENS"/>
        <s v="Alix PERVIER"/>
        <s v="Aliyah ARAB"/>
        <s v="Allan MOUSSET"/>
        <s v="Alya maïwenn ADOLPHE"/>
        <s v="Alysée STOKLOSA"/>
        <s v="Alyssa BRASSART"/>
        <s v="Amalia PEREIRA"/>
        <s v="Amanda KLOCK"/>
        <s v="Amandine DESHAIES"/>
        <s v="Amandine GONTIER"/>
        <s v="Amandine LE FLOCH"/>
        <s v="Ambre BOCQUET"/>
        <s v="Amélie CORBETHAU"/>
        <s v="Amelie JOUGLA"/>
        <s v="Amine LAMLICHE"/>
        <s v="Ana BURGEOT"/>
        <s v="Anaelle BILLON"/>
        <s v="Anais CADIEU"/>
        <s v="Anass WISSAADEN"/>
        <s v="Andrada GALVAO PEREIRA"/>
        <s v="Andréa MALBRUN"/>
        <s v="Angel jesus GEREDA LIZCANO"/>
        <s v="Angelique LUGUIN"/>
        <s v="Anissa CHOYER"/>
        <s v="Annabelle LUGUIN"/>
        <s v="Anthony CLAUX"/>
        <s v="Anthony COULLET"/>
        <s v="Anthony LAROIX"/>
        <s v="Antoine CHAUDUN"/>
        <s v="Antoine COTTEREAU"/>
        <s v="Antoine FELICIANO"/>
        <s v="Antoine MARCHAND"/>
        <s v="Antoine MARY"/>
        <s v="Antranig APRAHAMIAN"/>
        <s v="Apoline LECHAT"/>
        <s v="Apolline LENY"/>
        <s v="Armand BOIS"/>
        <s v="Armans SUDROT"/>
        <s v="Armelle GORGES"/>
        <s v="Armelle LAURENT"/>
        <s v="Armony DUMUR"/>
        <s v="Arthur DESCHRYVER"/>
        <s v="Arthur SIMONET"/>
        <s v="Aschkenaz PINEAU"/>
        <s v="Ashley PIZEM"/>
        <s v="Aslam NICOLIN"/>
        <s v="Astrid HANOCQUE"/>
        <s v="Asya HORVATH"/>
        <s v="Atilla AYDOGAN"/>
        <s v="Auberi CADET"/>
        <s v="Audrey LE VAILLANT DE CHARNY"/>
        <s v="Augustine CAMPTON"/>
        <s v="Aurelien TURPIN"/>
        <s v="Axelle VAN OVERBEKE"/>
        <s v="Axelle ZHENG"/>
        <s v="Ayah TATI"/>
        <s v="Aymeric GEIGER"/>
        <s v="Ayoub BEKKAR"/>
        <s v="Baptiste PATRY"/>
        <s v="Barbara GLASSIER"/>
        <s v="Bastien HAVET"/>
        <s v="Benjamin FERRE"/>
        <s v="Benjamin PEDRAK"/>
        <s v="Benjamin RENARD"/>
        <s v="Benoit ABADIE"/>
        <s v="Bertille MIZSER"/>
        <s v="Bibi-fatima YSSOUFI"/>
        <s v="Bobbi lee SCIASCIA"/>
        <s v="Brahim DJALAB"/>
        <s v="Brandon VAUTARD"/>
        <s v="Briac THOMAS"/>
        <s v="Brice KHOON-YAM"/>
        <s v="Calie PERROUAULT"/>
        <s v="Calista CHAIX"/>
        <s v="Caly VENTUROLI"/>
        <s v="Camellia GONERA"/>
        <s v="Camille BINETRUY"/>
        <s v="Camille BOYER"/>
        <s v="Camille BRAILLY"/>
        <s v="Camille CHABRE"/>
        <s v="Camille CHOURRET"/>
        <s v="Camille FAUCHER"/>
        <s v="Camille FERRANDIN"/>
        <s v="Camille GARNIER (2006)"/>
        <s v="Camille GIORDANO"/>
        <s v="Camille JOUNIAUX"/>
        <s v="Camille MOUNIER"/>
        <s v="Camille PEREIRA"/>
        <s v="Camille PILARDEAU"/>
        <s v="Camille TABARIES"/>
        <s v="Cammille BORSANI"/>
        <s v="Capucine NOIRON"/>
        <s v="Capucine VAGLIO"/>
        <s v="Carla DALIA"/>
        <s v="Carla LUCAS"/>
        <s v="Carla MATEOS"/>
        <s v="Carla MURER"/>
        <s v="Caroline BIGNON"/>
        <s v="Caroline CORNIL"/>
        <s v="Caroline GROSJEAN"/>
        <s v="Cassandre CHASSIGNOLE"/>
        <s v="Caterina SPERONI"/>
        <s v="Cathie LEROY"/>
        <s v="Cecile PENE"/>
        <s v="Cécile SITTER"/>
        <s v="Celeste SIKORA"/>
        <s v="Celia CHAPELLE"/>
        <s v="Celia CONSOLO"/>
        <s v="Celia MAHIEUX"/>
        <s v="Célia ROBERT"/>
        <s v="Célia XAVIER"/>
        <s v="Céline LOUISON TANGUY"/>
        <s v="Céline TURRI"/>
        <s v="Charline LEON"/>
        <s v="Charline RECH"/>
        <s v="Charlotte PETIT"/>
        <s v="Charlotte THIERRY"/>
        <s v="Cheyenne THIRY"/>
        <s v="Chloé BAISSE"/>
        <s v="Chloé BLANCHARD"/>
        <s v="Chloe CAZEAU"/>
        <s v="Chloe FONTENELLE"/>
        <s v="Chloé GRANDMONTAGNE"/>
        <s v="Chloé PROUVOST"/>
        <s v="Christelle EL DEBS"/>
        <s v="Christophe NAJOS"/>
        <s v="Claire JAUNEAU"/>
        <s v="Clara AUTILLO"/>
        <s v="Clara BIANCHI"/>
        <s v="Clara GIRARD"/>
        <s v="Clara GODELLE"/>
        <s v="Clara GUCCIARDI"/>
        <s v="Clara VAN STRAATEN"/>
        <s v="Clarisse GOMIS"/>
        <s v="Clarisse LETELIER ALEGRE"/>
        <s v="Clarisse TISSOT"/>
        <s v="Clarys BOUCHEZ"/>
        <s v="Cléa BILLON"/>
        <s v="Cléa BRICOUT"/>
        <s v="Clea MARTINEZ"/>
        <s v="Clemence BARROCHE"/>
        <s v="Clemence ZOGHLAMI"/>
        <s v="Clement BARILLOT"/>
        <s v="Clement BOADA"/>
        <s v="Clement CADIEU"/>
        <s v="Clement CORDEIRO"/>
        <s v="Clément MARIN"/>
        <s v="Clement MOREL"/>
        <s v="Clément ROSS"/>
        <s v="Clementine MORAND"/>
        <s v="Clementine ROUSSEAU"/>
        <s v="Clodyne YU HING"/>
        <s v="Cloé DOMAS"/>
        <s v="Coline GAUTRAT"/>
        <s v="Constance TORNEY"/>
        <s v="Constant CAUPENNE GRZESIAK"/>
        <s v="Coralie AUDIBERT"/>
        <s v="Coraline DEMAN"/>
        <s v="Cyril BAILLIEUX"/>
        <s v="Damien CARLIER"/>
        <s v="Damien SCHACHERER"/>
        <s v="Dan PARASSOURAMIN-LATCHIMY"/>
        <s v="Darya KOUCHENSKY"/>
        <s v="David GABRIEL"/>
        <s v="David LAPOSTOLLE"/>
        <s v="David PERUGA"/>
        <s v="David POTENZA"/>
        <s v="Deborah ULDRY"/>
        <s v="Delphine GROBOTEK MOUROT"/>
        <s v="Denis LEJEUNE"/>
        <s v="Dimitri ENGASSER"/>
        <s v="Dino SPATAFORA"/>
        <s v="Djalil BOUHENNOUCHE"/>
        <s v="Dorian REY"/>
        <s v="Dylan FLAUS"/>
        <s v="Edgar FINANCE"/>
        <s v="Eleane LEJEUNE"/>
        <s v="Elena AIGLE"/>
        <s v="Elena FLECHAUD"/>
        <s v="Elésia BLAIZE"/>
        <s v="Elia SACRIAS"/>
        <s v="Elisa ESPLAS"/>
        <s v="Elisa LOIGEROT"/>
        <s v="Élisabeth MOREAU"/>
        <s v="Elise FREBOURG"/>
        <s v="Élise MARECHAL"/>
        <s v="Elisée GONZAGUE-MOLONGO"/>
        <s v="Elixane LECLERCQ"/>
        <s v="Eloane CONGA"/>
        <s v="Elodie CUVILLIER"/>
        <s v="Elodie MAZOUZ"/>
        <s v="Eloise MONIER"/>
        <s v="Eloïse QUERE"/>
        <s v="Elora RODRIGUES"/>
        <s v="Elsa THIERRY"/>
        <s v="Elyse SUGNY"/>
        <s v="Elyssa JALKH"/>
        <s v="Ema CUVILLIER"/>
        <s v="Ema DURIC"/>
        <s v="Emeline LAURENT"/>
        <s v="Emerick BERGER"/>
        <s v="Emilie DUMONT"/>
        <s v="Emilie MOTAIS DE NARBONNE"/>
        <s v="Emilie PEETERS"/>
        <s v="Emma BAILLY"/>
        <s v="Emma CONSTENSOUS"/>
        <s v="Emma PANSERAT"/>
        <s v="Emma RAKOTOMALALA"/>
        <s v="Emma SCICCHITANO"/>
        <s v="Emmanuel LEPAUL"/>
        <s v="Emmanuelle SCHILLACI"/>
        <s v="Endrea GAUDEFROY"/>
        <s v="Enguerrand ALLAYS RAMACKERS"/>
        <s v="Énora FERREC"/>
        <s v="Enzo CORDARO"/>
        <s v="Enzo MENONI"/>
        <s v="Enzo NORMAND"/>
        <s v="Erine FALGOUX"/>
        <s v="Esteban HUDAN"/>
        <s v="Estelle ACINHO"/>
        <s v="Ethan LEBON"/>
        <s v="Ethan VICHON"/>
        <s v="Etienne ESSOB"/>
        <s v="Eugenie DUJARDIN"/>
        <s v="Eugénie MAKOWSKI"/>
        <s v="Eunice agnes SIVASOTHEY"/>
        <s v="Eurydice FILMOTTE"/>
        <s v="Eva marie DRENO"/>
        <s v="Eva BAYKOV-SVIATOKHA"/>
        <s v="Eva BRUNO"/>
        <s v="Eva CORBETHAU"/>
        <s v="Eva DOBEL"/>
        <s v="Eva MOSTAERT"/>
        <s v="Fadwa PANNECOUCKE"/>
        <s v="Fanny BERTIN"/>
        <s v="Fanny MALNOU"/>
        <s v="Faustine AURAT"/>
        <s v="Federic MEHAULT"/>
        <s v="Flavie TESTE"/>
        <s v="Flavien MARGUIER"/>
        <s v="Flora ANDRIEUX"/>
        <s v="Flore BRAULT"/>
        <s v="Florent ALBOUY"/>
        <s v="Florent BARTHELEMY"/>
        <s v="Florette DEGEZ"/>
        <s v="Florian DELOEYERE"/>
        <s v="Florian FLOIRAS"/>
        <s v="Florian MARIGOT"/>
        <s v="Florine PRIOUZEAU"/>
        <s v="Gabin KERINGER-DIEUPART"/>
        <s v="Gabin REUCHET"/>
        <s v="Gabriel MARTIN"/>
        <s v="Gabriel NAUDIN"/>
        <s v="Gabrielle SMITH"/>
        <s v="Gaetan DOMINGUEZ"/>
        <s v="Gaetan VINCENT"/>
        <s v="Gareth FLOTAT"/>
        <s v="Gatien VANBAELINGHEM"/>
        <s v="Geneviève WAZNI"/>
        <s v="Gianni VEJUX"/>
        <s v="Gilles THIERRY"/>
        <s v="Grazia VIOLET"/>
        <s v="Gregoire AUBERTIN"/>
        <s v="Grégory BASSI"/>
        <s v="Gregory DEMEULEMEESTER"/>
        <s v="Guillaume BARRIERE"/>
        <s v="Hanzo SOM"/>
        <s v="Hayate AMRANE"/>
        <s v="Hector CANDRAY MEDINA"/>
        <s v="Helena CAMACHO GONZALEZ"/>
        <s v="Hélène SUEUR"/>
        <s v="Hevy guy NUIRO"/>
        <s v="Hugo BEVILACQUA"/>
        <s v="Hugo FOURNIER"/>
        <s v="Hugo MATHIOT"/>
        <s v="Hugo MEDARD"/>
        <s v="Hugo RENARD"/>
        <s v="Hugo ROUGE"/>
        <s v="Hylana THOORIS"/>
        <s v="Iliana HUYSSEUNE"/>
        <s v="Ilona ROUY"/>
        <s v="Imran DAROUECH"/>
        <s v="Inaia VILFEU"/>
        <s v="Inaya CHIZZOLINI"/>
        <s v="Indira MAILLOT"/>
        <s v="Inès AMELINE"/>
        <s v="Inès BIGOT"/>
        <s v="Ingrid LINGUET"/>
        <s v="Irene KUSS--BILDSTEIN"/>
        <s v="Ismael IAFRATE"/>
        <s v="Jackie-princesse HYMAN"/>
        <s v="Jacques SCHNEIDER"/>
        <s v="Jade RICHEVAUX"/>
        <s v="Jamie lynn ANGELO"/>
        <s v="Janis KLOCK"/>
        <s v="Jawed BRET"/>
        <s v="Jean baptiste LE GALL"/>
        <s v="Jeanne HERVAULT"/>
        <s v="Jennifer PASTA"/>
        <s v="Jeremy RIQUIER"/>
        <s v="Jerome CADET"/>
        <s v="Jérome LEFEVRE"/>
        <s v="Jessica MORIN"/>
        <s v="Jessy GRAILLOT"/>
        <s v="Jill PAUL"/>
        <s v="Jimmy CHIARISOLO"/>
        <s v="Joana GUILLOT"/>
        <s v="Joanna PONSARD"/>
        <s v="Jocelyn BROTEL"/>
        <s v="Johan DARCHEN"/>
        <s v="Johan SEGURA"/>
        <s v="Johanna FORMONT"/>
        <s v="Johanna JACQUET"/>
        <s v="John MULLER"/>
        <s v="Jonah HEAFALA"/>
        <s v="Jonathan COGNON"/>
        <s v="Jonathan LAUGIER"/>
        <s v="Joris DAWID"/>
        <s v="Joris FORESTIERI"/>
        <s v="Joy LAMBERT"/>
        <s v="Jules ACHER"/>
        <s v="Jules LEGOUX"/>
        <s v="Julia BOROWIAK"/>
        <s v="Julie CHEDED"/>
        <s v="Julie GONZALEZ"/>
        <s v="Julie ROUSSEL"/>
        <s v="Juliette BESANCENOT"/>
        <s v="Juliette GARRIC"/>
        <s v="Juliette ROBERT"/>
        <s v="Justine LOTTIN"/>
        <s v="Justine PRIEUR"/>
        <s v="Justine RECURT"/>
        <s v="Kali FERRAND COGNON"/>
        <s v="Kalia MATHUREL"/>
        <s v="Kalyah DEMEULEMEESTER"/>
        <s v="Kateryna ILCHUK"/>
        <s v="Katia BAUD"/>
        <s v="Katline MUNIER"/>
        <s v="Kéllia RICHARD"/>
        <s v="Kelly PEREIRA"/>
        <s v="Kelya BOURGUIGNON"/>
        <s v="Kendjy CHIZZOLINI"/>
        <s v="Kevin JEROME"/>
        <s v="Kevin LECHAT"/>
        <s v="Kevin RANTRUA"/>
        <s v="Kevin RODOLFO"/>
        <s v="Khadidja RHAMDAMI-KALLIFA"/>
        <s v="Kia ST MART"/>
        <s v="Killian CABEL"/>
        <s v="Killian DALOUR"/>
        <s v="Killian RODRIGUEZ"/>
        <s v="Klea ROUSSILLAT"/>
        <s v="Kristina BOYER"/>
        <s v="Kutea UTIA"/>
        <s v="Kylian emmanuel MBENGA HARDOROCK"/>
        <s v="Laetitia COMBELLES"/>
        <s v="Laetitia MARTINELLI"/>
        <s v="Laetitia PRIMEL"/>
        <s v="Laura CARTOLANO"/>
        <s v="Laura HOFLACK"/>
        <s v="Laura SEJALON"/>
        <s v="Laurane DUPONT"/>
        <s v="Laurent RIQUIER"/>
        <s v="Laurine JOUSSET"/>
        <s v="Layina KIMOUCHE"/>
        <s v="Lea marie ANTONIO"/>
        <s v="Lea ALMEIDA"/>
        <s v="Léa CANAMERO"/>
        <s v="Lea CARON"/>
        <s v="Lea FEILLARD"/>
        <s v="Lea FONTENELLE"/>
        <s v="Lea REDIEN"/>
        <s v="Lea SAVARY"/>
        <s v="Léa STATTNER"/>
        <s v="Lee na PHAM"/>
        <s v="Leena AUBRY"/>
        <s v="Lého GONDRAN"/>
        <s v="Leilana ROULLET"/>
        <s v="Leïlou LORET"/>
        <s v="Léna BERTRAND"/>
        <s v="Lenny CLOAREC"/>
        <s v="Leo DELABRE"/>
        <s v="Léo GUILLEMETTE"/>
        <s v="Léo MOSER"/>
        <s v="Léonard LEVEQUE"/>
        <s v="Leonie DECORTE-DELHAIE"/>
        <s v="Léonie JUNG-BUCH"/>
        <s v="Leya DUFRANNE"/>
        <s v="Lia DIAW"/>
        <s v="Lila jade PICOD KINANY"/>
        <s v="Lilian LABERTRANDIE"/>
        <s v="Liliane FERNANDES"/>
        <s v="Lilou ANCEL"/>
        <s v="Lily SUEUR"/>
        <s v="Lina RISSO"/>
        <s v="Linoa TYROU"/>
        <s v="Lisa GEFFROY"/>
        <s v="Lisa GHILBERT"/>
        <s v="Lisa MIMOUNI VAUDIN"/>
        <s v="Lisa MONNET-BESSON"/>
        <s v="Lise COGNARD"/>
        <s v="Lison FORESTIER"/>
        <s v="Loane PAYET"/>
        <s v="Loesha AISSA"/>
        <s v="Loic BOUVOT"/>
        <s v="Loic SEIGNEMARTIN"/>
        <s v="Lola BARRET"/>
        <s v="Lola RIOT"/>
        <s v="Lolita THIANN-BO MOREL"/>
        <s v="Lorenzo MEDARD"/>
        <s v="Loris GARLOPEAU"/>
        <s v="Lou ann TERENNE"/>
        <s v="Lou COSSUTTA"/>
        <s v="Lou MATHELIN"/>
        <s v="Lou PILARD"/>
        <s v="Louane ROUGIER"/>
        <s v="Lou-anne BESLAY DE USATORRE"/>
        <s v="Lou-anne CHILLARON-PEREZ"/>
        <s v="Lou-anne GODU"/>
        <s v="Lou-anne POIROT-LAIR"/>
        <s v="Loubna COGNON"/>
        <s v="Louis DUCHAUFFOUR"/>
        <s v="Louis MUGNIERY-SIRIEX"/>
        <s v="Louisa PRASZEZYNKI"/>
        <s v="Louise BUTTEZ DECRAMP"/>
        <s v="Louise GREMILLET"/>
        <s v="Louise RIGAUD"/>
        <s v="Louison GENTIL"/>
        <s v="Louna BEAUGER"/>
        <s v="Luc BOUCKÉ"/>
        <s v="Luca VATAN"/>
        <s v="Lucas BOFFY"/>
        <s v="Lucas GRANGER"/>
        <s v="Lucas JARDIN"/>
        <s v="Lucas LEBLANC (2010)"/>
        <s v="Lucas REY"/>
        <s v="Lucas WAUTHIER"/>
        <s v="Luce ROQUET"/>
        <s v="Lucie GANGLOFF"/>
        <s v="Lucille GHIOTTO"/>
        <s v="Lucio SALVATICI"/>
        <s v="Ludovic GAY"/>
        <s v="Ludwig COLOMBO"/>
        <s v="Lukas DELAMOTTE"/>
        <s v="Luna LITZLER"/>
        <s v="Lya SIGUST DUQUESNOY"/>
        <s v="Lyam DANGUY"/>
        <s v="Lyam ST MART"/>
        <s v="Lyla NOURTIER"/>
        <s v="Lylou ROGUET"/>
        <s v="Lyna FERRAND COGNON"/>
        <s v="Lynn CHUI"/>
        <s v="Maé simon RICO"/>
        <s v="Mael DECRAENE"/>
        <s v="Mael JULLIOT"/>
        <s v="Mael VILAIN CHANTREAU"/>
        <s v="Maeline ROBIN"/>
        <s v="Maelle IRENEE"/>
        <s v="Maelle MARTIAL (2002)"/>
        <s v="Maelyn MICHEL"/>
        <s v="Maelys GROSJEAN"/>
        <s v="Maelys HECQUET"/>
        <s v="Maelys MROZKOWIAK"/>
        <s v="Maelys PY"/>
        <s v="Maelys RICHARD"/>
        <s v="Maeva MARTIN"/>
        <s v="Maeva RENCK"/>
        <s v="Maïana ZAOUROU"/>
        <s v="Malone CATOLIQUOT"/>
        <s v="Manoa LE PIOLET"/>
        <s v="Manoé DECLERCQ"/>
        <s v="Manon BERNARD"/>
        <s v="Manon JAN"/>
        <s v="Manon LEROY"/>
        <s v="Manon PERRIER"/>
        <s v="Manon RETAILLE"/>
        <s v="Manon SALELLES"/>
        <s v="Manon WIPLIER"/>
        <s v="Marc AGUILERA"/>
        <s v="Marc SINGER"/>
        <s v="Marcel JUREK"/>
        <s v="Margaux D ABOVILLE"/>
        <s v="Margaux LEFEBVRE"/>
        <s v="Margaux ROCHER"/>
        <s v="Margot CERDAN"/>
        <s v="Margot KOCHETOVA"/>
        <s v="Maria ZAVLYANOVA"/>
        <s v="Marianna GERACI"/>
        <s v="Marie amélie LÉPINAY"/>
        <s v="Marie BACQUAERT"/>
        <s v="Marie CAVALLINI"/>
        <s v="Marie COUSIN"/>
        <s v="Marie KAMIENNY"/>
        <s v="Marie MANTAROPOULOS"/>
        <s v="Marie RIQUIER"/>
        <s v="Marielle HERTRICH"/>
        <s v="Marilou LALLOYEAU"/>
        <s v="Marina NONCLERCQ"/>
        <s v="Marine DUGAS"/>
        <s v="Marine ESCUILLIE"/>
        <s v="Marine JULLIEN"/>
        <s v="Marion BITHOREL"/>
        <s v="Marion DUBOIS"/>
        <s v="Marion MOUDIN"/>
        <s v="Marion WIETRICH"/>
        <s v="Marlon BONNENFANT"/>
        <s v="Martin FELICIANO"/>
        <s v="Mathéo MARLOT NIZET"/>
        <s v="Mathias DIXNEUF"/>
        <s v="Mathieu TANG"/>
        <s v="Mathilda JAMAR"/>
        <s v="Mathilde DELACHAT"/>
        <s v="Mathilde FERREIRA ROLO"/>
        <s v="Mathilde PAYRARD"/>
        <s v="Mathilde ROSTOUCHER"/>
        <s v="Mathis BELLIER--BARREAU"/>
        <s v="Mathis HENNOUS"/>
        <s v="Mathis KUKRIC"/>
        <s v="Mathis SIMARD--FERNANDES"/>
        <s v="Matis DEMEILLERS"/>
        <s v="Matthieu BITOUN"/>
        <s v="Maud GARRO"/>
        <s v="Maude GLASSIER"/>
        <s v="Maureen DEVOS"/>
        <s v="Maureen MORVAN"/>
        <s v="Maxence AOUNI"/>
        <s v="Maxence BON"/>
        <s v="Maxence DUPONT"/>
        <s v="Maxence GLEVAREC"/>
        <s v="Maxime BISTEUR"/>
        <s v="Maxime BOULINGUEZ"/>
        <s v="Maxime HERBE"/>
        <s v="Maxime TÉLISMART"/>
        <s v="Maya charlotte FIRENZULA"/>
        <s v="Mehdi BAKHOUY"/>
        <s v="Melanie FRERET"/>
        <s v="Melanie PRIM"/>
        <s v="Melany LE VIENNESSE - BOHER"/>
        <s v="Méline FORESTIER"/>
        <s v="Melyn BAUDY"/>
        <s v="Mickael COSTA"/>
        <s v="Miguel adolfo TORREZ DAURA"/>
        <s v="Mila MARGUERAT"/>
        <s v="Mohamed BARKAT"/>
        <s v="Morgan LORE"/>
        <s v="Morgane VERMONT"/>
        <s v="Mounira NAKOULMA"/>
        <s v="Mya ONEZIME"/>
        <s v="Nadji LEMOYNE"/>
        <s v="Nahil ARAB"/>
        <s v="Naomie ROUSSEL"/>
        <s v="Nathan DESRIVIERES"/>
        <s v="Nathan LUTUN"/>
        <s v="Nathanael TRANQUILLAIN"/>
        <s v="Nathaniel PENEZ"/>
        <s v="Natymael BOITTIN"/>
        <s v="Nawel BESBAS"/>
        <s v="Nicolas LE ROUX"/>
        <s v="Nicolas MICHELET"/>
        <s v="Nicolas SAMMUT"/>
        <s v="Nicolas SANIER"/>
        <s v="Nina CAPITAINE"/>
        <s v="Nina DE SAMPAIO"/>
        <s v="Nina DIOGUARDI"/>
        <s v="Nina FRABBONI"/>
        <s v="Nina PANN"/>
        <s v="Noa TCHINDA"/>
        <s v="Noah BURGEOT"/>
        <s v="Noah VEFOUR"/>
        <s v="Noe ANTY-MANIER"/>
        <s v="Noelle LARGEAS"/>
        <s v="Noelle ZHENG"/>
        <s v="Noémie QUERE"/>
        <s v="Noémie TARDY"/>
        <s v="Nolan DENHEZ"/>
        <s v="Nourhene TRIMECH"/>
        <s v="Océane GIRARD-CLOS"/>
        <s v="Océane HERNEQUET"/>
        <s v="Océane SCHOTT"/>
        <s v="Olivia ETIENNE"/>
        <s v="Olivia NANTERMOZ"/>
        <s v="Olivier RICHARD"/>
        <s v="Ombeline BEGIN"/>
        <s v="Orane LORTAL"/>
        <s v="Oriane GREMBER"/>
        <s v="Oriane SEGAUX"/>
        <s v="Ornella NICOLOSI"/>
        <s v="Paolo DOS SANTOS"/>
        <s v="Paolo SPAGNULO"/>
        <s v="Patricia GOMEZ"/>
        <s v="Paul CANIVET"/>
        <s v="Pauline DEPENWEILLER"/>
        <s v="Pauline JACQUEMIN"/>
        <s v="Pauline LAUV"/>
        <s v="Pauline SCHEER"/>
        <s v="Paul-maxime MOULS"/>
        <s v="Pavel VOTINOV"/>
        <s v="Penelope TOWNSON VERDIER"/>
        <s v="Perrine CADONI"/>
        <s v="Philomène PIARD"/>
        <s v="Pia EAST"/>
        <s v="Pierre TOUSSAINT"/>
        <s v="Prune GUILMAU"/>
        <s v="Pryanka MOULS"/>
        <s v="Quentin DUFOUR"/>
        <s v="Quentin SIRUGUET"/>
        <s v="Rachel LAUBIER"/>
        <s v="Rachel MAURO"/>
        <s v="Rania SAMAALI"/>
        <s v="Raphael DA FONSECA"/>
        <s v="Raphael DURAND"/>
        <s v="Raphael GABARRE FONFREDE"/>
        <s v="Raphael LEPINAY BARET"/>
        <s v="Raphaelle PERVIER"/>
        <s v="Rémi BACQUAERT"/>
        <s v="Remi DACHICOURT"/>
        <s v="Robin LAPIERRE"/>
        <s v="Robin LAURET"/>
        <s v="Romain DA SILVA"/>
        <s v="Romain LABONDE"/>
        <s v="Romain MONTE"/>
        <s v="Romain PASTOR"/>
        <s v="Romy LISERAY LASCAR"/>
        <s v="Rose BRETELLE"/>
        <s v="Rose DUCHAUFFOUR"/>
        <s v="Rudy FERRON"/>
        <s v="Ryan CALANDRE CONSOLO"/>
        <s v="Ryan DEBAISIEUX"/>
        <s v="Sacha SPERKA"/>
        <s v="Safana BEDEIR LARADE"/>
        <s v="Samantha LE MALEFANT"/>
        <s v="Samuel AUROQUE"/>
        <s v="Samuel GERINGER"/>
        <s v="Samuel MASSE"/>
        <s v="Sandra VALLUCHE"/>
        <s v="Sara IAFRATE"/>
        <s v="Sara SAID"/>
        <s v="Sara TAIMOURI"/>
        <s v="Sarah ERHART"/>
        <s v="Sarah MILLE"/>
        <s v="Sarah SAINT AIME"/>
        <s v="Selena BOSQ"/>
        <s v="Selenia DECRAENE"/>
        <s v="Servane LITZLER"/>
        <s v="Shaina RADAMA"/>
        <s v="Shanilla BOLDINI"/>
        <s v="Shirley VAILLES"/>
        <s v="Shizuka RICO"/>
        <s v="Simon DEYRIS"/>
        <s v="Simon MECHELAERE"/>
        <s v="Simon VAN DEN BLIEK"/>
        <s v="Soan TAÏLÉ"/>
        <s v="Solène BOUTIN"/>
        <s v="Solene DOUYERE"/>
        <s v="Solenza SANCI"/>
        <s v="Sonia COGNON"/>
        <s v="Sonia SAICIC"/>
        <s v="Sophia ZHYLKO"/>
        <s v="Sophie DOUCET CHARPIN"/>
        <s v="Sovannarith MEY"/>
        <s v="Stella BATCHEV"/>
        <s v="Stephane AUBRY"/>
        <s v="Stéphane BALIAN"/>
        <s v="Stephane DUTILLEUL"/>
        <s v="Steven D'ANNA"/>
        <s v="Steven RAVALISSE"/>
        <s v="Sullivan MARIE"/>
        <s v="Sylvie EBERENA"/>
        <s v="Syndra BAPTE"/>
        <s v="Tamara MONTANDON"/>
        <s v="Tasnym HOFFMANN"/>
        <s v="Teddy EREMBERT"/>
        <s v="Teiva LE PIOLET"/>
        <s v="Thais CALMUS"/>
        <s v="Theo COGNON"/>
        <s v="Théoline PRIGENT MADEC"/>
        <s v="Thibault CREUPELANDT"/>
        <s v="Thibault DEIGNAN"/>
        <s v="Thibaut LECHAT"/>
        <s v="Thierry PONS"/>
        <s v="Thomas ALCARAZ"/>
        <s v="Thomas COLIN"/>
        <s v="Thomas CONSALVES"/>
        <s v="Thomas ROGUET"/>
        <s v="Tifanie SESMA"/>
        <s v="Timael DALLOIS"/>
        <s v="Timeo BRUNET"/>
        <s v="Timothy DELATTRE"/>
        <s v="Tina BAUD"/>
        <s v="Tom ADAMY"/>
        <s v="Tom CARCANO"/>
        <s v="Tom DESACHY"/>
        <s v="Tommy PETIT"/>
        <s v="Tony ROULLET"/>
        <s v="Tory HOMINAL"/>
        <s v="Tyler ALARD"/>
        <s v="Ugo GRAVOIS"/>
        <s v="Ulysse GELE"/>
        <s v="Valentin AUDINOT"/>
        <s v="Valentin CHRISTOPHEL"/>
        <s v="Valentin RIVASSEAU"/>
        <s v="Valentine LAMIRAL"/>
        <s v="Valeriane GIMBERT"/>
        <s v="Victor COMBEAU"/>
        <s v="Victor MIEGEBIELLE"/>
        <s v="Victoria ARMSTRONG"/>
        <s v="Victoria LAMBOLEY"/>
        <s v="Vincent CARLIER"/>
        <s v="Vincent FONTENELLE"/>
        <s v="Vinciane HERBIN"/>
        <s v="Willem LINGUET"/>
        <s v="William steve NGALAMO KROUSSI"/>
        <s v="Willy DJASSIDJI"/>
        <s v="Wyatt JEAN"/>
        <s v="Yael PENCOLE"/>
        <s v="Yanis BOUKRAA"/>
        <s v="Yann THOMASSON"/>
        <s v="Yannis DERRICK"/>
        <s v="Yohan BOESS"/>
        <s v="Yohann CHAN TAI TAT"/>
        <s v="Youan SERROUT DE LA CARRE"/>
        <s v="Youenn PERSONNIC"/>
        <s v="Yvan - alexis MILOSEVIC"/>
        <s v="Zahra LAMDAHBIN"/>
        <s v="Zahra TRAB"/>
        <s v="Zakaria BOUKHARTA"/>
        <s v="Zakaria CHELALI"/>
        <s v="Zeline PICOT"/>
        <s v="Zélyna DECLERCQ"/>
        <s v="Zoé CAUMON"/>
        <s v="Zoé FURET"/>
      </sharedItems>
    </cacheField>
    <cacheField name="DateNaissance" numFmtId="14">
      <sharedItems containsSemiMixedTypes="0" containsNonDate="0" containsDate="1" containsString="0" minDate="1972-06-19T00:00:00" maxDate="2015-10-05T00:00:00" count="730">
        <d v="2007-10-03T00:00:00"/>
        <d v="2010-06-25T00:00:00"/>
        <d v="1989-10-09T00:00:00"/>
        <d v="1999-11-03T00:00:00"/>
        <d v="1994-12-30T00:00:00"/>
        <d v="2007-12-07T00:00:00"/>
        <d v="1998-05-25T00:00:00"/>
        <d v="2010-03-09T00:00:00"/>
        <d v="1991-09-01T00:00:00"/>
        <d v="2005-05-05T00:00:00"/>
        <d v="2009-04-01T00:00:00"/>
        <d v="2008-04-30T00:00:00"/>
        <d v="2008-03-11T00:00:00"/>
        <d v="2008-03-08T00:00:00"/>
        <d v="1996-03-07T00:00:00"/>
        <d v="1999-07-01T00:00:00"/>
        <d v="2008-08-18T00:00:00"/>
        <d v="2000-05-16T00:00:00"/>
        <d v="2001-05-12T00:00:00"/>
        <d v="1988-10-25T00:00:00"/>
        <d v="1994-02-24T00:00:00"/>
        <d v="1990-12-07T00:00:00"/>
        <d v="1995-05-27T00:00:00"/>
        <d v="1995-04-03T00:00:00"/>
        <d v="1993-10-22T00:00:00"/>
        <d v="2008-06-09T00:00:00"/>
        <d v="1995-12-31T00:00:00"/>
        <d v="2007-08-14T00:00:00"/>
        <d v="1995-03-19T00:00:00"/>
        <d v="2006-09-22T00:00:00"/>
        <d v="1989-12-11T00:00:00"/>
        <d v="2014-01-28T00:00:00"/>
        <d v="2008-09-17T00:00:00"/>
        <d v="2011-08-10T00:00:00"/>
        <d v="1995-10-11T00:00:00"/>
        <d v="2001-04-13T00:00:00"/>
        <d v="2003-10-25T00:00:00"/>
        <d v="1990-02-06T00:00:00"/>
        <d v="2011-02-07T00:00:00"/>
        <d v="2002-09-05T00:00:00"/>
        <d v="2012-05-07T00:00:00"/>
        <d v="1987-12-28T00:00:00"/>
        <d v="2003-02-06T00:00:00"/>
        <d v="2012-02-05T00:00:00"/>
        <d v="2009-10-09T00:00:00"/>
        <d v="2009-04-08T00:00:00"/>
        <d v="1998-01-05T00:00:00"/>
        <d v="1995-11-07T00:00:00"/>
        <d v="1994-10-06T00:00:00"/>
        <d v="2004-10-24T00:00:00"/>
        <d v="2002-01-11T00:00:00"/>
        <d v="2008-09-15T00:00:00"/>
        <d v="2015-01-06T00:00:00"/>
        <d v="1997-09-12T00:00:00"/>
        <d v="2005-06-30T00:00:00"/>
        <d v="2014-05-29T00:00:00"/>
        <d v="2008-08-29T00:00:00"/>
        <d v="1993-08-03T00:00:00"/>
        <d v="2000-01-05T00:00:00"/>
        <d v="1995-07-21T00:00:00"/>
        <d v="1988-07-18T00:00:00"/>
        <d v="2000-07-23T00:00:00"/>
        <d v="1991-06-11T00:00:00"/>
        <d v="1997-01-10T00:00:00"/>
        <d v="1986-11-29T00:00:00"/>
        <d v="2007-07-20T00:00:00"/>
        <d v="2003-01-22T00:00:00"/>
        <d v="2007-06-20T00:00:00"/>
        <d v="1985-10-02T00:00:00"/>
        <d v="2005-05-04T00:00:00"/>
        <d v="1997-08-02T00:00:00"/>
        <d v="2011-10-05T00:00:00"/>
        <d v="1999-01-29T00:00:00"/>
        <d v="2003-01-01T00:00:00"/>
        <d v="2005-02-08T00:00:00"/>
        <d v="2005-04-07T00:00:00"/>
        <d v="1992-07-29T00:00:00"/>
        <d v="1991-12-02T00:00:00"/>
        <d v="2009-11-14T00:00:00"/>
        <d v="2013-05-14T00:00:00"/>
        <d v="1984-12-28T00:00:00"/>
        <d v="2011-03-02T00:00:00"/>
        <d v="2001-08-25T00:00:00"/>
        <d v="2008-01-23T00:00:00"/>
        <d v="2010-11-24T00:00:00"/>
        <d v="2005-12-28T00:00:00"/>
        <d v="1988-11-20T00:00:00"/>
        <d v="1997-02-18T00:00:00"/>
        <d v="2010-01-24T00:00:00"/>
        <d v="2004-03-28T00:00:00"/>
        <d v="2003-09-16T00:00:00"/>
        <d v="2002-12-25T00:00:00"/>
        <d v="2006-05-26T00:00:00"/>
        <d v="2009-11-26T00:00:00"/>
        <d v="2001-11-10T00:00:00"/>
        <d v="2007-02-04T00:00:00"/>
        <d v="2010-07-24T00:00:00"/>
        <d v="2002-04-27T00:00:00"/>
        <d v="2000-07-22T00:00:00"/>
        <d v="1998-11-25T00:00:00"/>
        <d v="2005-01-11T00:00:00"/>
        <d v="1999-09-01T00:00:00"/>
        <d v="1999-07-15T00:00:00"/>
        <d v="2002-10-03T00:00:00"/>
        <d v="1984-04-05T00:00:00"/>
        <d v="2001-01-01T00:00:00"/>
        <d v="1996-09-09T00:00:00"/>
        <d v="2012-09-23T00:00:00"/>
        <d v="1996-02-01T00:00:00"/>
        <d v="2010-10-20T00:00:00"/>
        <d v="2002-12-31T00:00:00"/>
        <d v="2014-07-30T00:00:00"/>
        <d v="2012-01-27T00:00:00"/>
        <d v="2003-06-01T00:00:00"/>
        <d v="2010-07-26T00:00:00"/>
        <d v="2010-03-01T00:00:00"/>
        <d v="2001-02-12T00:00:00"/>
        <d v="2012-06-23T00:00:00"/>
        <d v="2001-02-13T00:00:00"/>
        <d v="2012-02-20T00:00:00"/>
        <d v="2006-04-03T00:00:00"/>
        <d v="1996-08-30T00:00:00"/>
        <d v="1997-01-06T00:00:00"/>
        <d v="1993-07-15T00:00:00"/>
        <d v="1993-01-16T00:00:00"/>
        <d v="1994-04-01T00:00:00"/>
        <d v="2000-03-06T00:00:00"/>
        <d v="2010-02-11T00:00:00"/>
        <d v="1998-09-09T00:00:00"/>
        <d v="2013-10-01T00:00:00"/>
        <d v="2003-04-18T00:00:00"/>
        <d v="2001-02-09T00:00:00"/>
        <d v="2006-08-10T00:00:00"/>
        <d v="2004-11-02T00:00:00"/>
        <d v="1990-11-27T00:00:00"/>
        <d v="1988-02-29T00:00:00"/>
        <d v="1995-03-13T00:00:00"/>
        <d v="1996-12-23T00:00:00"/>
        <d v="2010-11-27T00:00:00"/>
        <d v="2008-07-10T00:00:00"/>
        <d v="1983-08-18T00:00:00"/>
        <d v="1984-03-26T00:00:00"/>
        <d v="2009-05-26T00:00:00"/>
        <d v="1991-06-20T00:00:00"/>
        <d v="1996-12-17T00:00:00"/>
        <d v="2008-11-17T00:00:00"/>
        <d v="2007-08-02T00:00:00"/>
        <d v="1993-07-10T00:00:00"/>
        <d v="1996-03-04T00:00:00"/>
        <d v="2010-04-23T00:00:00"/>
        <d v="1999-12-03T00:00:00"/>
        <d v="1997-06-22T00:00:00"/>
        <d v="2003-08-06T00:00:00"/>
        <d v="2012-11-07T00:00:00"/>
        <d v="1997-02-23T00:00:00"/>
        <d v="2005-08-22T00:00:00"/>
        <d v="1997-02-14T00:00:00"/>
        <d v="2011-09-10T00:00:00"/>
        <d v="2009-03-11T00:00:00"/>
        <d v="1996-09-15T00:00:00"/>
        <d v="1984-11-08T00:00:00"/>
        <d v="1994-03-10T00:00:00"/>
        <d v="1992-06-30T00:00:00"/>
        <d v="1993-12-08T00:00:00"/>
        <d v="2005-05-11T00:00:00"/>
        <d v="2001-03-06T00:00:00"/>
        <d v="2010-03-15T00:00:00"/>
        <d v="2010-12-01T00:00:00"/>
        <d v="2007-03-28T00:00:00"/>
        <d v="1988-06-30T00:00:00"/>
        <d v="2000-10-07T00:00:00"/>
        <d v="2003-10-21T00:00:00"/>
        <d v="2011-10-07T00:00:00"/>
        <d v="2014-07-03T00:00:00"/>
        <d v="2010-04-02T00:00:00"/>
        <d v="2011-03-25T00:00:00"/>
        <d v="2001-09-12T00:00:00"/>
        <d v="2007-06-17T00:00:00"/>
        <d v="2004-11-21T00:00:00"/>
        <d v="1997-12-15T00:00:00"/>
        <d v="2002-09-21T00:00:00"/>
        <d v="2013-11-04T00:00:00"/>
        <d v="2002-07-04T00:00:00"/>
        <d v="2013-12-09T00:00:00"/>
        <d v="2009-09-02T00:00:00"/>
        <d v="2011-10-08T00:00:00"/>
        <d v="1972-06-19T00:00:00"/>
        <d v="2000-11-10T00:00:00"/>
        <d v="2007-01-07T00:00:00"/>
        <d v="2001-07-14T00:00:00"/>
        <d v="2015-08-17T00:00:00"/>
        <d v="1987-12-27T00:00:00"/>
        <d v="2007-03-26T00:00:00"/>
        <d v="2005-04-24T00:00:00"/>
        <d v="1999-05-17T00:00:00"/>
        <d v="1991-09-25T00:00:00"/>
        <d v="1996-01-02T00:00:00"/>
        <d v="2006-03-11T00:00:00"/>
        <d v="2012-01-13T00:00:00"/>
        <d v="1992-06-26T00:00:00"/>
        <d v="1988-07-06T00:00:00"/>
        <d v="1990-01-22T00:00:00"/>
        <d v="1982-06-05T00:00:00"/>
        <d v="1992-07-27T00:00:00"/>
        <d v="1994-08-19T00:00:00"/>
        <d v="2005-02-04T00:00:00"/>
        <d v="2000-08-19T00:00:00"/>
        <d v="2004-08-14T00:00:00"/>
        <d v="1998-05-28T00:00:00"/>
        <d v="2001-09-28T00:00:00"/>
        <d v="2014-06-25T00:00:00"/>
        <d v="1998-03-25T00:00:00"/>
        <d v="2014-04-23T00:00:00"/>
        <d v="2013-12-18T00:00:00"/>
        <d v="2001-02-18T00:00:00"/>
        <d v="2003-01-14T00:00:00"/>
        <d v="2009-07-31T00:00:00"/>
        <d v="1996-12-14T00:00:00"/>
        <d v="1978-07-28T00:00:00"/>
        <d v="1998-10-27T00:00:00"/>
        <d v="1995-04-11T00:00:00"/>
        <d v="2003-10-30T00:00:00"/>
        <d v="2005-12-30T00:00:00"/>
        <d v="2001-09-05T00:00:00"/>
        <d v="2000-07-04T00:00:00"/>
        <d v="2013-06-10T00:00:00"/>
        <d v="2006-11-15T00:00:00"/>
        <d v="1994-09-16T00:00:00"/>
        <d v="1993-04-22T00:00:00"/>
        <d v="1998-03-08T00:00:00"/>
        <d v="2006-01-17T00:00:00"/>
        <d v="2010-05-01T00:00:00"/>
        <d v="2012-01-24T00:00:00"/>
        <d v="2007-01-08T00:00:00"/>
        <d v="1987-04-01T00:00:00"/>
        <d v="1993-03-21T00:00:00"/>
        <d v="2002-08-16T00:00:00"/>
        <d v="1991-07-22T00:00:00"/>
        <d v="2000-05-10T00:00:00"/>
        <d v="2011-12-09T00:00:00"/>
        <d v="1999-12-22T00:00:00"/>
        <d v="1995-03-21T00:00:00"/>
        <d v="2000-07-31T00:00:00"/>
        <d v="1991-01-16T00:00:00"/>
        <d v="1993-04-20T00:00:00"/>
        <d v="2012-06-24T00:00:00"/>
        <d v="2011-07-26T00:00:00"/>
        <d v="1995-01-11T00:00:00"/>
        <d v="2014-04-11T00:00:00"/>
        <d v="2009-03-10T00:00:00"/>
        <d v="2000-05-23T00:00:00"/>
        <d v="2012-07-18T00:00:00"/>
        <d v="2008-04-05T00:00:00"/>
        <d v="2012-08-01T00:00:00"/>
        <d v="2011-10-06T00:00:00"/>
        <d v="2001-09-29T00:00:00"/>
        <d v="2004-07-11T00:00:00"/>
        <d v="1990-11-21T00:00:00"/>
        <d v="1993-02-26T00:00:00"/>
        <d v="2008-12-10T00:00:00"/>
        <d v="1983-08-02T00:00:00"/>
        <d v="2009-05-28T00:00:00"/>
        <d v="2001-10-11T00:00:00"/>
        <d v="2002-08-30T00:00:00"/>
        <d v="2009-08-09T00:00:00"/>
        <d v="1992-05-31T00:00:00"/>
        <d v="2014-03-02T00:00:00"/>
        <d v="1992-08-08T00:00:00"/>
        <d v="2004-09-27T00:00:00"/>
        <d v="1992-02-25T00:00:00"/>
        <d v="1992-05-25T00:00:00"/>
        <d v="1998-11-19T00:00:00"/>
        <d v="2002-03-30T00:00:00"/>
        <d v="2010-06-05T00:00:00"/>
        <d v="1995-07-12T00:00:00"/>
        <d v="2010-08-09T00:00:00"/>
        <d v="2005-08-30T00:00:00"/>
        <d v="2008-10-10T00:00:00"/>
        <d v="2007-06-04T00:00:00"/>
        <d v="1996-06-17T00:00:00"/>
        <d v="2009-01-05T00:00:00"/>
        <d v="2002-01-20T00:00:00"/>
        <d v="2013-04-11T00:00:00"/>
        <d v="2013-09-04T00:00:00"/>
        <d v="2007-01-01T00:00:00"/>
        <d v="2009-01-19T00:00:00"/>
        <d v="2009-01-14T00:00:00"/>
        <d v="2001-02-21T00:00:00"/>
        <d v="2006-02-03T00:00:00"/>
        <d v="1989-09-13T00:00:00"/>
        <d v="2013-11-12T00:00:00"/>
        <d v="1984-10-02T00:00:00"/>
        <d v="2001-11-27T00:00:00"/>
        <d v="1982-02-16T00:00:00"/>
        <d v="2008-07-28T00:00:00"/>
        <d v="1996-09-11T00:00:00"/>
        <d v="1999-10-18T00:00:00"/>
        <d v="1983-07-20T00:00:00"/>
        <d v="2006-04-17T00:00:00"/>
        <d v="2005-06-18T00:00:00"/>
        <d v="1995-01-30T00:00:00"/>
        <d v="1992-08-24T00:00:00"/>
        <d v="2007-06-05T00:00:00"/>
        <d v="1985-05-20T00:00:00"/>
        <d v="2005-03-28T00:00:00"/>
        <d v="1999-07-24T00:00:00"/>
        <d v="2005-10-12T00:00:00"/>
        <d v="2003-09-28T00:00:00"/>
        <d v="1999-10-26T00:00:00"/>
        <d v="2007-03-01T00:00:00"/>
        <d v="2012-07-05T00:00:00"/>
        <d v="2005-10-22T00:00:00"/>
        <d v="2009-10-22T00:00:00"/>
        <d v="2014-04-10T00:00:00"/>
        <d v="2011-12-31T00:00:00"/>
        <d v="2012-09-15T00:00:00"/>
        <d v="2009-10-02T00:00:00"/>
        <d v="2011-06-14T00:00:00"/>
        <d v="1994-09-29T00:00:00"/>
        <d v="1992-03-09T00:00:00"/>
        <d v="2009-04-27T00:00:00"/>
        <d v="2010-02-09T00:00:00"/>
        <d v="2005-08-21T00:00:00"/>
        <d v="2008-10-13T00:00:00"/>
        <d v="2009-06-04T00:00:00"/>
        <d v="2010-03-20T00:00:00"/>
        <d v="2012-06-21T00:00:00"/>
        <d v="2014-07-02T00:00:00"/>
        <d v="1996-08-02T00:00:00"/>
        <d v="1998-10-17T00:00:00"/>
        <d v="1992-03-14T00:00:00"/>
        <d v="2000-01-12T00:00:00"/>
        <d v="1994-05-16T00:00:00"/>
        <d v="1991-12-22T00:00:00"/>
        <d v="1999-12-19T00:00:00"/>
        <d v="2003-02-25T00:00:00"/>
        <d v="1998-01-19T00:00:00"/>
        <d v="1998-11-02T00:00:00"/>
        <d v="1994-03-09T00:00:00"/>
        <d v="1992-02-12T00:00:00"/>
        <d v="1996-06-05T00:00:00"/>
        <d v="1988-06-16T00:00:00"/>
        <d v="1987-04-24T00:00:00"/>
        <d v="1998-10-23T00:00:00"/>
        <d v="2004-08-20T00:00:00"/>
        <d v="1990-11-08T00:00:00"/>
        <d v="1989-12-28T00:00:00"/>
        <d v="1993-06-18T00:00:00"/>
        <d v="1985-06-15T00:00:00"/>
        <d v="2005-10-03T00:00:00"/>
        <d v="2011-03-17T00:00:00"/>
        <d v="2007-05-14T00:00:00"/>
        <d v="1984-11-29T00:00:00"/>
        <d v="2010-06-07T00:00:00"/>
        <d v="2006-05-14T00:00:00"/>
        <d v="2011-10-23T00:00:00"/>
        <d v="1997-08-28T00:00:00"/>
        <d v="1996-04-01T00:00:00"/>
        <d v="2001-07-24T00:00:00"/>
        <d v="1996-05-04T00:00:00"/>
        <d v="1997-08-30T00:00:00"/>
        <d v="2015-07-14T00:00:00"/>
        <d v="2005-09-27T00:00:00"/>
        <d v="2011-10-20T00:00:00"/>
        <d v="2001-02-14T00:00:00"/>
        <d v="1988-05-10T00:00:00"/>
        <d v="1994-03-24T00:00:00"/>
        <d v="2009-02-07T00:00:00"/>
        <d v="2008-11-09T00:00:00"/>
        <d v="2012-05-23T00:00:00"/>
        <d v="2014-07-07T00:00:00"/>
        <d v="1992-11-08T00:00:00"/>
        <d v="1992-04-10T00:00:00"/>
        <d v="1990-07-06T00:00:00"/>
        <d v="1989-04-27T00:00:00"/>
        <d v="2013-06-07T00:00:00"/>
        <d v="2011-02-12T00:00:00"/>
        <d v="1998-12-21T00:00:00"/>
        <d v="1994-10-13T00:00:00"/>
        <d v="2001-11-16T00:00:00"/>
        <d v="2011-11-09T00:00:00"/>
        <d v="2007-04-19T00:00:00"/>
        <d v="2003-11-07T00:00:00"/>
        <d v="2009-04-20T00:00:00"/>
        <d v="1990-04-13T00:00:00"/>
        <d v="1991-07-18T00:00:00"/>
        <d v="1990-09-29T00:00:00"/>
        <d v="1993-08-29T00:00:00"/>
        <d v="2008-01-17T00:00:00"/>
        <d v="1997-01-19T00:00:00"/>
        <d v="1997-11-13T00:00:00"/>
        <d v="1979-05-17T00:00:00"/>
        <d v="2004-07-18T00:00:00"/>
        <d v="2010-11-17T00:00:00"/>
        <d v="2005-02-10T00:00:00"/>
        <d v="1995-03-23T00:00:00"/>
        <d v="1998-02-02T00:00:00"/>
        <d v="2005-04-28T00:00:00"/>
        <d v="1998-09-12T00:00:00"/>
        <d v="2008-05-06T00:00:00"/>
        <d v="2003-05-29T00:00:00"/>
        <d v="2013-07-21T00:00:00"/>
        <d v="2011-05-14T00:00:00"/>
        <d v="2006-12-15T00:00:00"/>
        <d v="2012-05-21T00:00:00"/>
        <d v="2009-05-11T00:00:00"/>
        <d v="2007-07-03T00:00:00"/>
        <d v="2005-03-31T00:00:00"/>
        <d v="2006-12-07T00:00:00"/>
        <d v="2005-07-25T00:00:00"/>
        <d v="2013-10-26T00:00:00"/>
        <d v="2010-06-06T00:00:00"/>
        <d v="2007-10-08T00:00:00"/>
        <d v="2000-01-31T00:00:00"/>
        <d v="2012-07-20T00:00:00"/>
        <d v="2008-07-21T00:00:00"/>
        <d v="2011-08-14T00:00:00"/>
        <d v="2006-10-07T00:00:00"/>
        <d v="2009-04-18T00:00:00"/>
        <d v="2001-06-08T00:00:00"/>
        <d v="2009-08-02T00:00:00"/>
        <d v="2011-12-01T00:00:00"/>
        <d v="2012-08-23T00:00:00"/>
        <d v="2003-02-15T00:00:00"/>
        <d v="2002-10-18T00:00:00"/>
        <d v="1995-07-17T00:00:00"/>
        <d v="2010-02-05T00:00:00"/>
        <d v="1994-08-25T00:00:00"/>
        <d v="2010-05-16T00:00:00"/>
        <d v="2003-05-21T00:00:00"/>
        <d v="1992-01-31T00:00:00"/>
        <d v="1994-02-25T00:00:00"/>
        <d v="1993-12-25T00:00:00"/>
        <d v="2010-02-22T00:00:00"/>
        <d v="2009-11-23T00:00:00"/>
        <d v="2005-07-30T00:00:00"/>
        <d v="2013-01-23T00:00:00"/>
        <d v="2014-07-04T00:00:00"/>
        <d v="2007-10-19T00:00:00"/>
        <d v="2001-07-21T00:00:00"/>
        <d v="2006-07-24T00:00:00"/>
        <d v="2013-01-08T00:00:00"/>
        <d v="2002-12-28T00:00:00"/>
        <d v="2010-11-07T00:00:00"/>
        <d v="2005-07-18T00:00:00"/>
        <d v="2004-03-08T00:00:00"/>
        <d v="2006-02-15T00:00:00"/>
        <d v="2012-07-25T00:00:00"/>
        <d v="2010-03-03T00:00:00"/>
        <d v="1998-11-20T00:00:00"/>
        <d v="2012-08-28T00:00:00"/>
        <d v="1996-05-08T00:00:00"/>
        <d v="2010-05-21T00:00:00"/>
        <d v="2006-01-24T00:00:00"/>
        <d v="2008-04-02T00:00:00"/>
        <d v="2012-05-18T00:00:00"/>
        <d v="1999-02-10T00:00:00"/>
        <d v="2009-03-20T00:00:00"/>
        <d v="2010-04-05T00:00:00"/>
        <d v="2008-03-20T00:00:00"/>
        <d v="2010-05-10T00:00:00"/>
        <d v="2008-05-20T00:00:00"/>
        <d v="2013-02-24T00:00:00"/>
        <d v="2014-01-14T00:00:00"/>
        <d v="2003-06-25T00:00:00"/>
        <d v="2007-01-26T00:00:00"/>
        <d v="2010-04-18T00:00:00"/>
        <d v="1999-11-27T00:00:00"/>
        <d v="1995-10-18T00:00:00"/>
        <d v="2007-03-11T00:00:00"/>
        <d v="2013-10-02T00:00:00"/>
        <d v="2012-03-21T00:00:00"/>
        <d v="2013-09-28T00:00:00"/>
        <d v="2005-07-04T00:00:00"/>
        <d v="2010-09-23T00:00:00"/>
        <d v="1995-04-13T00:00:00"/>
        <d v="2013-07-23T00:00:00"/>
        <d v="2010-07-20T00:00:00"/>
        <d v="2014-05-31T00:00:00"/>
        <d v="2005-06-28T00:00:00"/>
        <d v="2006-09-21T00:00:00"/>
        <d v="2002-01-12T00:00:00"/>
        <d v="2004-02-25T00:00:00"/>
        <d v="2008-04-21T00:00:00"/>
        <d v="2013-05-13T00:00:00"/>
        <d v="2009-02-20T00:00:00"/>
        <d v="2009-01-22T00:00:00"/>
        <d v="2011-06-15T00:00:00"/>
        <d v="2005-02-19T00:00:00"/>
        <d v="1997-04-22T00:00:00"/>
        <d v="2010-01-31T00:00:00"/>
        <d v="2007-05-20T00:00:00"/>
        <d v="2012-02-14T00:00:00"/>
        <d v="1998-02-20T00:00:00"/>
        <d v="2008-03-14T00:00:00"/>
        <d v="2004-06-26T00:00:00"/>
        <d v="2004-08-13T00:00:00"/>
        <d v="1999-07-02T00:00:00"/>
        <d v="2002-11-05T00:00:00"/>
        <d v="1998-07-29T00:00:00"/>
        <d v="1997-10-16T00:00:00"/>
        <d v="2006-02-25T00:00:00"/>
        <d v="1993-04-27T00:00:00"/>
        <d v="1993-12-17T00:00:00"/>
        <d v="1992-03-28T00:00:00"/>
        <d v="1997-09-05T00:00:00"/>
        <d v="2008-10-02T00:00:00"/>
        <d v="2010-08-03T00:00:00"/>
        <d v="1993-07-23T00:00:00"/>
        <d v="1989-11-16T00:00:00"/>
        <d v="2008-07-22T00:00:00"/>
        <d v="2007-04-01T00:00:00"/>
        <d v="1998-12-07T00:00:00"/>
        <d v="2002-04-11T00:00:00"/>
        <d v="2012-09-09T00:00:00"/>
        <d v="1997-11-22T00:00:00"/>
        <d v="2000-09-21T00:00:00"/>
        <d v="2001-09-30T00:00:00"/>
        <d v="1988-10-09T00:00:00"/>
        <d v="1996-09-22T00:00:00"/>
        <d v="2001-02-08T00:00:00"/>
        <d v="2000-11-19T00:00:00"/>
        <d v="1997-05-17T00:00:00"/>
        <d v="1999-10-21T00:00:00"/>
        <d v="2012-07-27T00:00:00"/>
        <d v="2004-09-24T00:00:00"/>
        <d v="2013-09-25T00:00:00"/>
        <d v="1999-02-11T00:00:00"/>
        <d v="1992-09-14T00:00:00"/>
        <d v="1991-04-21T00:00:00"/>
        <d v="1979-05-14T00:00:00"/>
        <d v="2002-01-16T00:00:00"/>
        <d v="2000-02-26T00:00:00"/>
        <d v="1995-11-28T00:00:00"/>
        <d v="2009-01-07T00:00:00"/>
        <d v="2001-04-25T00:00:00"/>
        <d v="2012-03-25T00:00:00"/>
        <d v="2006-08-05T00:00:00"/>
        <d v="2006-11-26T00:00:00"/>
        <d v="2004-12-01T00:00:00"/>
        <d v="1993-12-03T00:00:00"/>
        <d v="2015-02-17T00:00:00"/>
        <d v="1994-11-14T00:00:00"/>
        <d v="2010-07-21T00:00:00"/>
        <d v="1999-08-30T00:00:00"/>
        <d v="2005-09-05T00:00:00"/>
        <d v="1991-07-26T00:00:00"/>
        <d v="1993-12-13T00:00:00"/>
        <d v="1995-10-22T00:00:00"/>
        <d v="2002-07-09T00:00:00"/>
        <d v="2011-07-04T00:00:00"/>
        <d v="2008-07-31T00:00:00"/>
        <d v="1996-08-10T00:00:00"/>
        <d v="1996-07-17T00:00:00"/>
        <d v="1981-09-15T00:00:00"/>
        <d v="2012-08-08T00:00:00"/>
        <d v="2013-12-12T00:00:00"/>
        <d v="2015-03-08T00:00:00"/>
        <d v="1992-03-26T00:00:00"/>
        <d v="1997-10-07T00:00:00"/>
        <d v="2013-04-22T00:00:00"/>
        <d v="1985-06-25T00:00:00"/>
        <d v="1986-01-01T00:00:00"/>
        <d v="1988-11-19T00:00:00"/>
        <d v="2012-04-30T00:00:00"/>
        <d v="2011-11-14T00:00:00"/>
        <d v="1986-11-06T00:00:00"/>
        <d v="2013-10-22T00:00:00"/>
        <d v="2009-04-23T00:00:00"/>
        <d v="2008-02-11T00:00:00"/>
        <d v="2012-04-12T00:00:00"/>
        <d v="2005-01-13T00:00:00"/>
        <d v="2013-09-17T00:00:00"/>
        <d v="1994-10-10T00:00:00"/>
        <d v="1995-12-18T00:00:00"/>
        <d v="1994-08-21T00:00:00"/>
        <d v="1990-03-16T00:00:00"/>
        <d v="1998-01-14T00:00:00"/>
        <d v="1995-02-02T00:00:00"/>
        <d v="1998-07-16T00:00:00"/>
        <d v="2002-10-19T00:00:00"/>
        <d v="2007-01-05T00:00:00"/>
        <d v="2010-05-14T00:00:00"/>
        <d v="1993-07-28T00:00:00"/>
        <d v="2005-09-19T00:00:00"/>
        <d v="2013-07-15T00:00:00"/>
        <d v="2012-11-21T00:00:00"/>
        <d v="2008-05-08T00:00:00"/>
        <d v="2001-06-12T00:00:00"/>
        <d v="1999-04-28T00:00:00"/>
        <d v="2013-04-10T00:00:00"/>
        <d v="2007-08-27T00:00:00"/>
        <d v="1998-12-06T00:00:00"/>
        <d v="2004-08-11T00:00:00"/>
        <d v="1995-06-20T00:00:00"/>
        <d v="1980-11-23T00:00:00"/>
        <d v="2008-05-23T00:00:00"/>
        <d v="1999-06-22T00:00:00"/>
        <d v="1993-10-11T00:00:00"/>
        <d v="2008-03-10T00:00:00"/>
        <d v="1993-09-22T00:00:00"/>
        <d v="1998-06-30T00:00:00"/>
        <d v="1993-12-07T00:00:00"/>
        <d v="1994-10-26T00:00:00"/>
        <d v="2001-05-27T00:00:00"/>
        <d v="2000-03-14T00:00:00"/>
        <d v="1997-12-07T00:00:00"/>
        <d v="2011-06-07T00:00:00"/>
        <d v="1993-10-06T00:00:00"/>
        <d v="2009-02-15T00:00:00"/>
        <d v="1998-02-21T00:00:00"/>
        <d v="2003-06-04T00:00:00"/>
        <d v="2006-06-01T00:00:00"/>
        <d v="1996-07-27T00:00:00"/>
        <d v="2010-10-07T00:00:00"/>
        <d v="2005-06-20T00:00:00"/>
        <d v="2006-03-21T00:00:00"/>
        <d v="1995-07-28T00:00:00"/>
        <d v="2001-06-22T00:00:00"/>
        <d v="2001-03-19T00:00:00"/>
        <d v="2005-03-16T00:00:00"/>
        <d v="1993-01-25T00:00:00"/>
        <d v="1998-03-02T00:00:00"/>
        <d v="2005-09-14T00:00:00"/>
        <d v="2014-02-22T00:00:00"/>
        <d v="1992-12-19T00:00:00"/>
        <d v="1997-11-14T00:00:00"/>
        <d v="1989-12-16T00:00:00"/>
        <d v="2014-05-22T00:00:00"/>
        <d v="1992-03-06T00:00:00"/>
        <d v="2005-02-03T00:00:00"/>
        <d v="1991-11-29T00:00:00"/>
        <d v="2009-04-25T00:00:00"/>
        <d v="2008-04-10T00:00:00"/>
        <d v="1997-09-03T00:00:00"/>
        <d v="2009-09-28T00:00:00"/>
        <d v="2014-02-13T00:00:00"/>
        <d v="2013-07-28T00:00:00"/>
        <d v="1999-10-16T00:00:00"/>
        <d v="2007-11-12T00:00:00"/>
        <d v="1995-08-21T00:00:00"/>
        <d v="2009-08-04T00:00:00"/>
        <d v="2000-02-10T00:00:00"/>
        <d v="1999-08-13T00:00:00"/>
        <d v="2006-01-18T00:00:00"/>
        <d v="2012-11-06T00:00:00"/>
        <d v="1990-09-06T00:00:00"/>
        <d v="2007-12-08T00:00:00"/>
        <d v="2009-09-17T00:00:00"/>
        <d v="2010-08-17T00:00:00"/>
        <d v="2011-02-06T00:00:00"/>
        <d v="1995-08-09T00:00:00"/>
        <d v="2004-04-10T00:00:00"/>
        <d v="2005-03-23T00:00:00"/>
        <d v="2012-11-22T00:00:00"/>
        <d v="1999-06-27T00:00:00"/>
        <d v="2009-07-11T00:00:00"/>
        <d v="1998-06-02T00:00:00"/>
        <d v="1974-06-15T00:00:00"/>
        <d v="1993-10-07T00:00:00"/>
        <d v="1995-05-31T00:00:00"/>
        <d v="1990-02-17T00:00:00"/>
        <d v="1989-08-16T00:00:00"/>
        <d v="1999-03-05T00:00:00"/>
        <d v="1982-02-08T00:00:00"/>
        <d v="1993-11-21T00:00:00"/>
        <d v="2001-03-18T00:00:00"/>
        <d v="2000-09-17T00:00:00"/>
        <d v="2001-01-11T00:00:00"/>
        <d v="1992-10-06T00:00:00"/>
        <d v="1980-11-29T00:00:00"/>
        <d v="1987-06-29T00:00:00"/>
        <d v="1999-03-18T00:00:00"/>
        <d v="2011-04-25T00:00:00"/>
        <d v="1982-07-07T00:00:00"/>
        <d v="2005-12-01T00:00:00"/>
        <d v="2007-08-08T00:00:00"/>
        <d v="2002-01-10T00:00:00"/>
        <d v="2005-05-27T00:00:00"/>
        <d v="1992-01-28T00:00:00"/>
        <d v="1991-08-06T00:00:00"/>
        <d v="2015-10-04T00:00:00"/>
        <d v="1998-10-26T00:00:00"/>
        <d v="2011-07-22T00:00:00"/>
        <d v="1992-10-08T00:00:00"/>
        <d v="1996-03-13T00:00:00"/>
        <d v="2006-12-24T00:00:00"/>
        <d v="2011-06-21T00:00:00"/>
        <d v="2010-09-19T00:00:00"/>
        <d v="2012-11-05T00:00:00"/>
        <d v="2014-02-11T00:00:00"/>
        <d v="2013-02-09T00:00:00"/>
        <d v="2013-02-07T00:00:00"/>
        <d v="2008-07-24T00:00:00"/>
        <d v="1998-04-07T00:00:00"/>
        <d v="1997-01-07T00:00:00"/>
        <d v="1996-04-03T00:00:00"/>
        <d v="2013-12-17T00:00:00"/>
        <d v="2000-01-10T00:00:00"/>
        <d v="2006-08-07T00:00:00"/>
        <d v="1992-12-14T00:00:00"/>
        <d v="2004-09-09T00:00:00"/>
        <d v="2004-07-26T00:00:00"/>
        <d v="1999-07-16T00:00:00"/>
        <d v="2000-08-18T00:00:00"/>
        <d v="2001-03-21T00:00:00"/>
        <d v="1997-06-12T00:00:00"/>
        <d v="1995-10-31T00:00:00"/>
        <d v="1993-02-02T00:00:00"/>
        <d v="1995-10-02T00:00:00"/>
        <d v="1980-07-12T00:00:00"/>
        <d v="2005-07-20T00:00:00"/>
        <d v="1996-03-18T00:00:00"/>
        <d v="2006-01-11T00:00:00"/>
        <d v="1991-10-15T00:00:00"/>
        <d v="2008-05-02T00:00:00"/>
        <d v="2007-11-13T00:00:00"/>
        <d v="2010-01-15T00:00:00"/>
        <d v="2002-12-03T00:00:00"/>
        <d v="1998-02-28T00:00:00"/>
        <d v="2001-09-10T00:00:00"/>
        <d v="2014-03-11T00:00:00"/>
        <d v="2004-11-27T00:00:00"/>
        <d v="1992-08-06T00:00:00"/>
        <d v="1998-09-15T00:00:00"/>
        <d v="1995-08-20T00:00:00"/>
        <d v="2003-02-13T00:00:00"/>
        <d v="2014-04-07T00:00:00"/>
        <d v="2011-10-01T00:00:00"/>
        <d v="2005-01-22T00:00:00"/>
      </sharedItems>
      <fieldGroup par="54"/>
    </cacheField>
    <cacheField name="AthleteID" numFmtId="0">
      <sharedItems/>
    </cacheField>
    <cacheField name="Licence" numFmtId="0">
      <sharedItems containsSemiMixedTypes="0" containsString="0" containsNumber="1" containsInteger="1" minValue="1146" maxValue="505630"/>
    </cacheField>
    <cacheField name="Nationalite" numFmtId="0">
      <sharedItems/>
    </cacheField>
    <cacheField name="CATNomCompetition" numFmtId="0">
      <sharedItems/>
    </cacheField>
    <cacheField name="CATClub" numFmtId="0">
      <sharedItems/>
    </cacheField>
    <cacheField name="AthleteID2" numFmtId="0">
      <sharedItems/>
    </cacheField>
    <cacheField name="PoidsDeCorps" numFmtId="0">
      <sharedItems containsMixedTypes="1" containsNumber="1" containsInteger="1" minValue="30" maxValue="98"/>
    </cacheField>
    <cacheField name="Arr1" numFmtId="0">
      <sharedItems containsSemiMixedTypes="0" containsString="0" containsNumber="1" containsInteger="1" minValue="-133" maxValue="151"/>
    </cacheField>
    <cacheField name="Arr2" numFmtId="0">
      <sharedItems containsSemiMixedTypes="0" containsString="0" containsNumber="1" containsInteger="1" minValue="-136" maxValue="156"/>
    </cacheField>
    <cacheField name="Arr3" numFmtId="0">
      <sharedItems containsSemiMixedTypes="0" containsString="0" containsNumber="1" containsInteger="1" minValue="-158" maxValue="161"/>
    </cacheField>
    <cacheField name="Arrache" numFmtId="0">
      <sharedItems containsSemiMixedTypes="0" containsString="0" containsNumber="1" containsInteger="1" minValue="0" maxValue="161"/>
    </cacheField>
    <cacheField name="ArracheU13" numFmtId="0">
      <sharedItems containsSemiMixedTypes="0" containsString="0" containsNumber="1" containsInteger="1" minValue="0" maxValue="317"/>
    </cacheField>
    <cacheField name="Arrache_OK_KO" numFmtId="0">
      <sharedItems/>
    </cacheField>
    <cacheField name="EpJ1" numFmtId="0">
      <sharedItems containsSemiMixedTypes="0" containsString="0" containsNumber="1" containsInteger="1" minValue="-160" maxValue="190"/>
    </cacheField>
    <cacheField name="EpJ2" numFmtId="0">
      <sharedItems containsSemiMixedTypes="0" containsString="0" containsNumber="1" containsInteger="1" minValue="-173" maxValue="200"/>
    </cacheField>
    <cacheField name="EpJ3" numFmtId="0">
      <sharedItems containsSemiMixedTypes="0" containsString="0" containsNumber="1" containsInteger="1" minValue="-207" maxValue="161"/>
    </cacheField>
    <cacheField name="EpJete" numFmtId="0">
      <sharedItems containsSemiMixedTypes="0" containsString="0" containsNumber="1" containsInteger="1" minValue="0" maxValue="200"/>
    </cacheField>
    <cacheField name="EpJeteU13" numFmtId="0">
      <sharedItems containsSemiMixedTypes="0" containsString="0" containsNumber="1" containsInteger="1" minValue="0" maxValue="390"/>
    </cacheField>
    <cacheField name="EpJete_OK_KO" numFmtId="0">
      <sharedItems/>
    </cacheField>
    <cacheField name="Nb essais réussis" numFmtId="0">
      <sharedItems containsSemiMixedTypes="0" containsString="0" containsNumber="1" containsInteger="1" minValue="0" maxValue="6" count="7">
        <n v="3"/>
        <n v="5"/>
        <n v="6"/>
        <n v="4"/>
        <n v="1"/>
        <n v="2"/>
        <n v="0"/>
      </sharedItems>
    </cacheField>
    <cacheField name="Quasi Bulle" numFmtId="0">
      <sharedItems containsSemiMixedTypes="0" containsString="0" containsNumber="1" containsInteger="1" minValue="0" maxValue="1" count="2">
        <n v="0"/>
        <n v="1"/>
      </sharedItems>
    </cacheField>
    <cacheField name="Quasi Double Bulle" numFmtId="0">
      <sharedItems containsSemiMixedTypes="0" containsString="0" containsNumber="1" containsInteger="1" minValue="0" maxValue="1" count="2">
        <n v="0"/>
        <n v="1"/>
      </sharedItems>
    </cacheField>
    <cacheField name="PoidsTotal" numFmtId="0">
      <sharedItems containsSemiMixedTypes="0" containsString="0" containsNumber="1" containsInteger="1" minValue="0" maxValue="354"/>
    </cacheField>
    <cacheField name="TotalU13" numFmtId="0">
      <sharedItems containsSemiMixedTypes="0" containsString="0" containsNumber="1" containsInteger="1" minValue="0" maxValue="694"/>
    </cacheField>
    <cacheField name="IWF_Calcul" numFmtId="0">
      <sharedItems/>
    </cacheField>
    <cacheField name="IWF_CalculU13" numFmtId="0">
      <sharedItems/>
    </cacheField>
    <cacheField name="Serie" numFmtId="0">
      <sharedItems count="8">
        <s v="N.C."/>
        <s v="FED"/>
        <s v="IRG"/>
        <s v="NAT"/>
        <s v="INT B"/>
        <s v="REG"/>
        <s v="DPT"/>
        <s v="INT A"/>
      </sharedItems>
    </cacheField>
    <cacheField name="RangSerie" numFmtId="0">
      <sharedItems containsSemiMixedTypes="0" containsString="0" containsNumber="1" containsInteger="1" minValue="2" maxValue="999"/>
    </cacheField>
    <cacheField name="CatePoids" numFmtId="0">
      <sharedItems containsMixedTypes="1" containsNumber="1" containsInteger="1" minValue="35" maxValue="109" count="26">
        <n v="67"/>
        <n v="55"/>
        <n v="59"/>
        <n v="71"/>
        <n v="81"/>
        <n v="73"/>
        <n v="45"/>
        <n v="64"/>
        <n v="61"/>
        <n v="89"/>
        <n v="49"/>
        <n v="40"/>
        <s v="&gt;81"/>
        <s v="U10 F "/>
        <n v="35"/>
        <n v="76"/>
        <s v="&gt;109"/>
        <n v="102"/>
        <n v="96"/>
        <n v="109"/>
        <n v="87"/>
        <s v="U10 M "/>
        <s v="&gt;73"/>
        <s v="&gt;87"/>
        <s v="&gt;102"/>
        <s v="&gt;71"/>
      </sharedItems>
    </cacheField>
    <cacheField name="CateAge" numFmtId="0">
      <sharedItems count="6">
        <s v="U20"/>
        <s v="U15"/>
        <s v="SEN"/>
        <s v="U17"/>
        <s v="U13"/>
        <s v="U10"/>
      </sharedItems>
    </cacheField>
    <cacheField name="CateMaster" numFmtId="0">
      <sharedItems containsString="0" containsBlank="1" containsNumber="1" containsInteger="1" minValue="35" maxValue="50"/>
    </cacheField>
    <cacheField name="Categorie" numFmtId="0">
      <sharedItems/>
    </cacheField>
    <cacheField name="IWF" numFmtId="0">
      <sharedItems containsSemiMixedTypes="0" containsString="0" containsNumber="1" minValue="0" maxValue="449.55"/>
    </cacheField>
    <cacheField name="Sexe" numFmtId="0">
      <sharedItems count="2">
        <s v="M"/>
        <s v="F"/>
      </sharedItems>
    </cacheField>
    <cacheField name="NomCompetition" numFmtId="0">
      <sharedItems/>
    </cacheField>
    <cacheField name="NomCompetitionCourt" numFmtId="0">
      <sharedItems/>
    </cacheField>
    <cacheField name="LigueCompetition" numFmtId="0">
      <sharedItems/>
    </cacheField>
    <cacheField name="DateCompet" numFmtId="14">
      <sharedItems containsSemiMixedTypes="0" containsNonDate="0" containsDate="1" containsString="0" minDate="2024-12-13T00:00:00" maxDate="2024-12-16T00:00:00"/>
    </cacheField>
    <cacheField name="AnneeCompet" numFmtId="0">
      <sharedItems containsSemiMixedTypes="0" containsString="0" containsNumber="1" containsInteger="1" minValue="2024" maxValue="2024"/>
    </cacheField>
    <cacheField name="MoisCompet" numFmtId="0">
      <sharedItems containsSemiMixedTypes="0" containsString="0" containsNumber="1" containsInteger="1" minValue="12" maxValue="12"/>
    </cacheField>
    <cacheField name="AnneeMois" numFmtId="0">
      <sharedItems/>
    </cacheField>
    <cacheField name="SemaineCompet" numFmtId="0">
      <sharedItems containsNonDate="0" containsString="0" containsBlank="1"/>
    </cacheField>
    <cacheField name="Saison" numFmtId="0">
      <sharedItems/>
    </cacheField>
    <cacheField name="SaisonAnnee" numFmtId="0">
      <sharedItems containsSemiMixedTypes="0" containsString="0" containsNumber="1" containsInteger="1" minValue="2025" maxValue="2025"/>
    </cacheField>
    <cacheField name="Club" numFmtId="0">
      <sharedItems count="141">
        <s v="ASL DUMONT D URVILLE"/>
        <s v="HC FIGEAC"/>
        <s v="REIMS HM"/>
        <s v="VGA ST MAUR HALTEROPHILIE"/>
        <s v="AFHMA FRANCONVILLE"/>
        <s v="LA GAULOISE DE VAISE"/>
        <s v="TOULOUSE HC"/>
        <s v="SCHM SAINT PAUL"/>
        <s v="SPORTING CLUB DE NEUILLY"/>
        <s v="ASI AVENIR DURSTEL"/>
        <s v="CLUB HALTEROPHILE LUXOVIEN"/>
        <s v="EEAR MONTEUX"/>
        <s v="CROSSFIT CALLISTO"/>
        <s v="CA ROSENDAEL"/>
        <s v="OCCITAN BARBELL CREW"/>
        <s v="CHM LE TRAIT"/>
        <s v="ASPTT LILLE METROPOLE"/>
        <s v="CACHAN HM"/>
        <s v="ATHLETIC CLUB FIT ARLESIEN"/>
        <s v="STADE CLERMONTOIS HALTEROPHILIE"/>
        <s v="LEMPDES ATHLETIC CLUB"/>
        <s v="LA FRANCAISE DE BESANCON"/>
        <s v="1789 BARBELL LIFTING CLUB"/>
        <s v="BLANC MESNIL SPORT HM"/>
        <s v="ARAVIS HAL-FA"/>
        <s v="CEHT HIRSON"/>
        <s v="LIGNE ET FORME SENLIS"/>
        <s v="CA EVRON 53 HALTEROPHILIE"/>
        <s v="BALLERS HALTEROPHILIE CLUB DE ROUEN"/>
        <s v="OSM LOMME HALTEROPHILIE"/>
        <s v="ASPTT DRAGUIGNAN"/>
        <s v="HFC CP95 CERGY"/>
        <s v="CA LORIENTAIS"/>
        <s v="OGS HALTEROPHILIE MUSCULATION"/>
        <s v="CHM PLOUHINEC POINTE DU RAZ"/>
        <s v="CHSM SAINT DENIS"/>
        <s v="HALTEROPHILIE CLUB DE POINTE A PITRE 971"/>
        <s v="CHCD COMINES"/>
        <s v="ASPTT STRASBOURG"/>
        <s v="HC MONTALBANAIS"/>
        <s v="HMDB21 DIJON"/>
        <s v="CERCLE PAUL BERT"/>
        <s v="SHC HAGUENAU"/>
        <s v="CJF LAVAL VOUTRE HALTERO 53"/>
        <s v="SGT ANGERS"/>
        <s v="CLUB ROCHELAIS HM"/>
        <s v="VALENCE HALTEROPHILIE"/>
        <s v="ISTRES SPORT HALTEROPHILIE"/>
        <s v="AL CHARLIEU"/>
        <s v="HCVM CHELLES"/>
        <s v="EURO FITNESS SPORTS ET LOISIRS"/>
        <s v="ATHLETIC CLUB SAINT MARCELLIN"/>
        <s v="CHM ANGERIEN"/>
        <s v="CAEN CALVADOS HALTEROPHILIE MUSCULATION"/>
        <s v="CH PETITE ROSSELLE"/>
        <s v="THE ALPHA'S BARBEL"/>
        <s v="LANGRES HM"/>
        <s v="RUEIL ATHLETIC CLUB"/>
        <s v="MAHAVELI HALTÉROPHILIE RÉUNION"/>
        <s v="OLYMPE ATHLÉTIQUE"/>
        <s v="CHFM ROISEL"/>
        <s v="CSM GENNEVILLOIS HALTEROPHILIE"/>
        <s v="AL SAVENAY"/>
        <s v="KOALA CLUB VILLERS BRETONNEUX"/>
        <s v="NEO WEIGHTLIFTING CLUB"/>
        <s v="AO SALLAUMINES"/>
        <s v="US TOURS HALTEROPHILIE"/>
        <s v="HALTERO CLUB DE LA POSSESSION PLIIISSS"/>
        <s v="ADAPTAFORME"/>
        <s v="CLUB DES STAGIAIRES"/>
        <s v="POWERCAMP BORDEAUX HALTEROPHILIE"/>
        <s v="CH ARBRESLE"/>
        <s v="TEAM LA FOURNAISE LIFTER"/>
        <s v="CLUB HALTEROPHILIE RAPTOR"/>
        <s v="CHC MONDRAGON"/>
        <s v="GRAVITY HALTEROPHILIE"/>
        <s v="ELITE BARBELL VAULX EN VELIN"/>
        <s v="HM SAINTE TULLE"/>
        <s v="BREST HALTEROPHILIE 29"/>
        <s v="ASHM GIBERVILLE"/>
        <s v="CLUB MILONAIS HM"/>
        <s v="EA DE SAINT MEDARD"/>
        <s v="HALTERO CLUB OYONNAXIEN"/>
        <s v="STADE ST LOIS"/>
        <s v="LO SAN JOSEPH BARBELL CLUB"/>
        <s v="AAEEP PERONNE HALTERO"/>
        <s v="CLERMONT SPORTS"/>
        <s v="USC MOISLAINS"/>
        <s v="ESVL HALTERO- MUSCU-GYM"/>
        <s v="CHOLET BARBELL CLUB"/>
        <s v="HC AVALLON MFAC"/>
        <s v="STADE MONTOIS HALTEROPHILIE"/>
        <s v="CAHC BERCK"/>
        <s v="CH PAMIERS"/>
        <s v="LANEUVEVILLE HMS"/>
        <s v="SNAGA HM"/>
        <s v="HC MARSEILLE"/>
        <s v="CROSSFIT EPSILON"/>
        <s v="ULTIMATE FACTORY HALTEROPHILIE REZE"/>
        <s v="MASSILIA BARBELL CLUB"/>
        <s v="CHM CHAVILLE"/>
        <s v="SAVOIE BARBELL TEAM"/>
        <s v="CHA ANGOUMOISIN"/>
        <s v="LES REQUINS SCY78"/>
        <s v="HALTEROPHILIE PONTISSALIENNE"/>
        <s v="CFSM WEIGHTLIFTING CLUB"/>
        <s v="CROSSFIT FREJUS"/>
        <s v="CROSSFIT ISTRES"/>
        <s v="CERCLE MICHELET ORLEANS HMS"/>
        <s v="SAS COLMARIENNE"/>
        <s v="ASSOCIATION SPORTIVE BIBOS COMPETITION"/>
        <s v="AS MONACO SECTION HALTEROPHILIE"/>
        <s v="ANGERS MENESTYS BARBELL CLUB"/>
        <s v="HC PELISSANNAIS"/>
        <s v="ATHLETIC CLUB MENTON"/>
        <s v="CHM SALEUX"/>
        <s v="AZUR HALTEROPHILIE - ASSOCIATION AZUR FIT EVENT"/>
        <s v="SA MONTMARTROISE"/>
        <s v="AS MANTAISE"/>
        <s v="L'ABSOLU HALTERO CLUB"/>
        <s v="CHM VAUZELLES"/>
        <s v="FITNESS ES ST AVE"/>
        <s v="CROSSFIT GRILLEN"/>
        <s v="CROSSFIT SAINT SIMON"/>
        <s v="GORILLA LIFTING CLUB"/>
        <s v="AMERICAN GYM BEAUVAIS"/>
        <s v="AS MONTFERRANDAISE"/>
        <s v="HALTERO CROSSFIT BRIVE"/>
        <s v="HALTEROPHILIE VALLEROY AUBOUE"/>
        <s v="US MELUN"/>
        <s v="AC GARDEEN"/>
        <s v="HCC NOVAIS"/>
        <s v="US WITTENHEIM"/>
        <s v="AVIGNON SORGUES HALTEROPHILIE"/>
        <s v="SAINT BREVIN LES PINS HALTEROPHILIE"/>
        <s v="CFSP SPORTS"/>
        <s v="CH DU TAMPON"/>
        <s v="AS FORCE TESTERINE"/>
        <s v="CAHM ALENCON"/>
        <s v="OSQ  ST QUENTIN FALLAVIER"/>
        <s v="HYBRID ATHLETICS"/>
      </sharedItems>
    </cacheField>
    <cacheField name="Ligue" numFmtId="0">
      <sharedItems count="14">
        <s v="PACA"/>
        <s v="OCC"/>
        <s v="GE"/>
        <s v="IDF"/>
        <s v="AURA"/>
        <s v="REU"/>
        <s v="BFC"/>
        <s v="BRE"/>
        <s v="HDF"/>
        <s v="NDIE"/>
        <s v="PDL"/>
        <s v="GUA"/>
        <s v="NAQ"/>
        <s v="CVL"/>
      </sharedItems>
    </cacheField>
    <cacheField name="AthleteID3" numFmtId="0">
      <sharedItems/>
    </cacheField>
    <cacheField name="SaisonAnnee2" numFmtId="0">
      <sharedItems containsSemiMixedTypes="0" containsString="0" containsNumber="1" containsInteger="1" minValue="2025" maxValue="2025"/>
    </cacheField>
    <cacheField name="MaxIWF" numFmtId="0">
      <sharedItems/>
    </cacheField>
    <cacheField name="MaxIWFSaison" numFmtId="0">
      <sharedItems/>
    </cacheField>
    <cacheField name="Mois (DateNaissance)" numFmtId="0" databaseField="0">
      <fieldGroup base="1">
        <rangePr groupBy="months" startDate="1972-06-19T00:00:00" endDate="2015-10-05T00:00:00"/>
        <groupItems count="14">
          <s v="&lt;19/06/1972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5/10/2015"/>
        </groupItems>
      </fieldGroup>
    </cacheField>
    <cacheField name="Trimestres (DateNaissance)" numFmtId="0" databaseField="0">
      <fieldGroup base="1">
        <rangePr groupBy="quarters" startDate="1972-06-19T00:00:00" endDate="2015-10-05T00:00:00"/>
        <groupItems count="6">
          <s v="&lt;19/06/1972"/>
          <s v="Trimestre1"/>
          <s v="Trimestre2"/>
          <s v="Trimestre3"/>
          <s v="Trimestre4"/>
          <s v="&gt;05/10/2015"/>
        </groupItems>
      </fieldGroup>
    </cacheField>
    <cacheField name="Années (DateNaissance)" numFmtId="0" databaseField="0">
      <fieldGroup base="1">
        <rangePr groupBy="years" startDate="1972-06-19T00:00:00" endDate="2015-10-05T00:00:00"/>
        <groupItems count="46">
          <s v="&lt;19/06/1972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&gt;05/10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8">
  <r>
    <x v="0"/>
    <x v="0"/>
    <s v="Aaron MAGGIO03/10/2007"/>
    <n v="461598"/>
    <s v="FR"/>
    <s v="PACA - Critérium National - Toulon - SUD PACA TOULON COTE AZURven 13 Déc 2024"/>
    <s v="ASL DUMONT D URVILLE"/>
    <s v="Aaron MAGGIO03/10/2007"/>
    <s v="63.55"/>
    <n v="93"/>
    <n v="98"/>
    <n v="101"/>
    <n v="101"/>
    <n v="199"/>
    <s v="OOO"/>
    <n v="-110"/>
    <n v="-110"/>
    <n v="-117"/>
    <n v="0"/>
    <n v="0"/>
    <s v="XXX"/>
    <x v="0"/>
    <x v="0"/>
    <x v="0"/>
    <n v="101"/>
    <n v="199"/>
    <s v="149.10764717398916"/>
    <s v="293.78635433290935"/>
    <x v="0"/>
    <n v="999"/>
    <x v="0"/>
    <x v="0"/>
    <m/>
    <s v="U20 M 67"/>
    <n v="0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Aaron MAGGIO03/10/2007"/>
    <n v="2025"/>
    <s v="312.6244113640815"/>
    <s v="312.6244113640815"/>
  </r>
  <r>
    <x v="1"/>
    <x v="1"/>
    <s v="Aby SOW25/06/2010"/>
    <n v="469764"/>
    <s v="FR"/>
    <s v="OCC - Critérium National - Hc montalbanais - Plateau 3sam 14 Déc 2024"/>
    <s v="HC FIGEAC"/>
    <s v="Aby SOW25/06/2010"/>
    <s v="53.5"/>
    <n v="34"/>
    <n v="37"/>
    <n v="-39"/>
    <n v="37"/>
    <n v="71"/>
    <s v="OOX"/>
    <n v="43"/>
    <n v="46"/>
    <n v="48"/>
    <n v="48"/>
    <n v="94"/>
    <s v="OOO"/>
    <x v="1"/>
    <x v="0"/>
    <x v="0"/>
    <n v="85"/>
    <n v="165"/>
    <s v="124.40880546558684"/>
    <s v="241.4994459037862"/>
    <x v="1"/>
    <n v="5"/>
    <x v="1"/>
    <x v="1"/>
    <m/>
    <s v="U15 F 55"/>
    <n v="124.4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1"/>
    <x v="1"/>
    <s v="Aby SOW25/06/2010"/>
    <n v="2025"/>
    <s v="126.48785533180504"/>
    <s v="124.40880546558684"/>
  </r>
  <r>
    <x v="2"/>
    <x v="2"/>
    <s v="Abyr TOUTI09/10/1989"/>
    <n v="129971"/>
    <s v="FR"/>
    <s v="GE - Critérium National - Langres - LOR - CHAsam 14 Déc 2024"/>
    <s v="REIMS HM"/>
    <s v="Abyr TOUTI09/10/1989"/>
    <s v="57.9"/>
    <n v="47"/>
    <n v="50"/>
    <n v="53"/>
    <n v="53"/>
    <n v="103"/>
    <s v="OOO"/>
    <n v="59"/>
    <n v="63"/>
    <n v="66"/>
    <n v="66"/>
    <n v="129"/>
    <s v="OOO"/>
    <x v="2"/>
    <x v="0"/>
    <x v="0"/>
    <n v="119"/>
    <n v="232"/>
    <s v="164.86778624989662"/>
    <s v="321.4229110082018"/>
    <x v="2"/>
    <n v="6"/>
    <x v="2"/>
    <x v="2"/>
    <n v="35"/>
    <s v="SEN F 59"/>
    <n v="164.86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2"/>
    <x v="2"/>
    <s v="Abyr TOUTI09/10/1989"/>
    <n v="2025"/>
    <s v="178.4082460694401"/>
    <s v="164.86778624989662"/>
  </r>
  <r>
    <x v="3"/>
    <x v="3"/>
    <s v="Aciyah RAHMANI03/11/1999"/>
    <n v="471221"/>
    <s v="FR"/>
    <s v="IDF - Critérium National - Franconville - Seniors Femmes 2ème plateausam 14 Déc 2024"/>
    <s v="VGA ST MAUR HALTEROPHILIE"/>
    <s v="Aciyah RAHMANI03/11/1999"/>
    <s v="68.5"/>
    <n v="67"/>
    <n v="-70"/>
    <n v="-70"/>
    <n v="67"/>
    <n v="0"/>
    <s v="OXX"/>
    <n v="85"/>
    <n v="89"/>
    <n v="-92"/>
    <n v="89"/>
    <n v="174"/>
    <s v="OOX"/>
    <x v="0"/>
    <x v="0"/>
    <x v="0"/>
    <n v="156"/>
    <n v="174"/>
    <s v="195.05813745096788"/>
    <s v="217.56484561838724"/>
    <x v="1"/>
    <n v="5"/>
    <x v="3"/>
    <x v="2"/>
    <m/>
    <s v="SEN F 71"/>
    <n v="195.05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3"/>
    <x v="3"/>
    <s v="Aciyah RAHMANI03/11/1999"/>
    <n v="2025"/>
    <s v="203.43967460093853"/>
    <s v="203.43967460093853"/>
  </r>
  <r>
    <x v="4"/>
    <x v="4"/>
    <s v="Adam HASSAINE30/12/1994"/>
    <n v="455653"/>
    <s v="FR"/>
    <s v="NAQ - Critérium National - Mont de marsan - ligue Nouvelle Aquitainesam 14 Déc 2024"/>
    <s v="AFHMA FRANCONVILLE"/>
    <s v="Adam HASSAINE30/12/1994"/>
    <s v="80.5"/>
    <n v="120"/>
    <n v="-125"/>
    <n v="130"/>
    <n v="130"/>
    <n v="250"/>
    <s v="OXO"/>
    <n v="145"/>
    <n v="-159"/>
    <n v="-165"/>
    <n v="145"/>
    <n v="0"/>
    <s v="OXX"/>
    <x v="0"/>
    <x v="0"/>
    <x v="0"/>
    <n v="275"/>
    <n v="250"/>
    <s v="350.2039551978588"/>
    <s v="318.36723199805346"/>
    <x v="3"/>
    <n v="4"/>
    <x v="4"/>
    <x v="2"/>
    <m/>
    <s v="SEN M 81"/>
    <n v="350.2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4"/>
    <x v="3"/>
    <s v="Adam HASSAINE30/12/1994"/>
    <n v="2025"/>
    <s v="363.3255771657123"/>
    <s v="363.3255771657123"/>
  </r>
  <r>
    <x v="5"/>
    <x v="5"/>
    <s v="Adam IAFRATE07/12/2007"/>
    <n v="436001"/>
    <s v="FR"/>
    <s v="AURA - Critérium National - Vaulx en velin - PLATEAU JEUNES MASCULINSsam 14 Déc 2024"/>
    <s v="LA GAULOISE DE VAISE"/>
    <s v="Adam IAFRATE07/12/2007"/>
    <s v="71.7"/>
    <n v="-112"/>
    <n v="-114"/>
    <n v="114"/>
    <n v="114"/>
    <n v="0"/>
    <s v="XXO"/>
    <n v="127"/>
    <n v="133"/>
    <n v="-152"/>
    <n v="133"/>
    <n v="260"/>
    <s v="OOX"/>
    <x v="0"/>
    <x v="1"/>
    <x v="0"/>
    <n v="247"/>
    <n v="260"/>
    <s v="336.6753718864641"/>
    <s v="354.3951283015412"/>
    <x v="3"/>
    <n v="4"/>
    <x v="5"/>
    <x v="0"/>
    <m/>
    <s v="U20 M 73"/>
    <n v="336.67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5"/>
    <x v="4"/>
    <s v="Adam IAFRATE07/12/2007"/>
    <n v="2025"/>
    <s v="336.6753718864641"/>
    <s v="336.6753718864641"/>
  </r>
  <r>
    <x v="6"/>
    <x v="6"/>
    <s v="Adèlaïde BICH25/05/1998"/>
    <n v="481085"/>
    <s v="FR"/>
    <s v="OCC - Critérium National - Hc montalbanais - Plateau 1sam 14 Déc 2024"/>
    <s v="TOULOUSE HC"/>
    <s v="Adèlaïde BICH25/05/1998"/>
    <s v="58.8"/>
    <n v="56"/>
    <n v="59"/>
    <n v="-62"/>
    <n v="59"/>
    <n v="115"/>
    <s v="OOX"/>
    <n v="76"/>
    <n v="81"/>
    <n v="0"/>
    <n v="81"/>
    <n v="157"/>
    <s v="OOX"/>
    <x v="3"/>
    <x v="0"/>
    <x v="0"/>
    <n v="140"/>
    <n v="272"/>
    <s v="191.99058421303138"/>
    <s v="373.0102778996038"/>
    <x v="1"/>
    <n v="5"/>
    <x v="2"/>
    <x v="2"/>
    <m/>
    <s v="SEN F 59"/>
    <n v="191.99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6"/>
    <x v="1"/>
    <s v="Adèlaïde BICH25/05/1998"/>
    <n v="2025"/>
    <s v="200.24791962655772"/>
    <s v="191.99058421303138"/>
  </r>
  <r>
    <x v="7"/>
    <x v="7"/>
    <s v="Adèle VEFOUR09/03/2010"/>
    <n v="455177"/>
    <s v="FR"/>
    <s v="REU - Critérium National - La possession - U15-17-20dim 15 Déc 2024"/>
    <s v="SCHM SAINT PAUL"/>
    <s v="Adèle VEFOUR09/03/2010"/>
    <s v="43.33"/>
    <n v="38"/>
    <n v="-40"/>
    <n v="40"/>
    <n v="40"/>
    <n v="78"/>
    <s v="OXO"/>
    <n v="48"/>
    <n v="51"/>
    <n v="53"/>
    <n v="53"/>
    <n v="104"/>
    <s v="OOO"/>
    <x v="1"/>
    <x v="0"/>
    <x v="0"/>
    <n v="93"/>
    <n v="182"/>
    <s v="160.91323486952766"/>
    <s v="314.90547038982834"/>
    <x v="3"/>
    <n v="4"/>
    <x v="6"/>
    <x v="1"/>
    <m/>
    <s v="U15 F 45"/>
    <n v="160.91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7"/>
    <x v="5"/>
    <s v="Adèle VEFOUR09/03/2010"/>
    <n v="2025"/>
    <s v="168.46439692660817"/>
    <s v="160.91323486952766"/>
  </r>
  <r>
    <x v="8"/>
    <x v="8"/>
    <s v="Adeline POURRE01/09/1991"/>
    <n v="469463"/>
    <s v="FR"/>
    <s v="IDF - Critérium National - Neuilly-sur-seinesam 14 Déc 2024"/>
    <s v="SPORTING CLUB DE NEUILLY"/>
    <s v="Adeline POURRE01/09/1991"/>
    <s v="54.6"/>
    <n v="64"/>
    <n v="67"/>
    <n v="-70"/>
    <n v="67"/>
    <n v="131"/>
    <s v="OOX"/>
    <n v="83"/>
    <n v="-87"/>
    <n v="88"/>
    <n v="88"/>
    <n v="171"/>
    <s v="OXO"/>
    <x v="3"/>
    <x v="0"/>
    <x v="0"/>
    <n v="155"/>
    <n v="302"/>
    <s v="223.5871216486258"/>
    <s v="435.6342628250645"/>
    <x v="3"/>
    <n v="4"/>
    <x v="1"/>
    <x v="2"/>
    <m/>
    <s v="SEN F 55"/>
    <n v="223.58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8"/>
    <x v="3"/>
    <s v="Adeline POURRE01/09/1991"/>
    <n v="2025"/>
    <s v="223.5871216486258"/>
    <s v="223.5871216486258"/>
  </r>
  <r>
    <x v="9"/>
    <x v="9"/>
    <s v="Adeline WOLFF05/05/2005"/>
    <n v="440558"/>
    <s v="FR"/>
    <s v="GE - Critérium National - Haguenau - ALS - U15 - U17 - U20 Femsam 14 Déc 2024"/>
    <s v="ASI AVENIR DURSTEL"/>
    <s v="Adeline WOLFF05/05/2005"/>
    <s v="61.62"/>
    <n v="-57"/>
    <n v="-57"/>
    <n v="-57"/>
    <n v="0"/>
    <n v="0"/>
    <s v="XXX"/>
    <n v="-76"/>
    <n v="79"/>
    <n v="-81"/>
    <n v="79"/>
    <n v="0"/>
    <s v="XOX"/>
    <x v="4"/>
    <x v="0"/>
    <x v="0"/>
    <n v="79"/>
    <n v="0"/>
    <s v="105.1324552206824"/>
    <s v="0.0"/>
    <x v="0"/>
    <n v="999"/>
    <x v="7"/>
    <x v="0"/>
    <m/>
    <s v="U20 F 64"/>
    <n v="0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9"/>
    <x v="2"/>
    <s v="Adeline WOLFF05/05/2005"/>
    <n v="2025"/>
    <s v="185.95668517623625"/>
    <s v="179.08606954858783"/>
  </r>
  <r>
    <x v="10"/>
    <x v="10"/>
    <s v="Adis DURIC01/04/2009"/>
    <n v="473098"/>
    <s v="FR"/>
    <s v="BFC - Critérium National - Besançon - BFC-Critérium 2 SEN Hdim 15 Déc 2024"/>
    <s v="CLUB HALTEROPHILE LUXOVIEN"/>
    <s v="Adis DURIC01/04/2009"/>
    <s v="65.4"/>
    <n v="70"/>
    <n v="-74"/>
    <n v="-76"/>
    <n v="70"/>
    <n v="0"/>
    <s v="OXX"/>
    <n v="80"/>
    <n v="90"/>
    <n v="-100"/>
    <n v="90"/>
    <n v="170"/>
    <s v="OOX"/>
    <x v="0"/>
    <x v="0"/>
    <x v="0"/>
    <n v="160"/>
    <n v="170"/>
    <s v="231.5768931006436"/>
    <s v="246.05044891943382"/>
    <x v="2"/>
    <n v="6"/>
    <x v="0"/>
    <x v="3"/>
    <m/>
    <s v="U17 M 67"/>
    <n v="231.57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Adis DURIC01/04/2009"/>
    <n v="2025"/>
    <s v="231.5768931006436"/>
    <s v="231.5768931006436"/>
  </r>
  <r>
    <x v="11"/>
    <x v="11"/>
    <s v="Agkop ANDREASIAN30/04/2008"/>
    <n v="473523"/>
    <s v="GR"/>
    <s v="PACA - Critérium National - Mondragon - Provence U15 à SEN HOMsam 14 Déc 2024"/>
    <s v="EEAR MONTEUX"/>
    <s v="Agkop ANDREASIAN30/04/2008"/>
    <s v="78.9"/>
    <n v="102"/>
    <n v="107"/>
    <n v="-111"/>
    <n v="107"/>
    <n v="209"/>
    <s v="OOX"/>
    <n v="123"/>
    <n v="128"/>
    <n v="-132"/>
    <n v="128"/>
    <n v="251"/>
    <s v="OOX"/>
    <x v="3"/>
    <x v="0"/>
    <x v="0"/>
    <n v="235"/>
    <n v="460"/>
    <s v="302.63187682724083"/>
    <s v="592.3858014490672"/>
    <x v="4"/>
    <n v="3"/>
    <x v="4"/>
    <x v="3"/>
    <m/>
    <s v="U17 M 81"/>
    <n v="302.63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1"/>
    <x v="0"/>
    <s v="Agkop ANDREASIAN30/04/2008"/>
    <n v="2025"/>
    <s v="302.63187682724083"/>
    <s v="302.63187682724083"/>
  </r>
  <r>
    <x v="12"/>
    <x v="12"/>
    <s v="Ainoa SAOUT11/03/2008"/>
    <n v="495663"/>
    <s v="FR"/>
    <s v="BRE - Critérium National - Plouhinec - Femmessam 14 Déc 2024"/>
    <s v="CROSSFIT CALLISTO"/>
    <s v="Ainoa SAOUT11/03/2008"/>
    <s v="54.95"/>
    <n v="42"/>
    <n v="46"/>
    <n v="50"/>
    <n v="50"/>
    <n v="96"/>
    <s v="OOO"/>
    <n v="60"/>
    <n v="65"/>
    <n v="71"/>
    <n v="71"/>
    <n v="136"/>
    <s v="OOO"/>
    <x v="2"/>
    <x v="0"/>
    <x v="0"/>
    <n v="121"/>
    <n v="232"/>
    <s v="173.75707570650545"/>
    <s v="333.1540625116468"/>
    <x v="3"/>
    <n v="4"/>
    <x v="1"/>
    <x v="3"/>
    <m/>
    <s v="U17 F 55"/>
    <n v="173.75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12"/>
    <x v="7"/>
    <s v="Ainoa SAOUT11/03/2008"/>
    <n v="2025"/>
    <s v="173.75707570650545"/>
    <s v="173.75707570650545"/>
  </r>
  <r>
    <x v="13"/>
    <x v="13"/>
    <s v="Aisha EL KORRICHI08/03/2008"/>
    <n v="454446"/>
    <s v="FR"/>
    <s v="HDF - Critérium National - Comines - U15 / U17 Femmessam 14 Déc 2024"/>
    <s v="CA ROSENDAEL"/>
    <s v="Aisha EL KORRICHI08/03/2008"/>
    <s v="60.2"/>
    <n v="45"/>
    <n v="48"/>
    <n v="50"/>
    <n v="50"/>
    <n v="98"/>
    <s v="OOO"/>
    <n v="55"/>
    <n v="60"/>
    <n v="-65"/>
    <n v="60"/>
    <n v="115"/>
    <s v="OOX"/>
    <x v="1"/>
    <x v="0"/>
    <x v="0"/>
    <n v="110"/>
    <n v="213"/>
    <s v="148.56343749936048"/>
    <s v="287.6728380669434"/>
    <x v="1"/>
    <n v="5"/>
    <x v="7"/>
    <x v="3"/>
    <m/>
    <s v="U17 F 64"/>
    <n v="148.56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13"/>
    <x v="8"/>
    <s v="Aisha EL KORRICHI08/03/2008"/>
    <n v="2025"/>
    <s v="148.56343749936048"/>
    <s v="148.56343749936048"/>
  </r>
  <r>
    <x v="14"/>
    <x v="14"/>
    <s v="Alan MOCAËR LORGERE07/03/1996"/>
    <n v="220892"/>
    <s v="FR"/>
    <s v="OCC - Critérium National - Hc montalbanais - Plateau 2sam 14 Déc 2024"/>
    <s v="OCCITAN BARBELL CREW"/>
    <s v="Alan MOCAËR LORGERE07/03/1996"/>
    <s v="58.9"/>
    <n v="79"/>
    <n v="82"/>
    <n v="85"/>
    <n v="85"/>
    <n v="167"/>
    <s v="OOO"/>
    <n v="110"/>
    <n v="114"/>
    <n v="-119"/>
    <n v="114"/>
    <n v="224"/>
    <s v="OOX"/>
    <x v="1"/>
    <x v="0"/>
    <x v="0"/>
    <n v="199"/>
    <n v="391"/>
    <s v="310.3828843062872"/>
    <s v="609.8477777073282"/>
    <x v="1"/>
    <n v="5"/>
    <x v="8"/>
    <x v="2"/>
    <m/>
    <s v="SEN M 61"/>
    <n v="310.38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14"/>
    <x v="1"/>
    <s v="Alan MOCAËR LORGERE07/03/1996"/>
    <n v="2025"/>
    <s v="325.25380768121767"/>
    <s v="310.3828843062872"/>
  </r>
  <r>
    <x v="15"/>
    <x v="15"/>
    <s v="Alan RENAUX01/07/1999"/>
    <n v="491220"/>
    <s v="FR"/>
    <s v="NDIE - Critérium National - Caen - Plateau B Masculinsam 14 Déc 2024"/>
    <s v="CHM LE TRAIT"/>
    <s v="Alan RENAUX01/07/1999"/>
    <n v="73"/>
    <n v="100"/>
    <n v="103"/>
    <n v="106"/>
    <n v="106"/>
    <n v="209"/>
    <s v="OOO"/>
    <n v="117"/>
    <n v="-121"/>
    <n v="-121"/>
    <n v="117"/>
    <n v="0"/>
    <s v="OXX"/>
    <x v="3"/>
    <x v="0"/>
    <x v="0"/>
    <n v="223"/>
    <n v="209"/>
    <s v="300.6054254794936"/>
    <s v="281.7333359875074"/>
    <x v="2"/>
    <n v="6"/>
    <x v="5"/>
    <x v="2"/>
    <m/>
    <s v="SEN M 73"/>
    <n v="300.60000000000002"/>
    <x v="0"/>
    <s v="NDIE - Critérium National - Caen - Plateau B Masculinsam 14 Déc 2024"/>
    <s v="Critérium National - Caen - Plateau B Masculin"/>
    <s v="NDI"/>
    <d v="2024-12-14T00:00:00"/>
    <n v="2024"/>
    <n v="12"/>
    <s v="2024-12"/>
    <m/>
    <s v="2024-2025"/>
    <n v="2025"/>
    <x v="15"/>
    <x v="9"/>
    <s v="Alan RENAUX01/07/1999"/>
    <n v="2025"/>
    <s v="302.71741059212917"/>
    <s v="300.6054254794936"/>
  </r>
  <r>
    <x v="16"/>
    <x v="16"/>
    <s v="Albane RICHEZ18/08/2008"/>
    <n v="494859"/>
    <s v="FR"/>
    <s v="HDF - Critérium National - Comines - U15 / U17 Femmessam 14 Déc 2024"/>
    <s v="CA ROSENDAEL"/>
    <s v="Albane RICHEZ18/08/2008"/>
    <s v="62.47"/>
    <n v="40"/>
    <n v="-43"/>
    <n v="43"/>
    <n v="43"/>
    <n v="83"/>
    <s v="OXO"/>
    <n v="50"/>
    <n v="53"/>
    <n v="55"/>
    <n v="55"/>
    <n v="108"/>
    <s v="OOO"/>
    <x v="1"/>
    <x v="0"/>
    <x v="0"/>
    <n v="98"/>
    <n v="191"/>
    <s v="129.3137375159915"/>
    <s v="252.0298353627998"/>
    <x v="2"/>
    <n v="6"/>
    <x v="7"/>
    <x v="3"/>
    <m/>
    <s v="U17 F 64"/>
    <n v="129.31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13"/>
    <x v="8"/>
    <s v="Albane RICHEZ18/08/2008"/>
    <n v="2025"/>
    <s v="129.3137375159915"/>
    <s v="129.3137375159915"/>
  </r>
  <r>
    <x v="17"/>
    <x v="17"/>
    <s v="Albin THIM16/05/2000"/>
    <n v="490272"/>
    <s v="SE"/>
    <s v="BFC - Critérium National - Besançon - BFC - Critérium National - Besançon - BFC-Critérium 81 89 96sam 14 Déc 2024"/>
    <s v="CLUB HALTEROPHILE LUXOVIEN"/>
    <s v="Albin THIM16/05/2000"/>
    <s v="84.8"/>
    <n v="100"/>
    <n v="104"/>
    <n v="-107"/>
    <n v="104"/>
    <n v="204"/>
    <s v="OOX"/>
    <n v="115"/>
    <n v="-121"/>
    <n v="-121"/>
    <n v="115"/>
    <n v="0"/>
    <s v="OXX"/>
    <x v="0"/>
    <x v="0"/>
    <x v="0"/>
    <n v="219"/>
    <n v="204"/>
    <s v="271.23802075455995"/>
    <s v="252.66007412753527"/>
    <x v="5"/>
    <n v="7"/>
    <x v="9"/>
    <x v="2"/>
    <m/>
    <s v="SEN M 89"/>
    <n v="271.23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Albin THIM16/05/2000"/>
    <n v="2025"/>
    <s v="279.87493832928016"/>
    <s v="279.87493832928016"/>
  </r>
  <r>
    <x v="18"/>
    <x v="18"/>
    <s v="Alec BRUNEAU12/05/2001"/>
    <n v="483766"/>
    <s v="FR"/>
    <s v="HDF - Critérium National - Comines - Seniors Hommessam 14 Déc 2024"/>
    <s v="ASPTT LILLE METROPOLE"/>
    <s v="Alec BRUNEAU12/05/2001"/>
    <n v="78"/>
    <n v="103"/>
    <n v="107"/>
    <n v="110"/>
    <n v="110"/>
    <n v="217"/>
    <s v="OOO"/>
    <n v="135"/>
    <n v="140"/>
    <n v="-145"/>
    <n v="140"/>
    <n v="275"/>
    <s v="OOX"/>
    <x v="1"/>
    <x v="0"/>
    <x v="0"/>
    <n v="250"/>
    <n v="492"/>
    <s v="324.0503694168841"/>
    <s v="637.7311270124279"/>
    <x v="1"/>
    <n v="5"/>
    <x v="4"/>
    <x v="2"/>
    <m/>
    <s v="SEN M 81"/>
    <n v="324.05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16"/>
    <x v="8"/>
    <s v="Alec BRUNEAU12/05/2001"/>
    <n v="2025"/>
    <s v="324.0503694168841"/>
    <s v="324.0503694168841"/>
  </r>
  <r>
    <x v="19"/>
    <x v="19"/>
    <s v="Alexandra LAURENT25/10/1988"/>
    <n v="482122"/>
    <s v="FR"/>
    <s v="IDF - Critérium National - Neuilly-sur-seinesam 14 Déc 2024"/>
    <s v="CACHAN HM"/>
    <s v="Alexandra LAURENT25/10/1988"/>
    <n v="49"/>
    <n v="55"/>
    <n v="-60"/>
    <n v="63"/>
    <n v="63"/>
    <n v="118"/>
    <s v="OXO"/>
    <n v="70"/>
    <n v="80"/>
    <n v="-82"/>
    <n v="80"/>
    <n v="150"/>
    <s v="OOX"/>
    <x v="3"/>
    <x v="0"/>
    <x v="0"/>
    <n v="143"/>
    <n v="268"/>
    <s v="223.58916193290642"/>
    <s v="419.03423355257985"/>
    <x v="3"/>
    <n v="4"/>
    <x v="10"/>
    <x v="2"/>
    <n v="35"/>
    <s v="SEN F 49"/>
    <n v="223.58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7"/>
    <x v="3"/>
    <s v="Alexandra LAURENT25/10/1988"/>
    <n v="2025"/>
    <s v="223.58916193290642"/>
    <s v="223.58916193290642"/>
  </r>
  <r>
    <x v="20"/>
    <x v="20"/>
    <s v="Alexandra MLODZINSKI24/02/1994"/>
    <n v="483324"/>
    <s v="PL"/>
    <s v="PACA - Critérium National - Mondragon - Provence F59 à F&gt;87sam 14 Déc 2024"/>
    <s v="ATHLETIC CLUB FIT ARLESIEN"/>
    <s v="Alexandra MLODZINSKI24/02/1994"/>
    <n v="57"/>
    <n v="46"/>
    <n v="-49"/>
    <n v="50"/>
    <n v="50"/>
    <n v="96"/>
    <s v="OXO"/>
    <n v="62"/>
    <n v="-65"/>
    <n v="-66"/>
    <n v="62"/>
    <n v="0"/>
    <s v="OXX"/>
    <x v="0"/>
    <x v="0"/>
    <x v="0"/>
    <n v="112"/>
    <n v="96"/>
    <s v="156.81428754978722"/>
    <s v="134.4122464712462"/>
    <x v="2"/>
    <n v="6"/>
    <x v="2"/>
    <x v="2"/>
    <m/>
    <s v="SEN F 59"/>
    <n v="156.81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18"/>
    <x v="0"/>
    <s v="Alexandra MLODZINSKI24/02/1994"/>
    <n v="2025"/>
    <s v="158.2389161597751"/>
    <s v="156.81428754978722"/>
  </r>
  <r>
    <x v="21"/>
    <x v="21"/>
    <s v="Alexandra RODRIGUEZ07/12/1990"/>
    <n v="492514"/>
    <s v="FR"/>
    <s v="AURA - Critérium National - Vaulx en velin - PLATEAU 1  SENIOR FEMININESdim 15 Déc 2024"/>
    <s v="STADE CLERMONTOIS HALTEROPHILIE"/>
    <s v="Alexandra RODRIGUEZ07/12/1990"/>
    <s v="53.5"/>
    <n v="-63"/>
    <n v="63"/>
    <n v="65"/>
    <n v="65"/>
    <n v="128"/>
    <s v="XOO"/>
    <n v="-80"/>
    <n v="-80"/>
    <n v="80"/>
    <n v="80"/>
    <n v="0"/>
    <s v="XXO"/>
    <x v="0"/>
    <x v="1"/>
    <x v="0"/>
    <n v="145"/>
    <n v="128"/>
    <s v="212.22678579423638"/>
    <s v="187.345024701119"/>
    <x v="3"/>
    <n v="4"/>
    <x v="1"/>
    <x v="2"/>
    <n v="35"/>
    <s v="SEN F 55"/>
    <n v="212.22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19"/>
    <x v="4"/>
    <s v="Alexandra RODRIGUEZ07/12/1990"/>
    <n v="2025"/>
    <s v="212.22678579423638"/>
    <s v="212.22678579423638"/>
  </r>
  <r>
    <x v="22"/>
    <x v="22"/>
    <s v="Alexandre lala RAMBELO MANGA27/05/1995"/>
    <n v="453613"/>
    <s v="FR"/>
    <s v="AURA - Critérium National - Vaulx en velin - PLATEAU SEN MASCULINSsam 14 Déc 2024"/>
    <s v="LEMPDES ATHLETIC CLUB"/>
    <s v="Alexandre lala RAMBELO MANGA27/05/1995"/>
    <n v="88"/>
    <n v="-120"/>
    <n v="121"/>
    <n v="-125"/>
    <n v="121"/>
    <n v="0"/>
    <s v="XOX"/>
    <n v="139"/>
    <n v="155"/>
    <n v="-160"/>
    <n v="155"/>
    <n v="294"/>
    <s v="OOX"/>
    <x v="0"/>
    <x v="0"/>
    <x v="0"/>
    <n v="276"/>
    <n v="294"/>
    <s v="335.47901607866675"/>
    <s v="357.35808234466674"/>
    <x v="1"/>
    <n v="5"/>
    <x v="9"/>
    <x v="2"/>
    <m/>
    <s v="SEN M 89"/>
    <n v="335.47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20"/>
    <x v="4"/>
    <s v="Alexandre lala RAMBELO MANGA27/05/1995"/>
    <n v="2025"/>
    <s v="350.68491271758467"/>
    <s v="335.47901607866675"/>
  </r>
  <r>
    <x v="23"/>
    <x v="23"/>
    <s v="Alexandre FAVETTE03/04/1995"/>
    <n v="322342"/>
    <s v="FR"/>
    <s v="GE - Critérium National - Langres - LOR - CHAsam 14 Déc 2024"/>
    <s v="LA FRANCAISE DE BESANCON"/>
    <s v="Alexandre FAVETTE03/04/1995"/>
    <n v="87"/>
    <n v="115"/>
    <n v="120"/>
    <n v="125"/>
    <n v="125"/>
    <n v="245"/>
    <s v="OOO"/>
    <n v="142"/>
    <n v="152"/>
    <n v="-162"/>
    <n v="152"/>
    <n v="294"/>
    <s v="OOX"/>
    <x v="1"/>
    <x v="0"/>
    <x v="0"/>
    <n v="277"/>
    <n v="539"/>
    <s v="338.6185878885842"/>
    <s v="658.9004291406026"/>
    <x v="1"/>
    <n v="5"/>
    <x v="9"/>
    <x v="2"/>
    <m/>
    <s v="SEN M 89"/>
    <n v="338.61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21"/>
    <x v="6"/>
    <s v="Alexandre FAVETTE03/04/1995"/>
    <n v="2025"/>
    <s v="338.6185878885842"/>
    <s v="338.6185878885842"/>
  </r>
  <r>
    <x v="24"/>
    <x v="24"/>
    <s v="Alexandre MOLESTI22/10/1993"/>
    <n v="453273"/>
    <s v="FR"/>
    <s v="PACA - Critérium National - Toulon - SUD PACA TOULON COTE AZURven 13 Déc 2024"/>
    <s v="1789 BARBELL LIFTING CLUB"/>
    <s v="Alexandre MOLESTI22/10/1993"/>
    <s v="71.8"/>
    <n v="-100"/>
    <n v="-100"/>
    <n v="100"/>
    <n v="100"/>
    <n v="0"/>
    <s v="XXO"/>
    <n v="132"/>
    <n v="-140"/>
    <n v="-140"/>
    <n v="132"/>
    <n v="0"/>
    <s v="OXX"/>
    <x v="5"/>
    <x v="1"/>
    <x v="0"/>
    <n v="232"/>
    <n v="0"/>
    <s v="315.954963055657"/>
    <s v="0.0"/>
    <x v="2"/>
    <n v="6"/>
    <x v="5"/>
    <x v="2"/>
    <m/>
    <s v="SEN M 73"/>
    <n v="315.95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22"/>
    <x v="0"/>
    <s v="Alexandre MOLESTI22/10/1993"/>
    <n v="2025"/>
    <s v="315.954963055657"/>
    <s v="315.954963055657"/>
  </r>
  <r>
    <x v="25"/>
    <x v="25"/>
    <s v="Alexandru URSU09/06/2008"/>
    <n v="502076"/>
    <s v="MD"/>
    <s v="IDF - Critérium National - Franconville - Jeunes Hommesdim 15 Déc 2024"/>
    <s v="BLANC MESNIL SPORT HM"/>
    <s v="Alexandru URSU09/06/2008"/>
    <s v="71.9"/>
    <n v="88"/>
    <n v="-93"/>
    <n v="-93"/>
    <n v="88"/>
    <n v="0"/>
    <s v="OXX"/>
    <n v="105"/>
    <n v="110"/>
    <n v="115"/>
    <n v="115"/>
    <n v="225"/>
    <s v="OOO"/>
    <x v="3"/>
    <x v="0"/>
    <x v="0"/>
    <n v="203"/>
    <n v="225"/>
    <s v="276.22125221803213"/>
    <s v="306.1565603401834"/>
    <x v="3"/>
    <n v="4"/>
    <x v="5"/>
    <x v="3"/>
    <m/>
    <s v="U17 M 73"/>
    <n v="276.22000000000003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23"/>
    <x v="3"/>
    <s v="Alexandru URSU09/06/2008"/>
    <n v="2025"/>
    <s v="276.22125221803213"/>
    <s v="276.22125221803213"/>
  </r>
  <r>
    <x v="26"/>
    <x v="26"/>
    <s v="Alexia DORIATH31/12/1995"/>
    <n v="491362"/>
    <s v="FR"/>
    <s v="AURA - Critérium National - Vaulx en velin - PLATEAU 3  SENIOR FEMININESdim 15 Déc 2024"/>
    <s v="ARAVIS HAL-FA"/>
    <s v="Alexia DORIATH31/12/1995"/>
    <s v="68.8"/>
    <n v="60"/>
    <n v="-63"/>
    <n v="-63"/>
    <n v="60"/>
    <n v="0"/>
    <s v="OXX"/>
    <n v="83"/>
    <n v="87"/>
    <n v="-92"/>
    <n v="87"/>
    <n v="170"/>
    <s v="OOX"/>
    <x v="0"/>
    <x v="0"/>
    <x v="0"/>
    <n v="147"/>
    <n v="170"/>
    <s v="183.36256904208383"/>
    <s v="212.05195059288604"/>
    <x v="2"/>
    <n v="6"/>
    <x v="3"/>
    <x v="2"/>
    <m/>
    <s v="SEN F 71"/>
    <n v="183.36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24"/>
    <x v="4"/>
    <s v="Alexia DORIATH31/12/1995"/>
    <n v="2025"/>
    <s v="183.36256904208383"/>
    <s v="183.36256904208383"/>
  </r>
  <r>
    <x v="27"/>
    <x v="27"/>
    <s v="Alexine BIZEAU14/08/2007"/>
    <n v="467977"/>
    <s v="FR"/>
    <s v="OCC - Critérium National - Hc montalbanais - Plateau 3sam 14 Déc 2024"/>
    <s v="CEHT HIRSON"/>
    <s v="Alexine BIZEAU14/08/2007"/>
    <n v="44"/>
    <n v="54"/>
    <n v="-57"/>
    <n v="-57"/>
    <n v="54"/>
    <n v="0"/>
    <s v="OXX"/>
    <n v="-64"/>
    <n v="-64"/>
    <n v="-64"/>
    <n v="0"/>
    <n v="0"/>
    <s v="XXX"/>
    <x v="4"/>
    <x v="0"/>
    <x v="0"/>
    <n v="54"/>
    <n v="0"/>
    <s v="92.20787135429555"/>
    <s v="0.0"/>
    <x v="0"/>
    <n v="999"/>
    <x v="6"/>
    <x v="0"/>
    <m/>
    <s v="U20 F 45"/>
    <n v="0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25"/>
    <x v="8"/>
    <s v="Alexine BIZEAU14/08/2007"/>
    <n v="2025"/>
    <s v="213.2759176687834"/>
    <s v="213.09170694386876"/>
  </r>
  <r>
    <x v="28"/>
    <x v="28"/>
    <s v="Alexis ANGOT19/03/1995"/>
    <n v="183839"/>
    <s v="FR"/>
    <s v="IDF - Critérium National - Franconville - Seniors Hommes 3ème plateausam 14 Déc 2024"/>
    <s v="AFHMA FRANCONVILLE"/>
    <s v="Alexis ANGOT19/03/1995"/>
    <s v="80.6"/>
    <n v="111"/>
    <n v="-116"/>
    <n v="116"/>
    <n v="116"/>
    <n v="227"/>
    <s v="OXO"/>
    <n v="134"/>
    <n v="-138"/>
    <n v="-138"/>
    <n v="134"/>
    <n v="0"/>
    <s v="OXX"/>
    <x v="0"/>
    <x v="0"/>
    <x v="0"/>
    <n v="250"/>
    <n v="227"/>
    <s v="318.1497088198122"/>
    <s v="288.8799356083895"/>
    <x v="1"/>
    <n v="5"/>
    <x v="4"/>
    <x v="2"/>
    <m/>
    <s v="SEN M 81"/>
    <n v="318.14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"/>
    <x v="3"/>
    <s v="Alexis ANGOT19/03/1995"/>
    <n v="2025"/>
    <s v="318.1497088198122"/>
    <s v="318.1497088198122"/>
  </r>
  <r>
    <x v="29"/>
    <x v="29"/>
    <s v="Alexis GLEYZE22/09/2006"/>
    <n v="453203"/>
    <s v="FR"/>
    <s v="PACA - Critérium National - Mondragon - Provence U15 à SEN HOMsam 14 Déc 2024"/>
    <s v="EEAR MONTEUX"/>
    <s v="Alexis GLEYZE22/09/2006"/>
    <s v="66.7"/>
    <n v="83"/>
    <n v="87"/>
    <n v="-91"/>
    <n v="87"/>
    <n v="170"/>
    <s v="OOX"/>
    <n v="103"/>
    <n v="-111"/>
    <n v="-113"/>
    <n v="103"/>
    <n v="0"/>
    <s v="OXX"/>
    <x v="0"/>
    <x v="0"/>
    <x v="0"/>
    <n v="190"/>
    <n v="170"/>
    <s v="271.3672650633939"/>
    <s v="242.802289793563"/>
    <x v="1"/>
    <n v="5"/>
    <x v="0"/>
    <x v="0"/>
    <m/>
    <s v="U20 M 67"/>
    <n v="271.36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1"/>
    <x v="0"/>
    <s v="Alexis GLEYZE22/09/2006"/>
    <n v="2025"/>
    <s v="284.79526205927783"/>
    <s v="284.79526205927783"/>
  </r>
  <r>
    <x v="30"/>
    <x v="30"/>
    <s v="Alexis JEROME11/12/1989"/>
    <n v="34508"/>
    <s v="FR"/>
    <s v="HDF - Critérium National - La Ferté Milon - U17 / Seniors Hommessam 14 Déc 2024"/>
    <s v="LIGNE ET FORME SENLIS"/>
    <s v="Alexis JEROME11/12/1989"/>
    <s v="66.82"/>
    <n v="-90"/>
    <n v="-90"/>
    <n v="90"/>
    <n v="90"/>
    <n v="0"/>
    <s v="XXO"/>
    <n v="105"/>
    <n v="-110"/>
    <n v="-115"/>
    <n v="105"/>
    <n v="0"/>
    <s v="OXX"/>
    <x v="5"/>
    <x v="1"/>
    <x v="0"/>
    <n v="195"/>
    <n v="0"/>
    <s v="278.17408683897196"/>
    <s v="0.0"/>
    <x v="2"/>
    <n v="6"/>
    <x v="0"/>
    <x v="2"/>
    <n v="35"/>
    <s v="SEN M 67"/>
    <n v="278.17"/>
    <x v="0"/>
    <s v="HDF - Critérium National - La Ferté Milon - U17 / Seniors Hommessam 14 Déc 2024"/>
    <s v="Critérium National - La Ferté Milon - U17 / Seniors Hommes"/>
    <s v="HDF"/>
    <d v="2024-12-14T00:00:00"/>
    <n v="2024"/>
    <n v="12"/>
    <s v="2024-12"/>
    <m/>
    <s v="2024-2025"/>
    <n v="2025"/>
    <x v="26"/>
    <x v="8"/>
    <s v="Alexis JEROME11/12/1989"/>
    <n v="2025"/>
    <s v="314.3705395257698"/>
    <s v="291.0710865334832"/>
  </r>
  <r>
    <x v="31"/>
    <x v="31"/>
    <s v="Alice FOURNIER28/01/2014"/>
    <n v="490633"/>
    <s v="FR"/>
    <s v="PDL - Critérium National - Laval - U10 -U13sam 14 Déc 2024"/>
    <s v="CA EVRON 53 HALTEROPHILIE"/>
    <s v="Alice FOURNIER28/01/2014"/>
    <s v="58.12"/>
    <n v="23"/>
    <n v="25"/>
    <n v="-27"/>
    <n v="25"/>
    <n v="48"/>
    <s v="OOX"/>
    <n v="32"/>
    <n v="34"/>
    <n v="-36"/>
    <n v="34"/>
    <n v="66"/>
    <s v="OOX"/>
    <x v="3"/>
    <x v="0"/>
    <x v="0"/>
    <n v="59"/>
    <n v="114"/>
    <s v="81.53487019443078"/>
    <s v="157.54195257906963"/>
    <x v="0"/>
    <n v="999"/>
    <x v="2"/>
    <x v="4"/>
    <m/>
    <s v="U13 F 59"/>
    <n v="157.54"/>
    <x v="1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27"/>
    <x v="10"/>
    <s v="Alice FOURNIER28/01/2014"/>
    <n v="2025"/>
    <s v="81.53487019443078"/>
    <s v="81.53487019443078"/>
  </r>
  <r>
    <x v="32"/>
    <x v="32"/>
    <s v="Alice RENAULT17/09/2008"/>
    <n v="477696"/>
    <s v="FR"/>
    <s v="NDIE - Critérium National - Caen - Plateau B fémininsam 14 Déc 2024"/>
    <s v="BALLERS HALTEROPHILIE CLUB DE ROUEN"/>
    <s v="Alice RENAULT17/09/2008"/>
    <n v="61"/>
    <n v="55"/>
    <n v="58"/>
    <n v="-60"/>
    <n v="58"/>
    <n v="113"/>
    <s v="OOX"/>
    <n v="70"/>
    <n v="73"/>
    <n v="-75"/>
    <n v="73"/>
    <n v="143"/>
    <s v="OOX"/>
    <x v="3"/>
    <x v="0"/>
    <x v="0"/>
    <n v="131"/>
    <n v="256"/>
    <s v="175.44514917270916"/>
    <s v="342.8546426581187"/>
    <x v="3"/>
    <n v="4"/>
    <x v="7"/>
    <x v="3"/>
    <m/>
    <s v="U17 F 64"/>
    <n v="175.44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28"/>
    <x v="9"/>
    <s v="Alice RENAULT17/09/2008"/>
    <n v="2025"/>
    <s v="178.79805365329798"/>
    <s v="175.44514917270916"/>
  </r>
  <r>
    <x v="33"/>
    <x v="33"/>
    <s v="Alicia RIQUIER10/08/2011"/>
    <n v="452443"/>
    <s v="FR"/>
    <s v="HDF - Critérium National - Comines - U15 / U17 Femmessam 14 Déc 2024"/>
    <s v="OSM LOMME HALTEROPHILIE"/>
    <s v="Alicia RIQUIER10/08/2011"/>
    <s v="38.68"/>
    <n v="18"/>
    <n v="-21"/>
    <n v="-22"/>
    <n v="18"/>
    <n v="0"/>
    <s v="OXX"/>
    <n v="25"/>
    <n v="27"/>
    <n v="-30"/>
    <n v="27"/>
    <n v="52"/>
    <s v="OOX"/>
    <x v="0"/>
    <x v="0"/>
    <x v="0"/>
    <n v="45"/>
    <n v="52"/>
    <s v="86.28177399322956"/>
    <s v="99.70338328106527"/>
    <x v="2"/>
    <n v="6"/>
    <x v="11"/>
    <x v="1"/>
    <m/>
    <s v="U15 F 40"/>
    <n v="86.28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29"/>
    <x v="8"/>
    <s v="Alicia RIQUIER10/08/2011"/>
    <n v="2025"/>
    <s v="103.2960439442052"/>
    <s v="96.28948916982645"/>
  </r>
  <r>
    <x v="34"/>
    <x v="34"/>
    <s v="Alina SEVERIN11/10/1995"/>
    <n v="471040"/>
    <s v="MD"/>
    <s v="PACA - Critérium National - Toulon - SUD PACA TOULON COTE AZURven 13 Déc 2024"/>
    <s v="ASPTT DRAGUIGNAN"/>
    <s v="Alina SEVERIN11/10/1995"/>
    <s v="70.93"/>
    <n v="-65"/>
    <n v="-65"/>
    <n v="65"/>
    <n v="65"/>
    <n v="0"/>
    <s v="XXO"/>
    <n v="-83"/>
    <n v="-87"/>
    <n v="-87"/>
    <n v="0"/>
    <n v="0"/>
    <s v="XXX"/>
    <x v="4"/>
    <x v="1"/>
    <x v="0"/>
    <n v="65"/>
    <n v="0"/>
    <s v="79.75641228707418"/>
    <s v="0.0"/>
    <x v="0"/>
    <n v="999"/>
    <x v="3"/>
    <x v="2"/>
    <m/>
    <s v="SEN F 71"/>
    <n v="0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30"/>
    <x v="0"/>
    <s v="Alina SEVERIN11/10/1995"/>
    <n v="2025"/>
    <s v="179.45380731296027"/>
    <s v="79.75641228707418"/>
  </r>
  <r>
    <x v="35"/>
    <x v="35"/>
    <s v="Alissia LOISNARD13/04/2001"/>
    <n v="501496"/>
    <s v="FR"/>
    <s v="IDF - Critérium National - Franconville - Seniors Femmes 2ème plateausam 14 Déc 2024"/>
    <s v="HFC CP95 CERGY"/>
    <s v="Alissia LOISNARD13/04/2001"/>
    <s v="62.2"/>
    <n v="58"/>
    <n v="-61"/>
    <n v="62"/>
    <n v="62"/>
    <n v="120"/>
    <s v="OXO"/>
    <n v="73"/>
    <n v="77"/>
    <n v="80"/>
    <n v="80"/>
    <n v="157"/>
    <s v="OOO"/>
    <x v="1"/>
    <x v="0"/>
    <x v="0"/>
    <n v="142"/>
    <n v="277"/>
    <s v="187.87453293454664"/>
    <s v="366.48764523147474"/>
    <x v="2"/>
    <n v="6"/>
    <x v="7"/>
    <x v="2"/>
    <m/>
    <s v="SEN F 64"/>
    <n v="187.87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31"/>
    <x v="3"/>
    <s v="Alissia LOISNARD13/04/2001"/>
    <n v="2025"/>
    <s v="187.87453293454664"/>
    <s v="187.87453293454664"/>
  </r>
  <r>
    <x v="36"/>
    <x v="36"/>
    <s v="Alix CLEUTJENS25/10/2003"/>
    <n v="479093"/>
    <s v="FR"/>
    <s v="HDF - Critérium National - Comines - U20 - Seniors Femmessam 14 Déc 2024"/>
    <s v="ASPTT LILLE METROPOLE"/>
    <s v="Alix CLEUTJENS25/10/2003"/>
    <s v="58.15"/>
    <n v="60"/>
    <n v="-64"/>
    <n v="-67"/>
    <n v="60"/>
    <n v="0"/>
    <s v="OXX"/>
    <n v="-80"/>
    <n v="82"/>
    <n v="-86"/>
    <n v="82"/>
    <n v="0"/>
    <s v="XOX"/>
    <x v="5"/>
    <x v="0"/>
    <x v="0"/>
    <n v="142"/>
    <n v="0"/>
    <s v="196.16915145024547"/>
    <s v="0.0"/>
    <x v="1"/>
    <n v="5"/>
    <x v="2"/>
    <x v="2"/>
    <m/>
    <s v="SEN F 59"/>
    <n v="196.16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16"/>
    <x v="8"/>
    <s v="Alix CLEUTJENS25/10/2003"/>
    <n v="2025"/>
    <s v="201.3504208874771"/>
    <s v="201.3504208874771"/>
  </r>
  <r>
    <x v="37"/>
    <x v="37"/>
    <s v="Alix PERVIER06/02/1990"/>
    <n v="195634"/>
    <s v="FR"/>
    <s v="BRE - Critérium National - Plouhinec - Hommesam 14 Déc 2024"/>
    <s v="CA LORIENTAIS"/>
    <s v="Alix PERVIER06/02/1990"/>
    <s v="60.85"/>
    <n v="75"/>
    <n v="78"/>
    <n v="81"/>
    <n v="81"/>
    <n v="159"/>
    <s v="OOO"/>
    <n v="-100"/>
    <n v="100"/>
    <n v="105"/>
    <n v="105"/>
    <n v="205"/>
    <s v="XOO"/>
    <x v="1"/>
    <x v="0"/>
    <x v="0"/>
    <n v="186"/>
    <n v="364"/>
    <s v="283.22712257768876"/>
    <s v="554.2724334316059"/>
    <x v="2"/>
    <n v="6"/>
    <x v="8"/>
    <x v="2"/>
    <n v="35"/>
    <s v="SEN M 61"/>
    <n v="283.22000000000003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32"/>
    <x v="7"/>
    <s v="Alix PERVIER06/02/1990"/>
    <n v="2025"/>
    <s v="283.22712257768876"/>
    <s v="283.22712257768876"/>
  </r>
  <r>
    <x v="38"/>
    <x v="38"/>
    <s v="Aliyah ARAB07/02/2011"/>
    <n v="458589"/>
    <s v="FR"/>
    <s v="HDF - Critérium National - Comines - U15 / U17 Femmessam 14 Déc 2024"/>
    <s v="OGS HALTEROPHILIE MUSCULATION"/>
    <s v="Aliyah ARAB07/02/2011"/>
    <s v="49.93"/>
    <n v="34"/>
    <n v="36"/>
    <n v="37"/>
    <n v="37"/>
    <n v="73"/>
    <s v="OOO"/>
    <n v="44"/>
    <n v="-46"/>
    <n v="-46"/>
    <n v="44"/>
    <n v="0"/>
    <s v="OXX"/>
    <x v="3"/>
    <x v="0"/>
    <x v="0"/>
    <n v="81"/>
    <n v="73"/>
    <s v="124.8156750728722"/>
    <s v="112.48820099160086"/>
    <x v="2"/>
    <n v="6"/>
    <x v="1"/>
    <x v="1"/>
    <m/>
    <s v="U15 F 55"/>
    <n v="124.81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33"/>
    <x v="8"/>
    <s v="Aliyah ARAB07/02/2011"/>
    <n v="2025"/>
    <s v="124.8156750728722"/>
    <s v="124.8156750728722"/>
  </r>
  <r>
    <x v="39"/>
    <x v="39"/>
    <s v="Allan MOUSSET05/09/2002"/>
    <n v="472459"/>
    <s v="FR"/>
    <s v="BRE - Critérium National - Plouhinec - Hommesam 14 Déc 2024"/>
    <s v="CHM PLOUHINEC POINTE DU RAZ"/>
    <s v="Allan MOUSSET05/09/2002"/>
    <s v="62.9"/>
    <n v="90"/>
    <n v="95"/>
    <n v="100"/>
    <n v="100"/>
    <n v="195"/>
    <s v="OOO"/>
    <n v="110"/>
    <n v="116"/>
    <n v="-125"/>
    <n v="116"/>
    <n v="226"/>
    <s v="OOX"/>
    <x v="1"/>
    <x v="0"/>
    <x v="0"/>
    <n v="216"/>
    <n v="421"/>
    <s v="321.19537265298715"/>
    <s v="626.0335735504981"/>
    <x v="2"/>
    <n v="6"/>
    <x v="0"/>
    <x v="2"/>
    <m/>
    <s v="SEN M 67"/>
    <n v="321.19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34"/>
    <x v="7"/>
    <s v="Allan MOUSSET05/09/2002"/>
    <n v="2025"/>
    <s v="331.1843714250099"/>
    <s v="321.19537265298715"/>
  </r>
  <r>
    <x v="40"/>
    <x v="40"/>
    <s v="Alya maïwenn ADOLPHE07/05/2012"/>
    <n v="493434"/>
    <s v="FR"/>
    <s v="REU - Critérium National - La possession - LA REUNION-CRITERIUM-LA POSSESSION-U13sam 14 Déc 2024"/>
    <s v="CHSM SAINT DENIS"/>
    <s v="Alya maïwenn ADOLPHE07/05/2012"/>
    <s v="50.93"/>
    <n v="32"/>
    <n v="34"/>
    <n v="36"/>
    <n v="36"/>
    <n v="70"/>
    <s v="OOO"/>
    <n v="44"/>
    <n v="46"/>
    <n v="-48"/>
    <n v="46"/>
    <n v="90"/>
    <s v="OOX"/>
    <x v="1"/>
    <x v="0"/>
    <x v="0"/>
    <n v="82"/>
    <n v="160"/>
    <s v="124.46143859618707"/>
    <s v="242.85158750475523"/>
    <x v="0"/>
    <n v="999"/>
    <x v="1"/>
    <x v="4"/>
    <m/>
    <s v="U13 F 55"/>
    <n v="242.85"/>
    <x v="1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35"/>
    <x v="5"/>
    <s v="Alya maïwenn ADOLPHE07/05/2012"/>
    <n v="2025"/>
    <s v="124.46143859618707"/>
    <s v="124.46143859618707"/>
  </r>
  <r>
    <x v="41"/>
    <x v="41"/>
    <s v="Alysée STOKLOSA28/12/1987"/>
    <n v="468129"/>
    <s v="FR"/>
    <s v="GUA - Critérium National - Creps antilles guyane - GUA-Critérium National d'Haltérophiliesam 14 Déc 2024"/>
    <s v="HALTEROPHILIE CLUB DE POINTE A PITRE 971"/>
    <s v="Alysée STOKLOSA28/12/1987"/>
    <s v="54.7"/>
    <n v="55"/>
    <n v="-58"/>
    <n v="58"/>
    <n v="58"/>
    <n v="113"/>
    <s v="OXO"/>
    <n v="70"/>
    <n v="75"/>
    <n v="-78"/>
    <n v="75"/>
    <n v="145"/>
    <s v="OOX"/>
    <x v="3"/>
    <x v="0"/>
    <x v="0"/>
    <n v="133"/>
    <n v="258"/>
    <s v="191.60409861508407"/>
    <s v="371.6831386668548"/>
    <x v="1"/>
    <n v="5"/>
    <x v="1"/>
    <x v="2"/>
    <n v="35"/>
    <s v="SEN F 55"/>
    <n v="191.6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Alysée STOKLOSA28/12/1987"/>
    <n v="2025"/>
    <s v="194.9902137345748"/>
    <s v="191.60409861508407"/>
  </r>
  <r>
    <x v="42"/>
    <x v="42"/>
    <s v="Alyssa BRASSART06/02/2003"/>
    <n v="480253"/>
    <s v="FR"/>
    <s v="NDIE - Critérium National - Caen - Plateau Elite fémininsam 14 Déc 2024"/>
    <s v="BALLERS HALTEROPHILIE CLUB DE ROUEN"/>
    <s v="Alyssa BRASSART06/02/2003"/>
    <n v="59"/>
    <n v="65"/>
    <n v="-68"/>
    <n v="68"/>
    <n v="68"/>
    <n v="133"/>
    <s v="OXO"/>
    <n v="-83"/>
    <n v="-85"/>
    <n v="-87"/>
    <n v="0"/>
    <n v="0"/>
    <s v="XXX"/>
    <x v="5"/>
    <x v="0"/>
    <x v="0"/>
    <n v="68"/>
    <n v="133"/>
    <s v="93.04510483730041"/>
    <s v="181.98527857883758"/>
    <x v="0"/>
    <n v="999"/>
    <x v="2"/>
    <x v="2"/>
    <m/>
    <s v="SEN F 59"/>
    <n v="0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28"/>
    <x v="9"/>
    <s v="Alyssa BRASSART06/02/2003"/>
    <n v="2025"/>
    <s v="212.79908385722757"/>
    <s v="197.81834579109187"/>
  </r>
  <r>
    <x v="43"/>
    <x v="43"/>
    <s v="Amalia PEREIRA05/02/2012"/>
    <n v="481325"/>
    <s v="FR"/>
    <s v="HDF - Critérium National - Comines - U13 Fillesdim 15 Déc 2024"/>
    <s v="CHCD COMINES"/>
    <s v="Amalia PEREIRA05/02/2012"/>
    <n v="42"/>
    <n v="25"/>
    <n v="27"/>
    <n v="29"/>
    <n v="29"/>
    <n v="56"/>
    <s v="OOO"/>
    <n v="38"/>
    <n v="40"/>
    <n v="-42"/>
    <n v="40"/>
    <n v="78"/>
    <s v="OOX"/>
    <x v="1"/>
    <x v="0"/>
    <x v="0"/>
    <n v="69"/>
    <n v="134"/>
    <s v="122.6942709982831"/>
    <s v="238.2758306343469"/>
    <x v="0"/>
    <n v="999"/>
    <x v="6"/>
    <x v="4"/>
    <m/>
    <s v="U13 F 45"/>
    <n v="238.27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37"/>
    <x v="8"/>
    <s v="Amalia PEREIRA05/02/2012"/>
    <n v="2025"/>
    <s v="122.6942709982831"/>
    <s v="122.6942709982831"/>
  </r>
  <r>
    <x v="44"/>
    <x v="44"/>
    <s v="Amanda KLOCK09/10/2009"/>
    <n v="441506"/>
    <s v="FR"/>
    <s v="GE - Critérium National - Haguenau - ALS - U15 - U17 - U20 Femsam 14 Déc 2024"/>
    <s v="ASPTT STRASBOURG"/>
    <s v="Amanda KLOCK09/10/2009"/>
    <s v="87.36"/>
    <n v="50"/>
    <n v="53"/>
    <n v="56"/>
    <n v="56"/>
    <n v="109"/>
    <s v="OOO"/>
    <n v="61"/>
    <n v="64"/>
    <n v="67"/>
    <n v="67"/>
    <n v="131"/>
    <s v="OOO"/>
    <x v="2"/>
    <x v="0"/>
    <x v="0"/>
    <n v="123"/>
    <n v="240"/>
    <s v="137.19764801479445"/>
    <s v="267.70272783374526"/>
    <x v="1"/>
    <n v="5"/>
    <x v="12"/>
    <x v="3"/>
    <m/>
    <s v="U17 F &gt;81"/>
    <n v="137.19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38"/>
    <x v="2"/>
    <s v="Amanda KLOCK09/10/2009"/>
    <n v="2025"/>
    <s v="163.23041617977336"/>
    <s v="140.68131200867757"/>
  </r>
  <r>
    <x v="45"/>
    <x v="45"/>
    <s v="Amandine DESHAIES08/04/2009"/>
    <n v="495648"/>
    <s v="FR"/>
    <s v="OCC - Critérium National - Hc montalbanais - Plateau 3sam 14 Déc 2024"/>
    <s v="HC MONTALBANAIS"/>
    <s v="Amandine DESHAIES08/04/2009"/>
    <n v="52"/>
    <n v="50"/>
    <n v="52"/>
    <n v="-54"/>
    <n v="52"/>
    <n v="102"/>
    <s v="OOX"/>
    <n v="58"/>
    <n v="-62"/>
    <n v="-64"/>
    <n v="58"/>
    <n v="0"/>
    <s v="OXX"/>
    <x v="0"/>
    <x v="0"/>
    <x v="0"/>
    <n v="110"/>
    <n v="102"/>
    <s v="164.38328613480678"/>
    <s v="152.42813805227536"/>
    <x v="3"/>
    <n v="4"/>
    <x v="1"/>
    <x v="3"/>
    <m/>
    <s v="U17 F 55"/>
    <n v="164.38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39"/>
    <x v="1"/>
    <s v="Amandine DESHAIES08/04/2009"/>
    <n v="2025"/>
    <s v="164.38328613480678"/>
    <s v="164.38328613480678"/>
  </r>
  <r>
    <x v="46"/>
    <x v="46"/>
    <s v="Amandine GONTIER05/01/1998"/>
    <n v="462787"/>
    <s v="FR"/>
    <s v="BFC - Critérium National - Besançon - BFC-Critérium 2 SEN Fsam 14 Déc 2024"/>
    <s v="HMDB21 DIJON"/>
    <s v="Amandine GONTIER05/01/1998"/>
    <s v="59.95"/>
    <n v="57"/>
    <n v="-60"/>
    <n v="60"/>
    <n v="60"/>
    <n v="117"/>
    <s v="OXO"/>
    <n v="70"/>
    <n v="-73"/>
    <n v="74"/>
    <n v="74"/>
    <n v="144"/>
    <s v="OXO"/>
    <x v="3"/>
    <x v="0"/>
    <x v="0"/>
    <n v="134"/>
    <n v="261"/>
    <s v="181.4617519167973"/>
    <s v="353.4441585842097"/>
    <x v="2"/>
    <n v="6"/>
    <x v="7"/>
    <x v="2"/>
    <m/>
    <s v="SEN F 64"/>
    <n v="181.46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40"/>
    <x v="6"/>
    <s v="Amandine GONTIER05/01/1998"/>
    <n v="2025"/>
    <s v="194.73717046815798"/>
    <s v="181.4617519167973"/>
  </r>
  <r>
    <x v="47"/>
    <x v="47"/>
    <s v="Amandine LE FLOCH07/11/1995"/>
    <n v="466557"/>
    <s v="FR"/>
    <s v="BRE - Critérium National - Plouhinec - Femmessam 14 Déc 2024"/>
    <s v="CERCLE PAUL BERT"/>
    <s v="Amandine LE FLOCH07/11/1995"/>
    <n v="56"/>
    <n v="-53"/>
    <n v="53"/>
    <n v="-56"/>
    <n v="53"/>
    <n v="0"/>
    <s v="XOX"/>
    <n v="-68"/>
    <n v="69"/>
    <n v="-72"/>
    <n v="69"/>
    <n v="0"/>
    <s v="XOX"/>
    <x v="5"/>
    <x v="0"/>
    <x v="0"/>
    <n v="122"/>
    <n v="0"/>
    <s v="172.89728873992073"/>
    <s v="0.0"/>
    <x v="2"/>
    <n v="6"/>
    <x v="2"/>
    <x v="2"/>
    <m/>
    <s v="SEN F 59"/>
    <n v="172.89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41"/>
    <x v="7"/>
    <s v="Amandine LE FLOCH07/11/1995"/>
    <n v="2025"/>
    <s v="177.95127718657974"/>
    <s v="172.89728873992073"/>
  </r>
  <r>
    <x v="48"/>
    <x v="48"/>
    <s v="Ambre BOCQUET06/10/1994"/>
    <n v="464361"/>
    <s v="FR"/>
    <s v="IDF - Critérium National - Franconville - Seniors Femmes 1er plateausam 14 Déc 2024"/>
    <s v="ASPTT LILLE METROPOLE"/>
    <s v="Ambre BOCQUET06/10/1994"/>
    <s v="58.2"/>
    <n v="65"/>
    <n v="69"/>
    <n v="72"/>
    <n v="72"/>
    <n v="141"/>
    <s v="OOO"/>
    <n v="91"/>
    <n v="-95"/>
    <n v="-97"/>
    <n v="91"/>
    <n v="0"/>
    <s v="OXX"/>
    <x v="3"/>
    <x v="0"/>
    <x v="0"/>
    <n v="163"/>
    <n v="141"/>
    <s v="225.0515356966021"/>
    <s v="194.6764817989012"/>
    <x v="3"/>
    <n v="4"/>
    <x v="2"/>
    <x v="2"/>
    <m/>
    <s v="SEN F 59"/>
    <n v="225.05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16"/>
    <x v="8"/>
    <s v="Ambre BOCQUET06/10/1994"/>
    <n v="2025"/>
    <s v="225.90546961550308"/>
    <s v="225.0515356966021"/>
  </r>
  <r>
    <x v="49"/>
    <x v="49"/>
    <s v="Amélie CORBETHAU24/10/2004"/>
    <n v="383773"/>
    <s v="FR"/>
    <s v="GE - Critérium National - Haguenau - ALS - SEN Femsam 14 Déc 2024"/>
    <s v="SHC HAGUENAU"/>
    <s v="Amélie CORBETHAU24/10/2004"/>
    <s v="47.4"/>
    <n v="49"/>
    <n v="-52"/>
    <n v="52"/>
    <n v="52"/>
    <n v="101"/>
    <s v="OXO"/>
    <n v="63"/>
    <n v="-66"/>
    <n v="67"/>
    <n v="67"/>
    <n v="130"/>
    <s v="OXO"/>
    <x v="3"/>
    <x v="0"/>
    <x v="0"/>
    <n v="119"/>
    <n v="231"/>
    <s v="191.02746510734715"/>
    <s v="370.8180205024974"/>
    <x v="1"/>
    <n v="5"/>
    <x v="10"/>
    <x v="2"/>
    <m/>
    <s v="SEN F 49"/>
    <n v="191.02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42"/>
    <x v="2"/>
    <s v="Amélie CORBETHAU24/10/2004"/>
    <n v="2025"/>
    <s v="196.22988682935076"/>
    <s v="191.02746510734715"/>
  </r>
  <r>
    <x v="50"/>
    <x v="50"/>
    <s v="Amelie JOUGLA11/01/2002"/>
    <n v="475529"/>
    <s v="FR"/>
    <s v="PACA - Critérium National - Toulon - SUD PACA TOULON COTE AZURven 13 Déc 2024"/>
    <s v="ASL DUMONT D URVILLE"/>
    <s v="Amelie JOUGLA11/01/2002"/>
    <s v="58.14"/>
    <n v="59"/>
    <n v="62"/>
    <n v="64"/>
    <n v="64"/>
    <n v="126"/>
    <s v="OOO"/>
    <n v="73"/>
    <n v="-76"/>
    <n v="76"/>
    <n v="76"/>
    <n v="149"/>
    <s v="OXO"/>
    <x v="1"/>
    <x v="0"/>
    <x v="0"/>
    <n v="140"/>
    <n v="275"/>
    <s v="193.42831797076192"/>
    <s v="379.9484817282824"/>
    <x v="1"/>
    <n v="5"/>
    <x v="2"/>
    <x v="2"/>
    <m/>
    <s v="SEN F 59"/>
    <n v="193.42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Amelie JOUGLA11/01/2002"/>
    <n v="2025"/>
    <s v="196.0571660669785"/>
    <s v="193.42831797076192"/>
  </r>
  <r>
    <x v="51"/>
    <x v="51"/>
    <s v="Amine LAMLICHE15/09/2008"/>
    <n v="492978"/>
    <s v="FR"/>
    <s v="IDF - Critérium National - Franconville - Jeunes Hommesdim 15 Déc 2024"/>
    <s v="AFHMA FRANCONVILLE"/>
    <s v="Amine LAMLICHE15/09/2008"/>
    <s v="79.9"/>
    <n v="85"/>
    <n v="89"/>
    <n v="92"/>
    <n v="92"/>
    <n v="181"/>
    <s v="OOO"/>
    <n v="98"/>
    <n v="108"/>
    <n v="-118"/>
    <n v="108"/>
    <n v="206"/>
    <s v="OOX"/>
    <x v="1"/>
    <x v="0"/>
    <x v="0"/>
    <n v="200"/>
    <n v="387"/>
    <s v="255.75021869151743"/>
    <s v="494.87667316808626"/>
    <x v="1"/>
    <n v="5"/>
    <x v="4"/>
    <x v="3"/>
    <m/>
    <s v="U17 M 81"/>
    <n v="255.75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4"/>
    <x v="3"/>
    <s v="Amine LAMLICHE15/09/2008"/>
    <n v="2025"/>
    <s v="255.75021869151743"/>
    <s v="255.75021869151743"/>
  </r>
  <r>
    <x v="52"/>
    <x v="52"/>
    <s v="Ana BURGEOT06/01/2015"/>
    <n v="494547"/>
    <s v="FR"/>
    <s v="PDL - Critérium National - Laval - U10 -U13sam 14 Déc 2024"/>
    <s v="CJF LAVAL VOUTRE HALTERO 53"/>
    <s v="Ana BURGEOT06/01/2015"/>
    <s v="33.99"/>
    <n v="10"/>
    <n v="12"/>
    <n v="-13"/>
    <n v="12"/>
    <n v="22"/>
    <s v="OOX"/>
    <n v="12"/>
    <n v="14"/>
    <n v="-16"/>
    <n v="14"/>
    <n v="26"/>
    <s v="OOX"/>
    <x v="3"/>
    <x v="0"/>
    <x v="0"/>
    <n v="26"/>
    <n v="48"/>
    <s v="56.63915762723856"/>
    <s v="104.56459869644041"/>
    <x v="0"/>
    <n v="999"/>
    <x v="13"/>
    <x v="5"/>
    <m/>
    <s v="U10 F "/>
    <n v="104.56"/>
    <x v="1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43"/>
    <x v="10"/>
    <s v="Ana BURGEOT06/01/2015"/>
    <n v="2025"/>
    <s v="57.409030731600545"/>
    <s v="57.409030731600545"/>
  </r>
  <r>
    <x v="53"/>
    <x v="53"/>
    <s v="Anaelle BILLON12/09/1997"/>
    <n v="500251"/>
    <s v="FR"/>
    <s v="PDL - Critérium National - Laval - seniors Fsam 14 Déc 2024"/>
    <s v="SGT ANGERS"/>
    <s v="Anaelle BILLON12/09/1997"/>
    <s v="58.2"/>
    <n v="60"/>
    <n v="62"/>
    <n v="-64"/>
    <n v="62"/>
    <n v="122"/>
    <s v="OOX"/>
    <n v="78"/>
    <n v="80"/>
    <n v="-82"/>
    <n v="80"/>
    <n v="158"/>
    <s v="OOX"/>
    <x v="3"/>
    <x v="0"/>
    <x v="0"/>
    <n v="142"/>
    <n v="280"/>
    <s v="196.0571660669785"/>
    <s v="386.59159506164775"/>
    <x v="1"/>
    <n v="5"/>
    <x v="2"/>
    <x v="2"/>
    <m/>
    <s v="SEN F 59"/>
    <n v="196.05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44"/>
    <x v="10"/>
    <s v="Anaelle BILLON12/09/1997"/>
    <n v="2025"/>
    <s v="196.0571660669785"/>
    <s v="196.0571660669785"/>
  </r>
  <r>
    <x v="54"/>
    <x v="54"/>
    <s v="Anais CADIEU30/06/2005"/>
    <n v="431010"/>
    <s v="FR"/>
    <s v="PDL - Critérium National - Laval - U15 au U20 Fdim 15 Déc 2024"/>
    <s v="CA EVRON 53 HALTEROPHILIE"/>
    <s v="Anais CADIEU30/06/2005"/>
    <s v="57.34"/>
    <n v="-57"/>
    <n v="57"/>
    <n v="-60"/>
    <n v="57"/>
    <n v="0"/>
    <s v="XOX"/>
    <n v="70"/>
    <n v="74"/>
    <n v="-76"/>
    <n v="74"/>
    <n v="144"/>
    <s v="OOX"/>
    <x v="0"/>
    <x v="0"/>
    <x v="0"/>
    <n v="131"/>
    <n v="144"/>
    <s v="182.6804727404548"/>
    <s v="200.8090692719503"/>
    <x v="3"/>
    <n v="4"/>
    <x v="2"/>
    <x v="0"/>
    <m/>
    <s v="U20 F 59"/>
    <n v="182.68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27"/>
    <x v="10"/>
    <s v="Anais CADIEU30/06/2005"/>
    <n v="2025"/>
    <s v="184.81683889796352"/>
    <s v="184.81683889796352"/>
  </r>
  <r>
    <x v="55"/>
    <x v="55"/>
    <s v="Anass WISSAADEN29/05/2014"/>
    <n v="500746"/>
    <s v="FR"/>
    <s v="HDF - Critérium National - Comines - U13 garçonsdim 15 Déc 2024"/>
    <s v="CHCD COMINES"/>
    <s v="Anass WISSAADEN29/05/2014"/>
    <s v="31.54"/>
    <n v="12"/>
    <n v="13"/>
    <n v="15"/>
    <n v="15"/>
    <n v="28"/>
    <s v="OOO"/>
    <n v="15"/>
    <n v="-17"/>
    <n v="17"/>
    <n v="17"/>
    <n v="32"/>
    <s v="OXO"/>
    <x v="1"/>
    <x v="0"/>
    <x v="0"/>
    <n v="32"/>
    <n v="60"/>
    <s v="89.95343769780935"/>
    <s v="168.66269568339254"/>
    <x v="0"/>
    <n v="999"/>
    <x v="14"/>
    <x v="4"/>
    <m/>
    <s v="U13 M 35"/>
    <n v="168.66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7"/>
    <x v="8"/>
    <s v="Anass WISSAADEN29/05/2014"/>
    <n v="2025"/>
    <s v="89.95343769780935"/>
    <s v="89.95343769780935"/>
  </r>
  <r>
    <x v="56"/>
    <x v="56"/>
    <s v="Andrada GALVAO PEREIRA29/08/2008"/>
    <n v="457505"/>
    <s v="BE"/>
    <s v="HDF - Critérium National - Comines - U15 / U17 Femmessam 14 Déc 2024"/>
    <s v="CA ROSENDAEL"/>
    <s v="Andrada GALVAO PEREIRA29/08/2008"/>
    <s v="61.3"/>
    <n v="-73"/>
    <n v="-73"/>
    <n v="-73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7"/>
    <x v="3"/>
    <m/>
    <s v="U17 F 64"/>
    <n v="0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13"/>
    <x v="8"/>
    <s v="Andrada GALVAO PEREIRA29/08/2008"/>
    <n v="2025"/>
    <s v="229.6846903747992"/>
    <s v="0.0"/>
  </r>
  <r>
    <x v="57"/>
    <x v="57"/>
    <s v="Andréa MALBRUN03/08/1993"/>
    <n v="467259"/>
    <s v="GT"/>
    <s v="NAQ - Critérium National - Mont de marsan - ligue Nouvelle Aquitaine plateau 2 fillessam 14 Déc 2024"/>
    <s v="CLUB ROCHELAIS HM"/>
    <s v="Andréa MALBRUN03/08/1993"/>
    <s v="54.7"/>
    <n v="-67"/>
    <n v="67"/>
    <n v="-71"/>
    <n v="67"/>
    <n v="0"/>
    <s v="XOX"/>
    <n v="-78"/>
    <n v="78"/>
    <n v="82"/>
    <n v="82"/>
    <n v="160"/>
    <s v="XOO"/>
    <x v="0"/>
    <x v="0"/>
    <x v="0"/>
    <n v="149"/>
    <n v="160"/>
    <s v="214.65421574171074"/>
    <s v="230.50117126626657"/>
    <x v="3"/>
    <n v="4"/>
    <x v="1"/>
    <x v="2"/>
    <m/>
    <s v="SEN F 55"/>
    <n v="214.65"/>
    <x v="1"/>
    <s v="NAQ - Critérium National - Mont de marsan - ligue Nouvelle Aquitaine plateau 2 fillessam 14 Déc 2024"/>
    <s v="Critérium National - Mont de marsan - ligue Nouvelle Aquitaine plateau 2 filles"/>
    <s v="NAQ"/>
    <d v="2024-12-14T00:00:00"/>
    <n v="2024"/>
    <n v="12"/>
    <s v="2024-12"/>
    <m/>
    <s v="2024-2025"/>
    <n v="2025"/>
    <x v="45"/>
    <x v="12"/>
    <s v="Andréa MALBRUN03/08/1993"/>
    <n v="2025"/>
    <s v="216.5206580776295"/>
    <s v="214.65421574171074"/>
  </r>
  <r>
    <x v="58"/>
    <x v="58"/>
    <s v="Angel jesus GEREDA LIZCANO05/01/2000"/>
    <n v="466140"/>
    <s v="CO"/>
    <s v="GE - Critérium National - Haguenau - ALS - U15 - U17 - U20 - SEN Homsam 14 Déc 2024"/>
    <s v="ASPTT STRASBOURG"/>
    <s v="Angel jesus GEREDA LIZCANO05/01/2000"/>
    <s v="72.1"/>
    <n v="-102"/>
    <n v="102"/>
    <n v="107"/>
    <n v="107"/>
    <n v="209"/>
    <s v="XOO"/>
    <n v="125"/>
    <n v="133"/>
    <n v="-138"/>
    <n v="133"/>
    <n v="258"/>
    <s v="OOX"/>
    <x v="3"/>
    <x v="0"/>
    <x v="0"/>
    <n v="240"/>
    <n v="467"/>
    <s v="326.00416562155215"/>
    <s v="634.3497722719369"/>
    <x v="1"/>
    <n v="5"/>
    <x v="5"/>
    <x v="2"/>
    <m/>
    <s v="SEN M 73"/>
    <n v="326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38"/>
    <x v="2"/>
    <s v="Angel jesus GEREDA LIZCANO05/01/2000"/>
    <n v="2025"/>
    <s v="326.00416562155215"/>
    <s v="326.00416562155215"/>
  </r>
  <r>
    <x v="59"/>
    <x v="59"/>
    <s v="Angelique LUGUIN21/07/1995"/>
    <n v="470538"/>
    <s v="FR"/>
    <s v="AURA - Critérium National - Vaulx en velin - PLATEAU 2  SENIOR FEMININESdim 15 Déc 2024"/>
    <s v="VALENCE HALTEROPHILIE"/>
    <s v="Angelique LUGUIN21/07/1995"/>
    <n v="59"/>
    <n v="-50"/>
    <n v="-50"/>
    <n v="50"/>
    <n v="50"/>
    <n v="0"/>
    <s v="XXO"/>
    <n v="62"/>
    <n v="64"/>
    <n v="-66"/>
    <n v="64"/>
    <n v="126"/>
    <s v="OOX"/>
    <x v="0"/>
    <x v="1"/>
    <x v="0"/>
    <n v="114"/>
    <n v="126"/>
    <s v="155.98738163900364"/>
    <s v="172.40710602205667"/>
    <x v="2"/>
    <n v="6"/>
    <x v="2"/>
    <x v="2"/>
    <m/>
    <s v="SEN F 59"/>
    <n v="155.97999999999999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46"/>
    <x v="4"/>
    <s v="Angelique LUGUIN21/07/1995"/>
    <n v="2025"/>
    <s v="155.98738163900364"/>
    <s v="155.98738163900364"/>
  </r>
  <r>
    <x v="60"/>
    <x v="60"/>
    <s v="Anissa CHOYER18/07/1988"/>
    <n v="471841"/>
    <s v="FR"/>
    <s v="PDL - Critérium National - Laval - seniors Fsam 14 Déc 2024"/>
    <s v="CJF LAVAL VOUTRE HALTERO 53"/>
    <s v="Anissa CHOYER18/07/1988"/>
    <s v="70.69"/>
    <n v="63"/>
    <n v="-66"/>
    <n v="66"/>
    <n v="66"/>
    <n v="129"/>
    <s v="OXO"/>
    <n v="83"/>
    <n v="-86"/>
    <n v="86"/>
    <n v="86"/>
    <n v="169"/>
    <s v="OXO"/>
    <x v="3"/>
    <x v="0"/>
    <x v="0"/>
    <n v="152"/>
    <n v="298"/>
    <s v="186.84265858329792"/>
    <s v="366.30994906462354"/>
    <x v="1"/>
    <n v="5"/>
    <x v="3"/>
    <x v="2"/>
    <n v="35"/>
    <s v="SEN F 71"/>
    <n v="186.84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43"/>
    <x v="10"/>
    <s v="Anissa CHOYER18/07/1988"/>
    <n v="2025"/>
    <s v="199.38696917031555"/>
    <s v="186.84265858329792"/>
  </r>
  <r>
    <x v="61"/>
    <x v="61"/>
    <s v="Annabelle LUGUIN23/07/2000"/>
    <n v="492035"/>
    <s v="FR"/>
    <s v="AURA - Critérium National - Vaulx en velin - PLATEAU 3  SENIOR FEMININESdim 15 Déc 2024"/>
    <s v="VALENCE HALTEROPHILIE"/>
    <s v="Annabelle LUGUIN23/07/2000"/>
    <s v="74.6"/>
    <n v="-67"/>
    <n v="-67"/>
    <n v="67"/>
    <n v="67"/>
    <n v="0"/>
    <s v="XXO"/>
    <n v="-85"/>
    <n v="-88"/>
    <n v="88"/>
    <n v="88"/>
    <n v="0"/>
    <s v="XXO"/>
    <x v="5"/>
    <x v="1"/>
    <x v="1"/>
    <n v="155"/>
    <n v="0"/>
    <s v="185.3423505781569"/>
    <s v="0.0"/>
    <x v="1"/>
    <n v="5"/>
    <x v="15"/>
    <x v="2"/>
    <m/>
    <s v="SEN F 76"/>
    <n v="185.34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46"/>
    <x v="4"/>
    <s v="Annabelle LUGUIN23/07/2000"/>
    <n v="2025"/>
    <s v="185.3423505781569"/>
    <s v="185.3423505781569"/>
  </r>
  <r>
    <x v="62"/>
    <x v="62"/>
    <s v="Anthony CLAUX11/06/1991"/>
    <n v="130685"/>
    <s v="FR"/>
    <s v="PACA - Critérium National - Mondragon - Provence U15 à SEN HOMsam 14 Déc 2024"/>
    <s v="ISTRES SPORT HALTEROPHILIE"/>
    <s v="Anthony CLAUX11/06/1991"/>
    <n v="67"/>
    <n v="100"/>
    <n v="-105"/>
    <n v="-105"/>
    <n v="100"/>
    <n v="0"/>
    <s v="OXX"/>
    <n v="120"/>
    <n v="125"/>
    <n v="0"/>
    <n v="125"/>
    <n v="245"/>
    <s v="OOX"/>
    <x v="0"/>
    <x v="0"/>
    <x v="0"/>
    <n v="225"/>
    <n v="245"/>
    <s v="320.39466981668755"/>
    <s v="348.87419602261537"/>
    <x v="1"/>
    <n v="5"/>
    <x v="0"/>
    <x v="2"/>
    <m/>
    <s v="SEN M 67"/>
    <n v="320.39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47"/>
    <x v="0"/>
    <s v="Anthony CLAUX11/06/1991"/>
    <n v="2025"/>
    <s v="345.57373551076296"/>
    <s v="323.22286433712094"/>
  </r>
  <r>
    <x v="63"/>
    <x v="63"/>
    <s v="Anthony COULLET10/01/1997"/>
    <n v="239336"/>
    <s v="FR"/>
    <s v="PACA - Critérium National - Mondragon - Provence U15 à SEN HOMsam 14 Déc 2024"/>
    <s v="EEAR MONTEUX"/>
    <s v="Anthony COULLET10/01/1997"/>
    <s v="119.4"/>
    <n v="130"/>
    <n v="-135"/>
    <n v="-135"/>
    <n v="130"/>
    <n v="0"/>
    <s v="OXX"/>
    <n v="155"/>
    <n v="-165"/>
    <n v="-170"/>
    <n v="155"/>
    <n v="0"/>
    <s v="OXX"/>
    <x v="5"/>
    <x v="0"/>
    <x v="0"/>
    <n v="285"/>
    <n v="0"/>
    <s v="306.686582227011"/>
    <s v="0.0"/>
    <x v="1"/>
    <n v="5"/>
    <x v="16"/>
    <x v="2"/>
    <m/>
    <s v="SEN M &gt;109"/>
    <n v="306.68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1"/>
    <x v="0"/>
    <s v="Anthony COULLET10/01/1997"/>
    <n v="2025"/>
    <s v="397.6370889537941"/>
    <s v="316.0582697193054"/>
  </r>
  <r>
    <x v="64"/>
    <x v="64"/>
    <s v="Anthony LAROIX29/11/1986"/>
    <n v="64556"/>
    <s v="FR"/>
    <s v="AURA - Critérium National - Vaulx en velin - PLATEAU SEN MASCULINSsam 14 Déc 2024"/>
    <s v="AL CHARLIEU"/>
    <s v="Anthony LAROIX29/11/1986"/>
    <s v="100.7"/>
    <n v="130"/>
    <n v="-136"/>
    <n v="-136"/>
    <n v="130"/>
    <n v="0"/>
    <s v="OXX"/>
    <n v="160"/>
    <n v="166"/>
    <n v="-172"/>
    <n v="166"/>
    <n v="326"/>
    <s v="OOX"/>
    <x v="0"/>
    <x v="0"/>
    <x v="0"/>
    <n v="296"/>
    <n v="326"/>
    <s v="338.48870940932466"/>
    <s v="372.79499752513453"/>
    <x v="1"/>
    <n v="5"/>
    <x v="17"/>
    <x v="2"/>
    <n v="35"/>
    <s v="SEN M 102"/>
    <n v="338.48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48"/>
    <x v="4"/>
    <s v="Anthony LAROIX29/11/1986"/>
    <n v="2025"/>
    <s v="343.82639649052055"/>
    <s v="338.48870940932466"/>
  </r>
  <r>
    <x v="65"/>
    <x v="65"/>
    <s v="Antoine CHAUDUN20/07/2007"/>
    <n v="466485"/>
    <s v="FR"/>
    <s v="IDF - Critérium National - Franconville - Jeunes Hommesdim 15 Déc 2024"/>
    <s v="VGA ST MAUR HALTEROPHILIE"/>
    <s v="Antoine CHAUDUN20/07/2007"/>
    <s v="74.3"/>
    <n v="67"/>
    <n v="70"/>
    <n v="73"/>
    <n v="73"/>
    <n v="143"/>
    <s v="OOO"/>
    <n v="85"/>
    <n v="88"/>
    <n v="-92"/>
    <n v="88"/>
    <n v="173"/>
    <s v="OOX"/>
    <x v="1"/>
    <x v="0"/>
    <x v="0"/>
    <n v="161"/>
    <n v="316"/>
    <s v="214.71689681059118"/>
    <s v="421.4319216903529"/>
    <x v="6"/>
    <n v="8"/>
    <x v="4"/>
    <x v="0"/>
    <m/>
    <s v="U20 M 81"/>
    <n v="214.71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3"/>
    <x v="3"/>
    <s v="Antoine CHAUDUN20/07/2007"/>
    <n v="2025"/>
    <s v="214.71689681059118"/>
    <s v="214.71689681059118"/>
  </r>
  <r>
    <x v="66"/>
    <x v="66"/>
    <s v="Antoine COTTEREAU22/01/2003"/>
    <n v="469072"/>
    <s v="FR"/>
    <s v="IDF - Critérium National - Franconville - Seniors Hommes 3ème plateausam 14 Déc 2024"/>
    <s v="HCVM CHELLES"/>
    <s v="Antoine COTTEREAU22/01/2003"/>
    <s v="72.9"/>
    <n v="95"/>
    <n v="-100"/>
    <n v="-100"/>
    <n v="95"/>
    <n v="0"/>
    <s v="OXX"/>
    <n v="120"/>
    <n v="125"/>
    <n v="-130"/>
    <n v="125"/>
    <n v="245"/>
    <s v="OOX"/>
    <x v="0"/>
    <x v="0"/>
    <x v="0"/>
    <n v="220"/>
    <n v="245"/>
    <s v="296.8106138590344"/>
    <s v="330.5390927066519"/>
    <x v="2"/>
    <n v="6"/>
    <x v="5"/>
    <x v="2"/>
    <m/>
    <s v="SEN M 73"/>
    <n v="296.81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9"/>
    <x v="3"/>
    <s v="Antoine COTTEREAU22/01/2003"/>
    <n v="2025"/>
    <s v="300.78001460708754"/>
    <s v="296.8106138590344"/>
  </r>
  <r>
    <x v="67"/>
    <x v="67"/>
    <s v="Antoine FELICIANO20/06/2007"/>
    <n v="477410"/>
    <s v="FR"/>
    <s v="HDF - Critérium National - Comines - U15 / U17 / U20 Hommessam 14 Déc 2024"/>
    <s v="CA ROSENDAEL"/>
    <s v="Antoine FELICIANO20/06/2007"/>
    <s v="59.4"/>
    <n v="70"/>
    <n v="-74"/>
    <n v="74"/>
    <n v="74"/>
    <n v="144"/>
    <s v="OXO"/>
    <n v="90"/>
    <n v="96"/>
    <n v="-100"/>
    <n v="96"/>
    <n v="186"/>
    <s v="OOX"/>
    <x v="3"/>
    <x v="0"/>
    <x v="0"/>
    <n v="170"/>
    <n v="330"/>
    <s v="263.4879588229768"/>
    <s v="511.4766259504844"/>
    <x v="1"/>
    <n v="5"/>
    <x v="8"/>
    <x v="0"/>
    <m/>
    <s v="U20 M 61"/>
    <n v="263.48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13"/>
    <x v="8"/>
    <s v="Antoine FELICIANO20/06/2007"/>
    <n v="2025"/>
    <s v="263.4879588229768"/>
    <s v="263.4879588229768"/>
  </r>
  <r>
    <x v="68"/>
    <x v="68"/>
    <s v="Antoine MARCHAND02/10/1985"/>
    <n v="497693"/>
    <s v="FR"/>
    <s v="NAQ - Critérium National - Mont de marsan - ligue Nouvelle Aquitainesam 14 Déc 2024"/>
    <s v="EURO FITNESS SPORTS ET LOISIRS"/>
    <s v="Antoine MARCHAND02/10/1985"/>
    <n v="88"/>
    <n v="100"/>
    <n v="105"/>
    <n v="-108"/>
    <n v="105"/>
    <n v="205"/>
    <s v="OOX"/>
    <n v="115"/>
    <n v="-120"/>
    <n v="120"/>
    <n v="120"/>
    <n v="235"/>
    <s v="OXO"/>
    <x v="3"/>
    <x v="0"/>
    <x v="0"/>
    <n v="225"/>
    <n v="440"/>
    <s v="273.48832832500005"/>
    <s v="534.8216198355557"/>
    <x v="5"/>
    <n v="7"/>
    <x v="9"/>
    <x v="2"/>
    <n v="40"/>
    <s v="SEN M 89"/>
    <n v="273.48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50"/>
    <x v="12"/>
    <s v="Antoine MARCHAND02/10/1985"/>
    <n v="2025"/>
    <s v="283.31740715536466"/>
    <s v="273.48832832500005"/>
  </r>
  <r>
    <x v="69"/>
    <x v="69"/>
    <s v="Antoine MARY04/05/2005"/>
    <n v="503330"/>
    <s v="FR"/>
    <s v="BFC - Critérium National - Besançon - BFC-Critérium 2 SEN Hdim 15 Déc 2024"/>
    <s v="CLUB HALTEROPHILE LUXOVIEN"/>
    <s v="Antoine MARY04/05/2005"/>
    <s v="79.4"/>
    <n v="110"/>
    <n v="114"/>
    <n v="118"/>
    <n v="118"/>
    <n v="232"/>
    <s v="OOO"/>
    <n v="127"/>
    <n v="-135"/>
    <n v="-140"/>
    <n v="127"/>
    <n v="0"/>
    <s v="OXX"/>
    <x v="3"/>
    <x v="0"/>
    <x v="0"/>
    <n v="245"/>
    <n v="232"/>
    <s v="314.3925695858164"/>
    <s v="297.71051487309956"/>
    <x v="3"/>
    <n v="4"/>
    <x v="4"/>
    <x v="0"/>
    <m/>
    <s v="U20 M 81"/>
    <n v="314.39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Antoine MARY04/05/2005"/>
    <n v="2025"/>
    <s v="314.3925695858164"/>
    <s v="314.3925695858164"/>
  </r>
  <r>
    <x v="70"/>
    <x v="70"/>
    <s v="Antranig APRAHAMIAN02/08/1997"/>
    <n v="469285"/>
    <s v="FR"/>
    <s v="AURA - Critérium National - Vaulx en velin - PLATEAU SEN MASCULINSsam 14 Déc 2024"/>
    <s v="ATHLETIC CLUB SAINT MARCELLIN"/>
    <s v="Antranig APRAHAMIAN02/08/1997"/>
    <s v="66.5"/>
    <n v="-108"/>
    <n v="-108"/>
    <n v="108"/>
    <n v="108"/>
    <n v="0"/>
    <s v="XXO"/>
    <n v="132"/>
    <n v="137"/>
    <n v="-141"/>
    <n v="137"/>
    <n v="269"/>
    <s v="OOX"/>
    <x v="0"/>
    <x v="1"/>
    <x v="0"/>
    <n v="245"/>
    <n v="269"/>
    <s v="350.62562902668424"/>
    <s v="384.97262942113497"/>
    <x v="3"/>
    <n v="4"/>
    <x v="0"/>
    <x v="2"/>
    <m/>
    <s v="SEN M 67"/>
    <n v="350.62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51"/>
    <x v="4"/>
    <s v="Antranig APRAHAMIAN02/08/1997"/>
    <n v="2025"/>
    <s v="364.15501746278255"/>
    <s v="350.62562902668424"/>
  </r>
  <r>
    <x v="71"/>
    <x v="71"/>
    <s v="Apoline LECHAT05/10/2011"/>
    <n v="476043"/>
    <s v="FR"/>
    <s v="PDL - Critérium National - Laval - U15 au U20 Fdim 15 Déc 2024"/>
    <s v="CA EVRON 53 HALTEROPHILIE"/>
    <s v="Apoline LECHAT05/10/2011"/>
    <s v="70.32"/>
    <n v="-36"/>
    <n v="36"/>
    <n v="-38"/>
    <n v="36"/>
    <n v="0"/>
    <s v="XOX"/>
    <n v="46"/>
    <n v="49"/>
    <n v="51"/>
    <n v="51"/>
    <n v="100"/>
    <s v="OOO"/>
    <x v="3"/>
    <x v="0"/>
    <x v="0"/>
    <n v="87"/>
    <n v="100"/>
    <s v="107.24237913340127"/>
    <s v="123.26710245218537"/>
    <x v="2"/>
    <n v="6"/>
    <x v="3"/>
    <x v="1"/>
    <m/>
    <s v="U15 F 71"/>
    <n v="107.24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27"/>
    <x v="10"/>
    <s v="Apoline LECHAT05/10/2011"/>
    <n v="2025"/>
    <s v="108.86644793107001"/>
    <s v="108.86644793107001"/>
  </r>
  <r>
    <x v="72"/>
    <x v="72"/>
    <s v="Apolline LENY29/01/1999"/>
    <n v="476566"/>
    <s v="FR"/>
    <s v="OCC - Critérium National - Hc montalbanais - Plateau 1sam 14 Déc 2024"/>
    <s v="HC MONTALBANAIS"/>
    <s v="Apolline LENY29/01/1999"/>
    <n v="58"/>
    <n v="-58"/>
    <n v="-58"/>
    <n v="58"/>
    <n v="58"/>
    <n v="0"/>
    <s v="XXO"/>
    <n v="72"/>
    <n v="-75"/>
    <n v="-76"/>
    <n v="72"/>
    <n v="0"/>
    <s v="OXX"/>
    <x v="5"/>
    <x v="1"/>
    <x v="0"/>
    <n v="130"/>
    <n v="0"/>
    <s v="179.90047117206817"/>
    <s v="0.0"/>
    <x v="2"/>
    <n v="6"/>
    <x v="2"/>
    <x v="2"/>
    <m/>
    <s v="SEN F 59"/>
    <n v="179.9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39"/>
    <x v="1"/>
    <s v="Apolline LENY29/01/1999"/>
    <n v="2025"/>
    <s v="186.80077941818402"/>
    <s v="180.7350653692912"/>
  </r>
  <r>
    <x v="73"/>
    <x v="73"/>
    <s v="Armand BOIS01/01/2003"/>
    <n v="479075"/>
    <s v="FR"/>
    <s v="NDIE - Critérium National - Caen - Plateauu Elite masculinsam 14 Déc 2024"/>
    <s v="CHM ANGERIEN"/>
    <s v="Armand BOIS01/01/2003"/>
    <n v="94"/>
    <n v="115"/>
    <n v="-119"/>
    <n v="-123"/>
    <n v="115"/>
    <n v="0"/>
    <s v="OXX"/>
    <n v="145"/>
    <n v="150"/>
    <n v="155"/>
    <n v="155"/>
    <n v="305"/>
    <s v="OOO"/>
    <x v="3"/>
    <x v="0"/>
    <x v="0"/>
    <n v="270"/>
    <n v="305"/>
    <s v="318.077873292754"/>
    <s v="359.31019020107396"/>
    <x v="1"/>
    <n v="5"/>
    <x v="18"/>
    <x v="2"/>
    <m/>
    <s v="SEN M 96"/>
    <n v="318.07"/>
    <x v="0"/>
    <s v="NDIE - Critérium National - Caen - Plateauu Elite masculinsam 14 Déc 2024"/>
    <s v="Critérium National - Caen - Plateauu Elite masculin"/>
    <s v="NDI"/>
    <d v="2024-12-14T00:00:00"/>
    <n v="2024"/>
    <n v="12"/>
    <s v="2024-12"/>
    <m/>
    <s v="2024-2025"/>
    <n v="2025"/>
    <x v="52"/>
    <x v="12"/>
    <s v="Armand BOIS01/01/2003"/>
    <n v="2025"/>
    <s v="318.077873292754"/>
    <s v="318.077873292754"/>
  </r>
  <r>
    <x v="74"/>
    <x v="74"/>
    <s v="Armans SUDROT08/02/2005"/>
    <n v="468052"/>
    <s v="FR"/>
    <s v="NDIE - Critérium National - Caen - Plateauu Elite masculinsam 14 Déc 2024"/>
    <s v="CAEN CALVADOS HALTEROPHILIE MUSCULATION"/>
    <s v="Armans SUDROT08/02/2005"/>
    <s v="80.6"/>
    <n v="88"/>
    <n v="92"/>
    <n v="94"/>
    <n v="94"/>
    <n v="186"/>
    <s v="OOO"/>
    <n v="-108"/>
    <n v="108"/>
    <n v="-109"/>
    <n v="108"/>
    <n v="0"/>
    <s v="XOX"/>
    <x v="3"/>
    <x v="0"/>
    <x v="0"/>
    <n v="202"/>
    <n v="186"/>
    <s v="257.0649647264083"/>
    <s v="236.70338336194027"/>
    <x v="2"/>
    <n v="6"/>
    <x v="4"/>
    <x v="0"/>
    <m/>
    <s v="U20 M 81"/>
    <n v="257.06"/>
    <x v="0"/>
    <s v="NDIE - Critérium National - Caen - Plateauu Elite masculinsam 14 Déc 2024"/>
    <s v="Critérium National - Caen - Plateauu Elite masculin"/>
    <s v="NDI"/>
    <d v="2024-12-14T00:00:00"/>
    <n v="2024"/>
    <n v="12"/>
    <s v="2024-12"/>
    <m/>
    <s v="2024-2025"/>
    <n v="2025"/>
    <x v="53"/>
    <x v="9"/>
    <s v="Armans SUDROT08/02/2005"/>
    <n v="2025"/>
    <s v="257.0649647264083"/>
    <s v="257.0649647264083"/>
  </r>
  <r>
    <x v="75"/>
    <x v="75"/>
    <s v="Armelle GORGES07/04/2005"/>
    <n v="476212"/>
    <s v="FR"/>
    <s v="GE - Critérium National - Langres - LOR - CHAsam 14 Déc 2024"/>
    <s v="CH PETITE ROSSELLE"/>
    <s v="Armelle GORGES07/04/2005"/>
    <s v="53.8"/>
    <n v="54"/>
    <n v="57"/>
    <n v="-59"/>
    <n v="57"/>
    <n v="111"/>
    <s v="OOX"/>
    <n v="63"/>
    <n v="65"/>
    <n v="68"/>
    <n v="68"/>
    <n v="133"/>
    <s v="OOO"/>
    <x v="1"/>
    <x v="0"/>
    <x v="0"/>
    <n v="125"/>
    <n v="244"/>
    <s v="182.2192767403551"/>
    <s v="355.69202819717316"/>
    <x v="3"/>
    <n v="4"/>
    <x v="1"/>
    <x v="0"/>
    <m/>
    <s v="U20 F 55"/>
    <n v="182.21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4"/>
    <x v="2"/>
    <s v="Armelle GORGES07/04/2005"/>
    <n v="2025"/>
    <s v="182.2192767403551"/>
    <s v="182.2192767403551"/>
  </r>
  <r>
    <x v="76"/>
    <x v="76"/>
    <s v="Armelle LAURENT29/07/1992"/>
    <n v="475363"/>
    <s v="FR"/>
    <s v="GUA - Critérium National - Creps antilles guyane - GUA-Critérium National d'Haltérophiliesam 14 Déc 2024"/>
    <s v="THE ALPHA'S BARBEL"/>
    <s v="Armelle LAURENT29/07/1992"/>
    <n v="75"/>
    <n v="55"/>
    <n v="60"/>
    <n v="-63"/>
    <n v="60"/>
    <n v="115"/>
    <s v="OOX"/>
    <n v="75"/>
    <n v="80"/>
    <n v="-85"/>
    <n v="80"/>
    <n v="155"/>
    <s v="OOX"/>
    <x v="3"/>
    <x v="0"/>
    <x v="0"/>
    <n v="140"/>
    <n v="270"/>
    <s v="166.96562212650713"/>
    <s v="322.00512838683517"/>
    <x v="2"/>
    <n v="6"/>
    <x v="15"/>
    <x v="2"/>
    <m/>
    <s v="SEN F 76"/>
    <n v="166.96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55"/>
    <x v="11"/>
    <s v="Armelle LAURENT29/07/1992"/>
    <n v="2025"/>
    <s v="172.7032487011122"/>
    <s v="166.96562212650713"/>
  </r>
  <r>
    <x v="77"/>
    <x v="77"/>
    <s v="Armony DUMUR02/12/1991"/>
    <n v="476511"/>
    <s v="FR"/>
    <s v="IDF - Critérium National - Neuilly-sur-seinesam 14 Déc 2024"/>
    <s v="SPORTING CLUB DE NEUILLY"/>
    <s v="Armony DUMUR02/12/1991"/>
    <s v="75.3"/>
    <n v="70"/>
    <n v="73"/>
    <n v="76"/>
    <n v="76"/>
    <n v="149"/>
    <s v="OOO"/>
    <n v="-95"/>
    <n v="95"/>
    <n v="100"/>
    <n v="100"/>
    <n v="195"/>
    <s v="XOO"/>
    <x v="1"/>
    <x v="0"/>
    <x v="0"/>
    <n v="176"/>
    <n v="344"/>
    <s v="209.48998476686234"/>
    <s v="409.4576974988673"/>
    <x v="3"/>
    <n v="4"/>
    <x v="15"/>
    <x v="2"/>
    <m/>
    <s v="SEN F 76"/>
    <n v="209.48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8"/>
    <x v="3"/>
    <s v="Armony DUMUR02/12/1991"/>
    <n v="2025"/>
    <s v="209.48998476686234"/>
    <s v="209.48998476686234"/>
  </r>
  <r>
    <x v="78"/>
    <x v="78"/>
    <s v="Arthur DESCHRYVER14/11/2009"/>
    <n v="462676"/>
    <s v="FR"/>
    <s v="HDF - Critérium National - Comines - U15 / U17 / U20 Hommessam 14 Déc 2024"/>
    <s v="CA ROSENDAEL"/>
    <s v="Arthur DESCHRYVER14/11/2009"/>
    <s v="69.3"/>
    <n v="70"/>
    <n v="-75"/>
    <n v="-75"/>
    <n v="70"/>
    <n v="0"/>
    <s v="OXX"/>
    <n v="95"/>
    <n v="-103"/>
    <n v="-110"/>
    <n v="95"/>
    <n v="0"/>
    <s v="OXX"/>
    <x v="5"/>
    <x v="0"/>
    <x v="0"/>
    <n v="165"/>
    <n v="0"/>
    <s v="229.81426455928033"/>
    <s v="0.0"/>
    <x v="2"/>
    <n v="6"/>
    <x v="5"/>
    <x v="3"/>
    <m/>
    <s v="U17 M 73"/>
    <n v="229.81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13"/>
    <x v="8"/>
    <s v="Arthur DESCHRYVER14/11/2009"/>
    <n v="2025"/>
    <s v="237.2207480456947"/>
    <s v="237.2207480456947"/>
  </r>
  <r>
    <x v="79"/>
    <x v="79"/>
    <s v="Arthur SIMONET14/05/2013"/>
    <n v="496276"/>
    <s v="FR"/>
    <s v="GE - Critérium National - Langres - LOR - CHAsam 14 Déc 2024"/>
    <s v="LANGRES HM"/>
    <s v="Arthur SIMONET14/05/2013"/>
    <s v="70.5"/>
    <n v="18"/>
    <n v="20"/>
    <n v="22"/>
    <n v="22"/>
    <n v="42"/>
    <s v="OOO"/>
    <n v="22"/>
    <n v="24"/>
    <n v="26"/>
    <n v="26"/>
    <n v="50"/>
    <s v="OOO"/>
    <x v="2"/>
    <x v="0"/>
    <x v="0"/>
    <n v="48"/>
    <n v="92"/>
    <s v="66.1249782832034"/>
    <s v="126.73954170947317"/>
    <x v="0"/>
    <n v="999"/>
    <x v="5"/>
    <x v="4"/>
    <m/>
    <s v="U13 M 73"/>
    <n v="126.73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Arthur SIMONET14/05/2013"/>
    <n v="2025"/>
    <s v="74.0264140793429"/>
    <s v="74.0264140793429"/>
  </r>
  <r>
    <x v="80"/>
    <x v="80"/>
    <s v="Aschkenaz PINEAU28/12/1984"/>
    <n v="475361"/>
    <s v="FR"/>
    <s v="GUA - Critérium National - Creps antilles guyane - GUA-Critérium National d'Haltérophiliesam 14 Déc 2024"/>
    <s v="THE ALPHA'S BARBEL"/>
    <s v="Aschkenaz PINEAU28/12/1984"/>
    <n v="74"/>
    <n v="90"/>
    <n v="95"/>
    <n v="100"/>
    <n v="100"/>
    <n v="195"/>
    <s v="OOO"/>
    <n v="125"/>
    <n v="130"/>
    <n v="-132"/>
    <n v="130"/>
    <n v="255"/>
    <s v="OOX"/>
    <x v="1"/>
    <x v="0"/>
    <x v="0"/>
    <n v="230"/>
    <n v="450"/>
    <s v="307.48707183901683"/>
    <s v="601.6051405545982"/>
    <x v="2"/>
    <n v="6"/>
    <x v="4"/>
    <x v="2"/>
    <n v="40"/>
    <s v="SEN M 81"/>
    <n v="307.48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55"/>
    <x v="11"/>
    <s v="Aschkenaz PINEAU28/12/1984"/>
    <n v="2025"/>
    <s v="307.48707183901683"/>
    <s v="307.48707183901683"/>
  </r>
  <r>
    <x v="81"/>
    <x v="81"/>
    <s v="Ashley PIZEM02/03/2011"/>
    <n v="497371"/>
    <s v="FR"/>
    <s v="IDF - Critérium National - Neuilly-sur-seinesam 14 Déc 2024"/>
    <s v="RUEIL ATHLETIC CLUB"/>
    <s v="Ashley PIZEM02/03/2011"/>
    <n v="56"/>
    <n v="45"/>
    <n v="-53"/>
    <n v="53"/>
    <n v="53"/>
    <n v="98"/>
    <s v="OXO"/>
    <n v="52"/>
    <n v="-63"/>
    <n v="-63"/>
    <n v="52"/>
    <n v="0"/>
    <s v="OXX"/>
    <x v="0"/>
    <x v="0"/>
    <x v="0"/>
    <n v="105"/>
    <n v="98"/>
    <s v="148.80504358763667"/>
    <s v="138.8847073484609"/>
    <x v="3"/>
    <n v="4"/>
    <x v="2"/>
    <x v="1"/>
    <m/>
    <s v="U15 F 59"/>
    <n v="148.80000000000001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57"/>
    <x v="3"/>
    <s v="Ashley PIZEM02/03/2011"/>
    <n v="2025"/>
    <s v="164.4074329236023"/>
    <s v="164.4074329236023"/>
  </r>
  <r>
    <x v="82"/>
    <x v="82"/>
    <s v="Aslam NICOLIN25/08/2001"/>
    <n v="470372"/>
    <s v="FR"/>
    <s v="BFC - Critérium National - Besançon - BFC - Critérium National - Besançon - BFC-Critérium 81 89 96sam 14 Déc 2024"/>
    <s v="CLUB HALTEROPHILE LUXOVIEN"/>
    <s v="Aslam NICOLIN25/08/2001"/>
    <s v="91.85"/>
    <n v="-105"/>
    <n v="-110"/>
    <n v="112"/>
    <n v="112"/>
    <n v="0"/>
    <s v="XXO"/>
    <n v="145"/>
    <n v="-153"/>
    <n v="-153"/>
    <n v="145"/>
    <n v="0"/>
    <s v="OXX"/>
    <x v="5"/>
    <x v="1"/>
    <x v="0"/>
    <n v="257"/>
    <n v="0"/>
    <s v="306.00879688526544"/>
    <s v="0.0"/>
    <x v="2"/>
    <n v="6"/>
    <x v="18"/>
    <x v="2"/>
    <m/>
    <s v="SEN M 96"/>
    <n v="306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Aslam NICOLIN25/08/2001"/>
    <n v="2025"/>
    <s v="306.8738529468471"/>
    <s v="306.00879688526544"/>
  </r>
  <r>
    <x v="83"/>
    <x v="83"/>
    <s v="Astrid HANOCQUE23/01/2008"/>
    <n v="471009"/>
    <s v="FR"/>
    <s v="NDIE - Critérium National - Caen - Plateau Elite fémininsam 14 Déc 2024"/>
    <s v="CHM LE TRAIT"/>
    <s v="Astrid HANOCQUE23/01/2008"/>
    <s v="53.85"/>
    <n v="-59"/>
    <n v="59"/>
    <n v="62"/>
    <n v="62"/>
    <n v="121"/>
    <s v="XOO"/>
    <n v="74"/>
    <n v="78"/>
    <n v="-80"/>
    <n v="78"/>
    <n v="152"/>
    <s v="OOX"/>
    <x v="3"/>
    <x v="0"/>
    <x v="0"/>
    <n v="140"/>
    <n v="273"/>
    <s v="203.94960728134535"/>
    <s v="397.70173419862346"/>
    <x v="7"/>
    <n v="2"/>
    <x v="1"/>
    <x v="3"/>
    <m/>
    <s v="U17 F 55"/>
    <n v="203.94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15"/>
    <x v="9"/>
    <s v="Astrid HANOCQUE23/01/2008"/>
    <n v="2025"/>
    <s v="203.94960728134535"/>
    <s v="203.94960728134535"/>
  </r>
  <r>
    <x v="84"/>
    <x v="84"/>
    <s v="Asya HORVATH24/11/2010"/>
    <n v="466640"/>
    <s v="FR"/>
    <s v="AURA - Critérium National - Vaulx en velin - PLATEAU JEUNES FEMININESsam 14 Déc 2024"/>
    <s v="ARAVIS HAL-FA"/>
    <s v="Asya HORVATH24/11/2010"/>
    <s v="57.4"/>
    <n v="52"/>
    <n v="55"/>
    <n v="-57"/>
    <n v="55"/>
    <n v="107"/>
    <s v="OOX"/>
    <n v="63"/>
    <n v="65"/>
    <n v="68"/>
    <n v="68"/>
    <n v="133"/>
    <s v="OOO"/>
    <x v="1"/>
    <x v="0"/>
    <x v="0"/>
    <n v="123"/>
    <n v="240"/>
    <s v="171.4035644857249"/>
    <s v="334.44597948434125"/>
    <x v="4"/>
    <n v="3"/>
    <x v="2"/>
    <x v="1"/>
    <m/>
    <s v="U15 F 59"/>
    <n v="171.4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24"/>
    <x v="4"/>
    <s v="Asya HORVATH24/11/2010"/>
    <n v="2025"/>
    <s v="171.4035644857249"/>
    <s v="171.4035644857249"/>
  </r>
  <r>
    <x v="85"/>
    <x v="85"/>
    <s v="Atilla AYDOGAN28/12/2005"/>
    <n v="500602"/>
    <s v="BE"/>
    <s v="HDF - Critérium National - Comines - U15 / U17 / U20 Hommessam 14 Déc 2024"/>
    <s v="CHCD COMINES"/>
    <s v="Atilla AYDOGAN28/12/2005"/>
    <s v="66.9"/>
    <n v="-105"/>
    <n v="-107"/>
    <n v="-110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0"/>
    <x v="0"/>
    <m/>
    <s v="U20 M 67"/>
    <n v="0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37"/>
    <x v="8"/>
    <s v="Atilla AYDOGAN28/12/2005"/>
    <n v="2025"/>
    <s v="323.2514658681926"/>
    <s v="323.2514658681926"/>
  </r>
  <r>
    <x v="86"/>
    <x v="86"/>
    <s v="Auberi CADET20/11/1988"/>
    <n v="434059"/>
    <s v="FR"/>
    <s v="REU - Critérium National - La possession - SENIOREdim 15 Déc 2024"/>
    <s v="MAHAVELI HALTÉROPHILIE RÉUNION"/>
    <s v="Auberi CADET20/11/1988"/>
    <s v="57.89"/>
    <n v="57"/>
    <n v="60"/>
    <n v="-62"/>
    <n v="60"/>
    <n v="117"/>
    <s v="OOX"/>
    <n v="76"/>
    <n v="-80"/>
    <n v="-80"/>
    <n v="76"/>
    <n v="0"/>
    <s v="OXX"/>
    <x v="0"/>
    <x v="0"/>
    <x v="0"/>
    <n v="136"/>
    <n v="117"/>
    <s v="188.44205831831366"/>
    <s v="162.11559428854926"/>
    <x v="2"/>
    <n v="6"/>
    <x v="2"/>
    <x v="2"/>
    <n v="35"/>
    <s v="SEN F 59"/>
    <n v="188.44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58"/>
    <x v="5"/>
    <s v="Auberi CADET20/11/1988"/>
    <n v="2025"/>
    <s v="199.9094348390322"/>
    <s v="195.23606944072552"/>
  </r>
  <r>
    <x v="87"/>
    <x v="87"/>
    <s v="Audrey LE VAILLANT DE CHARNY18/02/1997"/>
    <n v="431879"/>
    <s v="FR"/>
    <s v="GE - Critérium National - Langres - LOR - CHAsam 14 Déc 2024"/>
    <s v="OLYMPE ATHLÉTIQUE"/>
    <s v="Audrey LE VAILLANT DE CHARNY18/02/1997"/>
    <s v="67.1"/>
    <n v="76"/>
    <n v="-80"/>
    <n v="-81"/>
    <n v="76"/>
    <n v="0"/>
    <s v="OXX"/>
    <n v="96"/>
    <n v="-100"/>
    <n v="-100"/>
    <n v="96"/>
    <n v="0"/>
    <s v="OXX"/>
    <x v="5"/>
    <x v="0"/>
    <x v="0"/>
    <n v="172"/>
    <n v="0"/>
    <s v="217.56443181127443"/>
    <s v="0.0"/>
    <x v="3"/>
    <n v="4"/>
    <x v="3"/>
    <x v="2"/>
    <m/>
    <s v="SEN F 71"/>
    <n v="217.56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9"/>
    <x v="12"/>
    <s v="Audrey LE VAILLANT DE CHARNY18/02/1997"/>
    <n v="2025"/>
    <s v="253.081068360095"/>
    <s v="227.11026567612262"/>
  </r>
  <r>
    <x v="88"/>
    <x v="88"/>
    <s v="Augustine CAMPTON24/01/2010"/>
    <n v="496530"/>
    <s v="FR"/>
    <s v="GUA - Critérium National - Creps antilles guyane - GUA-Critérium National d'Haltérophiliesam 14 Déc 2024"/>
    <s v="HALTEROPHILIE CLUB DE POINTE A PITRE 971"/>
    <s v="Augustine CAMPTON24/01/2010"/>
    <s v="58.8"/>
    <n v="30"/>
    <n v="33"/>
    <n v="-36"/>
    <n v="33"/>
    <n v="63"/>
    <s v="OOX"/>
    <n v="40"/>
    <n v="44"/>
    <n v="-46"/>
    <n v="44"/>
    <n v="84"/>
    <s v="OOX"/>
    <x v="3"/>
    <x v="0"/>
    <x v="0"/>
    <n v="77"/>
    <n v="147"/>
    <s v="105.59482131716726"/>
    <s v="201.59011342368294"/>
    <x v="2"/>
    <n v="6"/>
    <x v="2"/>
    <x v="1"/>
    <m/>
    <s v="U15 F 59"/>
    <n v="105.59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Augustine CAMPTON24/01/2010"/>
    <n v="2025"/>
    <s v="116.04941190532635"/>
    <s v="105.59482131716726"/>
  </r>
  <r>
    <x v="89"/>
    <x v="89"/>
    <s v="Aurelien TURPIN28/03/2004"/>
    <n v="463287"/>
    <s v="FR"/>
    <s v="OCC - Critérium National - Hc montalbanais - Plateau 2sam 14 Déc 2024"/>
    <s v="TOULOUSE HC"/>
    <s v="Aurelien TURPIN28/03/2004"/>
    <s v="66.7"/>
    <n v="90"/>
    <n v="94"/>
    <n v="-98"/>
    <n v="94"/>
    <n v="184"/>
    <s v="OOX"/>
    <n v="120"/>
    <n v="-131"/>
    <n v="-131"/>
    <n v="120"/>
    <n v="0"/>
    <s v="OXX"/>
    <x v="0"/>
    <x v="0"/>
    <x v="0"/>
    <n v="214"/>
    <n v="184"/>
    <s v="305.64523538719106"/>
    <s v="262.79777248244466"/>
    <x v="2"/>
    <n v="6"/>
    <x v="0"/>
    <x v="2"/>
    <m/>
    <s v="SEN M 67"/>
    <n v="305.64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6"/>
    <x v="1"/>
    <s v="Aurelien TURPIN28/03/2004"/>
    <n v="2025"/>
    <s v="314.3093288905956"/>
    <s v="305.64523538719106"/>
  </r>
  <r>
    <x v="90"/>
    <x v="90"/>
    <s v="Axelle VAN OVERBEKE16/09/2003"/>
    <n v="453315"/>
    <s v="FR"/>
    <s v="HDF - Critérium National - La ferte milon - U17 / U20 / Seniors Femmessam 14 Déc 2024"/>
    <s v="CHFM ROISEL"/>
    <s v="Axelle VAN OVERBEKE16/09/2003"/>
    <s v="72.48"/>
    <n v="66"/>
    <n v="69"/>
    <n v="72"/>
    <n v="72"/>
    <n v="141"/>
    <s v="OOO"/>
    <n v="83"/>
    <n v="87"/>
    <n v="91"/>
    <n v="91"/>
    <n v="178"/>
    <s v="OOO"/>
    <x v="2"/>
    <x v="0"/>
    <x v="0"/>
    <n v="163"/>
    <n v="319"/>
    <s v="197.76253872657546"/>
    <s v="387.0322076918869"/>
    <x v="1"/>
    <n v="5"/>
    <x v="15"/>
    <x v="2"/>
    <m/>
    <s v="SEN F 76"/>
    <n v="197.76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60"/>
    <x v="8"/>
    <s v="Axelle VAN OVERBEKE16/09/2003"/>
    <n v="2025"/>
    <s v="200.25976185918063"/>
    <s v="197.76253872657546"/>
  </r>
  <r>
    <x v="91"/>
    <x v="91"/>
    <s v="Axelle ZHENG25/12/2002"/>
    <n v="448939"/>
    <s v="FR"/>
    <s v="IDF - Critérium National - Franconville - Seniors Femmes 1er plateausam 14 Déc 2024"/>
    <s v="CSM GENNEVILLOIS HALTEROPHILIE"/>
    <s v="Axelle ZHENG25/12/2002"/>
    <s v="57.7"/>
    <n v="-51"/>
    <n v="-51"/>
    <n v="-51"/>
    <n v="0"/>
    <n v="0"/>
    <s v="XXX"/>
    <n v="65"/>
    <n v="-68"/>
    <n v="-68"/>
    <n v="65"/>
    <n v="0"/>
    <s v="OXX"/>
    <x v="4"/>
    <x v="0"/>
    <x v="0"/>
    <n v="65"/>
    <n v="0"/>
    <s v="90.26247838622095"/>
    <s v="0.0"/>
    <x v="0"/>
    <n v="999"/>
    <x v="2"/>
    <x v="2"/>
    <m/>
    <s v="SEN F 59"/>
    <n v="0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61"/>
    <x v="3"/>
    <s v="Axelle ZHENG25/12/2002"/>
    <n v="2025"/>
    <s v="163.62043399735634"/>
    <s v="160.82350350167505"/>
  </r>
  <r>
    <x v="92"/>
    <x v="92"/>
    <s v="Ayah TATI26/05/2006"/>
    <n v="490324"/>
    <s v="FR"/>
    <s v="IDF - Critérium National - Franconville - Jeunes Femmesdim 15 Déc 2024"/>
    <s v="AFHMA FRANCONVILLE"/>
    <s v="Ayah TATI26/05/2006"/>
    <s v="80.5"/>
    <n v="45"/>
    <n v="49"/>
    <n v="-52"/>
    <n v="49"/>
    <n v="94"/>
    <s v="OOX"/>
    <n v="64"/>
    <n v="71"/>
    <n v="-75"/>
    <n v="71"/>
    <n v="135"/>
    <s v="OOX"/>
    <x v="3"/>
    <x v="0"/>
    <x v="0"/>
    <n v="120"/>
    <n v="229"/>
    <s v="138.46536467574225"/>
    <s v="264.2380709228748"/>
    <x v="2"/>
    <n v="6"/>
    <x v="4"/>
    <x v="0"/>
    <m/>
    <s v="U20 F 81"/>
    <n v="138.46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4"/>
    <x v="3"/>
    <s v="Ayah TATI26/05/2006"/>
    <n v="2025"/>
    <s v="138.46536467574225"/>
    <s v="138.46536467574225"/>
  </r>
  <r>
    <x v="93"/>
    <x v="93"/>
    <s v="Aymeric GEIGER26/11/2009"/>
    <n v="463057"/>
    <s v="FR"/>
    <s v="GE - Critérium National - Haguenau - ALS - U15 - U17 - U20 - SEN Homsam 14 Déc 2024"/>
    <s v="SHC HAGUENAU"/>
    <s v="Aymeric GEIGER26/11/2009"/>
    <s v="70.14"/>
    <n v="88"/>
    <n v="-93"/>
    <n v="93"/>
    <n v="93"/>
    <n v="181"/>
    <s v="OXO"/>
    <n v="117"/>
    <n v="121"/>
    <n v="-125"/>
    <n v="121"/>
    <n v="238"/>
    <s v="OOX"/>
    <x v="3"/>
    <x v="0"/>
    <x v="0"/>
    <n v="214"/>
    <n v="419"/>
    <s v="295.76835999937833"/>
    <s v="579.0978637371006"/>
    <x v="3"/>
    <n v="4"/>
    <x v="5"/>
    <x v="3"/>
    <m/>
    <s v="U17 M 73"/>
    <n v="295.76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42"/>
    <x v="2"/>
    <s v="Aymeric GEIGER26/11/2009"/>
    <n v="2025"/>
    <s v="295.76835999937833"/>
    <s v="295.76835999937833"/>
  </r>
  <r>
    <x v="94"/>
    <x v="94"/>
    <s v="Ayoub BEKKAR10/11/2001"/>
    <n v="481087"/>
    <s v="DZ"/>
    <s v="IDF - Critérium National - Franconville - Seniors Hommes 3ème plateausam 14 Déc 2024"/>
    <s v="HCVM CHELLES"/>
    <s v="Ayoub BEKKAR10/11/2001"/>
    <s v="61.7"/>
    <n v="90"/>
    <n v="0"/>
    <n v="0"/>
    <n v="90"/>
    <n v="0"/>
    <s v="OXX"/>
    <n v="105"/>
    <n v="0"/>
    <n v="0"/>
    <n v="105"/>
    <n v="0"/>
    <s v="OXX"/>
    <x v="5"/>
    <x v="0"/>
    <x v="0"/>
    <n v="195"/>
    <n v="0"/>
    <s v="293.97147431566026"/>
    <s v="0.0"/>
    <x v="2"/>
    <n v="6"/>
    <x v="0"/>
    <x v="2"/>
    <m/>
    <s v="SEN M 67"/>
    <n v="293.97000000000003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9"/>
    <x v="3"/>
    <s v="Ayoub BEKKAR10/11/2001"/>
    <n v="2025"/>
    <s v="323.4303929357133"/>
    <s v="305.7803457884987"/>
  </r>
  <r>
    <x v="95"/>
    <x v="95"/>
    <s v="Baptiste PATRY04/02/2007"/>
    <n v="461613"/>
    <s v="FR"/>
    <s v="PDL - Critérium National - Laval - U15 au U20 Hdim 15 Déc 2024"/>
    <s v="AL SAVENAY"/>
    <s v="Baptiste PATRY04/02/2007"/>
    <s v="83.19"/>
    <n v="93"/>
    <n v="97"/>
    <n v="100"/>
    <n v="100"/>
    <n v="197"/>
    <s v="OOO"/>
    <n v="125"/>
    <n v="130"/>
    <n v="-133"/>
    <n v="130"/>
    <n v="255"/>
    <s v="OOX"/>
    <x v="1"/>
    <x v="0"/>
    <x v="0"/>
    <n v="230"/>
    <n v="452"/>
    <s v="287.73903310244015"/>
    <s v="565.4697520100128"/>
    <x v="1"/>
    <n v="5"/>
    <x v="9"/>
    <x v="0"/>
    <m/>
    <s v="U20 M 89"/>
    <n v="287.73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62"/>
    <x v="10"/>
    <s v="Baptiste PATRY04/02/2007"/>
    <n v="2025"/>
    <s v="287.73903310244015"/>
    <s v="287.73903310244015"/>
  </r>
  <r>
    <x v="96"/>
    <x v="96"/>
    <s v="Barbara GLASSIER24/07/2010"/>
    <n v="462637"/>
    <s v="FR"/>
    <s v="PDL - Critérium National - Laval - U15 au U20 Fdim 15 Déc 2024"/>
    <s v="CA EVRON 53 HALTEROPHILIE"/>
    <s v="Barbara GLASSIER24/07/2010"/>
    <s v="124.79"/>
    <n v="38"/>
    <n v="41"/>
    <n v="43"/>
    <n v="43"/>
    <n v="84"/>
    <s v="OOO"/>
    <n v="52"/>
    <n v="56"/>
    <n v="59"/>
    <n v="59"/>
    <n v="115"/>
    <s v="OOO"/>
    <x v="2"/>
    <x v="0"/>
    <x v="0"/>
    <n v="102"/>
    <n v="199"/>
    <s v="103.53043728695496"/>
    <s v="201.9858531382749"/>
    <x v="2"/>
    <n v="6"/>
    <x v="12"/>
    <x v="1"/>
    <m/>
    <s v="U15 F &gt;81"/>
    <n v="103.53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27"/>
    <x v="10"/>
    <s v="Barbara GLASSIER24/07/2010"/>
    <n v="2025"/>
    <s v="109.85152871695367"/>
    <s v="103.53043728695496"/>
  </r>
  <r>
    <x v="97"/>
    <x v="97"/>
    <s v="Bastien HAVET27/04/2002"/>
    <n v="326262"/>
    <s v="FR"/>
    <s v="OCC - Critérium National - Hc montalbanais - Plateau 4sam 14 Déc 2024"/>
    <s v="HC FIGEAC"/>
    <s v="Bastien HAVET27/04/2002"/>
    <s v="93.1"/>
    <n v="130"/>
    <n v="135"/>
    <n v="138"/>
    <n v="138"/>
    <n v="273"/>
    <s v="OOO"/>
    <n v="157"/>
    <n v="166"/>
    <n v="-170"/>
    <n v="166"/>
    <n v="323"/>
    <s v="OOX"/>
    <x v="1"/>
    <x v="0"/>
    <x v="0"/>
    <n v="304"/>
    <n v="596"/>
    <s v="359.70885164515005"/>
    <s v="705.2186696727283"/>
    <x v="3"/>
    <n v="4"/>
    <x v="18"/>
    <x v="2"/>
    <m/>
    <s v="SEN M 96"/>
    <n v="359.7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1"/>
    <x v="1"/>
    <s v="Bastien HAVET27/04/2002"/>
    <n v="2025"/>
    <s v="359.70885164515005"/>
    <s v="359.70885164515005"/>
  </r>
  <r>
    <x v="98"/>
    <x v="98"/>
    <s v="Benjamin FERRE22/07/2000"/>
    <n v="457567"/>
    <s v="FR"/>
    <s v="NDIE - Critérium National - Caen - Plateauu Elite masculinsam 14 Déc 2024"/>
    <s v="CLUB HALTEROPHILE LUXOVIEN"/>
    <s v="Benjamin FERRE22/07/2000"/>
    <s v="108.7"/>
    <n v="150"/>
    <n v="154"/>
    <n v="-158"/>
    <n v="154"/>
    <n v="304"/>
    <s v="OOX"/>
    <n v="190"/>
    <n v="200"/>
    <n v="-207"/>
    <n v="200"/>
    <n v="390"/>
    <s v="OOX"/>
    <x v="3"/>
    <x v="0"/>
    <x v="0"/>
    <n v="354"/>
    <n v="694"/>
    <s v="393.031890408513"/>
    <s v="770.5201467330735"/>
    <x v="4"/>
    <n v="3"/>
    <x v="19"/>
    <x v="2"/>
    <m/>
    <s v="SEN M 109"/>
    <n v="393.03"/>
    <x v="0"/>
    <s v="NDIE - Critérium National - Caen - Plateauu Elite masculinsam 14 Déc 2024"/>
    <s v="Critérium National - Caen - Plateauu Elite masculin"/>
    <s v="NDI"/>
    <d v="2024-12-14T00:00:00"/>
    <n v="2024"/>
    <n v="12"/>
    <s v="2024-12"/>
    <m/>
    <s v="2024-2025"/>
    <n v="2025"/>
    <x v="10"/>
    <x v="6"/>
    <s v="Benjamin FERRE22/07/2000"/>
    <n v="2025"/>
    <s v="398.12142012244317"/>
    <s v="398.12142012244317"/>
  </r>
  <r>
    <x v="99"/>
    <x v="99"/>
    <s v="Benjamin PEDRAK25/11/1998"/>
    <n v="261141"/>
    <s v="FR"/>
    <s v="HDF - Critérium National - La Ferté Milon - U17 / Seniors Hommessam 14 Déc 2024"/>
    <s v="KOALA CLUB VILLERS BRETONNEUX"/>
    <s v="Benjamin PEDRAK25/11/1998"/>
    <s v="65.62"/>
    <n v="100"/>
    <n v="-107"/>
    <n v="-107"/>
    <n v="100"/>
    <n v="0"/>
    <s v="OXX"/>
    <n v="120"/>
    <n v="-130"/>
    <n v="0"/>
    <n v="120"/>
    <n v="0"/>
    <s v="OXX"/>
    <x v="5"/>
    <x v="0"/>
    <x v="0"/>
    <n v="220"/>
    <n v="0"/>
    <s v="317.6916001020713"/>
    <s v="0.0"/>
    <x v="2"/>
    <n v="6"/>
    <x v="0"/>
    <x v="2"/>
    <m/>
    <s v="SEN M 67"/>
    <n v="317.69"/>
    <x v="0"/>
    <s v="HDF - Critérium National - La Ferté Milon - U17 / Seniors Hommessam 14 Déc 2024"/>
    <s v="Critérium National - La Ferté Milon - U17 / Seniors Hommes"/>
    <s v="HDF"/>
    <d v="2024-12-14T00:00:00"/>
    <n v="2024"/>
    <n v="12"/>
    <s v="2024-12"/>
    <m/>
    <s v="2024-2025"/>
    <n v="2025"/>
    <x v="63"/>
    <x v="8"/>
    <s v="Benjamin PEDRAK25/11/1998"/>
    <n v="2025"/>
    <s v="360.50215406568446"/>
    <s v="332.6611755002434"/>
  </r>
  <r>
    <x v="100"/>
    <x v="100"/>
    <s v="Benjamin RENARD11/01/2005"/>
    <n v="448252"/>
    <s v="FR"/>
    <s v="AURA - Critérium National - Vaulx en velin - PLATEAU JEUNES MASCULINSsam 14 Déc 2024"/>
    <s v="AL CHARLIEU"/>
    <s v="Benjamin RENARD11/01/2005"/>
    <s v="65.1"/>
    <n v="82"/>
    <n v="87"/>
    <n v="89"/>
    <n v="89"/>
    <n v="176"/>
    <s v="OOO"/>
    <n v="101"/>
    <n v="108"/>
    <n v="112"/>
    <n v="112"/>
    <n v="220"/>
    <s v="OOO"/>
    <x v="2"/>
    <x v="0"/>
    <x v="0"/>
    <n v="201"/>
    <n v="396"/>
    <s v="291.83317617815777"/>
    <s v="574.9549142614452"/>
    <x v="1"/>
    <n v="5"/>
    <x v="0"/>
    <x v="0"/>
    <m/>
    <s v="U20 M 67"/>
    <n v="291.83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48"/>
    <x v="4"/>
    <s v="Benjamin RENARD11/01/2005"/>
    <n v="2025"/>
    <s v="291.83317617815777"/>
    <s v="291.83317617815777"/>
  </r>
  <r>
    <x v="101"/>
    <x v="101"/>
    <s v="Benoit ABADIE01/09/1999"/>
    <n v="481185"/>
    <s v="FR"/>
    <s v="AURA - Critérium National - Vaulx en velin - PLATEAU SEN MASCULINSsam 14 Déc 2024"/>
    <s v="NEO WEIGHTLIFTING CLUB"/>
    <s v="Benoit ABADIE01/09/1999"/>
    <n v="95"/>
    <n v="107"/>
    <n v="112"/>
    <n v="-115"/>
    <n v="112"/>
    <n v="219"/>
    <s v="OOX"/>
    <n v="-130"/>
    <n v="130"/>
    <n v="138"/>
    <n v="138"/>
    <n v="268"/>
    <s v="XOO"/>
    <x v="3"/>
    <x v="0"/>
    <x v="0"/>
    <n v="250"/>
    <n v="487"/>
    <s v="293.1165395367985"/>
    <s v="570.9910190176835"/>
    <x v="2"/>
    <n v="6"/>
    <x v="18"/>
    <x v="2"/>
    <m/>
    <s v="SEN M 96"/>
    <n v="293.11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64"/>
    <x v="4"/>
    <s v="Benoit ABADIE01/09/1999"/>
    <n v="2025"/>
    <s v="293.1165395367985"/>
    <s v="293.1165395367985"/>
  </r>
  <r>
    <x v="102"/>
    <x v="102"/>
    <s v="Bertille MIZSER15/07/1999"/>
    <n v="452539"/>
    <s v="FR"/>
    <s v="BFC - Critérium National - Besançon - BFC-Critérium 2 SEN Fsam 14 Déc 2024"/>
    <s v="CLUB HALTEROPHILE LUXOVIEN"/>
    <s v="Bertille MIZSER15/07/1999"/>
    <s v="80.9"/>
    <n v="80"/>
    <n v="-84"/>
    <n v="84"/>
    <n v="84"/>
    <n v="164"/>
    <s v="OXO"/>
    <n v="92"/>
    <n v="96"/>
    <n v="102"/>
    <n v="102"/>
    <n v="198"/>
    <s v="OOO"/>
    <x v="1"/>
    <x v="0"/>
    <x v="0"/>
    <n v="186"/>
    <n v="362"/>
    <s v="214.15304854297207"/>
    <s v="416.7924923255693"/>
    <x v="3"/>
    <n v="4"/>
    <x v="4"/>
    <x v="2"/>
    <m/>
    <s v="SEN F 81"/>
    <n v="214.15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10"/>
    <x v="6"/>
    <s v="Bertille MIZSER15/07/1999"/>
    <n v="2025"/>
    <s v="219.9098509231595"/>
    <s v="219.9098509231595"/>
  </r>
  <r>
    <x v="103"/>
    <x v="103"/>
    <s v="Bibi-fatima YSSOUFI03/10/2002"/>
    <n v="475207"/>
    <s v="FR"/>
    <s v="BFC - Critérium National - Besançon - BFC-Critérium U17-20 SEN Fsam 14 Déc 2024"/>
    <s v="LA FRANCAISE DE BESANCON"/>
    <s v="Bibi-fatima YSSOUFI03/10/2002"/>
    <s v="48.65"/>
    <n v="51"/>
    <n v="54"/>
    <n v="-56"/>
    <n v="54"/>
    <n v="105"/>
    <s v="OOX"/>
    <n v="69"/>
    <n v="-72"/>
    <n v="-72"/>
    <n v="69"/>
    <n v="0"/>
    <s v="OXX"/>
    <x v="0"/>
    <x v="0"/>
    <x v="0"/>
    <n v="123"/>
    <n v="105"/>
    <s v="193.4020659801676"/>
    <s v="165.09932461721624"/>
    <x v="1"/>
    <n v="5"/>
    <x v="10"/>
    <x v="2"/>
    <m/>
    <s v="SEN F 49"/>
    <n v="193.4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21"/>
    <x v="6"/>
    <s v="Bibi-fatima YSSOUFI03/10/2002"/>
    <n v="2025"/>
    <s v="193.4020659801676"/>
    <s v="193.4020659801676"/>
  </r>
  <r>
    <x v="104"/>
    <x v="104"/>
    <s v="Bobbi lee SCIASCIA05/04/1984"/>
    <n v="500441"/>
    <s v="US"/>
    <s v="HDF - Critérium National - Comines - U20 - Seniors Femmessam 14 Déc 2024"/>
    <s v="AO SALLAUMINES"/>
    <s v="Bobbi lee SCIASCIA05/04/1984"/>
    <n v="64"/>
    <n v="58"/>
    <n v="61"/>
    <n v="-63"/>
    <n v="61"/>
    <n v="119"/>
    <s v="OOX"/>
    <n v="68"/>
    <n v="71"/>
    <n v="73"/>
    <n v="73"/>
    <n v="144"/>
    <s v="OOO"/>
    <x v="1"/>
    <x v="0"/>
    <x v="0"/>
    <n v="134"/>
    <n v="263"/>
    <s v="174.2369608886492"/>
    <s v="341.9725426396622"/>
    <x v="2"/>
    <n v="6"/>
    <x v="7"/>
    <x v="2"/>
    <n v="40"/>
    <s v="SEN F 64"/>
    <n v="174.23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65"/>
    <x v="8"/>
    <s v="Bobbi lee SCIASCIA05/04/1984"/>
    <n v="2025"/>
    <s v="174.2369608886492"/>
    <s v="174.2369608886492"/>
  </r>
  <r>
    <x v="105"/>
    <x v="105"/>
    <s v="Brahim DJALAB01/01/2001"/>
    <n v="465842"/>
    <s v="FR"/>
    <s v="CVL - Critérium National - Orleans - Hommessam 14 Déc 2024"/>
    <s v="US TOURS HALTEROPHILIE"/>
    <s v="Brahim DJALAB01/01/2001"/>
    <s v="93.7"/>
    <n v="110"/>
    <n v="115"/>
    <n v="-120"/>
    <n v="115"/>
    <n v="225"/>
    <s v="OOX"/>
    <n v="-138"/>
    <n v="-138"/>
    <n v="-138"/>
    <n v="0"/>
    <n v="0"/>
    <s v="XXX"/>
    <x v="5"/>
    <x v="0"/>
    <x v="0"/>
    <n v="115"/>
    <n v="225"/>
    <s v="135.6746304918874"/>
    <s v="265.4503640058667"/>
    <x v="0"/>
    <n v="999"/>
    <x v="18"/>
    <x v="2"/>
    <m/>
    <s v="SEN M 96"/>
    <n v="0"/>
    <x v="0"/>
    <s v="CVL - Critérium National - Orleans - Hommessam 14 Déc 2024"/>
    <s v="Critérium National - Orleans - Hommes"/>
    <s v="CVL"/>
    <d v="2024-12-14T00:00:00"/>
    <n v="2024"/>
    <n v="12"/>
    <s v="2024-12"/>
    <m/>
    <s v="2024-2025"/>
    <n v="2025"/>
    <x v="66"/>
    <x v="13"/>
    <s v="Brahim DJALAB01/01/2001"/>
    <n v="2025"/>
    <s v="295.81320036607735"/>
    <s v="289.78257569010333"/>
  </r>
  <r>
    <x v="106"/>
    <x v="106"/>
    <s v="Brandon VAUTARD09/09/1996"/>
    <n v="192457"/>
    <s v="FR"/>
    <s v="GE - Critérium National - Langres - LOR - CHAsam 14 Déc 2024"/>
    <s v="LANGRES HM"/>
    <s v="Brandon VAUTARD09/09/1996"/>
    <s v="104.8"/>
    <n v="130"/>
    <n v="137"/>
    <n v="-142"/>
    <n v="137"/>
    <n v="267"/>
    <s v="OOX"/>
    <n v="173"/>
    <n v="180"/>
    <n v="0"/>
    <n v="180"/>
    <n v="353"/>
    <s v="OOX"/>
    <x v="3"/>
    <x v="0"/>
    <x v="0"/>
    <n v="317"/>
    <n v="620"/>
    <s v="356.79293025406497"/>
    <s v="697.8284440300324"/>
    <x v="3"/>
    <n v="4"/>
    <x v="19"/>
    <x v="2"/>
    <m/>
    <s v="SEN M 109"/>
    <n v="356.79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Brandon VAUTARD09/09/1996"/>
    <n v="2025"/>
    <s v="411.3154404602152"/>
    <s v="363.36281583430167"/>
  </r>
  <r>
    <x v="107"/>
    <x v="107"/>
    <s v="Briac THOMAS23/09/2012"/>
    <n v="462442"/>
    <s v="FR"/>
    <s v="GE - Critérium National - Haguenau - ALS - U13sam 14 Déc 2024"/>
    <s v="ASPTT STRASBOURG"/>
    <s v="Briac THOMAS23/09/2012"/>
    <s v="40.72"/>
    <n v="32"/>
    <n v="34"/>
    <n v="36"/>
    <n v="36"/>
    <n v="70"/>
    <s v="OOO"/>
    <n v="40"/>
    <n v="42"/>
    <n v="44"/>
    <n v="44"/>
    <n v="86"/>
    <s v="OOO"/>
    <x v="2"/>
    <x v="0"/>
    <x v="0"/>
    <n v="80"/>
    <n v="156"/>
    <s v="171.58063669858592"/>
    <s v="334.58224156224253"/>
    <x v="0"/>
    <n v="999"/>
    <x v="6"/>
    <x v="4"/>
    <m/>
    <s v="U13 M 45"/>
    <n v="334.58"/>
    <x v="0"/>
    <s v="GE - Critérium National - Haguenau - ALS - U13sam 14 Déc 2024"/>
    <s v="Critérium National - Haguenau - ALS - U13"/>
    <s v="GE "/>
    <d v="2024-12-14T00:00:00"/>
    <n v="2024"/>
    <n v="12"/>
    <s v="2024-12"/>
    <m/>
    <s v="2024-2025"/>
    <n v="2025"/>
    <x v="38"/>
    <x v="2"/>
    <s v="Briac THOMAS23/09/2012"/>
    <n v="2025"/>
    <s v="171.58063669858592"/>
    <s v="171.58063669858592"/>
  </r>
  <r>
    <x v="108"/>
    <x v="108"/>
    <s v="Brice KHOON-YAM01/02/1996"/>
    <n v="499115"/>
    <s v="FR"/>
    <s v="REU - Critérium National - La possession - LA REUNION-CRITERIUM-LA POSSESSION-U13sam 14 Déc 2024"/>
    <s v="HALTERO CLUB DE LA POSSESSION PLIIISSS"/>
    <s v="Brice KHOON-YAM01/02/1996"/>
    <s v="87.25"/>
    <n v="102"/>
    <n v="107"/>
    <n v="111"/>
    <n v="111"/>
    <n v="218"/>
    <s v="OOO"/>
    <n v="127"/>
    <n v="-132"/>
    <n v="135"/>
    <n v="135"/>
    <n v="262"/>
    <s v="OXO"/>
    <x v="1"/>
    <x v="0"/>
    <x v="0"/>
    <n v="246"/>
    <n v="480"/>
    <s v="300.2903948353921"/>
    <s v="585.9324777275942"/>
    <x v="2"/>
    <n v="6"/>
    <x v="9"/>
    <x v="2"/>
    <m/>
    <s v="SEN M 89"/>
    <n v="300.29000000000002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67"/>
    <x v="5"/>
    <s v="Brice KHOON-YAM01/02/1996"/>
    <n v="2025"/>
    <s v="300.2903948353921"/>
    <s v="300.2903948353921"/>
  </r>
  <r>
    <x v="109"/>
    <x v="109"/>
    <s v="Calie PERROUAULT20/10/2010"/>
    <n v="479424"/>
    <s v="FR"/>
    <s v="HDF - Critérium National - Comines - U15 / U17 Femmessam 14 Déc 2024"/>
    <s v="CA ROSENDAEL"/>
    <s v="Calie PERROUAULT20/10/2010"/>
    <s v="58.35"/>
    <n v="30"/>
    <n v="32"/>
    <n v="34"/>
    <n v="34"/>
    <n v="66"/>
    <s v="OOO"/>
    <n v="42"/>
    <n v="45"/>
    <n v="-47"/>
    <n v="45"/>
    <n v="87"/>
    <s v="OOX"/>
    <x v="1"/>
    <x v="0"/>
    <x v="0"/>
    <n v="79"/>
    <n v="153"/>
    <s v="108.88801422289677"/>
    <s v="210.88438197598995"/>
    <x v="2"/>
    <n v="6"/>
    <x v="2"/>
    <x v="1"/>
    <m/>
    <s v="U15 F 59"/>
    <n v="108.88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13"/>
    <x v="8"/>
    <s v="Calie PERROUAULT20/10/2010"/>
    <n v="2025"/>
    <s v="108.88801422289677"/>
    <s v="108.88801422289677"/>
  </r>
  <r>
    <x v="110"/>
    <x v="110"/>
    <s v="Calista CHAIX31/12/2002"/>
    <n v="465962"/>
    <s v="FR"/>
    <s v="PACA - Critérium National - Mondragon - Provence U15 - U17 - U20 - SEN F 45 à F55sam 14 Déc 2024"/>
    <s v="EEAR MONTEUX"/>
    <s v="Calista CHAIX31/12/2002"/>
    <n v="47"/>
    <n v="50"/>
    <n v="52"/>
    <n v="-53"/>
    <n v="52"/>
    <n v="102"/>
    <s v="OOX"/>
    <n v="60"/>
    <n v="63"/>
    <n v="0"/>
    <n v="63"/>
    <n v="123"/>
    <s v="OOX"/>
    <x v="3"/>
    <x v="0"/>
    <x v="0"/>
    <n v="115"/>
    <n v="225"/>
    <s v="185.87370722872757"/>
    <s v="363.6659489257713"/>
    <x v="1"/>
    <n v="5"/>
    <x v="10"/>
    <x v="2"/>
    <m/>
    <s v="SEN F 49"/>
    <n v="185.87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11"/>
    <x v="0"/>
    <s v="Calista CHAIX31/12/2002"/>
    <n v="2025"/>
    <s v="185.87370722872757"/>
    <s v="185.87370722872757"/>
  </r>
  <r>
    <x v="111"/>
    <x v="111"/>
    <s v="Caly VENTUROLI30/07/2014"/>
    <n v="501308"/>
    <s v="FR"/>
    <s v="GE - Critérium National - Langres - LOR - CHAsam 14 Déc 2024"/>
    <s v="LANGRES HM"/>
    <s v="Caly VENTUROLI30/07/2014"/>
    <s v="58.9"/>
    <n v="12"/>
    <n v="13"/>
    <n v="15"/>
    <n v="15"/>
    <n v="28"/>
    <s v="OOO"/>
    <n v="16"/>
    <n v="18"/>
    <n v="20"/>
    <n v="20"/>
    <n v="38"/>
    <s v="OOO"/>
    <x v="2"/>
    <x v="0"/>
    <x v="0"/>
    <n v="35"/>
    <n v="66"/>
    <s v="47.94413213030209"/>
    <s v="90.40893487428394"/>
    <x v="0"/>
    <n v="999"/>
    <x v="2"/>
    <x v="4"/>
    <m/>
    <s v="U13 F 59"/>
    <n v="90.4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Caly VENTUROLI30/07/2014"/>
    <n v="2025"/>
    <s v="52.40627392961733"/>
    <s v="52.40627392961733"/>
  </r>
  <r>
    <x v="112"/>
    <x v="112"/>
    <s v="Camellia GONERA27/01/2012"/>
    <n v="503075"/>
    <s v="FR"/>
    <s v="HDF - Critérium National - La Ferté Milon - U13sam 14 Déc 2024"/>
    <s v="KOALA CLUB VILLERS BRETONNEUX"/>
    <s v="Camellia GONERA27/01/2012"/>
    <s v="61.04"/>
    <n v="10"/>
    <n v="12"/>
    <n v="14"/>
    <n v="14"/>
    <n v="26"/>
    <s v="OOO"/>
    <n v="12"/>
    <n v="14"/>
    <n v="16"/>
    <n v="16"/>
    <n v="30"/>
    <s v="OOO"/>
    <x v="2"/>
    <x v="0"/>
    <x v="0"/>
    <n v="30"/>
    <n v="56"/>
    <s v="40.161643032367394"/>
    <s v="74.9684003270858"/>
    <x v="0"/>
    <n v="999"/>
    <x v="7"/>
    <x v="4"/>
    <m/>
    <s v="U13 F 64"/>
    <n v="74.959999999999994"/>
    <x v="1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63"/>
    <x v="8"/>
    <s v="Camellia GONERA27/01/2012"/>
    <n v="2025"/>
    <s v="40.161643032367394"/>
    <s v="40.161643032367394"/>
  </r>
  <r>
    <x v="113"/>
    <x v="113"/>
    <s v="Camille BINETRUY01/06/2003"/>
    <n v="466517"/>
    <s v="FR"/>
    <s v="REU - Critérium National - La possession - SENIOREdim 15 Déc 2024"/>
    <s v="MAHAVELI HALTÉROPHILIE RÉUNION"/>
    <s v="Camille BINETRUY01/06/2003"/>
    <s v="58.99"/>
    <n v="-70"/>
    <n v="70"/>
    <n v="-73"/>
    <n v="70"/>
    <n v="0"/>
    <s v="XOX"/>
    <n v="85"/>
    <n v="-88"/>
    <n v="0"/>
    <n v="85"/>
    <n v="0"/>
    <s v="OXX"/>
    <x v="5"/>
    <x v="0"/>
    <x v="0"/>
    <n v="155"/>
    <n v="0"/>
    <s v="212.11164877003233"/>
    <s v="0.0"/>
    <x v="3"/>
    <n v="4"/>
    <x v="2"/>
    <x v="2"/>
    <m/>
    <s v="SEN F 59"/>
    <n v="212.11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58"/>
    <x v="5"/>
    <s v="Camille BINETRUY01/06/2003"/>
    <n v="2025"/>
    <s v="215.74829779495872"/>
    <s v="215.74829779495872"/>
  </r>
  <r>
    <x v="114"/>
    <x v="114"/>
    <s v="Camille BOYER26/07/2010"/>
    <n v="501693"/>
    <s v="FR"/>
    <s v="BRE - Critérium National - Plouhinec - Femmessam 14 Déc 2024"/>
    <s v="CROSSFIT CALLISTO"/>
    <s v="Camille BOYER26/07/2010"/>
    <s v="47.75"/>
    <n v="-33"/>
    <n v="-33"/>
    <n v="33"/>
    <n v="33"/>
    <n v="0"/>
    <s v="XXO"/>
    <n v="42"/>
    <n v="45"/>
    <n v="48"/>
    <n v="48"/>
    <n v="93"/>
    <s v="OOO"/>
    <x v="3"/>
    <x v="1"/>
    <x v="0"/>
    <n v="81"/>
    <n v="93"/>
    <s v="129.26227488090768"/>
    <s v="148.41224152993107"/>
    <x v="1"/>
    <n v="5"/>
    <x v="10"/>
    <x v="1"/>
    <m/>
    <s v="U15 F 49"/>
    <n v="129.26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12"/>
    <x v="7"/>
    <s v="Camille BOYER26/07/2010"/>
    <n v="2025"/>
    <s v="130.42239207513632"/>
    <s v="130.42239207513632"/>
  </r>
  <r>
    <x v="115"/>
    <x v="115"/>
    <s v="Camille BRAILLY01/03/2010"/>
    <n v="483074"/>
    <s v="FR"/>
    <s v="HDF - Critérium National - La ferte milon - U15 Femmessam 14 Déc 2024"/>
    <s v="ADAPTAFORME"/>
    <s v="Camille BRAILLY01/03/2010"/>
    <s v="54.72"/>
    <n v="40"/>
    <n v="42"/>
    <n v="44"/>
    <n v="44"/>
    <n v="86"/>
    <s v="OOO"/>
    <n v="50"/>
    <n v="53"/>
    <n v="-56"/>
    <n v="53"/>
    <n v="103"/>
    <s v="OOX"/>
    <x v="1"/>
    <x v="0"/>
    <x v="0"/>
    <n v="97"/>
    <n v="189"/>
    <s v="139.7052555153142"/>
    <s v="272.2092091999421"/>
    <x v="1"/>
    <n v="5"/>
    <x v="1"/>
    <x v="1"/>
    <m/>
    <s v="U15 F 55"/>
    <n v="139.69999999999999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68"/>
    <x v="8"/>
    <s v="Camille BRAILLY01/03/2010"/>
    <n v="2025"/>
    <s v="139.7052555153142"/>
    <s v="139.7052555153142"/>
  </r>
  <r>
    <x v="116"/>
    <x v="116"/>
    <s v="Camille CHABRE12/02/2001"/>
    <n v="503659"/>
    <s v="FR"/>
    <s v="REU - Critérium National - La possession - SENIOREdim 15 Déc 2024"/>
    <s v="SCHM SAINT PAUL"/>
    <s v="Camille CHABRE12/02/2001"/>
    <s v="58.32"/>
    <n v="48"/>
    <n v="52"/>
    <n v="55"/>
    <n v="55"/>
    <n v="107"/>
    <s v="OOO"/>
    <n v="68"/>
    <n v="-72"/>
    <n v="-72"/>
    <n v="68"/>
    <n v="0"/>
    <s v="OXX"/>
    <x v="3"/>
    <x v="0"/>
    <x v="0"/>
    <n v="123"/>
    <n v="107"/>
    <s v="169.59227498202557"/>
    <s v="147.5314912445263"/>
    <x v="2"/>
    <n v="6"/>
    <x v="2"/>
    <x v="2"/>
    <m/>
    <s v="SEN F 59"/>
    <n v="169.59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7"/>
    <x v="5"/>
    <s v="Camille CHABRE12/02/2001"/>
    <n v="2025"/>
    <s v="169.59227498202557"/>
    <s v="169.59227498202557"/>
  </r>
  <r>
    <x v="117"/>
    <x v="117"/>
    <s v="Camille CHOURRET23/06/2012"/>
    <n v="495990"/>
    <s v="FR"/>
    <s v="CVL - Critérium National - Orleans - Minimessam 14 Déc 2024"/>
    <s v="CLUB DES STAGIAIRES"/>
    <s v="Camille CHOURRET23/06/2012"/>
    <s v="48.3"/>
    <n v="24"/>
    <n v="26"/>
    <n v="28"/>
    <n v="28"/>
    <n v="54"/>
    <s v="OOO"/>
    <n v="30"/>
    <n v="32"/>
    <n v="34"/>
    <n v="34"/>
    <n v="66"/>
    <s v="OOO"/>
    <x v="2"/>
    <x v="0"/>
    <x v="0"/>
    <n v="62"/>
    <n v="120"/>
    <s v="113.54704313712324"/>
    <s v="219.76847058798046"/>
    <x v="0"/>
    <n v="999"/>
    <x v="10"/>
    <x v="4"/>
    <m/>
    <s v="U13 M 49"/>
    <n v="219.76"/>
    <x v="0"/>
    <s v="CVL - Critérium National - Orleans - Minimessam 14 Déc 2024"/>
    <s v="Critérium National - Orleans - Minimes"/>
    <s v="CVL"/>
    <d v="2024-12-14T00:00:00"/>
    <n v="2024"/>
    <n v="12"/>
    <s v="2024-12"/>
    <m/>
    <s v="2024-2025"/>
    <n v="2025"/>
    <x v="69"/>
    <x v="13"/>
    <s v="Camille CHOURRET23/06/2012"/>
    <n v="2025"/>
    <s v="113.54704313712324"/>
    <s v="113.54704313712324"/>
  </r>
  <r>
    <x v="118"/>
    <x v="118"/>
    <s v="Camille FAUCHER13/02/2001"/>
    <n v="401200"/>
    <s v="FR"/>
    <s v="IDF - Critérium National - Neuilly - Seniors Hommes 3ème plateausam 14 Déc 2024"/>
    <s v="RUEIL ATHLETIC CLUB"/>
    <s v="Camille FAUCHER13/02/2001"/>
    <s v="72.9"/>
    <n v="112"/>
    <n v="116"/>
    <n v="120"/>
    <n v="120"/>
    <n v="236"/>
    <s v="OOO"/>
    <n v="140"/>
    <n v="-146"/>
    <n v="0"/>
    <n v="140"/>
    <n v="0"/>
    <s v="OXX"/>
    <x v="3"/>
    <x v="0"/>
    <x v="0"/>
    <n v="260"/>
    <n v="236"/>
    <s v="350.77618001522245"/>
    <s v="318.3968403215096"/>
    <x v="3"/>
    <n v="4"/>
    <x v="5"/>
    <x v="2"/>
    <m/>
    <s v="SEN M 73"/>
    <n v="350.77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57"/>
    <x v="3"/>
    <s v="Camille FAUCHER13/02/2001"/>
    <n v="2025"/>
    <s v="350.77618001522245"/>
    <s v="350.77618001522245"/>
  </r>
  <r>
    <x v="119"/>
    <x v="119"/>
    <s v="Camille FERRANDIN20/02/2012"/>
    <n v="490627"/>
    <s v="FR"/>
    <s v="PDL - Critérium National - Laval - U10 -U13sam 14 Déc 2024"/>
    <s v="CA EVRON 53 HALTEROPHILIE"/>
    <s v="Camille FERRANDIN20/02/2012"/>
    <s v="41.42"/>
    <n v="17"/>
    <n v="19"/>
    <n v="-21"/>
    <n v="19"/>
    <n v="36"/>
    <s v="OOX"/>
    <n v="24"/>
    <n v="26"/>
    <n v="-28"/>
    <n v="26"/>
    <n v="50"/>
    <s v="OOX"/>
    <x v="3"/>
    <x v="0"/>
    <x v="0"/>
    <n v="45"/>
    <n v="86"/>
    <s v="81.01654400093167"/>
    <s v="154.83161742400276"/>
    <x v="0"/>
    <n v="999"/>
    <x v="6"/>
    <x v="4"/>
    <m/>
    <s v="U13 F 45"/>
    <n v="154.83000000000001"/>
    <x v="1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27"/>
    <x v="10"/>
    <s v="Camille FERRANDIN20/02/2012"/>
    <n v="2025"/>
    <s v="82.95410503576345"/>
    <s v="81.01654400093167"/>
  </r>
  <r>
    <x v="120"/>
    <x v="120"/>
    <s v="Camille GARNIER03/04/2006"/>
    <n v="431163"/>
    <s v="FR"/>
    <s v="PDL - Critérium National - Laval - U15 au U20 Fdim 15 Déc 2024"/>
    <s v="CJF LAVAL VOUTRE HALTERO 53"/>
    <s v="Camille GARNIER03/04/2006"/>
    <s v="57.38"/>
    <n v="50"/>
    <n v="-53"/>
    <n v="-53"/>
    <n v="50"/>
    <n v="0"/>
    <s v="OXX"/>
    <n v="63"/>
    <n v="-65"/>
    <n v="-65"/>
    <n v="63"/>
    <n v="0"/>
    <s v="OXX"/>
    <x v="5"/>
    <x v="0"/>
    <x v="0"/>
    <n v="113"/>
    <n v="0"/>
    <s v="157.5052885787684"/>
    <s v="0.0"/>
    <x v="2"/>
    <n v="6"/>
    <x v="2"/>
    <x v="0"/>
    <m/>
    <s v="U20 F 59"/>
    <n v="157.5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43"/>
    <x v="10"/>
    <s v="Camille GARNIER03/04/2006"/>
    <n v="2025"/>
    <s v="167.40736046232237"/>
    <s v="160.21777276856523"/>
  </r>
  <r>
    <x v="121"/>
    <x v="121"/>
    <s v="Camille GIORDANO30/08/1996"/>
    <n v="468855"/>
    <s v="FR"/>
    <s v="AURA - Critérium National - Vaulx en velin - PLATEAU 1  SENIOR FEMININESdim 15 Déc 2024"/>
    <s v="AL CHARLIEU"/>
    <s v="Camille GIORDANO30/08/1996"/>
    <s v="54.1"/>
    <n v="50"/>
    <n v="-54"/>
    <n v="-55"/>
    <n v="50"/>
    <n v="0"/>
    <s v="OXX"/>
    <n v="63"/>
    <n v="67"/>
    <n v="70"/>
    <n v="70"/>
    <n v="137"/>
    <s v="OOO"/>
    <x v="3"/>
    <x v="0"/>
    <x v="0"/>
    <n v="120"/>
    <n v="137"/>
    <s v="174.23547663144865"/>
    <s v="198.91883582090387"/>
    <x v="2"/>
    <n v="6"/>
    <x v="1"/>
    <x v="2"/>
    <m/>
    <s v="SEN F 55"/>
    <n v="174.23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48"/>
    <x v="4"/>
    <s v="Camille GIORDANO30/08/1996"/>
    <n v="2025"/>
    <s v="175.68743893671072"/>
    <s v="175.68743893671072"/>
  </r>
  <r>
    <x v="122"/>
    <x v="122"/>
    <s v="Camille JOUNIAUX06/01/1997"/>
    <n v="454904"/>
    <s v="FR"/>
    <s v="OCC - Critérium National - Hc montalbanais - Plateau 3sam 14 Déc 2024"/>
    <s v="POWERCAMP BORDEAUX HALTEROPHILIE"/>
    <s v="Camille JOUNIAUX06/01/1997"/>
    <s v="56.5"/>
    <n v="-76"/>
    <n v="77"/>
    <n v="-81"/>
    <n v="77"/>
    <n v="0"/>
    <s v="XOX"/>
    <n v="86"/>
    <n v="90"/>
    <n v="-93"/>
    <n v="90"/>
    <n v="176"/>
    <s v="OOX"/>
    <x v="0"/>
    <x v="0"/>
    <x v="0"/>
    <n v="167"/>
    <n v="176"/>
    <s v="235.22917552290923"/>
    <s v="247.9061969582756"/>
    <x v="3"/>
    <n v="4"/>
    <x v="2"/>
    <x v="2"/>
    <m/>
    <s v="SEN F 59"/>
    <n v="235.22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70"/>
    <x v="12"/>
    <s v="Camille JOUNIAUX06/01/1997"/>
    <n v="2025"/>
    <s v="255.4461882194451"/>
    <s v="235.22917552290923"/>
  </r>
  <r>
    <x v="123"/>
    <x v="123"/>
    <s v="Camille MOUNIER15/07/1993"/>
    <n v="450296"/>
    <s v="FR"/>
    <s v="AURA - Critérium National - Vaulx en velin - PLATEAU 2  SENIOR FEMININESdim 15 Déc 2024"/>
    <s v="CH ARBRESLE"/>
    <s v="Camille MOUNIER15/07/1993"/>
    <s v="58.5"/>
    <n v="66"/>
    <n v="69"/>
    <n v="-72"/>
    <n v="69"/>
    <n v="135"/>
    <s v="OOX"/>
    <n v="86"/>
    <n v="90"/>
    <n v="-93"/>
    <n v="90"/>
    <n v="176"/>
    <s v="OOX"/>
    <x v="3"/>
    <x v="0"/>
    <x v="0"/>
    <n v="159"/>
    <n v="311"/>
    <s v="218.78250147308037"/>
    <s v="427.933068919044"/>
    <x v="3"/>
    <n v="4"/>
    <x v="2"/>
    <x v="2"/>
    <m/>
    <s v="SEN F 59"/>
    <n v="218.78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71"/>
    <x v="4"/>
    <s v="Camille MOUNIER15/07/1993"/>
    <n v="2025"/>
    <s v="227.9009543245147"/>
    <s v="218.78250147308037"/>
  </r>
  <r>
    <x v="124"/>
    <x v="124"/>
    <s v="Camille PEREIRA16/01/1993"/>
    <n v="433932"/>
    <s v="FR"/>
    <s v="IDF - Critérium National - Franconville - Seniors Femmes 2ème plateausam 14 Déc 2024"/>
    <s v="CSM GENNEVILLOIS HALTEROPHILIE"/>
    <s v="Camille PEREIRA16/01/1993"/>
    <s v="69.8"/>
    <n v="-68"/>
    <n v="68"/>
    <n v="-70"/>
    <n v="68"/>
    <n v="0"/>
    <s v="XOX"/>
    <n v="-84"/>
    <n v="84"/>
    <n v="-88"/>
    <n v="84"/>
    <n v="0"/>
    <s v="XOX"/>
    <x v="5"/>
    <x v="0"/>
    <x v="0"/>
    <n v="152"/>
    <n v="0"/>
    <s v="188.1147199591273"/>
    <s v="0.0"/>
    <x v="1"/>
    <n v="5"/>
    <x v="3"/>
    <x v="2"/>
    <m/>
    <s v="SEN F 71"/>
    <n v="188.11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61"/>
    <x v="3"/>
    <s v="Camille PEREIRA16/01/1993"/>
    <n v="2025"/>
    <s v="189.42063754415028"/>
    <s v="188.1147199591273"/>
  </r>
  <r>
    <x v="125"/>
    <x v="125"/>
    <s v="Camille PILARDEAU01/04/1994"/>
    <n v="502107"/>
    <s v="FR"/>
    <s v="REU - Critérium National - La possession - SENIOREdim 15 Déc 2024"/>
    <s v="TEAM LA FOURNAISE LIFTER"/>
    <s v="Camille PILARDEAU01/04/1994"/>
    <s v="77.06"/>
    <n v="58"/>
    <n v="61"/>
    <n v="64"/>
    <n v="64"/>
    <n v="125"/>
    <s v="OOO"/>
    <n v="82"/>
    <n v="88"/>
    <n v="-93"/>
    <n v="88"/>
    <n v="170"/>
    <s v="OOX"/>
    <x v="1"/>
    <x v="0"/>
    <x v="0"/>
    <n v="152"/>
    <n v="295"/>
    <s v="178.92736279097127"/>
    <s v="347.26034225879295"/>
    <x v="2"/>
    <n v="6"/>
    <x v="4"/>
    <x v="2"/>
    <m/>
    <s v="SEN F 81"/>
    <n v="178.92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72"/>
    <x v="5"/>
    <s v="Camille PILARDEAU01/04/1994"/>
    <n v="2025"/>
    <s v="190.32174876076743"/>
    <s v="190.32174876076743"/>
  </r>
  <r>
    <x v="126"/>
    <x v="126"/>
    <s v="Camille TABARIES06/03/2000"/>
    <n v="466158"/>
    <s v="FR"/>
    <s v="AURA - Critérium National - Vaulx en velin - PLATEAU 3  SENIOR FEMININESdim 15 Déc 2024"/>
    <s v="ASL DUMONT D URVILLE"/>
    <s v="Camille TABARIES06/03/2000"/>
    <s v="75.6"/>
    <n v="70"/>
    <n v="73"/>
    <n v="-75"/>
    <n v="73"/>
    <n v="143"/>
    <s v="OOX"/>
    <n v="90"/>
    <n v="-98"/>
    <n v="100"/>
    <n v="100"/>
    <n v="190"/>
    <s v="OXO"/>
    <x v="3"/>
    <x v="0"/>
    <x v="0"/>
    <n v="173"/>
    <n v="333"/>
    <s v="205.5210688561596"/>
    <s v="395.5983579716829"/>
    <x v="1"/>
    <n v="5"/>
    <x v="15"/>
    <x v="2"/>
    <m/>
    <s v="SEN F 76"/>
    <n v="205.52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0"/>
    <x v="0"/>
    <s v="Camille TABARIES06/03/2000"/>
    <n v="2025"/>
    <s v="214.47702400683602"/>
    <s v="205.5210688561596"/>
  </r>
  <r>
    <x v="127"/>
    <x v="127"/>
    <s v="Cammille BORSANI11/02/2010"/>
    <n v="490489"/>
    <s v="FR"/>
    <s v="OCC - Critérium National - Hc montalbanais - Plateau 3sam 14 Déc 2024"/>
    <s v="HC MONTALBANAIS"/>
    <s v="Cammille BORSANI11/02/2010"/>
    <s v="47.6"/>
    <n v="-28"/>
    <n v="-28"/>
    <n v="-28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10"/>
    <x v="1"/>
    <m/>
    <s v="U15 F 49"/>
    <n v="0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39"/>
    <x v="1"/>
    <s v="Cammille BORSANI11/02/2010"/>
    <n v="2025"/>
    <s v="112.24746195530926"/>
    <s v="0.0"/>
  </r>
  <r>
    <x v="128"/>
    <x v="128"/>
    <s v="Capucine NOIRON09/09/1998"/>
    <n v="467709"/>
    <s v="FR"/>
    <s v="HDF - Critérium National - La ferte milon - U17 / U20 / Seniors Femmessam 14 Déc 2024"/>
    <s v="CEHT HIRSON"/>
    <s v="Capucine NOIRON09/09/1998"/>
    <n v="59"/>
    <n v="68"/>
    <n v="72"/>
    <n v="-75"/>
    <n v="72"/>
    <n v="140"/>
    <s v="OOX"/>
    <n v="85"/>
    <n v="90"/>
    <n v="-93"/>
    <n v="90"/>
    <n v="175"/>
    <s v="OOX"/>
    <x v="3"/>
    <x v="0"/>
    <x v="0"/>
    <n v="162"/>
    <n v="315"/>
    <s v="221.6662791712157"/>
    <s v="431.01776505514164"/>
    <x v="3"/>
    <n v="4"/>
    <x v="2"/>
    <x v="2"/>
    <m/>
    <s v="SEN F 59"/>
    <n v="221.66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25"/>
    <x v="8"/>
    <s v="Capucine NOIRON09/09/1998"/>
    <n v="2025"/>
    <s v="227.73917623600363"/>
    <s v="221.6662791712157"/>
  </r>
  <r>
    <x v="129"/>
    <x v="129"/>
    <s v="Capucine VAGLIO01/10/2013"/>
    <n v="497511"/>
    <s v="FR"/>
    <s v="REU - Critérium National - La possession - LA REUNION-CRITERIUM-LA POSSESSION-U13sam 14 Déc 2024"/>
    <s v="CLUB HALTEROPHILIE RAPTOR"/>
    <s v="Capucine VAGLIO01/10/2013"/>
    <s v="30.96"/>
    <n v="13"/>
    <n v="14"/>
    <n v="15"/>
    <n v="15"/>
    <n v="29"/>
    <s v="OOO"/>
    <n v="18"/>
    <n v="20"/>
    <n v="22"/>
    <n v="22"/>
    <n v="42"/>
    <s v="OOO"/>
    <x v="2"/>
    <x v="0"/>
    <x v="0"/>
    <n v="37"/>
    <n v="71"/>
    <s v="89.0177077168304"/>
    <s v="170.8177634566205"/>
    <x v="0"/>
    <n v="999"/>
    <x v="14"/>
    <x v="4"/>
    <m/>
    <s v="U13 F 35"/>
    <n v="170.81"/>
    <x v="1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73"/>
    <x v="5"/>
    <s v="Capucine VAGLIO01/10/2013"/>
    <n v="2025"/>
    <s v="89.0177077168304"/>
    <s v="89.0177077168304"/>
  </r>
  <r>
    <x v="130"/>
    <x v="130"/>
    <s v="Carla DALIA18/04/2003"/>
    <n v="454020"/>
    <s v="FR"/>
    <s v="PACA - Critérium National - Mondragon - Provence F59 à F&gt;87sam 14 Déc 2024"/>
    <s v="CHC MONDRAGON"/>
    <s v="Carla DALIA18/04/2003"/>
    <s v="85.2"/>
    <n v="-65"/>
    <n v="65"/>
    <n v="70"/>
    <n v="70"/>
    <n v="135"/>
    <s v="XOO"/>
    <n v="84"/>
    <n v="90"/>
    <n v="94"/>
    <n v="94"/>
    <n v="184"/>
    <s v="OOO"/>
    <x v="1"/>
    <x v="0"/>
    <x v="0"/>
    <n v="164"/>
    <n v="319"/>
    <s v="184.74826687348147"/>
    <s v="359.3579093453694"/>
    <x v="1"/>
    <n v="5"/>
    <x v="20"/>
    <x v="2"/>
    <m/>
    <s v="SEN F 87"/>
    <n v="184.74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74"/>
    <x v="0"/>
    <s v="Carla DALIA18/04/2003"/>
    <n v="2025"/>
    <s v="195.6418830417655"/>
    <s v="184.74826687348147"/>
  </r>
  <r>
    <x v="131"/>
    <x v="131"/>
    <s v="Carla LUCAS09/02/2001"/>
    <n v="483771"/>
    <s v="FR"/>
    <s v="PDL - Critérium National - Laval - seniors Fsam 14 Déc 2024"/>
    <s v="GRAVITY HALTEROPHILIE"/>
    <s v="Carla LUCAS09/02/2001"/>
    <s v="57.27"/>
    <n v="-60"/>
    <n v="60"/>
    <n v="65"/>
    <n v="65"/>
    <n v="125"/>
    <s v="XOO"/>
    <n v="-70"/>
    <n v="70"/>
    <n v="-75"/>
    <n v="70"/>
    <n v="0"/>
    <s v="XOX"/>
    <x v="0"/>
    <x v="0"/>
    <x v="0"/>
    <n v="135"/>
    <n v="125"/>
    <s v="188.4137202214336"/>
    <s v="174.45714835317926"/>
    <x v="2"/>
    <n v="6"/>
    <x v="2"/>
    <x v="2"/>
    <m/>
    <s v="SEN F 59"/>
    <n v="188.41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75"/>
    <x v="10"/>
    <s v="Carla LUCAS09/02/2001"/>
    <n v="2025"/>
    <s v="188.4137202214336"/>
    <s v="188.4137202214336"/>
  </r>
  <r>
    <x v="132"/>
    <x v="132"/>
    <s v="Carla MATEOS10/08/2006"/>
    <n v="461827"/>
    <s v="FR"/>
    <s v="PACA - Critérium National - Toulon - SUD PACA TOULON COTE AZURven 13 Déc 2024"/>
    <s v="ASL DUMONT D URVILLE"/>
    <s v="Carla MATEOS10/08/2006"/>
    <n v="59"/>
    <n v="58"/>
    <n v="60"/>
    <n v="62"/>
    <n v="62"/>
    <n v="122"/>
    <s v="OOO"/>
    <n v="68"/>
    <n v="71"/>
    <n v="-74"/>
    <n v="71"/>
    <n v="139"/>
    <s v="OOX"/>
    <x v="1"/>
    <x v="0"/>
    <x v="0"/>
    <n v="133"/>
    <n v="261"/>
    <s v="181.98527857883758"/>
    <s v="357.1290053314031"/>
    <x v="3"/>
    <n v="4"/>
    <x v="2"/>
    <x v="0"/>
    <m/>
    <s v="U20 F 59"/>
    <n v="181.98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Carla MATEOS10/08/2006"/>
    <n v="2025"/>
    <s v="205.41770986146406"/>
    <s v="181.98527857883758"/>
  </r>
  <r>
    <x v="133"/>
    <x v="133"/>
    <s v="Carla MURER02/11/2004"/>
    <n v="493399"/>
    <s v="FR"/>
    <s v="NDIE - Critérium National - Caen - Plateau Elite fémininsam 14 Déc 2024"/>
    <s v="CHM ANGERIEN"/>
    <s v="Carla MURER02/11/2004"/>
    <s v="69.1"/>
    <n v="69"/>
    <n v="73"/>
    <n v="-76"/>
    <n v="73"/>
    <n v="142"/>
    <s v="OOX"/>
    <n v="87"/>
    <n v="-92"/>
    <n v="-95"/>
    <n v="87"/>
    <n v="0"/>
    <s v="OXX"/>
    <x v="0"/>
    <x v="0"/>
    <x v="0"/>
    <n v="160"/>
    <n v="142"/>
    <s v="199.10281161440827"/>
    <s v="176.70374530778736"/>
    <x v="1"/>
    <n v="5"/>
    <x v="3"/>
    <x v="2"/>
    <m/>
    <s v="SEN F 71"/>
    <n v="199.1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52"/>
    <x v="12"/>
    <s v="Carla MURER02/11/2004"/>
    <n v="2025"/>
    <s v="203.75873408976736"/>
    <s v="203.75873408976736"/>
  </r>
  <r>
    <x v="134"/>
    <x v="134"/>
    <s v="Caroline BIGNON27/11/1990"/>
    <n v="491994"/>
    <s v="FR"/>
    <s v="IDF - Critérium National - Franconville - Seniors Femmes 1er plateausam 14 Déc 2024"/>
    <s v="VGA ST MAUR HALTEROPHILIE"/>
    <s v="Caroline BIGNON27/11/1990"/>
    <s v="54.3"/>
    <n v="50"/>
    <n v="-55"/>
    <n v="-55"/>
    <n v="50"/>
    <n v="0"/>
    <s v="OXX"/>
    <n v="60"/>
    <n v="-63"/>
    <n v="63"/>
    <n v="63"/>
    <n v="123"/>
    <s v="OXO"/>
    <x v="0"/>
    <x v="0"/>
    <x v="0"/>
    <n v="113"/>
    <n v="123"/>
    <s v="163.6407751109655"/>
    <s v="178.1222596340598"/>
    <x v="2"/>
    <n v="6"/>
    <x v="1"/>
    <x v="2"/>
    <n v="35"/>
    <s v="SEN F 55"/>
    <n v="163.63999999999999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3"/>
    <x v="3"/>
    <s v="Caroline BIGNON27/11/1990"/>
    <n v="2025"/>
    <s v="170.2147119647603"/>
    <s v="163.6407751109655"/>
  </r>
  <r>
    <x v="135"/>
    <x v="135"/>
    <s v="Caroline CORNIL29/02/1988"/>
    <n v="480979"/>
    <s v="FR"/>
    <s v="OCC - Critérium National - Hc montalbanais - Plateau 1sam 14 Déc 2024"/>
    <s v="OCCITAN BARBELL CREW"/>
    <s v="Caroline CORNIL29/02/1988"/>
    <s v="68.5"/>
    <n v="60"/>
    <n v="64"/>
    <n v="67"/>
    <n v="67"/>
    <n v="131"/>
    <s v="OOO"/>
    <n v="77"/>
    <n v="81"/>
    <n v="85"/>
    <n v="85"/>
    <n v="166"/>
    <s v="OOO"/>
    <x v="2"/>
    <x v="0"/>
    <x v="0"/>
    <n v="152"/>
    <n v="297"/>
    <s v="190.0566467470969"/>
    <s v="371.36068476241957"/>
    <x v="1"/>
    <n v="5"/>
    <x v="3"/>
    <x v="2"/>
    <n v="35"/>
    <s v="SEN F 71"/>
    <n v="190.05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14"/>
    <x v="1"/>
    <s v="Caroline CORNIL29/02/1988"/>
    <n v="2025"/>
    <s v="190.0566467470969"/>
    <s v="190.0566467470969"/>
  </r>
  <r>
    <x v="136"/>
    <x v="136"/>
    <s v="Caroline GROSJEAN13/03/1995"/>
    <n v="505184"/>
    <s v="BE"/>
    <s v="HDF - Critérium National - Comines - U20 - Seniors Femmessam 14 Déc 2024"/>
    <s v="CA ROSENDAEL"/>
    <s v="Caroline GROSJEAN13/03/1995"/>
    <s v="69.74"/>
    <n v="60"/>
    <n v="65"/>
    <n v="-70"/>
    <n v="65"/>
    <n v="125"/>
    <s v="OOX"/>
    <n v="73"/>
    <n v="78"/>
    <n v="83"/>
    <n v="83"/>
    <n v="161"/>
    <s v="OOO"/>
    <x v="1"/>
    <x v="0"/>
    <x v="0"/>
    <n v="148"/>
    <n v="286"/>
    <s v="183.2494338496889"/>
    <s v="354.1171491960204"/>
    <x v="2"/>
    <n v="6"/>
    <x v="3"/>
    <x v="2"/>
    <m/>
    <s v="SEN F 71"/>
    <n v="183.24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13"/>
    <x v="8"/>
    <s v="Caroline GROSJEAN13/03/1995"/>
    <n v="2025"/>
    <s v="186.2184900248914"/>
    <s v="186.2184900248914"/>
  </r>
  <r>
    <x v="137"/>
    <x v="137"/>
    <s v="Cassandre CHASSIGNOLE23/12/1996"/>
    <n v="485027"/>
    <s v="FR"/>
    <s v="AURA - Critérium National - Vaulx en velin - PLATEAU 3  SENIOR FEMININESdim 15 Déc 2024"/>
    <s v="ELITE BARBELL VAULX EN VELIN"/>
    <s v="Cassandre CHASSIGNOLE23/12/1996"/>
    <s v="73.7"/>
    <n v="67"/>
    <n v="70"/>
    <n v="-73"/>
    <n v="70"/>
    <n v="137"/>
    <s v="OOX"/>
    <n v="87"/>
    <n v="-90"/>
    <n v="90"/>
    <n v="90"/>
    <n v="177"/>
    <s v="OXO"/>
    <x v="3"/>
    <x v="0"/>
    <x v="0"/>
    <n v="160"/>
    <n v="314"/>
    <s v="192.48235202758292"/>
    <s v="377.74661585413145"/>
    <x v="1"/>
    <n v="5"/>
    <x v="15"/>
    <x v="2"/>
    <m/>
    <s v="SEN F 76"/>
    <n v="192.48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76"/>
    <x v="4"/>
    <s v="Cassandre CHASSIGNOLE23/12/1996"/>
    <n v="2025"/>
    <s v="194.0952101160265"/>
    <s v="192.48235202758292"/>
  </r>
  <r>
    <x v="138"/>
    <x v="138"/>
    <s v="Caterina SPERONI27/11/2010"/>
    <n v="501380"/>
    <s v="FR"/>
    <s v="PACA - Critérium National - Mondragon - Provence U15 - U17 - U20 - SEN F 45 à F55sam 14 Déc 2024"/>
    <s v="HM SAINTE TULLE"/>
    <s v="Caterina SPERONI27/11/2010"/>
    <s v="50.35"/>
    <n v="-45"/>
    <n v="45"/>
    <n v="48"/>
    <n v="48"/>
    <n v="93"/>
    <s v="XOO"/>
    <n v="52"/>
    <n v="56"/>
    <n v="-59"/>
    <n v="56"/>
    <n v="108"/>
    <s v="OOX"/>
    <x v="3"/>
    <x v="0"/>
    <x v="0"/>
    <n v="104"/>
    <n v="201"/>
    <s v="159.2321718572853"/>
    <s v="307.7467936857148"/>
    <x v="3"/>
    <n v="4"/>
    <x v="1"/>
    <x v="1"/>
    <m/>
    <s v="U15 F 55"/>
    <n v="159.22999999999999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77"/>
    <x v="0"/>
    <s v="Caterina SPERONI27/11/2010"/>
    <n v="2025"/>
    <s v="159.2321718572853"/>
    <s v="159.2321718572853"/>
  </r>
  <r>
    <x v="139"/>
    <x v="139"/>
    <s v="Cathie LEROY10/07/2008"/>
    <n v="496947"/>
    <s v="FR"/>
    <s v="IDF - Critérium National - Franconville - Jeunes Femmesdim 15 Déc 2024"/>
    <s v="AFHMA FRANCONVILLE"/>
    <s v="Cathie LEROY10/07/2008"/>
    <s v="51.4"/>
    <n v="35"/>
    <n v="38"/>
    <n v="-40"/>
    <n v="38"/>
    <n v="73"/>
    <s v="OOX"/>
    <n v="45"/>
    <n v="49"/>
    <n v="-52"/>
    <n v="49"/>
    <n v="94"/>
    <s v="OOX"/>
    <x v="3"/>
    <x v="0"/>
    <x v="0"/>
    <n v="87"/>
    <n v="167"/>
    <s v="131.1413026914562"/>
    <s v="251.7310063157837"/>
    <x v="2"/>
    <n v="6"/>
    <x v="1"/>
    <x v="3"/>
    <m/>
    <s v="U17 F 55"/>
    <n v="131.13999999999999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4"/>
    <x v="3"/>
    <s v="Cathie LEROY10/07/2008"/>
    <n v="2025"/>
    <s v="131.1413026914562"/>
    <s v="131.1413026914562"/>
  </r>
  <r>
    <x v="140"/>
    <x v="140"/>
    <s v="Cecile PENE18/08/1983"/>
    <n v="421306"/>
    <s v="FR"/>
    <s v="NDIE - Critérium National - Caen - Plateau B fémininsam 14 Déc 2024"/>
    <s v="CHM LE TRAIT"/>
    <s v="Cecile PENE18/08/1983"/>
    <n v="56"/>
    <n v="50"/>
    <n v="52"/>
    <n v="53"/>
    <n v="53"/>
    <n v="105"/>
    <s v="OOO"/>
    <n v="63"/>
    <n v="66"/>
    <n v="68"/>
    <n v="68"/>
    <n v="134"/>
    <s v="OOO"/>
    <x v="2"/>
    <x v="0"/>
    <x v="0"/>
    <n v="121"/>
    <n v="239"/>
    <s v="171.4800978486099"/>
    <s v="338.7086230232873"/>
    <x v="2"/>
    <n v="6"/>
    <x v="2"/>
    <x v="2"/>
    <n v="40"/>
    <s v="SEN F 59"/>
    <n v="171.48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15"/>
    <x v="9"/>
    <s v="Cecile PENE18/08/1983"/>
    <n v="2025"/>
    <s v="171.4800978486099"/>
    <s v="171.4800978486099"/>
  </r>
  <r>
    <x v="141"/>
    <x v="141"/>
    <s v="Cécile SITTER26/03/1984"/>
    <n v="430046"/>
    <s v="FR"/>
    <s v="HDF - Critérium National - La ferte milon - U17 / U20 / Seniors Femmessam 14 Déc 2024"/>
    <s v="KOALA CLUB VILLERS BRETONNEUX"/>
    <s v="Cécile SITTER26/03/1984"/>
    <s v="45.4"/>
    <n v="-47"/>
    <n v="47"/>
    <n v="-50"/>
    <n v="47"/>
    <n v="0"/>
    <s v="XOX"/>
    <n v="55"/>
    <n v="57"/>
    <n v="-60"/>
    <n v="57"/>
    <n v="112"/>
    <s v="OOX"/>
    <x v="0"/>
    <x v="0"/>
    <x v="0"/>
    <n v="104"/>
    <n v="112"/>
    <s v="172.94920502753814"/>
    <s v="186.25299002965647"/>
    <x v="2"/>
    <n v="6"/>
    <x v="10"/>
    <x v="2"/>
    <n v="40"/>
    <s v="SEN F 49"/>
    <n v="172.94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63"/>
    <x v="8"/>
    <s v="Cécile SITTER26/03/1984"/>
    <n v="2025"/>
    <s v="195.80712658128786"/>
    <s v="184.2868778370749"/>
  </r>
  <r>
    <x v="142"/>
    <x v="142"/>
    <s v="Celeste SIKORA26/05/2009"/>
    <n v="475378"/>
    <s v="FR"/>
    <s v="GE - Critérium National - Langres - LOR - CHAsam 14 Déc 2024"/>
    <s v="LANGRES HM"/>
    <s v="Celeste SIKORA26/05/2009"/>
    <s v="53.9"/>
    <n v="47"/>
    <n v="50"/>
    <n v="-53"/>
    <n v="50"/>
    <n v="97"/>
    <s v="OOX"/>
    <n v="60"/>
    <n v="63"/>
    <n v="65"/>
    <n v="65"/>
    <n v="128"/>
    <s v="OOO"/>
    <x v="1"/>
    <x v="0"/>
    <x v="0"/>
    <n v="115"/>
    <n v="225"/>
    <s v="167.418611111683"/>
    <s v="327.5581521750319"/>
    <x v="3"/>
    <n v="4"/>
    <x v="1"/>
    <x v="3"/>
    <m/>
    <s v="U17 F 55"/>
    <n v="167.41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Celeste SIKORA26/05/2009"/>
    <n v="2025"/>
    <s v="168.34050542232373"/>
    <s v="168.34050542232373"/>
  </r>
  <r>
    <x v="143"/>
    <x v="143"/>
    <s v="Celia CHAPELLE20/06/1991"/>
    <n v="462019"/>
    <s v="FR"/>
    <s v="IDF - Critérium National - Neuilly-sur-seinesam 14 Déc 2024"/>
    <s v="RUEIL ATHLETIC CLUB"/>
    <s v="Celia CHAPELLE20/06/1991"/>
    <n v="59"/>
    <n v="-64"/>
    <n v="64"/>
    <n v="-67"/>
    <n v="64"/>
    <n v="0"/>
    <s v="XOX"/>
    <n v="-84"/>
    <n v="84"/>
    <n v="-87"/>
    <n v="84"/>
    <n v="0"/>
    <s v="XOX"/>
    <x v="5"/>
    <x v="0"/>
    <x v="0"/>
    <n v="148"/>
    <n v="0"/>
    <s v="202.50993405765385"/>
    <s v="0.0"/>
    <x v="1"/>
    <n v="5"/>
    <x v="2"/>
    <x v="2"/>
    <m/>
    <s v="SEN F 59"/>
    <n v="202.5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57"/>
    <x v="3"/>
    <s v="Celia CHAPELLE20/06/1991"/>
    <n v="2025"/>
    <s v="202.50993405765385"/>
    <s v="202.50993405765385"/>
  </r>
  <r>
    <x v="144"/>
    <x v="125"/>
    <s v="Celia CONSOLO01/04/1994"/>
    <n v="436708"/>
    <s v="FR"/>
    <s v="IDF - Critérium National - Neuilly-sur-seinesam 14 Déc 2024"/>
    <s v="CACHAN HM"/>
    <s v="Celia CONSOLO01/04/1994"/>
    <s v="54.4"/>
    <n v="49"/>
    <n v="-52"/>
    <n v="-54"/>
    <n v="49"/>
    <n v="0"/>
    <s v="OXX"/>
    <n v="70"/>
    <n v="-74"/>
    <n v="-74"/>
    <n v="70"/>
    <n v="0"/>
    <s v="OXX"/>
    <x v="5"/>
    <x v="0"/>
    <x v="0"/>
    <n v="119"/>
    <n v="0"/>
    <s v="172.10441216493055"/>
    <s v="0.0"/>
    <x v="2"/>
    <n v="6"/>
    <x v="1"/>
    <x v="2"/>
    <m/>
    <s v="SEN F 55"/>
    <n v="172.1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7"/>
    <x v="3"/>
    <s v="Celia CONSOLO01/04/1994"/>
    <n v="2025"/>
    <s v="181.75950330293387"/>
    <s v="181.75950330293387"/>
  </r>
  <r>
    <x v="145"/>
    <x v="144"/>
    <s v="Celia MAHIEUX17/12/1996"/>
    <n v="494068"/>
    <s v="FR"/>
    <s v="NAQ - Critérium National - Mont de marsan - ligue Nouvelle Aquitaine plateau 2 fillessam 14 Déc 2024"/>
    <s v="POWERCAMP BORDEAUX HALTEROPHILIE"/>
    <s v="Celia MAHIEUX17/12/1996"/>
    <s v="57.2"/>
    <n v="64"/>
    <n v="-67"/>
    <n v="-68"/>
    <n v="64"/>
    <n v="0"/>
    <s v="OXX"/>
    <n v="-78"/>
    <n v="80"/>
    <n v="-84"/>
    <n v="80"/>
    <n v="0"/>
    <s v="XOX"/>
    <x v="5"/>
    <x v="0"/>
    <x v="0"/>
    <n v="144"/>
    <n v="0"/>
    <s v="201.14074532458667"/>
    <s v="0.0"/>
    <x v="1"/>
    <n v="5"/>
    <x v="2"/>
    <x v="2"/>
    <m/>
    <s v="SEN F 59"/>
    <n v="201.14"/>
    <x v="1"/>
    <s v="NAQ - Critérium National - Mont de marsan - ligue Nouvelle Aquitaine plateau 2 fillessam 14 Déc 2024"/>
    <s v="Critérium National - Mont de marsan - ligue Nouvelle Aquitaine plateau 2 filles"/>
    <s v="NAQ"/>
    <d v="2024-12-14T00:00:00"/>
    <n v="2024"/>
    <n v="12"/>
    <s v="2024-12"/>
    <m/>
    <s v="2024-2025"/>
    <n v="2025"/>
    <x v="70"/>
    <x v="12"/>
    <s v="Celia MAHIEUX17/12/1996"/>
    <n v="2025"/>
    <s v="214.26983118473373"/>
    <s v="201.14074532458667"/>
  </r>
  <r>
    <x v="146"/>
    <x v="145"/>
    <s v="Célia ROBERT17/11/2008"/>
    <n v="473594"/>
    <s v="RE"/>
    <s v="REU - Critérium National - La possession - U15-17-20dim 15 Déc 2024"/>
    <s v="CLUB HALTEROPHILIE RAPTOR"/>
    <s v="Célia ROBERT17/11/2008"/>
    <s v="66.12"/>
    <n v="48"/>
    <n v="50"/>
    <n v="53"/>
    <n v="53"/>
    <n v="103"/>
    <s v="OOO"/>
    <n v="58"/>
    <n v="61"/>
    <n v="65"/>
    <n v="65"/>
    <n v="126"/>
    <s v="OOO"/>
    <x v="2"/>
    <x v="0"/>
    <x v="0"/>
    <n v="118"/>
    <n v="229"/>
    <s v="150.52040729578914"/>
    <s v="292.1116378875908"/>
    <x v="1"/>
    <n v="5"/>
    <x v="3"/>
    <x v="3"/>
    <m/>
    <s v="U17 F 71"/>
    <n v="150.52000000000001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73"/>
    <x v="5"/>
    <s v="Célia ROBERT17/11/2008"/>
    <n v="2025"/>
    <s v="150.52040729578914"/>
    <s v="150.52040729578914"/>
  </r>
  <r>
    <x v="147"/>
    <x v="146"/>
    <s v="Célia XAVIER02/08/2007"/>
    <n v="468642"/>
    <s v="RE"/>
    <s v="REU - Critérium National - La possession - U15-17-20dim 15 Déc 2024"/>
    <s v="CLUB HALTEROPHILIE RAPTOR"/>
    <s v="Célia XAVIER02/08/2007"/>
    <s v="48.56"/>
    <n v="-33"/>
    <n v="-33"/>
    <n v="33"/>
    <n v="33"/>
    <n v="0"/>
    <s v="XXO"/>
    <n v="-41"/>
    <n v="-45"/>
    <n v="-45"/>
    <n v="0"/>
    <n v="0"/>
    <s v="XXX"/>
    <x v="4"/>
    <x v="1"/>
    <x v="0"/>
    <n v="33"/>
    <n v="0"/>
    <s v="51.96405277020965"/>
    <s v="0.0"/>
    <x v="0"/>
    <n v="999"/>
    <x v="10"/>
    <x v="0"/>
    <m/>
    <s v="U20 F 49"/>
    <n v="0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73"/>
    <x v="5"/>
    <s v="Célia XAVIER02/08/2007"/>
    <n v="2025"/>
    <s v="114.50608843052096"/>
    <s v="51.96405277020965"/>
  </r>
  <r>
    <x v="148"/>
    <x v="147"/>
    <s v="Céline LOUISON TANGUY10/07/1993"/>
    <n v="401465"/>
    <s v="FR"/>
    <s v="BRE - Critérium National - Plouhinec - Femmessam 14 Déc 2024"/>
    <s v="BREST HALTEROPHILIE 29"/>
    <s v="Céline LOUISON TANGUY10/07/1993"/>
    <s v="78.5"/>
    <n v="-79"/>
    <n v="79"/>
    <n v="-86"/>
    <n v="79"/>
    <n v="0"/>
    <s v="XOX"/>
    <n v="101"/>
    <n v="107"/>
    <n v="112"/>
    <n v="112"/>
    <n v="219"/>
    <s v="OOO"/>
    <x v="3"/>
    <x v="0"/>
    <x v="0"/>
    <n v="191"/>
    <n v="219"/>
    <s v="222.90536953951136"/>
    <s v="255.58259648771198"/>
    <x v="3"/>
    <n v="4"/>
    <x v="4"/>
    <x v="2"/>
    <m/>
    <s v="SEN F 81"/>
    <n v="222.9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78"/>
    <x v="7"/>
    <s v="Céline LOUISON TANGUY10/07/1993"/>
    <n v="2025"/>
    <s v="228.93118641714443"/>
    <s v="225.82012743747902"/>
  </r>
  <r>
    <x v="149"/>
    <x v="148"/>
    <s v="Céline TURRI04/03/1996"/>
    <n v="479257"/>
    <s v="FR"/>
    <s v="BFC - Critérium National - Besançon - BFC-Critérium 2 SEN Fsam 14 Déc 2024"/>
    <s v="LA FRANCAISE DE BESANCON"/>
    <s v="Céline TURRI04/03/1996"/>
    <s v="59.8"/>
    <n v="52"/>
    <n v="55"/>
    <n v="-57"/>
    <n v="55"/>
    <n v="107"/>
    <s v="OOX"/>
    <n v="63"/>
    <n v="66"/>
    <n v="-68"/>
    <n v="66"/>
    <n v="129"/>
    <s v="OOX"/>
    <x v="3"/>
    <x v="0"/>
    <x v="0"/>
    <n v="121"/>
    <n v="236"/>
    <s v="164.1221149275062"/>
    <s v="320.1059431643923"/>
    <x v="5"/>
    <n v="7"/>
    <x v="7"/>
    <x v="2"/>
    <m/>
    <s v="SEN F 64"/>
    <n v="164.12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21"/>
    <x v="6"/>
    <s v="Céline TURRI04/03/1996"/>
    <n v="2025"/>
    <s v="166.199561187384"/>
    <s v="166.199561187384"/>
  </r>
  <r>
    <x v="150"/>
    <x v="149"/>
    <s v="Charline LEON23/04/2010"/>
    <n v="475827"/>
    <s v="FR"/>
    <s v="NDIE - Critérium National - Caen - Plateau B fémininsam 14 Déc 2024"/>
    <s v="ASHM GIBERVILLE"/>
    <s v="Charline LEON23/04/2010"/>
    <n v="59"/>
    <n v="51"/>
    <n v="54"/>
    <n v="56"/>
    <n v="56"/>
    <n v="110"/>
    <s v="OOO"/>
    <n v="-62"/>
    <n v="-62"/>
    <n v="64"/>
    <n v="64"/>
    <n v="0"/>
    <s v="XXO"/>
    <x v="3"/>
    <x v="1"/>
    <x v="0"/>
    <n v="120"/>
    <n v="110"/>
    <s v="164.19724383053017"/>
    <s v="150.51414017798598"/>
    <x v="4"/>
    <n v="3"/>
    <x v="2"/>
    <x v="1"/>
    <m/>
    <s v="U15 F 59"/>
    <n v="164.19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79"/>
    <x v="9"/>
    <s v="Charline LEON23/04/2010"/>
    <n v="2025"/>
    <s v="164.19724383053017"/>
    <s v="164.19724383053017"/>
  </r>
  <r>
    <x v="151"/>
    <x v="150"/>
    <s v="Charline RECH03/12/1999"/>
    <n v="446275"/>
    <s v="FR"/>
    <s v="AURA - Critérium National - Vaulx en velin - PLATEAU 3  SENIOR FEMININESdim 15 Déc 2024"/>
    <s v="LEMPDES ATHLETIC CLUB"/>
    <s v="Charline RECH03/12/1999"/>
    <s v="68.9"/>
    <n v="-70"/>
    <n v="72"/>
    <n v="75"/>
    <n v="75"/>
    <n v="147"/>
    <s v="XOO"/>
    <n v="97"/>
    <n v="-101"/>
    <n v="-104"/>
    <n v="97"/>
    <n v="0"/>
    <s v="OXX"/>
    <x v="0"/>
    <x v="0"/>
    <x v="0"/>
    <n v="172"/>
    <n v="147"/>
    <s v="214.37560247987497"/>
    <s v="183.21635793338152"/>
    <x v="3"/>
    <n v="4"/>
    <x v="3"/>
    <x v="2"/>
    <m/>
    <s v="SEN F 71"/>
    <n v="214.37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20"/>
    <x v="4"/>
    <s v="Charline RECH03/12/1999"/>
    <n v="2025"/>
    <s v="214.37560247987497"/>
    <s v="214.37560247987497"/>
  </r>
  <r>
    <x v="152"/>
    <x v="151"/>
    <s v="Charlotte PETIT22/06/1997"/>
    <n v="409193"/>
    <s v="FR"/>
    <s v="BFC - Critérium National - Besançon - BFC-Critérium 2 SEN Fsam 14 Déc 2024"/>
    <s v="CLUB HALTEROPHILE LUXOVIEN"/>
    <s v="Charlotte PETIT22/06/1997"/>
    <s v="74.6"/>
    <n v="65"/>
    <n v="69"/>
    <n v="-71"/>
    <n v="69"/>
    <n v="134"/>
    <s v="OOX"/>
    <n v="81"/>
    <n v="86"/>
    <n v="0"/>
    <n v="86"/>
    <n v="167"/>
    <s v="OOX"/>
    <x v="3"/>
    <x v="0"/>
    <x v="0"/>
    <n v="155"/>
    <n v="301"/>
    <s v="185.3423505781569"/>
    <s v="359.92288725177565"/>
    <x v="1"/>
    <n v="5"/>
    <x v="15"/>
    <x v="2"/>
    <m/>
    <s v="SEN F 76"/>
    <n v="185.34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10"/>
    <x v="6"/>
    <s v="Charlotte PETIT22/06/1997"/>
    <n v="2025"/>
    <s v="185.3423505781569"/>
    <s v="185.3423505781569"/>
  </r>
  <r>
    <x v="153"/>
    <x v="152"/>
    <s v="Charlotte THIERRY06/08/2003"/>
    <n v="377089"/>
    <s v="FR"/>
    <s v="HDF - Critérium National - La ferte milon - U17 / U20 / Seniors Femmessam 14 Déc 2024"/>
    <s v="CLUB MILONAIS HM"/>
    <s v="Charlotte THIERRY06/08/2003"/>
    <s v="48.16"/>
    <n v="60"/>
    <n v="63"/>
    <n v="-65"/>
    <n v="63"/>
    <n v="123"/>
    <s v="OOX"/>
    <n v="-77"/>
    <n v="-78"/>
    <n v="78"/>
    <n v="78"/>
    <n v="0"/>
    <s v="XXO"/>
    <x v="0"/>
    <x v="1"/>
    <x v="0"/>
    <n v="141"/>
    <n v="123"/>
    <s v="223.48509567382868"/>
    <s v="194.95508346014844"/>
    <x v="3"/>
    <n v="4"/>
    <x v="10"/>
    <x v="2"/>
    <m/>
    <s v="SEN F 49"/>
    <n v="223.48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80"/>
    <x v="8"/>
    <s v="Charlotte THIERRY06/08/2003"/>
    <n v="2025"/>
    <s v="223.48509567382868"/>
    <s v="223.48509567382868"/>
  </r>
  <r>
    <x v="154"/>
    <x v="153"/>
    <s v="Cheyenne THIRY07/11/2012"/>
    <n v="483126"/>
    <s v="FR"/>
    <s v="HDF - Critérium National - Comines - U13 Fillesdim 15 Déc 2024"/>
    <s v="CHCD COMINES"/>
    <s v="Cheyenne THIRY07/11/2012"/>
    <s v="70.64"/>
    <n v="26"/>
    <n v="28"/>
    <n v="30"/>
    <n v="30"/>
    <n v="58"/>
    <s v="OOO"/>
    <n v="36"/>
    <n v="38"/>
    <n v="40"/>
    <n v="40"/>
    <n v="78"/>
    <s v="OOO"/>
    <x v="2"/>
    <x v="0"/>
    <x v="0"/>
    <n v="70"/>
    <n v="136"/>
    <s v="86.07832254320216"/>
    <s v="167.23788379822133"/>
    <x v="0"/>
    <n v="999"/>
    <x v="3"/>
    <x v="4"/>
    <m/>
    <s v="U13 F 71"/>
    <n v="167.23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37"/>
    <x v="8"/>
    <s v="Cheyenne THIRY07/11/2012"/>
    <n v="2025"/>
    <s v="86.07832254320216"/>
    <s v="86.07832254320216"/>
  </r>
  <r>
    <x v="155"/>
    <x v="154"/>
    <s v="Chloé BAISSE23/02/1997"/>
    <n v="492033"/>
    <s v="FR"/>
    <s v="REU - Critérium National - La possession - SENIOREdim 15 Déc 2024"/>
    <s v="TEAM LA FOURNAISE LIFTER"/>
    <s v="Chloé BAISSE23/02/1997"/>
    <s v="66.7"/>
    <n v="57"/>
    <n v="60"/>
    <n v="-63"/>
    <n v="60"/>
    <n v="117"/>
    <s v="OOX"/>
    <n v="-68"/>
    <n v="-70"/>
    <n v="-72"/>
    <n v="0"/>
    <n v="0"/>
    <s v="XXX"/>
    <x v="5"/>
    <x v="0"/>
    <x v="0"/>
    <n v="60"/>
    <n v="117"/>
    <s v="76.15314797396911"/>
    <s v="148.49863854923979"/>
    <x v="0"/>
    <n v="999"/>
    <x v="3"/>
    <x v="2"/>
    <m/>
    <s v="SEN F 71"/>
    <n v="0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72"/>
    <x v="5"/>
    <s v="Chloé BAISSE23/02/1997"/>
    <n v="2025"/>
    <s v="164.57742827565215"/>
    <s v="164.57742827565215"/>
  </r>
  <r>
    <x v="156"/>
    <x v="155"/>
    <s v="Chloé BLANCHARD22/08/2005"/>
    <n v="490676"/>
    <s v="FR"/>
    <s v="OCC - Critérium National - Hc montalbanais - Plateau 3sam 14 Déc 2024"/>
    <s v="HC FIGEAC"/>
    <s v="Chloé BLANCHARD22/08/2005"/>
    <s v="52.3"/>
    <n v="49"/>
    <n v="52"/>
    <n v="55"/>
    <n v="55"/>
    <n v="107"/>
    <s v="OOO"/>
    <n v="60"/>
    <n v="64"/>
    <n v="-67"/>
    <n v="64"/>
    <n v="124"/>
    <s v="OOX"/>
    <x v="1"/>
    <x v="0"/>
    <x v="0"/>
    <n v="119"/>
    <n v="231"/>
    <s v="177.0782985809221"/>
    <s v="343.7402266570841"/>
    <x v="1"/>
    <n v="5"/>
    <x v="1"/>
    <x v="0"/>
    <m/>
    <s v="U20 F 55"/>
    <n v="177.07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1"/>
    <x v="1"/>
    <s v="Chloé BLANCHARD22/08/2005"/>
    <n v="2025"/>
    <s v="177.0782985809221"/>
    <s v="177.0782985809221"/>
  </r>
  <r>
    <x v="157"/>
    <x v="156"/>
    <s v="Chloe CAZEAU14/02/1997"/>
    <n v="479612"/>
    <s v="FR"/>
    <s v="NAQ - Critérium National - Mont de marsan - ligue Nouvelle Aquitainesam 14 Déc 2024"/>
    <s v="EA DE SAINT MEDARD"/>
    <s v="Chloe CAZEAU14/02/1997"/>
    <n v="49"/>
    <n v="50"/>
    <n v="52"/>
    <n v="55"/>
    <n v="55"/>
    <n v="107"/>
    <s v="OOO"/>
    <n v="60"/>
    <n v="63"/>
    <n v="-67"/>
    <n v="63"/>
    <n v="123"/>
    <s v="OOX"/>
    <x v="1"/>
    <x v="0"/>
    <x v="0"/>
    <n v="118"/>
    <n v="230"/>
    <s v="184.50014760897173"/>
    <s v="359.61893178019915"/>
    <x v="1"/>
    <n v="5"/>
    <x v="10"/>
    <x v="2"/>
    <m/>
    <s v="SEN F 49"/>
    <n v="184.5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81"/>
    <x v="12"/>
    <s v="Chloe CAZEAU14/02/1997"/>
    <n v="2025"/>
    <s v="185.8600800675468"/>
    <s v="185.8600800675468"/>
  </r>
  <r>
    <x v="158"/>
    <x v="157"/>
    <s v="Chloe FONTENELLE10/09/2011"/>
    <n v="438078"/>
    <s v="FR"/>
    <s v="HDF - Critérium National - Comines - U15 / U17 Femmessam 14 Déc 2024"/>
    <s v="CHCD COMINES"/>
    <s v="Chloe FONTENELLE10/09/2011"/>
    <s v="73.72"/>
    <n v="-47"/>
    <n v="47"/>
    <n v="-50"/>
    <n v="47"/>
    <n v="0"/>
    <s v="XOX"/>
    <n v="60"/>
    <n v="65"/>
    <n v="67"/>
    <n v="67"/>
    <n v="132"/>
    <s v="OOO"/>
    <x v="3"/>
    <x v="0"/>
    <x v="0"/>
    <n v="114"/>
    <n v="132"/>
    <s v="137.12497471117373"/>
    <s v="158.77628650767485"/>
    <x v="1"/>
    <n v="5"/>
    <x v="15"/>
    <x v="1"/>
    <m/>
    <s v="U15 F 76"/>
    <n v="137.12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37"/>
    <x v="8"/>
    <s v="Chloe FONTENELLE10/09/2011"/>
    <n v="2025"/>
    <s v="141.3606014527335"/>
    <s v="137.12497471117373"/>
  </r>
  <r>
    <x v="159"/>
    <x v="158"/>
    <s v="Chloé GRANDMONTAGNE11/03/2009"/>
    <n v="493247"/>
    <s v="FR"/>
    <s v="BRE - Critérium National - Plouhinec - Femmessam 14 Déc 2024"/>
    <s v="BREST HALTEROPHILIE 29"/>
    <s v="Chloé GRANDMONTAGNE11/03/2009"/>
    <s v="47.55"/>
    <n v="37"/>
    <n v="-39"/>
    <n v="-41"/>
    <n v="37"/>
    <n v="0"/>
    <s v="OXX"/>
    <n v="40"/>
    <n v="46"/>
    <n v="-50"/>
    <n v="46"/>
    <n v="86"/>
    <s v="OOX"/>
    <x v="0"/>
    <x v="0"/>
    <x v="0"/>
    <n v="83"/>
    <n v="86"/>
    <s v="132.89989384511603"/>
    <s v="137.70350446602382"/>
    <x v="2"/>
    <n v="6"/>
    <x v="10"/>
    <x v="3"/>
    <m/>
    <s v="U17 F 49"/>
    <n v="132.88999999999999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78"/>
    <x v="7"/>
    <s v="Chloé GRANDMONTAGNE11/03/2009"/>
    <n v="2025"/>
    <s v="133.29334159033044"/>
    <s v="132.89989384511603"/>
  </r>
  <r>
    <x v="160"/>
    <x v="159"/>
    <s v="Chloé PROUVOST15/09/1996"/>
    <n v="424933"/>
    <s v="FR"/>
    <s v="NAQ - Critérium National - Mont de marsan - ligue Nouvelle Aquitainesam 14 Déc 2024"/>
    <s v="OLYMPE ATHLÉTIQUE"/>
    <s v="Chloé PROUVOST15/09/1996"/>
    <n v="64"/>
    <n v="60"/>
    <n v="-63"/>
    <n v="63"/>
    <n v="63"/>
    <n v="123"/>
    <s v="OXO"/>
    <n v="72"/>
    <n v="75"/>
    <n v="-78"/>
    <n v="75"/>
    <n v="147"/>
    <s v="OOX"/>
    <x v="3"/>
    <x v="0"/>
    <x v="0"/>
    <n v="138"/>
    <n v="270"/>
    <s v="179.43806419875813"/>
    <s v="351.0744734323529"/>
    <x v="2"/>
    <n v="6"/>
    <x v="7"/>
    <x v="2"/>
    <m/>
    <s v="SEN F 64"/>
    <n v="179.43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59"/>
    <x v="12"/>
    <s v="Chloé PROUVOST15/09/1996"/>
    <n v="2025"/>
    <s v="184.67932521095378"/>
    <s v="179.43806419875813"/>
  </r>
  <r>
    <x v="161"/>
    <x v="160"/>
    <s v="Christelle EL DEBS08/11/1984"/>
    <n v="454545"/>
    <s v="FR"/>
    <s v="GUA - Critérium National - Creps antilles guyane - GUA-Critérium National d'Haltérophiliesam 14 Déc 2024"/>
    <s v="HALTEROPHILIE CLUB DE POINTE A PITRE 971"/>
    <s v="Christelle EL DEBS08/11/1984"/>
    <s v="65.4"/>
    <n v="75"/>
    <n v="80"/>
    <n v="-82"/>
    <n v="80"/>
    <n v="155"/>
    <s v="OOX"/>
    <n v="90"/>
    <n v="95"/>
    <n v="-100"/>
    <n v="95"/>
    <n v="185"/>
    <s v="OOX"/>
    <x v="3"/>
    <x v="0"/>
    <x v="0"/>
    <n v="175"/>
    <n v="340"/>
    <s v="224.65305504111353"/>
    <s v="436.46879265130633"/>
    <x v="3"/>
    <n v="4"/>
    <x v="3"/>
    <x v="2"/>
    <n v="40"/>
    <s v="SEN F 71"/>
    <n v="224.65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Christelle EL DEBS08/11/1984"/>
    <n v="2025"/>
    <s v="234.48130598854118"/>
    <s v="224.65305504111353"/>
  </r>
  <r>
    <x v="162"/>
    <x v="161"/>
    <s v="Christophe NAJOS10/03/1994"/>
    <n v="281269"/>
    <s v="FR"/>
    <s v="GUA - Critérium National - Creps antilles guyane - GUA-Critérium National d'Haltérophiliesam 14 Déc 2024"/>
    <s v="HALTEROPHILIE CLUB DE POINTE A PITRE 971"/>
    <s v="Christophe NAJOS10/03/1994"/>
    <s v="121.5"/>
    <n v="105"/>
    <n v="-110"/>
    <n v="-110"/>
    <n v="105"/>
    <n v="0"/>
    <s v="OXX"/>
    <n v="130"/>
    <n v="135"/>
    <n v="-140"/>
    <n v="135"/>
    <n v="265"/>
    <s v="OOX"/>
    <x v="0"/>
    <x v="0"/>
    <x v="0"/>
    <n v="240"/>
    <n v="265"/>
    <s v="256.9241423478822"/>
    <s v="283.6870738424533"/>
    <x v="5"/>
    <n v="7"/>
    <x v="16"/>
    <x v="2"/>
    <m/>
    <s v="SEN M &gt;109"/>
    <n v="256.92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Christophe NAJOS10/03/1994"/>
    <n v="2025"/>
    <s v="264.73518971835847"/>
    <s v="256.9241423478822"/>
  </r>
  <r>
    <x v="163"/>
    <x v="162"/>
    <s v="Claire JAUNEAU30/06/1992"/>
    <n v="492042"/>
    <s v="FR"/>
    <s v="NAQ - Critérium National - Mont de marsan - ligue Nouvelle Aquitaine plateau 2 fillessam 14 Déc 2024"/>
    <s v="POWERCAMP BORDEAUX HALTEROPHILIE"/>
    <s v="Claire JAUNEAU30/06/1992"/>
    <s v="68.4"/>
    <n v="75"/>
    <n v="-80"/>
    <n v="80"/>
    <n v="80"/>
    <n v="155"/>
    <s v="OXO"/>
    <n v="95"/>
    <n v="100"/>
    <n v="-105"/>
    <n v="100"/>
    <n v="195"/>
    <s v="OOX"/>
    <x v="3"/>
    <x v="0"/>
    <x v="0"/>
    <n v="180"/>
    <n v="350"/>
    <s v="225.24905136947987"/>
    <s v="437.9842665517664"/>
    <x v="3"/>
    <n v="4"/>
    <x v="3"/>
    <x v="2"/>
    <m/>
    <s v="SEN F 71"/>
    <n v="225.24"/>
    <x v="1"/>
    <s v="NAQ - Critérium National - Mont de marsan - ligue Nouvelle Aquitaine plateau 2 fillessam 14 Déc 2024"/>
    <s v="Critérium National - Mont de marsan - ligue Nouvelle Aquitaine plateau 2 filles"/>
    <s v="NAQ"/>
    <d v="2024-12-14T00:00:00"/>
    <n v="2024"/>
    <n v="12"/>
    <s v="2024-12"/>
    <m/>
    <s v="2024-2025"/>
    <n v="2025"/>
    <x v="70"/>
    <x v="12"/>
    <s v="Claire JAUNEAU30/06/1992"/>
    <n v="2025"/>
    <s v="225.24905136947987"/>
    <s v="225.24905136947987"/>
  </r>
  <r>
    <x v="164"/>
    <x v="163"/>
    <s v="Clara AUTILLO08/12/1993"/>
    <n v="452596"/>
    <s v="FR"/>
    <s v="PACA - Critérium National - Mondragon - Provence F59 à F&gt;87sam 14 Déc 2024"/>
    <s v="ATHLETIC CLUB FIT ARLESIEN"/>
    <s v="Clara AUTILLO08/12/1993"/>
    <n v="59"/>
    <n v="72"/>
    <n v="77"/>
    <n v="-81"/>
    <n v="77"/>
    <n v="149"/>
    <s v="OOX"/>
    <n v="89"/>
    <n v="-93"/>
    <n v="-95"/>
    <n v="89"/>
    <n v="0"/>
    <s v="OXX"/>
    <x v="0"/>
    <x v="0"/>
    <x v="0"/>
    <n v="166"/>
    <n v="149"/>
    <s v="227.13952063223337"/>
    <s v="203.87824442290827"/>
    <x v="3"/>
    <n v="4"/>
    <x v="2"/>
    <x v="2"/>
    <m/>
    <s v="SEN F 59"/>
    <n v="227.13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18"/>
    <x v="0"/>
    <s v="Clara AUTILLO08/12/1993"/>
    <n v="2025"/>
    <s v="234.5050012587036"/>
    <s v="229.5768831800485"/>
  </r>
  <r>
    <x v="165"/>
    <x v="164"/>
    <s v="Clara BIANCHI11/05/2005"/>
    <n v="474781"/>
    <s v="FR"/>
    <s v="GE - Critérium National - Haguenau - ALS - U15 - U17 - U20 Femsam 14 Déc 2024"/>
    <s v="SHC HAGUENAU"/>
    <s v="Clara BIANCHI11/05/2005"/>
    <s v="57.8"/>
    <n v="51"/>
    <n v="-55"/>
    <n v="55"/>
    <n v="55"/>
    <n v="106"/>
    <s v="OXO"/>
    <n v="70"/>
    <n v="-75"/>
    <n v="-75"/>
    <n v="70"/>
    <n v="0"/>
    <s v="OXX"/>
    <x v="0"/>
    <x v="0"/>
    <x v="0"/>
    <n v="125"/>
    <n v="106"/>
    <s v="173.38060147457153"/>
    <s v="147.02675005043668"/>
    <x v="1"/>
    <n v="5"/>
    <x v="2"/>
    <x v="0"/>
    <m/>
    <s v="U20 F 59"/>
    <n v="173.38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42"/>
    <x v="2"/>
    <s v="Clara BIANCHI11/05/2005"/>
    <n v="2025"/>
    <s v="180.18858435327556"/>
    <s v="173.54139666228335"/>
  </r>
  <r>
    <x v="166"/>
    <x v="165"/>
    <s v="Clara GIRARD06/03/2001"/>
    <n v="480475"/>
    <s v="FR"/>
    <s v="BFC - Critérium National - Besançon - BFC-Critérium 2 SEN Fsam 14 Déc 2024"/>
    <s v="CLUB HALTEROPHILE LUXOVIEN"/>
    <s v="Clara GIRARD06/03/2001"/>
    <s v="86.45"/>
    <n v="67"/>
    <n v="71"/>
    <n v="-75"/>
    <n v="71"/>
    <n v="138"/>
    <s v="OOX"/>
    <n v="-85"/>
    <n v="-86"/>
    <n v="-89"/>
    <n v="0"/>
    <n v="0"/>
    <s v="XXX"/>
    <x v="5"/>
    <x v="0"/>
    <x v="0"/>
    <n v="71"/>
    <n v="138"/>
    <s v="79.51949792839925"/>
    <s v="154.5590241425225"/>
    <x v="0"/>
    <n v="999"/>
    <x v="20"/>
    <x v="2"/>
    <m/>
    <s v="SEN F 87"/>
    <n v="0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10"/>
    <x v="6"/>
    <s v="Clara GIRARD06/03/2001"/>
    <n v="2025"/>
    <s v="191.43869375890546"/>
    <s v="179.73550030644785"/>
  </r>
  <r>
    <x v="167"/>
    <x v="166"/>
    <s v="Clara GODELLE15/03/2010"/>
    <n v="475733"/>
    <s v="FR"/>
    <s v="AURA - Critérium National - Vaulx en velin - PLATEAU JEUNES FEMININESsam 14 Déc 2024"/>
    <s v="HALTERO CLUB OYONNAXIEN"/>
    <s v="Clara GODELLE15/03/2010"/>
    <s v="57.3"/>
    <n v="36"/>
    <n v="40"/>
    <n v="42"/>
    <n v="42"/>
    <n v="82"/>
    <s v="OOO"/>
    <n v="45"/>
    <n v="48"/>
    <n v="-50"/>
    <n v="48"/>
    <n v="93"/>
    <s v="OOX"/>
    <x v="1"/>
    <x v="0"/>
    <x v="0"/>
    <n v="90"/>
    <n v="175"/>
    <s v="125.5647572706138"/>
    <s v="244.15369469286014"/>
    <x v="1"/>
    <n v="5"/>
    <x v="2"/>
    <x v="1"/>
    <m/>
    <s v="U15 F 59"/>
    <n v="125.56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82"/>
    <x v="4"/>
    <s v="Clara GODELLE15/03/2010"/>
    <n v="2025"/>
    <s v="125.5647572706138"/>
    <s v="125.5647572706138"/>
  </r>
  <r>
    <x v="168"/>
    <x v="167"/>
    <s v="Clara GUCCIARDI01/12/2010"/>
    <n v="475978"/>
    <s v="FR"/>
    <s v="BFC - Critérium National - Besançon - BFC-Critérium U17-20 SEN Fsam 14 Déc 2024"/>
    <s v="CLUB HALTEROPHILE LUXOVIEN"/>
    <s v="Clara GUCCIARDI01/12/2010"/>
    <s v="57.95"/>
    <n v="37"/>
    <n v="40"/>
    <n v="-42"/>
    <n v="40"/>
    <n v="77"/>
    <s v="OOX"/>
    <n v="47"/>
    <n v="50"/>
    <n v="-53"/>
    <n v="50"/>
    <n v="97"/>
    <s v="OOX"/>
    <x v="3"/>
    <x v="0"/>
    <x v="0"/>
    <n v="90"/>
    <n v="174"/>
    <s v="124.61811791980799"/>
    <s v="240.92836131162878"/>
    <x v="1"/>
    <n v="5"/>
    <x v="2"/>
    <x v="1"/>
    <m/>
    <s v="U15 F 59"/>
    <n v="124.61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0"/>
    <x v="6"/>
    <s v="Clara GUCCIARDI01/12/2010"/>
    <n v="2025"/>
    <s v="125.4122451614362"/>
    <s v="124.61811791980799"/>
  </r>
  <r>
    <x v="169"/>
    <x v="168"/>
    <s v="Clara VAN STRAATEN28/03/2007"/>
    <n v="472596"/>
    <s v="FR"/>
    <s v="AURA - Critérium National - Vaulx en velin - PLATEAU JEUNES FEMININESsam 14 Déc 2024"/>
    <s v="ATHLETIC CLUB SAINT MARCELLIN"/>
    <s v="Clara VAN STRAATEN28/03/2007"/>
    <s v="58.5"/>
    <n v="-63"/>
    <n v="63"/>
    <n v="66"/>
    <n v="66"/>
    <n v="129"/>
    <s v="XOO"/>
    <n v="78"/>
    <n v="-81"/>
    <n v="81"/>
    <n v="81"/>
    <n v="159"/>
    <s v="OXO"/>
    <x v="3"/>
    <x v="0"/>
    <x v="0"/>
    <n v="147"/>
    <n v="288"/>
    <s v="202.27061456945165"/>
    <s v="396.28528568708896"/>
    <x v="3"/>
    <n v="4"/>
    <x v="2"/>
    <x v="0"/>
    <m/>
    <s v="U20 F 59"/>
    <n v="202.27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51"/>
    <x v="4"/>
    <s v="Clara VAN STRAATEN28/03/2007"/>
    <n v="2025"/>
    <s v="202.27061456945165"/>
    <s v="202.27061456945165"/>
  </r>
  <r>
    <x v="170"/>
    <x v="169"/>
    <s v="Clarisse GOMIS30/06/1988"/>
    <n v="443420"/>
    <s v="FR"/>
    <s v="NDIE - Critérium National - Caen - Plateau Elite fémininsam 14 Déc 2024"/>
    <s v="STADE ST LOIS"/>
    <s v="Clarisse GOMIS30/06/1988"/>
    <s v="63.7"/>
    <n v="70"/>
    <n v="-73"/>
    <n v="-73"/>
    <n v="70"/>
    <n v="0"/>
    <s v="OXX"/>
    <n v="92"/>
    <n v="-96"/>
    <n v="96"/>
    <n v="96"/>
    <n v="188"/>
    <s v="OXO"/>
    <x v="0"/>
    <x v="0"/>
    <x v="0"/>
    <n v="166"/>
    <n v="188"/>
    <s v="216.45591243788115"/>
    <s v="245.14284059229914"/>
    <x v="3"/>
    <n v="4"/>
    <x v="7"/>
    <x v="2"/>
    <n v="35"/>
    <s v="SEN F 64"/>
    <n v="216.45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83"/>
    <x v="9"/>
    <s v="Clarisse GOMIS30/06/1988"/>
    <n v="2025"/>
    <s v="229.64756634815436"/>
    <s v="216.45591243788115"/>
  </r>
  <r>
    <x v="171"/>
    <x v="170"/>
    <s v="Clarisse LETELIER ALEGRE07/10/2000"/>
    <n v="497689"/>
    <s v="FR"/>
    <s v="PACA - Critérium National - Mondragon - Provence F59 à F&gt;87sam 14 Déc 2024"/>
    <s v="ISTRES SPORT HALTEROPHILIE"/>
    <s v="Clarisse LETELIER ALEGRE07/10/2000"/>
    <n v="67"/>
    <n v="-62"/>
    <n v="-62"/>
    <n v="62"/>
    <n v="62"/>
    <n v="0"/>
    <s v="XXO"/>
    <n v="70"/>
    <n v="75"/>
    <n v="80"/>
    <n v="80"/>
    <n v="155"/>
    <s v="OOO"/>
    <x v="3"/>
    <x v="1"/>
    <x v="0"/>
    <n v="142"/>
    <n v="155"/>
    <s v="179.76919088571236"/>
    <s v="196.22693371327756"/>
    <x v="2"/>
    <n v="6"/>
    <x v="3"/>
    <x v="2"/>
    <m/>
    <s v="SEN F 71"/>
    <n v="179.76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47"/>
    <x v="0"/>
    <s v="Clarisse LETELIER ALEGRE07/10/2000"/>
    <n v="2025"/>
    <s v="179.76919088571236"/>
    <s v="179.76919088571236"/>
  </r>
  <r>
    <x v="172"/>
    <x v="171"/>
    <s v="Clarisse TISSOT21/10/2003"/>
    <n v="392575"/>
    <s v="FR"/>
    <s v="REU - Critérium National - La possession - SENIOREdim 15 Déc 2024"/>
    <s v="LO SAN JOSEPH BARBELL CLUB"/>
    <s v="Clarisse TISSOT21/10/2003"/>
    <s v="75.79"/>
    <n v="73"/>
    <n v="-77"/>
    <n v="-80"/>
    <n v="73"/>
    <n v="0"/>
    <s v="OXX"/>
    <n v="84"/>
    <n v="87"/>
    <n v="90"/>
    <n v="90"/>
    <n v="177"/>
    <s v="OOO"/>
    <x v="3"/>
    <x v="0"/>
    <x v="0"/>
    <n v="163"/>
    <n v="177"/>
    <s v="193.40592246794466"/>
    <s v="210.0174740909583"/>
    <x v="1"/>
    <n v="5"/>
    <x v="15"/>
    <x v="2"/>
    <m/>
    <s v="SEN F 76"/>
    <n v="193.4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84"/>
    <x v="5"/>
    <s v="Clarisse TISSOT21/10/2003"/>
    <n v="2025"/>
    <s v="198.07630943828113"/>
    <s v="193.40592246794466"/>
  </r>
  <r>
    <x v="173"/>
    <x v="172"/>
    <s v="Clarys BOUCHEZ07/10/2011"/>
    <n v="469517"/>
    <s v="FR"/>
    <s v="HDF - Critérium National - La ferte milon - U15 Femmessam 14 Déc 2024"/>
    <s v="KOALA CLUB VILLERS BRETONNEUX"/>
    <s v="Clarys BOUCHEZ07/10/2011"/>
    <s v="56.6"/>
    <n v="32"/>
    <n v="-35"/>
    <n v="-35"/>
    <n v="32"/>
    <n v="0"/>
    <s v="OXX"/>
    <n v="41"/>
    <n v="44"/>
    <n v="46"/>
    <n v="46"/>
    <n v="90"/>
    <s v="OOO"/>
    <x v="3"/>
    <x v="0"/>
    <x v="0"/>
    <n v="78"/>
    <n v="90"/>
    <s v="109.73475713608379"/>
    <s v="126.61702746471207"/>
    <x v="2"/>
    <n v="6"/>
    <x v="2"/>
    <x v="1"/>
    <m/>
    <s v="U15 F 59"/>
    <n v="109.73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63"/>
    <x v="8"/>
    <s v="Clarys BOUCHEZ07/10/2011"/>
    <n v="2025"/>
    <s v="109.73475713608379"/>
    <s v="109.73475713608379"/>
  </r>
  <r>
    <x v="174"/>
    <x v="173"/>
    <s v="Cléa BILLON03/07/2014"/>
    <n v="503069"/>
    <s v="FR"/>
    <s v="HDF - Critérium National - La Ferté Milon - U13sam 14 Déc 2024"/>
    <s v="KOALA CLUB VILLERS BRETONNEUX"/>
    <s v="Cléa BILLON03/07/2014"/>
    <s v="33.46"/>
    <n v="5"/>
    <n v="6"/>
    <n v="7"/>
    <n v="7"/>
    <n v="13"/>
    <s v="OOO"/>
    <n v="8"/>
    <n v="9"/>
    <n v="10"/>
    <n v="10"/>
    <n v="19"/>
    <s v="OOO"/>
    <x v="2"/>
    <x v="0"/>
    <x v="0"/>
    <n v="17"/>
    <n v="32"/>
    <s v="37.64184148053511"/>
    <s v="70.85523102218374"/>
    <x v="0"/>
    <n v="999"/>
    <x v="14"/>
    <x v="4"/>
    <m/>
    <s v="U13 F 35"/>
    <n v="70.849999999999994"/>
    <x v="1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63"/>
    <x v="8"/>
    <s v="Cléa BILLON03/07/2014"/>
    <n v="2025"/>
    <s v="37.64184148053511"/>
    <s v="37.64184148053511"/>
  </r>
  <r>
    <x v="175"/>
    <x v="174"/>
    <s v="Cléa BRICOUT02/04/2010"/>
    <n v="502062"/>
    <s v="FR"/>
    <s v="GUA - Critérium National - Creps antilles guyane - GUA-Critérium National d'Haltérophiliesam 14 Déc 2024"/>
    <s v="HALTEROPHILIE CLUB DE POINTE A PITRE 971"/>
    <s v="Cléa BRICOUT02/04/2010"/>
    <n v="58"/>
    <n v="28"/>
    <n v="32"/>
    <n v="-35"/>
    <n v="32"/>
    <n v="60"/>
    <s v="OOX"/>
    <n v="38"/>
    <n v="42"/>
    <n v="-45"/>
    <n v="42"/>
    <n v="80"/>
    <s v="OOX"/>
    <x v="3"/>
    <x v="0"/>
    <x v="0"/>
    <n v="74"/>
    <n v="140"/>
    <s v="102.40488359025417"/>
    <s v="193.73896895453493"/>
    <x v="5"/>
    <n v="7"/>
    <x v="2"/>
    <x v="1"/>
    <m/>
    <s v="U15 F 59"/>
    <n v="102.4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Cléa BRICOUT02/04/2010"/>
    <n v="2025"/>
    <s v="104.51436858885664"/>
    <s v="104.51436858885664"/>
  </r>
  <r>
    <x v="176"/>
    <x v="175"/>
    <s v="Clea MARTINEZ25/03/2011"/>
    <n v="478489"/>
    <s v="FR"/>
    <s v="HDF - Critérium National - La ferte milon - U15 Femmessam 14 Déc 2024"/>
    <s v="AAEEP PERONNE HALTERO"/>
    <s v="Clea MARTINEZ25/03/2011"/>
    <s v="53.42"/>
    <n v="30"/>
    <n v="33"/>
    <n v="-36"/>
    <n v="33"/>
    <n v="63"/>
    <s v="OOX"/>
    <n v="38"/>
    <n v="-41"/>
    <n v="41"/>
    <n v="41"/>
    <n v="79"/>
    <s v="OXO"/>
    <x v="3"/>
    <x v="0"/>
    <x v="0"/>
    <n v="74"/>
    <n v="142"/>
    <s v="108.42595294666985"/>
    <s v="208.0606124111773"/>
    <x v="2"/>
    <n v="6"/>
    <x v="1"/>
    <x v="1"/>
    <m/>
    <s v="U15 F 55"/>
    <n v="108.42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85"/>
    <x v="8"/>
    <s v="Clea MARTINEZ25/03/2011"/>
    <n v="2025"/>
    <s v="112.17893233158281"/>
    <s v="111.44706538263954"/>
  </r>
  <r>
    <x v="177"/>
    <x v="176"/>
    <s v="Clemence BARROCHE12/09/2001"/>
    <n v="475533"/>
    <s v="FR"/>
    <s v="PDL - Critérium National - Laval - seniors Fsam 14 Déc 2024"/>
    <s v="CJF LAVAL VOUTRE HALTERO 53"/>
    <s v="Clemence BARROCHE12/09/2001"/>
    <s v="60.72"/>
    <n v="-53"/>
    <n v="-53"/>
    <n v="53"/>
    <n v="53"/>
    <n v="0"/>
    <s v="XXO"/>
    <n v="-70"/>
    <n v="73"/>
    <n v="76"/>
    <n v="76"/>
    <n v="149"/>
    <s v="XOO"/>
    <x v="0"/>
    <x v="1"/>
    <x v="0"/>
    <n v="129"/>
    <n v="149"/>
    <s v="173.27090677397132"/>
    <s v="200.13461325055601"/>
    <x v="2"/>
    <n v="6"/>
    <x v="7"/>
    <x v="2"/>
    <m/>
    <s v="SEN F 64"/>
    <n v="173.27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43"/>
    <x v="10"/>
    <s v="Clemence BARROCHE12/09/2001"/>
    <n v="2025"/>
    <s v="180.91479202489504"/>
    <s v="174.3542290189427"/>
  </r>
  <r>
    <x v="178"/>
    <x v="177"/>
    <s v="Clemence ZOGHLAMI17/06/2007"/>
    <n v="490667"/>
    <s v="FR"/>
    <s v="GE - Critérium National - Haguenau - ALS - U15 - U17 - U20 Femsam 14 Déc 2024"/>
    <s v="ASPTT STRASBOURG"/>
    <s v="Clemence ZOGHLAMI17/06/2007"/>
    <s v="49.92"/>
    <n v="41"/>
    <n v="44"/>
    <n v="46"/>
    <n v="46"/>
    <n v="90"/>
    <s v="OOO"/>
    <n v="51"/>
    <n v="-54"/>
    <n v="54"/>
    <n v="54"/>
    <n v="105"/>
    <s v="OXO"/>
    <x v="1"/>
    <x v="0"/>
    <x v="0"/>
    <n v="100"/>
    <n v="195"/>
    <s v="154.117160846333"/>
    <s v="300.52846365034935"/>
    <x v="2"/>
    <n v="6"/>
    <x v="1"/>
    <x v="0"/>
    <m/>
    <s v="U20 F 55"/>
    <n v="154.11000000000001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38"/>
    <x v="2"/>
    <s v="Clemence ZOGHLAMI17/06/2007"/>
    <n v="2025"/>
    <s v="154.117160846333"/>
    <s v="154.117160846333"/>
  </r>
  <r>
    <x v="179"/>
    <x v="178"/>
    <s v="Clement BARILLOT21/11/2004"/>
    <n v="490359"/>
    <s v="FR"/>
    <s v="BFC - Critérium National - Besançon - BFC-Critérium 2 SEN Hdim 15 Déc 2024"/>
    <s v="LA FRANCAISE DE BESANCON"/>
    <s v="Clement BARILLOT21/11/2004"/>
    <s v="68.9"/>
    <n v="-68"/>
    <n v="68"/>
    <n v="73"/>
    <n v="73"/>
    <n v="141"/>
    <s v="XOO"/>
    <n v="95"/>
    <n v="-100"/>
    <n v="102"/>
    <n v="102"/>
    <n v="197"/>
    <s v="OXO"/>
    <x v="3"/>
    <x v="0"/>
    <x v="0"/>
    <n v="175"/>
    <n v="338"/>
    <s v="244.65671922316696"/>
    <s v="472.53697769960246"/>
    <x v="6"/>
    <n v="8"/>
    <x v="5"/>
    <x v="2"/>
    <m/>
    <s v="SEN M 73"/>
    <n v="244.65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21"/>
    <x v="6"/>
    <s v="Clement BARILLOT21/11/2004"/>
    <n v="2025"/>
    <s v="244.65671922316696"/>
    <s v="244.65671922316696"/>
  </r>
  <r>
    <x v="180"/>
    <x v="179"/>
    <s v="Clement BOADA15/12/1997"/>
    <n v="322351"/>
    <s v="FR"/>
    <s v="OCC - Critérium National - Hc montalbanais - Plateau 4sam 14 Déc 2024"/>
    <s v="HC FIGEAC"/>
    <s v="Clement BOADA15/12/1997"/>
    <s v="100.2"/>
    <n v="120"/>
    <n v="126"/>
    <n v="-132"/>
    <n v="126"/>
    <n v="246"/>
    <s v="OOX"/>
    <n v="-144"/>
    <n v="144"/>
    <n v="0"/>
    <n v="144"/>
    <n v="0"/>
    <s v="XOX"/>
    <x v="0"/>
    <x v="0"/>
    <x v="0"/>
    <n v="270"/>
    <n v="246"/>
    <s v="309.3903429079886"/>
    <s v="281.8889790939452"/>
    <x v="1"/>
    <n v="5"/>
    <x v="17"/>
    <x v="2"/>
    <m/>
    <s v="SEN M 102"/>
    <n v="309.39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1"/>
    <x v="1"/>
    <s v="Clement BOADA15/12/1997"/>
    <n v="2025"/>
    <s v="309.3903429079886"/>
    <s v="309.3903429079886"/>
  </r>
  <r>
    <x v="181"/>
    <x v="180"/>
    <s v="Clement CADIEU21/09/2002"/>
    <n v="421305"/>
    <s v="FR"/>
    <s v="PDL - Critérium National - Laval - SENIORS hsam 14 Déc 2024"/>
    <s v="CA EVRON 53 HALTEROPHILIE"/>
    <s v="Clement CADIEU21/09/2002"/>
    <s v="57.53"/>
    <n v="83"/>
    <n v="87"/>
    <n v="89"/>
    <n v="89"/>
    <n v="176"/>
    <s v="OOO"/>
    <n v="100"/>
    <n v="104"/>
    <n v="106"/>
    <n v="106"/>
    <n v="210"/>
    <s v="OOO"/>
    <x v="2"/>
    <x v="0"/>
    <x v="0"/>
    <n v="195"/>
    <n v="386"/>
    <s v="309.5925259747279"/>
    <s v="612.8344360320255"/>
    <x v="1"/>
    <n v="5"/>
    <x v="8"/>
    <x v="2"/>
    <m/>
    <s v="SEN M 61"/>
    <n v="309.58999999999997"/>
    <x v="0"/>
    <s v="PDL - Critérium National - Laval - SENIORS hsam 14 Déc 2024"/>
    <s v="Critérium National - Laval - SENIORS h"/>
    <s v="PDL"/>
    <d v="2024-12-14T00:00:00"/>
    <n v="2024"/>
    <n v="12"/>
    <s v="2024-12"/>
    <m/>
    <s v="2024-2025"/>
    <n v="2025"/>
    <x v="27"/>
    <x v="10"/>
    <s v="Clement CADIEU21/09/2002"/>
    <n v="2025"/>
    <s v="309.5925259747279"/>
    <s v="309.5925259747279"/>
  </r>
  <r>
    <x v="182"/>
    <x v="181"/>
    <s v="Clement CORDEIRO04/11/2013"/>
    <n v="484512"/>
    <s v="FR"/>
    <s v="HDF - Critérium National - Comines - U13 garçonsdim 15 Déc 2024"/>
    <s v="CHCD COMINES"/>
    <s v="Clement CORDEIRO04/11/2013"/>
    <s v="47.6"/>
    <n v="18"/>
    <n v="20"/>
    <n v="21"/>
    <n v="21"/>
    <n v="41"/>
    <s v="OOO"/>
    <n v="-24"/>
    <n v="24"/>
    <n v="25"/>
    <n v="25"/>
    <n v="49"/>
    <s v="XOO"/>
    <x v="1"/>
    <x v="0"/>
    <x v="0"/>
    <n v="46"/>
    <n v="90"/>
    <s v="85.32911738343954"/>
    <s v="166.94827314151215"/>
    <x v="0"/>
    <n v="999"/>
    <x v="10"/>
    <x v="4"/>
    <m/>
    <s v="U13 M 49"/>
    <n v="166.94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7"/>
    <x v="8"/>
    <s v="Clement CORDEIRO04/11/2013"/>
    <n v="2025"/>
    <s v="88.00131419415723"/>
    <s v="85.32911738343954"/>
  </r>
  <r>
    <x v="183"/>
    <x v="182"/>
    <s v="Clément MARIN04/07/2002"/>
    <n v="442960"/>
    <s v="FR"/>
    <s v="PACA - Critérium National - Mondragon - Provence U15 à SEN HOMsam 14 Déc 2024"/>
    <s v="CHC MONDRAGON"/>
    <s v="Clément MARIN04/07/2002"/>
    <s v="91.3"/>
    <n v="107"/>
    <n v="112"/>
    <n v="-117"/>
    <n v="112"/>
    <n v="219"/>
    <s v="OOX"/>
    <n v="-125"/>
    <n v="-125"/>
    <n v="-125"/>
    <n v="0"/>
    <n v="0"/>
    <s v="XXX"/>
    <x v="5"/>
    <x v="0"/>
    <x v="0"/>
    <n v="112"/>
    <n v="219"/>
    <s v="133.73490867722518"/>
    <s v="261.49950893135997"/>
    <x v="0"/>
    <n v="999"/>
    <x v="18"/>
    <x v="2"/>
    <m/>
    <s v="SEN M 96"/>
    <n v="0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74"/>
    <x v="0"/>
    <s v="Clément MARIN04/07/2002"/>
    <n v="2025"/>
    <s v="293.89841784623286"/>
    <s v="291.440827710849"/>
  </r>
  <r>
    <x v="184"/>
    <x v="183"/>
    <s v="Clement MOREL09/12/2013"/>
    <n v="501728"/>
    <s v="FR"/>
    <s v="HDF - Critérium National - La Ferté Milon - U13sam 14 Déc 2024"/>
    <s v="CHFM ROISEL"/>
    <s v="Clement MOREL09/12/2013"/>
    <s v="36.7"/>
    <n v="12"/>
    <n v="14"/>
    <n v="15"/>
    <n v="15"/>
    <n v="29"/>
    <s v="OOO"/>
    <n v="16"/>
    <n v="18"/>
    <n v="-19"/>
    <n v="18"/>
    <n v="34"/>
    <s v="OOX"/>
    <x v="1"/>
    <x v="0"/>
    <x v="0"/>
    <n v="33"/>
    <n v="63"/>
    <s v="78.62295006447172"/>
    <s v="150.09835921399147"/>
    <x v="0"/>
    <n v="999"/>
    <x v="11"/>
    <x v="4"/>
    <m/>
    <s v="U13 M 40"/>
    <n v="150.09"/>
    <x v="0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60"/>
    <x v="8"/>
    <s v="Clement MOREL09/12/2013"/>
    <n v="2025"/>
    <s v="78.62295006447172"/>
    <s v="78.62295006447172"/>
  </r>
  <r>
    <x v="185"/>
    <x v="184"/>
    <s v="Clément ROSS02/09/2009"/>
    <n v="442974"/>
    <s v="FR"/>
    <s v="OCC - Critérium National - Hc montalbanais - Plateau 2sam 14 Déc 2024"/>
    <s v="CLERMONT SPORTS"/>
    <s v="Clément ROSS02/09/2009"/>
    <s v="53.5"/>
    <n v="57"/>
    <n v="62"/>
    <n v="65"/>
    <n v="65"/>
    <n v="127"/>
    <s v="OOO"/>
    <n v="72"/>
    <n v="77"/>
    <n v="-80"/>
    <n v="77"/>
    <n v="149"/>
    <s v="OOX"/>
    <x v="1"/>
    <x v="0"/>
    <x v="0"/>
    <n v="142"/>
    <n v="276"/>
    <s v="238.66679076019494"/>
    <s v="463.8875651395338"/>
    <x v="1"/>
    <n v="5"/>
    <x v="1"/>
    <x v="3"/>
    <m/>
    <s v="U17 M 55"/>
    <n v="238.66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86"/>
    <x v="1"/>
    <s v="Clément ROSS02/09/2009"/>
    <n v="2025"/>
    <s v="238.66679076019494"/>
    <s v="238.66679076019494"/>
  </r>
  <r>
    <x v="186"/>
    <x v="185"/>
    <s v="Clementine MORAND08/10/2011"/>
    <n v="491306"/>
    <s v="FR"/>
    <s v="HDF - Critérium National - La ferte milon - U15 Femmessam 14 Déc 2024"/>
    <s v="USC MOISLAINS"/>
    <s v="Clementine MORAND08/10/2011"/>
    <s v="38.98"/>
    <n v="22"/>
    <n v="-24"/>
    <n v="-24"/>
    <n v="22"/>
    <n v="0"/>
    <s v="OXX"/>
    <n v="-28"/>
    <n v="29"/>
    <n v="-31"/>
    <n v="29"/>
    <n v="0"/>
    <s v="XOX"/>
    <x v="5"/>
    <x v="0"/>
    <x v="0"/>
    <n v="51"/>
    <n v="0"/>
    <s v="97.07786165267888"/>
    <s v="0.0"/>
    <x v="2"/>
    <n v="6"/>
    <x v="11"/>
    <x v="1"/>
    <m/>
    <s v="U15 F 40"/>
    <n v="97.07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87"/>
    <x v="8"/>
    <s v="Clementine MORAND08/10/2011"/>
    <n v="2025"/>
    <s v="100.8363116409517"/>
    <s v="100.8363116409517"/>
  </r>
  <r>
    <x v="187"/>
    <x v="100"/>
    <s v="Clementine ROUSSEAU11/01/2005"/>
    <n v="477125"/>
    <s v="FR"/>
    <s v="PACA - Critérium National - Toulon - SUD PACA TOULON COTE AZURven 13 Déc 2024"/>
    <s v="ESVL HALTERO- MUSCU-GYM"/>
    <s v="Clementine ROUSSEAU11/01/2005"/>
    <s v="54.97"/>
    <n v="-63"/>
    <n v="63"/>
    <n v="66"/>
    <n v="66"/>
    <n v="129"/>
    <s v="XOO"/>
    <n v="79"/>
    <n v="-82"/>
    <n v="-82"/>
    <n v="79"/>
    <n v="0"/>
    <s v="OXX"/>
    <x v="0"/>
    <x v="0"/>
    <x v="0"/>
    <n v="145"/>
    <n v="129"/>
    <s v="208.16800938629473"/>
    <s v="185.19774628160013"/>
    <x v="4"/>
    <n v="3"/>
    <x v="1"/>
    <x v="0"/>
    <m/>
    <s v="U20 F 55"/>
    <n v="208.16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88"/>
    <x v="0"/>
    <s v="Clementine ROUSSEAU11/01/2005"/>
    <n v="2025"/>
    <s v="219.24630809457287"/>
    <s v="214.377650518924"/>
  </r>
  <r>
    <x v="188"/>
    <x v="186"/>
    <s v="Clodyne YU HING19/06/1972"/>
    <n v="344126"/>
    <s v="FR"/>
    <s v="IDF - Critérium National - Neuilly-sur-seinesam 14 Déc 2024"/>
    <s v="ELITE BARBELL VAULX EN VELIN"/>
    <s v="Clodyne YU HING19/06/1972"/>
    <s v="57.5"/>
    <n v="43"/>
    <n v="-45"/>
    <n v="-45"/>
    <n v="43"/>
    <n v="0"/>
    <s v="OXX"/>
    <n v="54"/>
    <n v="-57"/>
    <n v="-57"/>
    <n v="54"/>
    <n v="0"/>
    <s v="OXX"/>
    <x v="5"/>
    <x v="0"/>
    <x v="0"/>
    <n v="97"/>
    <n v="0"/>
    <s v="135.01367127166452"/>
    <s v="0.0"/>
    <x v="5"/>
    <n v="7"/>
    <x v="2"/>
    <x v="2"/>
    <n v="50"/>
    <s v="SEN F 59"/>
    <n v="135.01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76"/>
    <x v="4"/>
    <s v="Clodyne YU HING19/06/1972"/>
    <n v="2025"/>
    <s v="161.02135301265747"/>
    <s v="147.76980421294184"/>
  </r>
  <r>
    <x v="189"/>
    <x v="187"/>
    <s v="Cloé DOMAS10/11/2000"/>
    <n v="504643"/>
    <s v="FR"/>
    <s v="AURA - Critérium National - Vaulx en velin - PLATEAU 3  SENIOR FEMININESdim 15 Déc 2024"/>
    <s v="NEO WEIGHTLIFTING CLUB"/>
    <s v="Cloé DOMAS10/11/2000"/>
    <s v="64.9"/>
    <n v="60"/>
    <n v="64"/>
    <n v="67"/>
    <n v="67"/>
    <n v="131"/>
    <s v="OOO"/>
    <n v="79"/>
    <n v="83"/>
    <n v="-85"/>
    <n v="83"/>
    <n v="162"/>
    <s v="OOX"/>
    <x v="1"/>
    <x v="0"/>
    <x v="0"/>
    <n v="150"/>
    <n v="293"/>
    <s v="193.42918006203695"/>
    <s v="377.8316650545122"/>
    <x v="2"/>
    <n v="6"/>
    <x v="3"/>
    <x v="2"/>
    <m/>
    <s v="SEN F 71"/>
    <n v="193.42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64"/>
    <x v="4"/>
    <s v="Cloé DOMAS10/11/2000"/>
    <n v="2025"/>
    <s v="193.42918006203695"/>
    <s v="193.42918006203695"/>
  </r>
  <r>
    <x v="190"/>
    <x v="188"/>
    <s v="Coline GAUTRAT07/01/2007"/>
    <n v="501799"/>
    <s v="FR"/>
    <s v="PDL - Critérium National - Laval - U15 au U20 Fdim 15 Déc 2024"/>
    <s v="CHOLET BARBELL CLUB"/>
    <s v="Coline GAUTRAT07/01/2007"/>
    <s v="68.3"/>
    <n v="45"/>
    <n v="50"/>
    <n v="-53"/>
    <n v="50"/>
    <n v="95"/>
    <s v="OOX"/>
    <n v="68"/>
    <n v="70"/>
    <n v="-74"/>
    <n v="70"/>
    <n v="138"/>
    <s v="OOX"/>
    <x v="3"/>
    <x v="0"/>
    <x v="0"/>
    <n v="120"/>
    <n v="233"/>
    <s v="150.28784290922798"/>
    <s v="291.8088949820843"/>
    <x v="2"/>
    <n v="6"/>
    <x v="3"/>
    <x v="0"/>
    <m/>
    <s v="U20 F 71"/>
    <n v="150.28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89"/>
    <x v="10"/>
    <s v="Coline GAUTRAT07/01/2007"/>
    <n v="2025"/>
    <s v="150.28784290922798"/>
    <s v="150.28784290922798"/>
  </r>
  <r>
    <x v="191"/>
    <x v="189"/>
    <s v="Constance TORNEY14/07/2001"/>
    <n v="479327"/>
    <s v="FR"/>
    <s v="REU - Critérium National - La possession - SENIOREdim 15 Déc 2024"/>
    <s v="LO SAN JOSEPH BARBELL CLUB"/>
    <s v="Constance TORNEY14/07/2001"/>
    <s v="58.2"/>
    <n v="54"/>
    <n v="57"/>
    <n v="60"/>
    <n v="60"/>
    <n v="117"/>
    <s v="OOO"/>
    <n v="74"/>
    <n v="77"/>
    <n v="80"/>
    <n v="80"/>
    <n v="157"/>
    <s v="OOO"/>
    <x v="2"/>
    <x v="0"/>
    <x v="0"/>
    <n v="140"/>
    <n v="274"/>
    <s v="193.29579753082388"/>
    <s v="378.3074894531839"/>
    <x v="1"/>
    <n v="5"/>
    <x v="2"/>
    <x v="2"/>
    <m/>
    <s v="SEN F 59"/>
    <n v="193.29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84"/>
    <x v="5"/>
    <s v="Constance TORNEY14/07/2001"/>
    <n v="2025"/>
    <s v="193.29579753082388"/>
    <s v="193.29579753082388"/>
  </r>
  <r>
    <x v="192"/>
    <x v="190"/>
    <s v="Constant CAUPENNE GRZESIAK17/08/2015"/>
    <n v="480136"/>
    <s v="FR"/>
    <s v="IDF - Critérium National - Franconville - Minimesdim 15 Déc 2024"/>
    <s v="SPORTING CLUB DE NEUILLY"/>
    <s v="Constant CAUPENNE GRZESIAK17/08/2015"/>
    <s v="26.5"/>
    <n v="11"/>
    <n v="13"/>
    <n v="15"/>
    <n v="15"/>
    <n v="28"/>
    <s v="OOO"/>
    <n v="17"/>
    <n v="19"/>
    <n v="21"/>
    <n v="21"/>
    <n v="40"/>
    <s v="OOO"/>
    <x v="2"/>
    <x v="0"/>
    <x v="0"/>
    <n v="36"/>
    <n v="68"/>
    <s v="124.57813708628336"/>
    <s v="235.31425894075747"/>
    <x v="0"/>
    <n v="999"/>
    <x v="21"/>
    <x v="5"/>
    <m/>
    <s v="U10 M "/>
    <n v="235.31"/>
    <x v="0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8"/>
    <x v="3"/>
    <s v="Constant CAUPENNE GRZESIAK17/08/2015"/>
    <n v="2025"/>
    <s v="132.12037686531042"/>
    <s v="132.12037686531042"/>
  </r>
  <r>
    <x v="193"/>
    <x v="191"/>
    <s v="Coralie AUDIBERT27/12/1987"/>
    <n v="452718"/>
    <s v="FR"/>
    <s v="GE - Critérium National - Langres - LOR - CHAsam 14 Déc 2024"/>
    <s v="REIMS HM"/>
    <s v="Coralie AUDIBERT27/12/1987"/>
    <s v="53.6"/>
    <n v="44"/>
    <n v="47"/>
    <n v="50"/>
    <n v="50"/>
    <n v="97"/>
    <s v="OOO"/>
    <n v="60"/>
    <n v="63"/>
    <n v="-65"/>
    <n v="63"/>
    <n v="123"/>
    <s v="OOX"/>
    <x v="1"/>
    <x v="0"/>
    <x v="0"/>
    <n v="113"/>
    <n v="220"/>
    <s v="165.1679921007374"/>
    <s v="321.56600232001966"/>
    <x v="2"/>
    <n v="6"/>
    <x v="1"/>
    <x v="2"/>
    <n v="35"/>
    <s v="SEN F 55"/>
    <n v="165.16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2"/>
    <x v="2"/>
    <s v="Coralie AUDIBERT27/12/1987"/>
    <n v="2025"/>
    <s v="165.1679921007374"/>
    <s v="165.1679921007374"/>
  </r>
  <r>
    <x v="194"/>
    <x v="192"/>
    <s v="Coraline DEMAN26/03/2007"/>
    <n v="480379"/>
    <s v="FR"/>
    <s v="BFC - Critérium National - Besançon - BFC-Critérium U17-20 SEN Fsam 14 Déc 2024"/>
    <s v="HC AVALLON MFAC"/>
    <s v="Coraline DEMAN26/03/2007"/>
    <s v="63.05"/>
    <n v="55"/>
    <n v="58"/>
    <n v="-61"/>
    <n v="58"/>
    <n v="113"/>
    <s v="OOX"/>
    <n v="70"/>
    <n v="74"/>
    <n v="77"/>
    <n v="77"/>
    <n v="151"/>
    <s v="OOO"/>
    <x v="1"/>
    <x v="0"/>
    <x v="0"/>
    <n v="135"/>
    <n v="264"/>
    <s v="177.13072174909487"/>
    <s v="346.38896697600774"/>
    <x v="1"/>
    <n v="5"/>
    <x v="7"/>
    <x v="0"/>
    <m/>
    <s v="U20 F 64"/>
    <n v="177.13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90"/>
    <x v="6"/>
    <s v="Coraline DEMAN26/03/2007"/>
    <n v="2025"/>
    <s v="181.58319745186358"/>
    <s v="177.13072174909487"/>
  </r>
  <r>
    <x v="195"/>
    <x v="193"/>
    <s v="Cyril BAILLIEUX24/04/2005"/>
    <n v="438946"/>
    <s v="FR"/>
    <s v="PACA - Critérium National - Toulon - SUD PACA TOULON COTE AZURven 13 Déc 2024"/>
    <s v="EEAR MONTEUX"/>
    <s v="Cyril BAILLIEUX24/04/2005"/>
    <s v="58.4"/>
    <n v="70"/>
    <n v="75"/>
    <n v="78"/>
    <n v="78"/>
    <n v="153"/>
    <s v="OOO"/>
    <n v="88"/>
    <n v="92"/>
    <n v="-100"/>
    <n v="92"/>
    <n v="180"/>
    <s v="OOX"/>
    <x v="1"/>
    <x v="0"/>
    <x v="0"/>
    <n v="170"/>
    <n v="333"/>
    <s v="266.8513939787107"/>
    <s v="522.7147893818274"/>
    <x v="1"/>
    <n v="5"/>
    <x v="8"/>
    <x v="0"/>
    <m/>
    <s v="U20 M 61"/>
    <n v="266.85000000000002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1"/>
    <x v="0"/>
    <s v="Cyril BAILLIEUX24/04/2005"/>
    <n v="2025"/>
    <s v="267.458972713495"/>
    <s v="266.8513939787107"/>
  </r>
  <r>
    <x v="196"/>
    <x v="194"/>
    <s v="Damien CARLIER17/05/1999"/>
    <n v="409537"/>
    <s v="FR"/>
    <s v="IDF - Critérium National - Neuilly - Seniors Hommes 3ème plateausam 14 Déc 2024"/>
    <s v="RUEIL ATHLETIC CLUB"/>
    <s v="Damien CARLIER17/05/1999"/>
    <s v="88.5"/>
    <n v="-127"/>
    <n v="127"/>
    <n v="-132"/>
    <n v="127"/>
    <n v="0"/>
    <s v="XOX"/>
    <n v="-160"/>
    <n v="-160"/>
    <n v="-160"/>
    <n v="0"/>
    <n v="0"/>
    <s v="XXX"/>
    <x v="4"/>
    <x v="0"/>
    <x v="0"/>
    <n v="127"/>
    <n v="0"/>
    <s v="153.93818270206464"/>
    <s v="0.0"/>
    <x v="0"/>
    <n v="999"/>
    <x v="9"/>
    <x v="2"/>
    <m/>
    <s v="SEN M 89"/>
    <n v="0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57"/>
    <x v="3"/>
    <s v="Damien CARLIER17/05/1999"/>
    <n v="2025"/>
    <s v="353.1339790451348"/>
    <s v="340.30758011615336"/>
  </r>
  <r>
    <x v="197"/>
    <x v="195"/>
    <s v="Damien SCHACHERER25/09/1991"/>
    <n v="389172"/>
    <s v="FR"/>
    <s v="IDF - Critérium National - Franconville - Seniors Hommes 3ème plateausam 14 Déc 2024"/>
    <s v="VGA ST MAUR HALTEROPHILIE"/>
    <s v="Damien SCHACHERER25/09/1991"/>
    <s v="106.8"/>
    <n v="132"/>
    <n v="136"/>
    <n v="-140"/>
    <n v="136"/>
    <n v="268"/>
    <s v="OOX"/>
    <n v="168"/>
    <n v="0"/>
    <n v="0"/>
    <n v="168"/>
    <n v="0"/>
    <s v="OXX"/>
    <x v="0"/>
    <x v="0"/>
    <x v="0"/>
    <n v="304"/>
    <n v="268"/>
    <s v="339.7158181115324"/>
    <s v="299.48631333516676"/>
    <x v="1"/>
    <n v="5"/>
    <x v="19"/>
    <x v="2"/>
    <m/>
    <s v="SEN M 109"/>
    <n v="339.71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3"/>
    <x v="3"/>
    <s v="Damien SCHACHERER25/09/1991"/>
    <n v="2025"/>
    <s v="353.58660994337004"/>
    <s v="339.7158181115324"/>
  </r>
  <r>
    <x v="198"/>
    <x v="196"/>
    <s v="Dan PARASSOURAMIN-LATCHIMY02/01/1996"/>
    <n v="476117"/>
    <s v="FR"/>
    <s v="REU - Critérium National - La possession - LA REUNION-CRITERIUM-LA POSSESSION-U13sam 14 Déc 2024"/>
    <s v="HALTERO CLUB DE LA POSSESSION PLIIISSS"/>
    <s v="Dan PARASSOURAMIN-LATCHIMY02/01/1996"/>
    <s v="85.7"/>
    <n v="102"/>
    <n v="106"/>
    <n v="-110"/>
    <n v="106"/>
    <n v="208"/>
    <s v="OOX"/>
    <n v="122"/>
    <n v="-127"/>
    <n v="130"/>
    <n v="130"/>
    <n v="252"/>
    <s v="OXO"/>
    <x v="3"/>
    <x v="0"/>
    <x v="0"/>
    <n v="236"/>
    <n v="460"/>
    <s v="290.7082960376785"/>
    <s v="566.6348143107293"/>
    <x v="2"/>
    <n v="6"/>
    <x v="9"/>
    <x v="2"/>
    <m/>
    <s v="SEN M 89"/>
    <n v="290.7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67"/>
    <x v="5"/>
    <s v="Dan PARASSOURAMIN-LATCHIMY02/01/1996"/>
    <n v="2025"/>
    <s v="319.0964109140546"/>
    <s v="290.7082960376785"/>
  </r>
  <r>
    <x v="199"/>
    <x v="197"/>
    <s v="Darya KOUCHENSKY11/03/2006"/>
    <n v="436427"/>
    <s v="FR"/>
    <s v="NAQ - Critérium National - Mont de marsan - ligue Nouvelle Aquitainesam 14 Déc 2024"/>
    <s v="STADE MONTOIS HALTEROPHILIE"/>
    <s v="Darya KOUCHENSKY11/03/2006"/>
    <s v="54.5"/>
    <n v="55"/>
    <n v="58"/>
    <n v="-61"/>
    <n v="58"/>
    <n v="113"/>
    <s v="OOX"/>
    <n v="65"/>
    <n v="68"/>
    <n v="72"/>
    <n v="72"/>
    <n v="140"/>
    <s v="OOO"/>
    <x v="1"/>
    <x v="0"/>
    <x v="0"/>
    <n v="130"/>
    <n v="253"/>
    <s v="187.7683539666276"/>
    <s v="365.4261042581291"/>
    <x v="3"/>
    <n v="4"/>
    <x v="1"/>
    <x v="0"/>
    <m/>
    <s v="U20 F 55"/>
    <n v="187.76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91"/>
    <x v="12"/>
    <s v="Darya KOUCHENSKY11/03/2006"/>
    <n v="2025"/>
    <s v="188.9671802320644"/>
    <s v="188.9671802320644"/>
  </r>
  <r>
    <x v="200"/>
    <x v="198"/>
    <s v="David GABRIEL13/01/2012"/>
    <n v="502831"/>
    <s v="FR"/>
    <s v="REU - Critérium National - La possession - LA REUNION-CRITERIUM-LA POSSESSION-U13sam 14 Déc 2024"/>
    <s v="MAHAVELI HALTÉROPHILIE RÉUNION"/>
    <s v="David GABRIEL13/01/2012"/>
    <s v="76.55"/>
    <n v="27"/>
    <n v="-29"/>
    <n v="29"/>
    <n v="29"/>
    <n v="56"/>
    <s v="OXO"/>
    <n v="36"/>
    <n v="38"/>
    <n v="40"/>
    <n v="40"/>
    <n v="78"/>
    <s v="OOO"/>
    <x v="1"/>
    <x v="0"/>
    <x v="0"/>
    <n v="69"/>
    <n v="134"/>
    <s v="90.41089748111514"/>
    <s v="175.5805835140497"/>
    <x v="0"/>
    <n v="999"/>
    <x v="22"/>
    <x v="4"/>
    <m/>
    <s v="U13 M &gt;73"/>
    <n v="175.58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58"/>
    <x v="5"/>
    <s v="David GABRIEL13/01/2012"/>
    <n v="2025"/>
    <s v="90.41089748111514"/>
    <s v="90.41089748111514"/>
  </r>
  <r>
    <x v="201"/>
    <x v="199"/>
    <s v="David LAPOSTOLLE26/06/1992"/>
    <n v="218733"/>
    <s v="FR"/>
    <s v="HDF - Critérium National - Comines - Seniors Hommessam 14 Déc 2024"/>
    <s v="CAHC BERCK"/>
    <s v="David LAPOSTOLLE26/06/1992"/>
    <s v="92.68"/>
    <n v="110"/>
    <n v="115"/>
    <n v="-120"/>
    <n v="115"/>
    <n v="225"/>
    <s v="OOX"/>
    <n v="0"/>
    <n v="0"/>
    <n v="0"/>
    <n v="0"/>
    <n v="0"/>
    <s v="XXX"/>
    <x v="5"/>
    <x v="0"/>
    <x v="0"/>
    <n v="115"/>
    <n v="225"/>
    <s v="136.3580391897925"/>
    <s v="266.7874679800288"/>
    <x v="0"/>
    <n v="999"/>
    <x v="18"/>
    <x v="2"/>
    <m/>
    <s v="SEN M 96"/>
    <n v="0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92"/>
    <x v="8"/>
    <s v="David LAPOSTOLLE26/06/1992"/>
    <n v="2025"/>
    <s v="302.7833990179686"/>
    <s v="302.7833990179686"/>
  </r>
  <r>
    <x v="202"/>
    <x v="200"/>
    <s v="David PERUGA06/07/1988"/>
    <n v="335170"/>
    <s v="FR"/>
    <s v="OCC - Critérium National - Hc montalbanais - Plateau 2sam 14 Déc 2024"/>
    <s v="CH PAMIERS"/>
    <s v="David PERUGA06/07/1988"/>
    <s v="72.2"/>
    <n v="94"/>
    <n v="-97"/>
    <n v="98"/>
    <n v="98"/>
    <n v="192"/>
    <s v="OXO"/>
    <n v="116"/>
    <n v="119"/>
    <n v="-124"/>
    <n v="119"/>
    <n v="235"/>
    <s v="OOX"/>
    <x v="3"/>
    <x v="0"/>
    <x v="0"/>
    <n v="217"/>
    <n v="427"/>
    <s v="294.50904344585217"/>
    <s v="579.5177951676446"/>
    <x v="2"/>
    <n v="6"/>
    <x v="5"/>
    <x v="2"/>
    <n v="35"/>
    <s v="SEN M 73"/>
    <n v="294.5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93"/>
    <x v="1"/>
    <s v="David PERUGA06/07/1988"/>
    <n v="2025"/>
    <s v="294.50904344585217"/>
    <s v="294.50904344585217"/>
  </r>
  <r>
    <x v="203"/>
    <x v="201"/>
    <s v="David POTENZA22/01/1990"/>
    <n v="407595"/>
    <s v="FR"/>
    <s v="GE - Critérium National - Haguenau - ALS - U15 - U17 - U20 - SEN Homsam 14 Déc 2024"/>
    <s v="ASPTT STRASBOURG"/>
    <s v="David POTENZA22/01/1990"/>
    <s v="60.02"/>
    <n v="92"/>
    <n v="95"/>
    <n v="-98"/>
    <n v="95"/>
    <n v="187"/>
    <s v="OOX"/>
    <n v="112"/>
    <n v="116"/>
    <n v="-120"/>
    <n v="116"/>
    <n v="228"/>
    <s v="OOX"/>
    <x v="3"/>
    <x v="0"/>
    <x v="0"/>
    <n v="211"/>
    <n v="415"/>
    <s v="324.536856253334"/>
    <s v="638.3070869437612"/>
    <x v="1"/>
    <n v="5"/>
    <x v="8"/>
    <x v="2"/>
    <n v="35"/>
    <s v="SEN M 61"/>
    <n v="324.52999999999997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38"/>
    <x v="2"/>
    <s v="David POTENZA22/01/1990"/>
    <n v="2025"/>
    <s v="330.56776538331803"/>
    <s v="326.15486755975644"/>
  </r>
  <r>
    <x v="204"/>
    <x v="77"/>
    <s v="Deborah ULDRY02/12/1991"/>
    <n v="466433"/>
    <s v="FR"/>
    <s v="GE - Critérium National - Langres - LOR - CHAsam 14 Déc 2024"/>
    <s v="LANEUVEVILLE HMS"/>
    <s v="Deborah ULDRY02/12/1991"/>
    <s v="63.5"/>
    <n v="60"/>
    <n v="64"/>
    <n v="67"/>
    <n v="67"/>
    <n v="131"/>
    <s v="OOO"/>
    <n v="71"/>
    <n v="76"/>
    <n v="-80"/>
    <n v="76"/>
    <n v="147"/>
    <s v="OOX"/>
    <x v="1"/>
    <x v="0"/>
    <x v="0"/>
    <n v="143"/>
    <n v="278"/>
    <s v="186.81920762505553"/>
    <s v="363.18699104731076"/>
    <x v="2"/>
    <n v="6"/>
    <x v="7"/>
    <x v="2"/>
    <m/>
    <s v="SEN F 64"/>
    <n v="186.81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94"/>
    <x v="2"/>
    <s v="Deborah ULDRY02/12/1991"/>
    <n v="2025"/>
    <s v="186.81920762505553"/>
    <s v="186.81920762505553"/>
  </r>
  <r>
    <x v="205"/>
    <x v="202"/>
    <s v="Delphine GROBOTEK MOUROT05/06/1982"/>
    <n v="481375"/>
    <s v="FR"/>
    <s v="GE - Critérium National - Langres - LOR - CHAsam 14 Déc 2024"/>
    <s v="SNAGA HM"/>
    <s v="Delphine GROBOTEK MOUROT05/06/1982"/>
    <s v="57.3"/>
    <n v="57"/>
    <n v="61"/>
    <n v="-66"/>
    <n v="61"/>
    <n v="118"/>
    <s v="OOX"/>
    <n v="75"/>
    <n v="79"/>
    <n v="84"/>
    <n v="84"/>
    <n v="163"/>
    <s v="OOO"/>
    <x v="1"/>
    <x v="0"/>
    <x v="0"/>
    <n v="145"/>
    <n v="281"/>
    <s v="202.29877560265555"/>
    <s v="392.0410754782497"/>
    <x v="1"/>
    <n v="5"/>
    <x v="2"/>
    <x v="2"/>
    <n v="40"/>
    <s v="SEN F 59"/>
    <n v="202.29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95"/>
    <x v="2"/>
    <s v="Delphine GROBOTEK MOUROT05/06/1982"/>
    <n v="2025"/>
    <s v="213.82855081290631"/>
    <s v="202.29877560265555"/>
  </r>
  <r>
    <x v="206"/>
    <x v="203"/>
    <s v="Denis LEJEUNE27/07/1992"/>
    <n v="481106"/>
    <s v="FR"/>
    <s v="NAQ - Critérium National - Mont de marsan - ligue Nouvelle Aquitainesam 14 Déc 2024"/>
    <s v="STADE MONTOIS HALTEROPHILIE"/>
    <s v="Denis LEJEUNE27/07/1992"/>
    <n v="89"/>
    <n v="115"/>
    <n v="120"/>
    <n v="-125"/>
    <n v="120"/>
    <n v="235"/>
    <s v="OOX"/>
    <n v="145"/>
    <n v="150"/>
    <n v="-155"/>
    <n v="150"/>
    <n v="295"/>
    <s v="OOX"/>
    <x v="3"/>
    <x v="0"/>
    <x v="0"/>
    <n v="270"/>
    <n v="530"/>
    <s v="326.3685258399782"/>
    <s v="640.649328500698"/>
    <x v="1"/>
    <n v="5"/>
    <x v="9"/>
    <x v="2"/>
    <m/>
    <s v="SEN M 89"/>
    <n v="326.36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91"/>
    <x v="12"/>
    <s v="Denis LEJEUNE27/07/1992"/>
    <n v="2025"/>
    <s v="328.1185807569162"/>
    <s v="326.3685258399782"/>
  </r>
  <r>
    <x v="207"/>
    <x v="204"/>
    <s v="Dimitri ENGASSER19/08/1994"/>
    <n v="490403"/>
    <s v="FR"/>
    <s v="GE - Critérium National - Haguenau - ALS - U15 - U17 - U20 - SEN Homsam 14 Déc 2024"/>
    <s v="EEAR MONTEUX"/>
    <s v="Dimitri ENGASSER19/08/1994"/>
    <s v="72.9"/>
    <n v="105"/>
    <n v="109"/>
    <n v="-112"/>
    <n v="109"/>
    <n v="214"/>
    <s v="OOX"/>
    <n v="131"/>
    <n v="135"/>
    <n v="138"/>
    <n v="138"/>
    <n v="273"/>
    <s v="OOO"/>
    <x v="1"/>
    <x v="0"/>
    <x v="0"/>
    <n v="247"/>
    <n v="487"/>
    <s v="333.2373710144613"/>
    <s v="657.0307679515897"/>
    <x v="1"/>
    <n v="5"/>
    <x v="5"/>
    <x v="2"/>
    <m/>
    <s v="SEN M 73"/>
    <n v="333.23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11"/>
    <x v="0"/>
    <s v="Dimitri ENGASSER19/08/1994"/>
    <n v="2025"/>
    <s v="333.2373710144613"/>
    <s v="333.2373710144613"/>
  </r>
  <r>
    <x v="208"/>
    <x v="205"/>
    <s v="Dino SPATAFORA04/02/2005"/>
    <n v="496540"/>
    <s v="FR"/>
    <s v="HDF - Critérium National - Comines - U15 / U17 / U20 Hommessam 14 Déc 2024"/>
    <s v="AO SALLAUMINES"/>
    <s v="Dino SPATAFORA04/02/2005"/>
    <s v="72.2"/>
    <n v="88"/>
    <n v="91"/>
    <n v="95"/>
    <n v="95"/>
    <n v="186"/>
    <s v="OOO"/>
    <n v="-118"/>
    <n v="118"/>
    <n v="121"/>
    <n v="121"/>
    <n v="239"/>
    <s v="XOO"/>
    <x v="1"/>
    <x v="0"/>
    <x v="0"/>
    <n v="216"/>
    <n v="425"/>
    <s v="293.1518589138436"/>
    <s v="576.8034261036275"/>
    <x v="1"/>
    <n v="5"/>
    <x v="5"/>
    <x v="0"/>
    <m/>
    <s v="U20 M 73"/>
    <n v="293.14999999999998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65"/>
    <x v="8"/>
    <s v="Dino SPATAFORA04/02/2005"/>
    <n v="2025"/>
    <s v="293.1518589138436"/>
    <s v="293.1518589138436"/>
  </r>
  <r>
    <x v="209"/>
    <x v="206"/>
    <s v="Djalil BOUHENNOUCHE19/08/2000"/>
    <n v="496351"/>
    <s v="FR"/>
    <s v="REU - Critérium National - La possession - LA REUNION-CRITERIUM-LA POSSESSION-U13sam 14 Déc 2024"/>
    <s v="MAHAVELI HALTÉROPHILIE RÉUNION"/>
    <s v="Djalil BOUHENNOUCHE19/08/2000"/>
    <s v="86.7"/>
    <n v="100"/>
    <n v="110"/>
    <n v="-114"/>
    <n v="110"/>
    <n v="210"/>
    <s v="OOX"/>
    <n v="110"/>
    <n v="115"/>
    <n v="120"/>
    <n v="120"/>
    <n v="235"/>
    <s v="OOO"/>
    <x v="1"/>
    <x v="0"/>
    <x v="0"/>
    <n v="230"/>
    <n v="445"/>
    <s v="281.65265043597316"/>
    <s v="544.9366497565568"/>
    <x v="2"/>
    <n v="6"/>
    <x v="9"/>
    <x v="2"/>
    <m/>
    <s v="SEN M 89"/>
    <n v="281.64999999999998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58"/>
    <x v="5"/>
    <s v="Djalil BOUHENNOUCHE19/08/2000"/>
    <n v="2025"/>
    <s v="287.39107294719815"/>
    <s v="287.39107294719815"/>
  </r>
  <r>
    <x v="210"/>
    <x v="207"/>
    <s v="Dorian REY14/08/2004"/>
    <n v="448331"/>
    <s v="FR"/>
    <s v="PACA - Critérium National - Toulon - SUD PACA TOULON COTE AZURven 13 Déc 2024"/>
    <s v="ASL DUMONT D URVILLE"/>
    <s v="Dorian REY14/08/2004"/>
    <n v="82"/>
    <n v="113"/>
    <n v="118"/>
    <n v="-122"/>
    <n v="118"/>
    <n v="231"/>
    <s v="OOX"/>
    <n v="140"/>
    <n v="-145"/>
    <n v="145"/>
    <n v="145"/>
    <n v="285"/>
    <s v="OXO"/>
    <x v="3"/>
    <x v="0"/>
    <x v="0"/>
    <n v="263"/>
    <n v="516"/>
    <s v="331.5684545953005"/>
    <s v="650.5297436166353"/>
    <x v="1"/>
    <n v="5"/>
    <x v="9"/>
    <x v="2"/>
    <m/>
    <s v="SEN M 89"/>
    <n v="331.56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Dorian REY14/08/2004"/>
    <n v="2025"/>
    <s v="335.0663105768084"/>
    <s v="331.5684545953005"/>
  </r>
  <r>
    <x v="211"/>
    <x v="208"/>
    <s v="Dylan FLAUS28/05/1998"/>
    <n v="222911"/>
    <s v="FR"/>
    <s v="GE - Critérium National - Langres - LOR - CHAsam 14 Déc 2024"/>
    <s v="LANEUVEVILLE HMS"/>
    <s v="Dylan FLAUS28/05/1998"/>
    <s v="95.5"/>
    <n v="-133"/>
    <n v="135"/>
    <n v="-141"/>
    <n v="135"/>
    <n v="0"/>
    <s v="XOX"/>
    <n v="160"/>
    <n v="-173"/>
    <n v="-173"/>
    <n v="160"/>
    <n v="0"/>
    <s v="OXX"/>
    <x v="5"/>
    <x v="0"/>
    <x v="0"/>
    <n v="295"/>
    <n v="0"/>
    <s v="345.06993829735217"/>
    <s v="0.0"/>
    <x v="3"/>
    <n v="4"/>
    <x v="18"/>
    <x v="2"/>
    <m/>
    <s v="SEN M 96"/>
    <n v="345.06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94"/>
    <x v="2"/>
    <s v="Dylan FLAUS28/05/1998"/>
    <n v="2025"/>
    <s v="358.56116802629754"/>
    <s v="358.56116802629754"/>
  </r>
  <r>
    <x v="212"/>
    <x v="209"/>
    <s v="Edgar FINANCE28/09/2001"/>
    <n v="469738"/>
    <s v="FR"/>
    <s v="GE - Critérium National - Haguenau - ALS - U15 - U17 - U20 - SEN Homsam 14 Déc 2024"/>
    <s v="ASPTT STRASBOURG"/>
    <s v="Edgar FINANCE28/09/2001"/>
    <s v="72.1"/>
    <n v="90"/>
    <n v="-95"/>
    <n v="-100"/>
    <n v="90"/>
    <n v="0"/>
    <s v="OXX"/>
    <n v="111"/>
    <n v="-115"/>
    <n v="118"/>
    <n v="118"/>
    <n v="229"/>
    <s v="OXO"/>
    <x v="0"/>
    <x v="0"/>
    <x v="0"/>
    <n v="208"/>
    <n v="229"/>
    <s v="282.53694353867854"/>
    <s v="311.06230803056434"/>
    <x v="5"/>
    <n v="7"/>
    <x v="5"/>
    <x v="2"/>
    <m/>
    <s v="SEN M 73"/>
    <n v="282.52999999999997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38"/>
    <x v="2"/>
    <s v="Edgar FINANCE28/09/2001"/>
    <n v="2025"/>
    <s v="289.2032404764091"/>
    <s v="289.2032404764091"/>
  </r>
  <r>
    <x v="213"/>
    <x v="210"/>
    <s v="Eleane LEJEUNE25/06/2014"/>
    <n v="502981"/>
    <s v="FR"/>
    <s v="HDF - Critérium National - La Ferté Milon - U13sam 14 Déc 2024"/>
    <s v="USC MOISLAINS"/>
    <s v="Eleane LEJEUNE25/06/2014"/>
    <s v="27.92"/>
    <n v="13"/>
    <n v="15"/>
    <n v="-17"/>
    <n v="15"/>
    <n v="28"/>
    <s v="OOX"/>
    <n v="15"/>
    <n v="17"/>
    <n v="19"/>
    <n v="19"/>
    <n v="36"/>
    <s v="OOO"/>
    <x v="1"/>
    <x v="0"/>
    <x v="0"/>
    <n v="34"/>
    <n v="64"/>
    <s v="91.9420414062996"/>
    <s v="173.06737205891687"/>
    <x v="0"/>
    <n v="999"/>
    <x v="14"/>
    <x v="4"/>
    <m/>
    <s v="U13 F 35"/>
    <n v="173.06"/>
    <x v="1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87"/>
    <x v="8"/>
    <s v="Eleane LEJEUNE25/06/2014"/>
    <n v="2025"/>
    <s v="91.9420414062996"/>
    <s v="91.9420414062996"/>
  </r>
  <r>
    <x v="214"/>
    <x v="211"/>
    <s v="Elena AIGLE25/03/1998"/>
    <n v="430917"/>
    <s v="FR"/>
    <s v="AURA - Critérium National - Vaulx en velin - PLATEAU 2  SENIOR FEMININESdim 15 Déc 2024"/>
    <s v="ELITE BARBELL VAULX EN VELIN"/>
    <s v="Elena AIGLE25/03/1998"/>
    <n v="59"/>
    <n v="72"/>
    <n v="-75"/>
    <n v="77"/>
    <n v="77"/>
    <n v="149"/>
    <s v="OXO"/>
    <n v="95"/>
    <n v="-99"/>
    <n v="-100"/>
    <n v="95"/>
    <n v="0"/>
    <s v="OXX"/>
    <x v="0"/>
    <x v="0"/>
    <x v="0"/>
    <n v="172"/>
    <n v="149"/>
    <s v="235.3493828237599"/>
    <s v="203.87824442290827"/>
    <x v="3"/>
    <n v="4"/>
    <x v="2"/>
    <x v="2"/>
    <m/>
    <s v="SEN F 59"/>
    <n v="235.34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76"/>
    <x v="4"/>
    <s v="Elena AIGLE25/03/1998"/>
    <n v="2025"/>
    <s v="244.9816617625413"/>
    <s v="235.3493828237599"/>
  </r>
  <r>
    <x v="215"/>
    <x v="212"/>
    <s v="Elena FLECHAUD23/04/2014"/>
    <n v="490666"/>
    <s v="FR"/>
    <s v="REU - Critérium National - La possession - LA REUNION-CRITERIUM-LA POSSESSION-U13sam 14 Déc 2024"/>
    <s v="LO SAN JOSEPH BARBELL CLUB"/>
    <s v="Elena FLECHAUD23/04/2014"/>
    <s v="35.7"/>
    <n v="14"/>
    <n v="16"/>
    <n v="18"/>
    <n v="18"/>
    <n v="34"/>
    <s v="OOO"/>
    <n v="18"/>
    <n v="20"/>
    <n v="22"/>
    <n v="22"/>
    <n v="42"/>
    <s v="OOO"/>
    <x v="2"/>
    <x v="0"/>
    <x v="0"/>
    <n v="40"/>
    <n v="76"/>
    <s v="82.90246888294112"/>
    <s v="157.51469087758812"/>
    <x v="0"/>
    <n v="999"/>
    <x v="11"/>
    <x v="4"/>
    <m/>
    <s v="U13 F 40"/>
    <n v="157.51"/>
    <x v="1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84"/>
    <x v="5"/>
    <s v="Elena FLECHAUD23/04/2014"/>
    <n v="2025"/>
    <s v="82.90246888294112"/>
    <s v="82.90246888294112"/>
  </r>
  <r>
    <x v="216"/>
    <x v="213"/>
    <s v="Elésia BLAIZE18/12/2013"/>
    <n v="491505"/>
    <s v="FR"/>
    <s v="BFC - Critérium National - Besançon - BFC-Critérium U13 F-Besançondim 15 Déc 2024"/>
    <s v="CLUB HALTEROPHILE LUXOVIEN"/>
    <s v="Elésia BLAIZE18/12/2013"/>
    <n v="36"/>
    <n v="-18"/>
    <n v="18"/>
    <n v="20"/>
    <n v="20"/>
    <n v="38"/>
    <s v="XOO"/>
    <n v="26"/>
    <n v="28"/>
    <n v="30"/>
    <n v="30"/>
    <n v="58"/>
    <s v="OOO"/>
    <x v="1"/>
    <x v="0"/>
    <x v="0"/>
    <n v="50"/>
    <n v="96"/>
    <s v="102.76854025664221"/>
    <s v="197.31559729275307"/>
    <x v="0"/>
    <n v="999"/>
    <x v="11"/>
    <x v="4"/>
    <m/>
    <s v="U13 F 40"/>
    <n v="197.31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"/>
    <x v="6"/>
    <s v="Elésia BLAIZE18/12/2013"/>
    <n v="2025"/>
    <s v="105.10453020684972"/>
    <s v="105.10453020684972"/>
  </r>
  <r>
    <x v="217"/>
    <x v="214"/>
    <s v="Elia SACRIAS18/02/2001"/>
    <n v="468643"/>
    <s v="FR"/>
    <s v="NAQ - Critérium National - Mont de marsan - ligue Nouvelle Aquitainesam 14 Déc 2024"/>
    <s v="POWERCAMP BORDEAUX HALTEROPHILIE"/>
    <s v="Elia SACRIAS18/02/2001"/>
    <n v="58"/>
    <n v="63"/>
    <n v="67"/>
    <n v="-70"/>
    <n v="67"/>
    <n v="130"/>
    <s v="OOX"/>
    <n v="80"/>
    <n v="83"/>
    <n v="85"/>
    <n v="85"/>
    <n v="168"/>
    <s v="OOO"/>
    <x v="1"/>
    <x v="0"/>
    <x v="0"/>
    <n v="152"/>
    <n v="298"/>
    <s v="210.34516629349508"/>
    <s v="412.38723391751006"/>
    <x v="1"/>
    <n v="5"/>
    <x v="2"/>
    <x v="2"/>
    <m/>
    <s v="SEN F 59"/>
    <n v="210.34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70"/>
    <x v="12"/>
    <s v="Elia SACRIAS18/02/2001"/>
    <n v="2025"/>
    <s v="210.34516629349508"/>
    <s v="210.34516629349508"/>
  </r>
  <r>
    <x v="218"/>
    <x v="215"/>
    <s v="Elisa ESPLAS14/01/2003"/>
    <n v="489965"/>
    <s v="FR"/>
    <s v="OCC - Critérium National - Hc montalbanais - Plateau 3sam 14 Déc 2024"/>
    <s v="TOULOUSE HC"/>
    <s v="Elisa ESPLAS14/01/2003"/>
    <s v="54.4"/>
    <n v="56"/>
    <n v="-59"/>
    <n v="-60"/>
    <n v="56"/>
    <n v="0"/>
    <s v="OXX"/>
    <n v="67"/>
    <n v="70"/>
    <n v="-74"/>
    <n v="70"/>
    <n v="137"/>
    <s v="OOX"/>
    <x v="0"/>
    <x v="0"/>
    <x v="0"/>
    <n v="126"/>
    <n v="137"/>
    <s v="182.22820111580884"/>
    <s v="198.13701232433183"/>
    <x v="2"/>
    <n v="6"/>
    <x v="1"/>
    <x v="2"/>
    <m/>
    <s v="SEN F 55"/>
    <n v="182.22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6"/>
    <x v="1"/>
    <s v="Elisa ESPLAS14/01/2003"/>
    <n v="2025"/>
    <s v="182.22820111580884"/>
    <s v="182.22820111580884"/>
  </r>
  <r>
    <x v="219"/>
    <x v="216"/>
    <s v="Elisa LOIGEROT31/07/2009"/>
    <n v="477302"/>
    <s v="FR"/>
    <s v="BFC - Critérium National - Besançon - BFC-Critérium U17-20 SEN Fsam 14 Déc 2024"/>
    <s v="CLUB HALTEROPHILE LUXOVIEN"/>
    <s v="Elisa LOIGEROT31/07/2009"/>
    <s v="52.75"/>
    <n v="37"/>
    <n v="40"/>
    <n v="-42"/>
    <n v="40"/>
    <n v="77"/>
    <s v="OOX"/>
    <n v="48"/>
    <n v="51"/>
    <n v="54"/>
    <n v="54"/>
    <n v="105"/>
    <s v="OOO"/>
    <x v="1"/>
    <x v="0"/>
    <x v="0"/>
    <n v="94"/>
    <n v="182"/>
    <s v="138.99984615000264"/>
    <s v="269.127361694686"/>
    <x v="2"/>
    <n v="6"/>
    <x v="1"/>
    <x v="3"/>
    <m/>
    <s v="U17 F 55"/>
    <n v="138.99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0"/>
    <x v="6"/>
    <s v="Elisa LOIGEROT31/07/2009"/>
    <n v="2025"/>
    <s v="138.99984615000264"/>
    <s v="138.99984615000264"/>
  </r>
  <r>
    <x v="220"/>
    <x v="217"/>
    <s v="Élisabeth MOREAU14/12/1996"/>
    <n v="462007"/>
    <s v="FR"/>
    <s v="REU - Critérium National - La possession - SENIOREdim 15 Déc 2024"/>
    <s v="MAHAVELI HALTÉROPHILIE RÉUNION"/>
    <s v="Élisabeth MOREAU14/12/1996"/>
    <s v="43.35"/>
    <n v="52"/>
    <n v="-55"/>
    <n v="-55"/>
    <n v="52"/>
    <n v="0"/>
    <s v="OXX"/>
    <n v="-65"/>
    <n v="-65"/>
    <n v="65"/>
    <n v="65"/>
    <n v="0"/>
    <s v="XXO"/>
    <x v="5"/>
    <x v="1"/>
    <x v="0"/>
    <n v="117"/>
    <n v="0"/>
    <s v="202.35838167503022"/>
    <s v="0.0"/>
    <x v="3"/>
    <n v="4"/>
    <x v="6"/>
    <x v="2"/>
    <m/>
    <s v="SEN F 45"/>
    <n v="202.35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58"/>
    <x v="5"/>
    <s v="Élisabeth MOREAU14/12/1996"/>
    <n v="2025"/>
    <s v="215.72166179024447"/>
    <s v="202.35838167503022"/>
  </r>
  <r>
    <x v="221"/>
    <x v="218"/>
    <s v="Elise FREBOURG28/07/1978"/>
    <n v="274983"/>
    <s v="FR"/>
    <s v="NDIE - Critérium National - Caen - Plateau B fémininsam 14 Déc 2024"/>
    <s v="CHM LE TRAIT"/>
    <s v="Elise FREBOURG28/07/1978"/>
    <s v="53.5"/>
    <n v="50"/>
    <n v="-52"/>
    <n v="53"/>
    <n v="53"/>
    <n v="103"/>
    <s v="OXO"/>
    <n v="-64"/>
    <n v="67"/>
    <n v="-70"/>
    <n v="67"/>
    <n v="0"/>
    <s v="XOX"/>
    <x v="0"/>
    <x v="0"/>
    <x v="0"/>
    <n v="120"/>
    <n v="103"/>
    <s v="175.63596065729905"/>
    <s v="150.7541995641817"/>
    <x v="2"/>
    <n v="6"/>
    <x v="1"/>
    <x v="2"/>
    <n v="45"/>
    <s v="SEN F 55"/>
    <n v="175.63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15"/>
    <x v="9"/>
    <s v="Elise FREBOURG28/07/1978"/>
    <n v="2025"/>
    <s v="183.10153772285886"/>
    <s v="175.63596065729905"/>
  </r>
  <r>
    <x v="222"/>
    <x v="219"/>
    <s v="Élise MARECHAL27/10/1998"/>
    <n v="492105"/>
    <s v="FR"/>
    <s v="PACA - Critérium National - Mondragon - Provence U15 - U17 - U20 - SEN F 45 à F55sam 14 Déc 2024"/>
    <s v="ISTRES SPORT HALTEROPHILIE"/>
    <s v="Élise MARECHAL27/10/1998"/>
    <s v="48.9"/>
    <n v="48"/>
    <n v="51"/>
    <n v="-53"/>
    <n v="51"/>
    <n v="99"/>
    <s v="OOX"/>
    <n v="62"/>
    <n v="64"/>
    <n v="-66"/>
    <n v="64"/>
    <n v="126"/>
    <s v="OOX"/>
    <x v="3"/>
    <x v="0"/>
    <x v="0"/>
    <n v="115"/>
    <n v="225"/>
    <s v="180.09710151356214"/>
    <s v="352.36389426566507"/>
    <x v="1"/>
    <n v="5"/>
    <x v="10"/>
    <x v="2"/>
    <m/>
    <s v="SEN F 49"/>
    <n v="180.09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47"/>
    <x v="0"/>
    <s v="Élise MARECHAL27/10/1998"/>
    <n v="2025"/>
    <s v="180.09710151356214"/>
    <s v="180.09710151356214"/>
  </r>
  <r>
    <x v="223"/>
    <x v="220"/>
    <s v="Elisée GONZAGUE-MOLONGO11/04/1995"/>
    <n v="489721"/>
    <s v="FR"/>
    <s v="IDF - Critérium National - Neuilly - Seniors Hommes 3ème plateausam 14 Déc 2024"/>
    <s v="SPORTING CLUB DE NEUILLY"/>
    <s v="Elisée GONZAGUE-MOLONGO11/04/1995"/>
    <s v="79.6"/>
    <n v="95"/>
    <n v="-100"/>
    <n v="-100"/>
    <n v="95"/>
    <n v="0"/>
    <s v="OXX"/>
    <n v="-120"/>
    <n v="-120"/>
    <n v="-120"/>
    <n v="0"/>
    <n v="0"/>
    <s v="XXX"/>
    <x v="4"/>
    <x v="0"/>
    <x v="0"/>
    <n v="95"/>
    <n v="0"/>
    <s v="121.7360735988164"/>
    <s v="0.0"/>
    <x v="0"/>
    <n v="999"/>
    <x v="4"/>
    <x v="2"/>
    <m/>
    <s v="SEN M 81"/>
    <n v="0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8"/>
    <x v="3"/>
    <s v="Elisée GONZAGUE-MOLONGO11/04/1995"/>
    <n v="2025"/>
    <s v="288.52473269422705"/>
    <s v="287.44337508642025"/>
  </r>
  <r>
    <x v="224"/>
    <x v="221"/>
    <s v="Elixane LECLERCQ30/10/2003"/>
    <n v="501487"/>
    <s v="FR"/>
    <s v="HDF - Critérium National - Comines - U20 - Seniors Femmessam 14 Déc 2024"/>
    <s v="ASPTT LILLE METROPOLE"/>
    <s v="Elixane LECLERCQ30/10/2003"/>
    <s v="58.41"/>
    <n v="55"/>
    <n v="59"/>
    <n v="-62"/>
    <n v="59"/>
    <n v="114"/>
    <s v="OOX"/>
    <n v="75"/>
    <n v="-78"/>
    <n v="81"/>
    <n v="81"/>
    <n v="156"/>
    <s v="OXO"/>
    <x v="3"/>
    <x v="0"/>
    <x v="0"/>
    <n v="140"/>
    <n v="270"/>
    <s v="192.83486098049062"/>
    <s v="371.89580331951765"/>
    <x v="1"/>
    <n v="5"/>
    <x v="2"/>
    <x v="2"/>
    <m/>
    <s v="SEN F 59"/>
    <n v="192.83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16"/>
    <x v="8"/>
    <s v="Elixane LECLERCQ30/10/2003"/>
    <n v="2025"/>
    <s v="192.83486098049062"/>
    <s v="192.83486098049062"/>
  </r>
  <r>
    <x v="225"/>
    <x v="222"/>
    <s v="Eloane CONGA30/12/2005"/>
    <n v="495201"/>
    <s v="FR"/>
    <s v="BRE - Critérium National - Plouhinec - Femmessam 14 Déc 2024"/>
    <s v="CERCLE PAUL BERT"/>
    <s v="Eloane CONGA30/12/2005"/>
    <s v="66.4"/>
    <n v="64"/>
    <n v="-67"/>
    <n v="70"/>
    <n v="70"/>
    <n v="134"/>
    <s v="OXO"/>
    <n v="78"/>
    <n v="-84"/>
    <n v="-85"/>
    <n v="78"/>
    <n v="0"/>
    <s v="OXX"/>
    <x v="0"/>
    <x v="0"/>
    <x v="0"/>
    <n v="148"/>
    <n v="134"/>
    <s v="188.32979700507957"/>
    <s v="170.51481620730178"/>
    <x v="3"/>
    <n v="4"/>
    <x v="3"/>
    <x v="0"/>
    <m/>
    <s v="U20 F 71"/>
    <n v="188.32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41"/>
    <x v="7"/>
    <s v="Eloane CONGA30/12/2005"/>
    <n v="2025"/>
    <s v="188.49293652773923"/>
    <s v="188.49293652773923"/>
  </r>
  <r>
    <x v="226"/>
    <x v="223"/>
    <s v="Elodie CUVILLIER05/09/2001"/>
    <n v="491217"/>
    <s v="FR"/>
    <s v="IDF - Critérium National - Neuilly-sur-seinesam 14 Déc 2024"/>
    <s v="CACHAN HM"/>
    <s v="Elodie CUVILLIER05/09/2001"/>
    <s v="68.2"/>
    <n v="-64"/>
    <n v="64"/>
    <n v="-67"/>
    <n v="64"/>
    <n v="0"/>
    <s v="XOX"/>
    <n v="80"/>
    <n v="-88"/>
    <n v="-88"/>
    <n v="80"/>
    <n v="0"/>
    <s v="OXX"/>
    <x v="5"/>
    <x v="0"/>
    <x v="0"/>
    <n v="144"/>
    <n v="0"/>
    <s v="180.4921795673372"/>
    <s v="0.0"/>
    <x v="2"/>
    <n v="6"/>
    <x v="3"/>
    <x v="2"/>
    <m/>
    <s v="SEN F 71"/>
    <n v="180.49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7"/>
    <x v="3"/>
    <s v="Elodie CUVILLIER05/09/2001"/>
    <n v="2025"/>
    <s v="185.08458366171692"/>
    <s v="185.08458366171692"/>
  </r>
  <r>
    <x v="227"/>
    <x v="224"/>
    <s v="Elodie MAZOUZ04/07/2000"/>
    <n v="403855"/>
    <s v="FR"/>
    <s v="HDF - Critérium National - Comines - U20 - Seniors Femmessam 14 Déc 2024"/>
    <s v="ASL DUMONT D URVILLE"/>
    <s v="Elodie MAZOUZ04/07/2000"/>
    <n v="55"/>
    <n v="62"/>
    <n v="65"/>
    <n v="67"/>
    <n v="67"/>
    <n v="132"/>
    <s v="OOO"/>
    <n v="78"/>
    <n v="81"/>
    <n v="-83"/>
    <n v="81"/>
    <n v="159"/>
    <s v="OOX"/>
    <x v="1"/>
    <x v="0"/>
    <x v="0"/>
    <n v="148"/>
    <n v="291"/>
    <s v="212.39345986785324"/>
    <s v="417.6114650104412"/>
    <x v="3"/>
    <n v="4"/>
    <x v="1"/>
    <x v="2"/>
    <m/>
    <s v="SEN F 55"/>
    <n v="212.39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0"/>
    <x v="0"/>
    <s v="Elodie MAZOUZ04/07/2000"/>
    <n v="2025"/>
    <s v="212.39345986785324"/>
    <s v="212.39345986785324"/>
  </r>
  <r>
    <x v="228"/>
    <x v="225"/>
    <s v="Eloise MONIER10/06/2013"/>
    <n v="489772"/>
    <s v="FR"/>
    <s v="PACA - Critérium National - Mondragon - Provence U13sam 14 Déc 2024"/>
    <s v="EEAR MONTEUX"/>
    <s v="Eloise MONIER10/06/2013"/>
    <s v="53.3"/>
    <n v="22"/>
    <n v="24"/>
    <n v="26"/>
    <n v="26"/>
    <n v="50"/>
    <s v="OOO"/>
    <n v="32"/>
    <n v="34"/>
    <n v="36"/>
    <n v="36"/>
    <n v="70"/>
    <s v="OOO"/>
    <x v="2"/>
    <x v="0"/>
    <x v="0"/>
    <n v="62"/>
    <n v="120"/>
    <s v="90.9912828109863"/>
    <s v="176.11216027932835"/>
    <x v="0"/>
    <n v="999"/>
    <x v="1"/>
    <x v="4"/>
    <m/>
    <s v="U13 F 55"/>
    <n v="176.11"/>
    <x v="1"/>
    <s v="PACA - Critérium National - Mondragon - Provence U13sam 14 Déc 2024"/>
    <s v="Critérium National - Mondragon - Provence U13"/>
    <s v="PAC"/>
    <d v="2024-12-14T00:00:00"/>
    <n v="2024"/>
    <n v="12"/>
    <s v="2024-12"/>
    <m/>
    <s v="2024-2025"/>
    <n v="2025"/>
    <x v="11"/>
    <x v="0"/>
    <s v="Eloise MONIER10/06/2013"/>
    <n v="2025"/>
    <s v="107.78758134457033"/>
    <s v="107.78758134457033"/>
  </r>
  <r>
    <x v="229"/>
    <x v="226"/>
    <s v="Eloïse QUERE15/11/2006"/>
    <n v="402002"/>
    <s v="FR"/>
    <s v="BRE - Critérium National - Plouhinec - Femmessam 14 Déc 2024"/>
    <s v="CHM PLOUHINEC POINTE DU RAZ"/>
    <s v="Eloïse QUERE15/11/2006"/>
    <s v="67.85"/>
    <n v="56"/>
    <n v="59"/>
    <n v="-61"/>
    <n v="59"/>
    <n v="115"/>
    <s v="OOX"/>
    <n v="68"/>
    <n v="72"/>
    <n v="75"/>
    <n v="75"/>
    <n v="147"/>
    <s v="OOO"/>
    <x v="1"/>
    <x v="0"/>
    <x v="0"/>
    <n v="134"/>
    <n v="262"/>
    <s v="168.44043709448553"/>
    <s v="329.3387650653374"/>
    <x v="1"/>
    <n v="5"/>
    <x v="3"/>
    <x v="0"/>
    <m/>
    <s v="U20 F 71"/>
    <n v="168.44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34"/>
    <x v="7"/>
    <s v="Eloïse QUERE15/11/2006"/>
    <n v="2025"/>
    <s v="178.75893703487844"/>
    <s v="168.77500595878513"/>
  </r>
  <r>
    <x v="230"/>
    <x v="227"/>
    <s v="Elora RODRIGUES16/09/1994"/>
    <n v="484065"/>
    <s v="FR"/>
    <s v="OCC - Critérium National - Hc montalbanais - Plateau 1sam 14 Déc 2024"/>
    <s v="OCCITAN BARBELL CREW"/>
    <s v="Elora RODRIGUES16/09/1994"/>
    <s v="57.1"/>
    <n v="-63"/>
    <n v="-63"/>
    <n v="-63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2"/>
    <x v="2"/>
    <m/>
    <s v="SEN F 59"/>
    <n v="0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14"/>
    <x v="1"/>
    <s v="Elora RODRIGUES16/09/1994"/>
    <n v="2025"/>
    <s v="180.10766565114758"/>
    <s v="0.0"/>
  </r>
  <r>
    <x v="231"/>
    <x v="228"/>
    <s v="Elsa THIERRY22/04/1993"/>
    <n v="498201"/>
    <s v="FR"/>
    <s v="REU - Critérium National - La possession - SENIOREdim 15 Déc 2024"/>
    <s v="HALTERO CLUB DE LA POSSESSION PLIIISSS"/>
    <s v="Elsa THIERRY22/04/1993"/>
    <s v="53.95"/>
    <n v="59"/>
    <n v="-62"/>
    <n v="62"/>
    <n v="62"/>
    <n v="121"/>
    <s v="OXO"/>
    <n v="-70"/>
    <n v="73"/>
    <n v="76"/>
    <n v="76"/>
    <n v="149"/>
    <s v="XOO"/>
    <x v="3"/>
    <x v="0"/>
    <x v="0"/>
    <n v="138"/>
    <n v="270"/>
    <s v="200.76895603146343"/>
    <s v="392.80882701808065"/>
    <x v="1"/>
    <n v="5"/>
    <x v="1"/>
    <x v="2"/>
    <m/>
    <s v="SEN F 55"/>
    <n v="200.76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67"/>
    <x v="5"/>
    <s v="Elsa THIERRY22/04/1993"/>
    <n v="2025"/>
    <s v="200.76895603146343"/>
    <s v="200.76895603146343"/>
  </r>
  <r>
    <x v="232"/>
    <x v="229"/>
    <s v="Elyse SUGNY08/03/1998"/>
    <n v="490037"/>
    <s v="FR"/>
    <s v="BFC - Critérium National - Besançon - BFC-Critérium 2 SEN Fsam 14 Déc 2024"/>
    <s v="CLUB HALTEROPHILE LUXOVIEN"/>
    <s v="Elyse SUGNY08/03/1998"/>
    <s v="70.9"/>
    <n v="61"/>
    <n v="65"/>
    <n v="70"/>
    <n v="70"/>
    <n v="135"/>
    <s v="OOO"/>
    <n v="74"/>
    <n v="78"/>
    <n v="82"/>
    <n v="82"/>
    <n v="160"/>
    <s v="OOO"/>
    <x v="2"/>
    <x v="0"/>
    <x v="0"/>
    <n v="152"/>
    <n v="295"/>
    <s v="186.54904706259813"/>
    <s v="362.05242686491084"/>
    <x v="1"/>
    <n v="5"/>
    <x v="3"/>
    <x v="2"/>
    <m/>
    <s v="SEN F 71"/>
    <n v="186.54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10"/>
    <x v="6"/>
    <s v="Elyse SUGNY08/03/1998"/>
    <n v="2025"/>
    <s v="186.54904706259813"/>
    <s v="186.54904706259813"/>
  </r>
  <r>
    <x v="233"/>
    <x v="230"/>
    <s v="Elyssa JALKH17/01/2006"/>
    <n v="475601"/>
    <s v="FR"/>
    <s v="NAQ - Critérium National - Mont de marsan - ligue Nouvelle Aquitainesam 14 Déc 2024"/>
    <s v="STADE MONTOIS HALTEROPHILIE"/>
    <s v="Elyssa JALKH17/01/2006"/>
    <s v="51.9"/>
    <n v="-45"/>
    <n v="45"/>
    <n v="48"/>
    <n v="48"/>
    <n v="93"/>
    <s v="XOO"/>
    <n v="-55"/>
    <n v="-56"/>
    <n v="-60"/>
    <n v="0"/>
    <n v="0"/>
    <s v="XXX"/>
    <x v="5"/>
    <x v="0"/>
    <x v="0"/>
    <n v="48"/>
    <n v="93"/>
    <s v="71.83338025362313"/>
    <s v="139.17717424139482"/>
    <x v="0"/>
    <n v="999"/>
    <x v="1"/>
    <x v="0"/>
    <m/>
    <s v="U20 F 55"/>
    <n v="0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91"/>
    <x v="12"/>
    <s v="Elyssa JALKH17/01/2006"/>
    <n v="2025"/>
    <s v="150.08204804862123"/>
    <s v="150.08204804862123"/>
  </r>
  <r>
    <x v="234"/>
    <x v="231"/>
    <s v="Ema CUVILLIER01/05/2010"/>
    <n v="453274"/>
    <s v="FR"/>
    <s v="HDF - Critérium National - Comines - U15 / U17 Femmessam 14 Déc 2024"/>
    <s v="CA ROSENDAEL"/>
    <s v="Ema CUVILLIER01/05/2010"/>
    <s v="63.6"/>
    <n v="40"/>
    <n v="-42"/>
    <n v="42"/>
    <n v="42"/>
    <n v="82"/>
    <s v="OXO"/>
    <n v="50"/>
    <n v="53"/>
    <n v="-55"/>
    <n v="53"/>
    <n v="103"/>
    <s v="OOX"/>
    <x v="3"/>
    <x v="0"/>
    <x v="0"/>
    <n v="95"/>
    <n v="185"/>
    <s v="123.99276392040741"/>
    <s v="241.4595928976355"/>
    <x v="1"/>
    <n v="5"/>
    <x v="7"/>
    <x v="1"/>
    <m/>
    <s v="U15 F 64"/>
    <n v="123.99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13"/>
    <x v="8"/>
    <s v="Ema CUVILLIER01/05/2010"/>
    <n v="2025"/>
    <s v="123.99276392040741"/>
    <s v="123.99276392040741"/>
  </r>
  <r>
    <x v="235"/>
    <x v="232"/>
    <s v="Ema DURIC24/01/2012"/>
    <n v="461780"/>
    <s v="FR"/>
    <s v="BFC - Critérium National - Besançon - BFC-Critérium U13 F-Besançondim 15 Déc 2024"/>
    <s v="CLUB HALTEROPHILE LUXOVIEN"/>
    <s v="Ema DURIC24/01/2012"/>
    <s v="49.4"/>
    <n v="45"/>
    <n v="47"/>
    <n v="49"/>
    <n v="49"/>
    <n v="96"/>
    <s v="OOO"/>
    <n v="56"/>
    <n v="58"/>
    <n v="60"/>
    <n v="60"/>
    <n v="118"/>
    <s v="OOO"/>
    <x v="2"/>
    <x v="0"/>
    <x v="0"/>
    <n v="109"/>
    <n v="214"/>
    <s v="169.35221888333965"/>
    <s v="332.48967744068517"/>
    <x v="0"/>
    <n v="999"/>
    <x v="1"/>
    <x v="4"/>
    <m/>
    <s v="U13 F 55"/>
    <n v="332.48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"/>
    <x v="6"/>
    <s v="Ema DURIC24/01/2012"/>
    <n v="2025"/>
    <s v="169.35221888333965"/>
    <s v="169.35221888333965"/>
  </r>
  <r>
    <x v="236"/>
    <x v="233"/>
    <s v="Emeline LAURENT08/01/2007"/>
    <n v="481075"/>
    <s v="FR"/>
    <s v="AURA - Critérium National - Vaulx en velin - PLATEAU JEUNES FEMININESsam 14 Déc 2024"/>
    <s v="CH ARBRESLE"/>
    <s v="Emeline LAURENT08/01/2007"/>
    <s v="72.3"/>
    <n v="74"/>
    <n v="-78"/>
    <n v="80"/>
    <n v="80"/>
    <n v="154"/>
    <s v="OXO"/>
    <n v="90"/>
    <n v="96"/>
    <n v="-100"/>
    <n v="96"/>
    <n v="186"/>
    <s v="OOX"/>
    <x v="3"/>
    <x v="0"/>
    <x v="0"/>
    <n v="176"/>
    <n v="340"/>
    <s v="213.8086036481041"/>
    <s v="413.03934795656477"/>
    <x v="4"/>
    <n v="3"/>
    <x v="15"/>
    <x v="0"/>
    <m/>
    <s v="U20 F 76"/>
    <n v="213.8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71"/>
    <x v="4"/>
    <s v="Emeline LAURENT08/01/2007"/>
    <n v="2025"/>
    <s v="213.8086036481041"/>
    <s v="213.8086036481041"/>
  </r>
  <r>
    <x v="237"/>
    <x v="234"/>
    <s v="Emerick BERGER01/04/1987"/>
    <n v="16592"/>
    <s v="FR"/>
    <s v="HDF - Critérium National - La Ferté Milon - U17 / Seniors Hommessam 14 Déc 2024"/>
    <s v="CLUB MILONAIS HM"/>
    <s v="Emerick BERGER01/04/1987"/>
    <s v="88.12"/>
    <n v="103"/>
    <n v="107"/>
    <n v="111"/>
    <n v="111"/>
    <n v="218"/>
    <s v="OOO"/>
    <n v="125"/>
    <n v="130"/>
    <n v="135"/>
    <n v="135"/>
    <n v="265"/>
    <s v="OOO"/>
    <x v="2"/>
    <x v="0"/>
    <x v="0"/>
    <n v="246"/>
    <n v="483"/>
    <s v="298.8124469561064"/>
    <s v="586.6927312186966"/>
    <x v="2"/>
    <n v="6"/>
    <x v="9"/>
    <x v="2"/>
    <n v="35"/>
    <s v="SEN M 89"/>
    <n v="298.81"/>
    <x v="0"/>
    <s v="HDF - Critérium National - La Ferté Milon - U17 / Seniors Hommessam 14 Déc 2024"/>
    <s v="Critérium National - La Ferté Milon - U17 / Seniors Hommes"/>
    <s v="HDF"/>
    <d v="2024-12-14T00:00:00"/>
    <n v="2024"/>
    <n v="12"/>
    <s v="2024-12"/>
    <m/>
    <s v="2024-2025"/>
    <n v="2025"/>
    <x v="80"/>
    <x v="8"/>
    <s v="Emerick BERGER01/04/1987"/>
    <n v="2025"/>
    <s v="298.8124469561064"/>
    <s v="298.8124469561064"/>
  </r>
  <r>
    <x v="238"/>
    <x v="235"/>
    <s v="Emilie DUMONT21/03/1993"/>
    <n v="432506"/>
    <s v="FR"/>
    <s v="NAQ - Critérium National - Mont de marsan - ligue Nouvelle Aquitaine plateau 2 fillessam 14 Déc 2024"/>
    <s v="CHM ANGERIEN"/>
    <s v="Emilie DUMONT21/03/1993"/>
    <s v="63.2"/>
    <n v="75"/>
    <n v="-80"/>
    <n v="-80"/>
    <n v="75"/>
    <n v="0"/>
    <s v="OXX"/>
    <n v="90"/>
    <n v="-100"/>
    <n v="-100"/>
    <n v="90"/>
    <n v="0"/>
    <s v="OXX"/>
    <x v="5"/>
    <x v="0"/>
    <x v="0"/>
    <n v="165"/>
    <n v="0"/>
    <s v="216.18026087333456"/>
    <s v="0.0"/>
    <x v="3"/>
    <n v="4"/>
    <x v="7"/>
    <x v="2"/>
    <m/>
    <s v="SEN F 64"/>
    <n v="216.18"/>
    <x v="1"/>
    <s v="NAQ - Critérium National - Mont de marsan - ligue Nouvelle Aquitaine plateau 2 fillessam 14 Déc 2024"/>
    <s v="Critérium National - Mont de marsan - ligue Nouvelle Aquitaine plateau 2 filles"/>
    <s v="NAQ"/>
    <d v="2024-12-14T00:00:00"/>
    <n v="2024"/>
    <n v="12"/>
    <s v="2024-12"/>
    <m/>
    <s v="2024-2025"/>
    <n v="2025"/>
    <x v="52"/>
    <x v="12"/>
    <s v="Emilie DUMONT21/03/1993"/>
    <n v="2025"/>
    <s v="225.35154466796087"/>
    <s v="218.30491502957884"/>
  </r>
  <r>
    <x v="239"/>
    <x v="236"/>
    <s v="Emilie MOTAIS DE NARBONNE16/08/2002"/>
    <n v="470192"/>
    <s v="FR"/>
    <s v="PACA - Critérium National - Toulon - SUD PACA TOULON COTE AZURven 13 Déc 2024"/>
    <s v="ASL DUMONT D URVILLE"/>
    <s v="Emilie MOTAIS DE NARBONNE16/08/2002"/>
    <s v="62.81"/>
    <n v="72"/>
    <n v="75"/>
    <n v="-78"/>
    <n v="75"/>
    <n v="147"/>
    <s v="OOX"/>
    <n v="90"/>
    <n v="-93"/>
    <n v="-94"/>
    <n v="90"/>
    <n v="0"/>
    <s v="OXX"/>
    <x v="0"/>
    <x v="0"/>
    <x v="0"/>
    <n v="165"/>
    <n v="147"/>
    <s v="216.99790292257245"/>
    <s v="193.3254044219282"/>
    <x v="3"/>
    <n v="4"/>
    <x v="7"/>
    <x v="2"/>
    <m/>
    <s v="SEN F 64"/>
    <n v="216.99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Emilie MOTAIS DE NARBONNE16/08/2002"/>
    <n v="2025"/>
    <s v="216.99790292257245"/>
    <s v="216.99790292257245"/>
  </r>
  <r>
    <x v="240"/>
    <x v="237"/>
    <s v="Emilie PEETERS22/07/1991"/>
    <n v="448523"/>
    <s v="FR"/>
    <s v="PACA - Critérium National - Mondragon - Provence U15 - U17 - U20 - SEN F 45 à F55sam 14 Déc 2024"/>
    <s v="HC MARSEILLE"/>
    <s v="Emilie PEETERS22/07/1991"/>
    <s v="44.7"/>
    <n v="52"/>
    <n v="54"/>
    <n v="-56"/>
    <n v="54"/>
    <n v="106"/>
    <s v="OOX"/>
    <n v="63"/>
    <n v="66"/>
    <n v="-68"/>
    <n v="66"/>
    <n v="129"/>
    <s v="OOX"/>
    <x v="3"/>
    <x v="0"/>
    <x v="0"/>
    <n v="120"/>
    <n v="235"/>
    <s v="202.17599664277677"/>
    <s v="395.9279934254378"/>
    <x v="3"/>
    <n v="4"/>
    <x v="6"/>
    <x v="2"/>
    <m/>
    <s v="SEN F 45"/>
    <n v="202.17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96"/>
    <x v="0"/>
    <s v="Emilie PEETERS22/07/1991"/>
    <n v="2025"/>
    <s v="214.32027844946563"/>
    <s v="203.09505350678955"/>
  </r>
  <r>
    <x v="241"/>
    <x v="238"/>
    <s v="Emma BAILLY10/05/2000"/>
    <n v="478371"/>
    <s v="FR"/>
    <s v="PACA - Critérium National - Mondragon - Provence F59 à F&gt;87sam 14 Déc 2024"/>
    <s v="CROSSFIT EPSILON"/>
    <s v="Emma BAILLY10/05/2000"/>
    <s v="82.7"/>
    <n v="64"/>
    <n v="67"/>
    <n v="-70"/>
    <n v="67"/>
    <n v="131"/>
    <s v="OOX"/>
    <n v="84"/>
    <n v="-87"/>
    <n v="-90"/>
    <n v="84"/>
    <n v="0"/>
    <s v="OXX"/>
    <x v="0"/>
    <x v="0"/>
    <x v="0"/>
    <n v="151"/>
    <n v="131"/>
    <s v="172.21259820993416"/>
    <s v="149.40298255298924"/>
    <x v="2"/>
    <n v="6"/>
    <x v="20"/>
    <x v="2"/>
    <m/>
    <s v="SEN F 87"/>
    <n v="172.21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97"/>
    <x v="0"/>
    <s v="Emma BAILLY10/05/2000"/>
    <n v="2025"/>
    <s v="174.03798762456594"/>
    <s v="172.21259820993416"/>
  </r>
  <r>
    <x v="242"/>
    <x v="239"/>
    <s v="Emma CONSTENSOUS09/12/2011"/>
    <n v="479034"/>
    <s v="FR"/>
    <s v="OCC - Critérium National - Hc montalbanais - Plateau 3sam 14 Déc 2024"/>
    <s v="HC FIGEAC"/>
    <s v="Emma CONSTENSOUS09/12/2011"/>
    <s v="48.6"/>
    <n v="33"/>
    <n v="36"/>
    <n v="39"/>
    <n v="39"/>
    <n v="75"/>
    <s v="OOO"/>
    <n v="44"/>
    <n v="47"/>
    <n v="51"/>
    <n v="51"/>
    <n v="98"/>
    <s v="OOO"/>
    <x v="2"/>
    <x v="0"/>
    <x v="0"/>
    <n v="90"/>
    <n v="173"/>
    <s v="141.62826875877684"/>
    <s v="272.24100550298215"/>
    <x v="3"/>
    <n v="4"/>
    <x v="10"/>
    <x v="1"/>
    <m/>
    <s v="U15 F 49"/>
    <n v="141.62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1"/>
    <x v="1"/>
    <s v="Emma CONSTENSOUS09/12/2011"/>
    <n v="2025"/>
    <s v="141.62826875877684"/>
    <s v="141.62826875877684"/>
  </r>
  <r>
    <x v="243"/>
    <x v="240"/>
    <s v="Emma PANSERAT22/12/1999"/>
    <n v="492831"/>
    <s v="FR"/>
    <s v="PDL - Critérium National - Laval - seniors Fsam 14 Déc 2024"/>
    <s v="ULTIMATE FACTORY HALTEROPHILIE REZE"/>
    <s v="Emma PANSERAT22/12/1999"/>
    <s v="48.36"/>
    <n v="50"/>
    <n v="-52"/>
    <n v="-52"/>
    <n v="50"/>
    <n v="0"/>
    <s v="OXX"/>
    <n v="-63"/>
    <n v="-65"/>
    <n v="-65"/>
    <n v="0"/>
    <n v="0"/>
    <s v="XXX"/>
    <x v="4"/>
    <x v="0"/>
    <x v="0"/>
    <n v="50"/>
    <n v="0"/>
    <s v="78.99030534638975"/>
    <s v="0.0"/>
    <x v="0"/>
    <n v="999"/>
    <x v="10"/>
    <x v="2"/>
    <m/>
    <s v="SEN F 49"/>
    <n v="0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98"/>
    <x v="10"/>
    <s v="Emma PANSERAT22/12/1999"/>
    <n v="2025"/>
    <s v="164.56833161669664"/>
    <s v="164.56833161669664"/>
  </r>
  <r>
    <x v="244"/>
    <x v="241"/>
    <s v="Emma RAKOTOMALALA21/03/1995"/>
    <n v="469631"/>
    <s v="FR"/>
    <s v="REU - Critérium National - La possession - SENIOREdim 15 Déc 2024"/>
    <s v="MAHAVELI HALTÉROPHILIE RÉUNION"/>
    <s v="Emma RAKOTOMALALA21/03/1995"/>
    <s v="58.56"/>
    <n v="62"/>
    <n v="65"/>
    <n v="68"/>
    <n v="68"/>
    <n v="133"/>
    <s v="OOO"/>
    <n v="87"/>
    <n v="-90"/>
    <n v="-91"/>
    <n v="87"/>
    <n v="0"/>
    <s v="OXX"/>
    <x v="3"/>
    <x v="0"/>
    <x v="0"/>
    <n v="155"/>
    <n v="133"/>
    <s v="213.13423896887107"/>
    <s v="182.8829276313539"/>
    <x v="3"/>
    <n v="4"/>
    <x v="2"/>
    <x v="2"/>
    <m/>
    <s v="SEN F 59"/>
    <n v="213.13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58"/>
    <x v="5"/>
    <s v="Emma RAKOTOMALALA21/03/1995"/>
    <n v="2025"/>
    <s v="229.61455120848998"/>
    <s v="213.13423896887107"/>
  </r>
  <r>
    <x v="245"/>
    <x v="242"/>
    <s v="Emma SCICCHITANO31/07/2000"/>
    <n v="481933"/>
    <s v="FR"/>
    <s v="PACA - Critérium National - Mondragon - Provence F59 à F&gt;87sam 14 Déc 2024"/>
    <s v="MASSILIA BARBELL CLUB"/>
    <s v="Emma SCICCHITANO31/07/2000"/>
    <s v="58.6"/>
    <n v="68"/>
    <n v="71"/>
    <n v="-74"/>
    <n v="71"/>
    <n v="139"/>
    <s v="OOX"/>
    <n v="86"/>
    <n v="90"/>
    <n v="93"/>
    <n v="93"/>
    <n v="183"/>
    <s v="OOO"/>
    <x v="1"/>
    <x v="0"/>
    <x v="0"/>
    <n v="164"/>
    <n v="322"/>
    <s v="225.40822353197595"/>
    <s v="442.5698047396113"/>
    <x v="3"/>
    <n v="4"/>
    <x v="2"/>
    <x v="2"/>
    <m/>
    <s v="SEN F 59"/>
    <n v="225.4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99"/>
    <x v="0"/>
    <s v="Emma SCICCHITANO31/07/2000"/>
    <n v="2025"/>
    <s v="225.40822353197595"/>
    <s v="225.40822353197595"/>
  </r>
  <r>
    <x v="246"/>
    <x v="243"/>
    <s v="Emmanuel LEPAUL16/01/1991"/>
    <n v="94944"/>
    <s v="FR"/>
    <s v="BFC - Critérium National - Besançon - BFC - Critérium National - Besançon - BFC-Critérium 81 89 96sam 14 Déc 2024"/>
    <s v="CLUB HALTEROPHILE LUXOVIEN"/>
    <s v="Emmanuel LEPAUL16/01/1991"/>
    <s v="78.05"/>
    <n v="115"/>
    <n v="120"/>
    <n v="125"/>
    <n v="125"/>
    <n v="245"/>
    <s v="OOO"/>
    <n v="-145"/>
    <n v="150"/>
    <n v="161"/>
    <n v="161"/>
    <n v="311"/>
    <s v="XOO"/>
    <x v="1"/>
    <x v="0"/>
    <x v="0"/>
    <n v="286"/>
    <n v="556"/>
    <s v="370.5781101910764"/>
    <s v="720.4245778539807"/>
    <x v="3"/>
    <n v="4"/>
    <x v="4"/>
    <x v="2"/>
    <m/>
    <s v="SEN M 81"/>
    <n v="370.57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Emmanuel LEPAUL16/01/1991"/>
    <n v="2025"/>
    <s v="388.12623271290676"/>
    <s v="377.5658356574402"/>
  </r>
  <r>
    <x v="247"/>
    <x v="244"/>
    <s v="Emmanuelle SCHILLACI20/04/1993"/>
    <n v="481073"/>
    <s v="FR"/>
    <s v="AURA - Critérium National - Vaulx en velin - PLATEAU 1  SENIOR FEMININESdim 15 Déc 2024"/>
    <s v="CH ARBRESLE"/>
    <s v="Emmanuelle SCHILLACI20/04/1993"/>
    <s v="54.1"/>
    <n v="55"/>
    <n v="58"/>
    <n v="60"/>
    <n v="60"/>
    <n v="118"/>
    <s v="OOO"/>
    <n v="70"/>
    <n v="73"/>
    <n v="-76"/>
    <n v="73"/>
    <n v="143"/>
    <s v="OOX"/>
    <x v="1"/>
    <x v="0"/>
    <x v="0"/>
    <n v="133"/>
    <n v="261"/>
    <s v="193.11098659985558"/>
    <s v="378.96216167340083"/>
    <x v="1"/>
    <n v="5"/>
    <x v="1"/>
    <x v="2"/>
    <m/>
    <s v="SEN F 55"/>
    <n v="193.11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71"/>
    <x v="4"/>
    <s v="Emmanuelle SCHILLACI20/04/1993"/>
    <n v="2025"/>
    <s v="199.48923568747148"/>
    <s v="198.5995652229707"/>
  </r>
  <r>
    <x v="248"/>
    <x v="245"/>
    <s v="Endrea GAUDEFROY24/06/2012"/>
    <n v="497766"/>
    <s v="FR"/>
    <s v="HDF - Critérium National - La Ferté Milon - U13sam 14 Déc 2024"/>
    <s v="AAEEP PERONNE HALTERO"/>
    <s v="Endrea GAUDEFROY24/06/2012"/>
    <s v="31.62"/>
    <n v="13"/>
    <n v="14"/>
    <n v="15"/>
    <n v="15"/>
    <n v="29"/>
    <s v="OOO"/>
    <n v="15"/>
    <n v="17"/>
    <n v="19"/>
    <n v="19"/>
    <n v="36"/>
    <s v="OOO"/>
    <x v="2"/>
    <x v="0"/>
    <x v="0"/>
    <n v="34"/>
    <n v="65"/>
    <s v="79.9435232679868"/>
    <s v="152.83320624762183"/>
    <x v="0"/>
    <n v="999"/>
    <x v="14"/>
    <x v="4"/>
    <m/>
    <s v="U13 F 35"/>
    <n v="152.83000000000001"/>
    <x v="1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85"/>
    <x v="8"/>
    <s v="Endrea GAUDEFROY24/06/2012"/>
    <n v="2025"/>
    <s v="79.9435232679868"/>
    <s v="79.9435232679868"/>
  </r>
  <r>
    <x v="249"/>
    <x v="246"/>
    <s v="Enguerrand ALLAYS RAMACKERS26/07/2011"/>
    <n v="467470"/>
    <s v="FR"/>
    <s v="HDF - Critérium National - Comines - U15 / U17 / U20 Hommessam 14 Déc 2024"/>
    <s v="CA ROSENDAEL"/>
    <s v="Enguerrand ALLAYS RAMACKERS26/07/2011"/>
    <s v="59.7"/>
    <n v="60"/>
    <n v="64"/>
    <n v="-67"/>
    <n v="64"/>
    <n v="124"/>
    <s v="OOX"/>
    <n v="70"/>
    <n v="74"/>
    <n v="-77"/>
    <n v="74"/>
    <n v="144"/>
    <s v="OOX"/>
    <x v="3"/>
    <x v="0"/>
    <x v="0"/>
    <n v="138"/>
    <n v="268"/>
    <s v="213.09414712891729"/>
    <s v="413.8350103663031"/>
    <x v="1"/>
    <n v="5"/>
    <x v="8"/>
    <x v="1"/>
    <m/>
    <s v="U15 M 61"/>
    <n v="213.09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13"/>
    <x v="8"/>
    <s v="Enguerrand ALLAYS RAMACKERS26/07/2011"/>
    <n v="2025"/>
    <s v="215.12185130849156"/>
    <s v="215.12185130849156"/>
  </r>
  <r>
    <x v="250"/>
    <x v="247"/>
    <s v="Énora FERREC11/01/1995"/>
    <n v="441255"/>
    <s v="FR"/>
    <s v="BRE - Critérium National - Plouhinec - Femmessam 14 Déc 2024"/>
    <s v="CA LORIENTAIS"/>
    <s v="Énora FERREC11/01/1995"/>
    <n v="62"/>
    <n v="63"/>
    <n v="-67"/>
    <n v="-67"/>
    <n v="63"/>
    <n v="0"/>
    <s v="OXX"/>
    <n v="75"/>
    <n v="-80"/>
    <n v="-80"/>
    <n v="75"/>
    <n v="0"/>
    <s v="OXX"/>
    <x v="5"/>
    <x v="0"/>
    <x v="0"/>
    <n v="138"/>
    <n v="0"/>
    <s v="182.94709006030055"/>
    <s v="0.0"/>
    <x v="2"/>
    <n v="6"/>
    <x v="7"/>
    <x v="2"/>
    <m/>
    <s v="SEN F 64"/>
    <n v="182.94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32"/>
    <x v="7"/>
    <s v="Énora FERREC11/01/1995"/>
    <n v="2025"/>
    <s v="195.27043760740327"/>
    <s v="182.94709006030055"/>
  </r>
  <r>
    <x v="251"/>
    <x v="248"/>
    <s v="Enzo CORDARO11/04/2014"/>
    <n v="492528"/>
    <s v="US"/>
    <s v="IDF - Critérium National - Franconville - Minimesdim 15 Déc 2024"/>
    <s v="SPORTING CLUB DE NEUILLY"/>
    <s v="Enzo CORDARO11/04/2014"/>
    <s v="36.4"/>
    <n v="10"/>
    <n v="12"/>
    <n v="13"/>
    <n v="13"/>
    <n v="25"/>
    <s v="OOO"/>
    <n v="16"/>
    <n v="18"/>
    <n v="19"/>
    <n v="19"/>
    <n v="37"/>
    <s v="OOO"/>
    <x v="2"/>
    <x v="0"/>
    <x v="0"/>
    <n v="32"/>
    <n v="62"/>
    <s v="76.89821197345204"/>
    <s v="148.99028569856333"/>
    <x v="0"/>
    <n v="999"/>
    <x v="11"/>
    <x v="4"/>
    <m/>
    <s v="U13 M 40"/>
    <n v="148.99"/>
    <x v="0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8"/>
    <x v="3"/>
    <s v="Enzo CORDARO11/04/2014"/>
    <n v="2025"/>
    <s v="76.89821197345204"/>
    <s v="76.89821197345204"/>
  </r>
  <r>
    <x v="252"/>
    <x v="70"/>
    <s v="Enzo MENONI02/08/1997"/>
    <n v="141368"/>
    <s v="FR"/>
    <s v="AURA - Critérium National - Vaulx en velin - PLATEAU SEN MASCULINSsam 14 Déc 2024"/>
    <s v="ATHLETIC CLUB SAINT MARCELLIN"/>
    <s v="Enzo MENONI02/08/1997"/>
    <s v="91.7"/>
    <n v="130"/>
    <n v="135"/>
    <n v="-139"/>
    <n v="135"/>
    <n v="265"/>
    <s v="OOX"/>
    <n v="145"/>
    <n v="-149"/>
    <n v="154"/>
    <n v="154"/>
    <n v="299"/>
    <s v="OXO"/>
    <x v="3"/>
    <x v="0"/>
    <x v="0"/>
    <n v="289"/>
    <n v="564"/>
    <s v="344.3747365597302"/>
    <s v="672.0669599297157"/>
    <x v="1"/>
    <n v="5"/>
    <x v="18"/>
    <x v="2"/>
    <m/>
    <s v="SEN M 96"/>
    <n v="344.37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51"/>
    <x v="4"/>
    <s v="Enzo MENONI02/08/1997"/>
    <n v="2025"/>
    <s v="357.87403245513667"/>
    <s v="344.3747365597302"/>
  </r>
  <r>
    <x v="253"/>
    <x v="249"/>
    <s v="Enzo NORMAND10/03/2009"/>
    <n v="467523"/>
    <s v="FR"/>
    <s v="PDL - Critérium National - Laval - U15 au U20 Hdim 15 Déc 2024"/>
    <s v="CA EVRON 53 HALTEROPHILIE"/>
    <s v="Enzo NORMAND10/03/2009"/>
    <s v="70.2"/>
    <n v="83"/>
    <n v="86"/>
    <n v="88"/>
    <n v="88"/>
    <n v="174"/>
    <s v="OOO"/>
    <n v="-97"/>
    <n v="97"/>
    <n v="-102"/>
    <n v="97"/>
    <n v="0"/>
    <s v="XOX"/>
    <x v="3"/>
    <x v="0"/>
    <x v="0"/>
    <n v="185"/>
    <n v="174"/>
    <s v="255.54833885870812"/>
    <s v="240.35357276440655"/>
    <x v="1"/>
    <n v="5"/>
    <x v="5"/>
    <x v="3"/>
    <m/>
    <s v="U17 M 73"/>
    <n v="255.54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27"/>
    <x v="10"/>
    <s v="Enzo NORMAND10/03/2009"/>
    <n v="2025"/>
    <s v="255.54833885870812"/>
    <s v="255.54833885870812"/>
  </r>
  <r>
    <x v="254"/>
    <x v="250"/>
    <s v="Erine FALGOUX23/05/2000"/>
    <n v="478296"/>
    <s v="FR"/>
    <s v="AURA - Critérium National - Vaulx en velin - PLATEAU 1  SENIOR FEMININESdim 15 Déc 2024"/>
    <s v="STADE CLERMONTOIS HALTEROPHILIE"/>
    <s v="Erine FALGOUX23/05/2000"/>
    <s v="54.4"/>
    <n v="65"/>
    <n v="67"/>
    <n v="70"/>
    <n v="70"/>
    <n v="137"/>
    <s v="OOO"/>
    <n v="78"/>
    <n v="82"/>
    <n v="-85"/>
    <n v="82"/>
    <n v="160"/>
    <s v="OOX"/>
    <x v="1"/>
    <x v="0"/>
    <x v="0"/>
    <n v="152"/>
    <n v="297"/>
    <s v="219.83084579049955"/>
    <s v="429.5379026301208"/>
    <x v="3"/>
    <n v="4"/>
    <x v="1"/>
    <x v="2"/>
    <m/>
    <s v="SEN F 55"/>
    <n v="219.83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19"/>
    <x v="4"/>
    <s v="Erine FALGOUX23/05/2000"/>
    <n v="2025"/>
    <s v="219.83084579049955"/>
    <s v="219.83084579049955"/>
  </r>
  <r>
    <x v="255"/>
    <x v="251"/>
    <s v="Esteban HUDAN18/07/2012"/>
    <n v="494989"/>
    <s v="FR"/>
    <s v="BFC - Critérium National - Besançon - BFC-Critérium U13 F-Besançondim 15 Déc 2024"/>
    <s v="HC AVALLON MFAC"/>
    <s v="Esteban HUDAN18/07/2012"/>
    <s v="61.7"/>
    <n v="28"/>
    <n v="30"/>
    <n v="32"/>
    <n v="32"/>
    <n v="62"/>
    <s v="OOO"/>
    <n v="34"/>
    <n v="36"/>
    <n v="38"/>
    <n v="38"/>
    <n v="74"/>
    <s v="OOO"/>
    <x v="2"/>
    <x v="0"/>
    <x v="0"/>
    <n v="70"/>
    <n v="136"/>
    <s v="105.52822154921138"/>
    <s v="205.0262590098964"/>
    <x v="0"/>
    <n v="999"/>
    <x v="0"/>
    <x v="4"/>
    <m/>
    <s v="U13 M 67"/>
    <n v="205.02"/>
    <x v="0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90"/>
    <x v="6"/>
    <s v="Esteban HUDAN18/07/2012"/>
    <n v="2025"/>
    <s v="105.52822154921138"/>
    <s v="105.52822154921138"/>
  </r>
  <r>
    <x v="256"/>
    <x v="252"/>
    <s v="Estelle ACINHO05/04/2008"/>
    <n v="481924"/>
    <s v="FR"/>
    <s v="PACA - Critérium National - Toulon - SUD PACA TOULON COTE AZURven 13 Déc 2024"/>
    <s v="ESVL HALTERO- MUSCU-GYM"/>
    <s v="Estelle ACINHO05/04/2008"/>
    <s v="48.92"/>
    <n v="50"/>
    <n v="53"/>
    <n v="56"/>
    <n v="56"/>
    <n v="109"/>
    <s v="OOO"/>
    <n v="60"/>
    <n v="63"/>
    <n v="67"/>
    <n v="67"/>
    <n v="130"/>
    <s v="OOO"/>
    <x v="2"/>
    <x v="0"/>
    <x v="0"/>
    <n v="123"/>
    <n v="239"/>
    <s v="192.56393287509954"/>
    <s v="374.1689427410471"/>
    <x v="4"/>
    <n v="3"/>
    <x v="10"/>
    <x v="3"/>
    <m/>
    <s v="U17 F 49"/>
    <n v="192.56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88"/>
    <x v="0"/>
    <s v="Estelle ACINHO05/04/2008"/>
    <n v="2025"/>
    <s v="192.56393287509954"/>
    <s v="192.56393287509954"/>
  </r>
  <r>
    <x v="257"/>
    <x v="253"/>
    <s v="Ethan LEBON01/08/2012"/>
    <n v="490682"/>
    <s v="FR"/>
    <s v="REU - Critérium National - La possession - LA REUNION-CRITERIUM-LA POSSESSION-U13sam 14 Déc 2024"/>
    <s v="LO SAN JOSEPH BARBELL CLUB"/>
    <s v="Ethan LEBON01/08/2012"/>
    <s v="37.84"/>
    <n v="14"/>
    <n v="16"/>
    <n v="18"/>
    <n v="18"/>
    <n v="34"/>
    <s v="OOO"/>
    <n v="18"/>
    <n v="20"/>
    <n v="-22"/>
    <n v="20"/>
    <n v="38"/>
    <s v="OOX"/>
    <x v="1"/>
    <x v="0"/>
    <x v="0"/>
    <n v="38"/>
    <n v="72"/>
    <s v="87.71550367165865"/>
    <s v="166.19779643051112"/>
    <x v="0"/>
    <n v="999"/>
    <x v="11"/>
    <x v="4"/>
    <m/>
    <s v="U13 M 40"/>
    <n v="166.19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84"/>
    <x v="5"/>
    <s v="Ethan LEBON01/08/2012"/>
    <n v="2025"/>
    <s v="87.71550367165865"/>
    <s v="87.71550367165865"/>
  </r>
  <r>
    <x v="258"/>
    <x v="254"/>
    <s v="Ethan VICHON06/10/2011"/>
    <n v="462052"/>
    <s v="FR"/>
    <s v="BRE - Critérium National - Plouhinec - Hommesam 14 Déc 2024"/>
    <s v="CHM PLOUHINEC POINTE DU RAZ"/>
    <s v="Ethan VICHON06/10/2011"/>
    <s v="48.45"/>
    <n v="42"/>
    <n v="45"/>
    <n v="-47"/>
    <n v="45"/>
    <n v="87"/>
    <s v="OOX"/>
    <n v="-52"/>
    <n v="52"/>
    <n v="55"/>
    <n v="55"/>
    <n v="107"/>
    <s v="XOO"/>
    <x v="3"/>
    <x v="0"/>
    <x v="0"/>
    <n v="100"/>
    <n v="194"/>
    <s v="182.6466379349562"/>
    <s v="354.33447759381505"/>
    <x v="1"/>
    <n v="5"/>
    <x v="10"/>
    <x v="1"/>
    <m/>
    <s v="U15 M 49"/>
    <n v="182.64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34"/>
    <x v="7"/>
    <s v="Ethan VICHON06/10/2011"/>
    <n v="2025"/>
    <s v="182.6466379349562"/>
    <s v="182.6466379349562"/>
  </r>
  <r>
    <x v="259"/>
    <x v="255"/>
    <s v="Etienne ESSOB29/09/2001"/>
    <n v="444020"/>
    <s v="FR"/>
    <s v="REU - Critérium National - La possession - LA REUNION-CRITERIUM-LA POSSESSION-U13sam 14 Déc 2024"/>
    <s v="SCHM SAINT PAUL"/>
    <s v="Etienne ESSOB29/09/2001"/>
    <s v="54.37"/>
    <n v="80"/>
    <n v="-84"/>
    <n v="85"/>
    <n v="85"/>
    <n v="165"/>
    <s v="OXO"/>
    <n v="98"/>
    <n v="-105"/>
    <n v="-105"/>
    <n v="98"/>
    <n v="0"/>
    <s v="OXX"/>
    <x v="0"/>
    <x v="0"/>
    <x v="0"/>
    <n v="183"/>
    <n v="165"/>
    <s v="303.62233928811924"/>
    <s v="273.7578468991239"/>
    <x v="1"/>
    <n v="5"/>
    <x v="1"/>
    <x v="2"/>
    <m/>
    <s v="SEN M 55"/>
    <n v="303.62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7"/>
    <x v="5"/>
    <s v="Etienne ESSOB29/09/2001"/>
    <n v="2025"/>
    <s v="312.3669927932711"/>
    <s v="303.62233928811924"/>
  </r>
  <r>
    <x v="260"/>
    <x v="256"/>
    <s v="Eugenie DUJARDIN11/07/2004"/>
    <n v="476026"/>
    <s v="FR"/>
    <s v="HDF - Critérium National - Comines - U20 - Seniors Femmessam 14 Déc 2024"/>
    <s v="CHCD COMINES"/>
    <s v="Eugenie DUJARDIN11/07/2004"/>
    <s v="57.72"/>
    <n v="66"/>
    <n v="70"/>
    <n v="73"/>
    <n v="73"/>
    <n v="143"/>
    <s v="OOO"/>
    <n v="78"/>
    <n v="82"/>
    <n v="-85"/>
    <n v="82"/>
    <n v="160"/>
    <s v="OOX"/>
    <x v="1"/>
    <x v="0"/>
    <x v="0"/>
    <n v="155"/>
    <n v="303"/>
    <s v="215.19133186123136"/>
    <s v="420.66434550937487"/>
    <x v="3"/>
    <n v="4"/>
    <x v="2"/>
    <x v="2"/>
    <m/>
    <s v="SEN F 59"/>
    <n v="215.19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37"/>
    <x v="8"/>
    <s v="Eugenie DUJARDIN11/07/2004"/>
    <n v="2025"/>
    <s v="215.19133186123136"/>
    <s v="215.19133186123136"/>
  </r>
  <r>
    <x v="261"/>
    <x v="257"/>
    <s v="Eugénie MAKOWSKI21/11/1990"/>
    <n v="484910"/>
    <s v="FR"/>
    <s v="IDF - Critérium National - Neuilly-sur-seinesam 14 Déc 2024"/>
    <s v="SPORTING CLUB DE NEUILLY"/>
    <s v="Eugénie MAKOWSKI21/11/1990"/>
    <s v="74.9"/>
    <n v="60"/>
    <n v="-63"/>
    <n v="65"/>
    <n v="65"/>
    <n v="125"/>
    <s v="OXO"/>
    <n v="87"/>
    <n v="90"/>
    <n v="-92"/>
    <n v="90"/>
    <n v="177"/>
    <s v="OOX"/>
    <x v="3"/>
    <x v="0"/>
    <x v="0"/>
    <n v="155"/>
    <n v="302"/>
    <s v="184.97598162280028"/>
    <s v="360.4048158070044"/>
    <x v="1"/>
    <n v="5"/>
    <x v="15"/>
    <x v="2"/>
    <n v="35"/>
    <s v="SEN F 76"/>
    <n v="184.97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8"/>
    <x v="3"/>
    <s v="Eugénie MAKOWSKI21/11/1990"/>
    <n v="2025"/>
    <s v="184.97598162280028"/>
    <s v="184.97598162280028"/>
  </r>
  <r>
    <x v="262"/>
    <x v="258"/>
    <s v="Eunice agnes SIVASOTHEY26/02/1993"/>
    <n v="475744"/>
    <s v="MY"/>
    <s v="IDF - Critérium National - Franconville - Seniors Femmes 1er plateausam 14 Déc 2024"/>
    <s v="VGA ST MAUR HALTEROPHILIE"/>
    <s v="Eunice agnes SIVASOTHEY26/02/1993"/>
    <n v="58"/>
    <n v="55"/>
    <n v="-60"/>
    <n v="-60"/>
    <n v="55"/>
    <n v="0"/>
    <s v="OXX"/>
    <n v="65"/>
    <n v="-70"/>
    <n v="-70"/>
    <n v="65"/>
    <n v="0"/>
    <s v="OXX"/>
    <x v="5"/>
    <x v="0"/>
    <x v="0"/>
    <n v="120"/>
    <n v="0"/>
    <s v="166.06197338960138"/>
    <s v="0.0"/>
    <x v="2"/>
    <n v="6"/>
    <x v="2"/>
    <x v="2"/>
    <m/>
    <s v="SEN F 59"/>
    <n v="166.06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3"/>
    <x v="3"/>
    <s v="Eunice agnes SIVASOTHEY26/02/1993"/>
    <n v="2025"/>
    <s v="198.80857190622032"/>
    <s v="171.52324147653437"/>
  </r>
  <r>
    <x v="263"/>
    <x v="259"/>
    <s v="Eurydice FILMOTTE10/12/2008"/>
    <n v="473396"/>
    <s v="FR"/>
    <s v="OCC - Critérium National - Hc montalbanais - Plateau 1sam 14 Déc 2024"/>
    <s v="HC MONTALBANAIS"/>
    <s v="Eurydice FILMOTTE10/12/2008"/>
    <s v="60.4"/>
    <n v="53"/>
    <n v="55"/>
    <n v="-58"/>
    <n v="55"/>
    <n v="108"/>
    <s v="OOX"/>
    <n v="65"/>
    <n v="70"/>
    <n v="-73"/>
    <n v="70"/>
    <n v="135"/>
    <s v="OOX"/>
    <x v="3"/>
    <x v="0"/>
    <x v="0"/>
    <n v="125"/>
    <n v="243"/>
    <s v="168.46418231050808"/>
    <s v="327.4943704116277"/>
    <x v="3"/>
    <n v="4"/>
    <x v="7"/>
    <x v="3"/>
    <m/>
    <s v="U17 F 64"/>
    <n v="168.46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39"/>
    <x v="1"/>
    <s v="Eurydice FILMOTTE10/12/2008"/>
    <n v="2025"/>
    <s v="168.46418231050808"/>
    <s v="168.46418231050808"/>
  </r>
  <r>
    <x v="264"/>
    <x v="260"/>
    <s v="Eva marie DRENO02/08/1983"/>
    <n v="45169"/>
    <s v="FR"/>
    <s v="IDF - Critérium National - Neuilly-sur-seinesam 14 Déc 2024"/>
    <s v="CHM CHAVILLE"/>
    <s v="Eva marie DRENO02/08/1983"/>
    <n v="96"/>
    <n v="63"/>
    <n v="-68"/>
    <n v="-72"/>
    <n v="63"/>
    <n v="0"/>
    <s v="OXX"/>
    <n v="-80"/>
    <n v="85"/>
    <n v="-90"/>
    <n v="85"/>
    <n v="0"/>
    <s v="XOX"/>
    <x v="5"/>
    <x v="0"/>
    <x v="0"/>
    <n v="148"/>
    <n v="0"/>
    <s v="159.6595604325928"/>
    <s v="0.0"/>
    <x v="2"/>
    <n v="6"/>
    <x v="23"/>
    <x v="2"/>
    <n v="40"/>
    <s v="SEN F &gt;87"/>
    <n v="159.65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00"/>
    <x v="3"/>
    <s v="Eva marie DRENO02/08/1983"/>
    <n v="2025"/>
    <s v="173.03094142225015"/>
    <s v="162.1462941115227"/>
  </r>
  <r>
    <x v="265"/>
    <x v="261"/>
    <s v="Eva BAYKOV-SVIATOKHA28/05/2009"/>
    <n v="490704"/>
    <s v="FR"/>
    <s v="IDF - Critérium National - Franconville - Jeunes Femmesdim 15 Déc 2024"/>
    <s v="AFHMA FRANCONVILLE"/>
    <s v="Eva BAYKOV-SVIATOKHA28/05/2009"/>
    <n v="55"/>
    <n v="-37"/>
    <n v="37"/>
    <n v="-40"/>
    <n v="37"/>
    <n v="0"/>
    <s v="XOX"/>
    <n v="44"/>
    <n v="47"/>
    <n v="-50"/>
    <n v="47"/>
    <n v="91"/>
    <s v="OOX"/>
    <x v="0"/>
    <x v="0"/>
    <x v="0"/>
    <n v="84"/>
    <n v="91"/>
    <s v="120.54763938445724"/>
    <s v="130.59327599982868"/>
    <x v="2"/>
    <n v="6"/>
    <x v="1"/>
    <x v="3"/>
    <m/>
    <s v="U17 F 55"/>
    <n v="120.54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4"/>
    <x v="3"/>
    <s v="Eva BAYKOV-SVIATOKHA28/05/2009"/>
    <n v="2025"/>
    <s v="133.82907175249977"/>
    <s v="120.54763938445724"/>
  </r>
  <r>
    <x v="266"/>
    <x v="262"/>
    <s v="Eva BRUNO11/10/2001"/>
    <n v="497144"/>
    <s v="FR"/>
    <s v="IDF - Critérium National - Franconville - Seniors Femmes 2ème plateausam 14 Déc 2024"/>
    <s v="AFHMA FRANCONVILLE"/>
    <s v="Eva BRUNO11/10/2001"/>
    <n v="62"/>
    <n v="70"/>
    <n v="-73"/>
    <n v="73"/>
    <n v="73"/>
    <n v="143"/>
    <s v="OXO"/>
    <n v="-92"/>
    <n v="92"/>
    <n v="96"/>
    <n v="96"/>
    <n v="188"/>
    <s v="XOO"/>
    <x v="3"/>
    <x v="0"/>
    <x v="0"/>
    <n v="169"/>
    <n v="331"/>
    <s v="224.0439001463101"/>
    <s v="438.807875434489"/>
    <x v="3"/>
    <n v="4"/>
    <x v="7"/>
    <x v="2"/>
    <m/>
    <s v="SEN F 64"/>
    <n v="224.04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"/>
    <x v="3"/>
    <s v="Eva BRUNO11/10/2001"/>
    <n v="2025"/>
    <s v="224.0439001463101"/>
    <s v="224.0439001463101"/>
  </r>
  <r>
    <x v="267"/>
    <x v="263"/>
    <s v="Eva CORBETHAU30/08/2002"/>
    <n v="489553"/>
    <s v="FR"/>
    <s v="GE - Critérium National - Haguenau - ALS - SEN Femsam 14 Déc 2024"/>
    <s v="SHC HAGUENAU"/>
    <s v="Eva CORBETHAU30/08/2002"/>
    <s v="54.5"/>
    <n v="59"/>
    <n v="-62"/>
    <n v="62"/>
    <n v="62"/>
    <n v="121"/>
    <s v="OXO"/>
    <n v="83"/>
    <n v="-86"/>
    <n v="-86"/>
    <n v="83"/>
    <n v="0"/>
    <s v="OXX"/>
    <x v="0"/>
    <x v="0"/>
    <x v="0"/>
    <n v="145"/>
    <n v="121"/>
    <s v="209.43393327046925"/>
    <s v="174.7690063843226"/>
    <x v="3"/>
    <n v="4"/>
    <x v="1"/>
    <x v="2"/>
    <m/>
    <s v="SEN F 55"/>
    <n v="209.43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42"/>
    <x v="2"/>
    <s v="Eva CORBETHAU30/08/2002"/>
    <n v="2025"/>
    <s v="209.43393327046925"/>
    <s v="209.43393327046925"/>
  </r>
  <r>
    <x v="268"/>
    <x v="264"/>
    <s v="Eva DOBEL09/08/2009"/>
    <n v="478561"/>
    <s v="FR"/>
    <s v="HDF - Critérium National - La ferte milon - U17 / U20 / Seniors Femmessam 14 Déc 2024"/>
    <s v="ADAPTAFORME"/>
    <s v="Eva DOBEL09/08/2009"/>
    <s v="99.44"/>
    <n v="50"/>
    <n v="53"/>
    <n v="55"/>
    <n v="55"/>
    <n v="108"/>
    <s v="OOO"/>
    <n v="65"/>
    <n v="70"/>
    <n v="-75"/>
    <n v="70"/>
    <n v="135"/>
    <s v="OOX"/>
    <x v="1"/>
    <x v="0"/>
    <x v="0"/>
    <n v="125"/>
    <n v="243"/>
    <s v="133.3841116103969"/>
    <s v="259.2987129706116"/>
    <x v="1"/>
    <n v="5"/>
    <x v="12"/>
    <x v="3"/>
    <m/>
    <s v="U17 F &gt;81"/>
    <n v="133.38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68"/>
    <x v="8"/>
    <s v="Eva DOBEL09/08/2009"/>
    <n v="2025"/>
    <s v="136.11837834169398"/>
    <s v="133.3841116103969"/>
  </r>
  <r>
    <x v="269"/>
    <x v="265"/>
    <s v="Eva MOSTAERT31/05/1992"/>
    <n v="464865"/>
    <s v="FR"/>
    <s v="PACA - Critérium National - Mondragon - Provence F59 à F&gt;87sam 14 Déc 2024"/>
    <s v="CROSSFIT EPSILON"/>
    <s v="Eva MOSTAERT31/05/1992"/>
    <s v="63.35"/>
    <n v="66"/>
    <n v="70"/>
    <n v="-75"/>
    <n v="70"/>
    <n v="136"/>
    <s v="OOX"/>
    <n v="85"/>
    <n v="88"/>
    <n v="91"/>
    <n v="91"/>
    <n v="179"/>
    <s v="OOO"/>
    <x v="1"/>
    <x v="0"/>
    <x v="0"/>
    <n v="161"/>
    <n v="315"/>
    <s v="210.63624120883432"/>
    <s v="412.1143849738063"/>
    <x v="1"/>
    <n v="5"/>
    <x v="7"/>
    <x v="2"/>
    <m/>
    <s v="SEN F 64"/>
    <n v="210.63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97"/>
    <x v="0"/>
    <s v="Eva MOSTAERT31/05/1992"/>
    <n v="2025"/>
    <s v="229.49542523534387"/>
    <s v="210.63624120883432"/>
  </r>
  <r>
    <x v="270"/>
    <x v="266"/>
    <s v="Fadwa PANNECOUCKE02/03/2014"/>
    <n v="501064"/>
    <s v="FR"/>
    <s v="HDF - Critérium National - Comines - U13 Fillesdim 15 Déc 2024"/>
    <s v="CHCD COMINES"/>
    <s v="Fadwa PANNECOUCKE02/03/2014"/>
    <s v="39.32"/>
    <n v="14"/>
    <n v="15"/>
    <n v="-17"/>
    <n v="15"/>
    <n v="29"/>
    <s v="OOX"/>
    <n v="20"/>
    <n v="22"/>
    <n v="-23"/>
    <n v="22"/>
    <n v="42"/>
    <s v="OOX"/>
    <x v="3"/>
    <x v="0"/>
    <x v="0"/>
    <n v="37"/>
    <n v="71"/>
    <s v="69.85938271942456"/>
    <s v="134.05449116430117"/>
    <x v="0"/>
    <n v="999"/>
    <x v="11"/>
    <x v="4"/>
    <m/>
    <s v="U13 F 40"/>
    <n v="134.05000000000001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37"/>
    <x v="8"/>
    <s v="Fadwa PANNECOUCKE02/03/2014"/>
    <n v="2025"/>
    <s v="71.69798647880405"/>
    <s v="71.69798647880405"/>
  </r>
  <r>
    <x v="271"/>
    <x v="267"/>
    <s v="Fanny BERTIN08/08/1992"/>
    <n v="466862"/>
    <s v="FR"/>
    <s v="AURA - Critérium National - Vaulx en velin - PLATEAU 2  SENIOR FEMININESdim 15 Déc 2024"/>
    <s v="SAVOIE BARBELL TEAM"/>
    <s v="Fanny BERTIN08/08/1992"/>
    <n v="58"/>
    <n v="59"/>
    <n v="62"/>
    <n v="-65"/>
    <n v="62"/>
    <n v="121"/>
    <s v="OOX"/>
    <n v="68"/>
    <n v="-71"/>
    <n v="-72"/>
    <n v="68"/>
    <n v="0"/>
    <s v="OXX"/>
    <x v="0"/>
    <x v="0"/>
    <x v="0"/>
    <n v="130"/>
    <n v="121"/>
    <s v="179.90047117206817"/>
    <s v="167.44582316784806"/>
    <x v="2"/>
    <n v="6"/>
    <x v="2"/>
    <x v="2"/>
    <m/>
    <s v="SEN F 59"/>
    <n v="179.9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101"/>
    <x v="4"/>
    <s v="Fanny BERTIN08/08/1992"/>
    <n v="2025"/>
    <s v="187.89063841331526"/>
    <s v="179.90047117206817"/>
  </r>
  <r>
    <x v="272"/>
    <x v="268"/>
    <s v="Fanny MALNOU27/09/2004"/>
    <n v="493555"/>
    <s v="FR"/>
    <s v="NAQ - Critérium National - Mont de marsan - ligue Nouvelle Aquitainesam 14 Déc 2024"/>
    <s v="CHA ANGOUMOISIN"/>
    <s v="Fanny MALNOU27/09/2004"/>
    <s v="57.9"/>
    <n v="54"/>
    <n v="-57"/>
    <n v="-58"/>
    <n v="54"/>
    <n v="0"/>
    <s v="OXX"/>
    <n v="65"/>
    <n v="69"/>
    <n v="-72"/>
    <n v="69"/>
    <n v="134"/>
    <s v="OOX"/>
    <x v="0"/>
    <x v="0"/>
    <x v="0"/>
    <n v="123"/>
    <n v="134"/>
    <s v="170.40956057762423"/>
    <s v="185.6494399788752"/>
    <x v="2"/>
    <n v="6"/>
    <x v="2"/>
    <x v="2"/>
    <m/>
    <s v="SEN F 59"/>
    <n v="170.4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102"/>
    <x v="12"/>
    <s v="Fanny MALNOU27/09/2004"/>
    <n v="2025"/>
    <s v="175.33854036224764"/>
    <s v="175.33854036224764"/>
  </r>
  <r>
    <x v="273"/>
    <x v="269"/>
    <s v="Faustine AURAT25/02/1992"/>
    <n v="475707"/>
    <s v="FR"/>
    <s v="IDF - Critérium National - Franconville - Seniors Femmes 2ème plateausam 14 Déc 2024"/>
    <s v="HFC CP95 CERGY"/>
    <s v="Faustine AURAT25/02/1992"/>
    <s v="80.2"/>
    <n v="61"/>
    <n v="64"/>
    <n v="66"/>
    <n v="66"/>
    <n v="130"/>
    <s v="OOO"/>
    <n v="80"/>
    <n v="-86"/>
    <n v="88"/>
    <n v="88"/>
    <n v="168"/>
    <s v="OXO"/>
    <x v="1"/>
    <x v="0"/>
    <x v="0"/>
    <n v="154"/>
    <n v="298"/>
    <s v="177.99179650118768"/>
    <s v="344.4256841386619"/>
    <x v="2"/>
    <n v="6"/>
    <x v="4"/>
    <x v="2"/>
    <m/>
    <s v="SEN F 81"/>
    <n v="177.99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31"/>
    <x v="3"/>
    <s v="Faustine AURAT25/02/1992"/>
    <n v="2025"/>
    <s v="179.4474037972986"/>
    <s v="177.99179650118768"/>
  </r>
  <r>
    <x v="274"/>
    <x v="270"/>
    <s v="Federic MEHAULT25/05/1992"/>
    <n v="503151"/>
    <s v="FR"/>
    <s v="IDF - Critérium National - Franconville - Seniors Hommes 3ème plateausam 14 Déc 2024"/>
    <s v="LES REQUINS SCY78"/>
    <s v="Federic MEHAULT25/05/1992"/>
    <s v="88.5"/>
    <n v="107"/>
    <n v="115"/>
    <n v="120"/>
    <n v="120"/>
    <n v="235"/>
    <s v="OOO"/>
    <n v="130"/>
    <n v="-140"/>
    <n v="-140"/>
    <n v="130"/>
    <n v="0"/>
    <s v="OXX"/>
    <x v="3"/>
    <x v="0"/>
    <x v="0"/>
    <n v="250"/>
    <n v="235"/>
    <s v="303.02791870485163"/>
    <s v="284.84624358256053"/>
    <x v="2"/>
    <n v="6"/>
    <x v="9"/>
    <x v="2"/>
    <m/>
    <s v="SEN M 89"/>
    <n v="303.02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103"/>
    <x v="3"/>
    <s v="Federic MEHAULT25/05/1992"/>
    <n v="2025"/>
    <s v="303.02791870485163"/>
    <s v="303.02791870485163"/>
  </r>
  <r>
    <x v="275"/>
    <x v="271"/>
    <s v="Flavie TESTE19/11/1998"/>
    <n v="431606"/>
    <s v="FR"/>
    <s v="PACA - Critérium National - Toulon - SUD PACA TOULON COTE AZURven 13 Déc 2024"/>
    <s v="ASL DUMONT D URVILLE"/>
    <s v="Flavie TESTE19/11/1998"/>
    <s v="58.77"/>
    <n v="75"/>
    <n v="77"/>
    <n v="79"/>
    <n v="79"/>
    <n v="156"/>
    <s v="OOO"/>
    <n v="91"/>
    <n v="94"/>
    <n v="96"/>
    <n v="96"/>
    <n v="190"/>
    <s v="OOO"/>
    <x v="2"/>
    <x v="0"/>
    <x v="0"/>
    <n v="175"/>
    <n v="346"/>
    <s v="240.06874071726054"/>
    <s v="474.65019593241226"/>
    <x v="4"/>
    <n v="3"/>
    <x v="2"/>
    <x v="2"/>
    <m/>
    <s v="SEN F 59"/>
    <n v="240.06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Flavie TESTE19/11/1998"/>
    <n v="2025"/>
    <s v="243.33072421707755"/>
    <s v="240.06874071726054"/>
  </r>
  <r>
    <x v="276"/>
    <x v="272"/>
    <s v="Flavien MARGUIER30/03/2002"/>
    <n v="489938"/>
    <s v="FR"/>
    <s v="BFC - Critérium National - Besançon - BFC - Critérium National - Besançon - BFC-Critérium 81 89 96sam 14 Déc 2024"/>
    <s v="HALTEROPHILIE PONTISSALIENNE"/>
    <s v="Flavien MARGUIER30/03/2002"/>
    <s v="80.8"/>
    <n v="90"/>
    <n v="95"/>
    <n v="-100"/>
    <n v="95"/>
    <n v="185"/>
    <s v="OOX"/>
    <n v="110"/>
    <n v="-115"/>
    <n v="-117"/>
    <n v="110"/>
    <n v="0"/>
    <s v="OXX"/>
    <x v="0"/>
    <x v="0"/>
    <x v="0"/>
    <n v="205"/>
    <n v="185"/>
    <s v="260.5278044498512"/>
    <s v="235.11045767425597"/>
    <x v="5"/>
    <n v="7"/>
    <x v="4"/>
    <x v="2"/>
    <m/>
    <s v="SEN M 81"/>
    <n v="260.52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4"/>
    <x v="6"/>
    <s v="Flavien MARGUIER30/03/2002"/>
    <n v="2025"/>
    <s v="262.7135005290442"/>
    <s v="262.7135005290442"/>
  </r>
  <r>
    <x v="277"/>
    <x v="273"/>
    <s v="Flora ANDRIEUX05/06/2010"/>
    <n v="271840"/>
    <s v="FR"/>
    <s v="HDF - Critérium National - La ferte milon - U15 Femmessam 14 Déc 2024"/>
    <s v="CLUB MILONAIS HM"/>
    <s v="Flora ANDRIEUX05/06/2010"/>
    <s v="55.32"/>
    <n v="50"/>
    <n v="53"/>
    <n v="55"/>
    <n v="55"/>
    <n v="108"/>
    <s v="OOO"/>
    <n v="67"/>
    <n v="70"/>
    <n v="-72"/>
    <n v="70"/>
    <n v="137"/>
    <s v="OOX"/>
    <x v="1"/>
    <x v="0"/>
    <x v="0"/>
    <n v="125"/>
    <n v="245"/>
    <s v="178.65857437021106"/>
    <s v="350.17080576561364"/>
    <x v="4"/>
    <n v="3"/>
    <x v="2"/>
    <x v="1"/>
    <m/>
    <s v="U15 F 59"/>
    <n v="178.65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80"/>
    <x v="8"/>
    <s v="Flora ANDRIEUX05/06/2010"/>
    <n v="2025"/>
    <s v="178.65857437021106"/>
    <s v="178.65857437021106"/>
  </r>
  <r>
    <x v="278"/>
    <x v="274"/>
    <s v="Flore BRAULT12/07/1995"/>
    <n v="442028"/>
    <s v="FR"/>
    <s v="IDF - Critérium National - Franconville - Seniors Femmes 1er plateausam 14 Déc 2024"/>
    <s v="AFHMA FRANCONVILLE"/>
    <s v="Flore BRAULT12/07/1995"/>
    <s v="58.2"/>
    <n v="57"/>
    <n v="60"/>
    <n v="62"/>
    <n v="62"/>
    <n v="122"/>
    <s v="OOO"/>
    <n v="78"/>
    <n v="81"/>
    <n v="-83"/>
    <n v="81"/>
    <n v="159"/>
    <s v="OOX"/>
    <x v="1"/>
    <x v="0"/>
    <x v="0"/>
    <n v="143"/>
    <n v="281"/>
    <s v="197.43785033505583"/>
    <s v="387.9722793297251"/>
    <x v="1"/>
    <n v="5"/>
    <x v="2"/>
    <x v="2"/>
    <m/>
    <s v="SEN F 59"/>
    <n v="197.43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4"/>
    <x v="3"/>
    <s v="Flore BRAULT12/07/1995"/>
    <n v="2025"/>
    <s v="197.43785033505583"/>
    <s v="197.43785033505583"/>
  </r>
  <r>
    <x v="279"/>
    <x v="275"/>
    <s v="Florent ALBOUY09/08/2010"/>
    <n v="494210"/>
    <s v="FR"/>
    <s v="IDF - Critérium National - Franconville - Jeunes Hommesdim 15 Déc 2024"/>
    <s v="VGA ST MAUR HALTEROPHILIE"/>
    <s v="Florent ALBOUY09/08/2010"/>
    <s v="69.3"/>
    <n v="60"/>
    <n v="-64"/>
    <n v="-64"/>
    <n v="60"/>
    <n v="0"/>
    <s v="OXX"/>
    <n v="78"/>
    <n v="82"/>
    <n v="-86"/>
    <n v="82"/>
    <n v="160"/>
    <s v="OOX"/>
    <x v="0"/>
    <x v="0"/>
    <x v="0"/>
    <n v="142"/>
    <n v="160"/>
    <s v="197.77954889344124"/>
    <s v="222.85019593627183"/>
    <x v="2"/>
    <n v="6"/>
    <x v="5"/>
    <x v="1"/>
    <m/>
    <s v="U15 M 73"/>
    <n v="197.77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3"/>
    <x v="3"/>
    <s v="Florent ALBOUY09/08/2010"/>
    <n v="2025"/>
    <s v="203.35080379184805"/>
    <s v="203.35080379184805"/>
  </r>
  <r>
    <x v="280"/>
    <x v="276"/>
    <s v="Florent BARTHELEMY30/08/2005"/>
    <n v="500428"/>
    <s v="FR"/>
    <s v="HDF - Critérium National - Comines - U15 / U17 / U20 Hommessam 14 Déc 2024"/>
    <s v="AO SALLAUMINES"/>
    <s v="Florent BARTHELEMY30/08/2005"/>
    <s v="56.1"/>
    <n v="60"/>
    <n v="-65"/>
    <n v="65"/>
    <n v="65"/>
    <n v="125"/>
    <s v="OXO"/>
    <n v="83"/>
    <n v="87"/>
    <n v="90"/>
    <n v="90"/>
    <n v="177"/>
    <s v="OOO"/>
    <x v="1"/>
    <x v="0"/>
    <x v="0"/>
    <n v="155"/>
    <n v="302"/>
    <s v="250.9007452236505"/>
    <s v="488.85177456479"/>
    <x v="2"/>
    <n v="6"/>
    <x v="8"/>
    <x v="0"/>
    <m/>
    <s v="U20 M 61"/>
    <n v="250.9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65"/>
    <x v="8"/>
    <s v="Florent BARTHELEMY30/08/2005"/>
    <n v="2025"/>
    <s v="250.9007452236505"/>
    <s v="250.9007452236505"/>
  </r>
  <r>
    <x v="281"/>
    <x v="277"/>
    <s v="Florette DEGEZ10/10/2008"/>
    <n v="418260"/>
    <s v="FR"/>
    <s v="OCC - Critérium National - Hc montalbanais - Plateau 3sam 14 Déc 2024"/>
    <s v="CLERMONT SPORTS"/>
    <s v="Florette DEGEZ10/10/2008"/>
    <s v="53.9"/>
    <n v="68"/>
    <n v="71"/>
    <n v="74"/>
    <n v="74"/>
    <n v="145"/>
    <s v="OOO"/>
    <n v="81"/>
    <n v="86"/>
    <n v="-90"/>
    <n v="86"/>
    <n v="167"/>
    <s v="OOX"/>
    <x v="1"/>
    <x v="0"/>
    <x v="0"/>
    <n v="160"/>
    <n v="312"/>
    <s v="232.9302415466894"/>
    <s v="454.2139710160443"/>
    <x v="7"/>
    <n v="2"/>
    <x v="1"/>
    <x v="3"/>
    <m/>
    <s v="U17 F 55"/>
    <n v="232.93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86"/>
    <x v="1"/>
    <s v="Florette DEGEZ10/10/2008"/>
    <n v="2025"/>
    <s v="232.9302415466894"/>
    <s v="232.9302415466894"/>
  </r>
  <r>
    <x v="282"/>
    <x v="278"/>
    <s v="Florian DELOEYERE04/06/2007"/>
    <n v="492027"/>
    <s v="FR"/>
    <s v="PACA - Critérium National - Toulon - SUD PACA TOULON COTE AZURven 13 Déc 2024"/>
    <s v="ESVL HALTERO- MUSCU-GYM"/>
    <s v="Florian DELOEYERE04/06/2007"/>
    <n v="52"/>
    <n v="60"/>
    <n v="63"/>
    <n v="-66"/>
    <n v="63"/>
    <n v="123"/>
    <s v="OOX"/>
    <n v="-74"/>
    <n v="-74"/>
    <n v="-74"/>
    <n v="0"/>
    <n v="0"/>
    <s v="XXX"/>
    <x v="5"/>
    <x v="0"/>
    <x v="0"/>
    <n v="63"/>
    <n v="123"/>
    <s v="108.37436148069318"/>
    <s v="211.58803908135334"/>
    <x v="0"/>
    <n v="999"/>
    <x v="1"/>
    <x v="0"/>
    <m/>
    <s v="U20 M 55"/>
    <n v="0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88"/>
    <x v="0"/>
    <s v="Florian DELOEYERE04/06/2007"/>
    <n v="2025"/>
    <s v="213.684865595337"/>
    <s v="108.37436148069318"/>
  </r>
  <r>
    <x v="283"/>
    <x v="279"/>
    <s v="Florian FLOIRAS17/06/1996"/>
    <n v="425766"/>
    <s v="FR"/>
    <s v="PACA - Critérium National - Mondragon - Provence U15 à SEN HOMsam 14 Déc 2024"/>
    <s v="CROSSFIT EPSILON"/>
    <s v="Florian FLOIRAS17/06/1996"/>
    <s v="86.2"/>
    <n v="110"/>
    <n v="-115"/>
    <n v="-115"/>
    <n v="110"/>
    <n v="0"/>
    <s v="OXX"/>
    <n v="-143"/>
    <n v="-145"/>
    <n v="-145"/>
    <n v="0"/>
    <n v="0"/>
    <s v="XXX"/>
    <x v="4"/>
    <x v="0"/>
    <x v="0"/>
    <n v="110"/>
    <n v="0"/>
    <s v="135.09836762475126"/>
    <s v="0.0"/>
    <x v="0"/>
    <n v="999"/>
    <x v="9"/>
    <x v="2"/>
    <m/>
    <s v="SEN M 89"/>
    <n v="0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97"/>
    <x v="0"/>
    <s v="Florian FLOIRAS17/06/1996"/>
    <n v="2025"/>
    <s v="319.1355334878676"/>
    <s v="135.09836762475126"/>
  </r>
  <r>
    <x v="284"/>
    <x v="280"/>
    <s v="Florian MARIGOT05/01/2009"/>
    <n v="498269"/>
    <s v="FR"/>
    <s v="GUA - Critérium National - Creps antilles guyane - GUA-Critérium National d'Haltérophiliesam 14 Déc 2024"/>
    <s v="HALTEROPHILIE CLUB DE POINTE A PITRE 971"/>
    <s v="Florian MARIGOT05/01/2009"/>
    <s v="60.8"/>
    <n v="45"/>
    <n v="50"/>
    <n v="-53"/>
    <n v="50"/>
    <n v="95"/>
    <s v="OOX"/>
    <n v="67"/>
    <n v="72"/>
    <n v="75"/>
    <n v="75"/>
    <n v="147"/>
    <s v="OOO"/>
    <x v="1"/>
    <x v="0"/>
    <x v="0"/>
    <n v="125"/>
    <n v="242"/>
    <s v="190.45457300842304"/>
    <s v="368.72005334430696"/>
    <x v="5"/>
    <n v="7"/>
    <x v="8"/>
    <x v="3"/>
    <m/>
    <s v="U17 M 61"/>
    <n v="190.45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Florian MARIGOT05/01/2009"/>
    <n v="2025"/>
    <s v="190.45457300842304"/>
    <s v="190.45457300842304"/>
  </r>
  <r>
    <x v="285"/>
    <x v="281"/>
    <s v="Florine PRIOUZEAU20/01/2002"/>
    <n v="468259"/>
    <s v="FR"/>
    <s v="NAQ - Critérium National - Mont de marsan - ligue Nouvelle Aquitainesam 14 Déc 2024"/>
    <s v="CHM ANGERIEN"/>
    <s v="Florine PRIOUZEAU20/01/2002"/>
    <s v="63.2"/>
    <n v="60"/>
    <n v="64"/>
    <n v="67"/>
    <n v="67"/>
    <n v="131"/>
    <s v="OOO"/>
    <n v="72"/>
    <n v="76"/>
    <n v="80"/>
    <n v="80"/>
    <n v="156"/>
    <s v="OOO"/>
    <x v="2"/>
    <x v="0"/>
    <x v="0"/>
    <n v="147"/>
    <n v="287"/>
    <s v="192.5969596871526"/>
    <s v="376.0226355796789"/>
    <x v="1"/>
    <n v="5"/>
    <x v="7"/>
    <x v="2"/>
    <m/>
    <s v="SEN F 64"/>
    <n v="192.59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52"/>
    <x v="12"/>
    <s v="Florine PRIOUZEAU20/01/2002"/>
    <n v="2025"/>
    <s v="193.1562067745733"/>
    <s v="192.5969596871526"/>
  </r>
  <r>
    <x v="286"/>
    <x v="282"/>
    <s v="Gabin KERINGER-DIEUPART11/04/2013"/>
    <n v="491207"/>
    <s v="FR"/>
    <s v="IDF - Critérium National - Franconville - Minimesdim 15 Déc 2024"/>
    <s v="HCVM CHELLES"/>
    <s v="Gabin KERINGER-DIEUPART11/04/2013"/>
    <s v="60.8"/>
    <n v="22"/>
    <n v="-23"/>
    <n v="23"/>
    <n v="23"/>
    <n v="45"/>
    <s v="OXO"/>
    <n v="28"/>
    <n v="30"/>
    <n v="-32"/>
    <n v="30"/>
    <n v="58"/>
    <s v="OOX"/>
    <x v="3"/>
    <x v="0"/>
    <x v="0"/>
    <n v="53"/>
    <n v="103"/>
    <s v="80.75273895557136"/>
    <s v="156.93456815894058"/>
    <x v="0"/>
    <n v="999"/>
    <x v="8"/>
    <x v="4"/>
    <m/>
    <s v="U13 M 61"/>
    <n v="156.93"/>
    <x v="0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49"/>
    <x v="3"/>
    <s v="Gabin KERINGER-DIEUPART11/04/2013"/>
    <n v="2025"/>
    <s v="87.13436937505473"/>
    <s v="87.13436937505473"/>
  </r>
  <r>
    <x v="287"/>
    <x v="283"/>
    <s v="Gabin REUCHET04/09/2013"/>
    <n v="498657"/>
    <s v="FR"/>
    <s v="BFC - Critérium National - Besançon - BFC-Critérium U13 F-Besançondim 15 Déc 2024"/>
    <s v="CLUB HALTEROPHILE LUXOVIEN"/>
    <s v="Gabin REUCHET04/09/2013"/>
    <s v="46.7"/>
    <n v="16"/>
    <n v="18"/>
    <n v="20"/>
    <n v="20"/>
    <n v="38"/>
    <s v="OOO"/>
    <n v="21"/>
    <n v="23"/>
    <n v="25"/>
    <n v="25"/>
    <n v="48"/>
    <s v="OOO"/>
    <x v="2"/>
    <x v="0"/>
    <x v="0"/>
    <n v="45"/>
    <n v="86"/>
    <s v="84.89915761849154"/>
    <s v="162.25172344867272"/>
    <x v="0"/>
    <n v="999"/>
    <x v="10"/>
    <x v="4"/>
    <m/>
    <s v="U13 M 49"/>
    <n v="162.25"/>
    <x v="0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"/>
    <x v="6"/>
    <s v="Gabin REUCHET04/09/2013"/>
    <n v="2025"/>
    <s v="84.89915761849154"/>
    <s v="84.89915761849154"/>
  </r>
  <r>
    <x v="288"/>
    <x v="284"/>
    <s v="Gabriel MARTIN01/01/2007"/>
    <n v="474961"/>
    <s v="FR"/>
    <s v="IDF - Critérium National - Franconville - Seniors Hommes 3ème plateausam 14 Déc 2024"/>
    <s v="VGA ST MAUR HALTEROPHILIE"/>
    <s v="Gabriel MARTIN01/01/2007"/>
    <n v="68"/>
    <n v="-105"/>
    <n v="105"/>
    <n v="-110"/>
    <n v="105"/>
    <n v="0"/>
    <s v="XOX"/>
    <n v="-130"/>
    <n v="-136"/>
    <n v="-136"/>
    <n v="0"/>
    <n v="0"/>
    <s v="XXX"/>
    <x v="4"/>
    <x v="0"/>
    <x v="0"/>
    <n v="105"/>
    <n v="0"/>
    <s v="148.05932489778863"/>
    <s v="0.0"/>
    <x v="0"/>
    <n v="999"/>
    <x v="5"/>
    <x v="0"/>
    <m/>
    <s v="U20 M 73"/>
    <n v="0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3"/>
    <x v="3"/>
    <s v="Gabriel MARTIN01/01/2007"/>
    <n v="2025"/>
    <s v="330.41607684362515"/>
    <s v="330.41607684362515"/>
  </r>
  <r>
    <x v="289"/>
    <x v="285"/>
    <s v="Gabriel NAUDIN19/01/2009"/>
    <n v="496608"/>
    <s v="FR"/>
    <s v="AURA - Critérium National - Vaulx en velin - PLATEAU JEUNES MASCULINSsam 14 Déc 2024"/>
    <s v="VALENCE HALTEROPHILIE"/>
    <s v="Gabriel NAUDIN19/01/2009"/>
    <s v="54.8"/>
    <n v="-56"/>
    <n v="56"/>
    <n v="58"/>
    <n v="58"/>
    <n v="114"/>
    <s v="XOO"/>
    <n v="70"/>
    <n v="72"/>
    <n v="-75"/>
    <n v="72"/>
    <n v="142"/>
    <s v="OOX"/>
    <x v="3"/>
    <x v="0"/>
    <x v="0"/>
    <n v="130"/>
    <n v="256"/>
    <s v="214.34171032787316"/>
    <s v="422.08829110719637"/>
    <x v="1"/>
    <n v="5"/>
    <x v="1"/>
    <x v="3"/>
    <m/>
    <s v="U17 M 55"/>
    <n v="214.34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46"/>
    <x v="4"/>
    <s v="Gabriel NAUDIN19/01/2009"/>
    <n v="2025"/>
    <s v="214.34171032787316"/>
    <s v="214.34171032787316"/>
  </r>
  <r>
    <x v="290"/>
    <x v="286"/>
    <s v="Gabrielle SMITH14/01/2009"/>
    <n v="497757"/>
    <s v="FR"/>
    <s v="REU - Critérium National - La possession - U15-17-20dim 15 Déc 2024"/>
    <s v="CFSM WEIGHTLIFTING CLUB"/>
    <s v="Gabrielle SMITH14/01/2009"/>
    <s v="63.62"/>
    <n v="40"/>
    <n v="48"/>
    <n v="51"/>
    <n v="51"/>
    <n v="99"/>
    <s v="OOO"/>
    <n v="63"/>
    <n v="66"/>
    <n v="-69"/>
    <n v="66"/>
    <n v="129"/>
    <s v="OOX"/>
    <x v="1"/>
    <x v="0"/>
    <x v="0"/>
    <n v="117"/>
    <n v="228"/>
    <s v="152.67791232421106"/>
    <s v="297.5261881189754"/>
    <x v="1"/>
    <n v="5"/>
    <x v="7"/>
    <x v="3"/>
    <m/>
    <s v="U17 F 64"/>
    <n v="152.66999999999999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105"/>
    <x v="5"/>
    <s v="Gabrielle SMITH14/01/2009"/>
    <n v="2025"/>
    <s v="152.67791232421106"/>
    <s v="152.67791232421106"/>
  </r>
  <r>
    <x v="291"/>
    <x v="287"/>
    <s v="Gaetan DOMINGUEZ21/02/2001"/>
    <n v="304551"/>
    <s v="FR"/>
    <s v="AURA - Critérium National - Vaulx en velin - PLATEAU SEN MASCULINSsam 14 Déc 2024"/>
    <s v="LA GAULOISE DE VAISE"/>
    <s v="Gaetan DOMINGUEZ21/02/2001"/>
    <s v="74.8"/>
    <n v="120"/>
    <n v="125"/>
    <n v="130"/>
    <n v="130"/>
    <n v="255"/>
    <s v="OOO"/>
    <n v="145"/>
    <n v="-155"/>
    <n v="-155"/>
    <n v="145"/>
    <n v="0"/>
    <s v="OXX"/>
    <x v="3"/>
    <x v="0"/>
    <x v="0"/>
    <n v="275"/>
    <n v="255"/>
    <s v="365.28166125754495"/>
    <s v="338.71572225699623"/>
    <x v="3"/>
    <n v="4"/>
    <x v="4"/>
    <x v="2"/>
    <m/>
    <s v="SEN M 81"/>
    <n v="365.28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5"/>
    <x v="4"/>
    <s v="Gaetan DOMINGUEZ21/02/2001"/>
    <n v="2025"/>
    <s v="369.56322495489667"/>
    <s v="365.28166125754495"/>
  </r>
  <r>
    <x v="292"/>
    <x v="288"/>
    <s v="Gaetan VINCENT03/02/2006"/>
    <n v="442522"/>
    <s v="FR"/>
    <s v="BFC - Critérium National - Besançon - BFC-Critérium 2 SEN Hdim 15 Déc 2024"/>
    <s v="CLUB HALTEROPHILE LUXOVIEN"/>
    <s v="Gaetan VINCENT03/02/2006"/>
    <s v="121.3"/>
    <n v="106"/>
    <n v="112"/>
    <n v="-118"/>
    <n v="112"/>
    <n v="218"/>
    <s v="OOX"/>
    <n v="130"/>
    <n v="138"/>
    <n v="-146"/>
    <n v="138"/>
    <n v="268"/>
    <s v="OOX"/>
    <x v="3"/>
    <x v="0"/>
    <x v="0"/>
    <n v="250"/>
    <n v="486"/>
    <s v="267.7585392756086"/>
    <s v="520.5226003517831"/>
    <x v="1"/>
    <n v="5"/>
    <x v="16"/>
    <x v="0"/>
    <m/>
    <s v="U20 M &gt;109"/>
    <n v="267.75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Gaetan VINCENT03/02/2006"/>
    <n v="2025"/>
    <s v="281.5499151159942"/>
    <s v="274.5687864433663"/>
  </r>
  <r>
    <x v="293"/>
    <x v="289"/>
    <s v="Gareth FLOTAT13/09/1989"/>
    <n v="430607"/>
    <s v="FR"/>
    <s v="PACA - Critérium National - Toulon - SUD PACA TOULON COTE AZURven 13 Déc 2024"/>
    <s v="CROSSFIT FREJUS"/>
    <s v="Gareth FLOTAT13/09/1989"/>
    <s v="88.18"/>
    <n v="103"/>
    <n v="106"/>
    <n v="108"/>
    <n v="108"/>
    <n v="214"/>
    <s v="OOO"/>
    <n v="128"/>
    <n v="133"/>
    <n v="-137"/>
    <n v="133"/>
    <n v="261"/>
    <s v="OOX"/>
    <x v="1"/>
    <x v="0"/>
    <x v="0"/>
    <n v="241"/>
    <n v="475"/>
    <s v="292.64061956753966"/>
    <s v="576.7813041268935"/>
    <x v="2"/>
    <n v="6"/>
    <x v="9"/>
    <x v="2"/>
    <n v="35"/>
    <s v="SEN M 89"/>
    <n v="292.64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06"/>
    <x v="0"/>
    <s v="Gareth FLOTAT13/09/1989"/>
    <n v="2025"/>
    <s v="292.64061956753966"/>
    <s v="292.64061956753966"/>
  </r>
  <r>
    <x v="294"/>
    <x v="290"/>
    <s v="Gatien VANBAELINGHEM12/11/2013"/>
    <n v="478215"/>
    <s v="FR"/>
    <s v="HDF - Critérium National - Comines - U13 garçonsdim 15 Déc 2024"/>
    <s v="CA ROSENDAEL"/>
    <s v="Gatien VANBAELINGHEM12/11/2013"/>
    <n v="42"/>
    <n v="18"/>
    <n v="20"/>
    <n v="-22"/>
    <n v="20"/>
    <n v="38"/>
    <s v="OOX"/>
    <n v="27"/>
    <n v="29"/>
    <n v="-31"/>
    <n v="29"/>
    <n v="56"/>
    <s v="OOX"/>
    <x v="3"/>
    <x v="0"/>
    <x v="0"/>
    <n v="49"/>
    <n v="94"/>
    <s v="101.98786891326601"/>
    <s v="195.65019750708174"/>
    <x v="0"/>
    <n v="999"/>
    <x v="6"/>
    <x v="4"/>
    <m/>
    <s v="U13 M 45"/>
    <n v="195.65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13"/>
    <x v="8"/>
    <s v="Gatien VANBAELINGHEM12/11/2013"/>
    <n v="2025"/>
    <s v="104.06925399312858"/>
    <s v="103.36271055518151"/>
  </r>
  <r>
    <x v="295"/>
    <x v="291"/>
    <s v="Geneviève WAZNI02/10/1984"/>
    <n v="443525"/>
    <s v="FR"/>
    <s v="PACA - Critérium National - Mondragon - Provence F59 à F&gt;87sam 14 Déc 2024"/>
    <s v="CROSSFIT ISTRES"/>
    <s v="Geneviève WAZNI02/10/1984"/>
    <s v="65.2"/>
    <n v="55"/>
    <n v="58"/>
    <n v="-61"/>
    <n v="58"/>
    <n v="113"/>
    <s v="OOX"/>
    <n v="70"/>
    <n v="73"/>
    <n v="-76"/>
    <n v="73"/>
    <n v="143"/>
    <s v="OOX"/>
    <x v="3"/>
    <x v="0"/>
    <x v="0"/>
    <n v="131"/>
    <n v="256"/>
    <s v="168.47065288898614"/>
    <s v="329.2250926685531"/>
    <x v="2"/>
    <n v="6"/>
    <x v="3"/>
    <x v="2"/>
    <n v="40"/>
    <s v="SEN F 71"/>
    <n v="168.47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107"/>
    <x v="0"/>
    <s v="Geneviève WAZNI02/10/1984"/>
    <n v="2025"/>
    <s v="168.47065288898614"/>
    <s v="168.47065288898614"/>
  </r>
  <r>
    <x v="296"/>
    <x v="292"/>
    <s v="Gianni VEJUX27/11/2001"/>
    <n v="435006"/>
    <s v="FR"/>
    <s v="IDF - Critérium National - Neuilly - Seniors Hommes 3ème plateausam 14 Déc 2024"/>
    <s v="RUEIL ATHLETIC CLUB"/>
    <s v="Gianni VEJUX27/11/2001"/>
    <s v="93.9"/>
    <n v="-118"/>
    <n v="-118"/>
    <n v="-118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18"/>
    <x v="2"/>
    <m/>
    <s v="SEN M 96"/>
    <n v="0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57"/>
    <x v="3"/>
    <s v="Gianni VEJUX27/11/2001"/>
    <n v="2025"/>
    <s v="303.42824678423756"/>
    <s v="294.6348711850568"/>
  </r>
  <r>
    <x v="297"/>
    <x v="293"/>
    <s v="Gilles THIERRY16/02/1982"/>
    <n v="438682"/>
    <s v="FR"/>
    <s v="CVL - Critérium National - Orleans - Hommessam 14 Déc 2024"/>
    <s v="CERCLE MICHELET ORLEANS HMS"/>
    <s v="Gilles THIERRY16/02/1982"/>
    <s v="71.6"/>
    <n v="94"/>
    <n v="-98"/>
    <n v="98"/>
    <n v="98"/>
    <n v="192"/>
    <s v="OXO"/>
    <n v="-115"/>
    <n v="115"/>
    <n v="118"/>
    <n v="118"/>
    <n v="233"/>
    <s v="XOO"/>
    <x v="3"/>
    <x v="0"/>
    <x v="0"/>
    <n v="216"/>
    <n v="425"/>
    <s v="294.6771100479313"/>
    <s v="579.8044989369018"/>
    <x v="2"/>
    <n v="6"/>
    <x v="5"/>
    <x v="2"/>
    <n v="40"/>
    <s v="SEN M 73"/>
    <n v="294.67"/>
    <x v="0"/>
    <s v="CVL - Critérium National - Orleans - Hommessam 14 Déc 2024"/>
    <s v="Critérium National - Orleans - Hommes"/>
    <s v="CVL"/>
    <d v="2024-12-14T00:00:00"/>
    <n v="2024"/>
    <n v="12"/>
    <s v="2024-12"/>
    <m/>
    <s v="2024-2025"/>
    <n v="2025"/>
    <x v="108"/>
    <x v="13"/>
    <s v="Gilles THIERRY16/02/1982"/>
    <n v="2025"/>
    <s v="294.6771100479313"/>
    <s v="294.6771100479313"/>
  </r>
  <r>
    <x v="298"/>
    <x v="294"/>
    <s v="Grazia VIOLET28/07/2008"/>
    <n v="490750"/>
    <s v="FR"/>
    <s v="GE - Critérium National - Haguenau - ALS - U15 - U17 - U20 Femsam 14 Déc 2024"/>
    <s v="SHC HAGUENAU"/>
    <s v="Grazia VIOLET28/07/2008"/>
    <s v="57.58"/>
    <n v="48"/>
    <n v="-52"/>
    <n v="-53"/>
    <n v="48"/>
    <n v="0"/>
    <s v="OXX"/>
    <n v="61"/>
    <n v="65"/>
    <n v="67"/>
    <n v="67"/>
    <n v="132"/>
    <s v="OOO"/>
    <x v="3"/>
    <x v="0"/>
    <x v="0"/>
    <n v="115"/>
    <n v="132"/>
    <s v="159.91829664511874"/>
    <s v="183.55839267091892"/>
    <x v="3"/>
    <n v="4"/>
    <x v="2"/>
    <x v="3"/>
    <m/>
    <s v="U17 F 59"/>
    <n v="159.91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42"/>
    <x v="2"/>
    <s v="Grazia VIOLET28/07/2008"/>
    <n v="2025"/>
    <s v="164.1517237422929"/>
    <s v="164.1517237422929"/>
  </r>
  <r>
    <x v="299"/>
    <x v="295"/>
    <s v="Gregoire AUBERTIN11/09/1996"/>
    <n v="484251"/>
    <s v="FR"/>
    <s v="GE - Critérium National - Haguenau - ALS - U15 - U17 - U20 - SEN Homsam 14 Déc 2024"/>
    <s v="SAS COLMARIENNE"/>
    <s v="Gregoire AUBERTIN11/09/1996"/>
    <s v="85.2"/>
    <n v="-115"/>
    <n v="-115"/>
    <n v="-115"/>
    <n v="0"/>
    <n v="0"/>
    <s v="XXX"/>
    <n v="145"/>
    <n v="-152"/>
    <n v="-152"/>
    <n v="145"/>
    <n v="0"/>
    <s v="OXX"/>
    <x v="4"/>
    <x v="0"/>
    <x v="0"/>
    <n v="145"/>
    <n v="0"/>
    <s v="179.15060349251354"/>
    <s v="0.0"/>
    <x v="0"/>
    <n v="999"/>
    <x v="9"/>
    <x v="2"/>
    <m/>
    <s v="SEN M 89"/>
    <n v="0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109"/>
    <x v="2"/>
    <s v="Gregoire AUBERTIN11/09/1996"/>
    <n v="2025"/>
    <s v="321.21644459939836"/>
    <s v="321.21644459939836"/>
  </r>
  <r>
    <x v="300"/>
    <x v="296"/>
    <s v="Grégory BASSI18/10/1999"/>
    <n v="442961"/>
    <s v="FR"/>
    <s v="PACA - Critérium National - Mondragon - Provence U15 à SEN HOMsam 14 Déc 2024"/>
    <s v="CHC MONDRAGON"/>
    <s v="Grégory BASSI18/10/1999"/>
    <s v="72.4"/>
    <n v="-95"/>
    <n v="95"/>
    <n v="-100"/>
    <n v="95"/>
    <n v="0"/>
    <s v="XOX"/>
    <n v="127"/>
    <n v="-136"/>
    <n v="-137"/>
    <n v="127"/>
    <n v="0"/>
    <s v="OXX"/>
    <x v="5"/>
    <x v="0"/>
    <x v="0"/>
    <n v="222"/>
    <n v="0"/>
    <s v="300.78001460708754"/>
    <s v="0.0"/>
    <x v="2"/>
    <n v="6"/>
    <x v="5"/>
    <x v="2"/>
    <m/>
    <s v="SEN M 73"/>
    <n v="300.77999999999997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74"/>
    <x v="0"/>
    <s v="Grégory BASSI18/10/1999"/>
    <n v="2025"/>
    <s v="315.4334957946255"/>
    <s v="315.4334957946255"/>
  </r>
  <r>
    <x v="301"/>
    <x v="297"/>
    <s v="Gregory DEMEULEMEESTER20/07/1983"/>
    <n v="429622"/>
    <s v="FR"/>
    <s v="IDF - Critérium National - Neuilly - Seniors Hommes 3ème plateausam 14 Déc 2024"/>
    <s v="SPORTING CLUB DE NEUILLY"/>
    <s v="Gregory DEMEULEMEESTER20/07/1983"/>
    <s v="80.9"/>
    <n v="110"/>
    <n v="116"/>
    <n v="-120"/>
    <n v="116"/>
    <n v="226"/>
    <s v="OOX"/>
    <n v="-135"/>
    <n v="-135"/>
    <n v="135"/>
    <n v="135"/>
    <n v="0"/>
    <s v="XXO"/>
    <x v="0"/>
    <x v="1"/>
    <x v="0"/>
    <n v="251"/>
    <n v="226"/>
    <s v="318.7714835026996"/>
    <s v="287.0213357434666"/>
    <x v="1"/>
    <n v="5"/>
    <x v="4"/>
    <x v="2"/>
    <n v="40"/>
    <s v="SEN M 81"/>
    <n v="318.77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8"/>
    <x v="3"/>
    <s v="Gregory DEMEULEMEESTER20/07/1983"/>
    <n v="2025"/>
    <s v="336.3240465709986"/>
    <s v="321.4822540013757"/>
  </r>
  <r>
    <x v="302"/>
    <x v="298"/>
    <s v="Guillaume BARRIERE17/04/2006"/>
    <n v="476340"/>
    <s v="FR"/>
    <s v="GUA - Critérium National - Creps antilles guyane - GUA-Critérium National d'Haltérophiliesam 14 Déc 2024"/>
    <s v="HALTEROPHILIE CLUB DE POINTE A PITRE 971"/>
    <s v="Guillaume BARRIERE17/04/2006"/>
    <n v="80"/>
    <n v="90"/>
    <n v="-95"/>
    <n v="95"/>
    <n v="95"/>
    <n v="185"/>
    <s v="OXO"/>
    <n v="105"/>
    <n v="110"/>
    <n v="115"/>
    <n v="115"/>
    <n v="225"/>
    <s v="OOO"/>
    <x v="1"/>
    <x v="0"/>
    <x v="0"/>
    <n v="210"/>
    <n v="410"/>
    <s v="268.35130034422156"/>
    <s v="523.9239673387183"/>
    <x v="2"/>
    <n v="6"/>
    <x v="4"/>
    <x v="0"/>
    <m/>
    <s v="U20 M 81"/>
    <n v="268.35000000000002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Guillaume BARRIERE17/04/2006"/>
    <n v="2025"/>
    <s v="268.35130034422156"/>
    <s v="268.35130034422156"/>
  </r>
  <r>
    <x v="303"/>
    <x v="299"/>
    <s v="Hanzo SOM18/06/2005"/>
    <n v="449555"/>
    <s v="FR"/>
    <s v="HDF - Critérium National - Comines - U15 / U17 / U20 Hommessam 14 Déc 2024"/>
    <s v="ASPTT LILLE METROPOLE"/>
    <s v="Hanzo SOM18/06/2005"/>
    <n v="69"/>
    <n v="95"/>
    <n v="-99"/>
    <n v="99"/>
    <n v="99"/>
    <n v="194"/>
    <s v="OXO"/>
    <n v="121"/>
    <n v="127"/>
    <n v="-131"/>
    <n v="127"/>
    <n v="248"/>
    <s v="OOX"/>
    <x v="3"/>
    <x v="0"/>
    <x v="0"/>
    <n v="226"/>
    <n v="442"/>
    <s v="315.6598034326698"/>
    <s v="617.3523589258408"/>
    <x v="1"/>
    <n v="5"/>
    <x v="5"/>
    <x v="0"/>
    <m/>
    <s v="U20 M 73"/>
    <n v="315.64999999999998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16"/>
    <x v="8"/>
    <s v="Hanzo SOM18/06/2005"/>
    <n v="2025"/>
    <s v="315.6598034326698"/>
    <s v="315.6598034326698"/>
  </r>
  <r>
    <x v="304"/>
    <x v="300"/>
    <s v="Hayate AMRANE30/01/1995"/>
    <n v="476954"/>
    <s v="FR"/>
    <s v="IDF - Critérium National - Neuilly-sur-seinesam 14 Déc 2024"/>
    <s v="CACHAN HM"/>
    <s v="Hayate AMRANE30/01/1995"/>
    <s v="54.4"/>
    <n v="-47"/>
    <n v="47"/>
    <n v="52"/>
    <n v="52"/>
    <n v="99"/>
    <s v="XOO"/>
    <n v="60"/>
    <n v="-65"/>
    <n v="65"/>
    <n v="65"/>
    <n v="125"/>
    <s v="OXO"/>
    <x v="3"/>
    <x v="0"/>
    <x v="0"/>
    <n v="117"/>
    <n v="224"/>
    <s v="169.2119010361082"/>
    <s v="323.9612464281046"/>
    <x v="2"/>
    <n v="6"/>
    <x v="1"/>
    <x v="2"/>
    <m/>
    <s v="SEN F 55"/>
    <n v="169.21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7"/>
    <x v="3"/>
    <s v="Hayate AMRANE30/01/1995"/>
    <n v="2025"/>
    <s v="169.2119010361082"/>
    <s v="169.2119010361082"/>
  </r>
  <r>
    <x v="305"/>
    <x v="301"/>
    <s v="Hector CANDRAY MEDINA24/08/1992"/>
    <n v="481414"/>
    <s v="SV"/>
    <s v="GE - Critérium National - Haguenau - ALS - U15 - U17 - U20 - SEN Homsam 14 Déc 2024"/>
    <s v="ASPTT STRASBOURG"/>
    <s v="Hector CANDRAY MEDINA24/08/1992"/>
    <s v="98.92"/>
    <n v="110"/>
    <n v="115"/>
    <n v="-120"/>
    <n v="115"/>
    <n v="225"/>
    <s v="OOX"/>
    <n v="-140"/>
    <n v="-140"/>
    <n v="-140"/>
    <n v="0"/>
    <n v="0"/>
    <s v="XXX"/>
    <x v="5"/>
    <x v="0"/>
    <x v="0"/>
    <n v="115"/>
    <n v="225"/>
    <s v="132.48667738240005"/>
    <s v="259.21306444382617"/>
    <x v="0"/>
    <n v="999"/>
    <x v="17"/>
    <x v="2"/>
    <m/>
    <s v="SEN M 102"/>
    <n v="0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38"/>
    <x v="2"/>
    <s v="Hector CANDRAY MEDINA24/08/1992"/>
    <n v="2025"/>
    <s v="307.1514509656244"/>
    <s v="293.7126549323065"/>
  </r>
  <r>
    <x v="306"/>
    <x v="302"/>
    <s v="Helena CAMACHO GONZALEZ05/06/2007"/>
    <n v="503794"/>
    <s v="FR"/>
    <s v="HDF - Critérium National - La ferte milon - U17 / U20 / Seniors Femmessam 14 Déc 2024"/>
    <s v="CLUB MILONAIS HM"/>
    <s v="Helena CAMACHO GONZALEZ05/06/2007"/>
    <s v="95.7"/>
    <n v="50"/>
    <n v="-53"/>
    <n v="-53"/>
    <n v="50"/>
    <n v="0"/>
    <s v="OXX"/>
    <n v="-65"/>
    <n v="67"/>
    <n v="-70"/>
    <n v="67"/>
    <n v="0"/>
    <s v="XOX"/>
    <x v="5"/>
    <x v="0"/>
    <x v="0"/>
    <n v="117"/>
    <n v="0"/>
    <s v="126.34504150197941"/>
    <s v="0.0"/>
    <x v="5"/>
    <n v="7"/>
    <x v="23"/>
    <x v="0"/>
    <m/>
    <s v="U20 F &gt;87"/>
    <n v="126.34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80"/>
    <x v="8"/>
    <s v="Helena CAMACHO GONZALEZ05/06/2007"/>
    <n v="2025"/>
    <s v="134.78444128337068"/>
    <s v="134.78444128337068"/>
  </r>
  <r>
    <x v="307"/>
    <x v="303"/>
    <s v="Hélène SUEUR20/05/1985"/>
    <n v="498029"/>
    <s v="FR"/>
    <s v="AURA - Critérium National - Vaulx en velin - PLATEAU 2  SENIOR FEMININESdim 15 Déc 2024"/>
    <s v="SAVOIE BARBELL TEAM"/>
    <s v="Hélène SUEUR20/05/1985"/>
    <s v="63.1"/>
    <n v="59"/>
    <n v="62"/>
    <n v="65"/>
    <n v="65"/>
    <n v="127"/>
    <s v="OOO"/>
    <n v="78"/>
    <n v="-82"/>
    <n v="82"/>
    <n v="82"/>
    <n v="160"/>
    <s v="OXO"/>
    <x v="1"/>
    <x v="0"/>
    <x v="0"/>
    <n v="147"/>
    <n v="287"/>
    <s v="192.7825686338633"/>
    <s v="376.3850149518283"/>
    <x v="1"/>
    <n v="5"/>
    <x v="7"/>
    <x v="2"/>
    <n v="40"/>
    <s v="SEN F 64"/>
    <n v="192.78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101"/>
    <x v="4"/>
    <s v="Hélène SUEUR20/05/1985"/>
    <n v="2025"/>
    <s v="192.7825686338633"/>
    <s v="192.7825686338633"/>
  </r>
  <r>
    <x v="308"/>
    <x v="304"/>
    <s v="Hevy guy NUIRO28/03/2005"/>
    <n v="450852"/>
    <s v="FR"/>
    <s v="GUA - Critérium National - Creps antilles guyane - GUA-Critérium National d'Haltérophiliesam 14 Déc 2024"/>
    <s v="HALTEROPHILIE CLUB DE POINTE A PITRE 971"/>
    <s v="Hevy guy NUIRO28/03/2005"/>
    <n v="98"/>
    <n v="110"/>
    <n v="115"/>
    <n v="-118"/>
    <n v="115"/>
    <n v="225"/>
    <s v="OOX"/>
    <n v="135"/>
    <n v="140"/>
    <n v="-145"/>
    <n v="140"/>
    <n v="275"/>
    <s v="OOX"/>
    <x v="3"/>
    <x v="0"/>
    <x v="0"/>
    <n v="255"/>
    <n v="500"/>
    <s v="294.94240396325745"/>
    <s v="578.318439143642"/>
    <x v="1"/>
    <n v="5"/>
    <x v="17"/>
    <x v="0"/>
    <m/>
    <s v="U20 M 102"/>
    <n v="294.94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Hevy guy NUIRO28/03/2005"/>
    <n v="2025"/>
    <s v="315.09856396824665"/>
    <s v="294.94240396325745"/>
  </r>
  <r>
    <x v="309"/>
    <x v="305"/>
    <s v="Hugo BEVILACQUA24/07/1999"/>
    <n v="478246"/>
    <s v="FR"/>
    <s v="REU - Critérium National - La possession - LA REUNION-CRITERIUM-LA POSSESSION-U13sam 14 Déc 2024"/>
    <s v="MAHAVELI HALTÉROPHILIE RÉUNION"/>
    <s v="Hugo BEVILACQUA24/07/1999"/>
    <s v="80.7"/>
    <n v="118"/>
    <n v="-122"/>
    <n v="123"/>
    <n v="123"/>
    <n v="241"/>
    <s v="OXO"/>
    <n v="-152"/>
    <n v="152"/>
    <n v="-155"/>
    <n v="152"/>
    <n v="0"/>
    <s v="XOX"/>
    <x v="0"/>
    <x v="0"/>
    <x v="0"/>
    <n v="275"/>
    <n v="241"/>
    <s v="349.7262018224277"/>
    <s v="306.48732596074575"/>
    <x v="3"/>
    <n v="4"/>
    <x v="4"/>
    <x v="2"/>
    <m/>
    <s v="SEN M 81"/>
    <n v="349.72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58"/>
    <x v="5"/>
    <s v="Hugo BEVILACQUA24/07/1999"/>
    <n v="2025"/>
    <s v="357.67015018882006"/>
    <s v="349.7262018224277"/>
  </r>
  <r>
    <x v="310"/>
    <x v="306"/>
    <s v="Hugo FOURNIER12/10/2005"/>
    <n v="402265"/>
    <s v="FR"/>
    <s v="HDF - Critérium National - Comines - U15 / U17 / U20 Hommessam 14 Déc 2024"/>
    <s v="CA ROSENDAEL"/>
    <s v="Hugo FOURNIER12/10/2005"/>
    <s v="69.9"/>
    <n v="90"/>
    <n v="95"/>
    <n v="-100"/>
    <n v="95"/>
    <n v="185"/>
    <s v="OOX"/>
    <n v="-110"/>
    <n v="110"/>
    <n v="0"/>
    <n v="110"/>
    <n v="0"/>
    <s v="XOX"/>
    <x v="0"/>
    <x v="0"/>
    <x v="0"/>
    <n v="205"/>
    <n v="185"/>
    <s v="283.9502494075059"/>
    <s v="256.2477860506761"/>
    <x v="1"/>
    <n v="5"/>
    <x v="5"/>
    <x v="0"/>
    <m/>
    <s v="U20 M 73"/>
    <n v="283.95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13"/>
    <x v="8"/>
    <s v="Hugo FOURNIER12/10/2005"/>
    <n v="2025"/>
    <s v="315.68352884437564"/>
    <s v="292.5496021028419"/>
  </r>
  <r>
    <x v="311"/>
    <x v="307"/>
    <s v="Hugo MATHIOT28/09/2003"/>
    <n v="452480"/>
    <s v="FR"/>
    <s v="BFC - Critérium National - Besançon - BFC - Critérium National - Besançon - BFC-Critérium 81 89 96sam 14 Déc 2024"/>
    <s v="CLUB HALTEROPHILE LUXOVIEN"/>
    <s v="Hugo MATHIOT28/09/2003"/>
    <s v="80.95"/>
    <n v="100"/>
    <n v="-104"/>
    <n v="-107"/>
    <n v="100"/>
    <n v="0"/>
    <s v="OXX"/>
    <n v="120"/>
    <n v="-125"/>
    <n v="-130"/>
    <n v="120"/>
    <n v="0"/>
    <s v="OXX"/>
    <x v="5"/>
    <x v="0"/>
    <x v="0"/>
    <n v="220"/>
    <n v="0"/>
    <s v="279.3067795697231"/>
    <s v="0.0"/>
    <x v="2"/>
    <n v="6"/>
    <x v="4"/>
    <x v="2"/>
    <m/>
    <s v="SEN M 81"/>
    <n v="279.3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Hugo MATHIOT28/09/2003"/>
    <n v="2025"/>
    <s v="301.0484426538942"/>
    <s v="291.4139938985559"/>
  </r>
  <r>
    <x v="312"/>
    <x v="308"/>
    <s v="Hugo MEDARD26/10/1999"/>
    <n v="446404"/>
    <s v="FR"/>
    <s v="NAQ - Critérium National - Mont de marsan - ligue Nouvelle Aquitainesam 14 Déc 2024"/>
    <s v="POWERCAMP BORDEAUX HALTEROPHILIE"/>
    <s v="Hugo MEDARD26/10/1999"/>
    <s v="64.9"/>
    <n v="-90"/>
    <n v="92"/>
    <n v="-96"/>
    <n v="92"/>
    <n v="0"/>
    <s v="XOX"/>
    <n v="115"/>
    <n v="120"/>
    <n v="-123"/>
    <n v="120"/>
    <n v="235"/>
    <s v="OOX"/>
    <x v="0"/>
    <x v="0"/>
    <x v="0"/>
    <n v="212"/>
    <n v="235"/>
    <s v="308.4537743183725"/>
    <s v="341.91809889064876"/>
    <x v="2"/>
    <n v="6"/>
    <x v="0"/>
    <x v="2"/>
    <m/>
    <s v="SEN M 67"/>
    <n v="308.45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70"/>
    <x v="12"/>
    <s v="Hugo MEDARD26/10/1999"/>
    <n v="2025"/>
    <s v="319.7083570388529"/>
    <s v="308.4537743183725"/>
  </r>
  <r>
    <x v="313"/>
    <x v="100"/>
    <s v="Hugo RENARD11/01/2005"/>
    <n v="448251"/>
    <s v="FR"/>
    <s v="AURA - Critérium National - Vaulx en velin - PLATEAU JEUNES MASCULINSsam 14 Déc 2024"/>
    <s v="AL CHARLIEU"/>
    <s v="Hugo RENARD11/01/2005"/>
    <s v="56.8"/>
    <n v="68"/>
    <n v="-73"/>
    <n v="73"/>
    <n v="73"/>
    <n v="141"/>
    <s v="OXO"/>
    <n v="91"/>
    <n v="-97"/>
    <n v="-97"/>
    <n v="91"/>
    <n v="0"/>
    <s v="OXX"/>
    <x v="0"/>
    <x v="0"/>
    <x v="0"/>
    <n v="164"/>
    <n v="141"/>
    <s v="262.93421969321673"/>
    <s v="226.05929863868022"/>
    <x v="2"/>
    <n v="6"/>
    <x v="8"/>
    <x v="0"/>
    <m/>
    <s v="U20 M 61"/>
    <n v="262.93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48"/>
    <x v="4"/>
    <s v="Hugo RENARD11/01/2005"/>
    <n v="2025"/>
    <s v="275.9792287889598"/>
    <s v="262.93421969321673"/>
  </r>
  <r>
    <x v="314"/>
    <x v="309"/>
    <s v="Hugo ROUGE01/03/2007"/>
    <n v="465901"/>
    <s v="FR"/>
    <s v="CVL - Critérium National - Orleans - Hommessam 14 Déc 2024"/>
    <s v="CERCLE MICHELET ORLEANS HMS"/>
    <s v="Hugo ROUGE01/03/2007"/>
    <s v="74.3"/>
    <n v="95"/>
    <n v="100"/>
    <n v="-103"/>
    <n v="100"/>
    <n v="195"/>
    <s v="OOX"/>
    <n v="125"/>
    <n v="130"/>
    <n v="-133"/>
    <n v="130"/>
    <n v="255"/>
    <s v="OOX"/>
    <x v="3"/>
    <x v="0"/>
    <x v="0"/>
    <n v="230"/>
    <n v="450"/>
    <s v="306.73842401513025"/>
    <s v="600.1403948122114"/>
    <x v="1"/>
    <n v="5"/>
    <x v="4"/>
    <x v="0"/>
    <m/>
    <s v="U20 M 81"/>
    <n v="306.73"/>
    <x v="0"/>
    <s v="CVL - Critérium National - Orleans - Hommessam 14 Déc 2024"/>
    <s v="Critérium National - Orleans - Hommes"/>
    <s v="CVL"/>
    <d v="2024-12-14T00:00:00"/>
    <n v="2024"/>
    <n v="12"/>
    <s v="2024-12"/>
    <m/>
    <s v="2024-2025"/>
    <n v="2025"/>
    <x v="108"/>
    <x v="13"/>
    <s v="Hugo ROUGE01/03/2007"/>
    <n v="2025"/>
    <s v="306.73842401513025"/>
    <s v="306.73842401513025"/>
  </r>
  <r>
    <x v="315"/>
    <x v="310"/>
    <s v="Hylana THOORIS05/07/2012"/>
    <n v="504296"/>
    <s v="FR"/>
    <s v="HDF - Critérium National - Comines - U13 Fillesdim 15 Déc 2024"/>
    <s v="CA ROSENDAEL"/>
    <s v="Hylana THOORIS05/07/2012"/>
    <s v="57.7"/>
    <n v="19"/>
    <n v="-21"/>
    <n v="21"/>
    <n v="21"/>
    <n v="40"/>
    <s v="OXO"/>
    <n v="22"/>
    <n v="24"/>
    <n v="26"/>
    <n v="26"/>
    <n v="50"/>
    <s v="OOO"/>
    <x v="1"/>
    <x v="0"/>
    <x v="0"/>
    <n v="47"/>
    <n v="90"/>
    <s v="65.26671514080591"/>
    <s v="124.97881622707516"/>
    <x v="0"/>
    <n v="999"/>
    <x v="2"/>
    <x v="4"/>
    <m/>
    <s v="U13 F 59"/>
    <n v="124.97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13"/>
    <x v="8"/>
    <s v="Hylana THOORIS05/07/2012"/>
    <n v="2025"/>
    <s v="66.03263838664716"/>
    <s v="66.03263838664716"/>
  </r>
  <r>
    <x v="316"/>
    <x v="311"/>
    <s v="Iliana HUYSSEUNE22/10/2005"/>
    <n v="476194"/>
    <s v="FR"/>
    <s v="HDF - Critérium National - Comines - U20 - Seniors Femmessam 14 Déc 2024"/>
    <s v="CAHC BERCK"/>
    <s v="Iliana HUYSSEUNE22/10/2005"/>
    <s v="86.78"/>
    <n v="63"/>
    <n v="65"/>
    <n v="-67"/>
    <n v="65"/>
    <n v="128"/>
    <s v="OOX"/>
    <n v="75"/>
    <n v="-80"/>
    <n v="-80"/>
    <n v="75"/>
    <n v="0"/>
    <s v="OXX"/>
    <x v="0"/>
    <x v="0"/>
    <x v="0"/>
    <n v="140"/>
    <n v="128"/>
    <s v="156.5648193788849"/>
    <s v="143.1449777178376"/>
    <x v="1"/>
    <n v="5"/>
    <x v="20"/>
    <x v="0"/>
    <m/>
    <s v="U20 F 87"/>
    <n v="156.56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92"/>
    <x v="8"/>
    <s v="Iliana HUYSSEUNE22/10/2005"/>
    <n v="2025"/>
    <s v="166.02469989752873"/>
    <s v="158.4492057619393"/>
  </r>
  <r>
    <x v="317"/>
    <x v="312"/>
    <s v="Ilona ROUY22/10/2009"/>
    <n v="442029"/>
    <s v="FR"/>
    <s v="HDF - Critérium National - La ferte milon - U17 / U20 / Seniors Femmessam 14 Déc 2024"/>
    <s v="CLUB MILONAIS HM"/>
    <s v="Ilona ROUY22/10/2009"/>
    <s v="70.22"/>
    <n v="64"/>
    <n v="66"/>
    <n v="-68"/>
    <n v="66"/>
    <n v="130"/>
    <s v="OOX"/>
    <n v="-78"/>
    <n v="78"/>
    <n v="80"/>
    <n v="80"/>
    <n v="158"/>
    <s v="XOO"/>
    <x v="3"/>
    <x v="0"/>
    <x v="0"/>
    <n v="146"/>
    <n v="288"/>
    <s v="180.10710975786756"/>
    <s v="355.27977815250586"/>
    <x v="4"/>
    <n v="3"/>
    <x v="3"/>
    <x v="3"/>
    <m/>
    <s v="U17 F 71"/>
    <n v="180.1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80"/>
    <x v="8"/>
    <s v="Ilona ROUY22/10/2009"/>
    <n v="2025"/>
    <s v="180.10710975786756"/>
    <s v="180.10710975786756"/>
  </r>
  <r>
    <x v="318"/>
    <x v="313"/>
    <s v="Imran DAROUECH10/04/2014"/>
    <n v="477681"/>
    <s v="FR"/>
    <s v="IDF - Critérium National - Franconville - Minimesdim 15 Déc 2024"/>
    <s v="HCVM CHELLES"/>
    <s v="Imran DAROUECH10/04/2014"/>
    <s v="37.5"/>
    <n v="17"/>
    <n v="18"/>
    <n v="19"/>
    <n v="19"/>
    <n v="37"/>
    <s v="OOO"/>
    <n v="25"/>
    <n v="26"/>
    <n v="27"/>
    <n v="27"/>
    <n v="53"/>
    <s v="OOO"/>
    <x v="2"/>
    <x v="0"/>
    <x v="0"/>
    <n v="46"/>
    <n v="90"/>
    <s v="107.17140700238836"/>
    <s v="209.68318761336855"/>
    <x v="0"/>
    <n v="999"/>
    <x v="11"/>
    <x v="4"/>
    <m/>
    <s v="U13 M 40"/>
    <n v="209.68"/>
    <x v="0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49"/>
    <x v="3"/>
    <s v="Imran DAROUECH10/04/2014"/>
    <n v="2025"/>
    <s v="109.40929271506471"/>
    <s v="107.76459873219027"/>
  </r>
  <r>
    <x v="319"/>
    <x v="314"/>
    <s v="Inaia VILFEU31/12/2011"/>
    <n v="478628"/>
    <s v="FR"/>
    <s v="PDL - Critérium National - Laval - U15 au U20 Fdim 15 Déc 2024"/>
    <s v="CA EVRON 53 HALTEROPHILIE"/>
    <s v="Inaia VILFEU31/12/2011"/>
    <s v="57.47"/>
    <n v="38"/>
    <n v="41"/>
    <n v="42"/>
    <n v="42"/>
    <n v="83"/>
    <s v="OOO"/>
    <n v="45"/>
    <n v="48"/>
    <n v="-50"/>
    <n v="48"/>
    <n v="93"/>
    <s v="OOX"/>
    <x v="1"/>
    <x v="0"/>
    <x v="0"/>
    <n v="90"/>
    <n v="176"/>
    <s v="125.31439222001173"/>
    <s v="245.05925589691182"/>
    <x v="1"/>
    <n v="5"/>
    <x v="2"/>
    <x v="1"/>
    <m/>
    <s v="U15 F 59"/>
    <n v="125.31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27"/>
    <x v="10"/>
    <s v="Inaia VILFEU31/12/2011"/>
    <n v="2025"/>
    <s v="125.31439222001173"/>
    <s v="125.31439222001173"/>
  </r>
  <r>
    <x v="320"/>
    <x v="315"/>
    <s v="Inaya CHIZZOLINI15/09/2012"/>
    <n v="475471"/>
    <s v="FR"/>
    <s v="HDF - Critérium National - La Ferté Milon - U13sam 14 Déc 2024"/>
    <s v="USC MOISLAINS"/>
    <s v="Inaya CHIZZOLINI15/09/2012"/>
    <s v="46.82"/>
    <n v="22"/>
    <n v="-24"/>
    <n v="24"/>
    <n v="24"/>
    <n v="46"/>
    <s v="OXO"/>
    <n v="28"/>
    <n v="30"/>
    <n v="-32"/>
    <n v="30"/>
    <n v="58"/>
    <s v="OOX"/>
    <x v="3"/>
    <x v="0"/>
    <x v="0"/>
    <n v="54"/>
    <n v="104"/>
    <s v="87.55203068515047"/>
    <s v="168.6187257639935"/>
    <x v="0"/>
    <n v="999"/>
    <x v="10"/>
    <x v="4"/>
    <m/>
    <s v="U13 F 49"/>
    <n v="168.61"/>
    <x v="1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87"/>
    <x v="8"/>
    <s v="Inaya CHIZZOLINI15/09/2012"/>
    <n v="2025"/>
    <s v="87.55203068515047"/>
    <s v="87.55203068515047"/>
  </r>
  <r>
    <x v="321"/>
    <x v="316"/>
    <s v="Indira MAILLOT02/10/2009"/>
    <n v="455180"/>
    <s v="FR"/>
    <s v="REU - Critérium National - La possession - U15-17-20dim 15 Déc 2024"/>
    <s v="SCHM SAINT PAUL"/>
    <s v="Indira MAILLOT02/10/2009"/>
    <s v="75.09"/>
    <n v="55"/>
    <n v="58"/>
    <n v="60"/>
    <n v="60"/>
    <n v="118"/>
    <s v="OOO"/>
    <n v="-70"/>
    <n v="70"/>
    <n v="73"/>
    <n v="73"/>
    <n v="143"/>
    <s v="XOO"/>
    <x v="1"/>
    <x v="0"/>
    <x v="0"/>
    <n v="133"/>
    <n v="261"/>
    <s v="158.5240956287952"/>
    <s v="311.0886387903425"/>
    <x v="3"/>
    <n v="4"/>
    <x v="15"/>
    <x v="3"/>
    <m/>
    <s v="U17 F 76"/>
    <n v="158.52000000000001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7"/>
    <x v="5"/>
    <s v="Indira MAILLOT02/10/2009"/>
    <n v="2025"/>
    <s v="158.5240956287952"/>
    <s v="158.5240956287952"/>
  </r>
  <r>
    <x v="322"/>
    <x v="317"/>
    <s v="Inès AMELINE14/06/2011"/>
    <n v="480052"/>
    <s v="FR"/>
    <s v="NDIE - Critérium National - Caen - Plateau B fémininsam 14 Déc 2024"/>
    <s v="CAEN CALVADOS HALTEROPHILIE MUSCULATION"/>
    <s v="Inès AMELINE14/06/2011"/>
    <s v="51.85"/>
    <n v="37"/>
    <n v="40"/>
    <n v="-42"/>
    <n v="40"/>
    <n v="77"/>
    <s v="OOX"/>
    <n v="53"/>
    <n v="57"/>
    <n v="-60"/>
    <n v="57"/>
    <n v="110"/>
    <s v="OOX"/>
    <x v="3"/>
    <x v="0"/>
    <x v="0"/>
    <n v="97"/>
    <n v="187"/>
    <s v="145.26724775559347"/>
    <s v="280.051292064907"/>
    <x v="1"/>
    <n v="5"/>
    <x v="1"/>
    <x v="1"/>
    <m/>
    <s v="U15 F 55"/>
    <n v="145.26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53"/>
    <x v="9"/>
    <s v="Inès AMELINE14/06/2011"/>
    <n v="2025"/>
    <s v="145.26724775559347"/>
    <s v="145.26724775559347"/>
  </r>
  <r>
    <x v="323"/>
    <x v="318"/>
    <s v="Inès BIGOT29/09/1994"/>
    <n v="498381"/>
    <s v="FR"/>
    <s v="BRE - Critérium National - Plouhinec - Femmessam 14 Déc 2024"/>
    <s v="ASSOCIATION SPORTIVE BIBOS COMPETITION"/>
    <s v="Inès BIGOT29/09/1994"/>
    <s v="53.05"/>
    <n v="57"/>
    <n v="-60"/>
    <n v="-60"/>
    <n v="57"/>
    <n v="0"/>
    <s v="OXX"/>
    <n v="-70"/>
    <n v="70"/>
    <n v="-73"/>
    <n v="70"/>
    <n v="0"/>
    <s v="XOX"/>
    <x v="5"/>
    <x v="0"/>
    <x v="0"/>
    <n v="127"/>
    <n v="0"/>
    <s v="187.02248123741674"/>
    <s v="0.0"/>
    <x v="2"/>
    <n v="6"/>
    <x v="1"/>
    <x v="2"/>
    <m/>
    <s v="SEN F 55"/>
    <n v="187.02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110"/>
    <x v="7"/>
    <s v="Inès BIGOT29/09/1994"/>
    <n v="2025"/>
    <s v="192.40954421672035"/>
    <s v="187.02248123741674"/>
  </r>
  <r>
    <x v="324"/>
    <x v="319"/>
    <s v="Ingrid LINGUET09/03/1992"/>
    <n v="461564"/>
    <s v="FR"/>
    <s v="CVL - Critérium National - Orleans - Femmessam 14 Déc 2024"/>
    <s v="CERCLE MICHELET ORLEANS HMS"/>
    <s v="Ingrid LINGUET09/03/1992"/>
    <s v="96.6"/>
    <n v="-72"/>
    <n v="-74"/>
    <n v="-74"/>
    <n v="0"/>
    <n v="0"/>
    <s v="XXX"/>
    <n v="-84"/>
    <n v="0"/>
    <n v="0"/>
    <n v="0"/>
    <n v="0"/>
    <s v="XXX"/>
    <x v="6"/>
    <x v="0"/>
    <x v="0"/>
    <n v="0"/>
    <n v="0"/>
    <s v="0.0"/>
    <s v="0.0"/>
    <x v="0"/>
    <n v="999"/>
    <x v="23"/>
    <x v="2"/>
    <m/>
    <s v="SEN F &gt;87"/>
    <n v="0"/>
    <x v="1"/>
    <s v="CVL - Critérium National - Orleans - Femmessam 14 Déc 2024"/>
    <s v="Critérium National - Orleans - Femmes"/>
    <s v="CVL"/>
    <d v="2024-12-14T00:00:00"/>
    <n v="2024"/>
    <n v="12"/>
    <s v="2024-12"/>
    <m/>
    <s v="2024-2025"/>
    <n v="2025"/>
    <x v="108"/>
    <x v="13"/>
    <s v="Ingrid LINGUET09/03/1992"/>
    <n v="2025"/>
    <s v="171.072454771605"/>
    <s v="171.072454771605"/>
  </r>
  <r>
    <x v="325"/>
    <x v="320"/>
    <s v="Irene KUSS--BILDSTEIN27/04/2009"/>
    <n v="479878"/>
    <s v="FR"/>
    <s v="GE - Critérium National - Haguenau - ALS - U15 - U17 - U20 Femsam 14 Déc 2024"/>
    <s v="ASPTT STRASBOURG"/>
    <s v="Irene KUSS--BILDSTEIN27/04/2009"/>
    <s v="61.58"/>
    <n v="52"/>
    <n v="55"/>
    <n v="58"/>
    <n v="58"/>
    <n v="113"/>
    <s v="OOO"/>
    <n v="52"/>
    <n v="58"/>
    <n v="62"/>
    <n v="62"/>
    <n v="120"/>
    <s v="OOO"/>
    <x v="2"/>
    <x v="0"/>
    <x v="0"/>
    <n v="120"/>
    <n v="233"/>
    <s v="159.7597222847588"/>
    <s v="310.20012743624"/>
    <x v="3"/>
    <n v="4"/>
    <x v="7"/>
    <x v="3"/>
    <m/>
    <s v="U17 F 64"/>
    <n v="159.75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38"/>
    <x v="2"/>
    <s v="Irene KUSS--BILDSTEIN27/04/2009"/>
    <n v="2025"/>
    <s v="176.60167944634216"/>
    <s v="176.60167944634216"/>
  </r>
  <r>
    <x v="326"/>
    <x v="321"/>
    <s v="Ismael IAFRATE09/02/2010"/>
    <n v="436000"/>
    <s v="FR"/>
    <s v="AURA - Critérium National - Vaulx en velin - PLATEAU JEUNES MASCULINSsam 14 Déc 2024"/>
    <s v="LA GAULOISE DE VAISE"/>
    <s v="Ismael IAFRATE09/02/2010"/>
    <s v="62.3"/>
    <n v="80"/>
    <n v="-84"/>
    <n v="85"/>
    <n v="85"/>
    <n v="165"/>
    <s v="OXO"/>
    <n v="100"/>
    <n v="-105"/>
    <n v="-106"/>
    <n v="100"/>
    <n v="0"/>
    <s v="OXX"/>
    <x v="0"/>
    <x v="0"/>
    <x v="0"/>
    <n v="185"/>
    <n v="165"/>
    <s v="276.9732323944015"/>
    <s v="247.03018024365542"/>
    <x v="3"/>
    <n v="4"/>
    <x v="0"/>
    <x v="1"/>
    <m/>
    <s v="U15 M 67"/>
    <n v="276.97000000000003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5"/>
    <x v="4"/>
    <s v="Ismael IAFRATE09/02/2010"/>
    <n v="2025"/>
    <s v="276.9732323944015"/>
    <s v="276.9732323944015"/>
  </r>
  <r>
    <x v="327"/>
    <x v="322"/>
    <s v="Jackie-princesse HYMAN21/08/2005"/>
    <n v="464603"/>
    <s v="FR"/>
    <s v="GUA - Critérium National - Creps antilles guyane - GUA-Critérium National d'Haltérophiliesam 14 Déc 2024"/>
    <s v="HALTEROPHILIE CLUB DE POINTE A PITRE 971"/>
    <s v="Jackie-princesse HYMAN21/08/2005"/>
    <n v="81"/>
    <n v="60"/>
    <n v="65"/>
    <n v="-68"/>
    <n v="65"/>
    <n v="125"/>
    <s v="OOX"/>
    <n v="75"/>
    <n v="80"/>
    <n v="-84"/>
    <n v="80"/>
    <n v="155"/>
    <s v="OOX"/>
    <x v="3"/>
    <x v="0"/>
    <x v="0"/>
    <n v="145"/>
    <n v="280"/>
    <s v="166.85684967599684"/>
    <s v="322.2063304088215"/>
    <x v="1"/>
    <n v="5"/>
    <x v="4"/>
    <x v="0"/>
    <m/>
    <s v="U20 F 81"/>
    <n v="166.85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Jackie-princesse HYMAN21/08/2005"/>
    <n v="2025"/>
    <s v="175.19603195138632"/>
    <s v="166.85684967599684"/>
  </r>
  <r>
    <x v="328"/>
    <x v="323"/>
    <s v="Jacques SCHNEIDER13/10/2008"/>
    <n v="475009"/>
    <s v="FR"/>
    <s v="BFC - Critérium National - Besançon - BFC-Critérium 2 SEN Hdim 15 Déc 2024"/>
    <s v="CLUB HALTEROPHILE LUXOVIEN"/>
    <s v="Jacques SCHNEIDER13/10/2008"/>
    <s v="87.6"/>
    <n v="82"/>
    <n v="86"/>
    <n v="-90"/>
    <n v="86"/>
    <n v="168"/>
    <s v="OOX"/>
    <n v="104"/>
    <n v="-109"/>
    <n v="-114"/>
    <n v="104"/>
    <n v="0"/>
    <s v="OXX"/>
    <x v="0"/>
    <x v="0"/>
    <x v="0"/>
    <n v="190"/>
    <n v="168"/>
    <s v="231.4686178336997"/>
    <s v="204.66698840032396"/>
    <x v="2"/>
    <n v="6"/>
    <x v="9"/>
    <x v="3"/>
    <m/>
    <s v="U17 M 89"/>
    <n v="231.46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Jacques SCHNEIDER13/10/2008"/>
    <n v="2025"/>
    <s v="231.4686178336997"/>
    <s v="231.4686178336997"/>
  </r>
  <r>
    <x v="329"/>
    <x v="324"/>
    <s v="Jade RICHEVAUX04/06/2009"/>
    <n v="444381"/>
    <s v="FR"/>
    <s v="IDF - Critérium National - Franconville - Jeunes Femmesdim 15 Déc 2024"/>
    <s v="AFHMA FRANCONVILLE"/>
    <s v="Jade RICHEVAUX04/06/2009"/>
    <s v="53.5"/>
    <n v="40"/>
    <n v="44"/>
    <n v="47"/>
    <n v="47"/>
    <n v="91"/>
    <s v="OOO"/>
    <n v="50"/>
    <n v="0"/>
    <n v="0"/>
    <n v="50"/>
    <n v="0"/>
    <s v="OXX"/>
    <x v="3"/>
    <x v="0"/>
    <x v="0"/>
    <n v="97"/>
    <n v="91"/>
    <s v="141.97240153131673"/>
    <s v="133.1906034984518"/>
    <x v="1"/>
    <n v="5"/>
    <x v="1"/>
    <x v="3"/>
    <m/>
    <s v="U17 F 55"/>
    <n v="141.97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4"/>
    <x v="3"/>
    <s v="Jade RICHEVAUX04/06/2009"/>
    <n v="2025"/>
    <s v="167.08599126534557"/>
    <s v="156.3980102192823"/>
  </r>
  <r>
    <x v="330"/>
    <x v="325"/>
    <s v="Jamie lynn ANGELO20/03/2010"/>
    <n v="475625"/>
    <s v="FR"/>
    <s v="OCC - Critérium National - Hc montalbanais - Plateau 3sam 14 Déc 2024"/>
    <s v="CLERMONT SPORTS"/>
    <s v="Jamie lynn ANGELO20/03/2010"/>
    <s v="44.1"/>
    <n v="35"/>
    <n v="38"/>
    <n v="40"/>
    <n v="40"/>
    <n v="78"/>
    <s v="OOO"/>
    <n v="45"/>
    <n v="48"/>
    <n v="50"/>
    <n v="50"/>
    <n v="98"/>
    <s v="OOO"/>
    <x v="2"/>
    <x v="0"/>
    <x v="0"/>
    <n v="90"/>
    <n v="176"/>
    <s v="153.38195573759597"/>
    <s v="299.9469356646321"/>
    <x v="3"/>
    <n v="4"/>
    <x v="6"/>
    <x v="1"/>
    <m/>
    <s v="U15 F 45"/>
    <n v="153.38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86"/>
    <x v="1"/>
    <s v="Jamie lynn ANGELO20/03/2010"/>
    <n v="2025"/>
    <s v="153.38195573759597"/>
    <s v="153.38195573759597"/>
  </r>
  <r>
    <x v="331"/>
    <x v="326"/>
    <s v="Janis KLOCK21/06/2012"/>
    <n v="464712"/>
    <s v="FR"/>
    <s v="GE - Critérium National - Haguenau - ALS - U13sam 14 Déc 2024"/>
    <s v="ASPTT STRASBOURG"/>
    <s v="Janis KLOCK21/06/2012"/>
    <s v="64.4"/>
    <n v="32"/>
    <n v="34"/>
    <n v="36"/>
    <n v="36"/>
    <n v="70"/>
    <s v="OOO"/>
    <n v="42"/>
    <n v="44"/>
    <n v="46"/>
    <n v="46"/>
    <n v="90"/>
    <s v="OOO"/>
    <x v="2"/>
    <x v="0"/>
    <x v="0"/>
    <n v="82"/>
    <n v="160"/>
    <s v="119.94466584261524"/>
    <s v="234.0383723758346"/>
    <x v="0"/>
    <n v="999"/>
    <x v="0"/>
    <x v="4"/>
    <m/>
    <s v="U13 M 67"/>
    <n v="234.03"/>
    <x v="0"/>
    <s v="GE - Critérium National - Haguenau - ALS - U13sam 14 Déc 2024"/>
    <s v="Critérium National - Haguenau - ALS - U13"/>
    <s v="GE "/>
    <d v="2024-12-14T00:00:00"/>
    <n v="2024"/>
    <n v="12"/>
    <s v="2024-12"/>
    <m/>
    <s v="2024-2025"/>
    <n v="2025"/>
    <x v="38"/>
    <x v="2"/>
    <s v="Janis KLOCK21/06/2012"/>
    <n v="2025"/>
    <s v="136.23577191358817"/>
    <s v="119.94466584261524"/>
  </r>
  <r>
    <x v="332"/>
    <x v="327"/>
    <s v="Jawed BRET02/07/2014"/>
    <n v="505308"/>
    <s v="FR"/>
    <s v="IDF - Critérium National - Franconville - Minimesdim 15 Déc 2024"/>
    <s v="AFHMA FRANCONVILLE"/>
    <s v="Jawed BRET02/07/2014"/>
    <n v="53"/>
    <n v="15"/>
    <n v="17"/>
    <n v="-19"/>
    <n v="17"/>
    <n v="32"/>
    <s v="OOX"/>
    <n v="20"/>
    <n v="22"/>
    <n v="24"/>
    <n v="24"/>
    <n v="46"/>
    <s v="OOO"/>
    <x v="1"/>
    <x v="0"/>
    <x v="0"/>
    <n v="41"/>
    <n v="78"/>
    <s v="69.4371922501026"/>
    <s v="132.100024280683"/>
    <x v="0"/>
    <n v="999"/>
    <x v="1"/>
    <x v="4"/>
    <m/>
    <s v="U13 M 55"/>
    <n v="132.1"/>
    <x v="0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4"/>
    <x v="3"/>
    <s v="Jawed BRET02/07/2014"/>
    <n v="2025"/>
    <s v="69.4371922501026"/>
    <s v="69.4371922501026"/>
  </r>
  <r>
    <x v="333"/>
    <x v="328"/>
    <s v="Jean baptiste LE GALL02/08/1996"/>
    <n v="467750"/>
    <s v="FR"/>
    <s v="BRE - Critérium National - Plouhinec - Hommesam 14 Déc 2024"/>
    <s v="BREST HALTEROPHILIE 29"/>
    <s v="Jean baptiste LE GALL02/08/1996"/>
    <s v="88.8"/>
    <n v="100"/>
    <n v="-110"/>
    <n v="110"/>
    <n v="110"/>
    <n v="210"/>
    <s v="OXO"/>
    <n v="140"/>
    <n v="150"/>
    <n v="-151"/>
    <n v="150"/>
    <n v="290"/>
    <s v="OOX"/>
    <x v="3"/>
    <x v="0"/>
    <x v="0"/>
    <n v="260"/>
    <n v="500"/>
    <s v="314.62646990161545"/>
    <s v="605.0509036569528"/>
    <x v="1"/>
    <n v="5"/>
    <x v="9"/>
    <x v="2"/>
    <m/>
    <s v="SEN M 89"/>
    <n v="314.62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78"/>
    <x v="7"/>
    <s v="Jean baptiste LE GALL02/08/1996"/>
    <n v="2025"/>
    <s v="330.08536827330835"/>
    <s v="314.62646990161545"/>
  </r>
  <r>
    <x v="334"/>
    <x v="329"/>
    <s v="Jeanne HERVAULT17/10/1998"/>
    <n v="472751"/>
    <s v="FR"/>
    <s v="PDL - Critérium National - Laval - seniors Fsam 14 Déc 2024"/>
    <s v="CA EVRON 53 HALTEROPHILIE"/>
    <s v="Jeanne HERVAULT17/10/1998"/>
    <s v="54.65"/>
    <n v="64"/>
    <n v="67"/>
    <n v="69"/>
    <n v="69"/>
    <n v="136"/>
    <s v="OOO"/>
    <n v="-79"/>
    <n v="79"/>
    <n v="82"/>
    <n v="82"/>
    <n v="161"/>
    <s v="XOO"/>
    <x v="1"/>
    <x v="0"/>
    <x v="0"/>
    <n v="151"/>
    <n v="297"/>
    <s v="217.67613364486516"/>
    <s v="428.14444829486723"/>
    <x v="3"/>
    <n v="4"/>
    <x v="1"/>
    <x v="2"/>
    <m/>
    <s v="SEN F 55"/>
    <n v="217.67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27"/>
    <x v="10"/>
    <s v="Jeanne HERVAULT17/10/1998"/>
    <n v="2025"/>
    <s v="224.34547789791307"/>
    <s v="217.67613364486516"/>
  </r>
  <r>
    <x v="335"/>
    <x v="330"/>
    <s v="Jennifer PASTA14/03/1992"/>
    <n v="403059"/>
    <s v="FR"/>
    <s v="PACA - Critérium National - Toulon - SUD PACA TOULON COTE AZURven 13 Déc 2024"/>
    <s v="AS MONACO SECTION HALTEROPHILIE"/>
    <s v="Jennifer PASTA14/03/1992"/>
    <n v="64"/>
    <n v="63"/>
    <n v="66"/>
    <n v="-68"/>
    <n v="66"/>
    <n v="129"/>
    <s v="OOX"/>
    <n v="81"/>
    <n v="0"/>
    <n v="0"/>
    <n v="81"/>
    <n v="0"/>
    <s v="OXX"/>
    <x v="0"/>
    <x v="0"/>
    <x v="0"/>
    <n v="147"/>
    <n v="129"/>
    <s v="191.14054664650322"/>
    <s v="167.73558175101303"/>
    <x v="1"/>
    <n v="5"/>
    <x v="7"/>
    <x v="2"/>
    <m/>
    <s v="SEN F 64"/>
    <n v="191.14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11"/>
    <x v="0"/>
    <s v="Jennifer PASTA14/03/1992"/>
    <n v="2025"/>
    <s v="201.69846746594808"/>
    <s v="195.16330874733606"/>
  </r>
  <r>
    <x v="336"/>
    <x v="331"/>
    <s v="Jeremy RIQUIER12/01/2000"/>
    <n v="279998"/>
    <s v="FR"/>
    <s v="HDF - Critérium National - Comines - Seniors Hommessam 14 Déc 2024"/>
    <s v="OSM LOMME HALTEROPHILIE"/>
    <s v="Jeremy RIQUIER12/01/2000"/>
    <n v="80"/>
    <n v="115"/>
    <n v="120"/>
    <n v="125"/>
    <n v="125"/>
    <n v="245"/>
    <s v="OOO"/>
    <n v="135"/>
    <n v="142"/>
    <n v="-150"/>
    <n v="142"/>
    <n v="277"/>
    <s v="OOX"/>
    <x v="1"/>
    <x v="0"/>
    <x v="0"/>
    <n v="267"/>
    <n v="522"/>
    <s v="341.1895104376531"/>
    <s v="667.0446608556364"/>
    <x v="1"/>
    <n v="5"/>
    <x v="4"/>
    <x v="2"/>
    <m/>
    <s v="SEN M 81"/>
    <n v="341.18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29"/>
    <x v="8"/>
    <s v="Jeremy RIQUIER12/01/2000"/>
    <n v="2025"/>
    <s v="341.1895104376531"/>
    <s v="341.1895104376531"/>
  </r>
  <r>
    <x v="337"/>
    <x v="332"/>
    <s v="Jerome CADET16/05/1994"/>
    <n v="396823"/>
    <s v="FR"/>
    <s v="REU - Critérium National - La possession - LA REUNION-CRITERIUM-LA POSSESSION-U13sam 14 Déc 2024"/>
    <s v="MAHAVELI HALTÉROPHILIE RÉUNION"/>
    <s v="Jerome CADET16/05/1994"/>
    <s v="100.8"/>
    <n v="110"/>
    <n v="-115"/>
    <n v="116"/>
    <n v="116"/>
    <n v="226"/>
    <s v="OXO"/>
    <n v="150"/>
    <n v="154"/>
    <n v="-158"/>
    <n v="154"/>
    <n v="304"/>
    <s v="OOX"/>
    <x v="3"/>
    <x v="0"/>
    <x v="0"/>
    <n v="270"/>
    <n v="530"/>
    <s v="308.630950126297"/>
    <s v="605.8311243219905"/>
    <x v="1"/>
    <n v="5"/>
    <x v="17"/>
    <x v="2"/>
    <m/>
    <s v="SEN M 102"/>
    <n v="308.63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58"/>
    <x v="5"/>
    <s v="Jerome CADET16/05/1994"/>
    <n v="2025"/>
    <s v="310.8499323834514"/>
    <s v="308.630950126297"/>
  </r>
  <r>
    <x v="338"/>
    <x v="333"/>
    <s v="Jérome LEFEVRE22/12/1991"/>
    <n v="429358"/>
    <s v="FR"/>
    <s v="REU - Critérium National - La possession - LA REUNION-CRITERIUM-LA POSSESSION-U13sam 14 Déc 2024"/>
    <s v="LO SAN JOSEPH BARBELL CLUB"/>
    <s v="Jérome LEFEVRE22/12/1991"/>
    <s v="71.9"/>
    <n v="106"/>
    <n v="111"/>
    <n v="-115"/>
    <n v="111"/>
    <n v="217"/>
    <s v="OOX"/>
    <n v="137"/>
    <n v="142"/>
    <n v="-149"/>
    <n v="142"/>
    <n v="279"/>
    <s v="OOX"/>
    <x v="3"/>
    <x v="0"/>
    <x v="0"/>
    <n v="253"/>
    <n v="496"/>
    <s v="344.25604340473956"/>
    <s v="674.9051285721376"/>
    <x v="1"/>
    <n v="5"/>
    <x v="5"/>
    <x v="2"/>
    <m/>
    <s v="SEN M 73"/>
    <n v="344.25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84"/>
    <x v="5"/>
    <s v="Jérome LEFEVRE22/12/1991"/>
    <n v="2025"/>
    <s v="345.16958333084233"/>
    <s v="344.25604340473956"/>
  </r>
  <r>
    <x v="339"/>
    <x v="334"/>
    <s v="Jessica MORIN19/12/1999"/>
    <n v="468186"/>
    <s v="FR"/>
    <s v="PDL - Critérium National - Laval - seniors Fsam 14 Déc 2024"/>
    <s v="ANGERS MENESTYS BARBELL CLUB"/>
    <s v="Jessica MORIN19/12/1999"/>
    <s v="62.81"/>
    <n v="62"/>
    <n v="65"/>
    <n v="-68"/>
    <n v="65"/>
    <n v="127"/>
    <s v="OOX"/>
    <n v="82"/>
    <n v="85"/>
    <n v="-88"/>
    <n v="85"/>
    <n v="167"/>
    <s v="OOX"/>
    <x v="3"/>
    <x v="0"/>
    <x v="0"/>
    <n v="150"/>
    <n v="294"/>
    <s v="197.27082083870224"/>
    <s v="386.6508088438564"/>
    <x v="1"/>
    <n v="5"/>
    <x v="7"/>
    <x v="2"/>
    <m/>
    <s v="SEN F 64"/>
    <n v="197.27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112"/>
    <x v="10"/>
    <s v="Jessica MORIN19/12/1999"/>
    <n v="2025"/>
    <s v="203.4482660050821"/>
    <s v="203.4482660050821"/>
  </r>
  <r>
    <x v="340"/>
    <x v="335"/>
    <s v="Jessy GRAILLOT25/02/2003"/>
    <n v="363266"/>
    <s v="FR"/>
    <s v="BFC - Critérium National - Besançon - BFC - Critérium National - Besançon - BFC-Critérium 81 89 96sam 14 Déc 2024"/>
    <s v="HMDB21 DIJON"/>
    <s v="Jessy GRAILLOT25/02/2003"/>
    <s v="88.9"/>
    <n v="126"/>
    <n v="131"/>
    <n v="136"/>
    <n v="136"/>
    <n v="267"/>
    <s v="OOO"/>
    <n v="151"/>
    <n v="-159"/>
    <n v="161"/>
    <n v="161"/>
    <n v="312"/>
    <s v="OXO"/>
    <x v="1"/>
    <x v="0"/>
    <x v="0"/>
    <n v="297"/>
    <n v="579"/>
    <s v="359.2024996368697"/>
    <s v="700.2634588880388"/>
    <x v="3"/>
    <n v="4"/>
    <x v="9"/>
    <x v="2"/>
    <m/>
    <s v="SEN M 89"/>
    <n v="359.2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40"/>
    <x v="6"/>
    <s v="Jessy GRAILLOT25/02/2003"/>
    <n v="2025"/>
    <s v="369.96809286183327"/>
    <s v="369.96809286183327"/>
  </r>
  <r>
    <x v="341"/>
    <x v="196"/>
    <s v="Jill PAUL02/01/1996"/>
    <n v="320289"/>
    <s v="FR"/>
    <s v="IDF - Critérium National - Neuilly - Seniors Hommes 3ème plateausam 14 Déc 2024"/>
    <s v="SPORTING CLUB DE NEUILLY"/>
    <s v="Jill PAUL02/01/1996"/>
    <s v="71.9"/>
    <n v="115"/>
    <n v="-125"/>
    <n v="-125"/>
    <n v="115"/>
    <n v="0"/>
    <s v="OXX"/>
    <n v="147"/>
    <n v="0"/>
    <n v="0"/>
    <n v="147"/>
    <n v="0"/>
    <s v="OXX"/>
    <x v="5"/>
    <x v="0"/>
    <x v="0"/>
    <n v="262"/>
    <n v="0"/>
    <s v="356.5023058183469"/>
    <s v="0.0"/>
    <x v="3"/>
    <n v="4"/>
    <x v="5"/>
    <x v="2"/>
    <m/>
    <s v="SEN M 73"/>
    <n v="356.5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8"/>
    <x v="3"/>
    <s v="Jill PAUL02/01/1996"/>
    <n v="2025"/>
    <s v="399.0572448321412"/>
    <s v="360.39407155624"/>
  </r>
  <r>
    <x v="342"/>
    <x v="336"/>
    <s v="Jimmy CHIARISOLO19/01/1998"/>
    <n v="259204"/>
    <s v="FR"/>
    <s v="PACA - Critérium National - Mondragon - Provence U15 à SEN HOMsam 14 Déc 2024"/>
    <s v="CROSSFIT ISTRES"/>
    <s v="Jimmy CHIARISOLO19/01/1998"/>
    <s v="72.4"/>
    <n v="90"/>
    <n v="-95"/>
    <n v="-100"/>
    <n v="90"/>
    <n v="0"/>
    <s v="OXX"/>
    <n v="110"/>
    <n v="-120"/>
    <n v="-130"/>
    <n v="110"/>
    <n v="0"/>
    <s v="OXX"/>
    <x v="5"/>
    <x v="0"/>
    <x v="0"/>
    <n v="200"/>
    <n v="0"/>
    <s v="270.97298613251127"/>
    <s v="0.0"/>
    <x v="5"/>
    <n v="7"/>
    <x v="5"/>
    <x v="2"/>
    <m/>
    <s v="SEN M 73"/>
    <n v="270.97000000000003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07"/>
    <x v="0"/>
    <s v="Jimmy CHIARISOLO19/01/1998"/>
    <n v="2025"/>
    <s v="291.41015843492397"/>
    <s v="291.41015843492397"/>
  </r>
  <r>
    <x v="343"/>
    <x v="337"/>
    <s v="Joana GUILLOT02/11/1998"/>
    <n v="469804"/>
    <s v="FR"/>
    <s v="CVL - Critérium National - Orleans - Femmessam 14 Déc 2024"/>
    <s v="CLUB DES STAGIAIRES"/>
    <s v="Joana GUILLOT02/11/1998"/>
    <s v="67.4"/>
    <n v="53"/>
    <n v="55"/>
    <n v="57"/>
    <n v="57"/>
    <n v="112"/>
    <s v="OOO"/>
    <n v="70"/>
    <n v="73"/>
    <n v="76"/>
    <n v="76"/>
    <n v="149"/>
    <s v="OOO"/>
    <x v="2"/>
    <x v="0"/>
    <x v="0"/>
    <n v="133"/>
    <n v="261"/>
    <s v="167.8092518606906"/>
    <s v="329.3098852303778"/>
    <x v="2"/>
    <n v="6"/>
    <x v="3"/>
    <x v="2"/>
    <m/>
    <s v="SEN F 71"/>
    <n v="167.8"/>
    <x v="1"/>
    <s v="CVL - Critérium National - Orleans - Femmessam 14 Déc 2024"/>
    <s v="Critérium National - Orleans - Femmes"/>
    <s v="CVL"/>
    <d v="2024-12-14T00:00:00"/>
    <n v="2024"/>
    <n v="12"/>
    <s v="2024-12"/>
    <m/>
    <s v="2024-2025"/>
    <n v="2025"/>
    <x v="69"/>
    <x v="13"/>
    <s v="Joana GUILLOT02/11/1998"/>
    <n v="2025"/>
    <s v="178.95989773882744"/>
    <s v="167.8092518606906"/>
  </r>
  <r>
    <x v="344"/>
    <x v="338"/>
    <s v="Joanna PONSARD09/03/1994"/>
    <n v="498165"/>
    <s v="FR"/>
    <s v="AURA - Critérium National - Vaulx en velin - PLATEAU 3  SENIOR FEMININESdim 15 Déc 2024"/>
    <s v="ELITE BARBELL VAULX EN VELIN"/>
    <s v="Joanna PONSARD09/03/1994"/>
    <n v="68"/>
    <n v="60"/>
    <n v="-63"/>
    <n v="63"/>
    <n v="63"/>
    <n v="123"/>
    <s v="OXO"/>
    <n v="-70"/>
    <n v="-70"/>
    <n v="70"/>
    <n v="70"/>
    <n v="0"/>
    <s v="XXO"/>
    <x v="0"/>
    <x v="1"/>
    <x v="0"/>
    <n v="133"/>
    <n v="123"/>
    <s v="166.97736317478308"/>
    <s v="154.42267421427306"/>
    <x v="2"/>
    <n v="6"/>
    <x v="3"/>
    <x v="2"/>
    <m/>
    <s v="SEN F 71"/>
    <n v="166.97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76"/>
    <x v="4"/>
    <s v="Joanna PONSARD09/03/1994"/>
    <n v="2025"/>
    <s v="166.97736317478308"/>
    <s v="166.97736317478308"/>
  </r>
  <r>
    <x v="345"/>
    <x v="339"/>
    <s v="Jocelyn BROTEL12/02/1992"/>
    <n v="443134"/>
    <s v="FR"/>
    <s v="PDL - Critérium National - Laval - SENIORS hsam 14 Déc 2024"/>
    <s v="CA EVRON 53 HALTEROPHILIE"/>
    <s v="Jocelyn BROTEL12/02/1992"/>
    <s v="94.22"/>
    <n v="-107"/>
    <n v="110"/>
    <n v="114"/>
    <n v="114"/>
    <n v="224"/>
    <s v="XOO"/>
    <n v="146"/>
    <n v="151"/>
    <n v="0"/>
    <n v="151"/>
    <n v="297"/>
    <s v="OOX"/>
    <x v="3"/>
    <x v="0"/>
    <x v="0"/>
    <n v="265"/>
    <n v="521"/>
    <s v="311.8572145626708"/>
    <s v="613.1230520269867"/>
    <x v="1"/>
    <n v="5"/>
    <x v="18"/>
    <x v="2"/>
    <m/>
    <s v="SEN M 96"/>
    <n v="311.85000000000002"/>
    <x v="0"/>
    <s v="PDL - Critérium National - Laval - SENIORS hsam 14 Déc 2024"/>
    <s v="Critérium National - Laval - SENIORS h"/>
    <s v="PDL"/>
    <d v="2024-12-14T00:00:00"/>
    <n v="2024"/>
    <n v="12"/>
    <s v="2024-12"/>
    <m/>
    <s v="2024-2025"/>
    <n v="2025"/>
    <x v="27"/>
    <x v="10"/>
    <s v="Jocelyn BROTEL12/02/1992"/>
    <n v="2025"/>
    <s v="318.2194154384925"/>
    <s v="311.8572145626708"/>
  </r>
  <r>
    <x v="346"/>
    <x v="340"/>
    <s v="Johan DARCHEN05/06/1996"/>
    <n v="466179"/>
    <s v="FR"/>
    <s v="PACA - Critérium National - Toulon - SUD PACA TOULON COTE AZURven 13 Déc 2024"/>
    <s v="VGA ST MAUR HALTEROPHILIE"/>
    <s v="Johan DARCHEN05/06/1996"/>
    <s v="80.1"/>
    <n v="-120"/>
    <n v="120"/>
    <n v="-125"/>
    <n v="120"/>
    <n v="0"/>
    <s v="XOX"/>
    <n v="140"/>
    <n v="-150"/>
    <n v="-155"/>
    <n v="140"/>
    <n v="0"/>
    <s v="OXX"/>
    <x v="5"/>
    <x v="0"/>
    <x v="0"/>
    <n v="260"/>
    <n v="0"/>
    <s v="332.0144236437237"/>
    <s v="0.0"/>
    <x v="1"/>
    <n v="5"/>
    <x v="4"/>
    <x v="2"/>
    <m/>
    <s v="SEN M 81"/>
    <n v="332.01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3"/>
    <x v="3"/>
    <s v="Johan DARCHEN05/06/1996"/>
    <n v="2025"/>
    <s v="348.7801988507756"/>
    <s v="336.0972825289292"/>
  </r>
  <r>
    <x v="347"/>
    <x v="325"/>
    <s v="Johan SEGURA20/03/2010"/>
    <n v="497821"/>
    <s v="CO"/>
    <s v="PACA - Critérium National - Mondragon - Provence U15 à SEN HOMsam 14 Déc 2024"/>
    <s v="HC PELISSANNAIS"/>
    <s v="Johan SEGURA20/03/2010"/>
    <s v="60.3"/>
    <n v="55"/>
    <n v="58"/>
    <n v="61"/>
    <n v="61"/>
    <n v="119"/>
    <s v="OOO"/>
    <n v="-69"/>
    <n v="69"/>
    <n v="-75"/>
    <n v="69"/>
    <n v="0"/>
    <s v="XOX"/>
    <x v="3"/>
    <x v="0"/>
    <x v="0"/>
    <n v="130"/>
    <n v="119"/>
    <s v="199.269910339539"/>
    <s v="182.4086102338857"/>
    <x v="1"/>
    <n v="5"/>
    <x v="8"/>
    <x v="1"/>
    <m/>
    <s v="U15 M 61"/>
    <n v="199.26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13"/>
    <x v="0"/>
    <s v="Johan SEGURA20/03/2010"/>
    <n v="2025"/>
    <s v="199.269910339539"/>
    <s v="199.269910339539"/>
  </r>
  <r>
    <x v="348"/>
    <x v="341"/>
    <s v="Johanna FORMONT16/06/1988"/>
    <n v="461379"/>
    <s v="FR"/>
    <s v="PDL - Critérium National - Laval - seniors Fsam 14 Déc 2024"/>
    <s v="ANGERS MENESTYS BARBELL CLUB"/>
    <s v="Johanna FORMONT16/06/1988"/>
    <s v="50.55"/>
    <n v="58"/>
    <n v="-62"/>
    <n v="62"/>
    <n v="62"/>
    <n v="120"/>
    <s v="OXO"/>
    <n v="-75"/>
    <n v="77"/>
    <n v="-80"/>
    <n v="77"/>
    <n v="0"/>
    <s v="XOX"/>
    <x v="0"/>
    <x v="0"/>
    <x v="0"/>
    <n v="139"/>
    <n v="120"/>
    <s v="212.17818698063368"/>
    <s v="183.17541322069096"/>
    <x v="1"/>
    <n v="5"/>
    <x v="1"/>
    <x v="2"/>
    <n v="35"/>
    <s v="SEN F 55"/>
    <n v="212.17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112"/>
    <x v="10"/>
    <s v="Johanna FORMONT16/06/1988"/>
    <n v="2025"/>
    <s v="220.64261861232671"/>
    <s v="212.17818698063368"/>
  </r>
  <r>
    <x v="349"/>
    <x v="342"/>
    <s v="Johanna JACQUET24/04/1987"/>
    <n v="477118"/>
    <s v="FR"/>
    <s v="GUA - Critérium National - Creps antilles guyane - GUA-Critérium National d'Haltérophiliesam 14 Déc 2024"/>
    <s v="HALTEROPHILIE CLUB DE POINTE A PITRE 971"/>
    <s v="Johanna JACQUET24/04/1987"/>
    <s v="70.7"/>
    <n v="55"/>
    <n v="58"/>
    <n v="-60"/>
    <n v="58"/>
    <n v="113"/>
    <s v="OOX"/>
    <n v="75"/>
    <n v="-80"/>
    <n v="-80"/>
    <n v="75"/>
    <n v="0"/>
    <s v="OXX"/>
    <x v="0"/>
    <x v="0"/>
    <x v="0"/>
    <n v="133"/>
    <n v="113"/>
    <s v="163.47504364810763"/>
    <s v="138.89233031756515"/>
    <x v="2"/>
    <n v="6"/>
    <x v="3"/>
    <x v="2"/>
    <n v="35"/>
    <s v="SEN F 71"/>
    <n v="163.47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Johanna JACQUET24/04/1987"/>
    <n v="2025"/>
    <s v="174.7052700156923"/>
    <s v="163.47504364810763"/>
  </r>
  <r>
    <x v="350"/>
    <x v="343"/>
    <s v="John MULLER23/10/1998"/>
    <n v="403316"/>
    <s v="FR"/>
    <s v="BFC - Critérium National - Besançon - BFC - Critérium National - Besançon - BFC-Critérium 81 89 96sam 14 Déc 2024"/>
    <s v="CLUB HALTEROPHILE LUXOVIEN"/>
    <s v="John MULLER23/10/1998"/>
    <s v="80.55"/>
    <n v="105"/>
    <n v="-110"/>
    <n v="112"/>
    <n v="112"/>
    <n v="217"/>
    <s v="OXO"/>
    <n v="145"/>
    <n v="150"/>
    <n v="154"/>
    <n v="154"/>
    <n v="304"/>
    <s v="OOO"/>
    <x v="1"/>
    <x v="0"/>
    <x v="0"/>
    <n v="266"/>
    <n v="521"/>
    <s v="338.62691587000717"/>
    <s v="663.2504630386231"/>
    <x v="1"/>
    <n v="5"/>
    <x v="4"/>
    <x v="2"/>
    <m/>
    <s v="SEN M 81"/>
    <n v="338.62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John MULLER23/10/1998"/>
    <n v="2025"/>
    <s v="338.62691587000717"/>
    <s v="338.62691587000717"/>
  </r>
  <r>
    <x v="351"/>
    <x v="344"/>
    <s v="Jonah HEAFALA20/08/2004"/>
    <n v="404054"/>
    <s v="FR"/>
    <s v="AURA - Critérium National - Vaulx en velin - PLATEAU SEN MASCULINSsam 14 Déc 2024"/>
    <s v="ATHLETIC CLUB SAINT MARCELLIN"/>
    <s v="Jonah HEAFALA20/08/2004"/>
    <s v="84.2"/>
    <n v="118"/>
    <n v="123"/>
    <n v="-127"/>
    <n v="123"/>
    <n v="241"/>
    <s v="OOX"/>
    <n v="145"/>
    <n v="149"/>
    <n v="154"/>
    <n v="154"/>
    <n v="303"/>
    <s v="OOO"/>
    <x v="1"/>
    <x v="0"/>
    <x v="0"/>
    <n v="277"/>
    <n v="544"/>
    <s v="344.3430287738646"/>
    <s v="676.2549012743045"/>
    <x v="1"/>
    <n v="5"/>
    <x v="9"/>
    <x v="2"/>
    <m/>
    <s v="SEN M 89"/>
    <n v="344.34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51"/>
    <x v="4"/>
    <s v="Jonah HEAFALA20/08/2004"/>
    <n v="2025"/>
    <s v="344.3430287738646"/>
    <s v="344.3430287738646"/>
  </r>
  <r>
    <x v="352"/>
    <x v="345"/>
    <s v="Jonathan COGNON08/11/1990"/>
    <n v="18972"/>
    <s v="FR"/>
    <s v="PDL - Critérium National - Laval - SENIORS hsam 14 Déc 2024"/>
    <s v="CJF LAVAL VOUTRE HALTERO 53"/>
    <s v="Jonathan COGNON08/11/1990"/>
    <s v="78.28"/>
    <n v="105"/>
    <n v="110"/>
    <n v="-113"/>
    <n v="110"/>
    <n v="215"/>
    <s v="OOX"/>
    <n v="140"/>
    <n v="-145"/>
    <n v="-145"/>
    <n v="140"/>
    <n v="0"/>
    <s v="OXX"/>
    <x v="0"/>
    <x v="0"/>
    <x v="0"/>
    <n v="250"/>
    <n v="215"/>
    <s v="323.3896234239705"/>
    <s v="278.1150761446146"/>
    <x v="1"/>
    <n v="5"/>
    <x v="4"/>
    <x v="2"/>
    <n v="35"/>
    <s v="SEN M 81"/>
    <n v="323.38"/>
    <x v="0"/>
    <s v="PDL - Critérium National - Laval - SENIORS hsam 14 Déc 2024"/>
    <s v="Critérium National - Laval - SENIORS h"/>
    <s v="PDL"/>
    <d v="2024-12-14T00:00:00"/>
    <n v="2024"/>
    <n v="12"/>
    <s v="2024-12"/>
    <m/>
    <s v="2024-2025"/>
    <n v="2025"/>
    <x v="43"/>
    <x v="10"/>
    <s v="Jonathan COGNON08/11/1990"/>
    <n v="2025"/>
    <s v="338.61760805393976"/>
    <s v="326.7493787291795"/>
  </r>
  <r>
    <x v="353"/>
    <x v="346"/>
    <s v="Jonathan LAUGIER28/12/1989"/>
    <n v="86808"/>
    <s v="FR"/>
    <s v="PACA - Critérium National - Mondragon - Provence U15 à SEN HOMsam 14 Déc 2024"/>
    <s v="EEAR MONTEUX"/>
    <s v="Jonathan LAUGIER28/12/1989"/>
    <s v="80.8"/>
    <n v="-104"/>
    <n v="-107"/>
    <n v="0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4"/>
    <x v="2"/>
    <n v="35"/>
    <s v="SEN M 81"/>
    <n v="0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1"/>
    <x v="0"/>
    <s v="Jonathan LAUGIER28/12/1989"/>
    <n v="2025"/>
    <s v="317.93291074766154"/>
    <s v="299.98073085829446"/>
  </r>
  <r>
    <x v="354"/>
    <x v="76"/>
    <s v="Joris DAWID29/07/1992"/>
    <n v="96863"/>
    <s v="FR"/>
    <s v="AURA - Critérium National - Vaulx en velin - PLATEAU SEN MASCULINSsam 14 Déc 2024"/>
    <s v="CH ARBRESLE"/>
    <s v="Joris DAWID29/07/1992"/>
    <s v="105.4"/>
    <n v="110"/>
    <n v="-115"/>
    <n v="-117"/>
    <n v="110"/>
    <n v="0"/>
    <s v="OXX"/>
    <n v="-136"/>
    <n v="137"/>
    <n v="-142"/>
    <n v="137"/>
    <n v="0"/>
    <s v="XOX"/>
    <x v="5"/>
    <x v="0"/>
    <x v="0"/>
    <n v="247"/>
    <n v="0"/>
    <s v="277.39780890110995"/>
    <s v="0.0"/>
    <x v="2"/>
    <n v="6"/>
    <x v="19"/>
    <x v="2"/>
    <m/>
    <s v="SEN M 109"/>
    <n v="277.39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71"/>
    <x v="4"/>
    <s v="Joris DAWID29/07/1992"/>
    <n v="2025"/>
    <s v="289.2611453479328"/>
    <s v="289.2611453479328"/>
  </r>
  <r>
    <x v="355"/>
    <x v="347"/>
    <s v="Joris FORESTIERI18/06/1993"/>
    <n v="440285"/>
    <s v="FR"/>
    <s v="PACA - Critérium National - Toulon - SUD PACA TOULON COTE AZURven 13 Déc 2024"/>
    <s v="ATHLETIC CLUB MENTON"/>
    <s v="Joris FORESTIERI18/06/1993"/>
    <s v="88.55"/>
    <n v="113"/>
    <n v="118"/>
    <n v="-122"/>
    <n v="118"/>
    <n v="231"/>
    <s v="OOX"/>
    <n v="135"/>
    <n v="-142"/>
    <n v="-142"/>
    <n v="135"/>
    <n v="0"/>
    <s v="OXX"/>
    <x v="0"/>
    <x v="0"/>
    <x v="0"/>
    <n v="253"/>
    <n v="231"/>
    <s v="306.57917280966916"/>
    <s v="279.92011430448053"/>
    <x v="2"/>
    <n v="6"/>
    <x v="9"/>
    <x v="2"/>
    <m/>
    <s v="SEN M 89"/>
    <n v="306.57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14"/>
    <x v="0"/>
    <s v="Joris FORESTIERI18/06/1993"/>
    <n v="2025"/>
    <s v="308.7462660258805"/>
    <s v="308.7462660258805"/>
  </r>
  <r>
    <x v="356"/>
    <x v="348"/>
    <s v="Joy LAMBERT15/06/1985"/>
    <n v="480880"/>
    <s v="FR"/>
    <s v="AURA - Critérium National - Vaulx en velin - PLATEAU 3  SENIOR FEMININESdim 15 Déc 2024"/>
    <s v="LA GAULOISE DE VAISE"/>
    <s v="Joy LAMBERT15/06/1985"/>
    <s v="69.7"/>
    <n v="57"/>
    <n v="-60"/>
    <n v="-62"/>
    <n v="57"/>
    <n v="0"/>
    <s v="OXX"/>
    <n v="67"/>
    <n v="-71"/>
    <n v="73"/>
    <n v="73"/>
    <n v="140"/>
    <s v="OXO"/>
    <x v="0"/>
    <x v="0"/>
    <x v="0"/>
    <n v="130"/>
    <n v="140"/>
    <s v="161.01227493048202"/>
    <s v="173.39783454051909"/>
    <x v="2"/>
    <n v="6"/>
    <x v="3"/>
    <x v="2"/>
    <n v="40"/>
    <s v="SEN F 71"/>
    <n v="161.01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5"/>
    <x v="4"/>
    <s v="Joy LAMBERT15/06/1985"/>
    <n v="2025"/>
    <s v="163.48938685248942"/>
    <s v="163.48938685248942"/>
  </r>
  <r>
    <x v="357"/>
    <x v="349"/>
    <s v="Jules ACHER03/10/2005"/>
    <n v="502911"/>
    <s v="FR"/>
    <s v="AURA - Critérium National - Vaulx en velin - PLATEAU JEUNES MASCULINSsam 14 Déc 2024"/>
    <s v="ARAVIS HAL-FA"/>
    <s v="Jules ACHER03/10/2005"/>
    <s v="77.4"/>
    <n v="85"/>
    <n v="90"/>
    <n v="93"/>
    <n v="93"/>
    <n v="183"/>
    <s v="OOO"/>
    <n v="106"/>
    <n v="-111"/>
    <n v="-115"/>
    <n v="106"/>
    <n v="0"/>
    <s v="OXX"/>
    <x v="3"/>
    <x v="0"/>
    <x v="0"/>
    <n v="199"/>
    <n v="183"/>
    <s v="259.08828033045035"/>
    <s v="238.25706181141913"/>
    <x v="2"/>
    <n v="6"/>
    <x v="4"/>
    <x v="0"/>
    <m/>
    <s v="U20 M 81"/>
    <n v="259.08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24"/>
    <x v="4"/>
    <s v="Jules ACHER03/10/2005"/>
    <n v="2025"/>
    <s v="259.08828033045035"/>
    <s v="259.08828033045035"/>
  </r>
  <r>
    <x v="358"/>
    <x v="350"/>
    <s v="Jules LEGOUX17/03/2011"/>
    <n v="493275"/>
    <s v="FR"/>
    <s v="GE - Critérium National - Langres - LOR - CHAsam 14 Déc 2024"/>
    <s v="LANGRES HM"/>
    <s v="Jules LEGOUX17/03/2011"/>
    <n v="49"/>
    <n v="41"/>
    <n v="-45"/>
    <n v="-45"/>
    <n v="41"/>
    <n v="0"/>
    <s v="OXX"/>
    <n v="50"/>
    <n v="55"/>
    <n v="-60"/>
    <n v="55"/>
    <n v="105"/>
    <s v="OOX"/>
    <x v="0"/>
    <x v="0"/>
    <x v="0"/>
    <n v="96"/>
    <n v="105"/>
    <s v="173.63484537367424"/>
    <s v="189.9131121274562"/>
    <x v="2"/>
    <n v="6"/>
    <x v="10"/>
    <x v="1"/>
    <m/>
    <s v="U15 M 49"/>
    <n v="173.63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Jules LEGOUX17/03/2011"/>
    <n v="2025"/>
    <s v="177.56509652375706"/>
    <s v="177.56509652375706"/>
  </r>
  <r>
    <x v="359"/>
    <x v="351"/>
    <s v="Julia BOROWIAK14/05/2007"/>
    <n v="475010"/>
    <s v="FR"/>
    <s v="REU - Critérium National - La possession - U15-17-20dim 15 Déc 2024"/>
    <s v="TEAM LA FOURNAISE LIFTER"/>
    <s v="Julia BOROWIAK14/05/2007"/>
    <s v="62.08"/>
    <n v="43"/>
    <n v="46"/>
    <n v="-49"/>
    <n v="46"/>
    <n v="89"/>
    <s v="OOX"/>
    <n v="54"/>
    <n v="57"/>
    <n v="-60"/>
    <n v="57"/>
    <n v="111"/>
    <s v="OOX"/>
    <x v="3"/>
    <x v="0"/>
    <x v="0"/>
    <n v="103"/>
    <n v="200"/>
    <s v="136.43826859846476"/>
    <s v="264.92867689022285"/>
    <x v="5"/>
    <n v="7"/>
    <x v="7"/>
    <x v="0"/>
    <m/>
    <s v="U20 F 64"/>
    <n v="136.43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72"/>
    <x v="5"/>
    <s v="Julia BOROWIAK14/05/2007"/>
    <n v="2025"/>
    <s v="142.54323634743"/>
    <s v="136.43826859846476"/>
  </r>
  <r>
    <x v="360"/>
    <x v="352"/>
    <s v="Julie CHEDED29/11/1984"/>
    <n v="473285"/>
    <s v="FR"/>
    <s v="PACA - Critérium National - Toulon - SUD PACA TOULON COTE AZURven 13 Déc 2024"/>
    <s v="ASPTT DRAGUIGNAN"/>
    <s v="Julie CHEDED29/11/1984"/>
    <n v="45"/>
    <n v="-50"/>
    <n v="-50"/>
    <n v="-51"/>
    <n v="0"/>
    <n v="0"/>
    <s v="XXX"/>
    <n v="58"/>
    <n v="-62"/>
    <n v="-63"/>
    <n v="58"/>
    <n v="0"/>
    <s v="OXX"/>
    <x v="4"/>
    <x v="0"/>
    <x v="0"/>
    <n v="58"/>
    <n v="0"/>
    <s v="97.1694446777304"/>
    <s v="0.0"/>
    <x v="0"/>
    <n v="999"/>
    <x v="6"/>
    <x v="2"/>
    <n v="40"/>
    <s v="SEN F 45"/>
    <n v="0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30"/>
    <x v="0"/>
    <s v="Julie CHEDED29/11/1984"/>
    <n v="2025"/>
    <s v="187.18971726776016"/>
    <s v="187.18971726776016"/>
  </r>
  <r>
    <x v="361"/>
    <x v="353"/>
    <s v="Julie GONZALEZ07/06/2010"/>
    <n v="480891"/>
    <s v="FR"/>
    <s v="NAQ - Critérium National - Mont de marsan - ligue Nouvelle Aquitainesam 14 Déc 2024"/>
    <s v="EA DE SAINT MEDARD"/>
    <s v="Julie GONZALEZ07/06/2010"/>
    <s v="54.5"/>
    <n v="-35"/>
    <n v="35"/>
    <n v="40"/>
    <n v="40"/>
    <n v="75"/>
    <s v="XOO"/>
    <n v="47"/>
    <n v="50"/>
    <n v="-53"/>
    <n v="50"/>
    <n v="97"/>
    <s v="OOX"/>
    <x v="3"/>
    <x v="0"/>
    <x v="0"/>
    <n v="90"/>
    <n v="172"/>
    <s v="129.99347582304986"/>
    <s v="248.43197601738422"/>
    <x v="1"/>
    <n v="5"/>
    <x v="1"/>
    <x v="1"/>
    <m/>
    <s v="U15 F 55"/>
    <n v="129.99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81"/>
    <x v="12"/>
    <s v="Julie GONZALEZ07/06/2010"/>
    <n v="2025"/>
    <s v="129.99347582304986"/>
    <s v="129.99347582304986"/>
  </r>
  <r>
    <x v="362"/>
    <x v="354"/>
    <s v="Julie ROUSSEL14/05/2006"/>
    <n v="476193"/>
    <s v="FR"/>
    <s v="HDF - Critérium National - Comines - U20 - Seniors Femmessam 14 Déc 2024"/>
    <s v="CAHC BERCK"/>
    <s v="Julie ROUSSEL14/05/2006"/>
    <n v="55"/>
    <n v="-64"/>
    <n v="-65"/>
    <n v="65"/>
    <n v="65"/>
    <n v="0"/>
    <s v="XXO"/>
    <n v="80"/>
    <n v="-85"/>
    <n v="-85"/>
    <n v="80"/>
    <n v="0"/>
    <s v="OXX"/>
    <x v="5"/>
    <x v="1"/>
    <x v="0"/>
    <n v="145"/>
    <n v="0"/>
    <s v="208.08818703269407"/>
    <s v="0.0"/>
    <x v="4"/>
    <n v="3"/>
    <x v="1"/>
    <x v="0"/>
    <m/>
    <s v="U20 F 55"/>
    <n v="208.08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92"/>
    <x v="8"/>
    <s v="Julie ROUSSEL14/05/2006"/>
    <n v="2025"/>
    <s v="209.83772914727626"/>
    <s v="209.83772914727626"/>
  </r>
  <r>
    <x v="363"/>
    <x v="355"/>
    <s v="Juliette BESANCENOT23/10/2011"/>
    <n v="462823"/>
    <s v="FR"/>
    <s v="GE - Critérium National - Langres - LOR - CHAsam 14 Déc 2024"/>
    <s v="LANGRES HM"/>
    <s v="Juliette BESANCENOT23/10/2011"/>
    <s v="42.9"/>
    <n v="33"/>
    <n v="36"/>
    <n v="38"/>
    <n v="38"/>
    <n v="74"/>
    <s v="OOO"/>
    <n v="45"/>
    <n v="48"/>
    <n v="0"/>
    <n v="48"/>
    <n v="93"/>
    <s v="OOX"/>
    <x v="1"/>
    <x v="0"/>
    <x v="0"/>
    <n v="86"/>
    <n v="167"/>
    <s v="150.09701631903437"/>
    <s v="291.46746192184577"/>
    <x v="3"/>
    <n v="4"/>
    <x v="6"/>
    <x v="1"/>
    <m/>
    <s v="U15 F 45"/>
    <n v="150.09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Juliette BESANCENOT23/10/2011"/>
    <n v="2025"/>
    <s v="150.09701631903437"/>
    <s v="150.09701631903437"/>
  </r>
  <r>
    <x v="364"/>
    <x v="356"/>
    <s v="Juliette GARRIC28/08/1997"/>
    <n v="481288"/>
    <s v="FR"/>
    <s v="BRE - Critérium National - Plouhinec - Femmessam 14 Déc 2024"/>
    <s v="BREST HALTEROPHILIE 29"/>
    <s v="Juliette GARRIC28/08/1997"/>
    <s v="63.3"/>
    <n v="65"/>
    <n v="70"/>
    <n v="75"/>
    <n v="75"/>
    <n v="145"/>
    <s v="OOO"/>
    <n v="80"/>
    <n v="85"/>
    <n v="90"/>
    <n v="90"/>
    <n v="175"/>
    <s v="OOO"/>
    <x v="2"/>
    <x v="0"/>
    <x v="0"/>
    <n v="165"/>
    <n v="320"/>
    <s v="215.97282312401205"/>
    <s v="418.85638424050825"/>
    <x v="3"/>
    <n v="4"/>
    <x v="7"/>
    <x v="2"/>
    <m/>
    <s v="SEN F 64"/>
    <n v="215.97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78"/>
    <x v="7"/>
    <s v="Juliette GARRIC28/08/1997"/>
    <n v="2025"/>
    <s v="215.97282312401205"/>
    <s v="215.97282312401205"/>
  </r>
  <r>
    <x v="365"/>
    <x v="357"/>
    <s v="Juliette ROBERT01/04/1996"/>
    <n v="469995"/>
    <s v="FR"/>
    <s v="BFC - Critérium National - Besançon - BFC-Critérium 2 SEN Fsam 14 Déc 2024"/>
    <s v="LA FRANCAISE DE BESANCON"/>
    <s v="Juliette ROBERT01/04/1996"/>
    <s v="58.9"/>
    <n v="50"/>
    <n v="53"/>
    <n v="-55"/>
    <n v="53"/>
    <n v="103"/>
    <s v="OOX"/>
    <n v="65"/>
    <n v="68"/>
    <n v="-70"/>
    <n v="68"/>
    <n v="133"/>
    <s v="OOX"/>
    <x v="3"/>
    <x v="0"/>
    <x v="0"/>
    <n v="121"/>
    <n v="236"/>
    <s v="165.74971393618722"/>
    <s v="323.2804337928941"/>
    <x v="2"/>
    <n v="6"/>
    <x v="2"/>
    <x v="2"/>
    <m/>
    <s v="SEN F 59"/>
    <n v="165.74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21"/>
    <x v="6"/>
    <s v="Juliette ROBERT01/04/1996"/>
    <n v="2025"/>
    <s v="166.01806613909346"/>
    <s v="166.01806613909346"/>
  </r>
  <r>
    <x v="366"/>
    <x v="358"/>
    <s v="Justine LOTTIN24/07/2001"/>
    <n v="494247"/>
    <s v="FR"/>
    <s v="HDF - Critérium National - La ferte milon - U17 / U20 / Seniors Femmessam 14 Déc 2024"/>
    <s v="CEHT HIRSON"/>
    <s v="Justine LOTTIN24/07/2001"/>
    <s v="68.02"/>
    <n v="60"/>
    <n v="64"/>
    <n v="-67"/>
    <n v="64"/>
    <n v="124"/>
    <s v="OOX"/>
    <n v="71"/>
    <n v="74"/>
    <n v="77"/>
    <n v="77"/>
    <n v="151"/>
    <s v="OOO"/>
    <x v="1"/>
    <x v="0"/>
    <x v="0"/>
    <n v="141"/>
    <n v="275"/>
    <s v="176.99208892164006"/>
    <s v="345.19733654929803"/>
    <x v="2"/>
    <n v="6"/>
    <x v="3"/>
    <x v="2"/>
    <m/>
    <s v="SEN F 71"/>
    <n v="176.99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25"/>
    <x v="8"/>
    <s v="Justine LOTTIN24/07/2001"/>
    <n v="2025"/>
    <s v="176.99208892164006"/>
    <s v="176.99208892164006"/>
  </r>
  <r>
    <x v="367"/>
    <x v="359"/>
    <s v="Justine PRIEUR04/05/1996"/>
    <n v="478271"/>
    <s v="FR"/>
    <s v="GE - Critérium National - Langres - LOR - CHAsam 14 Déc 2024"/>
    <s v="SNAGA HM"/>
    <s v="Justine PRIEUR04/05/1996"/>
    <s v="67.9"/>
    <n v="62"/>
    <n v="65"/>
    <n v="67"/>
    <n v="67"/>
    <n v="132"/>
    <s v="OOO"/>
    <n v="80"/>
    <n v="85"/>
    <n v="90"/>
    <n v="90"/>
    <n v="175"/>
    <s v="OOO"/>
    <x v="2"/>
    <x v="0"/>
    <x v="0"/>
    <n v="157"/>
    <n v="307"/>
    <s v="197.2706096882003"/>
    <s v="385.7457144858439"/>
    <x v="1"/>
    <n v="5"/>
    <x v="3"/>
    <x v="2"/>
    <m/>
    <s v="SEN F 71"/>
    <n v="197.27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95"/>
    <x v="2"/>
    <s v="Justine PRIEUR04/05/1996"/>
    <n v="2025"/>
    <s v="197.2706096882003"/>
    <s v="197.2706096882003"/>
  </r>
  <r>
    <x v="368"/>
    <x v="360"/>
    <s v="Justine RECURT30/08/1997"/>
    <n v="464818"/>
    <s v="FR"/>
    <s v="OCC - Critérium National - Hc montalbanais - Plateau 1sam 14 Déc 2024"/>
    <s v="TOULOUSE HC"/>
    <s v="Justine RECURT30/08/1997"/>
    <s v="57.8"/>
    <n v="72"/>
    <n v="75"/>
    <n v="-78"/>
    <n v="75"/>
    <n v="147"/>
    <s v="OOX"/>
    <n v="85"/>
    <n v="-88"/>
    <n v="88"/>
    <n v="88"/>
    <n v="173"/>
    <s v="OXO"/>
    <x v="3"/>
    <x v="0"/>
    <x v="0"/>
    <n v="163"/>
    <n v="320"/>
    <s v="226.08830432284128"/>
    <s v="443.85433977490317"/>
    <x v="3"/>
    <n v="4"/>
    <x v="2"/>
    <x v="2"/>
    <m/>
    <s v="SEN F 59"/>
    <n v="226.08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6"/>
    <x v="1"/>
    <s v="Justine RECURT30/08/1997"/>
    <n v="2025"/>
    <s v="227.63349786385248"/>
    <s v="226.08830432284128"/>
  </r>
  <r>
    <x v="369"/>
    <x v="361"/>
    <s v="Kali FERRAND COGNON14/07/2015"/>
    <n v="500040"/>
    <s v="FR"/>
    <s v="PDL - Critérium National - Laval - U10 -U13sam 14 Déc 2024"/>
    <s v="CJF LAVAL VOUTRE HALTERO 53"/>
    <s v="Kali FERRAND COGNON14/07/2015"/>
    <s v="26.25"/>
    <n v="10"/>
    <n v="12"/>
    <n v="13"/>
    <n v="13"/>
    <n v="25"/>
    <s v="OOO"/>
    <n v="12"/>
    <n v="14"/>
    <n v="16"/>
    <n v="16"/>
    <n v="30"/>
    <s v="OOO"/>
    <x v="2"/>
    <x v="0"/>
    <x v="0"/>
    <n v="29"/>
    <n v="55"/>
    <s v="84.3793584709509"/>
    <s v="160.02981778973447"/>
    <x v="0"/>
    <n v="999"/>
    <x v="13"/>
    <x v="5"/>
    <m/>
    <s v="U10 F "/>
    <n v="160.02000000000001"/>
    <x v="1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43"/>
    <x v="10"/>
    <s v="Kali FERRAND COGNON14/07/2015"/>
    <n v="2025"/>
    <s v="84.3793584709509"/>
    <s v="84.3793584709509"/>
  </r>
  <r>
    <x v="370"/>
    <x v="362"/>
    <s v="Kalia MATHUREL27/09/2005"/>
    <n v="482446"/>
    <s v="FR"/>
    <s v="HDF - Critérium National - Comines - U20 - Seniors Femmessam 14 Déc 2024"/>
    <s v="CAHC BERCK"/>
    <s v="Kalia MATHUREL27/09/2005"/>
    <s v="48.58"/>
    <n v="-43"/>
    <n v="45"/>
    <n v="-48"/>
    <n v="45"/>
    <n v="0"/>
    <s v="XOX"/>
    <n v="55"/>
    <n v="60"/>
    <n v="-63"/>
    <n v="60"/>
    <n v="115"/>
    <s v="OOX"/>
    <x v="0"/>
    <x v="0"/>
    <x v="0"/>
    <n v="105"/>
    <n v="115"/>
    <s v="165.28654476585044"/>
    <s v="181.0281204578362"/>
    <x v="1"/>
    <n v="5"/>
    <x v="10"/>
    <x v="0"/>
    <m/>
    <s v="U20 F 49"/>
    <n v="165.28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92"/>
    <x v="8"/>
    <s v="Kalia MATHUREL27/09/2005"/>
    <n v="2025"/>
    <s v="168.46208560279993"/>
    <s v="168.46208560279993"/>
  </r>
  <r>
    <x v="371"/>
    <x v="363"/>
    <s v="Kalyah DEMEULEMEESTER20/10/2011"/>
    <n v="496293"/>
    <s v="FR"/>
    <s v="IDF - Critérium National - Neuilly-sur-seinesam 14 Déc 2024"/>
    <s v="HCVM CHELLES"/>
    <s v="Kalyah DEMEULEMEESTER20/10/2011"/>
    <s v="44.2"/>
    <n v="21"/>
    <n v="-23"/>
    <n v="23"/>
    <n v="23"/>
    <n v="44"/>
    <s v="OXO"/>
    <n v="30"/>
    <n v="33"/>
    <n v="-35"/>
    <n v="33"/>
    <n v="63"/>
    <s v="OOX"/>
    <x v="3"/>
    <x v="0"/>
    <x v="0"/>
    <n v="56"/>
    <n v="107"/>
    <s v="95.25345708865139"/>
    <s v="182.0021412229589"/>
    <x v="2"/>
    <n v="6"/>
    <x v="6"/>
    <x v="1"/>
    <m/>
    <s v="U15 F 45"/>
    <n v="95.25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49"/>
    <x v="3"/>
    <s v="Kalyah DEMEULEMEESTER20/10/2011"/>
    <n v="2025"/>
    <s v="97.24441006090353"/>
    <s v="95.25345708865139"/>
  </r>
  <r>
    <x v="372"/>
    <x v="364"/>
    <s v="Kateryna ILCHUK14/02/2001"/>
    <n v="464551"/>
    <s v="FR"/>
    <s v="PDL - Critérium National - Laval - seniors Fsam 14 Déc 2024"/>
    <s v="ANGERS MENESTYS BARBELL CLUB"/>
    <s v="Kateryna ILCHUK14/02/2001"/>
    <s v="63.44"/>
    <n v="77"/>
    <n v="-82"/>
    <n v="-82"/>
    <n v="77"/>
    <n v="0"/>
    <s v="OXX"/>
    <n v="88"/>
    <n v="94"/>
    <n v="-98"/>
    <n v="94"/>
    <n v="182"/>
    <s v="OOX"/>
    <x v="0"/>
    <x v="0"/>
    <x v="0"/>
    <n v="171"/>
    <n v="182"/>
    <s v="223.52696211157598"/>
    <s v="237.90588949887035"/>
    <x v="3"/>
    <n v="4"/>
    <x v="7"/>
    <x v="2"/>
    <m/>
    <s v="SEN F 64"/>
    <n v="223.52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112"/>
    <x v="10"/>
    <s v="Kateryna ILCHUK14/02/2001"/>
    <n v="2025"/>
    <s v="230.38870105563765"/>
    <s v="224.17079662431675"/>
  </r>
  <r>
    <x v="373"/>
    <x v="365"/>
    <s v="Katia BAUD10/05/1988"/>
    <n v="494937"/>
    <s v="FR"/>
    <s v="NAQ - Critérium National - Mont de marsan - ligue Nouvelle Aquitainesam 14 Déc 2024"/>
    <s v="STADE MONTOIS HALTEROPHILIE"/>
    <s v="Katia BAUD10/05/1988"/>
    <s v="57.1"/>
    <n v="54"/>
    <n v="-56"/>
    <n v="-56"/>
    <n v="54"/>
    <n v="0"/>
    <s v="OXX"/>
    <n v="67"/>
    <n v="0"/>
    <n v="0"/>
    <n v="67"/>
    <n v="0"/>
    <s v="OXX"/>
    <x v="5"/>
    <x v="0"/>
    <x v="0"/>
    <n v="121"/>
    <n v="0"/>
    <s v="169.21429498871896"/>
    <s v="0.0"/>
    <x v="2"/>
    <n v="6"/>
    <x v="2"/>
    <x v="2"/>
    <n v="35"/>
    <s v="SEN F 59"/>
    <n v="169.21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91"/>
    <x v="12"/>
    <s v="Katia BAUD10/05/1988"/>
    <n v="2025"/>
    <s v="190.6570978738065"/>
    <s v="169.21429498871896"/>
  </r>
  <r>
    <x v="374"/>
    <x v="366"/>
    <s v="Katline MUNIER24/03/1994"/>
    <n v="476116"/>
    <s v="FR"/>
    <s v="PDL - Critérium National - Laval - seniors Fsam 14 Déc 2024"/>
    <s v="CA EVRON 53 HALTEROPHILIE"/>
    <s v="Katline MUNIER24/03/1994"/>
    <s v="65.07"/>
    <n v="-56"/>
    <n v="56"/>
    <n v="60"/>
    <n v="60"/>
    <n v="116"/>
    <s v="XOO"/>
    <n v="-74"/>
    <n v="74"/>
    <n v="77"/>
    <n v="77"/>
    <n v="151"/>
    <s v="XOO"/>
    <x v="3"/>
    <x v="0"/>
    <x v="0"/>
    <n v="137"/>
    <n v="267"/>
    <s v="176.39345021978065"/>
    <s v="343.77409641373305"/>
    <x v="2"/>
    <n v="6"/>
    <x v="3"/>
    <x v="2"/>
    <m/>
    <s v="SEN F 71"/>
    <n v="176.39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27"/>
    <x v="10"/>
    <s v="Katline MUNIER24/03/1994"/>
    <n v="2025"/>
    <s v="176.39345021978065"/>
    <s v="176.39345021978065"/>
  </r>
  <r>
    <x v="375"/>
    <x v="367"/>
    <s v="Kéllia RICHARD07/02/2009"/>
    <n v="463291"/>
    <s v="FR"/>
    <s v="REU - Critérium National - La possession - U15-17-20dim 15 Déc 2024"/>
    <s v="SCHM SAINT PAUL"/>
    <s v="Kéllia RICHARD07/02/2009"/>
    <s v="52.39"/>
    <n v="48"/>
    <n v="-51"/>
    <n v="51"/>
    <n v="51"/>
    <n v="99"/>
    <s v="OXO"/>
    <n v="68"/>
    <n v="72"/>
    <n v="-75"/>
    <n v="72"/>
    <n v="140"/>
    <s v="OOX"/>
    <x v="3"/>
    <x v="0"/>
    <x v="0"/>
    <n v="123"/>
    <n v="239"/>
    <s v="182.79886064793587"/>
    <s v="355.1945341045258"/>
    <x v="3"/>
    <n v="4"/>
    <x v="1"/>
    <x v="3"/>
    <m/>
    <s v="U17 F 55"/>
    <n v="182.79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7"/>
    <x v="5"/>
    <s v="Kéllia RICHARD07/02/2009"/>
    <n v="2025"/>
    <s v="187.87508830430193"/>
    <s v="182.79886064793587"/>
  </r>
  <r>
    <x v="376"/>
    <x v="368"/>
    <s v="Kelly PEREIRA09/11/2008"/>
    <n v="472719"/>
    <s v="FR"/>
    <s v="PACA - Critérium National - Toulon - SUD PACA TOULON COTE AZURven 13 Déc 2024"/>
    <s v="ESVL HALTERO- MUSCU-GYM"/>
    <s v="Kelly PEREIRA09/11/2008"/>
    <s v="62.78"/>
    <n v="50"/>
    <n v="57"/>
    <n v="-60"/>
    <n v="57"/>
    <n v="107"/>
    <s v="OOX"/>
    <n v="60"/>
    <n v="67"/>
    <n v="70"/>
    <n v="70"/>
    <n v="137"/>
    <s v="OOO"/>
    <x v="1"/>
    <x v="0"/>
    <x v="0"/>
    <n v="127"/>
    <n v="244"/>
    <s v="167.071481292079"/>
    <s v="320.9877278367502"/>
    <x v="3"/>
    <n v="4"/>
    <x v="7"/>
    <x v="3"/>
    <m/>
    <s v="U17 F 64"/>
    <n v="167.07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88"/>
    <x v="0"/>
    <s v="Kelly PEREIRA09/11/2008"/>
    <n v="2025"/>
    <s v="167.20206783435233"/>
    <s v="167.20206783435233"/>
  </r>
  <r>
    <x v="377"/>
    <x v="369"/>
    <s v="Kelya BOURGUIGNON23/05/2012"/>
    <n v="496920"/>
    <s v="FR"/>
    <s v="HDF - Critérium National - Comines - U13 Fillesdim 15 Déc 2024"/>
    <s v="CA ROSENDAEL"/>
    <s v="Kelya BOURGUIGNON23/05/2012"/>
    <s v="39.8"/>
    <n v="10"/>
    <n v="12"/>
    <n v="14"/>
    <n v="14"/>
    <n v="26"/>
    <s v="OOO"/>
    <n v="15"/>
    <n v="16"/>
    <n v="18"/>
    <n v="18"/>
    <n v="34"/>
    <s v="OOO"/>
    <x v="2"/>
    <x v="0"/>
    <x v="0"/>
    <n v="32"/>
    <n v="60"/>
    <s v="59.742414081448906"/>
    <s v="112.0170264027167"/>
    <x v="0"/>
    <n v="999"/>
    <x v="11"/>
    <x v="4"/>
    <m/>
    <s v="U13 F 40"/>
    <n v="112.01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13"/>
    <x v="8"/>
    <s v="Kelya BOURGUIGNON23/05/2012"/>
    <n v="2025"/>
    <s v="64.84692129971593"/>
    <s v="59.742414081448906"/>
  </r>
  <r>
    <x v="378"/>
    <x v="370"/>
    <s v="Kendjy CHIZZOLINI07/07/2014"/>
    <n v="475470"/>
    <s v="FR"/>
    <s v="HDF - Critérium National - La Ferté Milon - U13sam 14 Déc 2024"/>
    <s v="USC MOISLAINS"/>
    <s v="Kendjy CHIZZOLINI07/07/2014"/>
    <s v="39.5"/>
    <n v="11"/>
    <n v="13"/>
    <n v="-15"/>
    <n v="13"/>
    <n v="24"/>
    <s v="OOX"/>
    <n v="15"/>
    <n v="17"/>
    <n v="19"/>
    <n v="19"/>
    <n v="36"/>
    <s v="OOO"/>
    <x v="1"/>
    <x v="0"/>
    <x v="0"/>
    <n v="32"/>
    <n v="60"/>
    <s v="70.72694326554516"/>
    <s v="132.6130186228972"/>
    <x v="0"/>
    <n v="999"/>
    <x v="11"/>
    <x v="4"/>
    <m/>
    <s v="U13 M 40"/>
    <n v="132.61000000000001"/>
    <x v="0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87"/>
    <x v="8"/>
    <s v="Kendjy CHIZZOLINI07/07/2014"/>
    <n v="2025"/>
    <s v="70.72694326554516"/>
    <s v="70.72694326554516"/>
  </r>
  <r>
    <x v="379"/>
    <x v="371"/>
    <s v="Kevin JEROME08/11/1992"/>
    <n v="75095"/>
    <s v="FR"/>
    <s v="HDF - Critérium National - La Ferté Milon - U17 / Seniors Hommessam 14 Déc 2024"/>
    <s v="CHM SALEUX"/>
    <s v="Kevin JEROME08/11/1992"/>
    <s v="79.46"/>
    <n v="-100"/>
    <n v="100"/>
    <n v="-105"/>
    <n v="100"/>
    <n v="0"/>
    <s v="XOX"/>
    <n v="115"/>
    <n v="123"/>
    <n v="-130"/>
    <n v="123"/>
    <n v="238"/>
    <s v="OOX"/>
    <x v="0"/>
    <x v="0"/>
    <x v="0"/>
    <n v="223"/>
    <n v="238"/>
    <s v="286.0405195302445"/>
    <s v="305.2809132206197"/>
    <x v="2"/>
    <n v="6"/>
    <x v="4"/>
    <x v="2"/>
    <m/>
    <s v="SEN M 81"/>
    <n v="286.04000000000002"/>
    <x v="0"/>
    <s v="HDF - Critérium National - La Ferté Milon - U17 / Seniors Hommessam 14 Déc 2024"/>
    <s v="Critérium National - La Ferté Milon - U17 / Seniors Hommes"/>
    <s v="HDF"/>
    <d v="2024-12-14T00:00:00"/>
    <n v="2024"/>
    <n v="12"/>
    <s v="2024-12"/>
    <m/>
    <s v="2024-2025"/>
    <n v="2025"/>
    <x v="115"/>
    <x v="8"/>
    <s v="Kevin JEROME08/11/1992"/>
    <n v="2025"/>
    <s v="292.32951506290925"/>
    <s v="292.32951506290925"/>
  </r>
  <r>
    <x v="380"/>
    <x v="372"/>
    <s v="Kevin LECHAT10/04/1992"/>
    <n v="25361"/>
    <s v="FR"/>
    <s v="PDL - Critérium National - Laval - SENIORS hsam 14 Déc 2024"/>
    <s v="CA EVRON 53 HALTEROPHILIE"/>
    <s v="Kevin LECHAT10/04/1992"/>
    <s v="70.5"/>
    <n v="95"/>
    <n v="100"/>
    <n v="-105"/>
    <n v="100"/>
    <n v="195"/>
    <s v="OOX"/>
    <n v="115"/>
    <n v="120"/>
    <n v="-123"/>
    <n v="120"/>
    <n v="235"/>
    <s v="OOX"/>
    <x v="3"/>
    <x v="0"/>
    <x v="0"/>
    <n v="220"/>
    <n v="430"/>
    <s v="303.0728171313489"/>
    <s v="592.3695971203638"/>
    <x v="2"/>
    <n v="6"/>
    <x v="5"/>
    <x v="2"/>
    <m/>
    <s v="SEN M 73"/>
    <n v="303.07"/>
    <x v="0"/>
    <s v="PDL - Critérium National - Laval - SENIORS hsam 14 Déc 2024"/>
    <s v="Critérium National - Laval - SENIORS h"/>
    <s v="PDL"/>
    <d v="2024-12-14T00:00:00"/>
    <n v="2024"/>
    <n v="12"/>
    <s v="2024-12"/>
    <m/>
    <s v="2024-2025"/>
    <n v="2025"/>
    <x v="27"/>
    <x v="10"/>
    <s v="Kevin LECHAT10/04/1992"/>
    <n v="2025"/>
    <s v="307.72276416579734"/>
    <s v="307.72276416579734"/>
  </r>
  <r>
    <x v="381"/>
    <x v="373"/>
    <s v="Kevin RANTRUA06/07/1990"/>
    <n v="469390"/>
    <s v="FR"/>
    <s v="PACA - Critérium National - Toulon - SUD PACA TOULON COTE AZURven 13 Déc 2024"/>
    <s v="AZUR HALTEROPHILIE - ASSOCIATION AZUR FIT EVENT"/>
    <s v="Kevin RANTRUA06/07/1990"/>
    <s v="107.17"/>
    <n v="105"/>
    <n v="110"/>
    <n v="115"/>
    <n v="115"/>
    <n v="225"/>
    <s v="OOO"/>
    <n v="125"/>
    <n v="131"/>
    <n v="135"/>
    <n v="135"/>
    <n v="266"/>
    <s v="OOO"/>
    <x v="2"/>
    <x v="0"/>
    <x v="0"/>
    <n v="250"/>
    <n v="491"/>
    <s v="279.0120112847528"/>
    <s v="547.9795901632546"/>
    <x v="2"/>
    <n v="6"/>
    <x v="19"/>
    <x v="2"/>
    <n v="35"/>
    <s v="SEN M 109"/>
    <n v="279.01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16"/>
    <x v="0"/>
    <s v="Kevin RANTRUA06/07/1990"/>
    <n v="2025"/>
    <s v="279.0120112847528"/>
    <s v="279.0120112847528"/>
  </r>
  <r>
    <x v="382"/>
    <x v="374"/>
    <s v="Kevin RODOLFO27/04/1989"/>
    <n v="469389"/>
    <s v="FR"/>
    <s v="PACA - Critérium National - Toulon - SUD PACA TOULON COTE AZURven 13 Déc 2024"/>
    <s v="AZUR HALTEROPHILIE - ASSOCIATION AZUR FIT EVENT"/>
    <s v="Kevin RODOLFO27/04/1989"/>
    <s v="79.64"/>
    <n v="85"/>
    <n v="90"/>
    <n v="-95"/>
    <n v="90"/>
    <n v="175"/>
    <s v="OOX"/>
    <n v="110"/>
    <n v="-115"/>
    <n v="-120"/>
    <n v="110"/>
    <n v="0"/>
    <s v="OXX"/>
    <x v="0"/>
    <x v="0"/>
    <x v="0"/>
    <n v="200"/>
    <n v="175"/>
    <s v="256.21465710781064"/>
    <s v="224.18782496933432"/>
    <x v="5"/>
    <n v="7"/>
    <x v="4"/>
    <x v="2"/>
    <n v="35"/>
    <s v="SEN M 81"/>
    <n v="256.20999999999998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16"/>
    <x v="0"/>
    <s v="Kevin RODOLFO27/04/1989"/>
    <n v="2025"/>
    <s v="294.6413712056825"/>
    <s v="256.21465710781064"/>
  </r>
  <r>
    <x v="383"/>
    <x v="375"/>
    <s v="Khadidja RHAMDAMI-KALLIFA07/06/2013"/>
    <n v="490612"/>
    <s v="FR"/>
    <s v="HDF - Critérium National - Comines - U13 Fillesdim 15 Déc 2024"/>
    <s v="CHCD COMINES"/>
    <s v="Khadidja RHAMDAMI-KALLIFA07/06/2013"/>
    <s v="36.41"/>
    <n v="21"/>
    <n v="-23"/>
    <n v="23"/>
    <n v="23"/>
    <n v="44"/>
    <s v="OXO"/>
    <n v="31"/>
    <n v="33"/>
    <n v="35"/>
    <n v="35"/>
    <n v="68"/>
    <s v="OOO"/>
    <x v="1"/>
    <x v="0"/>
    <x v="0"/>
    <n v="58"/>
    <n v="112"/>
    <s v="117.88433591210047"/>
    <s v="227.6387176233664"/>
    <x v="0"/>
    <n v="999"/>
    <x v="11"/>
    <x v="4"/>
    <m/>
    <s v="U13 F 40"/>
    <n v="227.63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37"/>
    <x v="8"/>
    <s v="Khadidja RHAMDAMI-KALLIFA07/06/2013"/>
    <n v="2025"/>
    <s v="120.71559745039187"/>
    <s v="120.71559745039187"/>
  </r>
  <r>
    <x v="384"/>
    <x v="376"/>
    <s v="Kia ST MART12/02/2011"/>
    <n v="492347"/>
    <s v="FR"/>
    <s v="REU - Critérium National - La possession - U15-17-20dim 15 Déc 2024"/>
    <s v="CHSM SAINT DENIS"/>
    <s v="Kia ST MART12/02/2011"/>
    <s v="56.22"/>
    <n v="-43"/>
    <n v="-43"/>
    <n v="-43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2"/>
    <x v="1"/>
    <m/>
    <s v="U15 F 59"/>
    <n v="0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35"/>
    <x v="5"/>
    <s v="Kia ST MART12/02/2011"/>
    <n v="2025"/>
    <s v="128.96769002862712"/>
    <s v="128.96769002862712"/>
  </r>
  <r>
    <x v="385"/>
    <x v="377"/>
    <s v="Killian CABEL21/12/1998"/>
    <n v="357543"/>
    <s v="FR"/>
    <s v="IDF - Critérium National - Neuilly - Seniors Hommes 3ème plateausam 14 Déc 2024"/>
    <s v="RUEIL ATHLETIC CLUB"/>
    <s v="Killian CABEL21/12/1998"/>
    <s v="76.1"/>
    <n v="-110"/>
    <n v="110"/>
    <n v="113"/>
    <n v="113"/>
    <n v="223"/>
    <s v="XOO"/>
    <n v="137"/>
    <n v="-145"/>
    <n v="-145"/>
    <n v="137"/>
    <n v="0"/>
    <s v="OXX"/>
    <x v="0"/>
    <x v="0"/>
    <x v="0"/>
    <n v="250"/>
    <n v="223"/>
    <s v="328.7062767052076"/>
    <s v="293.20599882104517"/>
    <x v="1"/>
    <n v="5"/>
    <x v="4"/>
    <x v="2"/>
    <m/>
    <s v="SEN M 81"/>
    <n v="328.7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57"/>
    <x v="3"/>
    <s v="Killian CABEL21/12/1998"/>
    <n v="2025"/>
    <s v="328.7062767052076"/>
    <s v="328.7062767052076"/>
  </r>
  <r>
    <x v="386"/>
    <x v="378"/>
    <s v="Killian DALOUR13/10/1994"/>
    <n v="489754"/>
    <s v="FR"/>
    <s v="IDF - Critérium National - Franconville - Seniors Hommes 3ème plateausam 14 Déc 2024"/>
    <s v="LES REQUINS SCY78"/>
    <s v="Killian DALOUR13/10/1994"/>
    <s v="79.3"/>
    <n v="90"/>
    <n v="95"/>
    <n v="100"/>
    <n v="100"/>
    <n v="195"/>
    <s v="OOO"/>
    <n v="115"/>
    <n v="125"/>
    <n v="-128"/>
    <n v="125"/>
    <n v="240"/>
    <s v="OOX"/>
    <x v="1"/>
    <x v="0"/>
    <x v="0"/>
    <n v="225"/>
    <n v="435"/>
    <s v="288.9316945509166"/>
    <s v="558.6012761317721"/>
    <x v="2"/>
    <n v="6"/>
    <x v="4"/>
    <x v="2"/>
    <m/>
    <s v="SEN M 81"/>
    <n v="288.93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103"/>
    <x v="3"/>
    <s v="Killian DALOUR13/10/1994"/>
    <n v="2025"/>
    <s v="303.1217000921286"/>
    <s v="290.34913099752816"/>
  </r>
  <r>
    <x v="387"/>
    <x v="379"/>
    <s v="Killian RODRIGUEZ16/11/2001"/>
    <n v="465712"/>
    <s v="FR"/>
    <s v="IDF - Critérium National - Franconville - Seniors Hommes 3ème plateausam 14 Déc 2024"/>
    <s v="VGA ST MAUR HALTEROPHILIE"/>
    <s v="Killian RODRIGUEZ16/11/2001"/>
    <s v="77.1"/>
    <n v="102"/>
    <n v="107"/>
    <n v="110"/>
    <n v="110"/>
    <n v="217"/>
    <s v="OOO"/>
    <n v="128"/>
    <n v="133"/>
    <n v="-140"/>
    <n v="133"/>
    <n v="261"/>
    <s v="OOX"/>
    <x v="1"/>
    <x v="0"/>
    <x v="0"/>
    <n v="243"/>
    <n v="478"/>
    <s v="317.08361040548306"/>
    <s v="623.7282542132547"/>
    <x v="2"/>
    <n v="6"/>
    <x v="4"/>
    <x v="2"/>
    <m/>
    <s v="SEN M 81"/>
    <n v="317.08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3"/>
    <x v="3"/>
    <s v="Killian RODRIGUEZ16/11/2001"/>
    <n v="2025"/>
    <s v="317.08361040548306"/>
    <s v="317.08361040548306"/>
  </r>
  <r>
    <x v="388"/>
    <x v="380"/>
    <s v="Klea ROUSSILLAT09/11/2011"/>
    <n v="480929"/>
    <s v="FR"/>
    <s v="HDF - Critérium National - La ferte milon - U15 Femmessam 14 Déc 2024"/>
    <s v="CLUB MILONAIS HM"/>
    <s v="Klea ROUSSILLAT09/11/2011"/>
    <s v="42.46"/>
    <n v="27"/>
    <n v="29"/>
    <n v="-30"/>
    <n v="29"/>
    <n v="56"/>
    <s v="OOX"/>
    <n v="35"/>
    <n v="38"/>
    <n v="-40"/>
    <n v="38"/>
    <n v="73"/>
    <s v="OOX"/>
    <x v="3"/>
    <x v="0"/>
    <x v="0"/>
    <n v="67"/>
    <n v="129"/>
    <s v="117.99702548525883"/>
    <s v="227.18830279997596"/>
    <x v="1"/>
    <n v="5"/>
    <x v="6"/>
    <x v="1"/>
    <m/>
    <s v="U15 F 45"/>
    <n v="117.99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80"/>
    <x v="8"/>
    <s v="Klea ROUSSILLAT09/11/2011"/>
    <n v="2025"/>
    <s v="121.92415234556319"/>
    <s v="121.92415234556319"/>
  </r>
  <r>
    <x v="389"/>
    <x v="381"/>
    <s v="Kristina BOYER19/04/2007"/>
    <n v="421582"/>
    <s v="FR"/>
    <s v="PACA - Critérium National - Mondragon - Provence U15 - U17 - U20 - SEN F 45 à F55sam 14 Déc 2024"/>
    <s v="CHC MONDRAGON"/>
    <s v="Kristina BOYER19/04/2007"/>
    <n v="55"/>
    <n v="-56"/>
    <n v="56"/>
    <n v="60"/>
    <n v="60"/>
    <n v="116"/>
    <s v="XOO"/>
    <n v="74"/>
    <n v="-78"/>
    <n v="78"/>
    <n v="78"/>
    <n v="152"/>
    <s v="OXO"/>
    <x v="3"/>
    <x v="0"/>
    <x v="0"/>
    <n v="138"/>
    <n v="268"/>
    <s v="198.04255041732262"/>
    <s v="384.60437327422073"/>
    <x v="3"/>
    <n v="4"/>
    <x v="1"/>
    <x v="0"/>
    <m/>
    <s v="U20 F 55"/>
    <n v="198.04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74"/>
    <x v="0"/>
    <s v="Kristina BOYER19/04/2007"/>
    <n v="2025"/>
    <s v="207.82295194191306"/>
    <s v="198.04255041732262"/>
  </r>
  <r>
    <x v="390"/>
    <x v="382"/>
    <s v="Kutea UTIA07/11/2003"/>
    <n v="502979"/>
    <s v="FR"/>
    <s v="IDF - Critérium National - Franconville - Seniors Hommes 3ème plateausam 14 Déc 2024"/>
    <s v="HFC CP95 CERGY"/>
    <s v="Kutea UTIA07/11/2003"/>
    <s v="135.5"/>
    <n v="-115"/>
    <n v="-115"/>
    <n v="115"/>
    <n v="115"/>
    <n v="0"/>
    <s v="XXO"/>
    <n v="-135"/>
    <n v="138"/>
    <n v="-142"/>
    <n v="138"/>
    <n v="0"/>
    <s v="XOX"/>
    <x v="5"/>
    <x v="1"/>
    <x v="0"/>
    <n v="253"/>
    <n v="0"/>
    <s v="263.31876488907284"/>
    <s v="0.0"/>
    <x v="2"/>
    <n v="6"/>
    <x v="16"/>
    <x v="2"/>
    <m/>
    <s v="SEN M &gt;109"/>
    <n v="263.31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31"/>
    <x v="3"/>
    <s v="Kutea UTIA07/11/2003"/>
    <n v="2025"/>
    <s v="272.17511426273245"/>
    <s v="272.17511426273245"/>
  </r>
  <r>
    <x v="391"/>
    <x v="383"/>
    <s v="Kylian emmanuel MBENGA HARDOROCK20/04/2009"/>
    <n v="456142"/>
    <s v="FR"/>
    <s v="IDF - Critérium National - Franconville - Jeunes Hommesdim 15 Déc 2024"/>
    <s v="AFHMA FRANCONVILLE"/>
    <s v="Kylian emmanuel MBENGA HARDOROCK20/04/2009"/>
    <n v="66"/>
    <n v="65"/>
    <n v="70"/>
    <n v="-75"/>
    <n v="70"/>
    <n v="135"/>
    <s v="OOX"/>
    <n v="82"/>
    <n v="-87"/>
    <n v="-87"/>
    <n v="82"/>
    <n v="0"/>
    <s v="OXX"/>
    <x v="0"/>
    <x v="0"/>
    <x v="0"/>
    <n v="152"/>
    <n v="135"/>
    <s v="218.63911252109475"/>
    <s v="194.18605388386706"/>
    <x v="2"/>
    <n v="6"/>
    <x v="0"/>
    <x v="3"/>
    <m/>
    <s v="U17 M 67"/>
    <n v="218.63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4"/>
    <x v="3"/>
    <s v="Kylian emmanuel MBENGA HARDOROCK20/04/2009"/>
    <n v="2025"/>
    <s v="218.63911252109475"/>
    <s v="218.63911252109475"/>
  </r>
  <r>
    <x v="392"/>
    <x v="384"/>
    <s v="Laetitia COMBELLES13/04/1990"/>
    <n v="438195"/>
    <s v="FR"/>
    <s v="AURA - Critérium National - Vaulx en velin - PLATEAU 3  SENIOR FEMININESdim 15 Déc 2024"/>
    <s v="ELITE BARBELL VAULX EN VELIN"/>
    <s v="Laetitia COMBELLES13/04/1990"/>
    <s v="69.2"/>
    <n v="72"/>
    <n v="75"/>
    <n v="78"/>
    <n v="78"/>
    <n v="153"/>
    <s v="OOO"/>
    <n v="90"/>
    <n v="94"/>
    <n v="96"/>
    <n v="96"/>
    <n v="190"/>
    <s v="OOO"/>
    <x v="2"/>
    <x v="0"/>
    <x v="0"/>
    <n v="174"/>
    <n v="343"/>
    <s v="216.3533323911782"/>
    <s v="426.48961500100074"/>
    <x v="3"/>
    <n v="4"/>
    <x v="3"/>
    <x v="2"/>
    <n v="35"/>
    <s v="SEN F 71"/>
    <n v="216.35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76"/>
    <x v="4"/>
    <s v="Laetitia COMBELLES13/04/1990"/>
    <n v="2025"/>
    <s v="229.06065578567373"/>
    <s v="216.3533323911782"/>
  </r>
  <r>
    <x v="393"/>
    <x v="385"/>
    <s v="Laetitia MARTINELLI18/07/1991"/>
    <n v="469302"/>
    <s v="FR"/>
    <s v="IDF - Critérium National - Franconville - Seniors Femmes 1er plateausam 14 Déc 2024"/>
    <s v="HCVM CHELLES"/>
    <s v="Laetitia MARTINELLI18/07/1991"/>
    <n v="54"/>
    <n v="45"/>
    <n v="-48"/>
    <n v="-49"/>
    <n v="45"/>
    <n v="0"/>
    <s v="OXX"/>
    <n v="59"/>
    <n v="63"/>
    <n v="65"/>
    <n v="65"/>
    <n v="128"/>
    <s v="OOO"/>
    <x v="3"/>
    <x v="0"/>
    <x v="0"/>
    <n v="110"/>
    <n v="128"/>
    <s v="159.92717340802935"/>
    <s v="186.09707451116142"/>
    <x v="2"/>
    <n v="6"/>
    <x v="1"/>
    <x v="2"/>
    <m/>
    <s v="SEN F 55"/>
    <n v="159.91999999999999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49"/>
    <x v="3"/>
    <s v="Laetitia MARTINELLI18/07/1991"/>
    <n v="2025"/>
    <s v="162.24466480691902"/>
    <s v="162.24466480691902"/>
  </r>
  <r>
    <x v="394"/>
    <x v="386"/>
    <s v="Laetitia PRIMEL29/09/1990"/>
    <n v="468868"/>
    <s v="FR"/>
    <s v="AURA - Critérium National - Vaulx en velin - PLATEAU 1  SENIOR FEMININESdim 15 Déc 2024"/>
    <s v="ELITE BARBELL VAULX EN VELIN"/>
    <s v="Laetitia PRIMEL29/09/1990"/>
    <s v="42.9"/>
    <n v="40"/>
    <n v="42"/>
    <n v="44"/>
    <n v="44"/>
    <n v="86"/>
    <s v="OOO"/>
    <n v="-53"/>
    <n v="53"/>
    <n v="58"/>
    <n v="58"/>
    <n v="111"/>
    <s v="XOO"/>
    <x v="1"/>
    <x v="0"/>
    <x v="0"/>
    <n v="102"/>
    <n v="197"/>
    <s v="178.02204261094772"/>
    <s v="343.82688621918334"/>
    <x v="1"/>
    <n v="5"/>
    <x v="6"/>
    <x v="2"/>
    <n v="35"/>
    <s v="SEN F 45"/>
    <n v="178.02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76"/>
    <x v="4"/>
    <s v="Laetitia PRIMEL29/09/1990"/>
    <n v="2025"/>
    <s v="184.10976745643538"/>
    <s v="178.02204261094772"/>
  </r>
  <r>
    <x v="395"/>
    <x v="387"/>
    <s v="Laura CARTOLANO29/08/1993"/>
    <n v="497712"/>
    <s v="FR"/>
    <s v="IDF - Critérium National - Neuilly-sur-seinesam 14 Déc 2024"/>
    <s v="SA MONTMARTROISE"/>
    <s v="Laura CARTOLANO29/08/1993"/>
    <s v="60.1"/>
    <n v="55"/>
    <n v="58"/>
    <n v="-61"/>
    <n v="58"/>
    <n v="113"/>
    <s v="OOX"/>
    <n v="65"/>
    <n v="-69"/>
    <n v="69"/>
    <n v="69"/>
    <n v="134"/>
    <s v="OXO"/>
    <x v="3"/>
    <x v="0"/>
    <x v="0"/>
    <n v="127"/>
    <n v="247"/>
    <s v="171.70628726929726"/>
    <s v="333.9484484686333"/>
    <x v="2"/>
    <n v="6"/>
    <x v="7"/>
    <x v="2"/>
    <m/>
    <s v="SEN F 64"/>
    <n v="171.7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17"/>
    <x v="3"/>
    <s v="Laura CARTOLANO29/08/1993"/>
    <n v="2025"/>
    <s v="171.70628726929726"/>
    <s v="171.70628726929726"/>
  </r>
  <r>
    <x v="396"/>
    <x v="388"/>
    <s v="Laura HOFLACK17/01/2008"/>
    <n v="450346"/>
    <s v="FR"/>
    <s v="HDF - Critérium National - Comines - U15 / U17 Femmessam 14 Déc 2024"/>
    <s v="CHCD COMINES"/>
    <s v="Laura HOFLACK17/01/2008"/>
    <s v="68.12"/>
    <n v="-50"/>
    <n v="50"/>
    <n v="53"/>
    <n v="53"/>
    <n v="103"/>
    <s v="XOO"/>
    <n v="-60"/>
    <n v="60"/>
    <n v="65"/>
    <n v="65"/>
    <n v="125"/>
    <s v="XOO"/>
    <x v="3"/>
    <x v="0"/>
    <x v="0"/>
    <n v="118"/>
    <n v="228"/>
    <s v="147.99988275717877"/>
    <s v="285.9658751579386"/>
    <x v="1"/>
    <n v="5"/>
    <x v="3"/>
    <x v="3"/>
    <m/>
    <s v="U17 F 71"/>
    <n v="147.99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37"/>
    <x v="8"/>
    <s v="Laura HOFLACK17/01/2008"/>
    <n v="2025"/>
    <s v="147.99988275717877"/>
    <s v="147.99988275717877"/>
  </r>
  <r>
    <x v="397"/>
    <x v="389"/>
    <s v="Laura SEJALON19/01/1997"/>
    <n v="445513"/>
    <s v="FR"/>
    <s v="IDF - Critérium National - Franconville - Seniors Femmes 2ème plateausam 14 Déc 2024"/>
    <s v="HCVM CHELLES"/>
    <s v="Laura SEJALON19/01/1997"/>
    <s v="60.2"/>
    <n v="52"/>
    <n v="-56"/>
    <n v="-56"/>
    <n v="52"/>
    <n v="0"/>
    <s v="OXX"/>
    <n v="66"/>
    <n v="-69"/>
    <n v="-70"/>
    <n v="66"/>
    <n v="0"/>
    <s v="OXX"/>
    <x v="5"/>
    <x v="0"/>
    <x v="0"/>
    <n v="118"/>
    <n v="0"/>
    <s v="159.3680511356776"/>
    <s v="0.0"/>
    <x v="5"/>
    <n v="7"/>
    <x v="7"/>
    <x v="2"/>
    <m/>
    <s v="SEN F 64"/>
    <n v="159.36000000000001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9"/>
    <x v="3"/>
    <s v="Laura SEJALON19/01/1997"/>
    <n v="2025"/>
    <s v="170.03140145406542"/>
    <s v="165.12283018721328"/>
  </r>
  <r>
    <x v="398"/>
    <x v="390"/>
    <s v="Laurane DUPONT13/11/1997"/>
    <n v="496350"/>
    <s v="FR"/>
    <s v="NAQ - Critérium National - Mont de marsan - ligue Nouvelle Aquitainesam 14 Déc 2024"/>
    <s v="POWERCAMP BORDEAUX HALTEROPHILIE"/>
    <s v="Laurane DUPONT13/11/1997"/>
    <s v="62.2"/>
    <n v="55"/>
    <n v="58"/>
    <n v="-60"/>
    <n v="58"/>
    <n v="113"/>
    <s v="OOX"/>
    <n v="67"/>
    <n v="71"/>
    <n v="-75"/>
    <n v="71"/>
    <n v="138"/>
    <s v="OOX"/>
    <x v="3"/>
    <x v="0"/>
    <x v="0"/>
    <n v="129"/>
    <n v="251"/>
    <s v="170.674751750398"/>
    <s v="332.0880828631775"/>
    <x v="2"/>
    <n v="6"/>
    <x v="7"/>
    <x v="2"/>
    <m/>
    <s v="SEN F 64"/>
    <n v="170.67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70"/>
    <x v="12"/>
    <s v="Laurane DUPONT13/11/1997"/>
    <n v="2025"/>
    <s v="170.674751750398"/>
    <s v="170.674751750398"/>
  </r>
  <r>
    <x v="399"/>
    <x v="391"/>
    <s v="Laurent RIQUIER17/05/1979"/>
    <n v="34401"/>
    <s v="FR"/>
    <s v="HDF - Critérium National - Comines - Seniors Hommessam 14 Déc 2024"/>
    <s v="CHCD COMINES"/>
    <s v="Laurent RIQUIER17/05/1979"/>
    <n v="76"/>
    <n v="95"/>
    <n v="100"/>
    <n v="-103"/>
    <n v="100"/>
    <n v="195"/>
    <s v="OOX"/>
    <n v="115"/>
    <n v="120"/>
    <n v="125"/>
    <n v="125"/>
    <n v="245"/>
    <s v="OOO"/>
    <x v="1"/>
    <x v="0"/>
    <x v="0"/>
    <n v="225"/>
    <n v="440"/>
    <s v="296.0639379358287"/>
    <s v="578.9694786300649"/>
    <x v="2"/>
    <n v="6"/>
    <x v="4"/>
    <x v="2"/>
    <n v="45"/>
    <s v="SEN M 81"/>
    <n v="296.06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37"/>
    <x v="8"/>
    <s v="Laurent RIQUIER17/05/1979"/>
    <n v="2025"/>
    <s v="306.6446438077717"/>
    <s v="306.6446438077717"/>
  </r>
  <r>
    <x v="400"/>
    <x v="392"/>
    <s v="Laurine JOUSSET18/07/2004"/>
    <n v="502736"/>
    <s v="FR"/>
    <s v="GE - Critérium National - Langres - LOR - CHAsam 14 Déc 2024"/>
    <s v="SNAGA HM"/>
    <s v="Laurine JOUSSET18/07/2004"/>
    <s v="73.4"/>
    <n v="65"/>
    <n v="70"/>
    <n v="76"/>
    <n v="76"/>
    <n v="146"/>
    <s v="OOO"/>
    <n v="90"/>
    <n v="95"/>
    <n v="-100"/>
    <n v="95"/>
    <n v="185"/>
    <s v="OOX"/>
    <x v="1"/>
    <x v="0"/>
    <x v="0"/>
    <n v="171"/>
    <n v="331"/>
    <s v="206.13891608471513"/>
    <s v="399.0174340587176"/>
    <x v="1"/>
    <n v="5"/>
    <x v="15"/>
    <x v="2"/>
    <m/>
    <s v="SEN F 76"/>
    <n v="206.13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95"/>
    <x v="2"/>
    <s v="Laurine JOUSSET18/07/2004"/>
    <n v="2025"/>
    <s v="206.13891608471513"/>
    <s v="206.13891608471513"/>
  </r>
  <r>
    <x v="401"/>
    <x v="393"/>
    <s v="Layina KIMOUCHE17/11/2010"/>
    <n v="467433"/>
    <s v="FR"/>
    <s v="IDF - Critérium National - Franconville - Jeunes Femmesdim 15 Déc 2024"/>
    <s v="AFHMA FRANCONVILLE"/>
    <s v="Layina KIMOUCHE17/11/2010"/>
    <s v="43.8"/>
    <n v="30"/>
    <n v="32"/>
    <n v="34"/>
    <n v="34"/>
    <n v="66"/>
    <s v="OOO"/>
    <n v="38"/>
    <n v="41"/>
    <n v="43"/>
    <n v="43"/>
    <n v="84"/>
    <s v="OOO"/>
    <x v="2"/>
    <x v="0"/>
    <x v="0"/>
    <n v="77"/>
    <n v="150"/>
    <s v="131.9958530210726"/>
    <s v="257.1347786124791"/>
    <x v="1"/>
    <n v="5"/>
    <x v="6"/>
    <x v="1"/>
    <m/>
    <s v="U15 F 45"/>
    <n v="131.99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4"/>
    <x v="3"/>
    <s v="Layina KIMOUCHE17/11/2010"/>
    <n v="2025"/>
    <s v="132.43056857900356"/>
    <s v="131.9958530210726"/>
  </r>
  <r>
    <x v="402"/>
    <x v="394"/>
    <s v="Lea marie ANTONIO10/02/2005"/>
    <n v="415248"/>
    <s v="FR"/>
    <s v="BFC - Critérium National - Besançon - BFC-Critérium U17-20 SEN Fsam 14 Déc 2024"/>
    <s v="CLUB HALTEROPHILE LUXOVIEN"/>
    <s v="Lea marie ANTONIO10/02/2005"/>
    <s v="64.45"/>
    <n v="68"/>
    <n v="72"/>
    <n v="75"/>
    <n v="75"/>
    <n v="147"/>
    <s v="OOO"/>
    <n v="87"/>
    <n v="92"/>
    <n v="96"/>
    <n v="96"/>
    <n v="188"/>
    <s v="OOO"/>
    <x v="2"/>
    <x v="0"/>
    <x v="0"/>
    <n v="171"/>
    <n v="335"/>
    <s v="221.41941137661544"/>
    <s v="433.77487024073787"/>
    <x v="4"/>
    <n v="3"/>
    <x v="3"/>
    <x v="0"/>
    <m/>
    <s v="U20 F 71"/>
    <n v="221.41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0"/>
    <x v="6"/>
    <s v="Lea marie ANTONIO10/02/2005"/>
    <n v="2025"/>
    <s v="238.34638246087977"/>
    <s v="226.67343126259706"/>
  </r>
  <r>
    <x v="403"/>
    <x v="395"/>
    <s v="Lea ALMEIDA23/03/1995"/>
    <n v="472305"/>
    <s v="FR"/>
    <s v="IDF - Critérium National - Franconville - Seniors Femmes 2ème plateausam 14 Déc 2024"/>
    <s v="AS MANTAISE"/>
    <s v="Lea ALMEIDA23/03/1995"/>
    <s v="64.7"/>
    <n v="58"/>
    <n v="-61"/>
    <n v="-63"/>
    <n v="58"/>
    <n v="0"/>
    <s v="OXX"/>
    <n v="65"/>
    <n v="-70"/>
    <n v="-70"/>
    <n v="65"/>
    <n v="0"/>
    <s v="OXX"/>
    <x v="5"/>
    <x v="0"/>
    <x v="0"/>
    <n v="123"/>
    <n v="0"/>
    <s v="158.90134660855105"/>
    <s v="0.0"/>
    <x v="5"/>
    <n v="7"/>
    <x v="3"/>
    <x v="2"/>
    <m/>
    <s v="SEN F 71"/>
    <n v="158.9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118"/>
    <x v="3"/>
    <s v="Lea ALMEIDA23/03/1995"/>
    <n v="2025"/>
    <s v="175.86731735891152"/>
    <s v="163.32651081604"/>
  </r>
  <r>
    <x v="404"/>
    <x v="396"/>
    <s v="Léa CANAMERO02/02/1998"/>
    <n v="484861"/>
    <s v="FR"/>
    <s v="IDF - Critérium National - Franconville - Seniors Femmes 1er plateausam 14 Déc 2024"/>
    <s v="VGA ST MAUR HALTEROPHILIE"/>
    <s v="Léa CANAMERO02/02/1998"/>
    <n v="55"/>
    <n v="-55"/>
    <n v="-63"/>
    <n v="-63"/>
    <n v="0"/>
    <n v="0"/>
    <s v="XXX"/>
    <n v="75"/>
    <n v="80"/>
    <n v="-85"/>
    <n v="80"/>
    <n v="155"/>
    <s v="OOX"/>
    <x v="5"/>
    <x v="0"/>
    <x v="0"/>
    <n v="80"/>
    <n v="155"/>
    <s v="114.80727560424499"/>
    <s v="222.4390964832247"/>
    <x v="0"/>
    <n v="999"/>
    <x v="1"/>
    <x v="2"/>
    <m/>
    <s v="SEN F 55"/>
    <n v="0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3"/>
    <x v="3"/>
    <s v="Léa CANAMERO02/02/1998"/>
    <n v="2025"/>
    <s v="195.78513469769135"/>
    <s v="114.80727560424499"/>
  </r>
  <r>
    <x v="405"/>
    <x v="397"/>
    <s v="Lea CARON28/04/2005"/>
    <n v="432930"/>
    <s v="FR"/>
    <s v="HDF - Critérium National - La ferte milon - U17 / U20 / Seniors Femmessam 14 Déc 2024"/>
    <s v="CLUB MILONAIS HM"/>
    <s v="Lea CARON28/04/2005"/>
    <s v="66.3"/>
    <n v="47"/>
    <n v="-51"/>
    <n v="-51"/>
    <n v="47"/>
    <n v="0"/>
    <s v="OXX"/>
    <n v="60"/>
    <n v="63"/>
    <n v="65"/>
    <n v="65"/>
    <n v="128"/>
    <s v="OOO"/>
    <x v="3"/>
    <x v="0"/>
    <x v="0"/>
    <n v="112"/>
    <n v="128"/>
    <s v="142.64330331828913"/>
    <s v="163.02091807804473"/>
    <x v="2"/>
    <n v="6"/>
    <x v="3"/>
    <x v="0"/>
    <m/>
    <s v="U20 F 71"/>
    <n v="142.63999999999999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80"/>
    <x v="8"/>
    <s v="Lea CARON28/04/2005"/>
    <n v="2025"/>
    <s v="157.67853614250882"/>
    <s v="142.64330331828913"/>
  </r>
  <r>
    <x v="406"/>
    <x v="398"/>
    <s v="Lea FEILLARD12/09/1998"/>
    <n v="381293"/>
    <s v="FR"/>
    <s v="GE - Critérium National - Haguenau - ALS - SEN Femsam 14 Déc 2024"/>
    <s v="L'ABSOLU HALTERO CLUB"/>
    <s v="Lea FEILLARD12/09/1998"/>
    <s v="51.98"/>
    <n v="47"/>
    <n v="50"/>
    <n v="52"/>
    <n v="52"/>
    <n v="102"/>
    <s v="OOO"/>
    <n v="64"/>
    <n v="67"/>
    <n v="-70"/>
    <n v="67"/>
    <n v="131"/>
    <s v="OOX"/>
    <x v="1"/>
    <x v="0"/>
    <x v="0"/>
    <n v="119"/>
    <n v="233"/>
    <s v="177.88354241649756"/>
    <s v="348.29298641213387"/>
    <x v="2"/>
    <n v="6"/>
    <x v="1"/>
    <x v="2"/>
    <m/>
    <s v="SEN F 55"/>
    <n v="177.88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119"/>
    <x v="2"/>
    <s v="Lea FEILLARD12/09/1998"/>
    <n v="2025"/>
    <s v="177.88354241649756"/>
    <s v="177.88354241649756"/>
  </r>
  <r>
    <x v="407"/>
    <x v="399"/>
    <s v="Lea FONTENELLE06/05/2008"/>
    <n v="415429"/>
    <s v="FR"/>
    <s v="HDF - Critérium National - Comines - U15 / U17 Femmessam 14 Déc 2024"/>
    <s v="CHCD COMINES"/>
    <s v="Lea FONTENELLE06/05/2008"/>
    <s v="69.05"/>
    <n v="50"/>
    <n v="53"/>
    <n v="-55"/>
    <n v="53"/>
    <n v="103"/>
    <s v="OOX"/>
    <n v="60"/>
    <n v="-65"/>
    <n v="-66"/>
    <n v="60"/>
    <n v="0"/>
    <s v="OXX"/>
    <x v="0"/>
    <x v="0"/>
    <x v="0"/>
    <n v="113"/>
    <n v="103"/>
    <s v="140.6720472679745"/>
    <s v="128.2231935274458"/>
    <x v="1"/>
    <n v="5"/>
    <x v="3"/>
    <x v="3"/>
    <m/>
    <s v="U17 F 71"/>
    <n v="140.66999999999999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37"/>
    <x v="8"/>
    <s v="Lea FONTENELLE06/05/2008"/>
    <n v="2025"/>
    <s v="144.75213677394711"/>
    <s v="144.75213677394711"/>
  </r>
  <r>
    <x v="408"/>
    <x v="400"/>
    <s v="Lea REDIEN29/05/2003"/>
    <n v="423128"/>
    <s v="FR"/>
    <s v="PACA - Critérium National - Toulon - SUD PACA TOULON COTE AZURven 13 Déc 2024"/>
    <s v="ESVL HALTERO- MUSCU-GYM"/>
    <s v="Lea REDIEN29/05/2003"/>
    <s v="48.25"/>
    <n v="-55"/>
    <n v="-55"/>
    <n v="-55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10"/>
    <x v="2"/>
    <m/>
    <s v="SEN F 49"/>
    <n v="0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88"/>
    <x v="0"/>
    <s v="Lea REDIEN29/05/2003"/>
    <n v="2025"/>
    <s v="200.77779889187238"/>
    <s v="197.83200578778352"/>
  </r>
  <r>
    <x v="409"/>
    <x v="401"/>
    <s v="Lea SAVARY21/07/2013"/>
    <n v="492861"/>
    <s v="FR"/>
    <s v="PDL - Critérium National - Laval - U10 -U13sam 14 Déc 2024"/>
    <s v="CJF LAVAL VOUTRE HALTERO 53"/>
    <s v="Lea SAVARY21/07/2013"/>
    <s v="28.84"/>
    <n v="10"/>
    <n v="12"/>
    <n v="-14"/>
    <n v="12"/>
    <n v="22"/>
    <s v="OOX"/>
    <n v="13"/>
    <n v="15"/>
    <n v="17"/>
    <n v="17"/>
    <n v="32"/>
    <s v="OOO"/>
    <x v="1"/>
    <x v="0"/>
    <x v="0"/>
    <n v="29"/>
    <n v="54"/>
    <s v="75.53863550206272"/>
    <s v="140.65814886590988"/>
    <x v="0"/>
    <n v="999"/>
    <x v="14"/>
    <x v="4"/>
    <m/>
    <s v="U13 F 35"/>
    <n v="140.65"/>
    <x v="1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43"/>
    <x v="10"/>
    <s v="Lea SAVARY21/07/2013"/>
    <n v="2025"/>
    <s v="93.1906455183581"/>
    <s v="75.53863550206272"/>
  </r>
  <r>
    <x v="410"/>
    <x v="402"/>
    <s v="Léa STATTNER14/05/2011"/>
    <n v="474740"/>
    <s v="FR"/>
    <s v="GE - Critérium National - Langres - LOR - CHAsam 14 Déc 2024"/>
    <s v="LANEUVEVILLE HMS"/>
    <s v="Léa STATTNER14/05/2011"/>
    <s v="50.8"/>
    <n v="30"/>
    <n v="33"/>
    <n v="-36"/>
    <n v="33"/>
    <n v="63"/>
    <s v="OOX"/>
    <n v="41"/>
    <n v="44"/>
    <n v="-47"/>
    <n v="44"/>
    <n v="85"/>
    <s v="OOX"/>
    <x v="3"/>
    <x v="0"/>
    <x v="0"/>
    <n v="77"/>
    <n v="148"/>
    <s v="117.09841616300287"/>
    <s v="225.07228041720032"/>
    <x v="2"/>
    <n v="6"/>
    <x v="1"/>
    <x v="1"/>
    <m/>
    <s v="U15 F 55"/>
    <n v="117.09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94"/>
    <x v="2"/>
    <s v="Léa STATTNER14/05/2011"/>
    <n v="2025"/>
    <s v="118.87473829433405"/>
    <s v="118.87473829433405"/>
  </r>
  <r>
    <x v="411"/>
    <x v="403"/>
    <s v="Lee na PHAM15/12/2006"/>
    <n v="462601"/>
    <s v="FR"/>
    <s v="HDF - Critérium National - Comines - U20 - Seniors Femmessam 14 Déc 2024"/>
    <s v="CAHC BERCK"/>
    <s v="Lee na PHAM15/12/2006"/>
    <s v="53.46"/>
    <n v="56"/>
    <n v="-61"/>
    <n v="-61"/>
    <n v="56"/>
    <n v="0"/>
    <s v="OXX"/>
    <n v="70"/>
    <n v="-75"/>
    <n v="75"/>
    <n v="75"/>
    <n v="145"/>
    <s v="OXO"/>
    <x v="0"/>
    <x v="0"/>
    <x v="0"/>
    <n v="131"/>
    <n v="145"/>
    <s v="191.8394788789377"/>
    <s v="212.34140791943486"/>
    <x v="3"/>
    <n v="4"/>
    <x v="1"/>
    <x v="0"/>
    <m/>
    <s v="U20 F 55"/>
    <n v="191.83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92"/>
    <x v="8"/>
    <s v="Lee na PHAM15/12/2006"/>
    <n v="2025"/>
    <s v="200.9023333340196"/>
    <s v="200.9023333340196"/>
  </r>
  <r>
    <x v="412"/>
    <x v="404"/>
    <s v="Leena AUBRY21/05/2012"/>
    <n v="465557"/>
    <s v="FR"/>
    <s v="BFC - Critérium National - Besançon - BFC-Critérium U13 F-Besançondim 15 Déc 2024"/>
    <s v="CLUB HALTEROPHILE LUXOVIEN"/>
    <s v="Leena AUBRY21/05/2012"/>
    <s v="42.7"/>
    <n v="25"/>
    <n v="26"/>
    <n v="27"/>
    <n v="27"/>
    <n v="53"/>
    <s v="OOO"/>
    <n v="33"/>
    <n v="35"/>
    <n v="37"/>
    <n v="37"/>
    <n v="72"/>
    <s v="OOO"/>
    <x v="2"/>
    <x v="0"/>
    <x v="0"/>
    <n v="64"/>
    <n v="125"/>
    <s v="112.15733540109635"/>
    <s v="219.0572957052663"/>
    <x v="0"/>
    <n v="999"/>
    <x v="6"/>
    <x v="4"/>
    <m/>
    <s v="U13 F 45"/>
    <n v="219.05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"/>
    <x v="6"/>
    <s v="Leena AUBRY21/05/2012"/>
    <n v="2025"/>
    <s v="114.82140941822865"/>
    <s v="112.15733540109635"/>
  </r>
  <r>
    <x v="413"/>
    <x v="405"/>
    <s v="Lého GONDRAN11/05/2009"/>
    <n v="458823"/>
    <s v="FR"/>
    <s v="GE - Critérium National - Langres - LOR - CHAsam 14 Déc 2024"/>
    <s v="LANGRES HM"/>
    <s v="Lého GONDRAN11/05/2009"/>
    <s v="63.7"/>
    <n v="70"/>
    <n v="-75"/>
    <n v="75"/>
    <n v="75"/>
    <n v="145"/>
    <s v="OXO"/>
    <n v="90"/>
    <n v="-95"/>
    <n v="95"/>
    <n v="95"/>
    <n v="185"/>
    <s v="OXO"/>
    <x v="3"/>
    <x v="0"/>
    <x v="0"/>
    <n v="170"/>
    <n v="330"/>
    <s v="250.56024456560516"/>
    <s v="486.3816512155865"/>
    <x v="1"/>
    <n v="5"/>
    <x v="0"/>
    <x v="3"/>
    <m/>
    <s v="U17 M 67"/>
    <n v="250.56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Lého GONDRAN11/05/2009"/>
    <n v="2025"/>
    <s v="250.56024456560516"/>
    <s v="250.56024456560516"/>
  </r>
  <r>
    <x v="414"/>
    <x v="406"/>
    <s v="Leilana ROULLET03/07/2007"/>
    <n v="417549"/>
    <s v="FR"/>
    <s v="BFC - Critérium National - Besançon - BFC-Critérium U17-20 SEN Fsam 14 Déc 2024"/>
    <s v="CHM VAUZELLES"/>
    <s v="Leilana ROULLET03/07/2007"/>
    <n v="69"/>
    <n v="44"/>
    <n v="47"/>
    <n v="50"/>
    <n v="50"/>
    <n v="97"/>
    <s v="OOO"/>
    <n v="58"/>
    <n v="-62"/>
    <n v="-62"/>
    <n v="58"/>
    <n v="0"/>
    <s v="OXX"/>
    <x v="3"/>
    <x v="0"/>
    <x v="0"/>
    <n v="108"/>
    <n v="97"/>
    <s v="134.5009508353918"/>
    <s v="120.80177991697227"/>
    <x v="5"/>
    <n v="7"/>
    <x v="3"/>
    <x v="0"/>
    <m/>
    <s v="U20 F 71"/>
    <n v="134.5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20"/>
    <x v="6"/>
    <s v="Leilana ROULLET03/07/2007"/>
    <n v="2025"/>
    <s v="138.3579418887205"/>
    <s v="134.5009508353918"/>
  </r>
  <r>
    <x v="415"/>
    <x v="407"/>
    <s v="Leïlou LORET31/03/2005"/>
    <n v="455165"/>
    <s v="FR"/>
    <s v="OCC - Critérium National - Hc montalbanais - Plateau 3sam 14 Déc 2024"/>
    <s v="HC FIGEAC"/>
    <s v="Leïlou LORET31/03/2005"/>
    <s v="54.4"/>
    <n v="59"/>
    <n v="63"/>
    <n v="-65"/>
    <n v="63"/>
    <n v="122"/>
    <s v="OOX"/>
    <n v="78"/>
    <n v="-82"/>
    <n v="-82"/>
    <n v="78"/>
    <n v="0"/>
    <s v="OXX"/>
    <x v="0"/>
    <x v="0"/>
    <x v="0"/>
    <n v="141"/>
    <n v="122"/>
    <s v="203.92203458197656"/>
    <s v="176.44317885816412"/>
    <x v="3"/>
    <n v="4"/>
    <x v="1"/>
    <x v="0"/>
    <m/>
    <s v="U20 F 55"/>
    <n v="203.92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1"/>
    <x v="1"/>
    <s v="Leïlou LORET31/03/2005"/>
    <n v="2025"/>
    <s v="214.2077984951621"/>
    <s v="203.92203458197656"/>
  </r>
  <r>
    <x v="416"/>
    <x v="408"/>
    <s v="Léna BERTRAND07/12/2006"/>
    <n v="468844"/>
    <s v="FR"/>
    <s v="PACA - Critérium National - Mondragon - Provence U15 - U17 - U20 - SEN F 45 à F55sam 14 Déc 2024"/>
    <s v="ISTRES SPORT HALTEROPHILIE"/>
    <s v="Léna BERTRAND07/12/2006"/>
    <s v="80.5"/>
    <n v="60"/>
    <n v="65"/>
    <n v="70"/>
    <n v="70"/>
    <n v="135"/>
    <s v="OOO"/>
    <n v="75"/>
    <n v="80"/>
    <n v="-85"/>
    <n v="80"/>
    <n v="155"/>
    <s v="OOX"/>
    <x v="1"/>
    <x v="0"/>
    <x v="0"/>
    <n v="150"/>
    <n v="290"/>
    <s v="173.0817058446778"/>
    <s v="334.6246312997104"/>
    <x v="1"/>
    <n v="5"/>
    <x v="4"/>
    <x v="0"/>
    <m/>
    <s v="U20 F 81"/>
    <n v="173.08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47"/>
    <x v="0"/>
    <s v="Léna BERTRAND07/12/2006"/>
    <n v="2025"/>
    <s v="182.81480787651557"/>
    <s v="173.0817058446778"/>
  </r>
  <r>
    <x v="417"/>
    <x v="409"/>
    <s v="Lenny CLOAREC25/07/2005"/>
    <n v="402005"/>
    <s v="FR"/>
    <s v="BRE - Critérium National - Plouhinec - Hommesam 14 Déc 2024"/>
    <s v="CHM PLOUHINEC POINTE DU RAZ"/>
    <s v="Lenny CLOAREC25/07/2005"/>
    <s v="60.9"/>
    <n v="65"/>
    <n v="70"/>
    <n v="75"/>
    <n v="75"/>
    <n v="145"/>
    <s v="OOO"/>
    <n v="85"/>
    <n v="90"/>
    <n v="95"/>
    <n v="95"/>
    <n v="185"/>
    <s v="OOO"/>
    <x v="2"/>
    <x v="0"/>
    <x v="0"/>
    <n v="170"/>
    <n v="330"/>
    <s v="258.7091079677412"/>
    <s v="502.20003311385057"/>
    <x v="1"/>
    <n v="5"/>
    <x v="8"/>
    <x v="0"/>
    <m/>
    <s v="U20 M 61"/>
    <n v="258.7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34"/>
    <x v="7"/>
    <s v="Lenny CLOAREC25/07/2005"/>
    <n v="2025"/>
    <s v="258.7091079677412"/>
    <s v="258.7091079677412"/>
  </r>
  <r>
    <x v="418"/>
    <x v="410"/>
    <s v="Leo DELABRE26/10/2013"/>
    <n v="496988"/>
    <s v="FR"/>
    <s v="HDF - Critérium National - Comines - U13 garçonsdim 15 Déc 2024"/>
    <s v="CHCD COMINES"/>
    <s v="Leo DELABRE26/10/2013"/>
    <n v="35"/>
    <n v="20"/>
    <n v="-21"/>
    <n v="21"/>
    <n v="21"/>
    <n v="41"/>
    <s v="OXO"/>
    <n v="26"/>
    <n v="28"/>
    <n v="-30"/>
    <n v="28"/>
    <n v="54"/>
    <s v="OOX"/>
    <x v="3"/>
    <x v="0"/>
    <x v="0"/>
    <n v="49"/>
    <n v="95"/>
    <s v="122.75618141969386"/>
    <s v="237.99667826267176"/>
    <x v="0"/>
    <n v="999"/>
    <x v="14"/>
    <x v="4"/>
    <m/>
    <s v="U13 M 35"/>
    <n v="237.99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7"/>
    <x v="8"/>
    <s v="Leo DELABRE26/10/2013"/>
    <n v="2025"/>
    <s v="122.82366109103"/>
    <s v="122.82366109103"/>
  </r>
  <r>
    <x v="419"/>
    <x v="411"/>
    <s v="Léo GUILLEMETTE06/06/2010"/>
    <n v="468582"/>
    <s v="FR"/>
    <s v="BRE - Critérium National - Plouhinec - Hommesam 14 Déc 2024"/>
    <s v="FITNESS ES ST AVE"/>
    <s v="Léo GUILLEMETTE06/06/2010"/>
    <s v="53.95"/>
    <n v="45"/>
    <n v="50"/>
    <n v="-52"/>
    <n v="50"/>
    <n v="95"/>
    <s v="OOX"/>
    <n v="60"/>
    <n v="-65"/>
    <n v="65"/>
    <n v="65"/>
    <n v="125"/>
    <s v="OXO"/>
    <x v="3"/>
    <x v="0"/>
    <x v="0"/>
    <n v="115"/>
    <n v="220"/>
    <s v="191.98791575808826"/>
    <s v="367.281230145908"/>
    <x v="1"/>
    <n v="5"/>
    <x v="1"/>
    <x v="1"/>
    <m/>
    <s v="U15 M 55"/>
    <n v="191.98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121"/>
    <x v="7"/>
    <s v="Léo GUILLEMETTE06/06/2010"/>
    <n v="2025"/>
    <s v="191.98791575808826"/>
    <s v="191.98791575808826"/>
  </r>
  <r>
    <x v="420"/>
    <x v="412"/>
    <s v="Léo MOSER08/10/2007"/>
    <n v="444457"/>
    <s v="FR"/>
    <s v="BFC - Critérium National - Besançon - BFC-Critérium 2 SEN Hdim 15 Déc 2024"/>
    <s v="LA FRANCAISE DE BESANCON"/>
    <s v="Léo MOSER08/10/2007"/>
    <s v="58.8"/>
    <n v="-76"/>
    <n v="-77"/>
    <n v="80"/>
    <n v="80"/>
    <n v="0"/>
    <s v="XXO"/>
    <n v="96"/>
    <n v="101"/>
    <n v="-105"/>
    <n v="101"/>
    <n v="197"/>
    <s v="OOX"/>
    <x v="0"/>
    <x v="1"/>
    <x v="0"/>
    <n v="181"/>
    <n v="197"/>
    <s v="282.66690594242664"/>
    <s v="307.654035749492"/>
    <x v="1"/>
    <n v="5"/>
    <x v="8"/>
    <x v="0"/>
    <m/>
    <s v="U20 M 61"/>
    <n v="282.66000000000003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21"/>
    <x v="6"/>
    <s v="Léo MOSER08/10/2007"/>
    <n v="2025"/>
    <s v="282.66690594242664"/>
    <s v="282.66690594242664"/>
  </r>
  <r>
    <x v="421"/>
    <x v="413"/>
    <s v="Léonard LEVEQUE31/01/2000"/>
    <n v="495021"/>
    <s v="FR"/>
    <s v="NAQ - Critérium National - Mont de marsan - ligue Nouvelle Aquitainesam 14 Déc 2024"/>
    <s v="POWERCAMP BORDEAUX HALTEROPHILIE"/>
    <s v="Léonard LEVEQUE31/01/2000"/>
    <n v="89"/>
    <n v="122"/>
    <n v="-127"/>
    <n v="-127"/>
    <n v="122"/>
    <n v="0"/>
    <s v="OXX"/>
    <n v="-158"/>
    <n v="-165"/>
    <n v="-165"/>
    <n v="0"/>
    <n v="0"/>
    <s v="XXX"/>
    <x v="4"/>
    <x v="0"/>
    <x v="0"/>
    <n v="122"/>
    <n v="0"/>
    <s v="147.47022278695312"/>
    <s v="0.0"/>
    <x v="0"/>
    <n v="999"/>
    <x v="9"/>
    <x v="2"/>
    <m/>
    <s v="SEN M 89"/>
    <n v="0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70"/>
    <x v="12"/>
    <s v="Léonard LEVEQUE31/01/2000"/>
    <n v="2025"/>
    <s v="337.2925285623498"/>
    <s v="337.2925285623498"/>
  </r>
  <r>
    <x v="422"/>
    <x v="414"/>
    <s v="Leonie DECORTE-DELHAIE20/07/2012"/>
    <n v="466927"/>
    <s v="FR"/>
    <s v="HDF - Critérium National - Comines - U13 Fillesdim 15 Déc 2024"/>
    <s v="CHCD COMINES"/>
    <s v="Leonie DECORTE-DELHAIE20/07/2012"/>
    <s v="45.41"/>
    <n v="18"/>
    <n v="20"/>
    <n v="-22"/>
    <n v="20"/>
    <n v="38"/>
    <s v="OOX"/>
    <n v="28"/>
    <n v="30"/>
    <n v="-32"/>
    <n v="30"/>
    <n v="58"/>
    <s v="OOX"/>
    <x v="3"/>
    <x v="0"/>
    <x v="0"/>
    <n v="50"/>
    <n v="96"/>
    <s v="83.13338853667446"/>
    <s v="159.61610599041495"/>
    <x v="0"/>
    <n v="999"/>
    <x v="10"/>
    <x v="4"/>
    <m/>
    <s v="U13 F 49"/>
    <n v="159.61000000000001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37"/>
    <x v="8"/>
    <s v="Leonie DECORTE-DELHAIE20/07/2012"/>
    <n v="2025"/>
    <s v="86.92713022036027"/>
    <s v="86.08040741209199"/>
  </r>
  <r>
    <x v="423"/>
    <x v="415"/>
    <s v="Léonie JUNG-BUCH21/07/2008"/>
    <n v="477601"/>
    <s v="FR"/>
    <s v="GE - Critérium National - Haguenau - ALS - U15 - U17 - U20 Femsam 14 Déc 2024"/>
    <s v="ASI AVENIR DURSTEL"/>
    <s v="Léonie JUNG-BUCH21/07/2008"/>
    <s v="77.2"/>
    <n v="40"/>
    <n v="43"/>
    <n v="46"/>
    <n v="46"/>
    <n v="89"/>
    <s v="OOO"/>
    <n v="53"/>
    <n v="57"/>
    <n v="-60"/>
    <n v="57"/>
    <n v="110"/>
    <s v="OOX"/>
    <x v="1"/>
    <x v="0"/>
    <x v="0"/>
    <n v="103"/>
    <n v="199"/>
    <s v="121.14308919823092"/>
    <s v="234.05315291697042"/>
    <x v="2"/>
    <n v="6"/>
    <x v="4"/>
    <x v="3"/>
    <m/>
    <s v="U17 F 81"/>
    <n v="121.14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9"/>
    <x v="2"/>
    <s v="Léonie JUNG-BUCH21/07/2008"/>
    <n v="2025"/>
    <s v="121.14308919823092"/>
    <s v="121.14308919823092"/>
  </r>
  <r>
    <x v="424"/>
    <x v="416"/>
    <s v="Leya DUFRANNE14/08/2011"/>
    <n v="480465"/>
    <s v="FR"/>
    <s v="HDF - Critérium National - La ferte milon - U15 Femmessam 14 Déc 2024"/>
    <s v="CLUB MILONAIS HM"/>
    <s v="Leya DUFRANNE14/08/2011"/>
    <s v="52.4"/>
    <n v="35"/>
    <n v="37"/>
    <n v="39"/>
    <n v="39"/>
    <n v="76"/>
    <s v="OOO"/>
    <n v="40"/>
    <n v="43"/>
    <n v="46"/>
    <n v="46"/>
    <n v="89"/>
    <s v="OOO"/>
    <x v="2"/>
    <x v="0"/>
    <x v="0"/>
    <n v="85"/>
    <n v="165"/>
    <s v="126.3066741003248"/>
    <s v="245.18354384180697"/>
    <x v="1"/>
    <n v="5"/>
    <x v="1"/>
    <x v="1"/>
    <m/>
    <s v="U15 F 55"/>
    <n v="126.3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80"/>
    <x v="8"/>
    <s v="Leya DUFRANNE14/08/2011"/>
    <n v="2025"/>
    <s v="126.3066741003248"/>
    <s v="126.3066741003248"/>
  </r>
  <r>
    <x v="425"/>
    <x v="417"/>
    <s v="Lia DIAW07/10/2006"/>
    <n v="472654"/>
    <s v="FR"/>
    <s v="OCC - Critérium National - Hc montalbanais - Plateau 3sam 14 Déc 2024"/>
    <s v="CLERMONT SPORTS"/>
    <s v="Lia DIAW07/10/2006"/>
    <n v="58"/>
    <n v="60"/>
    <n v="63"/>
    <n v="66"/>
    <n v="66"/>
    <n v="129"/>
    <s v="OOO"/>
    <n v="75"/>
    <n v="80"/>
    <n v="83"/>
    <n v="83"/>
    <n v="163"/>
    <s v="OOO"/>
    <x v="2"/>
    <x v="0"/>
    <x v="0"/>
    <n v="149"/>
    <n v="292"/>
    <s v="206.19361695875503"/>
    <s v="404.08413524803"/>
    <x v="3"/>
    <n v="4"/>
    <x v="2"/>
    <x v="0"/>
    <m/>
    <s v="U20 F 59"/>
    <n v="206.19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86"/>
    <x v="1"/>
    <s v="Lia DIAW07/10/2006"/>
    <n v="2025"/>
    <s v="206.19361695875503"/>
    <s v="206.19361695875503"/>
  </r>
  <r>
    <x v="426"/>
    <x v="418"/>
    <s v="Lila jade PICOD KINANY18/04/2009"/>
    <n v="460374"/>
    <s v="FR"/>
    <s v="IDF - Critérium National - Franconville - Jeunes Femmesdim 15 Déc 2024"/>
    <s v="CACHAN HM"/>
    <s v="Lila jade PICOD KINANY18/04/2009"/>
    <n v="49"/>
    <n v="33"/>
    <n v="36"/>
    <n v="-38"/>
    <n v="36"/>
    <n v="69"/>
    <s v="OOX"/>
    <n v="43"/>
    <n v="-46"/>
    <n v="-46"/>
    <n v="43"/>
    <n v="0"/>
    <s v="OXX"/>
    <x v="0"/>
    <x v="0"/>
    <x v="0"/>
    <n v="79"/>
    <n v="69"/>
    <s v="123.52128526363362"/>
    <s v="107.88567953405975"/>
    <x v="2"/>
    <n v="6"/>
    <x v="10"/>
    <x v="3"/>
    <m/>
    <s v="U17 F 49"/>
    <n v="123.52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17"/>
    <x v="3"/>
    <s v="Lila jade PICOD KINANY18/04/2009"/>
    <n v="2025"/>
    <s v="123.52128526363362"/>
    <s v="123.52128526363362"/>
  </r>
  <r>
    <x v="427"/>
    <x v="419"/>
    <s v="Lilian LABERTRANDIE08/06/2001"/>
    <n v="445131"/>
    <s v="FR"/>
    <s v="AURA - Critérium National - Vaulx en velin - PLATEAU SEN MASCULINSsam 14 Déc 2024"/>
    <s v="STADE CLERMONTOIS HALTEROPHILIE"/>
    <s v="Lilian LABERTRANDIE08/06/2001"/>
    <s v="80.5"/>
    <n v="-110"/>
    <n v="-110"/>
    <n v="110"/>
    <n v="110"/>
    <n v="0"/>
    <s v="XXO"/>
    <n v="-133"/>
    <n v="-140"/>
    <n v="-140"/>
    <n v="0"/>
    <n v="0"/>
    <s v="XXX"/>
    <x v="4"/>
    <x v="1"/>
    <x v="0"/>
    <n v="110"/>
    <n v="0"/>
    <s v="140.08158207914352"/>
    <s v="0.0"/>
    <x v="0"/>
    <n v="999"/>
    <x v="4"/>
    <x v="2"/>
    <m/>
    <s v="SEN M 81"/>
    <n v="0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19"/>
    <x v="4"/>
    <s v="Lilian LABERTRANDIE08/06/2001"/>
    <n v="2025"/>
    <s v="326.4916752449378"/>
    <s v="315.49688958408933"/>
  </r>
  <r>
    <x v="428"/>
    <x v="419"/>
    <s v="Liliane FERNANDES08/06/2001"/>
    <n v="501118"/>
    <s v="FR"/>
    <s v="IDF - Critérium National - Franconville - Seniors Femmes 2ème plateausam 14 Déc 2024"/>
    <s v="VGA ST MAUR HALTEROPHILIE"/>
    <s v="Liliane FERNANDES08/06/2001"/>
    <s v="63.4"/>
    <n v="-58"/>
    <n v="58"/>
    <n v="-60"/>
    <n v="58"/>
    <n v="0"/>
    <s v="XOX"/>
    <n v="-75"/>
    <n v="-75"/>
    <n v="0"/>
    <n v="0"/>
    <n v="0"/>
    <s v="XXX"/>
    <x v="4"/>
    <x v="0"/>
    <x v="0"/>
    <n v="58"/>
    <n v="0"/>
    <s v="75.84511632865038"/>
    <s v="0.0"/>
    <x v="0"/>
    <n v="999"/>
    <x v="7"/>
    <x v="2"/>
    <m/>
    <s v="SEN F 64"/>
    <n v="0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3"/>
    <x v="3"/>
    <s v="Liliane FERNANDES08/06/2001"/>
    <n v="2025"/>
    <s v="174.7242807943659"/>
    <s v="174.7242807943659"/>
  </r>
  <r>
    <x v="429"/>
    <x v="252"/>
    <s v="Lilou ANCEL05/04/2008"/>
    <n v="479777"/>
    <s v="FR"/>
    <s v="GE - Critérium National - Haguenau - ALS - U15 - U17 - U20 Femsam 14 Déc 2024"/>
    <s v="CROSSFIT GRILLEN"/>
    <s v="Lilou ANCEL05/04/2008"/>
    <s v="54.7"/>
    <n v="48"/>
    <n v="51"/>
    <n v="53"/>
    <n v="53"/>
    <n v="104"/>
    <s v="OOO"/>
    <n v="58"/>
    <n v="62"/>
    <n v="67"/>
    <n v="67"/>
    <n v="129"/>
    <s v="OOO"/>
    <x v="2"/>
    <x v="0"/>
    <x v="0"/>
    <n v="120"/>
    <n v="233"/>
    <s v="172.8758784496999"/>
    <s v="335.66733065650067"/>
    <x v="3"/>
    <n v="4"/>
    <x v="1"/>
    <x v="3"/>
    <m/>
    <s v="U17 F 55"/>
    <n v="172.87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122"/>
    <x v="2"/>
    <s v="Lilou ANCEL05/04/2008"/>
    <n v="2025"/>
    <s v="174.36836897127137"/>
    <s v="172.8758784496999"/>
  </r>
  <r>
    <x v="430"/>
    <x v="420"/>
    <s v="Lily SUEUR02/08/2009"/>
    <n v="502947"/>
    <s v="FR"/>
    <s v="AURA - Critérium National - Vaulx en velin - PLATEAU JEUNES FEMININESsam 14 Déc 2024"/>
    <s v="SAVOIE BARBELL TEAM"/>
    <s v="Lily SUEUR02/08/2009"/>
    <s v="56.7"/>
    <n v="50"/>
    <n v="53"/>
    <n v="-55"/>
    <n v="53"/>
    <n v="103"/>
    <s v="OOX"/>
    <n v="64"/>
    <n v="-67"/>
    <n v="-68"/>
    <n v="64"/>
    <n v="0"/>
    <s v="OXX"/>
    <x v="0"/>
    <x v="0"/>
    <x v="0"/>
    <n v="117"/>
    <n v="103"/>
    <s v="164.4039347845044"/>
    <s v="144.73166908379446"/>
    <x v="3"/>
    <n v="4"/>
    <x v="2"/>
    <x v="3"/>
    <m/>
    <s v="U17 F 59"/>
    <n v="164.4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101"/>
    <x v="4"/>
    <s v="Lily SUEUR02/08/2009"/>
    <n v="2025"/>
    <s v="164.4039347845044"/>
    <s v="164.4039347845044"/>
  </r>
  <r>
    <x v="431"/>
    <x v="421"/>
    <s v="Lina RISSO01/12/2011"/>
    <n v="483393"/>
    <s v="FR"/>
    <s v="NAQ - Critérium National - Mont de marsan - ligue Nouvelle Aquitainesam 14 Déc 2024"/>
    <s v="EA DE SAINT MEDARD"/>
    <s v="Lina RISSO01/12/2011"/>
    <s v="42.1"/>
    <n v="-38"/>
    <n v="38"/>
    <n v="41"/>
    <n v="41"/>
    <n v="79"/>
    <s v="XOO"/>
    <n v="-47"/>
    <n v="47"/>
    <n v="-51"/>
    <n v="47"/>
    <n v="0"/>
    <s v="XOX"/>
    <x v="0"/>
    <x v="0"/>
    <x v="0"/>
    <n v="88"/>
    <n v="79"/>
    <s v="156.15018945304863"/>
    <s v="140.1802837135323"/>
    <x v="3"/>
    <n v="4"/>
    <x v="6"/>
    <x v="1"/>
    <m/>
    <s v="U15 F 45"/>
    <n v="156.15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81"/>
    <x v="12"/>
    <s v="Lina RISSO01/12/2011"/>
    <n v="2025"/>
    <s v="161.17738728358466"/>
    <s v="161.17738728358466"/>
  </r>
  <r>
    <x v="432"/>
    <x v="422"/>
    <s v="Linoa TYROU23/08/2012"/>
    <n v="493682"/>
    <s v="FR"/>
    <s v="HDF - Critérium National - Comines - U13 Fillesdim 15 Déc 2024"/>
    <s v="CA ROSENDAEL"/>
    <s v="Linoa TYROU23/08/2012"/>
    <s v="32.8"/>
    <n v="11"/>
    <n v="12"/>
    <n v="13"/>
    <n v="13"/>
    <n v="25"/>
    <s v="OOO"/>
    <n v="15"/>
    <n v="17"/>
    <n v="-19"/>
    <n v="17"/>
    <n v="32"/>
    <s v="OOX"/>
    <x v="1"/>
    <x v="0"/>
    <x v="0"/>
    <n v="30"/>
    <n v="57"/>
    <s v="67.82998846310696"/>
    <s v="128.87697807990324"/>
    <x v="0"/>
    <n v="999"/>
    <x v="14"/>
    <x v="4"/>
    <m/>
    <s v="U13 F 35"/>
    <n v="128.87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13"/>
    <x v="8"/>
    <s v="Linoa TYROU23/08/2012"/>
    <n v="2025"/>
    <s v="76.88523740733734"/>
    <s v="67.82998846310696"/>
  </r>
  <r>
    <x v="433"/>
    <x v="423"/>
    <s v="Lisa GEFFROY15/02/2003"/>
    <n v="360579"/>
    <s v="FR"/>
    <s v="PACA - Critérium National - Toulon - SUD PACA TOULON COTE AZURven 13 Déc 2024"/>
    <s v="ASPTT DRAGUIGNAN"/>
    <s v="Lisa GEFFROY15/02/2003"/>
    <n v="57"/>
    <n v="-50"/>
    <n v="50"/>
    <n v="53"/>
    <n v="53"/>
    <n v="103"/>
    <s v="XOO"/>
    <n v="60"/>
    <n v="63"/>
    <n v="65"/>
    <n v="65"/>
    <n v="128"/>
    <s v="OOO"/>
    <x v="1"/>
    <x v="0"/>
    <x v="0"/>
    <n v="118"/>
    <n v="231"/>
    <s v="165.21505295424012"/>
    <s v="323.42946807143613"/>
    <x v="2"/>
    <n v="6"/>
    <x v="2"/>
    <x v="2"/>
    <m/>
    <s v="SEN F 59"/>
    <n v="165.21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30"/>
    <x v="0"/>
    <s v="Lisa GEFFROY15/02/2003"/>
    <n v="2025"/>
    <s v="169.34073151626137"/>
    <s v="165.21505295424012"/>
  </r>
  <r>
    <x v="434"/>
    <x v="424"/>
    <s v="Lisa GHILBERT18/10/2002"/>
    <n v="497926"/>
    <s v="FR"/>
    <s v="OCC - Critérium National - Hc montalbanais - Plateau 1sam 14 Déc 2024"/>
    <s v="CROSSFIT SAINT SIMON"/>
    <s v="Lisa GHILBERT18/10/2002"/>
    <s v="58.4"/>
    <n v="-63"/>
    <n v="63"/>
    <n v="65"/>
    <n v="65"/>
    <n v="128"/>
    <s v="XOO"/>
    <n v="-75"/>
    <n v="75"/>
    <n v="-78"/>
    <n v="75"/>
    <n v="0"/>
    <s v="XOX"/>
    <x v="0"/>
    <x v="0"/>
    <x v="0"/>
    <n v="140"/>
    <n v="128"/>
    <s v="192.85670911314708"/>
    <s v="176.3261340463059"/>
    <x v="1"/>
    <n v="5"/>
    <x v="2"/>
    <x v="2"/>
    <m/>
    <s v="SEN F 59"/>
    <n v="192.85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123"/>
    <x v="1"/>
    <s v="Lisa GHILBERT18/10/2002"/>
    <n v="2025"/>
    <s v="192.85670911314708"/>
    <s v="192.85670911314708"/>
  </r>
  <r>
    <x v="435"/>
    <x v="425"/>
    <s v="Lisa MIMOUNI VAUDIN17/07/1995"/>
    <n v="450962"/>
    <s v="FR"/>
    <s v="NDIE - Critérium National - Caen - Plateau Elite fémininsam 14 Déc 2024"/>
    <s v="GORILLA LIFTING CLUB"/>
    <s v="Lisa MIMOUNI VAUDIN17/07/1995"/>
    <s v="63.8"/>
    <n v="-70"/>
    <n v="70"/>
    <n v="-73"/>
    <n v="70"/>
    <n v="0"/>
    <s v="XOX"/>
    <n v="-78"/>
    <n v="78"/>
    <n v="-79"/>
    <n v="78"/>
    <n v="0"/>
    <s v="XOX"/>
    <x v="5"/>
    <x v="0"/>
    <x v="0"/>
    <n v="148"/>
    <n v="0"/>
    <s v="192.80268866014003"/>
    <s v="0.0"/>
    <x v="1"/>
    <n v="5"/>
    <x v="7"/>
    <x v="2"/>
    <m/>
    <s v="SEN F 64"/>
    <n v="192.8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124"/>
    <x v="9"/>
    <s v="Lisa MIMOUNI VAUDIN17/07/1995"/>
    <n v="2025"/>
    <s v="201.5427532667211"/>
    <s v="192.80268866014003"/>
  </r>
  <r>
    <x v="436"/>
    <x v="426"/>
    <s v="Lisa MONNET-BESSON05/02/2010"/>
    <n v="493064"/>
    <s v="FR"/>
    <s v="AURA - Critérium National - Vaulx en velin - PLATEAU JEUNES FEMININESsam 14 Déc 2024"/>
    <s v="HALTERO CLUB OYONNAXIEN"/>
    <s v="Lisa MONNET-BESSON05/02/2010"/>
    <s v="41.1"/>
    <n v="26"/>
    <n v="-30"/>
    <n v="-30"/>
    <n v="26"/>
    <n v="0"/>
    <s v="OXX"/>
    <n v="34"/>
    <n v="37"/>
    <n v="-39"/>
    <n v="37"/>
    <n v="71"/>
    <s v="OOX"/>
    <x v="0"/>
    <x v="0"/>
    <x v="0"/>
    <n v="63"/>
    <n v="71"/>
    <s v="114.21697450584293"/>
    <s v="128.7207173002357"/>
    <x v="2"/>
    <n v="6"/>
    <x v="6"/>
    <x v="1"/>
    <m/>
    <s v="U15 F 45"/>
    <n v="114.21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82"/>
    <x v="4"/>
    <s v="Lisa MONNET-BESSON05/02/2010"/>
    <n v="2025"/>
    <s v="114.21697450584293"/>
    <s v="114.21697450584293"/>
  </r>
  <r>
    <x v="437"/>
    <x v="427"/>
    <s v="Lise COGNARD25/08/1994"/>
    <n v="468467"/>
    <s v="FR"/>
    <s v="CVL - Critérium National - Orleans - Femmessam 14 Déc 2024"/>
    <s v="US TOURS HALTEROPHILIE"/>
    <s v="Lise COGNARD25/08/1994"/>
    <n v="63"/>
    <n v="66"/>
    <n v="-68"/>
    <n v="-69"/>
    <n v="66"/>
    <n v="0"/>
    <s v="OXX"/>
    <n v="78"/>
    <n v="81"/>
    <n v="-85"/>
    <n v="81"/>
    <n v="159"/>
    <s v="OOX"/>
    <x v="0"/>
    <x v="0"/>
    <x v="0"/>
    <n v="147"/>
    <n v="159"/>
    <s v="192.96898282665092"/>
    <s v="208.7215528533163"/>
    <x v="1"/>
    <n v="5"/>
    <x v="7"/>
    <x v="2"/>
    <m/>
    <s v="SEN F 64"/>
    <n v="192.96"/>
    <x v="1"/>
    <s v="CVL - Critérium National - Orleans - Femmessam 14 Déc 2024"/>
    <s v="Critérium National - Orleans - Femmes"/>
    <s v="CVL"/>
    <d v="2024-12-14T00:00:00"/>
    <n v="2024"/>
    <n v="12"/>
    <s v="2024-12"/>
    <m/>
    <s v="2024-2025"/>
    <n v="2025"/>
    <x v="66"/>
    <x v="13"/>
    <s v="Lise COGNARD25/08/1994"/>
    <n v="2025"/>
    <s v="192.96898282665092"/>
    <s v="192.96898282665092"/>
  </r>
  <r>
    <x v="438"/>
    <x v="428"/>
    <s v="Lison FORESTIER16/05/2010"/>
    <n v="476960"/>
    <s v="FR"/>
    <s v="BFC - Critérium National - Besançon - BFC-Critérium 2 SEN Fsam 14 Déc 2024"/>
    <s v="HALTEROPHILIE PONTISSALIENNE"/>
    <s v="Lison FORESTIER16/05/2010"/>
    <n v="76"/>
    <n v="68"/>
    <n v="71"/>
    <n v="75"/>
    <n v="75"/>
    <n v="146"/>
    <s v="OOO"/>
    <n v="86"/>
    <n v="89"/>
    <n v="92"/>
    <n v="92"/>
    <n v="181"/>
    <s v="OOO"/>
    <x v="2"/>
    <x v="0"/>
    <x v="0"/>
    <n v="167"/>
    <n v="327"/>
    <s v="197.88764093448407"/>
    <s v="387.48059033279213"/>
    <x v="7"/>
    <n v="2"/>
    <x v="15"/>
    <x v="1"/>
    <m/>
    <s v="U15 F 76"/>
    <n v="197.88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104"/>
    <x v="6"/>
    <s v="Lison FORESTIER16/05/2010"/>
    <n v="2025"/>
    <s v="197.88764093448407"/>
    <s v="197.88764093448407"/>
  </r>
  <r>
    <x v="439"/>
    <x v="429"/>
    <s v="Loane PAYET21/05/2003"/>
    <n v="429325"/>
    <s v="FR"/>
    <s v="REU - Critérium National - La possession - SENIOREdim 15 Déc 2024"/>
    <s v="SPORTING CLUB DE NEUILLY"/>
    <s v="Loane PAYET21/05/2003"/>
    <s v="65.83"/>
    <n v="80"/>
    <n v="83"/>
    <n v="85"/>
    <n v="85"/>
    <n v="168"/>
    <s v="OOO"/>
    <n v="100"/>
    <n v="105"/>
    <n v="110"/>
    <n v="110"/>
    <n v="215"/>
    <s v="OOO"/>
    <x v="2"/>
    <x v="0"/>
    <x v="0"/>
    <n v="195"/>
    <n v="383"/>
    <s v="249.37453889664798"/>
    <s v="489.79717126880087"/>
    <x v="4"/>
    <n v="3"/>
    <x v="3"/>
    <x v="2"/>
    <m/>
    <s v="SEN F 71"/>
    <n v="249.37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8"/>
    <x v="3"/>
    <s v="Loane PAYET21/05/2003"/>
    <n v="2025"/>
    <s v="254.46318720701845"/>
    <s v="249.37453889664798"/>
  </r>
  <r>
    <x v="440"/>
    <x v="430"/>
    <s v="Loesha AISSA31/01/1992"/>
    <n v="421600"/>
    <s v="FR"/>
    <s v="CVL - Critérium National - Orleans - Hommessam 14 Déc 2024"/>
    <s v="CERCLE MICHELET ORLEANS HMS"/>
    <s v="Loesha AISSA31/01/1992"/>
    <s v="88.4"/>
    <n v="100"/>
    <n v="-106"/>
    <n v="-106"/>
    <n v="100"/>
    <n v="0"/>
    <s v="OXX"/>
    <n v="120"/>
    <n v="125"/>
    <n v="-128"/>
    <n v="125"/>
    <n v="245"/>
    <s v="OOX"/>
    <x v="0"/>
    <x v="0"/>
    <x v="0"/>
    <n v="225"/>
    <n v="245"/>
    <s v="272.87681213288175"/>
    <s v="297.1325287669157"/>
    <x v="5"/>
    <n v="7"/>
    <x v="9"/>
    <x v="2"/>
    <m/>
    <s v="SEN M 89"/>
    <n v="272.87"/>
    <x v="0"/>
    <s v="CVL - Critérium National - Orleans - Hommessam 14 Déc 2024"/>
    <s v="Critérium National - Orleans - Hommes"/>
    <s v="CVL"/>
    <d v="2024-12-14T00:00:00"/>
    <n v="2024"/>
    <n v="12"/>
    <s v="2024-12"/>
    <m/>
    <s v="2024-2025"/>
    <n v="2025"/>
    <x v="108"/>
    <x v="13"/>
    <s v="Loesha AISSA31/01/1992"/>
    <n v="2025"/>
    <s v="294.54313698111577"/>
    <s v="272.87681213288175"/>
  </r>
  <r>
    <x v="441"/>
    <x v="431"/>
    <s v="Loic BOUVOT25/02/1994"/>
    <n v="498962"/>
    <s v="FR"/>
    <s v="PACA - Critérium National - Toulon - SUD PACA TOULON COTE AZURven 13 Déc 2024"/>
    <s v="CROSSFIT FREJUS"/>
    <s v="Loic BOUVOT25/02/1994"/>
    <s v="79.15"/>
    <n v="-97"/>
    <n v="97"/>
    <n v="-103"/>
    <n v="97"/>
    <n v="0"/>
    <s v="XOX"/>
    <n v="120"/>
    <n v="125"/>
    <n v="-130"/>
    <n v="125"/>
    <n v="245"/>
    <s v="OOX"/>
    <x v="0"/>
    <x v="0"/>
    <x v="0"/>
    <n v="222"/>
    <n v="245"/>
    <s v="285.3822100124379"/>
    <s v="314.9488353740869"/>
    <x v="2"/>
    <n v="6"/>
    <x v="4"/>
    <x v="2"/>
    <m/>
    <s v="SEN M 81"/>
    <n v="285.38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06"/>
    <x v="0"/>
    <s v="Loic BOUVOT25/02/1994"/>
    <n v="2025"/>
    <s v="289.98199962126836"/>
    <s v="287.64755368624583"/>
  </r>
  <r>
    <x v="442"/>
    <x v="432"/>
    <s v="Loic SEIGNEMARTIN25/12/1993"/>
    <n v="418747"/>
    <s v="FR"/>
    <s v="GE - Critérium National - Haguenau - ALS - U15 - U17 - U20 - SEN Homsam 14 Déc 2024"/>
    <s v="HALTERO CLUB OYONNAXIEN"/>
    <s v="Loic SEIGNEMARTIN25/12/1993"/>
    <s v="79.9"/>
    <n v="93"/>
    <n v="-98"/>
    <n v="99"/>
    <n v="99"/>
    <n v="192"/>
    <s v="OXO"/>
    <n v="117"/>
    <n v="-121"/>
    <n v="-122"/>
    <n v="117"/>
    <n v="0"/>
    <s v="OXX"/>
    <x v="0"/>
    <x v="0"/>
    <x v="0"/>
    <n v="216"/>
    <n v="192"/>
    <s v="276.2102361868388"/>
    <s v="245.52020994385674"/>
    <x v="5"/>
    <n v="7"/>
    <x v="4"/>
    <x v="2"/>
    <m/>
    <s v="SEN M 81"/>
    <n v="276.20999999999998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82"/>
    <x v="4"/>
    <s v="Loic SEIGNEMARTIN25/12/1993"/>
    <n v="2025"/>
    <s v="287.71899602795713"/>
    <s v="287.71899602795713"/>
  </r>
  <r>
    <x v="443"/>
    <x v="433"/>
    <s v="Lola BARRET22/02/2010"/>
    <n v="502830"/>
    <s v="FR"/>
    <s v="REU - Critérium National - La possession - U15-17-20dim 15 Déc 2024"/>
    <s v="MAHAVELI HALTÉROPHILIE RÉUNION"/>
    <s v="Lola BARRET22/02/2010"/>
    <s v="43.22"/>
    <n v="27"/>
    <n v="-30"/>
    <n v="-31"/>
    <n v="27"/>
    <n v="0"/>
    <s v="OXX"/>
    <n v="-34"/>
    <n v="-34"/>
    <n v="-35"/>
    <n v="0"/>
    <n v="0"/>
    <s v="XXX"/>
    <x v="4"/>
    <x v="0"/>
    <x v="0"/>
    <n v="27"/>
    <n v="0"/>
    <s v="46.81977206221314"/>
    <s v="0.0"/>
    <x v="0"/>
    <n v="999"/>
    <x v="6"/>
    <x v="1"/>
    <m/>
    <s v="U15 F 45"/>
    <n v="0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58"/>
    <x v="5"/>
    <s v="Lola BARRET22/02/2010"/>
    <n v="2025"/>
    <s v="46.81977206221314"/>
    <s v="46.81977206221314"/>
  </r>
  <r>
    <x v="444"/>
    <x v="434"/>
    <s v="Lola RIOT23/11/2009"/>
    <n v="495698"/>
    <s v="FR"/>
    <s v="HDF - Critérium National - La ferte milon - U17 / U20 / Seniors Femmessam 14 Déc 2024"/>
    <s v="AMERICAN GYM BEAUVAIS"/>
    <s v="Lola RIOT23/11/2009"/>
    <s v="56.74"/>
    <n v="44"/>
    <n v="47"/>
    <n v="50"/>
    <n v="50"/>
    <n v="97"/>
    <s v="OOO"/>
    <n v="57"/>
    <n v="-60"/>
    <n v="-60"/>
    <n v="57"/>
    <n v="0"/>
    <s v="OXX"/>
    <x v="3"/>
    <x v="0"/>
    <x v="0"/>
    <n v="107"/>
    <n v="97"/>
    <s v="150.2800521723197"/>
    <s v="136.23518748331787"/>
    <x v="1"/>
    <n v="5"/>
    <x v="2"/>
    <x v="3"/>
    <m/>
    <s v="U17 F 59"/>
    <n v="150.28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125"/>
    <x v="8"/>
    <s v="Lola RIOT23/11/2009"/>
    <n v="2025"/>
    <s v="150.2800521723197"/>
    <s v="150.2800521723197"/>
  </r>
  <r>
    <x v="445"/>
    <x v="435"/>
    <s v="Lolita THIANN-BO MOREL30/07/2005"/>
    <n v="494472"/>
    <s v="FR"/>
    <s v="REU - Critérium National - La possession - U15-17-20dim 15 Déc 2024"/>
    <s v="CFSM WEIGHTLIFTING CLUB"/>
    <s v="Lolita THIANN-BO MOREL30/07/2005"/>
    <s v="58.93"/>
    <n v="54"/>
    <n v="57"/>
    <n v="60"/>
    <n v="60"/>
    <n v="117"/>
    <s v="OOO"/>
    <n v="67"/>
    <n v="70"/>
    <n v="-74"/>
    <n v="70"/>
    <n v="137"/>
    <s v="OOX"/>
    <x v="1"/>
    <x v="0"/>
    <x v="0"/>
    <n v="130"/>
    <n v="254"/>
    <s v="178.01875264774827"/>
    <s v="347.82125517329274"/>
    <x v="3"/>
    <n v="4"/>
    <x v="2"/>
    <x v="0"/>
    <m/>
    <s v="U20 F 59"/>
    <n v="178.01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105"/>
    <x v="5"/>
    <s v="Lolita THIANN-BO MOREL30/07/2005"/>
    <n v="2025"/>
    <s v="178.01875264774827"/>
    <s v="178.01875264774827"/>
  </r>
  <r>
    <x v="446"/>
    <x v="436"/>
    <s v="Lorenzo MEDARD23/01/2013"/>
    <n v="481495"/>
    <s v="FR"/>
    <s v="PDL - Critérium National - Laval - U10 -U13sam 14 Déc 2024"/>
    <s v="CJF LAVAL VOUTRE HALTERO 53"/>
    <s v="Lorenzo MEDARD23/01/2013"/>
    <s v="52.68"/>
    <n v="24"/>
    <n v="26"/>
    <n v="28"/>
    <n v="28"/>
    <n v="54"/>
    <s v="OOO"/>
    <n v="32"/>
    <n v="34"/>
    <n v="36"/>
    <n v="36"/>
    <n v="70"/>
    <s v="OOO"/>
    <x v="2"/>
    <x v="0"/>
    <x v="0"/>
    <n v="64"/>
    <n v="124"/>
    <s v="108.92621052232761"/>
    <s v="211.04453288700975"/>
    <x v="0"/>
    <n v="999"/>
    <x v="1"/>
    <x v="4"/>
    <m/>
    <s v="U13 M 55"/>
    <n v="211.04"/>
    <x v="0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43"/>
    <x v="10"/>
    <s v="Lorenzo MEDARD23/01/2013"/>
    <n v="2025"/>
    <s v="108.92621052232761"/>
    <s v="108.92621052232761"/>
  </r>
  <r>
    <x v="447"/>
    <x v="437"/>
    <s v="Loris GARLOPEAU04/07/2014"/>
    <n v="502661"/>
    <s v="FR"/>
    <s v="REU - Critérium National - La possession - LA REUNION-CRITERIUM-LA POSSESSION-U13sam 14 Déc 2024"/>
    <s v="CFSM WEIGHTLIFTING CLUB"/>
    <s v="Loris GARLOPEAU04/07/2014"/>
    <s v="36.67"/>
    <n v="14"/>
    <n v="-16"/>
    <n v="16"/>
    <n v="16"/>
    <n v="30"/>
    <s v="OXO"/>
    <n v="20"/>
    <n v="22"/>
    <n v="24"/>
    <n v="24"/>
    <n v="46"/>
    <s v="OOO"/>
    <x v="1"/>
    <x v="0"/>
    <x v="0"/>
    <n v="40"/>
    <n v="76"/>
    <s v="95.3819670577196"/>
    <s v="181.22573740966726"/>
    <x v="0"/>
    <n v="999"/>
    <x v="11"/>
    <x v="4"/>
    <m/>
    <s v="U13 M 40"/>
    <n v="181.22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105"/>
    <x v="5"/>
    <s v="Loris GARLOPEAU04/07/2014"/>
    <n v="2025"/>
    <s v="95.3819670577196"/>
    <s v="95.3819670577196"/>
  </r>
  <r>
    <x v="448"/>
    <x v="438"/>
    <s v="Lou ann TERENNE19/10/2007"/>
    <n v="479769"/>
    <s v="FR"/>
    <s v="BFC - Critérium National - Besançon - BFC-Critérium U17-20 SEN Fsam 14 Déc 2024"/>
    <s v="CHM VAUZELLES"/>
    <s v="Lou ann TERENNE19/10/2007"/>
    <s v="70.9"/>
    <n v="50"/>
    <n v="-53"/>
    <n v="54"/>
    <n v="54"/>
    <n v="104"/>
    <s v="OXO"/>
    <n v="60"/>
    <n v="64"/>
    <n v="-67"/>
    <n v="64"/>
    <n v="124"/>
    <s v="OOX"/>
    <x v="3"/>
    <x v="0"/>
    <x v="0"/>
    <n v="118"/>
    <n v="228"/>
    <s v="144.82097074596433"/>
    <s v="279.82357059389716"/>
    <x v="2"/>
    <n v="6"/>
    <x v="3"/>
    <x v="0"/>
    <m/>
    <s v="U20 F 71"/>
    <n v="144.82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20"/>
    <x v="6"/>
    <s v="Lou ann TERENNE19/10/2007"/>
    <n v="2025"/>
    <s v="149.51850557298064"/>
    <s v="144.82097074596433"/>
  </r>
  <r>
    <x v="449"/>
    <x v="439"/>
    <s v="Lou COSSUTTA21/07/2001"/>
    <n v="464670"/>
    <s v="FR"/>
    <s v="AURA - Critérium National - Vaulx en velin - PLATEAU 3  SENIOR FEMININESdim 15 Déc 2024"/>
    <s v="ELITE BARBELL VAULX EN VELIN"/>
    <s v="Lou COSSUTTA21/07/2001"/>
    <n v="70"/>
    <n v="71"/>
    <n v="-74"/>
    <n v="74"/>
    <n v="74"/>
    <n v="145"/>
    <s v="OXO"/>
    <n v="94"/>
    <n v="98"/>
    <n v="-101"/>
    <n v="98"/>
    <n v="192"/>
    <s v="OOX"/>
    <x v="3"/>
    <x v="0"/>
    <x v="0"/>
    <n v="172"/>
    <n v="337"/>
    <s v="212.53870213679895"/>
    <s v="416.42757337268165"/>
    <x v="3"/>
    <n v="4"/>
    <x v="3"/>
    <x v="2"/>
    <m/>
    <s v="SEN F 71"/>
    <n v="212.53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76"/>
    <x v="4"/>
    <s v="Lou COSSUTTA21/07/2001"/>
    <n v="2025"/>
    <s v="218.28244686818462"/>
    <s v="212.53870213679895"/>
  </r>
  <r>
    <x v="450"/>
    <x v="440"/>
    <s v="Lou MATHELIN24/07/2006"/>
    <n v="492893"/>
    <s v="FR"/>
    <s v="AURA - Critérium National - Vaulx en velin - PLATEAU JEUNES FEMININESsam 14 Déc 2024"/>
    <s v="SAVOIE BARBELL TEAM"/>
    <s v="Lou MATHELIN24/07/2006"/>
    <s v="60.7"/>
    <n v="-52"/>
    <n v="52"/>
    <n v="-55"/>
    <n v="52"/>
    <n v="0"/>
    <s v="XOX"/>
    <n v="65"/>
    <n v="70"/>
    <n v="73"/>
    <n v="73"/>
    <n v="143"/>
    <s v="OOO"/>
    <x v="3"/>
    <x v="0"/>
    <x v="0"/>
    <n v="125"/>
    <n v="143"/>
    <s v="167.9333047040526"/>
    <s v="192.1157005814362"/>
    <x v="1"/>
    <n v="5"/>
    <x v="7"/>
    <x v="0"/>
    <m/>
    <s v="U20 F 64"/>
    <n v="167.93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101"/>
    <x v="4"/>
    <s v="Lou MATHELIN24/07/2006"/>
    <n v="2025"/>
    <s v="167.9333047040526"/>
    <s v="167.9333047040526"/>
  </r>
  <r>
    <x v="451"/>
    <x v="441"/>
    <s v="Lou PILARD08/01/2013"/>
    <n v="502301"/>
    <s v="FR"/>
    <s v="HDF - Critérium National - Comines - U13 Fillesdim 15 Déc 2024"/>
    <s v="CA ROSENDAEL"/>
    <s v="Lou PILARD08/01/2013"/>
    <s v="50.9"/>
    <n v="11"/>
    <n v="13"/>
    <n v="15"/>
    <n v="15"/>
    <n v="28"/>
    <s v="OOO"/>
    <n v="15"/>
    <n v="17"/>
    <n v="18"/>
    <n v="18"/>
    <n v="35"/>
    <s v="OOO"/>
    <x v="2"/>
    <x v="0"/>
    <x v="0"/>
    <n v="33"/>
    <n v="63"/>
    <s v="50.11044201733672"/>
    <s v="95.66538930582465"/>
    <x v="0"/>
    <n v="999"/>
    <x v="1"/>
    <x v="4"/>
    <m/>
    <s v="U13 F 55"/>
    <n v="95.66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13"/>
    <x v="8"/>
    <s v="Lou PILARD08/01/2013"/>
    <n v="2025"/>
    <s v="50.11044201733672"/>
    <s v="50.11044201733672"/>
  </r>
  <r>
    <x v="452"/>
    <x v="442"/>
    <s v="Louane ROUGIER28/12/2002"/>
    <n v="477872"/>
    <s v="FR"/>
    <s v="AURA - Critérium National - Vaulx en velin - PLATEAU 3  SENIOR FEMININESdim 15 Déc 2024"/>
    <s v="AS MONTFERRANDAISE"/>
    <s v="Louane ROUGIER28/12/2002"/>
    <s v="70.2"/>
    <n v="75"/>
    <n v="77"/>
    <n v="-80"/>
    <n v="77"/>
    <n v="152"/>
    <s v="OOX"/>
    <n v="95"/>
    <n v="100"/>
    <n v="-102"/>
    <n v="100"/>
    <n v="195"/>
    <s v="OOX"/>
    <x v="3"/>
    <x v="0"/>
    <x v="0"/>
    <n v="177"/>
    <n v="347"/>
    <s v="218.38236206018684"/>
    <s v="428.12813353042276"/>
    <x v="3"/>
    <n v="4"/>
    <x v="3"/>
    <x v="2"/>
    <m/>
    <s v="SEN F 71"/>
    <n v="218.38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126"/>
    <x v="4"/>
    <s v="Louane ROUGIER28/12/2002"/>
    <n v="2025"/>
    <s v="218.38236206018684"/>
    <s v="218.38236206018684"/>
  </r>
  <r>
    <x v="453"/>
    <x v="443"/>
    <s v="Lou-anne BESLAY DE USATORRE07/11/2010"/>
    <n v="493132"/>
    <s v="FR"/>
    <s v="AURA - Critérium National - Vaulx en velin - PLATEAU JEUNES FEMININESsam 14 Déc 2024"/>
    <s v="LA GAULOISE DE VAISE"/>
    <s v="Lou-anne BESLAY DE USATORRE07/11/2010"/>
    <s v="50.7"/>
    <n v="35"/>
    <n v="38"/>
    <n v="40"/>
    <n v="40"/>
    <n v="78"/>
    <s v="OOO"/>
    <n v="45"/>
    <n v="48"/>
    <n v="-50"/>
    <n v="48"/>
    <n v="93"/>
    <s v="OOX"/>
    <x v="1"/>
    <x v="0"/>
    <x v="0"/>
    <n v="88"/>
    <n v="171"/>
    <s v="134.0267215822475"/>
    <s v="260.43828852914004"/>
    <x v="1"/>
    <n v="5"/>
    <x v="1"/>
    <x v="1"/>
    <m/>
    <s v="U15 F 55"/>
    <n v="134.02000000000001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5"/>
    <x v="4"/>
    <s v="Lou-anne BESLAY DE USATORRE07/11/2010"/>
    <n v="2025"/>
    <s v="134.0267215822475"/>
    <s v="134.0267215822475"/>
  </r>
  <r>
    <x v="454"/>
    <x v="444"/>
    <s v="Lou-anne CHILLARON-PEREZ18/07/2005"/>
    <n v="475901"/>
    <s v="FR"/>
    <s v="NAQ - Critérium National - Mont de marsan - ligue Nouvelle Aquitainesam 14 Déc 2024"/>
    <s v="HALTERO CROSSFIT BRIVE"/>
    <s v="Lou-anne CHILLARON-PEREZ18/07/2005"/>
    <s v="63.7"/>
    <n v="60"/>
    <n v="-64"/>
    <n v="66"/>
    <n v="66"/>
    <n v="126"/>
    <s v="OXO"/>
    <n v="74"/>
    <n v="77"/>
    <n v="-80"/>
    <n v="77"/>
    <n v="151"/>
    <s v="OOX"/>
    <x v="3"/>
    <x v="0"/>
    <x v="0"/>
    <n v="143"/>
    <n v="277"/>
    <s v="186.46503300371688"/>
    <s v="361.19450448971736"/>
    <x v="3"/>
    <n v="4"/>
    <x v="7"/>
    <x v="0"/>
    <m/>
    <s v="U20 F 64"/>
    <n v="186.46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127"/>
    <x v="12"/>
    <s v="Lou-anne CHILLARON-PEREZ18/07/2005"/>
    <n v="2025"/>
    <s v="186.46503300371688"/>
    <s v="186.46503300371688"/>
  </r>
  <r>
    <x v="455"/>
    <x v="445"/>
    <s v="Lou-anne GODU08/03/2004"/>
    <n v="471289"/>
    <s v="FR"/>
    <s v="NDIE - Critérium National - Caen - Plateau Elite fémininsam 14 Déc 2024"/>
    <s v="CAEN CALVADOS HALTEROPHILIE MUSCULATION"/>
    <s v="Lou-anne GODU08/03/2004"/>
    <s v="62.1"/>
    <n v="62"/>
    <n v="65"/>
    <n v="-68"/>
    <n v="65"/>
    <n v="127"/>
    <s v="OOX"/>
    <n v="82"/>
    <n v="85"/>
    <n v="87"/>
    <n v="87"/>
    <n v="172"/>
    <s v="OOO"/>
    <x v="1"/>
    <x v="0"/>
    <x v="0"/>
    <n v="152"/>
    <n v="299"/>
    <s v="201.30559638663107"/>
    <s v="395.9892981552809"/>
    <x v="1"/>
    <n v="5"/>
    <x v="7"/>
    <x v="2"/>
    <m/>
    <s v="SEN F 64"/>
    <n v="201.3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53"/>
    <x v="9"/>
    <s v="Lou-anne GODU08/03/2004"/>
    <n v="2025"/>
    <s v="201.30559638663107"/>
    <s v="201.30559638663107"/>
  </r>
  <r>
    <x v="456"/>
    <x v="434"/>
    <s v="Lou-anne POIROT-LAIR23/11/2009"/>
    <n v="491508"/>
    <s v="FR"/>
    <s v="BFC - Critérium National - Besançon - BFC-Critérium U17-20 SEN Fsam 14 Déc 2024"/>
    <s v="CLUB HALTEROPHILE LUXOVIEN"/>
    <s v="Lou-anne POIROT-LAIR23/11/2009"/>
    <s v="87.7"/>
    <n v="46"/>
    <n v="50"/>
    <n v="-53"/>
    <n v="50"/>
    <n v="96"/>
    <s v="OOX"/>
    <n v="62"/>
    <n v="-66"/>
    <n v="-70"/>
    <n v="62"/>
    <n v="0"/>
    <s v="OXX"/>
    <x v="0"/>
    <x v="0"/>
    <x v="0"/>
    <n v="112"/>
    <n v="96"/>
    <s v="124.74118959677065"/>
    <s v="106.92101965437485"/>
    <x v="2"/>
    <n v="6"/>
    <x v="12"/>
    <x v="3"/>
    <m/>
    <s v="U17 F &gt;81"/>
    <n v="124.74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0"/>
    <x v="6"/>
    <s v="Lou-anne POIROT-LAIR23/11/2009"/>
    <n v="2025"/>
    <s v="127.74977057792064"/>
    <s v="127.74977057792064"/>
  </r>
  <r>
    <x v="457"/>
    <x v="446"/>
    <s v="Loubna COGNON15/02/2006"/>
    <n v="422253"/>
    <s v="FR"/>
    <s v="PDL - Critérium National - Laval - U15 au U20 Fdim 15 Déc 2024"/>
    <s v="CJF LAVAL VOUTRE HALTERO 53"/>
    <s v="Loubna COGNON15/02/2006"/>
    <s v="92.18"/>
    <n v="65"/>
    <n v="68"/>
    <n v="-70"/>
    <n v="68"/>
    <n v="133"/>
    <s v="OOX"/>
    <n v="80"/>
    <n v="85"/>
    <n v="-90"/>
    <n v="85"/>
    <n v="165"/>
    <s v="OOX"/>
    <x v="3"/>
    <x v="0"/>
    <x v="0"/>
    <n v="153"/>
    <n v="298"/>
    <s v="167.31983908048724"/>
    <s v="325.890928405132"/>
    <x v="1"/>
    <n v="5"/>
    <x v="23"/>
    <x v="0"/>
    <m/>
    <s v="U20 F &gt;87"/>
    <n v="167.31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43"/>
    <x v="10"/>
    <s v="Loubna COGNON15/02/2006"/>
    <n v="2025"/>
    <s v="187.77127610427831"/>
    <s v="167.31983908048724"/>
  </r>
  <r>
    <x v="458"/>
    <x v="447"/>
    <s v="Louis DUCHAUFFOUR25/07/2012"/>
    <n v="410123"/>
    <s v="FR"/>
    <s v="GE - Critérium National - Langres - LOR - CHAsam 14 Déc 2024"/>
    <s v="HALTEROPHILIE VALLEROY AUBOUE"/>
    <s v="Louis DUCHAUFFOUR25/07/2012"/>
    <s v="30.5"/>
    <n v="18"/>
    <n v="20"/>
    <n v="-22"/>
    <n v="20"/>
    <n v="38"/>
    <s v="OOX"/>
    <n v="26"/>
    <n v="28"/>
    <n v="30"/>
    <n v="30"/>
    <n v="58"/>
    <s v="OOO"/>
    <x v="1"/>
    <x v="0"/>
    <x v="0"/>
    <n v="50"/>
    <n v="96"/>
    <s v="146.0761841855744"/>
    <s v="280.46627363630284"/>
    <x v="0"/>
    <n v="999"/>
    <x v="14"/>
    <x v="4"/>
    <m/>
    <s v="U13 M 35"/>
    <n v="280.45999999999998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128"/>
    <x v="2"/>
    <s v="Louis DUCHAUFFOUR25/07/2012"/>
    <n v="2025"/>
    <s v="147.5238366894493"/>
    <s v="146.0761841855744"/>
  </r>
  <r>
    <x v="459"/>
    <x v="448"/>
    <s v="Louis MUGNIERY-SIRIEX03/03/2010"/>
    <n v="482046"/>
    <s v="FR"/>
    <s v="IDF - Critérium National - Franconville - Jeunes Hommesdim 15 Déc 2024"/>
    <s v="US MELUN"/>
    <s v="Louis MUGNIERY-SIRIEX03/03/2010"/>
    <s v="51.9"/>
    <n v="56"/>
    <n v="60"/>
    <n v="-63"/>
    <n v="60"/>
    <n v="116"/>
    <s v="OOX"/>
    <n v="75"/>
    <n v="-80"/>
    <n v="80"/>
    <n v="80"/>
    <n v="155"/>
    <s v="OXO"/>
    <x v="3"/>
    <x v="0"/>
    <x v="0"/>
    <n v="140"/>
    <n v="271"/>
    <s v="241.21508685165063"/>
    <s v="466.9234895485523"/>
    <x v="3"/>
    <n v="4"/>
    <x v="1"/>
    <x v="1"/>
    <m/>
    <s v="U15 M 55"/>
    <n v="241.21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129"/>
    <x v="3"/>
    <s v="Louis MUGNIERY-SIRIEX03/03/2010"/>
    <n v="2025"/>
    <s v="241.21508685165063"/>
    <s v="241.21508685165063"/>
  </r>
  <r>
    <x v="460"/>
    <x v="449"/>
    <s v="Louisa PRASZEZYNKI20/11/1998"/>
    <n v="481149"/>
    <s v="FR"/>
    <s v="IDF - Critérium National - Neuilly-sur-seinesam 14 Déc 2024"/>
    <s v="SA MONTMARTROISE"/>
    <s v="Louisa PRASZEZYNKI20/11/1998"/>
    <s v="64.6"/>
    <n v="56"/>
    <n v="-60"/>
    <n v="61"/>
    <n v="61"/>
    <n v="117"/>
    <s v="OXO"/>
    <n v="72"/>
    <n v="-77"/>
    <n v="-80"/>
    <n v="72"/>
    <n v="0"/>
    <s v="OXX"/>
    <x v="0"/>
    <x v="0"/>
    <x v="0"/>
    <n v="133"/>
    <n v="117"/>
    <s v="171.97762870280212"/>
    <s v="151.28859066336727"/>
    <x v="2"/>
    <n v="6"/>
    <x v="3"/>
    <x v="2"/>
    <m/>
    <s v="SEN F 71"/>
    <n v="171.97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17"/>
    <x v="3"/>
    <s v="Louisa PRASZEZYNKI20/11/1998"/>
    <n v="2025"/>
    <s v="173.7712867516873"/>
    <s v="173.7712867516873"/>
  </r>
  <r>
    <x v="461"/>
    <x v="450"/>
    <s v="Louise BUTTEZ DECRAMP28/08/2012"/>
    <n v="493677"/>
    <s v="FR"/>
    <s v="HDF - Critérium National - Comines - U13 Fillesdim 15 Déc 2024"/>
    <s v="CA ROSENDAEL"/>
    <s v="Louise BUTTEZ DECRAMP28/08/2012"/>
    <s v="44.5"/>
    <n v="-15"/>
    <n v="15"/>
    <n v="-16"/>
    <n v="15"/>
    <n v="0"/>
    <s v="XOX"/>
    <n v="20"/>
    <n v="-22"/>
    <n v="-22"/>
    <n v="20"/>
    <n v="0"/>
    <s v="OXX"/>
    <x v="5"/>
    <x v="0"/>
    <x v="0"/>
    <n v="35"/>
    <n v="0"/>
    <s v="59.19214081774132"/>
    <s v="0.0"/>
    <x v="0"/>
    <n v="999"/>
    <x v="6"/>
    <x v="4"/>
    <m/>
    <s v="U13 F 45"/>
    <n v="0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13"/>
    <x v="8"/>
    <s v="Louise BUTTEZ DECRAMP28/08/2012"/>
    <n v="2025"/>
    <s v="71.7038819806085"/>
    <s v="66.44574684163689"/>
  </r>
  <r>
    <x v="462"/>
    <x v="451"/>
    <s v="Louise GREMILLET08/05/1996"/>
    <n v="390273"/>
    <s v="FR"/>
    <s v="NAQ - Critérium National - Mont de marsan - ligue Nouvelle Aquitaine plateau 2 fillessam 14 Déc 2024"/>
    <s v="AFHMA FRANCONVILLE"/>
    <s v="Louise GREMILLET08/05/1996"/>
    <n v="63"/>
    <n v="70"/>
    <n v="75"/>
    <n v="0"/>
    <n v="75"/>
    <n v="145"/>
    <s v="OOX"/>
    <n v="90"/>
    <n v="0"/>
    <n v="0"/>
    <n v="90"/>
    <n v="0"/>
    <s v="OXX"/>
    <x v="0"/>
    <x v="0"/>
    <x v="0"/>
    <n v="165"/>
    <n v="145"/>
    <s v="216.597837866649"/>
    <s v="190.34355448887337"/>
    <x v="3"/>
    <n v="4"/>
    <x v="7"/>
    <x v="2"/>
    <m/>
    <s v="SEN F 64"/>
    <n v="216.59"/>
    <x v="1"/>
    <s v="NAQ - Critérium National - Mont de marsan - ligue Nouvelle Aquitaine plateau 2 fillessam 14 Déc 2024"/>
    <s v="Critérium National - Mont de marsan - ligue Nouvelle Aquitaine plateau 2 filles"/>
    <s v="NAQ"/>
    <d v="2024-12-14T00:00:00"/>
    <n v="2024"/>
    <n v="12"/>
    <s v="2024-12"/>
    <m/>
    <s v="2024-2025"/>
    <n v="2025"/>
    <x v="4"/>
    <x v="3"/>
    <s v="Louise GREMILLET08/05/1996"/>
    <n v="2025"/>
    <s v="238.25986108850915"/>
    <s v="238.25986108850915"/>
  </r>
  <r>
    <x v="463"/>
    <x v="452"/>
    <s v="Louise RIGAUD21/05/2010"/>
    <n v="477508"/>
    <s v="FR"/>
    <s v="NAQ - Critérium National - Mont de marsan - ligue Nouvelle Aquitainesam 14 Déc 2024"/>
    <s v="EA DE SAINT MEDARD"/>
    <s v="Louise RIGAUD21/05/2010"/>
    <s v="46.3"/>
    <n v="47"/>
    <n v="50"/>
    <n v="53"/>
    <n v="53"/>
    <n v="103"/>
    <s v="OOO"/>
    <n v="60"/>
    <n v="63"/>
    <n v="-65"/>
    <n v="63"/>
    <n v="123"/>
    <s v="OOX"/>
    <x v="1"/>
    <x v="0"/>
    <x v="0"/>
    <n v="116"/>
    <n v="226"/>
    <s v="189.79794367743133"/>
    <s v="369.7787523370645"/>
    <x v="4"/>
    <n v="3"/>
    <x v="10"/>
    <x v="1"/>
    <m/>
    <s v="U15 F 49"/>
    <n v="189.79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81"/>
    <x v="12"/>
    <s v="Louise RIGAUD21/05/2010"/>
    <n v="2025"/>
    <s v="189.79794367743133"/>
    <s v="189.79794367743133"/>
  </r>
  <r>
    <x v="464"/>
    <x v="453"/>
    <s v="Louison GENTIL24/01/2006"/>
    <n v="500986"/>
    <s v="FR"/>
    <s v="IDF - Critérium National - Franconville - Jeunes Hommesdim 15 Déc 2024"/>
    <s v="CACHAN HM"/>
    <s v="Louison GENTIL24/01/2006"/>
    <s v="71.3"/>
    <n v="88"/>
    <n v="91"/>
    <n v="95"/>
    <n v="95"/>
    <n v="186"/>
    <s v="OOO"/>
    <n v="110"/>
    <n v="115"/>
    <n v="-120"/>
    <n v="115"/>
    <n v="225"/>
    <s v="OOX"/>
    <x v="1"/>
    <x v="0"/>
    <x v="0"/>
    <n v="210"/>
    <n v="411"/>
    <s v="287.24540651089694"/>
    <s v="562.1802955998983"/>
    <x v="1"/>
    <n v="5"/>
    <x v="5"/>
    <x v="0"/>
    <m/>
    <s v="U20 M 73"/>
    <n v="287.24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17"/>
    <x v="3"/>
    <s v="Louison GENTIL24/01/2006"/>
    <n v="2025"/>
    <s v="287.24540651089694"/>
    <s v="287.24540651089694"/>
  </r>
  <r>
    <x v="465"/>
    <x v="454"/>
    <s v="Louna BEAUGER02/04/2008"/>
    <n v="494716"/>
    <s v="FR"/>
    <s v="HDF - Critérium National - Comines - U15 / U17 Femmessam 14 Déc 2024"/>
    <s v="ASPTT LILLE METROPOLE"/>
    <s v="Louna BEAUGER02/04/2008"/>
    <s v="52.97"/>
    <n v="40"/>
    <n v="-42"/>
    <n v="-42"/>
    <n v="40"/>
    <n v="0"/>
    <s v="OXX"/>
    <n v="52"/>
    <n v="55"/>
    <n v="-57"/>
    <n v="55"/>
    <n v="107"/>
    <s v="OOX"/>
    <x v="0"/>
    <x v="0"/>
    <x v="0"/>
    <n v="95"/>
    <n v="107"/>
    <s v="140.0524801161711"/>
    <s v="157.7433197097927"/>
    <x v="2"/>
    <n v="6"/>
    <x v="1"/>
    <x v="3"/>
    <m/>
    <s v="U17 F 55"/>
    <n v="140.05000000000001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16"/>
    <x v="8"/>
    <s v="Louna BEAUGER02/04/2008"/>
    <n v="2025"/>
    <s v="140.0524801161711"/>
    <s v="140.0524801161711"/>
  </r>
  <r>
    <x v="466"/>
    <x v="455"/>
    <s v="Luc BOUCKÉ18/05/2012"/>
    <n v="482649"/>
    <s v="FR"/>
    <s v="HDF - Critérium National - Comines - U13 garçonsdim 15 Déc 2024"/>
    <s v="OSM LOMME HALTEROPHILIE"/>
    <s v="Luc BOUCKÉ18/05/2012"/>
    <n v="50"/>
    <n v="37"/>
    <n v="39"/>
    <n v="41"/>
    <n v="41"/>
    <n v="80"/>
    <s v="OOO"/>
    <n v="48"/>
    <n v="50"/>
    <n v="52"/>
    <n v="52"/>
    <n v="102"/>
    <s v="OOO"/>
    <x v="2"/>
    <x v="0"/>
    <x v="0"/>
    <n v="93"/>
    <n v="182"/>
    <s v="165.32402239673317"/>
    <s v="323.53733415274667"/>
    <x v="0"/>
    <n v="999"/>
    <x v="1"/>
    <x v="4"/>
    <m/>
    <s v="U13 M 55"/>
    <n v="323.52999999999997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29"/>
    <x v="8"/>
    <s v="Luc BOUCKÉ18/05/2012"/>
    <n v="2025"/>
    <s v="165.32402239673317"/>
    <s v="165.32402239673317"/>
  </r>
  <r>
    <x v="467"/>
    <x v="456"/>
    <s v="Luca VATAN10/02/1999"/>
    <n v="467989"/>
    <s v="FR"/>
    <s v="PACA - Critérium National - Toulon - SUD PACA TOULON COTE AZURven 13 Déc 2024"/>
    <s v="AS MONACO SECTION HALTEROPHILIE"/>
    <s v="Luca VATAN10/02/1999"/>
    <s v="88.53"/>
    <n v="110"/>
    <n v="-114"/>
    <n v="-115"/>
    <n v="110"/>
    <n v="0"/>
    <s v="OXX"/>
    <n v="130"/>
    <n v="135"/>
    <n v="140"/>
    <n v="140"/>
    <n v="275"/>
    <s v="OOO"/>
    <x v="3"/>
    <x v="0"/>
    <x v="0"/>
    <n v="250"/>
    <n v="275"/>
    <s v="302.9774596937878"/>
    <s v="333.2752056631666"/>
    <x v="2"/>
    <n v="6"/>
    <x v="9"/>
    <x v="2"/>
    <m/>
    <s v="SEN M 89"/>
    <n v="302.97000000000003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11"/>
    <x v="0"/>
    <s v="Luca VATAN10/02/1999"/>
    <n v="2025"/>
    <s v="302.9774596937878"/>
    <s v="302.9774596937878"/>
  </r>
  <r>
    <x v="468"/>
    <x v="457"/>
    <s v="Lucas BOFFY20/03/2009"/>
    <n v="473000"/>
    <s v="FR"/>
    <s v="BFC - Critérium National - Besançon - BFC-Critérium 2 SEN Hdim 15 Déc 2024"/>
    <s v="CLUB HALTEROPHILE LUXOVIEN"/>
    <s v="Lucas BOFFY20/03/2009"/>
    <s v="112.1"/>
    <n v="102"/>
    <n v="107"/>
    <n v="-111"/>
    <n v="107"/>
    <n v="209"/>
    <s v="OOX"/>
    <n v="130"/>
    <n v="136"/>
    <n v="-141"/>
    <n v="136"/>
    <n v="266"/>
    <s v="OOX"/>
    <x v="3"/>
    <x v="0"/>
    <x v="0"/>
    <n v="243"/>
    <n v="475"/>
    <s v="266.8780157608825"/>
    <s v="521.6751336889678"/>
    <x v="3"/>
    <n v="4"/>
    <x v="24"/>
    <x v="3"/>
    <m/>
    <s v="U17 M &gt;102"/>
    <n v="266.87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Lucas BOFFY20/03/2009"/>
    <n v="2025"/>
    <s v="276.3839041694335"/>
    <s v="276.3839041694335"/>
  </r>
  <r>
    <x v="469"/>
    <x v="458"/>
    <s v="Lucas GRANGER05/04/2010"/>
    <n v="472933"/>
    <s v="FR"/>
    <s v="PDL - Critérium National - Laval - U15 au U20 Hdim 15 Déc 2024"/>
    <s v="CJF LAVAL VOUTRE HALTERO 53"/>
    <s v="Lucas GRANGER05/04/2010"/>
    <s v="54.21"/>
    <n v="-73"/>
    <n v="73"/>
    <n v="76"/>
    <n v="76"/>
    <n v="149"/>
    <s v="XOO"/>
    <n v="86"/>
    <n v="90"/>
    <n v="94"/>
    <n v="94"/>
    <n v="184"/>
    <s v="OOO"/>
    <x v="1"/>
    <x v="0"/>
    <x v="0"/>
    <n v="170"/>
    <n v="333"/>
    <s v="282.7178477474735"/>
    <s v="553.794372352404"/>
    <x v="7"/>
    <n v="2"/>
    <x v="1"/>
    <x v="1"/>
    <m/>
    <s v="U15 M 55"/>
    <n v="282.70999999999998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43"/>
    <x v="10"/>
    <s v="Lucas GRANGER05/04/2010"/>
    <n v="2025"/>
    <s v="282.7178477474735"/>
    <s v="282.7178477474735"/>
  </r>
  <r>
    <x v="470"/>
    <x v="459"/>
    <s v="Lucas JARDIN20/03/2008"/>
    <n v="431583"/>
    <s v="FR"/>
    <s v="NDIE - Critérium National - Caen - Plateau B Masculinsam 14 Déc 2024"/>
    <s v="ASHM GIBERVILLE"/>
    <s v="Lucas JARDIN20/03/2008"/>
    <n v="70"/>
    <n v="81"/>
    <n v="84"/>
    <n v="87"/>
    <n v="87"/>
    <n v="171"/>
    <s v="OOO"/>
    <n v="96"/>
    <n v="100"/>
    <n v="-103"/>
    <n v="100"/>
    <n v="196"/>
    <s v="OOX"/>
    <x v="1"/>
    <x v="0"/>
    <x v="0"/>
    <n v="187"/>
    <n v="367"/>
    <s v="258.7814799836772"/>
    <s v="507.8759526952381"/>
    <x v="1"/>
    <n v="5"/>
    <x v="5"/>
    <x v="3"/>
    <m/>
    <s v="U17 M 73"/>
    <n v="258.77999999999997"/>
    <x v="0"/>
    <s v="NDIE - Critérium National - Caen - Plateau B Masculinsam 14 Déc 2024"/>
    <s v="Critérium National - Caen - Plateau B Masculin"/>
    <s v="NDI"/>
    <d v="2024-12-14T00:00:00"/>
    <n v="2024"/>
    <n v="12"/>
    <s v="2024-12"/>
    <m/>
    <s v="2024-2025"/>
    <n v="2025"/>
    <x v="79"/>
    <x v="9"/>
    <s v="Lucas JARDIN20/03/2008"/>
    <n v="2025"/>
    <s v="258.7814799836772"/>
    <s v="258.7814799836772"/>
  </r>
  <r>
    <x v="471"/>
    <x v="460"/>
    <s v="Lucas LEBLANC10/05/2010"/>
    <n v="483218"/>
    <s v="FR"/>
    <s v="HDF - Critérium National - Comines - U15 / U17 / U20 Hommessam 14 Déc 2024"/>
    <s v="OSM LOMME HALTEROPHILIE"/>
    <s v="Lucas LEBLANC10/05/2010"/>
    <s v="86.9"/>
    <n v="83"/>
    <n v="-88"/>
    <n v="88"/>
    <n v="88"/>
    <n v="171"/>
    <s v="OXO"/>
    <n v="100"/>
    <n v="106"/>
    <n v="-112"/>
    <n v="106"/>
    <n v="206"/>
    <s v="OOX"/>
    <x v="3"/>
    <x v="0"/>
    <x v="0"/>
    <n v="194"/>
    <n v="377"/>
    <s v="237.29236491456933"/>
    <s v="461.1300081071785"/>
    <x v="1"/>
    <n v="5"/>
    <x v="9"/>
    <x v="1"/>
    <m/>
    <s v="U15 M 89"/>
    <n v="237.29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29"/>
    <x v="8"/>
    <s v="Lucas LEBLANC10/05/2010"/>
    <n v="2025"/>
    <s v="237.29236491456933"/>
    <s v="237.29236491456933"/>
  </r>
  <r>
    <x v="472"/>
    <x v="461"/>
    <s v="Lucas REY20/05/2008"/>
    <n v="456136"/>
    <s v="FR"/>
    <s v="PACA - Critérium National - Toulon - SUD PACA TOULON COTE AZURven 13 Déc 2024"/>
    <s v="ASL DUMONT D URVILLE"/>
    <s v="Lucas REY20/05/2008"/>
    <s v="64.1"/>
    <n v="80"/>
    <n v="85"/>
    <n v="-88"/>
    <n v="85"/>
    <n v="165"/>
    <s v="OOX"/>
    <n v="100"/>
    <n v="-105"/>
    <n v="105"/>
    <n v="105"/>
    <n v="205"/>
    <s v="OXO"/>
    <x v="3"/>
    <x v="0"/>
    <x v="0"/>
    <n v="190"/>
    <n v="370"/>
    <s v="278.8206482764066"/>
    <s v="542.966525590897"/>
    <x v="3"/>
    <n v="4"/>
    <x v="0"/>
    <x v="3"/>
    <m/>
    <s v="U17 M 67"/>
    <n v="278.82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Lucas REY20/05/2008"/>
    <n v="2025"/>
    <s v="278.8206482764066"/>
    <s v="278.8206482764066"/>
  </r>
  <r>
    <x v="473"/>
    <x v="462"/>
    <s v="Lucas WAUTHIER24/02/2013"/>
    <n v="476551"/>
    <s v="FR"/>
    <s v="HDF - Critérium National - La Ferté Milon - U13sam 14 Déc 2024"/>
    <s v="CHFM ROISEL"/>
    <s v="Lucas WAUTHIER24/02/2013"/>
    <n v="61"/>
    <n v="28"/>
    <n v="30"/>
    <n v="32"/>
    <n v="32"/>
    <n v="62"/>
    <s v="OOO"/>
    <n v="44"/>
    <n v="46"/>
    <n v="48"/>
    <n v="48"/>
    <n v="94"/>
    <s v="OOO"/>
    <x v="2"/>
    <x v="0"/>
    <x v="0"/>
    <n v="80"/>
    <n v="156"/>
    <s v="121.60061591410455"/>
    <s v="237.12120103250388"/>
    <x v="0"/>
    <n v="999"/>
    <x v="8"/>
    <x v="4"/>
    <m/>
    <s v="U13 M 61"/>
    <n v="237.12"/>
    <x v="0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60"/>
    <x v="8"/>
    <s v="Lucas WAUTHIER24/02/2013"/>
    <n v="2025"/>
    <s v="121.60061591410455"/>
    <s v="121.60061591410455"/>
  </r>
  <r>
    <x v="474"/>
    <x v="463"/>
    <s v="Luce ROQUET14/01/2014"/>
    <n v="491332"/>
    <s v="FR"/>
    <s v="PDL - Critérium National - Laval - U10 -U13sam 14 Déc 2024"/>
    <s v="CA EVRON 53 HALTEROPHILIE"/>
    <s v="Luce ROQUET14/01/2014"/>
    <s v="39.18"/>
    <n v="13"/>
    <n v="14"/>
    <n v="15"/>
    <n v="15"/>
    <n v="29"/>
    <s v="OOO"/>
    <n v="21"/>
    <n v="22"/>
    <n v="-24"/>
    <n v="22"/>
    <n v="43"/>
    <s v="OOX"/>
    <x v="1"/>
    <x v="0"/>
    <x v="0"/>
    <n v="37"/>
    <n v="72"/>
    <s v="70.09235033382642"/>
    <s v="136.3959249739325"/>
    <x v="0"/>
    <n v="999"/>
    <x v="11"/>
    <x v="4"/>
    <m/>
    <s v="U13 F 40"/>
    <n v="136.38999999999999"/>
    <x v="1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27"/>
    <x v="10"/>
    <s v="Luce ROQUET14/01/2014"/>
    <n v="2025"/>
    <s v="78.62551781224971"/>
    <s v="73.47151134878428"/>
  </r>
  <r>
    <x v="475"/>
    <x v="464"/>
    <s v="Lucie GANGLOFF25/06/2003"/>
    <n v="429831"/>
    <s v="FR"/>
    <s v="GE - Critérium National - Haguenau - ALS - SEN Femsam 14 Déc 2024"/>
    <s v="ASI AVENIR DURSTEL"/>
    <s v="Lucie GANGLOFF25/06/2003"/>
    <s v="62.38"/>
    <n v="60"/>
    <n v="62"/>
    <n v="64"/>
    <n v="64"/>
    <n v="126"/>
    <s v="OOO"/>
    <n v="80"/>
    <n v="83"/>
    <n v="-85"/>
    <n v="83"/>
    <n v="163"/>
    <s v="OOX"/>
    <x v="1"/>
    <x v="0"/>
    <x v="0"/>
    <n v="147"/>
    <n v="289"/>
    <s v="194.14300166626165"/>
    <s v="381.6824998744872"/>
    <x v="1"/>
    <n v="5"/>
    <x v="7"/>
    <x v="2"/>
    <m/>
    <s v="SEN F 64"/>
    <n v="194.14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9"/>
    <x v="2"/>
    <s v="Lucie GANGLOFF25/06/2003"/>
    <n v="2025"/>
    <s v="194.14300166626165"/>
    <s v="194.14300166626165"/>
  </r>
  <r>
    <x v="476"/>
    <x v="465"/>
    <s v="Lucille GHIOTTO26/01/2007"/>
    <n v="496161"/>
    <s v="FR"/>
    <s v="REU - Critérium National - La possession - U15-17-20dim 15 Déc 2024"/>
    <s v="CFSM WEIGHTLIFTING CLUB"/>
    <s v="Lucille GHIOTTO26/01/2007"/>
    <s v="54.85"/>
    <n v="47"/>
    <n v="50"/>
    <n v="52"/>
    <n v="52"/>
    <n v="102"/>
    <s v="OOO"/>
    <n v="-55"/>
    <n v="-56"/>
    <n v="56"/>
    <n v="56"/>
    <n v="0"/>
    <s v="XXO"/>
    <x v="3"/>
    <x v="1"/>
    <x v="0"/>
    <n v="108"/>
    <n v="102"/>
    <s v="155.2879619228051"/>
    <s v="146.66085292709369"/>
    <x v="1"/>
    <n v="5"/>
    <x v="1"/>
    <x v="0"/>
    <m/>
    <s v="U20 F 55"/>
    <n v="155.28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105"/>
    <x v="5"/>
    <s v="Lucille GHIOTTO26/01/2007"/>
    <n v="2025"/>
    <s v="155.2879619228051"/>
    <s v="155.2879619228051"/>
  </r>
  <r>
    <x v="477"/>
    <x v="466"/>
    <s v="Lucio SALVATICI18/04/2010"/>
    <n v="462154"/>
    <s v="FR"/>
    <s v="PACA - Critérium National - Toulon - SUD PACA TOULON COTE AZURven 13 Déc 2024"/>
    <s v="ASPTT DRAGUIGNAN"/>
    <s v="Lucio SALVATICI18/04/2010"/>
    <s v="66.13"/>
    <n v="63"/>
    <n v="66"/>
    <n v="-69"/>
    <n v="66"/>
    <n v="129"/>
    <s v="OOX"/>
    <n v="84"/>
    <n v="88"/>
    <n v="92"/>
    <n v="92"/>
    <n v="180"/>
    <s v="OOO"/>
    <x v="1"/>
    <x v="0"/>
    <x v="0"/>
    <n v="158"/>
    <n v="309"/>
    <s v="226.96793873211388"/>
    <s v="443.88033587483034"/>
    <x v="1"/>
    <n v="5"/>
    <x v="0"/>
    <x v="1"/>
    <m/>
    <s v="U15 M 67"/>
    <n v="226.96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30"/>
    <x v="0"/>
    <s v="Lucio SALVATICI18/04/2010"/>
    <n v="2025"/>
    <s v="226.96793873211388"/>
    <s v="226.96793873211388"/>
  </r>
  <r>
    <x v="478"/>
    <x v="467"/>
    <s v="Ludovic GAY27/11/1999"/>
    <n v="464683"/>
    <s v="FR"/>
    <s v="CVL - Critérium National - Orleans - Hommessam 14 Déc 2024"/>
    <s v="CERCLE MICHELET ORLEANS HMS"/>
    <s v="Ludovic GAY27/11/1999"/>
    <s v="80.2"/>
    <n v="105"/>
    <n v="110"/>
    <n v="115"/>
    <n v="115"/>
    <n v="225"/>
    <s v="OOO"/>
    <n v="140"/>
    <n v="150"/>
    <n v="155"/>
    <n v="155"/>
    <n v="305"/>
    <s v="OOO"/>
    <x v="2"/>
    <x v="0"/>
    <x v="0"/>
    <n v="270"/>
    <n v="530"/>
    <s v="344.5461179625184"/>
    <s v="676.3312685930916"/>
    <x v="1"/>
    <n v="5"/>
    <x v="4"/>
    <x v="2"/>
    <m/>
    <s v="SEN M 81"/>
    <n v="344.54"/>
    <x v="0"/>
    <s v="CVL - Critérium National - Orleans - Hommessam 14 Déc 2024"/>
    <s v="Critérium National - Orleans - Hommes"/>
    <s v="CVL"/>
    <d v="2024-12-14T00:00:00"/>
    <n v="2024"/>
    <n v="12"/>
    <s v="2024-12"/>
    <m/>
    <s v="2024-2025"/>
    <n v="2025"/>
    <x v="108"/>
    <x v="13"/>
    <s v="Ludovic GAY27/11/1999"/>
    <n v="2025"/>
    <s v="344.5461179625184"/>
    <s v="344.5461179625184"/>
  </r>
  <r>
    <x v="479"/>
    <x v="468"/>
    <s v="Ludwig COLOMBO18/10/1995"/>
    <n v="246713"/>
    <s v="FR"/>
    <s v="IDF - Critérium National - Franconville - Seniors Hommes 3ème plateausam 14 Déc 2024"/>
    <s v="AFHMA FRANCONVILLE"/>
    <s v="Ludwig COLOMBO18/10/1995"/>
    <s v="80.5"/>
    <n v="125"/>
    <n v="130"/>
    <n v="-133"/>
    <n v="130"/>
    <n v="255"/>
    <s v="OOX"/>
    <n v="146"/>
    <n v="154"/>
    <n v="160"/>
    <n v="160"/>
    <n v="314"/>
    <s v="OOO"/>
    <x v="1"/>
    <x v="0"/>
    <x v="0"/>
    <n v="290"/>
    <n v="569"/>
    <s v="369.305989117742"/>
    <s v="724.6038200275697"/>
    <x v="3"/>
    <n v="4"/>
    <x v="4"/>
    <x v="2"/>
    <m/>
    <s v="SEN M 81"/>
    <n v="369.3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"/>
    <x v="3"/>
    <s v="Ludwig COLOMBO18/10/1995"/>
    <n v="2025"/>
    <s v="373.49590601292095"/>
    <s v="369.305989117742"/>
  </r>
  <r>
    <x v="480"/>
    <x v="469"/>
    <s v="Lukas DELAMOTTE11/03/2007"/>
    <n v="475128"/>
    <s v="FR"/>
    <s v="NDIE - Critérium National - Caen - Plateauu Elite masculinsam 14 Déc 2024"/>
    <s v="CHM LE TRAIT"/>
    <s v="Lukas DELAMOTTE11/03/2007"/>
    <s v="55.75"/>
    <n v="-81"/>
    <n v="85"/>
    <n v="-88"/>
    <n v="85"/>
    <n v="0"/>
    <s v="XOX"/>
    <n v="103"/>
    <n v="108"/>
    <n v="-110"/>
    <n v="108"/>
    <n v="211"/>
    <s v="OOX"/>
    <x v="0"/>
    <x v="0"/>
    <x v="0"/>
    <n v="193"/>
    <n v="211"/>
    <s v="313.93989946095314"/>
    <s v="343.21926832259646"/>
    <x v="3"/>
    <n v="4"/>
    <x v="8"/>
    <x v="0"/>
    <m/>
    <s v="U20 M 61"/>
    <n v="313.93"/>
    <x v="0"/>
    <s v="NDIE - Critérium National - Caen - Plateauu Elite masculinsam 14 Déc 2024"/>
    <s v="Critérium National - Caen - Plateauu Elite masculin"/>
    <s v="NDI"/>
    <d v="2024-12-14T00:00:00"/>
    <n v="2024"/>
    <n v="12"/>
    <s v="2024-12"/>
    <m/>
    <s v="2024-2025"/>
    <n v="2025"/>
    <x v="15"/>
    <x v="9"/>
    <s v="Lukas DELAMOTTE11/03/2007"/>
    <n v="2025"/>
    <s v="313.93989946095314"/>
    <s v="313.93989946095314"/>
  </r>
  <r>
    <x v="481"/>
    <x v="470"/>
    <s v="Luna LITZLER02/10/2013"/>
    <n v="471558"/>
    <s v="FR"/>
    <s v="BFC - Critérium National - Besançon - BFC-Critérium U13 F-Besançondim 15 Déc 2024"/>
    <s v="CLUB HALTEROPHILE LUXOVIEN"/>
    <s v="Luna LITZLER02/10/2013"/>
    <s v="37.7"/>
    <n v="33"/>
    <n v="35"/>
    <n v="-37"/>
    <n v="35"/>
    <n v="68"/>
    <s v="OOX"/>
    <n v="43"/>
    <n v="45"/>
    <n v="47"/>
    <n v="47"/>
    <n v="92"/>
    <s v="OOO"/>
    <x v="1"/>
    <x v="0"/>
    <x v="0"/>
    <n v="82"/>
    <n v="160"/>
    <s v="161.11361258611427"/>
    <s v="314.3680245582717"/>
    <x v="0"/>
    <n v="999"/>
    <x v="11"/>
    <x v="4"/>
    <m/>
    <s v="U13 F 40"/>
    <n v="314.36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"/>
    <x v="6"/>
    <s v="Luna LITZLER02/10/2013"/>
    <n v="2025"/>
    <s v="161.11361258611427"/>
    <s v="161.11361258611427"/>
  </r>
  <r>
    <x v="482"/>
    <x v="471"/>
    <s v="Lya SIGUST DUQUESNOY21/03/2012"/>
    <n v="475984"/>
    <s v="FR"/>
    <s v="BFC - Critérium National - Besançon - BFC-Critérium U13 F-Besançondim 15 Déc 2024"/>
    <s v="CLUB HALTEROPHILE LUXOVIEN"/>
    <s v="Lya SIGUST DUQUESNOY21/03/2012"/>
    <s v="66.3"/>
    <n v="24"/>
    <n v="26"/>
    <n v="-27"/>
    <n v="26"/>
    <n v="50"/>
    <s v="OOX"/>
    <n v="33"/>
    <n v="35"/>
    <n v="37"/>
    <n v="37"/>
    <n v="72"/>
    <s v="OOO"/>
    <x v="1"/>
    <x v="0"/>
    <x v="0"/>
    <n v="63"/>
    <n v="122"/>
    <s v="80.23685811653765"/>
    <s v="155.3793125431364"/>
    <x v="0"/>
    <n v="999"/>
    <x v="3"/>
    <x v="4"/>
    <m/>
    <s v="U13 F 71"/>
    <n v="155.37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"/>
    <x v="6"/>
    <s v="Lya SIGUST DUQUESNOY21/03/2012"/>
    <n v="2025"/>
    <s v="80.23685811653765"/>
    <s v="80.23685811653765"/>
  </r>
  <r>
    <x v="483"/>
    <x v="472"/>
    <s v="Lyam DANGUY28/09/2013"/>
    <n v="477643"/>
    <s v="FR"/>
    <s v="HDF - Critérium National - Comines - U13 garçonsdim 15 Déc 2024"/>
    <s v="OGS HALTEROPHILIE MUSCULATION"/>
    <s v="Lyam DANGUY28/09/2013"/>
    <s v="33.48"/>
    <n v="18"/>
    <n v="20"/>
    <n v="-22"/>
    <n v="20"/>
    <n v="38"/>
    <s v="OOX"/>
    <n v="26"/>
    <n v="28"/>
    <n v="30"/>
    <n v="30"/>
    <n v="58"/>
    <s v="OOO"/>
    <x v="1"/>
    <x v="0"/>
    <x v="0"/>
    <n v="50"/>
    <n v="96"/>
    <s v="131.45952243751668"/>
    <s v="252.40228308003202"/>
    <x v="0"/>
    <n v="999"/>
    <x v="14"/>
    <x v="4"/>
    <m/>
    <s v="U13 M 35"/>
    <n v="252.4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3"/>
    <x v="8"/>
    <s v="Lyam DANGUY28/09/2013"/>
    <n v="2025"/>
    <s v="131.45952243751668"/>
    <s v="131.45952243751668"/>
  </r>
  <r>
    <x v="484"/>
    <x v="266"/>
    <s v="Lyam ST MART02/03/2014"/>
    <n v="492349"/>
    <s v="FR"/>
    <s v="REU - Critérium National - La possession - LA REUNION-CRITERIUM-LA POSSESSION-U13sam 14 Déc 2024"/>
    <s v="CHSM SAINT DENIS"/>
    <s v="Lyam ST MART02/03/2014"/>
    <s v="50.35"/>
    <n v="22"/>
    <n v="24"/>
    <n v="-25"/>
    <n v="24"/>
    <n v="46"/>
    <s v="OOX"/>
    <n v="26"/>
    <n v="28"/>
    <n v="-30"/>
    <n v="28"/>
    <n v="54"/>
    <s v="OOX"/>
    <x v="3"/>
    <x v="0"/>
    <x v="0"/>
    <n v="52"/>
    <n v="100"/>
    <s v="91.89422747639436"/>
    <s v="176.7196682238353"/>
    <x v="0"/>
    <n v="999"/>
    <x v="1"/>
    <x v="4"/>
    <m/>
    <s v="U13 M 55"/>
    <n v="176.71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35"/>
    <x v="5"/>
    <s v="Lyam ST MART02/03/2014"/>
    <n v="2025"/>
    <s v="91.89422747639436"/>
    <s v="91.89422747639436"/>
  </r>
  <r>
    <x v="485"/>
    <x v="473"/>
    <s v="Lyla NOURTIER04/07/2005"/>
    <n v="404099"/>
    <s v="FR"/>
    <s v="HDF - Critérium National - La ferte milon - U17 / U20 / Seniors Femmessam 14 Déc 2024"/>
    <s v="KOALA CLUB VILLERS BRETONNEUX"/>
    <s v="Lyla NOURTIER04/07/2005"/>
    <s v="74.08"/>
    <n v="-60"/>
    <n v="60"/>
    <n v="-64"/>
    <n v="60"/>
    <n v="0"/>
    <s v="XOX"/>
    <n v="77"/>
    <n v="-80"/>
    <n v="-80"/>
    <n v="77"/>
    <n v="0"/>
    <s v="OXX"/>
    <x v="5"/>
    <x v="0"/>
    <x v="0"/>
    <n v="137"/>
    <n v="0"/>
    <s v="164.3889732222699"/>
    <s v="0.0"/>
    <x v="1"/>
    <n v="5"/>
    <x v="15"/>
    <x v="0"/>
    <m/>
    <s v="U20 F 76"/>
    <n v="164.38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63"/>
    <x v="8"/>
    <s v="Lyla NOURTIER04/07/2005"/>
    <n v="2025"/>
    <s v="182.24063040924312"/>
    <s v="173.89430558870606"/>
  </r>
  <r>
    <x v="486"/>
    <x v="474"/>
    <s v="Lylou ROGUET23/09/2010"/>
    <n v="462190"/>
    <s v="FR"/>
    <s v="PDL - Critérium National - Laval - U15 au U20 Fdim 15 Déc 2024"/>
    <s v="CJF LAVAL VOUTRE HALTERO 53"/>
    <s v="Lylou ROGUET23/09/2010"/>
    <s v="70.99"/>
    <n v="-40"/>
    <n v="-40"/>
    <n v="40"/>
    <n v="40"/>
    <n v="0"/>
    <s v="XXO"/>
    <n v="48"/>
    <n v="51"/>
    <n v="-56"/>
    <n v="51"/>
    <n v="99"/>
    <s v="OOX"/>
    <x v="0"/>
    <x v="1"/>
    <x v="0"/>
    <n v="91"/>
    <n v="99"/>
    <s v="111.60908304769515"/>
    <s v="121.42087056837164"/>
    <x v="2"/>
    <n v="6"/>
    <x v="3"/>
    <x v="1"/>
    <m/>
    <s v="U15 F 71"/>
    <n v="111.6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43"/>
    <x v="10"/>
    <s v="Lylou ROGUET23/09/2010"/>
    <n v="2025"/>
    <s v="115.61644132602484"/>
    <s v="111.64233258763872"/>
  </r>
  <r>
    <x v="487"/>
    <x v="149"/>
    <s v="Lyna FERRAND COGNON23/04/2010"/>
    <n v="462189"/>
    <s v="FR"/>
    <s v="PDL - Critérium National - Laval - U15 au U20 Fdim 15 Déc 2024"/>
    <s v="CJF LAVAL VOUTRE HALTERO 53"/>
    <s v="Lyna FERRAND COGNON23/04/2010"/>
    <s v="46.87"/>
    <n v="33"/>
    <n v="35"/>
    <n v="37"/>
    <n v="37"/>
    <n v="72"/>
    <s v="OOO"/>
    <n v="38"/>
    <n v="40"/>
    <n v="43"/>
    <n v="43"/>
    <n v="83"/>
    <s v="OOO"/>
    <x v="2"/>
    <x v="0"/>
    <x v="0"/>
    <n v="80"/>
    <n v="155"/>
    <s v="129.59428210620115"/>
    <s v="251.08892158076475"/>
    <x v="1"/>
    <n v="5"/>
    <x v="10"/>
    <x v="1"/>
    <m/>
    <s v="U15 F 49"/>
    <n v="129.59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43"/>
    <x v="10"/>
    <s v="Lyna FERRAND COGNON23/04/2010"/>
    <n v="2025"/>
    <s v="129.59428210620115"/>
    <s v="129.59428210620115"/>
  </r>
  <r>
    <x v="488"/>
    <x v="475"/>
    <s v="Lynn CHUI13/04/1995"/>
    <n v="472115"/>
    <s v="US"/>
    <s v="IDF - Critérium National - Neuilly-sur-seinesam 14 Déc 2024"/>
    <s v="SPORTING CLUB DE NEUILLY"/>
    <s v="Lynn CHUI13/04/1995"/>
    <n v="49"/>
    <n v="-54"/>
    <n v="54"/>
    <n v="-59"/>
    <n v="54"/>
    <n v="0"/>
    <s v="XOX"/>
    <n v="-62"/>
    <n v="-66"/>
    <n v="-66"/>
    <n v="0"/>
    <n v="0"/>
    <s v="XXX"/>
    <x v="4"/>
    <x v="0"/>
    <x v="0"/>
    <n v="54"/>
    <n v="0"/>
    <s v="84.43227093969892"/>
    <s v="0.0"/>
    <x v="0"/>
    <n v="999"/>
    <x v="10"/>
    <x v="2"/>
    <m/>
    <s v="SEN F 49"/>
    <n v="0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8"/>
    <x v="3"/>
    <s v="Lynn CHUI13/04/1995"/>
    <n v="2025"/>
    <s v="195.44507161967346"/>
    <s v="194.27115634113528"/>
  </r>
  <r>
    <x v="489"/>
    <x v="324"/>
    <s v="Maé simon RICO04/06/2009"/>
    <n v="484908"/>
    <s v="FR"/>
    <s v="GUA - Critérium National - Creps antilles guyane - GUA-Critérium National d'Haltérophiliesam 14 Déc 2024"/>
    <s v="HALTEROPHILIE CLUB DE POINTE A PITRE 971"/>
    <s v="Maé simon RICO04/06/2009"/>
    <s v="66.5"/>
    <n v="70"/>
    <n v="75"/>
    <n v="-80"/>
    <n v="75"/>
    <n v="145"/>
    <s v="OOX"/>
    <n v="95"/>
    <n v="100"/>
    <n v="-105"/>
    <n v="100"/>
    <n v="195"/>
    <s v="OOX"/>
    <x v="3"/>
    <x v="0"/>
    <x v="0"/>
    <n v="175"/>
    <n v="340"/>
    <s v="250.44687787620302"/>
    <s v="486.5825055880516"/>
    <x v="1"/>
    <n v="5"/>
    <x v="0"/>
    <x v="3"/>
    <m/>
    <s v="U17 M 67"/>
    <n v="250.44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Maé simon RICO04/06/2009"/>
    <n v="2025"/>
    <s v="250.44687787620302"/>
    <s v="250.44687787620302"/>
  </r>
  <r>
    <x v="490"/>
    <x v="476"/>
    <s v="Mael DECRAENE23/07/2013"/>
    <n v="475435"/>
    <s v="FR"/>
    <s v="HDF - Critérium National - La Ferté Milon - U13sam 14 Déc 2024"/>
    <s v="CLUB MILONAIS HM"/>
    <s v="Mael DECRAENE23/07/2013"/>
    <s v="27.2"/>
    <n v="14"/>
    <n v="16"/>
    <n v="-18"/>
    <n v="16"/>
    <n v="30"/>
    <s v="OOX"/>
    <n v="18"/>
    <n v="20"/>
    <n v="22"/>
    <n v="22"/>
    <n v="42"/>
    <s v="OOO"/>
    <x v="1"/>
    <x v="0"/>
    <x v="0"/>
    <n v="38"/>
    <n v="72"/>
    <s v="127.31486801669685"/>
    <s v="241.22817097900455"/>
    <x v="0"/>
    <n v="999"/>
    <x v="14"/>
    <x v="4"/>
    <m/>
    <s v="U13 M 35"/>
    <n v="241.22"/>
    <x v="0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80"/>
    <x v="8"/>
    <s v="Mael DECRAENE23/07/2013"/>
    <n v="2025"/>
    <s v="137.77139475785563"/>
    <s v="137.77139475785563"/>
  </r>
  <r>
    <x v="491"/>
    <x v="477"/>
    <s v="Mael JULLIOT20/07/2010"/>
    <n v="504294"/>
    <s v="FR"/>
    <s v="BFC - Critérium National - Besançon - BFC - Critérium National - Besançon - BFC-Critérium 81 89 96sam 14 Déc 2024"/>
    <s v="CHM VAUZELLES"/>
    <s v="Mael JULLIOT20/07/2010"/>
    <s v="68.4"/>
    <n v="-25"/>
    <n v="25"/>
    <n v="28"/>
    <n v="28"/>
    <n v="53"/>
    <s v="XOO"/>
    <n v="30"/>
    <n v="33"/>
    <n v="35"/>
    <n v="35"/>
    <n v="68"/>
    <s v="OOO"/>
    <x v="1"/>
    <x v="0"/>
    <x v="0"/>
    <n v="63"/>
    <n v="121"/>
    <s v="88.49495871442836"/>
    <s v="169.9665080070767"/>
    <x v="0"/>
    <n v="999"/>
    <x v="5"/>
    <x v="1"/>
    <m/>
    <s v="U15 M 73"/>
    <n v="88.49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20"/>
    <x v="6"/>
    <s v="Mael JULLIOT20/07/2010"/>
    <n v="2025"/>
    <s v="88.49495871442836"/>
    <s v="88.49495871442836"/>
  </r>
  <r>
    <x v="492"/>
    <x v="478"/>
    <s v="Mael VILAIN CHANTREAU31/05/2014"/>
    <n v="501279"/>
    <s v="FR"/>
    <s v="HDF - Critérium National - Comines - U13 garçonsdim 15 Déc 2024"/>
    <s v="CA ROSENDAEL"/>
    <s v="Mael VILAIN CHANTREAU31/05/2014"/>
    <s v="29.6"/>
    <n v="11"/>
    <n v="12"/>
    <n v="13"/>
    <n v="13"/>
    <n v="25"/>
    <s v="OOO"/>
    <n v="17"/>
    <n v="19"/>
    <n v="21"/>
    <n v="21"/>
    <n v="40"/>
    <s v="OOO"/>
    <x v="2"/>
    <x v="0"/>
    <x v="0"/>
    <n v="34"/>
    <n v="65"/>
    <s v="102.87334483746905"/>
    <s v="196.6696298363379"/>
    <x v="0"/>
    <n v="999"/>
    <x v="14"/>
    <x v="4"/>
    <m/>
    <s v="U13 M 35"/>
    <n v="196.66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13"/>
    <x v="8"/>
    <s v="Mael VILAIN CHANTREAU31/05/2014"/>
    <n v="2025"/>
    <s v="102.87334483746905"/>
    <s v="102.87334483746905"/>
  </r>
  <r>
    <x v="493"/>
    <x v="479"/>
    <s v="Maeline ROBIN28/06/2005"/>
    <n v="493453"/>
    <s v="FR"/>
    <s v="IDF - Critérium National - Franconville - Jeunes Femmesdim 15 Déc 2024"/>
    <s v="HCVM CHELLES"/>
    <s v="Maeline ROBIN28/06/2005"/>
    <s v="85.5"/>
    <n v="50"/>
    <n v="-54"/>
    <n v="-54"/>
    <n v="50"/>
    <n v="0"/>
    <s v="OXX"/>
    <n v="-58"/>
    <n v="58"/>
    <n v="-60"/>
    <n v="58"/>
    <n v="0"/>
    <s v="XOX"/>
    <x v="5"/>
    <x v="0"/>
    <x v="0"/>
    <n v="108"/>
    <n v="0"/>
    <s v="121.49154613898942"/>
    <s v="0.0"/>
    <x v="5"/>
    <n v="7"/>
    <x v="20"/>
    <x v="0"/>
    <m/>
    <s v="U20 F 87"/>
    <n v="121.49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49"/>
    <x v="3"/>
    <s v="Maeline ROBIN28/06/2005"/>
    <n v="2025"/>
    <s v="121.49154613898942"/>
    <s v="121.49154613898942"/>
  </r>
  <r>
    <x v="494"/>
    <x v="480"/>
    <s v="Maelle IRENEE21/09/2006"/>
    <n v="504534"/>
    <s v="FR"/>
    <s v="GUA - Critérium National - Creps antilles guyane - GUA-Critérium National d'Haltérophiliesam 14 Déc 2024"/>
    <s v="HALTEROPHILIE CLUB DE POINTE A PITRE 971"/>
    <s v="Maelle IRENEE21/09/2006"/>
    <s v="73.2"/>
    <n v="48"/>
    <n v="50"/>
    <n v="-53"/>
    <n v="50"/>
    <n v="98"/>
    <s v="OOX"/>
    <n v="60"/>
    <n v="65"/>
    <n v="-70"/>
    <n v="65"/>
    <n v="125"/>
    <s v="OOX"/>
    <x v="3"/>
    <x v="0"/>
    <x v="0"/>
    <n v="115"/>
    <n v="223"/>
    <s v="138.8231199827242"/>
    <s v="269.1961370099782"/>
    <x v="2"/>
    <n v="6"/>
    <x v="15"/>
    <x v="0"/>
    <m/>
    <s v="U20 F 76"/>
    <n v="138.82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Maelle IRENEE21/09/2006"/>
    <n v="2025"/>
    <s v="138.8231199827242"/>
    <s v="138.8231199827242"/>
  </r>
  <r>
    <x v="495"/>
    <x v="481"/>
    <s v="Maelle MARTIAL12/01/2002"/>
    <n v="498033"/>
    <s v="FR"/>
    <s v="IDF - Critérium National - Neuilly-sur-seinesam 14 Déc 2024"/>
    <s v="CHM CHAVILLE"/>
    <s v="Maelle MARTIAL12/01/2002"/>
    <s v="67.1"/>
    <n v="-68"/>
    <n v="68"/>
    <n v="70"/>
    <n v="70"/>
    <n v="138"/>
    <s v="XOO"/>
    <n v="82"/>
    <n v="-85"/>
    <n v="-85"/>
    <n v="82"/>
    <n v="0"/>
    <s v="OXX"/>
    <x v="0"/>
    <x v="0"/>
    <x v="0"/>
    <n v="152"/>
    <n v="138"/>
    <s v="192.26624206577742"/>
    <s v="174.5575092439295"/>
    <x v="1"/>
    <n v="5"/>
    <x v="3"/>
    <x v="2"/>
    <m/>
    <s v="SEN F 71"/>
    <n v="192.26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00"/>
    <x v="3"/>
    <s v="Maelle MARTIAL12/01/2002"/>
    <n v="2025"/>
    <s v="192.26624206577742"/>
    <s v="192.26624206577742"/>
  </r>
  <r>
    <x v="496"/>
    <x v="482"/>
    <s v="Maelyn MICHEL25/02/2004"/>
    <n v="430671"/>
    <s v="FR"/>
    <s v="NDIE - Critérium National - Caen - Plateau Elite fémininsam 14 Déc 2024"/>
    <s v="CAEN CALVADOS HALTEROPHILIE MUSCULATION"/>
    <s v="Maelyn MICHEL25/02/2004"/>
    <s v="60.8"/>
    <n v="75"/>
    <n v="80"/>
    <n v="85"/>
    <n v="85"/>
    <n v="165"/>
    <s v="OOO"/>
    <n v="95"/>
    <n v="100"/>
    <n v="105"/>
    <n v="105"/>
    <n v="205"/>
    <s v="OOO"/>
    <x v="2"/>
    <x v="0"/>
    <x v="0"/>
    <n v="190"/>
    <n v="370"/>
    <s v="254.99204128464532"/>
    <s v="496.56344881746725"/>
    <x v="4"/>
    <n v="3"/>
    <x v="7"/>
    <x v="2"/>
    <m/>
    <s v="SEN F 64"/>
    <n v="254.99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53"/>
    <x v="9"/>
    <s v="Maelyn MICHEL25/02/2004"/>
    <n v="2025"/>
    <s v="270.1581792140513"/>
    <s v="270.1581792140513"/>
  </r>
  <r>
    <x v="497"/>
    <x v="483"/>
    <s v="Maelys GROSJEAN21/04/2008"/>
    <n v="441773"/>
    <s v="FR"/>
    <s v="BFC - Critérium National - Besançon - BFC-Critérium U17-20 SEN Fsam 14 Déc 2024"/>
    <s v="CLUB HALTEROPHILE LUXOVIEN"/>
    <s v="Maelys GROSJEAN21/04/2008"/>
    <s v="48.45"/>
    <n v="40"/>
    <n v="43"/>
    <n v="-45"/>
    <n v="43"/>
    <n v="83"/>
    <s v="OOX"/>
    <n v="51"/>
    <n v="54"/>
    <n v="-56"/>
    <n v="54"/>
    <n v="105"/>
    <s v="OOX"/>
    <x v="3"/>
    <x v="0"/>
    <x v="0"/>
    <n v="97"/>
    <n v="188"/>
    <s v="153.01624955899885"/>
    <s v="296.56757646486375"/>
    <x v="1"/>
    <n v="5"/>
    <x v="10"/>
    <x v="3"/>
    <m/>
    <s v="U17 F 49"/>
    <n v="153.01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0"/>
    <x v="6"/>
    <s v="Maelys GROSJEAN21/04/2008"/>
    <n v="2025"/>
    <s v="164.15639435509146"/>
    <s v="153.01624955899885"/>
  </r>
  <r>
    <x v="498"/>
    <x v="484"/>
    <s v="Maelys HECQUET13/05/2013"/>
    <n v="494173"/>
    <s v="FR"/>
    <s v="HDF - Critérium National - La Ferté Milon - U13sam 14 Déc 2024"/>
    <s v="CHFM ROISEL"/>
    <s v="Maelys HECQUET13/05/2013"/>
    <s v="41.32"/>
    <n v="17"/>
    <n v="19"/>
    <n v="-21"/>
    <n v="19"/>
    <n v="36"/>
    <s v="OOX"/>
    <n v="21"/>
    <n v="23"/>
    <n v="25"/>
    <n v="25"/>
    <n v="48"/>
    <s v="OOO"/>
    <x v="1"/>
    <x v="0"/>
    <x v="0"/>
    <n v="44"/>
    <n v="84"/>
    <s v="79.38820300080448"/>
    <s v="151.55929663789948"/>
    <x v="0"/>
    <n v="999"/>
    <x v="6"/>
    <x v="4"/>
    <m/>
    <s v="U13 F 45"/>
    <n v="151.55000000000001"/>
    <x v="1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60"/>
    <x v="8"/>
    <s v="Maelys HECQUET13/05/2013"/>
    <n v="2025"/>
    <s v="81.76699002874253"/>
    <s v="81.76699002874253"/>
  </r>
  <r>
    <x v="499"/>
    <x v="485"/>
    <s v="Maelys MROZKOWIAK20/02/2009"/>
    <n v="476518"/>
    <s v="FR"/>
    <s v="BFC - Critérium National - Besançon - BFC-Critérium U17-20 SEN Fsam 14 Déc 2024"/>
    <s v="HMDB21 DIJON"/>
    <s v="Maelys MROZKOWIAK20/02/2009"/>
    <s v="48.65"/>
    <n v="35"/>
    <n v="-38"/>
    <n v="38"/>
    <n v="38"/>
    <n v="73"/>
    <s v="OXO"/>
    <n v="49"/>
    <n v="52"/>
    <n v="55"/>
    <n v="55"/>
    <n v="107"/>
    <s v="OOO"/>
    <x v="1"/>
    <x v="0"/>
    <x v="0"/>
    <n v="93"/>
    <n v="180"/>
    <s v="146.23083037524867"/>
    <s v="283.02741362951355"/>
    <x v="1"/>
    <n v="5"/>
    <x v="10"/>
    <x v="3"/>
    <m/>
    <s v="U17 F 49"/>
    <n v="146.22999999999999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40"/>
    <x v="6"/>
    <s v="Maelys MROZKOWIAK20/02/2009"/>
    <n v="2025"/>
    <s v="146.23083037524867"/>
    <s v="146.23083037524867"/>
  </r>
  <r>
    <x v="500"/>
    <x v="486"/>
    <s v="Maelys PY22/01/2009"/>
    <n v="478755"/>
    <s v="FR"/>
    <s v="BFC - Critérium National - Besançon - BFC-Critérium U17-20 SEN Fsam 14 Déc 2024"/>
    <s v="CLUB HALTEROPHILE LUXOVIEN"/>
    <s v="Maelys PY22/01/2009"/>
    <s v="55.3"/>
    <n v="-44"/>
    <n v="44"/>
    <n v="47"/>
    <n v="47"/>
    <n v="91"/>
    <s v="XOO"/>
    <n v="52"/>
    <n v="55"/>
    <n v="58"/>
    <n v="58"/>
    <n v="113"/>
    <s v="OOO"/>
    <x v="1"/>
    <x v="0"/>
    <x v="0"/>
    <n v="105"/>
    <n v="204"/>
    <s v="150.11113440850644"/>
    <s v="291.64448970795536"/>
    <x v="1"/>
    <n v="5"/>
    <x v="2"/>
    <x v="3"/>
    <m/>
    <s v="U17 F 59"/>
    <n v="150.11000000000001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10"/>
    <x v="6"/>
    <s v="Maelys PY22/01/2009"/>
    <n v="2025"/>
    <s v="152.49453652058253"/>
    <s v="152.49453652058253"/>
  </r>
  <r>
    <x v="501"/>
    <x v="487"/>
    <s v="Maelys RICHARD15/06/2011"/>
    <n v="463290"/>
    <s v="FR"/>
    <s v="REU - Critérium National - La possession - U15-17-20dim 15 Déc 2024"/>
    <s v="SCHM SAINT PAUL"/>
    <s v="Maelys RICHARD15/06/2011"/>
    <s v="48.71"/>
    <n v="40"/>
    <n v="43"/>
    <n v="-45"/>
    <n v="43"/>
    <n v="83"/>
    <s v="OOX"/>
    <n v="55"/>
    <n v="58"/>
    <n v="60"/>
    <n v="60"/>
    <n v="118"/>
    <s v="OOO"/>
    <x v="1"/>
    <x v="0"/>
    <x v="0"/>
    <n v="103"/>
    <n v="201"/>
    <s v="161.7977154300412"/>
    <s v="315.7411728294979"/>
    <x v="3"/>
    <n v="4"/>
    <x v="10"/>
    <x v="1"/>
    <m/>
    <s v="U15 F 49"/>
    <n v="161.79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7"/>
    <x v="5"/>
    <s v="Maelys RICHARD15/06/2011"/>
    <n v="2025"/>
    <s v="169.2158131949689"/>
    <s v="163.00947262044977"/>
  </r>
  <r>
    <x v="502"/>
    <x v="488"/>
    <s v="Maeva MARTIN19/02/2005"/>
    <n v="497279"/>
    <s v="FR"/>
    <s v="AURA - Critérium National - Vaulx en velin - PLATEAU JEUNES FEMININESsam 14 Déc 2024"/>
    <s v="ATHLETIC CLUB SAINT MARCELLIN"/>
    <s v="Maeva MARTIN19/02/2005"/>
    <s v="61.9"/>
    <n v="61"/>
    <n v="64"/>
    <n v="-67"/>
    <n v="64"/>
    <n v="125"/>
    <s v="OOX"/>
    <n v="76"/>
    <n v="-80"/>
    <n v="-80"/>
    <n v="76"/>
    <n v="0"/>
    <s v="OXX"/>
    <x v="0"/>
    <x v="0"/>
    <x v="0"/>
    <n v="140"/>
    <n v="125"/>
    <s v="185.78476095495253"/>
    <s v="165.87925085263618"/>
    <x v="3"/>
    <n v="4"/>
    <x v="7"/>
    <x v="0"/>
    <m/>
    <s v="U20 F 64"/>
    <n v="185.78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51"/>
    <x v="4"/>
    <s v="Maeva MARTIN19/02/2005"/>
    <n v="2025"/>
    <s v="185.78476095495253"/>
    <s v="185.78476095495253"/>
  </r>
  <r>
    <x v="503"/>
    <x v="489"/>
    <s v="Maeva RENCK22/04/1997"/>
    <n v="496549"/>
    <s v="FR"/>
    <s v="NDIE - Critérium National - Caen - Plateau B fémininsam 14 Déc 2024"/>
    <s v="GORILLA LIFTING CLUB"/>
    <s v="Maeva RENCK22/04/1997"/>
    <s v="62.35"/>
    <n v="53"/>
    <n v="56"/>
    <n v="-58"/>
    <n v="56"/>
    <n v="109"/>
    <s v="OOX"/>
    <n v="-69"/>
    <n v="69"/>
    <n v="72"/>
    <n v="72"/>
    <n v="141"/>
    <s v="XOO"/>
    <x v="3"/>
    <x v="0"/>
    <x v="0"/>
    <n v="128"/>
    <n v="250"/>
    <s v="169.09985745876955"/>
    <s v="330.2731590991593"/>
    <x v="2"/>
    <n v="6"/>
    <x v="7"/>
    <x v="2"/>
    <m/>
    <s v="SEN F 64"/>
    <n v="169.09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124"/>
    <x v="9"/>
    <s v="Maeva RENCK22/04/1997"/>
    <n v="2025"/>
    <s v="169.09985745876955"/>
    <s v="169.09985745876955"/>
  </r>
  <r>
    <x v="504"/>
    <x v="367"/>
    <s v="Maïana ZAOUROU07/02/2009"/>
    <n v="443331"/>
    <s v="FR"/>
    <s v="GUA - Critérium National - Creps antilles guyane - GUA-Critérium National d'Haltérophiliesam 14 Déc 2024"/>
    <s v="HALTEROPHILIE CLUB DE POINTE A PITRE 971"/>
    <s v="Maïana ZAOUROU07/02/2009"/>
    <n v="55"/>
    <n v="35"/>
    <n v="40"/>
    <n v="-43"/>
    <n v="40"/>
    <n v="75"/>
    <s v="OOX"/>
    <n v="45"/>
    <n v="50"/>
    <n v="-53"/>
    <n v="50"/>
    <n v="95"/>
    <s v="OOX"/>
    <x v="3"/>
    <x v="0"/>
    <x v="0"/>
    <n v="90"/>
    <n v="170"/>
    <s v="129.15818505477563"/>
    <s v="243.9654606590206"/>
    <x v="2"/>
    <n v="6"/>
    <x v="1"/>
    <x v="3"/>
    <m/>
    <s v="U17 F 55"/>
    <n v="129.15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Maïana ZAOUROU07/02/2009"/>
    <n v="2025"/>
    <s v="139.2900009724543"/>
    <s v="129.15818505477563"/>
  </r>
  <r>
    <x v="505"/>
    <x v="490"/>
    <s v="Malone CATOLIQUOT31/01/2010"/>
    <n v="475755"/>
    <s v="FR"/>
    <s v="OCC - Critérium National - Hc montalbanais - Plateau 2sam 14 Déc 2024"/>
    <s v="HC FIGEAC"/>
    <s v="Malone CATOLIQUOT31/01/2010"/>
    <s v="60.8"/>
    <n v="58"/>
    <n v="62"/>
    <n v="65"/>
    <n v="65"/>
    <n v="127"/>
    <s v="OOO"/>
    <n v="77"/>
    <n v="81"/>
    <n v="-85"/>
    <n v="81"/>
    <n v="158"/>
    <s v="OOX"/>
    <x v="1"/>
    <x v="0"/>
    <x v="0"/>
    <n v="146"/>
    <n v="285"/>
    <s v="222.45094127383808"/>
    <s v="434.2364264592045"/>
    <x v="1"/>
    <n v="5"/>
    <x v="8"/>
    <x v="1"/>
    <m/>
    <s v="U15 M 61"/>
    <n v="222.45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1"/>
    <x v="1"/>
    <s v="Malone CATOLIQUOT31/01/2010"/>
    <n v="2025"/>
    <s v="222.45094127383808"/>
    <s v="222.45094127383808"/>
  </r>
  <r>
    <x v="506"/>
    <x v="491"/>
    <s v="Manoa LE PIOLET20/05/2007"/>
    <n v="448771"/>
    <s v="FR"/>
    <s v="GUA - Critérium National - Creps antilles guyane - GUA-Critérium National d'Haltérophiliesam 14 Déc 2024"/>
    <s v="HALTEROPHILIE CLUB DE POINTE A PITRE 971"/>
    <s v="Manoa LE PIOLET20/05/2007"/>
    <n v="89"/>
    <n v="115"/>
    <n v="-120"/>
    <n v="124"/>
    <n v="124"/>
    <n v="239"/>
    <s v="OXO"/>
    <n v="140"/>
    <n v="145"/>
    <n v="-150"/>
    <n v="145"/>
    <n v="285"/>
    <s v="OOX"/>
    <x v="3"/>
    <x v="0"/>
    <x v="0"/>
    <n v="269"/>
    <n v="524"/>
    <s v="325.15975352205237"/>
    <s v="633.3966945931429"/>
    <x v="3"/>
    <n v="4"/>
    <x v="9"/>
    <x v="0"/>
    <m/>
    <s v="U20 M 89"/>
    <n v="325.14999999999998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Manoa LE PIOLET20/05/2007"/>
    <n v="2025"/>
    <s v="325.15975352205237"/>
    <s v="325.15975352205237"/>
  </r>
  <r>
    <x v="507"/>
    <x v="492"/>
    <s v="Manoé DECLERCQ14/02/2012"/>
    <n v="493911"/>
    <s v="FR"/>
    <s v="HDF - Critérium National - Comines - U13 garçonsdim 15 Déc 2024"/>
    <s v="OGS HALTEROPHILIE MUSCULATION"/>
    <s v="Manoé DECLERCQ14/02/2012"/>
    <n v="91"/>
    <n v="50"/>
    <n v="52"/>
    <n v="54"/>
    <n v="54"/>
    <n v="106"/>
    <s v="OOO"/>
    <n v="62"/>
    <n v="64"/>
    <n v="66"/>
    <n v="66"/>
    <n v="130"/>
    <s v="OOO"/>
    <x v="2"/>
    <x v="0"/>
    <x v="0"/>
    <n v="120"/>
    <n v="236"/>
    <s v="143.5106099711376"/>
    <s v="282.2375329432373"/>
    <x v="0"/>
    <n v="999"/>
    <x v="22"/>
    <x v="4"/>
    <m/>
    <s v="U13 M &gt;73"/>
    <n v="282.23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3"/>
    <x v="8"/>
    <s v="Manoé DECLERCQ14/02/2012"/>
    <n v="2025"/>
    <s v="143.5106099711376"/>
    <s v="143.5106099711376"/>
  </r>
  <r>
    <x v="508"/>
    <x v="493"/>
    <s v="Manon BERNARD20/02/1998"/>
    <n v="461826"/>
    <s v="FR"/>
    <s v="PACA - Critérium National - Mondragon - Provence U15 - U17 - U20 - SEN F 45 à F55sam 14 Déc 2024"/>
    <s v="EEAR MONTEUX"/>
    <s v="Manon BERNARD20/02/1998"/>
    <n v="55"/>
    <n v="60"/>
    <n v="-65"/>
    <n v="-65"/>
    <n v="60"/>
    <n v="0"/>
    <s v="OXX"/>
    <n v="73"/>
    <n v="77"/>
    <n v="80"/>
    <n v="80"/>
    <n v="157"/>
    <s v="OOO"/>
    <x v="3"/>
    <x v="0"/>
    <x v="0"/>
    <n v="140"/>
    <n v="157"/>
    <s v="200.91273230742874"/>
    <s v="225.3092783733308"/>
    <x v="1"/>
    <n v="5"/>
    <x v="1"/>
    <x v="2"/>
    <m/>
    <s v="SEN F 55"/>
    <n v="200.91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11"/>
    <x v="0"/>
    <s v="Manon BERNARD20/02/1998"/>
    <n v="2025"/>
    <s v="215.2000905391011"/>
    <s v="200.91273230742874"/>
  </r>
  <r>
    <x v="509"/>
    <x v="494"/>
    <s v="Manon JAN14/03/2008"/>
    <n v="471285"/>
    <s v="FR"/>
    <s v="HDF - Critérium National - Comines - U15 / U17 Femmessam 14 Déc 2024"/>
    <s v="OGS HALTEROPHILIE MUSCULATION"/>
    <s v="Manon JAN14/03/2008"/>
    <s v="101.9"/>
    <n v="55"/>
    <n v="60"/>
    <n v="-65"/>
    <n v="60"/>
    <n v="115"/>
    <s v="OOX"/>
    <n v="75"/>
    <n v="-80"/>
    <n v="80"/>
    <n v="80"/>
    <n v="155"/>
    <s v="OXO"/>
    <x v="3"/>
    <x v="0"/>
    <x v="0"/>
    <n v="140"/>
    <n v="270"/>
    <s v="148.3368112936762"/>
    <s v="286.0781360663755"/>
    <x v="3"/>
    <n v="4"/>
    <x v="12"/>
    <x v="3"/>
    <m/>
    <s v="U17 F &gt;81"/>
    <n v="148.33000000000001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33"/>
    <x v="8"/>
    <s v="Manon JAN14/03/2008"/>
    <n v="2025"/>
    <s v="148.3368112936762"/>
    <s v="148.3368112936762"/>
  </r>
  <r>
    <x v="510"/>
    <x v="495"/>
    <s v="Manon LEROY26/06/2004"/>
    <n v="495345"/>
    <s v="FR"/>
    <s v="IDF - Critérium National - Franconville - Seniors Femmes 1er plateausam 14 Déc 2024"/>
    <s v="AFHMA FRANCONVILLE"/>
    <s v="Manon LEROY26/06/2004"/>
    <s v="48.4"/>
    <n v="47"/>
    <n v="50"/>
    <n v="-52"/>
    <n v="50"/>
    <n v="97"/>
    <s v="OOX"/>
    <n v="60"/>
    <n v="-65"/>
    <n v="-65"/>
    <n v="60"/>
    <n v="0"/>
    <s v="OXX"/>
    <x v="0"/>
    <x v="0"/>
    <x v="0"/>
    <n v="110"/>
    <n v="97"/>
    <s v="173.6651430244118"/>
    <s v="153.14108066698134"/>
    <x v="2"/>
    <n v="6"/>
    <x v="10"/>
    <x v="2"/>
    <m/>
    <s v="SEN F 49"/>
    <n v="173.66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4"/>
    <x v="3"/>
    <s v="Manon LEROY26/06/2004"/>
    <n v="2025"/>
    <s v="173.6651430244118"/>
    <s v="173.6651430244118"/>
  </r>
  <r>
    <x v="511"/>
    <x v="496"/>
    <s v="Manon PERRIER13/08/2004"/>
    <n v="477926"/>
    <s v="FR"/>
    <s v="NDIE - Critérium National - Caen - Plateau B fémininsam 14 Déc 2024"/>
    <s v="CAEN CALVADOS HALTEROPHILIE MUSCULATION"/>
    <s v="Manon PERRIER13/08/2004"/>
    <s v="74.2"/>
    <n v="60"/>
    <n v="-63"/>
    <n v="63"/>
    <n v="63"/>
    <n v="123"/>
    <s v="OXO"/>
    <n v="-75"/>
    <n v="-75"/>
    <n v="-75"/>
    <n v="0"/>
    <n v="0"/>
    <s v="XXX"/>
    <x v="5"/>
    <x v="0"/>
    <x v="0"/>
    <n v="63"/>
    <n v="123"/>
    <s v="75.53394549856787"/>
    <s v="147.4710364495849"/>
    <x v="0"/>
    <n v="999"/>
    <x v="15"/>
    <x v="2"/>
    <m/>
    <s v="SEN F 76"/>
    <n v="0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53"/>
    <x v="9"/>
    <s v="Manon PERRIER13/08/2004"/>
    <n v="2025"/>
    <s v="162.18629582194544"/>
    <s v="162.18629582194544"/>
  </r>
  <r>
    <x v="512"/>
    <x v="497"/>
    <s v="Manon RETAILLE02/07/1999"/>
    <n v="409156"/>
    <s v="FR"/>
    <s v="NDIE - Critérium National - Caen - Plateau Elite fémininsam 14 Déc 2024"/>
    <s v="CAEN CALVADOS HALTEROPHILIE MUSCULATION"/>
    <s v="Manon RETAILLE02/07/1999"/>
    <s v="54.7"/>
    <n v="70"/>
    <n v="-72"/>
    <n v="-72"/>
    <n v="70"/>
    <n v="0"/>
    <s v="OXX"/>
    <n v="90"/>
    <n v="-95"/>
    <n v="-95"/>
    <n v="90"/>
    <n v="0"/>
    <s v="OXX"/>
    <x v="5"/>
    <x v="0"/>
    <x v="0"/>
    <n v="160"/>
    <n v="0"/>
    <s v="230.50117126626657"/>
    <s v="0.0"/>
    <x v="3"/>
    <n v="4"/>
    <x v="1"/>
    <x v="2"/>
    <m/>
    <s v="SEN F 55"/>
    <n v="230.5"/>
    <x v="1"/>
    <s v="NDIE - Critérium National - Caen - Plateau Elite fémininsam 14 Déc 2024"/>
    <s v="Critérium National - Caen - Plateau Elite féminin"/>
    <s v="NDI"/>
    <d v="2024-12-14T00:00:00"/>
    <n v="2024"/>
    <n v="12"/>
    <s v="2024-12"/>
    <m/>
    <s v="2024-2025"/>
    <n v="2025"/>
    <x v="53"/>
    <x v="9"/>
    <s v="Manon RETAILLE02/07/1999"/>
    <n v="2025"/>
    <s v="243.9654606590206"/>
    <s v="233.54369638938897"/>
  </r>
  <r>
    <x v="513"/>
    <x v="498"/>
    <s v="Manon SALELLES05/11/2002"/>
    <n v="491030"/>
    <s v="FR"/>
    <s v="OCC - Critérium National - Hc montalbanais - Plateau 1sam 14 Déc 2024"/>
    <s v="HC MONTALBANAIS"/>
    <s v="Manon SALELLES05/11/2002"/>
    <s v="62.6"/>
    <n v="65"/>
    <n v="-68"/>
    <n v="-69"/>
    <n v="65"/>
    <n v="0"/>
    <s v="OXX"/>
    <n v="-82"/>
    <n v="-82"/>
    <n v="82"/>
    <n v="82"/>
    <n v="0"/>
    <s v="XXO"/>
    <x v="5"/>
    <x v="1"/>
    <x v="0"/>
    <n v="147"/>
    <n v="0"/>
    <s v="193.72278274140766"/>
    <s v="0.0"/>
    <x v="1"/>
    <n v="5"/>
    <x v="7"/>
    <x v="2"/>
    <m/>
    <s v="SEN F 64"/>
    <n v="193.72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39"/>
    <x v="1"/>
    <s v="Manon SALELLES05/11/2002"/>
    <n v="2025"/>
    <s v="198.93601084880822"/>
    <s v="196.5275098848496"/>
  </r>
  <r>
    <x v="514"/>
    <x v="258"/>
    <s v="Manon WIPLIER26/02/1993"/>
    <n v="460230"/>
    <s v="FR"/>
    <s v="BRE - Critérium National - Plouhinec - Femmessam 14 Déc 2024"/>
    <s v="BREST HALTEROPHILIE 29"/>
    <s v="Manon WIPLIER26/02/1993"/>
    <s v="63.15"/>
    <n v="-56"/>
    <n v="56"/>
    <n v="-59"/>
    <n v="56"/>
    <n v="0"/>
    <s v="XOX"/>
    <n v="-70"/>
    <n v="-70"/>
    <n v="-70"/>
    <n v="0"/>
    <n v="0"/>
    <s v="XXX"/>
    <x v="4"/>
    <x v="0"/>
    <x v="0"/>
    <n v="56"/>
    <n v="0"/>
    <s v="73.40558620391276"/>
    <s v="0.0"/>
    <x v="0"/>
    <n v="999"/>
    <x v="7"/>
    <x v="2"/>
    <m/>
    <s v="SEN F 64"/>
    <n v="0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78"/>
    <x v="7"/>
    <s v="Manon WIPLIER26/02/1993"/>
    <n v="2025"/>
    <s v="168.36435099752296"/>
    <s v="163.30350316875484"/>
  </r>
  <r>
    <x v="515"/>
    <x v="499"/>
    <s v="Marc AGUILERA29/07/1998"/>
    <n v="427196"/>
    <s v="FR"/>
    <s v="PACA - Critérium National - Toulon - SUD PACA TOULON COTE AZURven 13 Déc 2024"/>
    <s v="AC GARDEEN"/>
    <s v="Marc AGUILERA29/07/1998"/>
    <n v="79"/>
    <n v="102"/>
    <n v="-106"/>
    <n v="107"/>
    <n v="107"/>
    <n v="209"/>
    <s v="OXO"/>
    <n v="140"/>
    <n v="143"/>
    <n v="-150"/>
    <n v="143"/>
    <n v="283"/>
    <s v="OOX"/>
    <x v="3"/>
    <x v="0"/>
    <x v="0"/>
    <n v="250"/>
    <n v="492"/>
    <s v="321.7192458397272"/>
    <s v="633.1434758125831"/>
    <x v="1"/>
    <n v="5"/>
    <x v="4"/>
    <x v="2"/>
    <m/>
    <s v="SEN M 81"/>
    <n v="321.70999999999998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30"/>
    <x v="0"/>
    <s v="Marc AGUILERA29/07/1998"/>
    <n v="2025"/>
    <s v="332.47528429897267"/>
    <s v="321.7192458397272"/>
  </r>
  <r>
    <x v="516"/>
    <x v="500"/>
    <s v="Marc SINGER16/10/1997"/>
    <n v="490589"/>
    <s v="FR"/>
    <s v="GE - Critérium National - Langres - LOR - CHAsam 14 Déc 2024"/>
    <s v="REIMS HM"/>
    <s v="Marc SINGER16/10/1997"/>
    <s v="78.5"/>
    <n v="-108"/>
    <n v="-110"/>
    <n v="-110"/>
    <n v="0"/>
    <n v="0"/>
    <s v="XXX"/>
    <n v="135"/>
    <n v="-140"/>
    <n v="-143"/>
    <n v="135"/>
    <n v="0"/>
    <s v="OXX"/>
    <x v="4"/>
    <x v="0"/>
    <x v="0"/>
    <n v="135"/>
    <n v="0"/>
    <s v="174.35243529027363"/>
    <s v="0.0"/>
    <x v="0"/>
    <n v="999"/>
    <x v="4"/>
    <x v="2"/>
    <m/>
    <s v="SEN M 81"/>
    <n v="0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2"/>
    <x v="2"/>
    <s v="Marc SINGER16/10/1997"/>
    <n v="2025"/>
    <s v="324.6456974973249"/>
    <s v="316.27316055087886"/>
  </r>
  <r>
    <x v="517"/>
    <x v="501"/>
    <s v="Marcel JUREK25/02/2006"/>
    <n v="482429"/>
    <s v="PL"/>
    <s v="PACA - Critérium National - Mondragon - Provence U15 à SEN HOMsam 14 Déc 2024"/>
    <s v="HCC NOVAIS"/>
    <s v="Marcel JUREK25/02/2006"/>
    <n v="69"/>
    <n v="85"/>
    <n v="90"/>
    <n v="93"/>
    <n v="93"/>
    <n v="183"/>
    <s v="OOO"/>
    <n v="100"/>
    <n v="-107"/>
    <n v="-107"/>
    <n v="100"/>
    <n v="0"/>
    <s v="OXX"/>
    <x v="3"/>
    <x v="0"/>
    <x v="0"/>
    <n v="193"/>
    <n v="183"/>
    <s v="269.56788523232416"/>
    <s v="255.6006372928255"/>
    <x v="2"/>
    <n v="6"/>
    <x v="5"/>
    <x v="0"/>
    <m/>
    <s v="U20 M 73"/>
    <n v="269.56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31"/>
    <x v="0"/>
    <s v="Marcel JUREK25/02/2006"/>
    <n v="2025"/>
    <s v="275.7690580561418"/>
    <s v="269.56788523232416"/>
  </r>
  <r>
    <x v="518"/>
    <x v="502"/>
    <s v="Margaux D ABOVILLE27/04/1993"/>
    <n v="474627"/>
    <s v="FR"/>
    <s v="AURA - Critérium National - Vaulx en velin - PLATEAU 2  SENIOR FEMININESdim 15 Déc 2024"/>
    <s v="ELITE BARBELL VAULX EN VELIN"/>
    <s v="Margaux D ABOVILLE27/04/1993"/>
    <s v="61.5"/>
    <n v="53"/>
    <n v="56"/>
    <n v="58"/>
    <n v="58"/>
    <n v="114"/>
    <s v="OOO"/>
    <n v="70"/>
    <n v="73"/>
    <n v="-76"/>
    <n v="73"/>
    <n v="143"/>
    <s v="OOX"/>
    <x v="1"/>
    <x v="0"/>
    <x v="0"/>
    <n v="131"/>
    <n v="257"/>
    <s v="174.54633616414873"/>
    <s v="342.43059842890244"/>
    <x v="2"/>
    <n v="6"/>
    <x v="7"/>
    <x v="2"/>
    <m/>
    <s v="SEN F 64"/>
    <n v="174.54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76"/>
    <x v="4"/>
    <s v="Margaux D ABOVILLE27/04/1993"/>
    <n v="2025"/>
    <s v="174.54633616414873"/>
    <s v="174.54633616414873"/>
  </r>
  <r>
    <x v="519"/>
    <x v="503"/>
    <s v="Margaux LEFEBVRE17/12/1993"/>
    <n v="445845"/>
    <s v="FR"/>
    <s v="HDF - Critérium National - La ferte milon - U17 / U20 / Seniors Femmessam 14 Déc 2024"/>
    <s v="LIGNE ET FORME SENLIS"/>
    <s v="Margaux LEFEBVRE17/12/1993"/>
    <s v="63.44"/>
    <n v="-55"/>
    <n v="55"/>
    <n v="58"/>
    <n v="58"/>
    <n v="113"/>
    <s v="XOO"/>
    <n v="70"/>
    <n v="-73"/>
    <n v="-73"/>
    <n v="70"/>
    <n v="0"/>
    <s v="OXX"/>
    <x v="0"/>
    <x v="0"/>
    <x v="0"/>
    <n v="128"/>
    <n v="113"/>
    <s v="167.3184277794253"/>
    <s v="147.71079952402388"/>
    <x v="2"/>
    <n v="6"/>
    <x v="7"/>
    <x v="2"/>
    <m/>
    <s v="SEN F 64"/>
    <n v="167.31"/>
    <x v="1"/>
    <s v="HDF - Critérium National - La ferte milon - U17 / U20 / Seniors Femmessam 14 Déc 2024"/>
    <s v="Critérium National - La ferte milon - U17 / U20 / Seniors Femmes"/>
    <s v="HDF"/>
    <d v="2024-12-14T00:00:00"/>
    <n v="2024"/>
    <n v="12"/>
    <s v="2024-12"/>
    <m/>
    <s v="2024-2025"/>
    <n v="2025"/>
    <x v="26"/>
    <x v="8"/>
    <s v="Margaux LEFEBVRE17/12/1993"/>
    <n v="2025"/>
    <s v="178.1377883712309"/>
    <s v="167.3184277794253"/>
  </r>
  <r>
    <x v="520"/>
    <x v="504"/>
    <s v="Margaux ROCHER28/03/1992"/>
    <n v="492462"/>
    <s v="FR"/>
    <s v="BFC - Critérium National - Besançon - BFC-Critérium 2 SEN Fsam 14 Déc 2024"/>
    <s v="CLUB HALTEROPHILE LUXOVIEN"/>
    <s v="Margaux ROCHER28/03/1992"/>
    <s v="63.8"/>
    <n v="47"/>
    <n v="50"/>
    <n v="-52"/>
    <n v="50"/>
    <n v="97"/>
    <s v="OOX"/>
    <n v="68"/>
    <n v="72"/>
    <n v="-75"/>
    <n v="72"/>
    <n v="140"/>
    <s v="OOX"/>
    <x v="3"/>
    <x v="0"/>
    <x v="0"/>
    <n v="122"/>
    <n v="237"/>
    <s v="158.931946057683"/>
    <s v="308.7448460300891"/>
    <x v="2"/>
    <n v="6"/>
    <x v="7"/>
    <x v="2"/>
    <m/>
    <s v="SEN F 64"/>
    <n v="158.93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10"/>
    <x v="6"/>
    <s v="Margaux ROCHER28/03/1992"/>
    <n v="2025"/>
    <s v="158.931946057683"/>
    <s v="158.931946057683"/>
  </r>
  <r>
    <x v="521"/>
    <x v="505"/>
    <s v="Margot CERDAN05/09/1997"/>
    <n v="298196"/>
    <s v="FR"/>
    <s v="GE - Critérium National - Haguenau - ALS - SEN Femsam 14 Déc 2024"/>
    <s v="US WITTENHEIM"/>
    <s v="Margot CERDAN05/09/1997"/>
    <s v="89.94"/>
    <n v="70"/>
    <n v="-74"/>
    <n v="-75"/>
    <n v="70"/>
    <n v="0"/>
    <s v="OXX"/>
    <n v="95"/>
    <n v="100"/>
    <n v="-103"/>
    <n v="100"/>
    <n v="195"/>
    <s v="OOX"/>
    <x v="0"/>
    <x v="0"/>
    <x v="0"/>
    <n v="170"/>
    <n v="195"/>
    <s v="187.5561633240612"/>
    <s v="215.13795204818786"/>
    <x v="1"/>
    <n v="5"/>
    <x v="23"/>
    <x v="2"/>
    <m/>
    <s v="SEN F &gt;87"/>
    <n v="187.55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132"/>
    <x v="2"/>
    <s v="Margot CERDAN05/09/1997"/>
    <n v="2025"/>
    <s v="202.9045094661156"/>
    <s v="188.4604521223234"/>
  </r>
  <r>
    <x v="522"/>
    <x v="506"/>
    <s v="Margot KOCHETOVA02/10/2008"/>
    <n v="436428"/>
    <s v="FR"/>
    <s v="NAQ - Critérium National - Mont de marsan - ligue Nouvelle Aquitaine plateau 2 fillessam 14 Déc 2024"/>
    <s v="STADE MONTOIS HALTEROPHILIE"/>
    <s v="Margot KOCHETOVA02/10/2008"/>
    <s v="52.6"/>
    <n v="73"/>
    <n v="76"/>
    <n v="79"/>
    <n v="79"/>
    <n v="155"/>
    <s v="OOO"/>
    <n v="89"/>
    <n v="92"/>
    <n v="95"/>
    <n v="95"/>
    <n v="187"/>
    <s v="OOO"/>
    <x v="2"/>
    <x v="0"/>
    <x v="0"/>
    <n v="174"/>
    <n v="342"/>
    <s v="257.8346826511388"/>
    <s v="506.77851417637623"/>
    <x v="7"/>
    <n v="2"/>
    <x v="1"/>
    <x v="3"/>
    <m/>
    <s v="U17 F 55"/>
    <n v="257.83"/>
    <x v="1"/>
    <s v="NAQ - Critérium National - Mont de marsan - ligue Nouvelle Aquitaine plateau 2 fillessam 14 Déc 2024"/>
    <s v="Critérium National - Mont de marsan - ligue Nouvelle Aquitaine plateau 2 filles"/>
    <s v="NAQ"/>
    <d v="2024-12-14T00:00:00"/>
    <n v="2024"/>
    <n v="12"/>
    <s v="2024-12"/>
    <m/>
    <s v="2024-2025"/>
    <n v="2025"/>
    <x v="91"/>
    <x v="12"/>
    <s v="Margot KOCHETOVA02/10/2008"/>
    <n v="2025"/>
    <s v="257.8346826511388"/>
    <s v="257.8346826511388"/>
  </r>
  <r>
    <x v="523"/>
    <x v="87"/>
    <s v="Maria ZAVLYANOVA18/02/1997"/>
    <n v="475599"/>
    <s v="RU"/>
    <s v="IDF - Critérium National - Franconville - Seniors Femmes 1er plateausam 14 Déc 2024"/>
    <s v="VGA ST MAUR HALTEROPHILIE"/>
    <s v="Maria ZAVLYANOVA18/02/1997"/>
    <n v="59"/>
    <n v="58"/>
    <n v="-60"/>
    <n v="-60"/>
    <n v="58"/>
    <n v="0"/>
    <s v="OXX"/>
    <n v="-80"/>
    <n v="-82"/>
    <n v="-82"/>
    <n v="0"/>
    <n v="0"/>
    <s v="XXX"/>
    <x v="4"/>
    <x v="0"/>
    <x v="0"/>
    <n v="58"/>
    <n v="0"/>
    <s v="79.36200118475624"/>
    <s v="0.0"/>
    <x v="0"/>
    <n v="999"/>
    <x v="2"/>
    <x v="2"/>
    <m/>
    <s v="SEN F 59"/>
    <n v="0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3"/>
    <x v="3"/>
    <s v="Maria ZAVLYANOVA18/02/1997"/>
    <n v="2025"/>
    <s v="187.68641403734085"/>
    <s v="180.05960884547042"/>
  </r>
  <r>
    <x v="524"/>
    <x v="507"/>
    <s v="Marianna GERACI03/08/2010"/>
    <n v="483124"/>
    <s v="FR"/>
    <s v="AURA - Critérium National - Vaulx en velin - PLATEAU JEUNES FEMININESsam 14 Déc 2024"/>
    <s v="ELITE BARBELL VAULX EN VELIN"/>
    <s v="Marianna GERACI03/08/2010"/>
    <s v="67.8"/>
    <n v="60"/>
    <n v="-63"/>
    <n v="63"/>
    <n v="63"/>
    <n v="123"/>
    <s v="OXO"/>
    <n v="70"/>
    <n v="73"/>
    <n v="75"/>
    <n v="75"/>
    <n v="148"/>
    <s v="OOO"/>
    <x v="1"/>
    <x v="0"/>
    <x v="0"/>
    <n v="138"/>
    <n v="271"/>
    <s v="173.54006980811656"/>
    <s v="340.79245592753324"/>
    <x v="4"/>
    <n v="3"/>
    <x v="3"/>
    <x v="1"/>
    <m/>
    <s v="U15 F 71"/>
    <n v="173.54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76"/>
    <x v="4"/>
    <s v="Marianna GERACI03/08/2010"/>
    <n v="2025"/>
    <s v="173.54006980811656"/>
    <s v="173.54006980811656"/>
  </r>
  <r>
    <x v="525"/>
    <x v="508"/>
    <s v="Marie amélie LÉPINAY23/07/1993"/>
    <n v="475305"/>
    <s v="FR"/>
    <s v="REU - Critérium National - La possession - SENIOREdim 15 Déc 2024"/>
    <s v="LO SAN JOSEPH BARBELL CLUB"/>
    <s v="Marie amélie LÉPINAY23/07/1993"/>
    <s v="57.04"/>
    <n v="54"/>
    <n v="57"/>
    <n v="-60"/>
    <n v="57"/>
    <n v="111"/>
    <s v="OOX"/>
    <n v="63"/>
    <n v="-67"/>
    <n v="-67"/>
    <n v="63"/>
    <n v="0"/>
    <s v="OXX"/>
    <x v="0"/>
    <x v="0"/>
    <x v="0"/>
    <n v="120"/>
    <n v="111"/>
    <s v="167.93540401017347"/>
    <s v="155.34024870941045"/>
    <x v="2"/>
    <n v="6"/>
    <x v="2"/>
    <x v="2"/>
    <m/>
    <s v="SEN F 59"/>
    <n v="167.93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84"/>
    <x v="5"/>
    <s v="Marie amélie LÉPINAY23/07/1993"/>
    <n v="2025"/>
    <s v="167.93540401017347"/>
    <s v="167.93540401017347"/>
  </r>
  <r>
    <x v="526"/>
    <x v="509"/>
    <s v="Marie BACQUAERT16/11/1989"/>
    <n v="496450"/>
    <s v="FR"/>
    <s v="HDF - Critérium National - Comines - U20 - Seniors Femmessam 14 Déc 2024"/>
    <s v="OSM LOMME HALTEROPHILIE"/>
    <s v="Marie BACQUAERT16/11/1989"/>
    <s v="60.95"/>
    <n v="55"/>
    <n v="59"/>
    <n v="62"/>
    <n v="62"/>
    <n v="121"/>
    <s v="OOO"/>
    <n v="72"/>
    <n v="-77"/>
    <n v="-78"/>
    <n v="72"/>
    <n v="0"/>
    <s v="OXX"/>
    <x v="3"/>
    <x v="0"/>
    <x v="0"/>
    <n v="134"/>
    <n v="121"/>
    <s v="179.55604415949387"/>
    <s v="162.13642793506537"/>
    <x v="2"/>
    <n v="6"/>
    <x v="7"/>
    <x v="2"/>
    <n v="35"/>
    <s v="SEN F 64"/>
    <n v="179.55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29"/>
    <x v="8"/>
    <s v="Marie BACQUAERT16/11/1989"/>
    <n v="2025"/>
    <s v="181.95324549017073"/>
    <s v="181.95324549017073"/>
  </r>
  <r>
    <x v="527"/>
    <x v="510"/>
    <s v="Marie CAVALLINI22/07/2008"/>
    <n v="499965"/>
    <s v="FR"/>
    <s v="PACA - Critérium National - Mondragon - Provence U15 - U17 - U20 - SEN F 45 à F55sam 14 Déc 2024"/>
    <s v="AVIGNON SORGUES HALTEROPHILIE"/>
    <s v="Marie CAVALLINI22/07/2008"/>
    <s v="70.3"/>
    <n v="-50"/>
    <n v="50"/>
    <n v="-55"/>
    <n v="50"/>
    <n v="0"/>
    <s v="XOX"/>
    <n v="63"/>
    <n v="67"/>
    <n v="70"/>
    <n v="70"/>
    <n v="137"/>
    <s v="OOO"/>
    <x v="3"/>
    <x v="0"/>
    <x v="0"/>
    <n v="120"/>
    <n v="137"/>
    <s v="147.943030461582"/>
    <s v="168.90162644363943"/>
    <x v="1"/>
    <n v="5"/>
    <x v="3"/>
    <x v="3"/>
    <m/>
    <s v="U17 F 71"/>
    <n v="147.94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133"/>
    <x v="0"/>
    <s v="Marie CAVALLINI22/07/2008"/>
    <n v="2025"/>
    <s v="147.943030461582"/>
    <s v="147.943030461582"/>
  </r>
  <r>
    <x v="528"/>
    <x v="511"/>
    <s v="Marie COUSIN01/04/2007"/>
    <n v="466024"/>
    <s v="FR"/>
    <s v="BFC - Critérium National - Besançon - BFC-Critérium U17-20 SEN Fsam 14 Déc 2024"/>
    <s v="HC AVALLON MFAC"/>
    <s v="Marie COUSIN01/04/2007"/>
    <s v="58.55"/>
    <n v="50"/>
    <n v="-53"/>
    <n v="-53"/>
    <n v="50"/>
    <n v="0"/>
    <s v="OXX"/>
    <n v="-60"/>
    <n v="60"/>
    <n v="-63"/>
    <n v="60"/>
    <n v="0"/>
    <s v="XOX"/>
    <x v="5"/>
    <x v="0"/>
    <x v="0"/>
    <n v="110"/>
    <n v="0"/>
    <s v="151.27360481005542"/>
    <s v="0.0"/>
    <x v="2"/>
    <n v="6"/>
    <x v="2"/>
    <x v="0"/>
    <m/>
    <s v="U20 F 59"/>
    <n v="151.27000000000001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90"/>
    <x v="6"/>
    <s v="Marie COUSIN01/04/2007"/>
    <n v="2025"/>
    <s v="164.05843941955857"/>
    <s v="156.25219183742132"/>
  </r>
  <r>
    <x v="529"/>
    <x v="512"/>
    <s v="Marie KAMIENNY07/12/1998"/>
    <n v="476113"/>
    <s v="FR"/>
    <s v="IDF - Critérium National - Franconville - Seniors Femmes 2ème plateausam 14 Déc 2024"/>
    <s v="AFHMA FRANCONVILLE"/>
    <s v="Marie KAMIENNY07/12/1998"/>
    <s v="70.4"/>
    <n v="62"/>
    <n v="-66"/>
    <n v="66"/>
    <n v="66"/>
    <n v="128"/>
    <s v="OXO"/>
    <n v="82"/>
    <n v="86"/>
    <n v="-90"/>
    <n v="86"/>
    <n v="168"/>
    <s v="OOX"/>
    <x v="3"/>
    <x v="0"/>
    <x v="0"/>
    <n v="152"/>
    <n v="296"/>
    <s v="187.25218541005592"/>
    <s v="364.6489926406352"/>
    <x v="1"/>
    <n v="5"/>
    <x v="3"/>
    <x v="2"/>
    <m/>
    <s v="SEN F 71"/>
    <n v="187.25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"/>
    <x v="3"/>
    <s v="Marie KAMIENNY07/12/1998"/>
    <n v="2025"/>
    <s v="187.25218541005592"/>
    <s v="187.25218541005592"/>
  </r>
  <r>
    <x v="530"/>
    <x v="513"/>
    <s v="Marie MANTAROPOULOS11/04/2002"/>
    <n v="426636"/>
    <s v="FR"/>
    <s v="AURA - Critérium National - Vaulx en velin - PLATEAU 2  SENIOR FEMININESdim 15 Déc 2024"/>
    <s v="ATHLETIC CLUB SAINT MARCELLIN"/>
    <s v="Marie MANTAROPOULOS11/04/2002"/>
    <s v="63.9"/>
    <n v="82"/>
    <n v="85"/>
    <n v="88"/>
    <n v="88"/>
    <n v="173"/>
    <s v="OOO"/>
    <n v="104"/>
    <n v="108"/>
    <n v="-112"/>
    <n v="108"/>
    <n v="212"/>
    <s v="OOX"/>
    <x v="1"/>
    <x v="0"/>
    <x v="0"/>
    <n v="196"/>
    <n v="385"/>
    <s v="255.09316273301798"/>
    <s v="501.07585536842817"/>
    <x v="4"/>
    <n v="3"/>
    <x v="7"/>
    <x v="2"/>
    <m/>
    <s v="SEN F 64"/>
    <n v="255.09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51"/>
    <x v="4"/>
    <s v="Marie MANTAROPOULOS11/04/2002"/>
    <n v="2025"/>
    <s v="265.3312618273701"/>
    <s v="255.09316273301798"/>
  </r>
  <r>
    <x v="531"/>
    <x v="514"/>
    <s v="Marie RIQUIER09/09/2012"/>
    <n v="452442"/>
    <s v="FR"/>
    <s v="HDF - Critérium National - Comines - U13 Fillesdim 15 Déc 2024"/>
    <s v="OSM LOMME HALTEROPHILIE"/>
    <s v="Marie RIQUIER09/09/2012"/>
    <n v="40"/>
    <n v="16"/>
    <n v="18"/>
    <n v="-19"/>
    <n v="18"/>
    <n v="34"/>
    <s v="OOX"/>
    <n v="23"/>
    <n v="25"/>
    <n v="27"/>
    <n v="27"/>
    <n v="52"/>
    <s v="OOO"/>
    <x v="1"/>
    <x v="0"/>
    <x v="0"/>
    <n v="45"/>
    <n v="86"/>
    <s v="83.62533071121395"/>
    <s v="159.8172986925422"/>
    <x v="0"/>
    <n v="999"/>
    <x v="11"/>
    <x v="4"/>
    <m/>
    <s v="U13 F 40"/>
    <n v="159.81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29"/>
    <x v="8"/>
    <s v="Marie RIQUIER09/09/2012"/>
    <n v="2025"/>
    <s v="84.7020639429586"/>
    <s v="83.62533071121395"/>
  </r>
  <r>
    <x v="532"/>
    <x v="515"/>
    <s v="Marielle HERTRICH22/11/1997"/>
    <n v="443178"/>
    <s v="FR"/>
    <s v="GE - Critérium National - Haguenau - ALS - SEN Femsam 14 Déc 2024"/>
    <s v="L'ABSOLU HALTERO CLUB"/>
    <s v="Marielle HERTRICH22/11/1997"/>
    <s v="53.78"/>
    <n v="72"/>
    <n v="75"/>
    <n v="-78"/>
    <n v="75"/>
    <n v="147"/>
    <s v="OOX"/>
    <n v="84"/>
    <n v="87"/>
    <n v="-90"/>
    <n v="87"/>
    <n v="171"/>
    <s v="OOX"/>
    <x v="3"/>
    <x v="0"/>
    <x v="0"/>
    <n v="162"/>
    <n v="318"/>
    <s v="236.2192325994083"/>
    <s v="463.6896047321718"/>
    <x v="3"/>
    <n v="4"/>
    <x v="1"/>
    <x v="2"/>
    <m/>
    <s v="SEN F 55"/>
    <n v="236.21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119"/>
    <x v="2"/>
    <s v="Marielle HERTRICH22/11/1997"/>
    <n v="2025"/>
    <s v="242.15846333163518"/>
    <s v="242.15846333163518"/>
  </r>
  <r>
    <x v="533"/>
    <x v="516"/>
    <s v="Marilou LALLOYEAU21/09/2000"/>
    <n v="481524"/>
    <s v="FR"/>
    <s v="OCC - Critérium National - Hc montalbanais - Plateau 1sam 14 Déc 2024"/>
    <s v="HC MONTALBANAIS"/>
    <s v="Marilou LALLOYEAU21/09/2000"/>
    <s v="57.9"/>
    <n v="-69"/>
    <n v="-69"/>
    <n v="69"/>
    <n v="69"/>
    <n v="0"/>
    <s v="XXO"/>
    <n v="78"/>
    <n v="82"/>
    <n v="-86"/>
    <n v="82"/>
    <n v="160"/>
    <s v="OOX"/>
    <x v="0"/>
    <x v="1"/>
    <x v="0"/>
    <n v="151"/>
    <n v="160"/>
    <s v="209.20198087171758"/>
    <s v="221.6709731091047"/>
    <x v="1"/>
    <n v="5"/>
    <x v="2"/>
    <x v="2"/>
    <m/>
    <s v="SEN F 59"/>
    <n v="209.2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39"/>
    <x v="1"/>
    <s v="Marilou LALLOYEAU21/09/2000"/>
    <n v="2025"/>
    <s v="210.03190686243335"/>
    <s v="209.20198087171758"/>
  </r>
  <r>
    <x v="534"/>
    <x v="296"/>
    <s v="Marina NONCLERCQ18/10/1999"/>
    <n v="494153"/>
    <s v="FR"/>
    <s v="HDF - Critérium National - Comines - U20 - Seniors Femmessam 14 Déc 2024"/>
    <s v="CAHC BERCK"/>
    <s v="Marina NONCLERCQ18/10/1999"/>
    <s v="58.28"/>
    <n v="-47"/>
    <n v="-47"/>
    <n v="47"/>
    <n v="47"/>
    <n v="0"/>
    <s v="XXO"/>
    <n v="65"/>
    <n v="-70"/>
    <n v="70"/>
    <n v="70"/>
    <n v="135"/>
    <s v="OXO"/>
    <x v="0"/>
    <x v="1"/>
    <x v="0"/>
    <n v="117"/>
    <n v="135"/>
    <s v="161.39287124242242"/>
    <s v="186.22254374125663"/>
    <x v="2"/>
    <n v="6"/>
    <x v="2"/>
    <x v="2"/>
    <m/>
    <s v="SEN F 59"/>
    <n v="161.38999999999999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92"/>
    <x v="8"/>
    <s v="Marina NONCLERCQ18/10/1999"/>
    <n v="2025"/>
    <s v="167.02283855015617"/>
    <s v="167.02283855015617"/>
  </r>
  <r>
    <x v="535"/>
    <x v="517"/>
    <s v="Marine DUGAS30/09/2001"/>
    <n v="500221"/>
    <s v="FR"/>
    <s v="PDL - Critérium National - Laval - seniors Fsam 14 Déc 2024"/>
    <s v="CHOLET BARBELL CLUB"/>
    <s v="Marine DUGAS30/09/2001"/>
    <s v="54.11"/>
    <n v="-50"/>
    <n v="-50"/>
    <n v="50"/>
    <n v="50"/>
    <n v="0"/>
    <s v="XXO"/>
    <n v="59"/>
    <n v="61"/>
    <n v="-64"/>
    <n v="61"/>
    <n v="120"/>
    <s v="OOX"/>
    <x v="0"/>
    <x v="1"/>
    <x v="0"/>
    <n v="111"/>
    <n v="120"/>
    <s v="161.1465496769764"/>
    <s v="174.2124861372718"/>
    <x v="2"/>
    <n v="6"/>
    <x v="1"/>
    <x v="2"/>
    <m/>
    <s v="SEN F 55"/>
    <n v="161.13999999999999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89"/>
    <x v="10"/>
    <s v="Marine DUGAS30/09/2001"/>
    <n v="2025"/>
    <s v="163.12918353168013"/>
    <s v="163.12918353168013"/>
  </r>
  <r>
    <x v="536"/>
    <x v="518"/>
    <s v="Marine ESCUILLIE09/10/1988"/>
    <n v="494902"/>
    <s v="FR"/>
    <s v="OCC - Critérium National - Hc montalbanais - Plateau 1sam 14 Déc 2024"/>
    <s v="HC MONTALBANAIS"/>
    <s v="Marine ESCUILLIE09/10/1988"/>
    <s v="63.2"/>
    <n v="50"/>
    <n v="54"/>
    <n v="-57"/>
    <n v="54"/>
    <n v="104"/>
    <s v="OOX"/>
    <n v="70"/>
    <n v="75"/>
    <n v="-80"/>
    <n v="75"/>
    <n v="145"/>
    <s v="OOX"/>
    <x v="3"/>
    <x v="0"/>
    <x v="0"/>
    <n v="129"/>
    <n v="249"/>
    <s v="169.01365850097065"/>
    <s v="326.2356664088503"/>
    <x v="2"/>
    <n v="6"/>
    <x v="7"/>
    <x v="2"/>
    <n v="35"/>
    <s v="SEN F 64"/>
    <n v="169.01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39"/>
    <x v="1"/>
    <s v="Marine ESCUILLIE09/10/1988"/>
    <n v="2025"/>
    <s v="177.85830723336346"/>
    <s v="169.01365850097065"/>
  </r>
  <r>
    <x v="537"/>
    <x v="519"/>
    <s v="Marine JULLIEN22/09/1996"/>
    <n v="490199"/>
    <s v="FR"/>
    <s v="IDF - Critérium National - Franconville - Seniors Femmes 2ème plateausam 14 Déc 2024"/>
    <s v="HMDB21 DIJON"/>
    <s v="Marine JULLIEN22/09/1996"/>
    <s v="62.3"/>
    <n v="63"/>
    <n v="-66"/>
    <n v="-66"/>
    <n v="63"/>
    <n v="0"/>
    <s v="OXX"/>
    <n v="-78"/>
    <n v="-81"/>
    <n v="-84"/>
    <n v="0"/>
    <n v="0"/>
    <s v="XXX"/>
    <x v="4"/>
    <x v="0"/>
    <x v="0"/>
    <n v="63"/>
    <n v="0"/>
    <s v="83.27006231338298"/>
    <s v="0.0"/>
    <x v="0"/>
    <n v="999"/>
    <x v="7"/>
    <x v="2"/>
    <m/>
    <s v="SEN F 64"/>
    <n v="0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0"/>
    <x v="6"/>
    <s v="Marine JULLIEN22/09/1996"/>
    <n v="2025"/>
    <s v="193.91329147150145"/>
    <s v="188.82287428670222"/>
  </r>
  <r>
    <x v="538"/>
    <x v="520"/>
    <s v="Marion BITHOREL08/02/2001"/>
    <n v="483304"/>
    <s v="FR"/>
    <s v="GE - Critérium National - Haguenau - ALS - SEN Femsam 14 Déc 2024"/>
    <s v="ASPTT STRASBOURG"/>
    <s v="Marion BITHOREL08/02/2001"/>
    <s v="63.46"/>
    <n v="67"/>
    <n v="70"/>
    <n v="72"/>
    <n v="72"/>
    <n v="142"/>
    <s v="OOO"/>
    <n v="83"/>
    <n v="86"/>
    <n v="-89"/>
    <n v="86"/>
    <n v="169"/>
    <s v="OOX"/>
    <x v="1"/>
    <x v="0"/>
    <x v="0"/>
    <n v="158"/>
    <n v="311"/>
    <s v="206.49429827402037"/>
    <s v="406.4539668558249"/>
    <x v="1"/>
    <n v="5"/>
    <x v="7"/>
    <x v="2"/>
    <m/>
    <s v="SEN F 64"/>
    <n v="206.49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38"/>
    <x v="2"/>
    <s v="Marion BITHOREL08/02/2001"/>
    <n v="2025"/>
    <s v="206.49429827402037"/>
    <s v="206.49429827402037"/>
  </r>
  <r>
    <x v="539"/>
    <x v="521"/>
    <s v="Marion DUBOIS19/11/2000"/>
    <n v="477447"/>
    <s v="FR"/>
    <s v="PACA - Critérium National - Toulon - SUD PACA TOULON COTE AZURven 13 Déc 2024"/>
    <s v="HC MARSEILLE"/>
    <s v="Marion DUBOIS19/11/2000"/>
    <s v="63.95"/>
    <n v="68"/>
    <n v="-71"/>
    <n v="-73"/>
    <n v="68"/>
    <n v="0"/>
    <s v="OXX"/>
    <n v="-79"/>
    <n v="79"/>
    <n v="85"/>
    <n v="85"/>
    <n v="164"/>
    <s v="XOO"/>
    <x v="0"/>
    <x v="0"/>
    <x v="0"/>
    <n v="153"/>
    <n v="164"/>
    <s v="199.0354240682977"/>
    <s v="213.34516043922105"/>
    <x v="1"/>
    <n v="5"/>
    <x v="7"/>
    <x v="2"/>
    <m/>
    <s v="SEN F 64"/>
    <n v="199.03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96"/>
    <x v="0"/>
    <s v="Marion DUBOIS19/11/2000"/>
    <n v="2025"/>
    <s v="205.38206757605485"/>
    <s v="199.0354240682977"/>
  </r>
  <r>
    <x v="540"/>
    <x v="522"/>
    <s v="Marion MOUDIN17/05/1997"/>
    <n v="467508"/>
    <s v="FR"/>
    <s v="BFC - Critérium National - Besançon - BFC-Critérium 2 SEN Fsam 14 Déc 2024"/>
    <s v="CLUB HALTEROPHILE LUXOVIEN"/>
    <s v="Marion MOUDIN17/05/1997"/>
    <s v="63.5"/>
    <n v="66"/>
    <n v="70"/>
    <n v="-73"/>
    <n v="70"/>
    <n v="136"/>
    <s v="OOX"/>
    <n v="85"/>
    <n v="-90"/>
    <n v="-92"/>
    <n v="85"/>
    <n v="0"/>
    <s v="OXX"/>
    <x v="0"/>
    <x v="0"/>
    <x v="0"/>
    <n v="155"/>
    <n v="136"/>
    <s v="202.496343929256"/>
    <s v="177.67421144760524"/>
    <x v="1"/>
    <n v="5"/>
    <x v="7"/>
    <x v="2"/>
    <m/>
    <s v="SEN F 64"/>
    <n v="202.49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10"/>
    <x v="6"/>
    <s v="Marion MOUDIN17/05/1997"/>
    <n v="2025"/>
    <s v="202.496343929256"/>
    <s v="202.496343929256"/>
  </r>
  <r>
    <x v="541"/>
    <x v="523"/>
    <s v="Marion WIETRICH21/10/1999"/>
    <n v="459548"/>
    <s v="FR"/>
    <s v="GE - Critérium National - Haguenau - ALS - SEN Femsam 14 Déc 2024"/>
    <s v="ASPTT STRASBOURG"/>
    <s v="Marion WIETRICH21/10/1999"/>
    <s v="61.5"/>
    <n v="-50"/>
    <n v="50"/>
    <n v="53"/>
    <n v="53"/>
    <n v="103"/>
    <s v="XOO"/>
    <n v="70"/>
    <n v="73"/>
    <n v="-75"/>
    <n v="73"/>
    <n v="143"/>
    <s v="OOX"/>
    <x v="3"/>
    <x v="0"/>
    <x v="0"/>
    <n v="126"/>
    <n v="246"/>
    <s v="167.88426226475372"/>
    <s v="327.7740358502335"/>
    <x v="2"/>
    <n v="6"/>
    <x v="7"/>
    <x v="2"/>
    <m/>
    <s v="SEN F 64"/>
    <n v="167.88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38"/>
    <x v="2"/>
    <s v="Marion WIETRICH21/10/1999"/>
    <n v="2025"/>
    <s v="192.5300424855251"/>
    <s v="167.88426226475372"/>
  </r>
  <r>
    <x v="542"/>
    <x v="524"/>
    <s v="Marlon BONNENFANT27/07/2012"/>
    <n v="470257"/>
    <s v="FR"/>
    <s v="GE - Critérium National - Langres - LOR - CHAsam 14 Déc 2024"/>
    <s v="LANGRES HM"/>
    <s v="Marlon BONNENFANT27/07/2012"/>
    <s v="39.1"/>
    <n v="32"/>
    <n v="34"/>
    <n v="36"/>
    <n v="36"/>
    <n v="70"/>
    <s v="OOO"/>
    <n v="34"/>
    <n v="36"/>
    <n v="38"/>
    <n v="38"/>
    <n v="74"/>
    <s v="OOO"/>
    <x v="2"/>
    <x v="0"/>
    <x v="0"/>
    <n v="74"/>
    <n v="144"/>
    <s v="165.231083538734"/>
    <s v="321.5307571564553"/>
    <x v="0"/>
    <n v="999"/>
    <x v="11"/>
    <x v="4"/>
    <m/>
    <s v="U13 M 40"/>
    <n v="321.52999999999997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Marlon BONNENFANT27/07/2012"/>
    <n v="2025"/>
    <s v="172.406176482103"/>
    <s v="170.09777998738898"/>
  </r>
  <r>
    <x v="543"/>
    <x v="525"/>
    <s v="Martin FELICIANO24/09/2004"/>
    <n v="433234"/>
    <s v="FR"/>
    <s v="HDF - Critérium National - Comines - Seniors Hommessam 14 Déc 2024"/>
    <s v="CA ROSENDAEL"/>
    <s v="Martin FELICIANO24/09/2004"/>
    <s v="63.85"/>
    <n v="85"/>
    <n v="90"/>
    <n v="95"/>
    <n v="95"/>
    <n v="185"/>
    <s v="OOO"/>
    <n v="105"/>
    <n v="-110"/>
    <n v="-115"/>
    <n v="105"/>
    <n v="0"/>
    <s v="OXX"/>
    <x v="3"/>
    <x v="0"/>
    <x v="0"/>
    <n v="200"/>
    <n v="185"/>
    <s v="294.2938119136261"/>
    <s v="272.22177602010413"/>
    <x v="2"/>
    <n v="6"/>
    <x v="0"/>
    <x v="2"/>
    <m/>
    <s v="SEN M 67"/>
    <n v="294.29000000000002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13"/>
    <x v="8"/>
    <s v="Martin FELICIANO24/09/2004"/>
    <n v="2025"/>
    <s v="319.0593241756205"/>
    <s v="319.0593241756205"/>
  </r>
  <r>
    <x v="544"/>
    <x v="526"/>
    <s v="Mathéo MARLOT NIZET25/09/2013"/>
    <n v="490536"/>
    <s v="FR"/>
    <s v="HDF - Critérium National - Comines - U13 garçonsdim 15 Déc 2024"/>
    <s v="OSM LOMME HALTEROPHILIE"/>
    <s v="Mathéo MARLOT NIZET25/09/2013"/>
    <s v="43.28"/>
    <n v="22"/>
    <n v="24"/>
    <n v="26"/>
    <n v="26"/>
    <n v="50"/>
    <s v="OOO"/>
    <n v="33"/>
    <n v="35"/>
    <n v="-37"/>
    <n v="35"/>
    <n v="68"/>
    <s v="OOX"/>
    <x v="1"/>
    <x v="0"/>
    <x v="0"/>
    <n v="61"/>
    <n v="118"/>
    <s v="123.39484762961027"/>
    <s v="238.69822984088543"/>
    <x v="0"/>
    <n v="999"/>
    <x v="6"/>
    <x v="4"/>
    <m/>
    <s v="U13 M 45"/>
    <n v="238.69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29"/>
    <x v="8"/>
    <s v="Mathéo MARLOT NIZET25/09/2013"/>
    <n v="2025"/>
    <s v="124.9567507062309"/>
    <s v="124.9567507062309"/>
  </r>
  <r>
    <x v="545"/>
    <x v="527"/>
    <s v="Mathias DIXNEUF11/02/1999"/>
    <n v="461385"/>
    <s v="FR"/>
    <s v="BRE - Critérium National - Plouhinec - Hommesam 14 Déc 2024"/>
    <s v="CERCLE PAUL BERT"/>
    <s v="Mathias DIXNEUF11/02/1999"/>
    <s v="93.05"/>
    <n v="115"/>
    <n v="-120"/>
    <n v="-120"/>
    <n v="115"/>
    <n v="0"/>
    <s v="OXX"/>
    <n v="0"/>
    <n v="0"/>
    <n v="0"/>
    <n v="0"/>
    <n v="0"/>
    <s v="XXX"/>
    <x v="4"/>
    <x v="0"/>
    <x v="0"/>
    <n v="115"/>
    <n v="0"/>
    <s v="136.10768809267103"/>
    <s v="0.0"/>
    <x v="0"/>
    <n v="999"/>
    <x v="18"/>
    <x v="2"/>
    <m/>
    <s v="SEN M 96"/>
    <n v="0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41"/>
    <x v="7"/>
    <s v="Mathias DIXNEUF11/02/1999"/>
    <n v="2025"/>
    <s v="316.56679161417355"/>
    <s v="307.0418496969994"/>
  </r>
  <r>
    <x v="546"/>
    <x v="528"/>
    <s v="Mathieu TANG14/09/1992"/>
    <n v="421652"/>
    <s v="FR"/>
    <s v="BRE - Critérium National - Plouhinec - Hommesam 14 Déc 2024"/>
    <s v="CERCLE PAUL BERT"/>
    <s v="Mathieu TANG14/09/1992"/>
    <s v="90.8"/>
    <n v="95"/>
    <n v="101"/>
    <n v="110"/>
    <n v="110"/>
    <n v="211"/>
    <s v="OOO"/>
    <n v="130"/>
    <n v="135"/>
    <n v="140"/>
    <n v="140"/>
    <n v="275"/>
    <s v="OOO"/>
    <x v="2"/>
    <x v="0"/>
    <x v="0"/>
    <n v="250"/>
    <n v="486"/>
    <s v="299.29283977057787"/>
    <s v="581.8252805140033"/>
    <x v="2"/>
    <n v="6"/>
    <x v="18"/>
    <x v="2"/>
    <m/>
    <s v="SEN M 96"/>
    <n v="299.29000000000002"/>
    <x v="0"/>
    <s v="BRE - Critérium National - Plouhinec - Hommesam 14 Déc 2024"/>
    <s v="Critérium National - Plouhinec - Homme"/>
    <s v="BRE"/>
    <d v="2024-12-14T00:00:00"/>
    <n v="2024"/>
    <n v="12"/>
    <s v="2024-12"/>
    <m/>
    <s v="2024-2025"/>
    <n v="2025"/>
    <x v="41"/>
    <x v="7"/>
    <s v="Mathieu TANG14/09/1992"/>
    <n v="2025"/>
    <s v="299.29283977057787"/>
    <s v="299.29283977057787"/>
  </r>
  <r>
    <x v="547"/>
    <x v="529"/>
    <s v="Mathilda JAMAR21/04/1991"/>
    <n v="494106"/>
    <s v="FR"/>
    <s v="BFC - Critérium National - Besançon - BFC-Critérium 2 SEN Fsam 14 Déc 2024"/>
    <s v="LA FRANCAISE DE BESANCON"/>
    <s v="Mathilda JAMAR21/04/1991"/>
    <s v="66.2"/>
    <n v="-60"/>
    <n v="-63"/>
    <n v="63"/>
    <n v="63"/>
    <n v="0"/>
    <s v="XXO"/>
    <n v="69"/>
    <n v="72"/>
    <n v="-75"/>
    <n v="72"/>
    <n v="141"/>
    <s v="OOX"/>
    <x v="0"/>
    <x v="1"/>
    <x v="0"/>
    <n v="135"/>
    <n v="141"/>
    <s v="172.08555586720678"/>
    <s v="179.7338027946382"/>
    <x v="2"/>
    <n v="6"/>
    <x v="3"/>
    <x v="2"/>
    <m/>
    <s v="SEN F 71"/>
    <n v="172.08"/>
    <x v="1"/>
    <s v="BFC - Critérium National - Besançon - BFC-Critérium 2 SEN Fsam 14 Déc 2024"/>
    <s v="Critérium National - Besançon - BFC-Critérium 2 SEN F"/>
    <s v="BFC"/>
    <d v="2024-12-14T00:00:00"/>
    <n v="2024"/>
    <n v="12"/>
    <s v="2024-12"/>
    <m/>
    <s v="2024-2025"/>
    <n v="2025"/>
    <x v="21"/>
    <x v="6"/>
    <s v="Mathilda JAMAR21/04/1991"/>
    <n v="2025"/>
    <s v="172.08555586720678"/>
    <s v="172.08555586720678"/>
  </r>
  <r>
    <x v="548"/>
    <x v="530"/>
    <s v="Mathilde DELACHAT14/05/1979"/>
    <n v="437613"/>
    <s v="FR"/>
    <s v="IDF - Critérium National - Franconville - Seniors Femmes 2ème plateausam 14 Déc 2024"/>
    <s v="AFHMA FRANCONVILLE"/>
    <s v="Mathilde DELACHAT14/05/1979"/>
    <s v="63.6"/>
    <n v="62"/>
    <n v="67"/>
    <n v="-71"/>
    <n v="67"/>
    <n v="129"/>
    <s v="OOX"/>
    <n v="83"/>
    <n v="87"/>
    <n v="-90"/>
    <n v="87"/>
    <n v="170"/>
    <s v="OOX"/>
    <x v="3"/>
    <x v="0"/>
    <x v="0"/>
    <n v="154"/>
    <n v="299"/>
    <s v="200.9987962499236"/>
    <s v="390.2509096021244"/>
    <x v="1"/>
    <n v="5"/>
    <x v="7"/>
    <x v="2"/>
    <n v="45"/>
    <s v="SEN F 64"/>
    <n v="200.99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"/>
    <x v="3"/>
    <s v="Mathilde DELACHAT14/05/1979"/>
    <n v="2025"/>
    <s v="204.09984474312722"/>
    <s v="200.9987962499236"/>
  </r>
  <r>
    <x v="549"/>
    <x v="531"/>
    <s v="Mathilde FERREIRA ROLO16/01/2002"/>
    <n v="465735"/>
    <s v="FR"/>
    <s v="BFC - Critérium National - Besançon - BFC-Critérium u15 F F-Besançondim 15 Déc 2024"/>
    <s v="CLUB HALTEROPHILE LUXOVIEN"/>
    <s v="Mathilde FERREIRA ROLO16/01/2002"/>
    <s v="67.4"/>
    <n v="58"/>
    <n v="-62"/>
    <n v="-65"/>
    <n v="58"/>
    <n v="0"/>
    <s v="OXX"/>
    <n v="68"/>
    <n v="72"/>
    <n v="80"/>
    <n v="80"/>
    <n v="152"/>
    <s v="OOO"/>
    <x v="3"/>
    <x v="0"/>
    <x v="0"/>
    <n v="138"/>
    <n v="152"/>
    <s v="174.117870351694"/>
    <s v="191.78200212650353"/>
    <x v="2"/>
    <n v="6"/>
    <x v="3"/>
    <x v="2"/>
    <m/>
    <s v="SEN F 71"/>
    <n v="174.11"/>
    <x v="1"/>
    <s v="BFC - Critérium National - Besançon - BFC-Critérium u15 F F-Besançondim 15 Déc 2024"/>
    <s v="Critérium National - Besançon - BFC-Critérium u15 F F-Besançon"/>
    <s v="BFC"/>
    <d v="2024-12-15T00:00:00"/>
    <n v="2024"/>
    <n v="12"/>
    <s v="2024-12"/>
    <m/>
    <s v="2024-2025"/>
    <n v="2025"/>
    <x v="10"/>
    <x v="6"/>
    <s v="Mathilde FERREIRA ROLO16/01/2002"/>
    <n v="2025"/>
    <s v="179.6171471930289"/>
    <s v="174.117870351694"/>
  </r>
  <r>
    <x v="550"/>
    <x v="532"/>
    <s v="Mathilde PAYRARD26/02/2000"/>
    <n v="498290"/>
    <s v="FR"/>
    <s v="AURA - Critérium National - Vaulx en velin - PLATEAU 1  SENIOR FEMININESdim 15 Déc 2024"/>
    <s v="AL CHARLIEU"/>
    <s v="Mathilde PAYRARD26/02/2000"/>
    <s v="53.3"/>
    <n v="46"/>
    <n v="-49"/>
    <n v="-50"/>
    <n v="46"/>
    <n v="0"/>
    <s v="OXX"/>
    <n v="55"/>
    <n v="-59"/>
    <n v="-59"/>
    <n v="55"/>
    <n v="0"/>
    <s v="OXX"/>
    <x v="5"/>
    <x v="0"/>
    <x v="0"/>
    <n v="101"/>
    <n v="0"/>
    <s v="148.22773490176803"/>
    <s v="0.0"/>
    <x v="5"/>
    <n v="7"/>
    <x v="1"/>
    <x v="2"/>
    <m/>
    <s v="SEN F 55"/>
    <n v="148.22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48"/>
    <x v="4"/>
    <s v="Mathilde PAYRARD26/02/2000"/>
    <n v="2025"/>
    <s v="156.02589153569534"/>
    <s v="156.02589153569534"/>
  </r>
  <r>
    <x v="551"/>
    <x v="533"/>
    <s v="Mathilde ROSTOUCHER28/11/1995"/>
    <n v="492419"/>
    <s v="FR"/>
    <s v="AURA - Critérium National - Vaulx en velin - PLATEAU 3  SENIOR FEMININESdim 15 Déc 2024"/>
    <s v="ARAVIS HAL-FA"/>
    <s v="Mathilde ROSTOUCHER28/11/1995"/>
    <s v="65.9"/>
    <n v="-61"/>
    <n v="-61"/>
    <n v="61"/>
    <n v="61"/>
    <n v="0"/>
    <s v="XXO"/>
    <n v="71"/>
    <n v="74"/>
    <n v="-78"/>
    <n v="74"/>
    <n v="145"/>
    <s v="OOX"/>
    <x v="0"/>
    <x v="1"/>
    <x v="0"/>
    <n v="135"/>
    <n v="145"/>
    <s v="172.5376126994008"/>
    <s v="185.31817660306012"/>
    <x v="2"/>
    <n v="6"/>
    <x v="3"/>
    <x v="2"/>
    <m/>
    <s v="SEN F 71"/>
    <n v="172.53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24"/>
    <x v="4"/>
    <s v="Mathilde ROSTOUCHER28/11/1995"/>
    <n v="2025"/>
    <s v="178.4429530901255"/>
    <s v="178.4429530901255"/>
  </r>
  <r>
    <x v="552"/>
    <x v="534"/>
    <s v="Mathis BELLIER--BARREAU07/01/2009"/>
    <n v="403328"/>
    <s v="FR"/>
    <s v="PDL - Critérium National - Laval - U15 au U20 Hdim 15 Déc 2024"/>
    <s v="SAINT BREVIN LES PINS HALTEROPHILIE"/>
    <s v="Mathis BELLIER--BARREAU07/01/2009"/>
    <s v="58.49"/>
    <n v="62"/>
    <n v="65"/>
    <n v="-67"/>
    <n v="65"/>
    <n v="127"/>
    <s v="OOX"/>
    <n v="73"/>
    <n v="77"/>
    <n v="-80"/>
    <n v="77"/>
    <n v="150"/>
    <s v="OOX"/>
    <x v="3"/>
    <x v="0"/>
    <x v="0"/>
    <n v="142"/>
    <n v="277"/>
    <s v="222.6414526198061"/>
    <s v="434.30762236398795"/>
    <x v="2"/>
    <n v="6"/>
    <x v="8"/>
    <x v="3"/>
    <m/>
    <s v="U17 M 61"/>
    <n v="222.64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134"/>
    <x v="10"/>
    <s v="Mathis BELLIER--BARREAU07/01/2009"/>
    <n v="2025"/>
    <s v="222.6414526198061"/>
    <s v="222.6414526198061"/>
  </r>
  <r>
    <x v="553"/>
    <x v="535"/>
    <s v="Mathis HENNOUS25/04/2001"/>
    <n v="493333"/>
    <s v="FR"/>
    <s v="PACA - Critérium National - Mondragon - Provence U15 à SEN HOMsam 14 Déc 2024"/>
    <s v="AVIGNON SORGUES HALTEROPHILIE"/>
    <s v="Mathis HENNOUS25/04/2001"/>
    <s v="86.8"/>
    <n v="123"/>
    <n v="127"/>
    <n v="132"/>
    <n v="132"/>
    <n v="259"/>
    <s v="OOO"/>
    <n v="150"/>
    <n v="155"/>
    <n v="-160"/>
    <n v="155"/>
    <n v="305"/>
    <s v="OOX"/>
    <x v="1"/>
    <x v="0"/>
    <x v="0"/>
    <n v="287"/>
    <n v="564"/>
    <s v="351.24940012295735"/>
    <s v="690.2601451893657"/>
    <x v="3"/>
    <n v="4"/>
    <x v="9"/>
    <x v="2"/>
    <m/>
    <s v="SEN M 89"/>
    <n v="351.24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33"/>
    <x v="0"/>
    <s v="Mathis HENNOUS25/04/2001"/>
    <n v="2025"/>
    <s v="351.5181304164692"/>
    <s v="351.24940012295735"/>
  </r>
  <r>
    <x v="554"/>
    <x v="536"/>
    <s v="Mathis KUKRIC25/03/2012"/>
    <n v="472684"/>
    <s v="FR"/>
    <s v="PACA - Critérium National - Mondragon - Provence U13sam 14 Déc 2024"/>
    <s v="EEAR MONTEUX"/>
    <s v="Mathis KUKRIC25/03/2012"/>
    <s v="58.8"/>
    <n v="34"/>
    <n v="36"/>
    <n v="38"/>
    <n v="38"/>
    <n v="74"/>
    <s v="OOO"/>
    <n v="44"/>
    <n v="46"/>
    <n v="48"/>
    <n v="48"/>
    <n v="94"/>
    <s v="OOO"/>
    <x v="2"/>
    <x v="0"/>
    <x v="0"/>
    <n v="86"/>
    <n v="168"/>
    <s v="134.3058227129762"/>
    <s v="262.36486297418605"/>
    <x v="0"/>
    <n v="999"/>
    <x v="8"/>
    <x v="4"/>
    <m/>
    <s v="U13 M 61"/>
    <n v="262.36"/>
    <x v="0"/>
    <s v="PACA - Critérium National - Mondragon - Provence U13sam 14 Déc 2024"/>
    <s v="Critérium National - Mondragon - Provence U13"/>
    <s v="PAC"/>
    <d v="2024-12-14T00:00:00"/>
    <n v="2024"/>
    <n v="12"/>
    <s v="2024-12"/>
    <m/>
    <s v="2024-2025"/>
    <n v="2025"/>
    <x v="11"/>
    <x v="0"/>
    <s v="Mathis KUKRIC25/03/2012"/>
    <n v="2025"/>
    <s v="160.45630299188554"/>
    <s v="160.45630299188554"/>
  </r>
  <r>
    <x v="555"/>
    <x v="537"/>
    <s v="Mathis SIMARD--FERNANDES05/08/2006"/>
    <n v="468521"/>
    <s v="FR"/>
    <s v="BFC - Critérium National - Besançon - BFC-Critérium 2 SEN Hdim 15 Déc 2024"/>
    <s v="CLUB HALTEROPHILE LUXOVIEN"/>
    <s v="Mathis SIMARD--FERNANDES05/08/2006"/>
    <s v="66.9"/>
    <n v="83"/>
    <n v="87"/>
    <n v="-90"/>
    <n v="87"/>
    <n v="170"/>
    <s v="OOX"/>
    <n v="-103"/>
    <n v="103"/>
    <n v="-120"/>
    <n v="103"/>
    <n v="0"/>
    <s v="XOX"/>
    <x v="0"/>
    <x v="0"/>
    <x v="0"/>
    <n v="190"/>
    <n v="170"/>
    <s v="270.8250329555686"/>
    <s v="242.31713474971923"/>
    <x v="1"/>
    <n v="5"/>
    <x v="0"/>
    <x v="0"/>
    <m/>
    <s v="U20 M 67"/>
    <n v="270.82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Mathis SIMARD--FERNANDES05/08/2006"/>
    <n v="2025"/>
    <s v="275.76877761391904"/>
    <s v="275.76877761391904"/>
  </r>
  <r>
    <x v="556"/>
    <x v="538"/>
    <s v="Matis DEMEILLERS26/11/2006"/>
    <n v="468710"/>
    <s v="RE"/>
    <s v="OCC - Critérium National - Hc montalbanais - Plateau 2sam 14 Déc 2024"/>
    <s v="TOULOUSE HC"/>
    <s v="Matis DEMEILLERS26/11/2006"/>
    <s v="63.5"/>
    <n v="78"/>
    <n v="82"/>
    <n v="-85"/>
    <n v="82"/>
    <n v="160"/>
    <s v="OOX"/>
    <n v="-105"/>
    <n v="-108"/>
    <n v="-108"/>
    <n v="0"/>
    <n v="0"/>
    <s v="XXX"/>
    <x v="5"/>
    <x v="0"/>
    <x v="0"/>
    <n v="82"/>
    <n v="160"/>
    <s v="121.12437306667074"/>
    <s v="236.34024013008926"/>
    <x v="0"/>
    <n v="999"/>
    <x v="0"/>
    <x v="0"/>
    <m/>
    <s v="U20 M 67"/>
    <n v="0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6"/>
    <x v="1"/>
    <s v="Matis DEMEILLERS26/11/2006"/>
    <n v="2025"/>
    <s v="262.96335457621234"/>
    <s v="262.96335457621234"/>
  </r>
  <r>
    <x v="557"/>
    <x v="539"/>
    <s v="Matthieu BITOUN01/12/2004"/>
    <n v="489967"/>
    <s v="FR"/>
    <s v="OCC - Critérium National - Hc montalbanais - Plateau 4sam 14 Déc 2024"/>
    <s v="TOULOUSE HC"/>
    <s v="Matthieu BITOUN01/12/2004"/>
    <s v="86.5"/>
    <n v="112"/>
    <n v="-116"/>
    <n v="-118"/>
    <n v="112"/>
    <n v="0"/>
    <s v="OXX"/>
    <n v="132"/>
    <n v="-137"/>
    <n v="140"/>
    <n v="140"/>
    <n v="272"/>
    <s v="OXO"/>
    <x v="0"/>
    <x v="0"/>
    <x v="0"/>
    <n v="252"/>
    <n v="272"/>
    <s v="308.95351123921654"/>
    <s v="333.4736311788369"/>
    <x v="2"/>
    <n v="6"/>
    <x v="9"/>
    <x v="2"/>
    <m/>
    <s v="SEN M 89"/>
    <n v="308.95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6"/>
    <x v="1"/>
    <s v="Matthieu BITOUN01/12/2004"/>
    <n v="2025"/>
    <s v="308.95351123921654"/>
    <s v="308.95351123921654"/>
  </r>
  <r>
    <x v="558"/>
    <x v="540"/>
    <s v="Maud GARRO03/12/1993"/>
    <n v="474696"/>
    <s v="FR"/>
    <s v="BRE - Critérium National - Plouhinec - Femmessam 14 Déc 2024"/>
    <s v="CERCLE PAUL BERT"/>
    <s v="Maud GARRO03/12/1993"/>
    <n v="55"/>
    <n v="55"/>
    <n v="58"/>
    <n v="-60"/>
    <n v="58"/>
    <n v="113"/>
    <s v="OOX"/>
    <n v="67"/>
    <n v="70"/>
    <n v="-72"/>
    <n v="70"/>
    <n v="137"/>
    <s v="OOX"/>
    <x v="3"/>
    <x v="0"/>
    <x v="0"/>
    <n v="128"/>
    <n v="250"/>
    <s v="183.691640966792"/>
    <s v="358.7727362632656"/>
    <x v="2"/>
    <n v="6"/>
    <x v="1"/>
    <x v="2"/>
    <m/>
    <s v="SEN F 55"/>
    <n v="183.69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41"/>
    <x v="7"/>
    <s v="Maud GARRO03/12/1993"/>
    <n v="2025"/>
    <s v="183.691640966792"/>
    <s v="183.691640966792"/>
  </r>
  <r>
    <x v="559"/>
    <x v="541"/>
    <s v="Maude GLASSIER17/02/2015"/>
    <n v="497023"/>
    <s v="FR"/>
    <s v="PDL - Critérium National - Laval - U10 -U13sam 14 Déc 2024"/>
    <s v="CA EVRON 53 HALTEROPHILIE"/>
    <s v="Maude GLASSIER17/02/2015"/>
    <s v="56.05"/>
    <n v="26"/>
    <n v="-28"/>
    <n v="28"/>
    <n v="28"/>
    <n v="54"/>
    <s v="OXO"/>
    <n v="35"/>
    <n v="37"/>
    <n v="39"/>
    <n v="39"/>
    <n v="76"/>
    <s v="OOO"/>
    <x v="1"/>
    <x v="0"/>
    <x v="0"/>
    <n v="67"/>
    <n v="130"/>
    <s v="94.89332581148592"/>
    <s v="184.12137844019657"/>
    <x v="0"/>
    <n v="999"/>
    <x v="13"/>
    <x v="5"/>
    <m/>
    <s v="U10 F "/>
    <n v="184.12"/>
    <x v="1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27"/>
    <x v="10"/>
    <s v="Maude GLASSIER17/02/2015"/>
    <n v="2025"/>
    <s v="94.89332581148592"/>
    <s v="94.89332581148592"/>
  </r>
  <r>
    <x v="560"/>
    <x v="542"/>
    <s v="Maureen DEVOS14/11/1994"/>
    <n v="497768"/>
    <s v="FR"/>
    <s v="PACA - Critérium National - Toulon - SUD PACA TOULON COTE AZURven 13 Déc 2024"/>
    <s v="CROSSFIT FREJUS"/>
    <s v="Maureen DEVOS14/11/1994"/>
    <s v="70.7"/>
    <n v="-65"/>
    <n v="65"/>
    <n v="-68"/>
    <n v="65"/>
    <n v="0"/>
    <s v="XOX"/>
    <n v="75"/>
    <n v="80"/>
    <n v="-85"/>
    <n v="80"/>
    <n v="155"/>
    <s v="OOX"/>
    <x v="0"/>
    <x v="0"/>
    <x v="0"/>
    <n v="145"/>
    <n v="155"/>
    <s v="178.22467164643314"/>
    <s v="190.5160283117044"/>
    <x v="2"/>
    <n v="6"/>
    <x v="3"/>
    <x v="2"/>
    <m/>
    <s v="SEN F 71"/>
    <n v="178.22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06"/>
    <x v="0"/>
    <s v="Maureen DEVOS14/11/1994"/>
    <n v="2025"/>
    <s v="178.22467164643314"/>
    <s v="178.22467164643314"/>
  </r>
  <r>
    <x v="561"/>
    <x v="191"/>
    <s v="Maureen MORVAN27/12/1987"/>
    <n v="462602"/>
    <s v="FR"/>
    <s v="GE - Critérium National - Haguenau - ALS - SEN Femsam 14 Déc 2024"/>
    <s v="SAS COLMARIENNE"/>
    <s v="Maureen MORVAN27/12/1987"/>
    <s v="63.6"/>
    <n v="62"/>
    <n v="-65"/>
    <n v="65"/>
    <n v="65"/>
    <n v="127"/>
    <s v="OXO"/>
    <n v="78"/>
    <n v="82"/>
    <n v="-85"/>
    <n v="82"/>
    <n v="160"/>
    <s v="OOX"/>
    <x v="3"/>
    <x v="0"/>
    <x v="0"/>
    <n v="147"/>
    <n v="287"/>
    <s v="191.86248732947254"/>
    <s v="374.588665738494"/>
    <x v="1"/>
    <n v="5"/>
    <x v="7"/>
    <x v="2"/>
    <n v="35"/>
    <s v="SEN F 64"/>
    <n v="191.86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109"/>
    <x v="2"/>
    <s v="Maureen MORVAN27/12/1987"/>
    <n v="2025"/>
    <s v="191.86248732947254"/>
    <s v="191.86248732947254"/>
  </r>
  <r>
    <x v="562"/>
    <x v="543"/>
    <s v="Maxence AOUNI21/07/2010"/>
    <n v="492416"/>
    <s v="FR"/>
    <s v="GE - Critérium National - Haguenau - ALS - U15 - U17 - U20 - SEN Homsam 14 Déc 2024"/>
    <s v="US WITTENHEIM"/>
    <s v="Maxence AOUNI21/07/2010"/>
    <s v="65.76"/>
    <n v="78"/>
    <n v="83"/>
    <n v="88"/>
    <n v="88"/>
    <n v="171"/>
    <s v="OOO"/>
    <n v="105"/>
    <n v="110"/>
    <n v="-115"/>
    <n v="110"/>
    <n v="215"/>
    <s v="OOX"/>
    <x v="1"/>
    <x v="0"/>
    <x v="0"/>
    <n v="198"/>
    <n v="386"/>
    <s v="285.50924378554095"/>
    <s v="556.5988287940344"/>
    <x v="4"/>
    <n v="3"/>
    <x v="0"/>
    <x v="1"/>
    <m/>
    <s v="U15 M 67"/>
    <n v="285.5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132"/>
    <x v="2"/>
    <s v="Maxence AOUNI21/07/2010"/>
    <n v="2025"/>
    <s v="285.50924378554095"/>
    <s v="285.50924378554095"/>
  </r>
  <r>
    <x v="563"/>
    <x v="544"/>
    <s v="Maxence BON30/08/1999"/>
    <n v="478347"/>
    <s v="FR"/>
    <s v="PACA - Critérium National - Toulon - SUD PACA TOULON COTE AZURven 13 Déc 2024"/>
    <s v="ASL DUMONT D URVILLE"/>
    <s v="Maxence BON30/08/1999"/>
    <s v="48.1"/>
    <n v="42"/>
    <n v="-44"/>
    <n v="-45"/>
    <n v="42"/>
    <n v="0"/>
    <s v="OXX"/>
    <n v="50"/>
    <n v="-53"/>
    <n v="53"/>
    <n v="53"/>
    <n v="103"/>
    <s v="OXO"/>
    <x v="0"/>
    <x v="0"/>
    <x v="0"/>
    <n v="95"/>
    <n v="103"/>
    <s v="150.72417286085428"/>
    <s v="163.41673478597883"/>
    <x v="2"/>
    <n v="6"/>
    <x v="10"/>
    <x v="2"/>
    <m/>
    <s v="SEN F 49"/>
    <n v="150.72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Maxence BON30/08/1999"/>
    <n v="2025"/>
    <s v="159.1965749052384"/>
    <s v="150.72417286085428"/>
  </r>
  <r>
    <x v="564"/>
    <x v="545"/>
    <s v="Maxence DUPONT05/09/2005"/>
    <n v="472423"/>
    <s v="FR"/>
    <s v="HDF - Critérium National - Comines - U15 / U17 / U20 Hommessam 14 Déc 2024"/>
    <s v="CA ROSENDAEL"/>
    <s v="Maxence DUPONT05/09/2005"/>
    <s v="71.5"/>
    <n v="85"/>
    <n v="90"/>
    <n v="-95"/>
    <n v="90"/>
    <n v="175"/>
    <s v="OOX"/>
    <n v="105"/>
    <n v="110"/>
    <n v="115"/>
    <n v="115"/>
    <n v="225"/>
    <s v="OOO"/>
    <x v="1"/>
    <x v="0"/>
    <x v="0"/>
    <n v="205"/>
    <n v="400"/>
    <s v="279.9147785578968"/>
    <s v="546.175177673945"/>
    <x v="1"/>
    <n v="5"/>
    <x v="5"/>
    <x v="0"/>
    <m/>
    <s v="U20 M 73"/>
    <n v="279.91000000000003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13"/>
    <x v="8"/>
    <s v="Maxence DUPONT05/09/2005"/>
    <n v="2025"/>
    <s v="279.9147785578968"/>
    <s v="279.9147785578968"/>
  </r>
  <r>
    <x v="565"/>
    <x v="546"/>
    <s v="Maxence GLEVAREC26/07/1991"/>
    <n v="454457"/>
    <s v="FR"/>
    <s v="IDF - Critérium National - Neuilly - Seniors Hommes 3ème plateausam 14 Déc 2024"/>
    <s v="SPORTING CLUB DE NEUILLY"/>
    <s v="Maxence GLEVAREC26/07/1991"/>
    <n v="96"/>
    <n v="105"/>
    <n v="-109"/>
    <n v="-110"/>
    <n v="105"/>
    <n v="0"/>
    <s v="OXX"/>
    <n v="-132"/>
    <n v="-135"/>
    <n v="135"/>
    <n v="135"/>
    <n v="0"/>
    <s v="XXO"/>
    <x v="5"/>
    <x v="1"/>
    <x v="0"/>
    <n v="240"/>
    <n v="0"/>
    <s v="280.08761241621926"/>
    <s v="0.0"/>
    <x v="2"/>
    <n v="6"/>
    <x v="18"/>
    <x v="2"/>
    <m/>
    <s v="SEN M 96"/>
    <n v="280.08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8"/>
    <x v="3"/>
    <s v="Maxence GLEVAREC26/07/1991"/>
    <n v="2025"/>
    <s v="285.3049267346877"/>
    <s v="280.08761241621926"/>
  </r>
  <r>
    <x v="566"/>
    <x v="547"/>
    <s v="Maxime BISTEUR13/12/1993"/>
    <n v="478771"/>
    <s v="FR"/>
    <s v="AURA - Critérium National - Vaulx en velin - PLATEAU SEN MASCULINSsam 14 Déc 2024"/>
    <s v="LA GAULOISE DE VAISE"/>
    <s v="Maxime BISTEUR13/12/1993"/>
    <n v="87"/>
    <n v="113"/>
    <n v="117"/>
    <n v="120"/>
    <n v="120"/>
    <n v="237"/>
    <s v="OOO"/>
    <n v="130"/>
    <n v="-140"/>
    <n v="140"/>
    <n v="140"/>
    <n v="270"/>
    <s v="OXO"/>
    <x v="1"/>
    <x v="0"/>
    <x v="0"/>
    <n v="260"/>
    <n v="507"/>
    <s v="317.8369417004762"/>
    <s v="619.7820363159285"/>
    <x v="1"/>
    <n v="5"/>
    <x v="9"/>
    <x v="2"/>
    <m/>
    <s v="SEN M 89"/>
    <n v="317.83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5"/>
    <x v="4"/>
    <s v="Maxime BISTEUR13/12/1993"/>
    <n v="2025"/>
    <s v="317.8369417004762"/>
    <s v="317.8369417004762"/>
  </r>
  <r>
    <x v="567"/>
    <x v="548"/>
    <s v="Maxime BOULINGUEZ22/10/1995"/>
    <n v="441475"/>
    <s v="FR"/>
    <s v="OCC - Critérium National - Hc montalbanais - Plateau 4sam 14 Déc 2024"/>
    <s v="HC MONTALBANAIS"/>
    <s v="Maxime BOULINGUEZ22/10/1995"/>
    <s v="95.1"/>
    <n v="126"/>
    <n v="130"/>
    <n v="133"/>
    <n v="133"/>
    <n v="263"/>
    <s v="OOO"/>
    <n v="-155"/>
    <n v="155"/>
    <n v="-162"/>
    <n v="155"/>
    <n v="0"/>
    <s v="XOX"/>
    <x v="3"/>
    <x v="0"/>
    <x v="0"/>
    <n v="288"/>
    <n v="263"/>
    <s v="337.5116234760206"/>
    <s v="308.21373949372713"/>
    <x v="1"/>
    <n v="5"/>
    <x v="18"/>
    <x v="2"/>
    <m/>
    <s v="SEN M 96"/>
    <n v="337.51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39"/>
    <x v="1"/>
    <s v="Maxime BOULINGUEZ22/10/1995"/>
    <n v="2025"/>
    <s v="337.5116234760206"/>
    <s v="337.5116234760206"/>
  </r>
  <r>
    <x v="568"/>
    <x v="549"/>
    <s v="Maxime HERBE09/07/2002"/>
    <n v="465788"/>
    <s v="FR"/>
    <s v="NAQ - Critérium National - Mont de marsan - ligue Nouvelle Aquitainesam 14 Déc 2024"/>
    <s v="CHM ANGERIEN"/>
    <s v="Maxime HERBE09/07/2002"/>
    <s v="99.9"/>
    <n v="104"/>
    <n v="108"/>
    <n v="-112"/>
    <n v="108"/>
    <n v="212"/>
    <s v="OOX"/>
    <n v="-133"/>
    <n v="133"/>
    <n v="138"/>
    <n v="138"/>
    <n v="271"/>
    <s v="XOO"/>
    <x v="3"/>
    <x v="0"/>
    <x v="0"/>
    <n v="246"/>
    <n v="483"/>
    <s v="282.2395043490133"/>
    <s v="554.1531731730627"/>
    <x v="2"/>
    <n v="6"/>
    <x v="17"/>
    <x v="2"/>
    <m/>
    <s v="SEN M 102"/>
    <n v="282.23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52"/>
    <x v="12"/>
    <s v="Maxime HERBE09/07/2002"/>
    <n v="2025"/>
    <s v="284.1757862049334"/>
    <s v="284.1757862049334"/>
  </r>
  <r>
    <x v="569"/>
    <x v="550"/>
    <s v="Maxime TÉLISMART04/07/2011"/>
    <n v="460193"/>
    <s v="FR"/>
    <s v="REU - Critérium National - La possession - LA REUNION-CRITERIUM-LA POSSESSION-U13sam 14 Déc 2024"/>
    <s v="CFSP SPORTS"/>
    <s v="Maxime TÉLISMART04/07/2011"/>
    <s v="45.6"/>
    <n v="34"/>
    <n v="36"/>
    <n v="38"/>
    <n v="38"/>
    <n v="74"/>
    <s v="OOO"/>
    <n v="45"/>
    <n v="47"/>
    <n v="50"/>
    <n v="50"/>
    <n v="97"/>
    <s v="OOO"/>
    <x v="2"/>
    <x v="0"/>
    <x v="0"/>
    <n v="88"/>
    <n v="171"/>
    <s v="169.62621460639193"/>
    <s v="329.61457611014794"/>
    <x v="2"/>
    <n v="6"/>
    <x v="10"/>
    <x v="1"/>
    <m/>
    <s v="U15 M 49"/>
    <n v="169.62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135"/>
    <x v="5"/>
    <s v="Maxime TÉLISMART04/07/2011"/>
    <n v="2025"/>
    <s v="170.67770640778517"/>
    <s v="169.62621460639193"/>
  </r>
  <r>
    <x v="570"/>
    <x v="551"/>
    <s v="Maya charlotte FIRENZULA31/07/2008"/>
    <n v="466996"/>
    <s v="FR"/>
    <s v="REU - Critérium National - La possession - U15-17-20dim 15 Déc 2024"/>
    <s v="CH DU TAMPON"/>
    <s v="Maya charlotte FIRENZULA31/07/2008"/>
    <s v="74.95"/>
    <n v="67"/>
    <n v="71"/>
    <n v="73"/>
    <n v="73"/>
    <n v="144"/>
    <s v="OOO"/>
    <n v="77"/>
    <n v="81"/>
    <n v="-85"/>
    <n v="81"/>
    <n v="158"/>
    <s v="OOX"/>
    <x v="1"/>
    <x v="0"/>
    <x v="0"/>
    <n v="154"/>
    <n v="302"/>
    <s v="183.72232837588663"/>
    <s v="360.28664395790753"/>
    <x v="4"/>
    <n v="3"/>
    <x v="15"/>
    <x v="3"/>
    <m/>
    <s v="U17 F 76"/>
    <n v="183.72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136"/>
    <x v="5"/>
    <s v="Maya charlotte FIRENZULA31/07/2008"/>
    <n v="2025"/>
    <s v="183.72232837588663"/>
    <s v="183.72232837588663"/>
  </r>
  <r>
    <x v="571"/>
    <x v="552"/>
    <s v="Mehdi BAKHOUY10/08/1996"/>
    <n v="441781"/>
    <s v="MA"/>
    <s v="HDF - Critérium National - Comines - Seniors Hommessam 14 Déc 2024"/>
    <s v="ASPTT LILLE METROPOLE"/>
    <s v="Mehdi BAKHOUY10/08/1996"/>
    <s v="77.8"/>
    <n v="-105"/>
    <n v="-105"/>
    <n v="-105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4"/>
    <x v="2"/>
    <m/>
    <s v="SEN M 81"/>
    <n v="0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16"/>
    <x v="8"/>
    <s v="Mehdi BAKHOUY10/08/1996"/>
    <n v="2025"/>
    <s v="306.5757114854706"/>
    <s v="306.5757114854706"/>
  </r>
  <r>
    <x v="572"/>
    <x v="553"/>
    <s v="Melanie FRERET17/07/1996"/>
    <n v="491500"/>
    <s v="FR"/>
    <s v="IDF - Critérium National - Neuilly-sur-seinesam 14 Déc 2024"/>
    <s v="CHM CHAVILLE"/>
    <s v="Melanie FRERET17/07/1996"/>
    <s v="58.2"/>
    <n v="50"/>
    <n v="-53"/>
    <n v="-54"/>
    <n v="50"/>
    <n v="0"/>
    <s v="OXX"/>
    <n v="-60"/>
    <n v="60"/>
    <n v="-63"/>
    <n v="60"/>
    <n v="0"/>
    <s v="XOX"/>
    <x v="5"/>
    <x v="0"/>
    <x v="0"/>
    <n v="110"/>
    <n v="0"/>
    <s v="151.87526948850447"/>
    <s v="0.0"/>
    <x v="5"/>
    <n v="7"/>
    <x v="2"/>
    <x v="2"/>
    <m/>
    <s v="SEN F 59"/>
    <n v="151.87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00"/>
    <x v="3"/>
    <s v="Melanie FRERET17/07/1996"/>
    <n v="2025"/>
    <s v="156.0747904260259"/>
    <s v="154.79105516354676"/>
  </r>
  <r>
    <x v="573"/>
    <x v="554"/>
    <s v="Melanie PRIM15/09/1981"/>
    <n v="413530"/>
    <s v="FR"/>
    <s v="IDF - Critérium National - Franconville - Seniors Femmes 2ème plateausam 14 Déc 2024"/>
    <s v="AFHMA FRANCONVILLE"/>
    <s v="Melanie PRIM15/09/1981"/>
    <s v="70.6"/>
    <n v="53"/>
    <n v="-57"/>
    <n v="57"/>
    <n v="57"/>
    <n v="110"/>
    <s v="OXO"/>
    <n v="63"/>
    <n v="67"/>
    <n v="-70"/>
    <n v="67"/>
    <n v="130"/>
    <s v="OOX"/>
    <x v="3"/>
    <x v="0"/>
    <x v="0"/>
    <n v="124"/>
    <n v="240"/>
    <s v="152.52754297266307"/>
    <s v="295.21459930192856"/>
    <x v="5"/>
    <n v="7"/>
    <x v="3"/>
    <x v="2"/>
    <n v="40"/>
    <s v="SEN F 71"/>
    <n v="152.52000000000001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"/>
    <x v="3"/>
    <s v="Melanie PRIM15/09/1981"/>
    <n v="2025"/>
    <s v="159.44154721099306"/>
    <s v="159.44154721099306"/>
  </r>
  <r>
    <x v="574"/>
    <x v="555"/>
    <s v="Melany LE VIENNESSE - BOHER08/08/2012"/>
    <n v="452223"/>
    <s v="FR"/>
    <s v="IDF - Critérium National - Franconville - Minimesdim 15 Déc 2024"/>
    <s v="HCVM CHELLES"/>
    <s v="Melany LE VIENNESSE - BOHER08/08/2012"/>
    <n v="35"/>
    <n v="-26"/>
    <n v="26"/>
    <n v="-27"/>
    <n v="26"/>
    <n v="0"/>
    <s v="XOX"/>
    <n v="33"/>
    <n v="35"/>
    <n v="37"/>
    <n v="37"/>
    <n v="72"/>
    <s v="OOO"/>
    <x v="3"/>
    <x v="0"/>
    <x v="0"/>
    <n v="63"/>
    <n v="72"/>
    <s v="133.19587777179584"/>
    <s v="152.22386031062382"/>
    <x v="0"/>
    <n v="999"/>
    <x v="14"/>
    <x v="4"/>
    <m/>
    <s v="U13 F 35"/>
    <n v="0"/>
    <x v="1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49"/>
    <x v="3"/>
    <s v="Melany LE VIENNESSE - BOHER08/08/2012"/>
    <n v="2025"/>
    <s v="133.19587777179584"/>
    <s v="133.19587777179584"/>
  </r>
  <r>
    <x v="575"/>
    <x v="556"/>
    <s v="Méline FORESTIER12/12/2013"/>
    <n v="492404"/>
    <s v="FR"/>
    <s v="BFC - Critérium National - Besançon - BFC-Critérium U13 F-Besançondim 15 Déc 2024"/>
    <s v="HALTEROPHILIE PONTISSALIENNE"/>
    <s v="Méline FORESTIER12/12/2013"/>
    <s v="63.4"/>
    <n v="31"/>
    <n v="33"/>
    <n v="35"/>
    <n v="35"/>
    <n v="68"/>
    <s v="OOO"/>
    <n v="43"/>
    <n v="45"/>
    <n v="47"/>
    <n v="47"/>
    <n v="92"/>
    <s v="OOO"/>
    <x v="2"/>
    <x v="0"/>
    <x v="0"/>
    <n v="82"/>
    <n v="160"/>
    <s v="107.22930239567813"/>
    <s v="209.2279071135183"/>
    <x v="0"/>
    <n v="999"/>
    <x v="7"/>
    <x v="4"/>
    <m/>
    <s v="U13 F 64"/>
    <n v="209.22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4"/>
    <x v="6"/>
    <s v="Méline FORESTIER12/12/2013"/>
    <n v="2025"/>
    <s v="107.22930239567813"/>
    <s v="107.22930239567813"/>
  </r>
  <r>
    <x v="576"/>
    <x v="557"/>
    <s v="Melyn BAUDY08/03/2015"/>
    <n v="475162"/>
    <s v="FR"/>
    <s v="IDF - Critérium National - Franconville - Minimesdim 15 Déc 2024"/>
    <s v="HCVM CHELLES"/>
    <s v="Melyn BAUDY08/03/2015"/>
    <s v="35.3"/>
    <n v="17"/>
    <n v="18"/>
    <n v="-19"/>
    <n v="18"/>
    <n v="35"/>
    <s v="OOX"/>
    <n v="24"/>
    <n v="25"/>
    <n v="-26"/>
    <n v="25"/>
    <n v="49"/>
    <s v="OOX"/>
    <x v="3"/>
    <x v="0"/>
    <x v="0"/>
    <n v="43"/>
    <n v="84"/>
    <s v="90.13208091692556"/>
    <s v="176.07197202376156"/>
    <x v="0"/>
    <n v="999"/>
    <x v="13"/>
    <x v="5"/>
    <m/>
    <s v="U10 F "/>
    <n v="176.07"/>
    <x v="1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49"/>
    <x v="3"/>
    <s v="Melyn BAUDY08/03/2015"/>
    <n v="2025"/>
    <s v="92.49198658202775"/>
    <s v="92.49198658202775"/>
  </r>
  <r>
    <x v="577"/>
    <x v="558"/>
    <s v="Mickael COSTA26/03/1992"/>
    <n v="468722"/>
    <s v="FR"/>
    <s v="IDF - Critérium National - Franconville - Seniors Hommes 3ème plateausam 14 Déc 2024"/>
    <s v="HCVM CHELLES"/>
    <s v="Mickael COSTA26/03/1992"/>
    <n v="88"/>
    <n v="103"/>
    <n v="107"/>
    <n v="-110"/>
    <n v="107"/>
    <n v="210"/>
    <s v="OOX"/>
    <n v="-132"/>
    <n v="-132"/>
    <n v="-133"/>
    <n v="0"/>
    <n v="0"/>
    <s v="XXX"/>
    <x v="5"/>
    <x v="0"/>
    <x v="0"/>
    <n v="107"/>
    <n v="210"/>
    <s v="130.05889391455557"/>
    <s v="255.25577310333338"/>
    <x v="0"/>
    <n v="999"/>
    <x v="9"/>
    <x v="2"/>
    <m/>
    <s v="SEN M 89"/>
    <n v="0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9"/>
    <x v="3"/>
    <s v="Mickael COSTA26/03/1992"/>
    <n v="2025"/>
    <s v="284.81461765659463"/>
    <s v="284.81461765659463"/>
  </r>
  <r>
    <x v="578"/>
    <x v="559"/>
    <s v="Miguel adolfo TORREZ DAURA07/10/1997"/>
    <n v="473765"/>
    <s v="SV"/>
    <s v="IDF - Critérium National - Neuilly - Seniors Hommes 3ème plateausam 14 Déc 2024"/>
    <s v="SPORTING CLUB DE NEUILLY"/>
    <s v="Miguel adolfo TORREZ DAURA07/10/1997"/>
    <s v="76.9"/>
    <n v="-95"/>
    <n v="95"/>
    <n v="100"/>
    <n v="100"/>
    <n v="195"/>
    <s v="XOO"/>
    <n v="125"/>
    <n v="130"/>
    <n v="-136"/>
    <n v="130"/>
    <n v="255"/>
    <s v="OOX"/>
    <x v="3"/>
    <x v="0"/>
    <x v="0"/>
    <n v="230"/>
    <n v="450"/>
    <s v="300.5718536066827"/>
    <s v="588.0753657522052"/>
    <x v="2"/>
    <n v="6"/>
    <x v="4"/>
    <x v="2"/>
    <m/>
    <s v="SEN M 81"/>
    <n v="300.57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8"/>
    <x v="3"/>
    <s v="Miguel adolfo TORREZ DAURA07/10/1997"/>
    <n v="2025"/>
    <s v="309.701713736048"/>
    <s v="300.5718536066827"/>
  </r>
  <r>
    <x v="579"/>
    <x v="560"/>
    <s v="Mila MARGUERAT22/04/2013"/>
    <n v="475704"/>
    <s v="FR"/>
    <s v="GE - Critérium National - Langres - LOR - CHAsam 14 Déc 2024"/>
    <s v="LANEUVEVILLE HMS"/>
    <s v="Mila MARGUERAT22/04/2013"/>
    <s v="44.4"/>
    <n v="26"/>
    <n v="28"/>
    <n v="30"/>
    <n v="30"/>
    <n v="58"/>
    <s v="OOO"/>
    <n v="36"/>
    <n v="38"/>
    <n v="40"/>
    <n v="40"/>
    <n v="78"/>
    <s v="OOO"/>
    <x v="2"/>
    <x v="0"/>
    <x v="0"/>
    <n v="70"/>
    <n v="136"/>
    <s v="118.61043515850477"/>
    <s v="230.443131165095"/>
    <x v="0"/>
    <n v="999"/>
    <x v="6"/>
    <x v="4"/>
    <m/>
    <s v="U13 F 45"/>
    <n v="230.44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94"/>
    <x v="2"/>
    <s v="Mila MARGUERAT22/04/2013"/>
    <n v="2025"/>
    <s v="118.61043515850477"/>
    <s v="118.61043515850477"/>
  </r>
  <r>
    <x v="580"/>
    <x v="561"/>
    <s v="Mohamed BARKAT25/06/1985"/>
    <n v="465913"/>
    <s v="FR"/>
    <s v="BFC - Critérium National - Besançon - BFC - Critérium National - Besançon - BFC-Critérium 81 89 96sam 14 Déc 2024"/>
    <s v="HC AVALLON MFAC"/>
    <s v="Mohamed BARKAT25/06/1985"/>
    <n v="89"/>
    <n v="92"/>
    <n v="97"/>
    <n v="100"/>
    <n v="100"/>
    <n v="197"/>
    <s v="OOO"/>
    <n v="125"/>
    <n v="-130"/>
    <n v="130"/>
    <n v="130"/>
    <n v="255"/>
    <s v="OXO"/>
    <x v="1"/>
    <x v="0"/>
    <x v="0"/>
    <n v="230"/>
    <n v="452"/>
    <s v="278.0176331229444"/>
    <s v="546.365087702482"/>
    <x v="2"/>
    <n v="6"/>
    <x v="9"/>
    <x v="2"/>
    <n v="40"/>
    <s v="SEN M 89"/>
    <n v="278.01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90"/>
    <x v="6"/>
    <s v="Mohamed BARKAT25/06/1985"/>
    <n v="2025"/>
    <s v="290.734661124733"/>
    <s v="285.2716397146439"/>
  </r>
  <r>
    <x v="581"/>
    <x v="562"/>
    <s v="Morgan LORE01/01/1986"/>
    <n v="478608"/>
    <s v="FR"/>
    <s v="IDF - Critérium National - Neuilly - Seniors Hommes 3ème plateausam 14 Déc 2024"/>
    <s v="CACHAN HM"/>
    <s v="Morgan LORE01/01/1986"/>
    <n v="81"/>
    <n v="100"/>
    <n v="-105"/>
    <n v="-110"/>
    <n v="100"/>
    <n v="0"/>
    <s v="OXX"/>
    <n v="115"/>
    <n v="120"/>
    <n v="123"/>
    <n v="123"/>
    <n v="243"/>
    <s v="OOO"/>
    <x v="3"/>
    <x v="0"/>
    <x v="0"/>
    <n v="223"/>
    <n v="243"/>
    <s v="283.0198580578592"/>
    <s v="308.40280496887794"/>
    <x v="2"/>
    <n v="6"/>
    <x v="4"/>
    <x v="2"/>
    <n v="35"/>
    <s v="SEN M 81"/>
    <n v="283.01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17"/>
    <x v="3"/>
    <s v="Morgan LORE01/01/1986"/>
    <n v="2025"/>
    <s v="290.63474213116484"/>
    <s v="290.63474213116484"/>
  </r>
  <r>
    <x v="582"/>
    <x v="563"/>
    <s v="Morgane VERMONT19/11/1988"/>
    <n v="461759"/>
    <s v="FR"/>
    <s v="REU - Critérium National - La possession - SENIOREdim 15 Déc 2024"/>
    <s v="LO SAN JOSEPH BARBELL CLUB"/>
    <s v="Morgane VERMONT19/11/1988"/>
    <s v="58.52"/>
    <n v="70"/>
    <n v="74"/>
    <n v="-78"/>
    <n v="74"/>
    <n v="144"/>
    <s v="OOX"/>
    <n v="90"/>
    <n v="95"/>
    <n v="-100"/>
    <n v="95"/>
    <n v="185"/>
    <s v="OOX"/>
    <x v="3"/>
    <x v="0"/>
    <x v="0"/>
    <n v="169"/>
    <n v="329"/>
    <s v="232.48991431965356"/>
    <s v="452.5987089418108"/>
    <x v="3"/>
    <n v="4"/>
    <x v="2"/>
    <x v="2"/>
    <n v="35"/>
    <s v="SEN F 59"/>
    <n v="232.48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84"/>
    <x v="5"/>
    <s v="Morgane VERMONT19/11/1988"/>
    <n v="2025"/>
    <s v="232.61276209325106"/>
    <s v="232.48991431965356"/>
  </r>
  <r>
    <x v="583"/>
    <x v="564"/>
    <s v="Mounira NAKOULMA30/04/2012"/>
    <n v="475795"/>
    <s v="FR"/>
    <s v="HDF - Critérium National - Comines - U13 Fillesdim 15 Déc 2024"/>
    <s v="CA ROSENDAEL"/>
    <s v="Mounira NAKOULMA30/04/2012"/>
    <s v="113.9"/>
    <n v="40"/>
    <n v="-42"/>
    <n v="42"/>
    <n v="42"/>
    <n v="82"/>
    <s v="OXO"/>
    <n v="50"/>
    <n v="52"/>
    <n v="54"/>
    <n v="54"/>
    <n v="106"/>
    <s v="OOO"/>
    <x v="1"/>
    <x v="0"/>
    <x v="0"/>
    <n v="96"/>
    <n v="188"/>
    <s v="99.00003658996778"/>
    <s v="193.87507165535354"/>
    <x v="0"/>
    <n v="999"/>
    <x v="25"/>
    <x v="4"/>
    <m/>
    <s v="U13 F &gt;71"/>
    <n v="193.87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13"/>
    <x v="8"/>
    <s v="Mounira NAKOULMA30/04/2012"/>
    <n v="2025"/>
    <s v="107.3574341855631"/>
    <s v="107.3574341855631"/>
  </r>
  <r>
    <x v="584"/>
    <x v="565"/>
    <s v="Mya ONEZIME14/11/2011"/>
    <n v="497391"/>
    <s v="FR"/>
    <s v="REU - Critérium National - La possession - U15-17-20dim 15 Déc 2024"/>
    <s v="CFSM WEIGHTLIFTING CLUB"/>
    <s v="Mya ONEZIME14/11/2011"/>
    <s v="43.12"/>
    <n v="33"/>
    <n v="-36"/>
    <n v="36"/>
    <n v="36"/>
    <n v="69"/>
    <s v="OXO"/>
    <n v="-46"/>
    <n v="46"/>
    <n v="0"/>
    <n v="46"/>
    <n v="0"/>
    <s v="XOX"/>
    <x v="0"/>
    <x v="0"/>
    <x v="0"/>
    <n v="82"/>
    <n v="69"/>
    <s v="142.47967274402114"/>
    <s v="119.89143194313974"/>
    <x v="3"/>
    <n v="4"/>
    <x v="6"/>
    <x v="1"/>
    <m/>
    <s v="U15 F 45"/>
    <n v="142.47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105"/>
    <x v="5"/>
    <s v="Mya ONEZIME14/11/2011"/>
    <n v="2025"/>
    <s v="158.11272680301562"/>
    <s v="158.11272680301562"/>
  </r>
  <r>
    <x v="585"/>
    <x v="566"/>
    <s v="Nadji LEMOYNE06/11/1986"/>
    <n v="461183"/>
    <s v="FR"/>
    <s v="GUA - Critérium National - Creps antilles guyane - GUA-Critérium National d'Haltérophiliesam 14 Déc 2024"/>
    <s v="HALTEROPHILIE CLUB DE POINTE A PITRE 971"/>
    <s v="Nadji LEMOYNE06/11/1986"/>
    <s v="63.8"/>
    <n v="52"/>
    <n v="55"/>
    <n v="-57"/>
    <n v="55"/>
    <n v="107"/>
    <s v="OOX"/>
    <n v="67"/>
    <n v="72"/>
    <n v="-75"/>
    <n v="72"/>
    <n v="139"/>
    <s v="OOX"/>
    <x v="3"/>
    <x v="0"/>
    <x v="0"/>
    <n v="127"/>
    <n v="246"/>
    <s v="165.44555040430936"/>
    <s v="320.46933385401655"/>
    <x v="2"/>
    <n v="6"/>
    <x v="7"/>
    <x v="2"/>
    <n v="35"/>
    <s v="SEN F 64"/>
    <n v="165.44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Nadji LEMOYNE06/11/1986"/>
    <n v="2025"/>
    <s v="165.44555040430936"/>
    <s v="165.44555040430936"/>
  </r>
  <r>
    <x v="586"/>
    <x v="567"/>
    <s v="Nahil ARAB22/10/2013"/>
    <n v="466387"/>
    <s v="FR"/>
    <s v="HDF - Critérium National - Comines - U13 garçonsdim 15 Déc 2024"/>
    <s v="OGS HALTEROPHILIE MUSCULATION"/>
    <s v="Nahil ARAB22/10/2013"/>
    <s v="29.48"/>
    <n v="21"/>
    <n v="-23"/>
    <n v="23"/>
    <n v="23"/>
    <n v="44"/>
    <s v="OXO"/>
    <n v="29"/>
    <n v="30"/>
    <n v="32"/>
    <n v="32"/>
    <n v="62"/>
    <s v="OOO"/>
    <x v="1"/>
    <x v="0"/>
    <x v="0"/>
    <n v="55"/>
    <n v="106"/>
    <s v="167.21257926720656"/>
    <s v="322.2642436786163"/>
    <x v="0"/>
    <n v="999"/>
    <x v="14"/>
    <x v="4"/>
    <m/>
    <s v="U13 M 35"/>
    <n v="322.26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3"/>
    <x v="8"/>
    <s v="Nahil ARAB22/10/2013"/>
    <n v="2025"/>
    <s v="174.0897860982152"/>
    <s v="168.7910646352483"/>
  </r>
  <r>
    <x v="587"/>
    <x v="568"/>
    <s v="Naomie ROUSSEL23/04/2009"/>
    <n v="475381"/>
    <s v="FR"/>
    <s v="GE - Critérium National - Langres - LOR - CHAsam 14 Déc 2024"/>
    <s v="LANGRES HM"/>
    <s v="Naomie ROUSSEL23/04/2009"/>
    <s v="62.7"/>
    <n v="54"/>
    <n v="57"/>
    <n v="-60"/>
    <n v="57"/>
    <n v="111"/>
    <s v="OOX"/>
    <n v="63"/>
    <n v="67"/>
    <n v="70"/>
    <n v="70"/>
    <n v="137"/>
    <s v="OOO"/>
    <x v="1"/>
    <x v="0"/>
    <x v="0"/>
    <n v="127"/>
    <n v="248"/>
    <s v="167.20206783435233"/>
    <s v="326.50482537731796"/>
    <x v="3"/>
    <n v="4"/>
    <x v="7"/>
    <x v="3"/>
    <m/>
    <s v="U17 F 64"/>
    <n v="167.2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Naomie ROUSSEL23/04/2009"/>
    <n v="2025"/>
    <s v="169.85178411923255"/>
    <s v="167.20206783435233"/>
  </r>
  <r>
    <x v="588"/>
    <x v="569"/>
    <s v="Nathan DESRIVIERES11/02/2008"/>
    <n v="501329"/>
    <s v="FR"/>
    <s v="IDF - Critérium National - Franconville - Jeunes Hommesdim 15 Déc 2024"/>
    <s v="HCVM CHELLES"/>
    <s v="Nathan DESRIVIERES11/02/2008"/>
    <s v="72.4"/>
    <n v="95"/>
    <n v="-99"/>
    <n v="-100"/>
    <n v="95"/>
    <n v="0"/>
    <s v="OXX"/>
    <n v="117"/>
    <n v="121"/>
    <n v="-125"/>
    <n v="121"/>
    <n v="238"/>
    <s v="OOX"/>
    <x v="0"/>
    <x v="0"/>
    <x v="0"/>
    <n v="216"/>
    <n v="238"/>
    <s v="292.6508250231122"/>
    <s v="322.4578534976884"/>
    <x v="3"/>
    <n v="4"/>
    <x v="5"/>
    <x v="3"/>
    <m/>
    <s v="U17 M 73"/>
    <n v="292.64999999999998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49"/>
    <x v="3"/>
    <s v="Nathan DESRIVIERES11/02/2008"/>
    <n v="2025"/>
    <s v="292.6508250231122"/>
    <s v="292.6508250231122"/>
  </r>
  <r>
    <x v="589"/>
    <x v="570"/>
    <s v="Nathan LUTUN12/04/2012"/>
    <n v="503930"/>
    <s v="FR"/>
    <s v="HDF - Critérium National - Comines - U13 garçonsdim 15 Déc 2024"/>
    <s v="CA ROSENDAEL"/>
    <s v="Nathan LUTUN12/04/2012"/>
    <s v="47.2"/>
    <n v="18"/>
    <n v="20"/>
    <n v="22"/>
    <n v="22"/>
    <n v="42"/>
    <s v="OOO"/>
    <n v="28"/>
    <n v="30"/>
    <n v="32"/>
    <n v="32"/>
    <n v="62"/>
    <s v="OOO"/>
    <x v="2"/>
    <x v="0"/>
    <x v="0"/>
    <n v="54"/>
    <n v="104"/>
    <s v="100.91853264930268"/>
    <s v="194.36161843569406"/>
    <x v="0"/>
    <n v="999"/>
    <x v="10"/>
    <x v="4"/>
    <m/>
    <s v="U13 M 49"/>
    <n v="194.36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13"/>
    <x v="8"/>
    <s v="Nathan LUTUN12/04/2012"/>
    <n v="2025"/>
    <s v="102.21324432688944"/>
    <s v="102.21324432688944"/>
  </r>
  <r>
    <x v="590"/>
    <x v="571"/>
    <s v="Nathanael TRANQUILLAIN13/01/2005"/>
    <n v="402794"/>
    <s v="FR"/>
    <s v="PDL - Critérium National - Laval - U15 au U20 Hdim 15 Déc 2024"/>
    <s v="CJF LAVAL VOUTRE HALTERO 53"/>
    <s v="Nathanael TRANQUILLAIN13/01/2005"/>
    <s v="72.95"/>
    <n v="80"/>
    <n v="85"/>
    <n v="90"/>
    <n v="90"/>
    <n v="175"/>
    <s v="OOO"/>
    <n v="105"/>
    <n v="-110"/>
    <n v="-110"/>
    <n v="105"/>
    <n v="0"/>
    <s v="OXX"/>
    <x v="3"/>
    <x v="0"/>
    <x v="0"/>
    <n v="195"/>
    <n v="175"/>
    <s v="262.97159093431776"/>
    <s v="236.00014571028518"/>
    <x v="2"/>
    <n v="6"/>
    <x v="5"/>
    <x v="0"/>
    <m/>
    <s v="U20 M 73"/>
    <n v="262.97000000000003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43"/>
    <x v="10"/>
    <s v="Nathanael TRANQUILLAIN13/01/2005"/>
    <n v="2025"/>
    <s v="262.97159093431776"/>
    <s v="262.97159093431776"/>
  </r>
  <r>
    <x v="591"/>
    <x v="572"/>
    <s v="Nathaniel PENEZ17/09/2013"/>
    <n v="490798"/>
    <s v="FR"/>
    <s v="HDF - Critérium National - Comines - U13 garçonsdim 15 Déc 2024"/>
    <s v="CHCD COMINES"/>
    <s v="Nathaniel PENEZ17/09/2013"/>
    <s v="72.27"/>
    <n v="16"/>
    <n v="18"/>
    <n v="-19"/>
    <n v="18"/>
    <n v="34"/>
    <s v="OOX"/>
    <n v="24"/>
    <n v="25"/>
    <n v="-26"/>
    <n v="25"/>
    <n v="49"/>
    <s v="OOX"/>
    <x v="3"/>
    <x v="0"/>
    <x v="0"/>
    <n v="43"/>
    <n v="83"/>
    <s v="58.323942180625025"/>
    <s v="112.57877211609016"/>
    <x v="0"/>
    <n v="999"/>
    <x v="5"/>
    <x v="4"/>
    <m/>
    <s v="U13 M 73"/>
    <n v="112.57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7"/>
    <x v="8"/>
    <s v="Nathaniel PENEZ17/09/2013"/>
    <n v="2025"/>
    <s v="58.71383159994909"/>
    <s v="58.71383159994909"/>
  </r>
  <r>
    <x v="592"/>
    <x v="573"/>
    <s v="Natymael BOITTIN10/10/1994"/>
    <n v="496440"/>
    <s v="FR"/>
    <s v="GUA - Critérium National - Creps antilles guyane - GUA-Critérium National d'Haltérophiliesam 14 Déc 2024"/>
    <s v="HALTEROPHILIE CLUB DE POINTE A PITRE 971"/>
    <s v="Natymael BOITTIN10/10/1994"/>
    <s v="78.5"/>
    <n v="90"/>
    <n v="95"/>
    <n v="100"/>
    <n v="100"/>
    <n v="195"/>
    <s v="OOO"/>
    <n v="110"/>
    <n v="115"/>
    <n v="120"/>
    <n v="120"/>
    <n v="235"/>
    <s v="OOO"/>
    <x v="2"/>
    <x v="0"/>
    <x v="0"/>
    <n v="220"/>
    <n v="430"/>
    <s v="284.1298945471126"/>
    <s v="555.3447938875382"/>
    <x v="2"/>
    <n v="6"/>
    <x v="4"/>
    <x v="2"/>
    <m/>
    <s v="SEN M 81"/>
    <n v="284.12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Natymael BOITTIN10/10/1994"/>
    <n v="2025"/>
    <s v="285.164325086858"/>
    <s v="285.164325086858"/>
  </r>
  <r>
    <x v="593"/>
    <x v="574"/>
    <s v="Nawel BESBAS18/12/1995"/>
    <n v="421575"/>
    <s v="FR"/>
    <s v="IDF - Critérium National - Neuilly-sur-seinesam 14 Déc 2024"/>
    <s v="CACHAN HM"/>
    <s v="Nawel BESBAS18/12/1995"/>
    <s v="65.8"/>
    <n v="50"/>
    <n v="-55"/>
    <n v="-55"/>
    <n v="50"/>
    <n v="0"/>
    <s v="OXX"/>
    <n v="70"/>
    <n v="-73"/>
    <n v="-73"/>
    <n v="70"/>
    <n v="0"/>
    <s v="OXX"/>
    <x v="5"/>
    <x v="0"/>
    <x v="0"/>
    <n v="120"/>
    <n v="0"/>
    <s v="153.50183441782823"/>
    <s v="0.0"/>
    <x v="5"/>
    <n v="7"/>
    <x v="3"/>
    <x v="2"/>
    <m/>
    <s v="SEN F 71"/>
    <n v="153.5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7"/>
    <x v="3"/>
    <s v="Nawel BESBAS18/12/1995"/>
    <n v="2025"/>
    <s v="160.23466692700828"/>
    <s v="153.50183441782823"/>
  </r>
  <r>
    <x v="594"/>
    <x v="575"/>
    <s v="Nicolas LE ROUX21/08/1994"/>
    <n v="475249"/>
    <s v="FR"/>
    <s v="NDIE - Critérium National - Caen - Plateau B Masculinsam 14 Déc 2024"/>
    <s v="STADE ST LOIS"/>
    <s v="Nicolas LE ROUX21/08/1994"/>
    <s v="99.25"/>
    <n v="-120"/>
    <n v="120"/>
    <n v="123"/>
    <n v="123"/>
    <n v="243"/>
    <s v="XOO"/>
    <n v="142"/>
    <n v="147"/>
    <n v="150"/>
    <n v="150"/>
    <n v="297"/>
    <s v="OOO"/>
    <x v="1"/>
    <x v="0"/>
    <x v="0"/>
    <n v="273"/>
    <n v="540"/>
    <s v="314.07166584889717"/>
    <s v="621.2406577230934"/>
    <x v="1"/>
    <n v="5"/>
    <x v="17"/>
    <x v="2"/>
    <m/>
    <s v="SEN M 102"/>
    <n v="314.07"/>
    <x v="0"/>
    <s v="NDIE - Critérium National - Caen - Plateau B Masculinsam 14 Déc 2024"/>
    <s v="Critérium National - Caen - Plateau B Masculin"/>
    <s v="NDI"/>
    <d v="2024-12-14T00:00:00"/>
    <n v="2024"/>
    <n v="12"/>
    <s v="2024-12"/>
    <m/>
    <s v="2024-2025"/>
    <n v="2025"/>
    <x v="83"/>
    <x v="9"/>
    <s v="Nicolas LE ROUX21/08/1994"/>
    <n v="2025"/>
    <s v="314.07166584889717"/>
    <s v="314.07166584889717"/>
  </r>
  <r>
    <x v="595"/>
    <x v="576"/>
    <s v="Nicolas MICHELET16/03/1990"/>
    <n v="493784"/>
    <s v="FR"/>
    <s v="IDF - Critérium National - Franconville - Seniors Hommes 3ème plateausam 14 Déc 2024"/>
    <s v="AFHMA FRANCONVILLE"/>
    <s v="Nicolas MICHELET16/03/1990"/>
    <s v="71.6"/>
    <n v="90"/>
    <n v="-95"/>
    <n v="95"/>
    <n v="95"/>
    <n v="185"/>
    <s v="OXO"/>
    <n v="110"/>
    <n v="115"/>
    <n v="118"/>
    <n v="118"/>
    <n v="233"/>
    <s v="OOO"/>
    <x v="1"/>
    <x v="0"/>
    <x v="0"/>
    <n v="213"/>
    <n v="418"/>
    <s v="290.5843724083767"/>
    <s v="570.2547777779412"/>
    <x v="2"/>
    <n v="6"/>
    <x v="5"/>
    <x v="2"/>
    <n v="35"/>
    <s v="SEN M 73"/>
    <n v="290.58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"/>
    <x v="3"/>
    <s v="Nicolas MICHELET16/03/1990"/>
    <n v="2025"/>
    <s v="290.5843724083767"/>
    <s v="290.5843724083767"/>
  </r>
  <r>
    <x v="596"/>
    <x v="577"/>
    <s v="Nicolas SAMMUT14/01/1998"/>
    <n v="471498"/>
    <s v="FR"/>
    <s v="PACA - Critérium National - Mondragon - Provence U15 à SEN HOMsam 14 Déc 2024"/>
    <s v="ISTRES SPORT HALTEROPHILIE"/>
    <s v="Nicolas SAMMUT14/01/1998"/>
    <s v="78.2"/>
    <n v="115"/>
    <n v="119"/>
    <n v="-123"/>
    <n v="119"/>
    <n v="234"/>
    <s v="OOX"/>
    <n v="-150"/>
    <n v="-156"/>
    <n v="-156"/>
    <n v="0"/>
    <n v="0"/>
    <s v="XXX"/>
    <x v="5"/>
    <x v="0"/>
    <x v="0"/>
    <n v="119"/>
    <n v="234"/>
    <s v="154.02301522503546"/>
    <s v="302.86878624082607"/>
    <x v="0"/>
    <n v="999"/>
    <x v="4"/>
    <x v="2"/>
    <m/>
    <s v="SEN M 81"/>
    <n v="0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47"/>
    <x v="0"/>
    <s v="Nicolas SAMMUT14/01/1998"/>
    <n v="2025"/>
    <s v="358.00994746011105"/>
    <s v="343.84132388456726"/>
  </r>
  <r>
    <x v="597"/>
    <x v="578"/>
    <s v="Nicolas SANIER02/02/1995"/>
    <n v="504867"/>
    <s v="FR"/>
    <s v="BFC - Critérium National - Besançon - BFC - Critérium National - Besançon - BFC-Critérium 81 89 96sam 14 Déc 2024"/>
    <s v="CLUB HALTEROPHILE LUXOVIEN"/>
    <s v="Nicolas SANIER02/02/1995"/>
    <s v="90.7"/>
    <n v="120"/>
    <n v="125"/>
    <n v="-130"/>
    <n v="125"/>
    <n v="245"/>
    <s v="OOX"/>
    <n v="150"/>
    <n v="-155"/>
    <n v="-157"/>
    <n v="150"/>
    <n v="0"/>
    <s v="OXX"/>
    <x v="0"/>
    <x v="0"/>
    <x v="0"/>
    <n v="275"/>
    <n v="245"/>
    <s v="329.39474012801685"/>
    <s v="293.46076847768774"/>
    <x v="1"/>
    <n v="5"/>
    <x v="18"/>
    <x v="2"/>
    <m/>
    <s v="SEN M 96"/>
    <n v="329.39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Nicolas SANIER02/02/1995"/>
    <n v="2025"/>
    <s v="329.39474012801685"/>
    <s v="329.39474012801685"/>
  </r>
  <r>
    <x v="598"/>
    <x v="579"/>
    <s v="Nina CAPITAINE16/07/1998"/>
    <n v="501181"/>
    <s v="FR"/>
    <s v="BRE - Critérium National - Plouhinec - Femmessam 14 Déc 2024"/>
    <s v="BREST HALTEROPHILIE 29"/>
    <s v="Nina CAPITAINE16/07/1998"/>
    <s v="62.7"/>
    <n v="-68"/>
    <n v="72"/>
    <n v="75"/>
    <n v="75"/>
    <n v="147"/>
    <s v="XOO"/>
    <n v="85"/>
    <n v="-90"/>
    <n v="-90"/>
    <n v="85"/>
    <n v="0"/>
    <s v="OXX"/>
    <x v="0"/>
    <x v="0"/>
    <x v="0"/>
    <n v="160"/>
    <n v="147"/>
    <s v="210.64827443697934"/>
    <s v="193.53310213897475"/>
    <x v="1"/>
    <n v="5"/>
    <x v="7"/>
    <x v="2"/>
    <m/>
    <s v="SEN F 64"/>
    <n v="210.64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78"/>
    <x v="7"/>
    <s v="Nina CAPITAINE16/07/1998"/>
    <n v="2025"/>
    <s v="210.64827443697934"/>
    <s v="210.64827443697934"/>
  </r>
  <r>
    <x v="599"/>
    <x v="580"/>
    <s v="Nina DE SAMPAIO19/10/2002"/>
    <n v="447739"/>
    <s v="FR"/>
    <s v="OCC - Critérium National - Hc montalbanais - Plateau 1sam 14 Déc 2024"/>
    <s v="TOULOUSE HC"/>
    <s v="Nina DE SAMPAIO19/10/2002"/>
    <n v="62"/>
    <n v="59"/>
    <n v="62"/>
    <n v="65"/>
    <n v="65"/>
    <n v="127"/>
    <s v="OOO"/>
    <n v="77"/>
    <n v="-80"/>
    <n v="82"/>
    <n v="82"/>
    <n v="159"/>
    <s v="OXO"/>
    <x v="1"/>
    <x v="0"/>
    <x v="0"/>
    <n v="147"/>
    <n v="286"/>
    <s v="194.87842202075493"/>
    <s v="379.1512156322171"/>
    <x v="1"/>
    <n v="5"/>
    <x v="7"/>
    <x v="2"/>
    <m/>
    <s v="SEN F 64"/>
    <n v="194.87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6"/>
    <x v="1"/>
    <s v="Nina DE SAMPAIO19/10/2002"/>
    <n v="2025"/>
    <s v="194.87842202075493"/>
    <s v="194.87842202075493"/>
  </r>
  <r>
    <x v="600"/>
    <x v="581"/>
    <s v="Nina DIOGUARDI05/01/2007"/>
    <n v="442092"/>
    <s v="FR"/>
    <s v="HDF - Critérium National - Comines - U20 - Seniors Femmessam 14 Déc 2024"/>
    <s v="OGS HALTEROPHILIE MUSCULATION"/>
    <s v="Nina DIOGUARDI05/01/2007"/>
    <s v="52.03"/>
    <n v="48"/>
    <n v="-51"/>
    <n v="51"/>
    <n v="51"/>
    <n v="99"/>
    <s v="OXO"/>
    <n v="60"/>
    <n v="64"/>
    <n v="-68"/>
    <n v="64"/>
    <n v="124"/>
    <s v="OOX"/>
    <x v="3"/>
    <x v="0"/>
    <x v="0"/>
    <n v="115"/>
    <n v="223"/>
    <s v="171.7818327641365"/>
    <s v="333.10738005567345"/>
    <x v="1"/>
    <n v="5"/>
    <x v="1"/>
    <x v="0"/>
    <m/>
    <s v="U20 F 55"/>
    <n v="171.78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33"/>
    <x v="8"/>
    <s v="Nina DIOGUARDI05/01/2007"/>
    <n v="2025"/>
    <s v="174.55155738710894"/>
    <s v="171.7818327641365"/>
  </r>
  <r>
    <x v="601"/>
    <x v="582"/>
    <s v="Nina FRABBONI14/05/2010"/>
    <n v="490436"/>
    <s v="FR"/>
    <s v="BFC - Critérium National - Besançon - BFC-Critérium u15 F F-Besançondim 15 Déc 2024"/>
    <s v="HC AVALLON MFAC"/>
    <s v="Nina FRABBONI14/05/2010"/>
    <s v="54.3"/>
    <n v="-42"/>
    <n v="42"/>
    <n v="-45"/>
    <n v="42"/>
    <n v="0"/>
    <s v="XOX"/>
    <n v="50"/>
    <n v="54"/>
    <n v="-58"/>
    <n v="54"/>
    <n v="104"/>
    <s v="OOX"/>
    <x v="0"/>
    <x v="0"/>
    <x v="0"/>
    <n v="96"/>
    <n v="104"/>
    <s v="139.02225142170522"/>
    <s v="150.60743904018065"/>
    <x v="1"/>
    <n v="5"/>
    <x v="1"/>
    <x v="1"/>
    <m/>
    <s v="U15 F 55"/>
    <n v="139.02000000000001"/>
    <x v="1"/>
    <s v="BFC - Critérium National - Besançon - BFC-Critérium u15 F F-Besançondim 15 Déc 2024"/>
    <s v="Critérium National - Besançon - BFC-Critérium u15 F F-Besançon"/>
    <s v="BFC"/>
    <d v="2024-12-15T00:00:00"/>
    <n v="2024"/>
    <n v="12"/>
    <s v="2024-12"/>
    <m/>
    <s v="2024-2025"/>
    <n v="2025"/>
    <x v="90"/>
    <x v="6"/>
    <s v="Nina FRABBONI14/05/2010"/>
    <n v="2025"/>
    <s v="142.1049665059895"/>
    <s v="142.1049665059895"/>
  </r>
  <r>
    <x v="602"/>
    <x v="583"/>
    <s v="Nina PANN28/07/1993"/>
    <n v="468466"/>
    <s v="FR"/>
    <s v="PACA - Critérium National - Mondragon - Provence F59 à F&gt;87sam 14 Déc 2024"/>
    <s v="EEAR MONTEUX"/>
    <s v="Nina PANN28/07/1993"/>
    <s v="63.75"/>
    <n v="69"/>
    <n v="72"/>
    <n v="75"/>
    <n v="75"/>
    <n v="147"/>
    <s v="OOO"/>
    <n v="90"/>
    <n v="-93"/>
    <n v="-95"/>
    <n v="90"/>
    <n v="0"/>
    <s v="OXX"/>
    <x v="3"/>
    <x v="0"/>
    <x v="0"/>
    <n v="165"/>
    <n v="147"/>
    <s v="215.0503433188458"/>
    <s v="191.5903058658808"/>
    <x v="3"/>
    <n v="4"/>
    <x v="7"/>
    <x v="2"/>
    <m/>
    <s v="SEN F 64"/>
    <n v="215.05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11"/>
    <x v="0"/>
    <s v="Nina PANN28/07/1993"/>
    <n v="2025"/>
    <s v="215.97282312401205"/>
    <s v="215.0503433188458"/>
  </r>
  <r>
    <x v="603"/>
    <x v="584"/>
    <s v="Noa TCHINDA19/09/2005"/>
    <n v="443330"/>
    <s v="FR"/>
    <s v="IDF - Critérium National - Franconville - Jeunes Hommesdim 15 Déc 2024"/>
    <s v="CACHAN HM"/>
    <s v="Noa TCHINDA19/09/2005"/>
    <n v="81"/>
    <n v="90"/>
    <n v="95"/>
    <n v="98"/>
    <n v="98"/>
    <n v="193"/>
    <s v="OOO"/>
    <n v="110"/>
    <n v="117"/>
    <n v="-120"/>
    <n v="117"/>
    <n v="227"/>
    <s v="OOX"/>
    <x v="1"/>
    <x v="0"/>
    <x v="0"/>
    <n v="215"/>
    <n v="420"/>
    <s v="272.8666792934517"/>
    <s v="533.041885131394"/>
    <x v="1"/>
    <n v="5"/>
    <x v="4"/>
    <x v="0"/>
    <m/>
    <s v="U20 M 81"/>
    <n v="272.86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17"/>
    <x v="3"/>
    <s v="Noa TCHINDA19/09/2005"/>
    <n v="2025"/>
    <s v="272.8666792934517"/>
    <s v="272.8666792934517"/>
  </r>
  <r>
    <x v="604"/>
    <x v="585"/>
    <s v="Noah BURGEOT15/07/2013"/>
    <n v="494545"/>
    <s v="FR"/>
    <s v="PDL - Critérium National - Laval - U10 -U13sam 14 Déc 2024"/>
    <s v="CJF LAVAL VOUTRE HALTERO 53"/>
    <s v="Noah BURGEOT15/07/2013"/>
    <s v="64.38"/>
    <n v="14"/>
    <n v="16"/>
    <n v="18"/>
    <n v="18"/>
    <n v="34"/>
    <s v="OOO"/>
    <n v="17"/>
    <n v="19"/>
    <n v="21"/>
    <n v="21"/>
    <n v="40"/>
    <s v="OOO"/>
    <x v="2"/>
    <x v="0"/>
    <x v="0"/>
    <n v="39"/>
    <n v="74"/>
    <s v="57.05910057673686"/>
    <s v="108.26598570970583"/>
    <x v="0"/>
    <n v="999"/>
    <x v="0"/>
    <x v="4"/>
    <m/>
    <s v="U13 M 67"/>
    <n v="108.26"/>
    <x v="0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43"/>
    <x v="10"/>
    <s v="Noah BURGEOT15/07/2013"/>
    <n v="2025"/>
    <s v="57.05910057673686"/>
    <s v="57.05910057673686"/>
  </r>
  <r>
    <x v="605"/>
    <x v="586"/>
    <s v="Noah VEFOUR21/11/2012"/>
    <n v="455178"/>
    <s v="FR"/>
    <s v="REU - Critérium National - La possession - LA REUNION-CRITERIUM-LA POSSESSION-U13sam 14 Déc 2024"/>
    <s v="SCHM SAINT PAUL"/>
    <s v="Noah VEFOUR21/11/2012"/>
    <s v="31.9"/>
    <n v="33"/>
    <n v="35"/>
    <n v="37"/>
    <n v="37"/>
    <n v="72"/>
    <s v="OOO"/>
    <n v="42"/>
    <n v="44"/>
    <n v="46"/>
    <n v="46"/>
    <n v="90"/>
    <s v="OOO"/>
    <x v="2"/>
    <x v="0"/>
    <x v="0"/>
    <n v="83"/>
    <n v="162"/>
    <s v="230.3289332056555"/>
    <s v="449.5576768592312"/>
    <x v="0"/>
    <n v="999"/>
    <x v="14"/>
    <x v="4"/>
    <m/>
    <s v="U13 M 35"/>
    <n v="449.55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7"/>
    <x v="5"/>
    <s v="Noah VEFOUR21/11/2012"/>
    <n v="2025"/>
    <s v="230.3289332056555"/>
    <s v="230.3289332056555"/>
  </r>
  <r>
    <x v="606"/>
    <x v="587"/>
    <s v="Noe ANTY-MANIER08/05/2008"/>
    <n v="466313"/>
    <s v="FR"/>
    <s v="HDF - Critérium National - La Ferté Milon - U17 / Seniors Hommessam 14 Déc 2024"/>
    <s v="CA ROSENDAEL"/>
    <s v="Noe ANTY-MANIER08/05/2008"/>
    <s v="88.04"/>
    <n v="105"/>
    <n v="-110"/>
    <n v="112"/>
    <n v="112"/>
    <n v="217"/>
    <s v="OXO"/>
    <n v="-130"/>
    <n v="-130"/>
    <n v="135"/>
    <n v="135"/>
    <n v="0"/>
    <s v="XXO"/>
    <x v="0"/>
    <x v="1"/>
    <x v="0"/>
    <n v="247"/>
    <n v="217"/>
    <s v="300.16189877188054"/>
    <s v="263.7049879898708"/>
    <x v="4"/>
    <n v="3"/>
    <x v="9"/>
    <x v="3"/>
    <m/>
    <s v="U17 M 89"/>
    <n v="300.16000000000003"/>
    <x v="0"/>
    <s v="HDF - Critérium National - La Ferté Milon - U17 / Seniors Hommessam 14 Déc 2024"/>
    <s v="Critérium National - La Ferté Milon - U17 / Seniors Hommes"/>
    <s v="HDF"/>
    <d v="2024-12-14T00:00:00"/>
    <n v="2024"/>
    <n v="12"/>
    <s v="2024-12"/>
    <m/>
    <s v="2024-2025"/>
    <n v="2025"/>
    <x v="13"/>
    <x v="8"/>
    <s v="Noe ANTY-MANIER08/05/2008"/>
    <n v="2025"/>
    <s v="300.16189877188054"/>
    <s v="300.16189877188054"/>
  </r>
  <r>
    <x v="607"/>
    <x v="588"/>
    <s v="Noelle LARGEAS12/06/2001"/>
    <n v="499873"/>
    <s v="FR"/>
    <s v="NDIE - Critérium National - Caen - Plateau B fémininsam 14 Déc 2024"/>
    <s v="CAEN CALVADOS HALTEROPHILIE MUSCULATION"/>
    <s v="Noelle LARGEAS12/06/2001"/>
    <n v="59"/>
    <n v="45"/>
    <n v="48"/>
    <n v="51"/>
    <n v="51"/>
    <n v="99"/>
    <s v="OOO"/>
    <n v="68"/>
    <n v="72"/>
    <n v="-75"/>
    <n v="72"/>
    <n v="140"/>
    <s v="OOX"/>
    <x v="1"/>
    <x v="0"/>
    <x v="0"/>
    <n v="123"/>
    <n v="239"/>
    <s v="168.30217492629342"/>
    <s v="327.0261772958059"/>
    <x v="2"/>
    <n v="6"/>
    <x v="2"/>
    <x v="2"/>
    <m/>
    <s v="SEN F 59"/>
    <n v="168.3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53"/>
    <x v="9"/>
    <s v="Noelle LARGEAS12/06/2001"/>
    <n v="2025"/>
    <s v="168.30217492629342"/>
    <s v="168.30217492629342"/>
  </r>
  <r>
    <x v="608"/>
    <x v="91"/>
    <s v="Noelle ZHENG25/12/2002"/>
    <n v="448938"/>
    <s v="FR"/>
    <s v="IDF - Critérium National - Franconville - Seniors Femmes 1er plateausam 14 Déc 2024"/>
    <s v="CSM GENNEVILLOIS HALTEROPHILIE"/>
    <s v="Noelle ZHENG25/12/2002"/>
    <n v="55"/>
    <n v="-57"/>
    <n v="-57"/>
    <n v="57"/>
    <n v="57"/>
    <n v="0"/>
    <s v="XXO"/>
    <n v="-67"/>
    <n v="-67"/>
    <n v="67"/>
    <n v="67"/>
    <n v="0"/>
    <s v="XXO"/>
    <x v="5"/>
    <x v="1"/>
    <x v="1"/>
    <n v="124"/>
    <n v="0"/>
    <s v="177.95127718657974"/>
    <s v="0.0"/>
    <x v="2"/>
    <n v="6"/>
    <x v="1"/>
    <x v="2"/>
    <m/>
    <s v="SEN F 55"/>
    <n v="177.95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61"/>
    <x v="3"/>
    <s v="Noelle ZHENG25/12/2002"/>
    <n v="2025"/>
    <s v="190.16346629466992"/>
    <s v="181.495288157759"/>
  </r>
  <r>
    <x v="609"/>
    <x v="299"/>
    <s v="Noémie QUERE18/06/2005"/>
    <n v="402003"/>
    <s v="FR"/>
    <s v="BRE - Critérium National - Plouhinec - Femmessam 14 Déc 2024"/>
    <s v="CHM PLOUHINEC POINTE DU RAZ"/>
    <s v="Noémie QUERE18/06/2005"/>
    <s v="63.6"/>
    <n v="56"/>
    <n v="59"/>
    <n v="-61"/>
    <n v="59"/>
    <n v="115"/>
    <s v="OOX"/>
    <n v="65"/>
    <n v="-69"/>
    <n v="-69"/>
    <n v="65"/>
    <n v="0"/>
    <s v="OXX"/>
    <x v="0"/>
    <x v="0"/>
    <x v="0"/>
    <n v="124"/>
    <n v="115"/>
    <s v="161.84318659084758"/>
    <s v="150.09650369312476"/>
    <x v="1"/>
    <n v="5"/>
    <x v="7"/>
    <x v="0"/>
    <m/>
    <s v="U20 F 64"/>
    <n v="161.84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34"/>
    <x v="7"/>
    <s v="Noémie QUERE18/06/2005"/>
    <n v="2025"/>
    <s v="170.49594039808855"/>
    <s v="170.49594039808855"/>
  </r>
  <r>
    <x v="610"/>
    <x v="589"/>
    <s v="Noémie TARDY28/04/1999"/>
    <n v="477029"/>
    <s v="FR"/>
    <s v="NAQ - Critérium National - Mont de marsan - ligue Nouvelle Aquitainesam 14 Déc 2024"/>
    <s v="POWERCAMP BORDEAUX HALTEROPHILIE"/>
    <s v="Noémie TARDY28/04/1999"/>
    <s v="54.6"/>
    <n v="53"/>
    <n v="-55"/>
    <n v="-55"/>
    <n v="53"/>
    <n v="0"/>
    <s v="OXX"/>
    <n v="65"/>
    <n v="-68"/>
    <n v="-68"/>
    <n v="65"/>
    <n v="0"/>
    <s v="OXX"/>
    <x v="5"/>
    <x v="0"/>
    <x v="0"/>
    <n v="118"/>
    <n v="0"/>
    <s v="170.2147119647603"/>
    <s v="0.0"/>
    <x v="2"/>
    <n v="6"/>
    <x v="1"/>
    <x v="2"/>
    <m/>
    <s v="SEN F 55"/>
    <n v="170.21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70"/>
    <x v="12"/>
    <s v="Noémie TARDY28/04/1999"/>
    <n v="2025"/>
    <s v="181.73542432730608"/>
    <s v="170.2147119647603"/>
  </r>
  <r>
    <x v="611"/>
    <x v="590"/>
    <s v="Nolan DENHEZ10/04/2013"/>
    <n v="499645"/>
    <s v="FR"/>
    <s v="HDF - Critérium National - Comines - U13 garçonsdim 15 Déc 2024"/>
    <s v="CHCD COMINES"/>
    <s v="Nolan DENHEZ10/04/2013"/>
    <s v="34.03"/>
    <n v="9"/>
    <n v="11"/>
    <n v="-12"/>
    <n v="11"/>
    <n v="20"/>
    <s v="OOX"/>
    <n v="14"/>
    <n v="16"/>
    <n v="-18"/>
    <n v="16"/>
    <n v="30"/>
    <s v="OOX"/>
    <x v="3"/>
    <x v="0"/>
    <x v="0"/>
    <n v="27"/>
    <n v="50"/>
    <s v="69.73099727004687"/>
    <s v="129.13147642601274"/>
    <x v="0"/>
    <n v="999"/>
    <x v="14"/>
    <x v="4"/>
    <m/>
    <s v="U13 M 35"/>
    <n v="129.13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7"/>
    <x v="8"/>
    <s v="Nolan DENHEZ10/04/2013"/>
    <n v="2025"/>
    <s v="69.73099727004687"/>
    <s v="69.73099727004687"/>
  </r>
  <r>
    <x v="612"/>
    <x v="464"/>
    <s v="Nourhene TRIMECH25/06/2003"/>
    <n v="476397"/>
    <s v="TN"/>
    <s v="BRE - Critérium National - Plouhinec - Femmessam 14 Déc 2024"/>
    <s v="BREST HALTEROPHILIE 29"/>
    <s v="Nourhene TRIMECH25/06/2003"/>
    <s v="57.2"/>
    <n v="54"/>
    <n v="58"/>
    <n v="60"/>
    <n v="60"/>
    <n v="118"/>
    <s v="OOO"/>
    <n v="73"/>
    <n v="77"/>
    <n v="80"/>
    <n v="80"/>
    <n v="157"/>
    <s v="OOO"/>
    <x v="2"/>
    <x v="0"/>
    <x v="0"/>
    <n v="140"/>
    <n v="275"/>
    <s v="195.5535023989037"/>
    <s v="384.1229511407037"/>
    <x v="1"/>
    <n v="5"/>
    <x v="2"/>
    <x v="2"/>
    <m/>
    <s v="SEN F 59"/>
    <n v="195.55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78"/>
    <x v="7"/>
    <s v="Nourhene TRIMECH25/06/2003"/>
    <n v="2025"/>
    <s v="195.5535023989037"/>
    <s v="195.5535023989037"/>
  </r>
  <r>
    <x v="613"/>
    <x v="591"/>
    <s v="Océane GIRARD-CLOS27/08/2007"/>
    <n v="491338"/>
    <s v="FR"/>
    <s v="AURA - Critérium National - Vaulx en velin - PLATEAU JEUNES FEMININESsam 14 Déc 2024"/>
    <s v="ARAVIS HAL-FA"/>
    <s v="Océane GIRARD-CLOS27/08/2007"/>
    <s v="62.4"/>
    <n v="50"/>
    <n v="53"/>
    <n v="-55"/>
    <n v="53"/>
    <n v="103"/>
    <s v="OOX"/>
    <n v="64"/>
    <n v="66"/>
    <n v="70"/>
    <n v="70"/>
    <n v="136"/>
    <s v="OOO"/>
    <x v="1"/>
    <x v="0"/>
    <x v="0"/>
    <n v="123"/>
    <n v="239"/>
    <s v="162.41408068017046"/>
    <s v="315.5850835980548"/>
    <x v="1"/>
    <n v="5"/>
    <x v="7"/>
    <x v="0"/>
    <m/>
    <s v="U20 F 64"/>
    <n v="162.41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24"/>
    <x v="4"/>
    <s v="Océane GIRARD-CLOS27/08/2007"/>
    <n v="2025"/>
    <s v="162.41408068017046"/>
    <s v="162.41408068017046"/>
  </r>
  <r>
    <x v="614"/>
    <x v="592"/>
    <s v="Océane HERNEQUET06/12/1998"/>
    <n v="491574"/>
    <s v="FR"/>
    <s v="IDF - Critérium National - Franconville - Seniors Femmes 2ème plateausam 14 Déc 2024"/>
    <s v="AFHMA FRANCONVILLE"/>
    <s v="Océane HERNEQUET06/12/1998"/>
    <s v="62.14"/>
    <n v="-62"/>
    <n v="-62"/>
    <n v="62"/>
    <n v="62"/>
    <n v="0"/>
    <s v="XXO"/>
    <n v="85"/>
    <n v="-90"/>
    <n v="-90"/>
    <n v="85"/>
    <n v="0"/>
    <s v="OXX"/>
    <x v="5"/>
    <x v="1"/>
    <x v="0"/>
    <n v="147"/>
    <n v="0"/>
    <s v="194.60605246311073"/>
    <s v="0.0"/>
    <x v="1"/>
    <n v="5"/>
    <x v="7"/>
    <x v="2"/>
    <m/>
    <s v="SEN F 64"/>
    <n v="194.6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"/>
    <x v="3"/>
    <s v="Océane HERNEQUET06/12/1998"/>
    <n v="2025"/>
    <s v="205.50141351799937"/>
    <s v="194.60605246311073"/>
  </r>
  <r>
    <x v="615"/>
    <x v="537"/>
    <s v="Océane SCHOTT05/08/2006"/>
    <n v="476999"/>
    <s v="FR"/>
    <s v="GE - Critérium National - Haguenau - ALS - U15 - U17 - U20 Femsam 14 Déc 2024"/>
    <s v="L'ABSOLU HALTERO CLUB"/>
    <s v="Océane SCHOTT05/08/2006"/>
    <s v="62.22"/>
    <n v="44"/>
    <n v="47"/>
    <n v="-50"/>
    <n v="47"/>
    <n v="91"/>
    <s v="OOX"/>
    <n v="58"/>
    <n v="62"/>
    <n v="65"/>
    <n v="65"/>
    <n v="127"/>
    <s v="OOO"/>
    <x v="1"/>
    <x v="0"/>
    <x v="0"/>
    <n v="112"/>
    <n v="218"/>
    <s v="148.15326591562496"/>
    <s v="288.3697497286272"/>
    <x v="2"/>
    <n v="6"/>
    <x v="7"/>
    <x v="0"/>
    <m/>
    <s v="U20 F 64"/>
    <n v="148.15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119"/>
    <x v="2"/>
    <s v="Océane SCHOTT05/08/2006"/>
    <n v="2025"/>
    <s v="148.15326591562496"/>
    <s v="148.15326591562496"/>
  </r>
  <r>
    <x v="616"/>
    <x v="593"/>
    <s v="Olivia ETIENNE11/08/2004"/>
    <n v="463095"/>
    <s v="FR"/>
    <s v="REU - Critérium National - La possession - SENIOREdim 15 Déc 2024"/>
    <s v="HALTERO CLUB DE LA POSSESSION PLIIISSS"/>
    <s v="Olivia ETIENNE11/08/2004"/>
    <s v="59.58"/>
    <n v="52"/>
    <n v="56"/>
    <n v="60"/>
    <n v="60"/>
    <n v="116"/>
    <s v="OOO"/>
    <n v="65"/>
    <n v="70"/>
    <n v="-75"/>
    <n v="70"/>
    <n v="135"/>
    <s v="OOX"/>
    <x v="1"/>
    <x v="0"/>
    <x v="0"/>
    <n v="130"/>
    <n v="251"/>
    <s v="176.7504108384165"/>
    <s v="341.26425477263496"/>
    <x v="2"/>
    <n v="6"/>
    <x v="7"/>
    <x v="2"/>
    <m/>
    <s v="SEN F 64"/>
    <n v="176.75"/>
    <x v="1"/>
    <s v="REU - Critérium National - La possession - SENIOREdim 15 Déc 2024"/>
    <s v="Critérium National - La possession - SENIORE"/>
    <s v="REU"/>
    <d v="2024-12-15T00:00:00"/>
    <n v="2024"/>
    <n v="12"/>
    <s v="2024-12"/>
    <m/>
    <s v="2024-2025"/>
    <n v="2025"/>
    <x v="67"/>
    <x v="5"/>
    <s v="Olivia ETIENNE11/08/2004"/>
    <n v="2025"/>
    <s v="179.80923116444475"/>
    <s v="179.24865784832875"/>
  </r>
  <r>
    <x v="617"/>
    <x v="594"/>
    <s v="Olivia NANTERMOZ20/06/1995"/>
    <n v="475064"/>
    <s v="FR"/>
    <s v="NDIE - Critérium National - Caen - Plateau B fémininsam 14 Déc 2024"/>
    <s v="CHM CHAVILLE"/>
    <s v="Olivia NANTERMOZ20/06/1995"/>
    <s v="80.75"/>
    <n v="65"/>
    <n v="68"/>
    <n v="-70"/>
    <n v="68"/>
    <n v="133"/>
    <s v="OOX"/>
    <n v="83"/>
    <n v="-85"/>
    <n v="-85"/>
    <n v="83"/>
    <n v="0"/>
    <s v="OXX"/>
    <x v="0"/>
    <x v="0"/>
    <x v="0"/>
    <n v="151"/>
    <n v="133"/>
    <s v="173.99732869278108"/>
    <s v="153.25592527244956"/>
    <x v="2"/>
    <n v="6"/>
    <x v="4"/>
    <x v="2"/>
    <m/>
    <s v="SEN F 81"/>
    <n v="173.99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100"/>
    <x v="3"/>
    <s v="Olivia NANTERMOZ20/06/1995"/>
    <n v="2025"/>
    <s v="173.99732869278108"/>
    <s v="173.99732869278108"/>
  </r>
  <r>
    <x v="618"/>
    <x v="595"/>
    <s v="Olivier RICHARD23/11/1980"/>
    <n v="400972"/>
    <s v="FR"/>
    <s v="REU - Critérium National - La possession - LA REUNION-CRITERIUM-LA POSSESSION-U13sam 14 Déc 2024"/>
    <s v="SCHM SAINT PAUL"/>
    <s v="Olivier RICHARD23/11/1980"/>
    <s v="70.8"/>
    <n v="67"/>
    <n v="72"/>
    <n v="77"/>
    <n v="77"/>
    <n v="149"/>
    <s v="OOO"/>
    <n v="87"/>
    <n v="92"/>
    <n v="97"/>
    <n v="97"/>
    <n v="189"/>
    <s v="OOO"/>
    <x v="2"/>
    <x v="0"/>
    <x v="0"/>
    <n v="174"/>
    <n v="338"/>
    <s v="239.05974340624792"/>
    <s v="464.3804210994931"/>
    <x v="6"/>
    <n v="8"/>
    <x v="5"/>
    <x v="2"/>
    <n v="45"/>
    <s v="SEN M 73"/>
    <n v="239.05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7"/>
    <x v="5"/>
    <s v="Olivier RICHARD23/11/1980"/>
    <n v="2025"/>
    <s v="256.31573585335"/>
    <s v="239.05974340624792"/>
  </r>
  <r>
    <x v="619"/>
    <x v="596"/>
    <s v="Ombeline BEGIN23/05/2008"/>
    <n v="491280"/>
    <s v="FR"/>
    <s v="BFC - Critérium National - Besançon - BFC-Critérium U17-20 SEN Fsam 14 Déc 2024"/>
    <s v="HMDB21 DIJON"/>
    <s v="Ombeline BEGIN23/05/2008"/>
    <s v="50.05"/>
    <n v="33"/>
    <n v="35"/>
    <n v="-37"/>
    <n v="35"/>
    <n v="68"/>
    <s v="OOX"/>
    <n v="43"/>
    <n v="46"/>
    <n v="-50"/>
    <n v="46"/>
    <n v="89"/>
    <s v="OOX"/>
    <x v="3"/>
    <x v="0"/>
    <x v="0"/>
    <n v="81"/>
    <n v="157"/>
    <s v="124.58576846551807"/>
    <s v="241.48105739612762"/>
    <x v="2"/>
    <n v="6"/>
    <x v="1"/>
    <x v="3"/>
    <m/>
    <s v="U17 F 55"/>
    <n v="124.58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40"/>
    <x v="6"/>
    <s v="Ombeline BEGIN23/05/2008"/>
    <n v="2025"/>
    <s v="124.58576846551807"/>
    <s v="124.58576846551807"/>
  </r>
  <r>
    <x v="620"/>
    <x v="597"/>
    <s v="Orane LORTAL22/06/1999"/>
    <n v="472035"/>
    <s v="FR"/>
    <s v="OCC - Critérium National - Hc montalbanais - Plateau 1sam 14 Déc 2024"/>
    <s v="TOULOUSE HC"/>
    <s v="Orane LORTAL22/06/1999"/>
    <s v="62.2"/>
    <n v="-65"/>
    <n v="-65"/>
    <n v="66"/>
    <n v="66"/>
    <n v="0"/>
    <s v="XXO"/>
    <n v="81"/>
    <n v="84"/>
    <n v="-88"/>
    <n v="84"/>
    <n v="165"/>
    <s v="OOX"/>
    <x v="0"/>
    <x v="1"/>
    <x v="0"/>
    <n v="150"/>
    <n v="165"/>
    <s v="198.45901366325347"/>
    <s v="218.30491502957884"/>
    <x v="1"/>
    <n v="5"/>
    <x v="7"/>
    <x v="2"/>
    <m/>
    <s v="SEN F 64"/>
    <n v="198.45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6"/>
    <x v="1"/>
    <s v="Orane LORTAL22/06/1999"/>
    <n v="2025"/>
    <s v="198.45901366325347"/>
    <s v="198.45901366325347"/>
  </r>
  <r>
    <x v="621"/>
    <x v="598"/>
    <s v="Oriane GREMBER11/10/1993"/>
    <n v="501892"/>
    <s v="FR"/>
    <s v="HDF - Critérium National - Comines - U20 - Seniors Femmessam 14 Déc 2024"/>
    <s v="CHCD COMINES"/>
    <s v="Oriane GREMBER11/10/1993"/>
    <s v="79.24"/>
    <n v="60"/>
    <n v="64"/>
    <n v="67"/>
    <n v="67"/>
    <n v="131"/>
    <s v="OOO"/>
    <n v="78"/>
    <n v="82"/>
    <n v="85"/>
    <n v="85"/>
    <n v="167"/>
    <s v="OOO"/>
    <x v="2"/>
    <x v="0"/>
    <x v="0"/>
    <n v="152"/>
    <n v="298"/>
    <s v="176.6327439814676"/>
    <s v="346.293142805772"/>
    <x v="2"/>
    <n v="6"/>
    <x v="4"/>
    <x v="2"/>
    <m/>
    <s v="SEN F 81"/>
    <n v="176.63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37"/>
    <x v="8"/>
    <s v="Oriane GREMBER11/10/1993"/>
    <n v="2025"/>
    <s v="176.6327439814676"/>
    <s v="176.6327439814676"/>
  </r>
  <r>
    <x v="622"/>
    <x v="599"/>
    <s v="Oriane SEGAUX10/03/2008"/>
    <n v="493802"/>
    <s v="FR"/>
    <s v="GE - Critérium National - Haguenau - ALS - U15 - U17 - U20 Femsam 14 Déc 2024"/>
    <s v="SHC HAGUENAU"/>
    <s v="Oriane SEGAUX10/03/2008"/>
    <s v="53.84"/>
    <n v="48"/>
    <n v="-51"/>
    <n v="51"/>
    <n v="51"/>
    <n v="99"/>
    <s v="OXO"/>
    <n v="61"/>
    <n v="65"/>
    <n v="-67"/>
    <n v="65"/>
    <n v="126"/>
    <s v="OOX"/>
    <x v="3"/>
    <x v="0"/>
    <x v="0"/>
    <n v="116"/>
    <n v="225"/>
    <s v="169.00932938158098"/>
    <s v="327.81981992117005"/>
    <x v="3"/>
    <n v="4"/>
    <x v="1"/>
    <x v="3"/>
    <m/>
    <s v="U17 F 55"/>
    <n v="169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42"/>
    <x v="2"/>
    <s v="Oriane SEGAUX10/03/2008"/>
    <n v="2025"/>
    <s v="169.00932938158098"/>
    <s v="169.00932938158098"/>
  </r>
  <r>
    <x v="623"/>
    <x v="600"/>
    <s v="Ornella NICOLOSI22/09/1993"/>
    <n v="458251"/>
    <s v="FR"/>
    <s v="PACA - Critérium National - Toulon - SUD PACA TOULON COTE AZURven 13 Déc 2024"/>
    <s v="AZUR HALTEROPHILIE - ASSOCIATION AZUR FIT EVENT"/>
    <s v="Ornella NICOLOSI22/09/1993"/>
    <s v="57.46"/>
    <n v="65"/>
    <n v="-70"/>
    <n v="-70"/>
    <n v="65"/>
    <n v="0"/>
    <s v="OXX"/>
    <n v="-85"/>
    <n v="90"/>
    <n v="-92"/>
    <n v="90"/>
    <n v="0"/>
    <s v="XOX"/>
    <x v="5"/>
    <x v="0"/>
    <x v="0"/>
    <n v="155"/>
    <n v="0"/>
    <s v="215.844499913735"/>
    <s v="0.0"/>
    <x v="3"/>
    <n v="4"/>
    <x v="2"/>
    <x v="2"/>
    <m/>
    <s v="SEN F 59"/>
    <n v="215.84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116"/>
    <x v="0"/>
    <s v="Ornella NICOLOSI22/09/1993"/>
    <n v="2025"/>
    <s v="215.844499913735"/>
    <s v="215.844499913735"/>
  </r>
  <r>
    <x v="624"/>
    <x v="157"/>
    <s v="Paolo DOS SANTOS10/09/2011"/>
    <n v="490778"/>
    <s v="FR"/>
    <s v="GE - Critérium National - Langres - LOR - CHAsam 14 Déc 2024"/>
    <s v="LANGRES HM"/>
    <s v="Paolo DOS SANTOS10/09/2011"/>
    <s v="41.3"/>
    <n v="35"/>
    <n v="-38"/>
    <n v="38"/>
    <n v="38"/>
    <n v="73"/>
    <s v="OXO"/>
    <n v="45"/>
    <n v="50"/>
    <n v="-54"/>
    <n v="50"/>
    <n v="95"/>
    <s v="OOX"/>
    <x v="3"/>
    <x v="0"/>
    <x v="0"/>
    <n v="88"/>
    <n v="168"/>
    <s v="186.15564894661748"/>
    <s v="355.38805707990605"/>
    <x v="2"/>
    <n v="6"/>
    <x v="10"/>
    <x v="1"/>
    <m/>
    <s v="U15 M 49"/>
    <n v="186.15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Paolo DOS SANTOS10/09/2011"/>
    <n v="2025"/>
    <s v="186.68370370919575"/>
    <s v="186.68370370919575"/>
  </r>
  <r>
    <x v="625"/>
    <x v="601"/>
    <s v="Paolo SPAGNULO30/06/1998"/>
    <n v="273469"/>
    <s v="FR"/>
    <s v="GE - Critérium National - Haguenau - ALS - U15 - U17 - U20 - SEN Homsam 14 Déc 2024"/>
    <s v="SHC HAGUENAU"/>
    <s v="Paolo SPAGNULO30/06/1998"/>
    <s v="72.36"/>
    <n v="90"/>
    <n v="-95"/>
    <n v="95"/>
    <n v="95"/>
    <n v="185"/>
    <s v="OXO"/>
    <n v="125"/>
    <n v="130"/>
    <n v="-135"/>
    <n v="130"/>
    <n v="255"/>
    <s v="OOX"/>
    <x v="3"/>
    <x v="0"/>
    <x v="0"/>
    <n v="225"/>
    <n v="440"/>
    <s v="304.9486875759723"/>
    <s v="596.3441001485681"/>
    <x v="2"/>
    <n v="6"/>
    <x v="5"/>
    <x v="2"/>
    <m/>
    <s v="SEN M 73"/>
    <n v="304.94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42"/>
    <x v="2"/>
    <s v="Paolo SPAGNULO30/06/1998"/>
    <n v="2025"/>
    <s v="311.6957135081901"/>
    <s v="310.8259126615612"/>
  </r>
  <r>
    <x v="626"/>
    <x v="602"/>
    <s v="Patricia GOMEZ07/12/1993"/>
    <n v="453271"/>
    <s v="FR"/>
    <s v="PACA - Critérium National - Mondragon - Provence U15 - U17 - U20 - SEN F 45 à F55sam 14 Déc 2024"/>
    <s v="HCC NOVAIS"/>
    <s v="Patricia GOMEZ07/12/1993"/>
    <s v="54.7"/>
    <n v="-60"/>
    <n v="65"/>
    <n v="-67"/>
    <n v="65"/>
    <n v="0"/>
    <s v="XOX"/>
    <n v="75"/>
    <n v="80"/>
    <n v="-83"/>
    <n v="80"/>
    <n v="155"/>
    <s v="OOX"/>
    <x v="0"/>
    <x v="0"/>
    <x v="0"/>
    <n v="145"/>
    <n v="155"/>
    <s v="208.89168646005407"/>
    <s v="223.29800966419572"/>
    <x v="3"/>
    <n v="4"/>
    <x v="1"/>
    <x v="2"/>
    <m/>
    <s v="SEN F 55"/>
    <n v="208.89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131"/>
    <x v="0"/>
    <s v="Patricia GOMEZ07/12/1993"/>
    <n v="2025"/>
    <s v="208.89168646005407"/>
    <s v="208.89168646005407"/>
  </r>
  <r>
    <x v="627"/>
    <x v="603"/>
    <s v="Paul CANIVET26/10/1994"/>
    <n v="143327"/>
    <s v="FR"/>
    <s v="NDIE - Critérium National - Caen - Plateauu Elite masculinsam 14 Déc 2024"/>
    <s v="STADE ST LOIS"/>
    <s v="Paul CANIVET26/10/1994"/>
    <n v="96"/>
    <n v="-120"/>
    <n v="-124"/>
    <n v="125"/>
    <n v="125"/>
    <n v="0"/>
    <s v="XXO"/>
    <n v="163"/>
    <n v="-170"/>
    <n v="-170"/>
    <n v="163"/>
    <n v="0"/>
    <s v="OXX"/>
    <x v="5"/>
    <x v="1"/>
    <x v="0"/>
    <n v="288"/>
    <n v="0"/>
    <s v="336.1051348994631"/>
    <s v="0.0"/>
    <x v="1"/>
    <n v="5"/>
    <x v="18"/>
    <x v="2"/>
    <m/>
    <s v="SEN M 96"/>
    <n v="336.1"/>
    <x v="0"/>
    <s v="NDIE - Critérium National - Caen - Plateauu Elite masculinsam 14 Déc 2024"/>
    <s v="Critérium National - Caen - Plateauu Elite masculin"/>
    <s v="NDI"/>
    <d v="2024-12-14T00:00:00"/>
    <n v="2024"/>
    <n v="12"/>
    <s v="2024-12"/>
    <m/>
    <s v="2024-2025"/>
    <n v="2025"/>
    <x v="83"/>
    <x v="9"/>
    <s v="Paul CANIVET26/10/1994"/>
    <n v="2025"/>
    <s v="361.2834480732877"/>
    <s v="336.1051348994631"/>
  </r>
  <r>
    <x v="628"/>
    <x v="604"/>
    <s v="Pauline DEPENWEILLER27/05/2001"/>
    <n v="472091"/>
    <s v="FR"/>
    <s v="BRE - Critérium National - Plouhinec - Femmessam 14 Déc 2024"/>
    <s v="ASPTT STRASBOURG"/>
    <s v="Pauline DEPENWEILLER27/05/2001"/>
    <s v="72.4"/>
    <n v="80"/>
    <n v="84"/>
    <n v="87"/>
    <n v="87"/>
    <n v="171"/>
    <s v="OOO"/>
    <n v="-100"/>
    <n v="100"/>
    <n v="-108"/>
    <n v="100"/>
    <n v="0"/>
    <s v="XOX"/>
    <x v="3"/>
    <x v="0"/>
    <x v="0"/>
    <n v="187"/>
    <n v="171"/>
    <s v="227.00989219095968"/>
    <s v="207.5865859072412"/>
    <x v="3"/>
    <n v="4"/>
    <x v="15"/>
    <x v="2"/>
    <m/>
    <s v="SEN F 76"/>
    <n v="227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38"/>
    <x v="2"/>
    <s v="Pauline DEPENWEILLER27/05/2001"/>
    <n v="2025"/>
    <s v="232.32469879037788"/>
    <s v="232.32469879037788"/>
  </r>
  <r>
    <x v="629"/>
    <x v="484"/>
    <s v="Pauline JACQUEMIN13/05/2013"/>
    <n v="501166"/>
    <s v="FR"/>
    <s v="REU - Critérium National - La possession - LA REUNION-CRITERIUM-LA POSSESSION-U13sam 14 Déc 2024"/>
    <s v="SCHM SAINT PAUL"/>
    <s v="Pauline JACQUEMIN13/05/2013"/>
    <s v="33.64"/>
    <n v="13"/>
    <n v="15"/>
    <n v="17"/>
    <n v="17"/>
    <n v="32"/>
    <s v="OOO"/>
    <n v="22"/>
    <n v="24"/>
    <n v="-26"/>
    <n v="24"/>
    <n v="46"/>
    <s v="OOX"/>
    <x v="1"/>
    <x v="0"/>
    <x v="0"/>
    <n v="41"/>
    <n v="78"/>
    <s v="90.27781481133292"/>
    <s v="171.7480379337553"/>
    <x v="0"/>
    <n v="999"/>
    <x v="14"/>
    <x v="4"/>
    <m/>
    <s v="U13 F 35"/>
    <n v="171.74"/>
    <x v="1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7"/>
    <x v="5"/>
    <s v="Pauline JACQUEMIN13/05/2013"/>
    <n v="2025"/>
    <s v="90.27781481133292"/>
    <s v="90.27781481133292"/>
  </r>
  <r>
    <x v="630"/>
    <x v="605"/>
    <s v="Pauline LAUV14/03/2000"/>
    <n v="466554"/>
    <s v="FR"/>
    <s v="IDF - Critérium National - Franconville - Seniors Femmes 2ème plateausam 14 Déc 2024"/>
    <s v="HCVM CHELLES"/>
    <s v="Pauline LAUV14/03/2000"/>
    <s v="65.5"/>
    <n v="65"/>
    <n v="70"/>
    <n v="-73"/>
    <n v="70"/>
    <n v="135"/>
    <s v="OOX"/>
    <n v="82"/>
    <n v="-86"/>
    <n v="-86"/>
    <n v="82"/>
    <n v="0"/>
    <s v="OXX"/>
    <x v="0"/>
    <x v="0"/>
    <x v="0"/>
    <n v="152"/>
    <n v="135"/>
    <s v="194.95324136420237"/>
    <s v="173.14926042215342"/>
    <x v="1"/>
    <n v="5"/>
    <x v="3"/>
    <x v="2"/>
    <m/>
    <s v="SEN F 71"/>
    <n v="194.95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9"/>
    <x v="3"/>
    <s v="Pauline LAUV14/03/2000"/>
    <n v="2025"/>
    <s v="196.58682397183566"/>
    <s v="195.03029664950103"/>
  </r>
  <r>
    <x v="631"/>
    <x v="606"/>
    <s v="Pauline SCHEER07/12/1997"/>
    <n v="466558"/>
    <s v="FR"/>
    <s v="GE - Critérium National - Haguenau - ALS - SEN Femsam 14 Déc 2024"/>
    <s v="L'ABSOLU HALTERO CLUB"/>
    <s v="Pauline SCHEER07/12/1997"/>
    <s v="57.92"/>
    <n v="62"/>
    <n v="-65"/>
    <n v="-66"/>
    <n v="62"/>
    <n v="0"/>
    <s v="OXX"/>
    <n v="-82"/>
    <n v="-83"/>
    <n v="83"/>
    <n v="83"/>
    <n v="0"/>
    <s v="XXO"/>
    <x v="5"/>
    <x v="1"/>
    <x v="0"/>
    <n v="145"/>
    <n v="0"/>
    <s v="200.84301314111212"/>
    <s v="0.0"/>
    <x v="1"/>
    <n v="5"/>
    <x v="2"/>
    <x v="2"/>
    <m/>
    <s v="SEN F 59"/>
    <n v="200.84"/>
    <x v="1"/>
    <s v="GE - Critérium National - Haguenau - ALS - SEN Femsam 14 Déc 2024"/>
    <s v="Critérium National - Haguenau - ALS - SEN Fem"/>
    <s v="GE "/>
    <d v="2024-12-14T00:00:00"/>
    <n v="2024"/>
    <n v="12"/>
    <s v="2024-12"/>
    <m/>
    <s v="2024-2025"/>
    <n v="2025"/>
    <x v="119"/>
    <x v="2"/>
    <s v="Pauline SCHEER07/12/1997"/>
    <n v="2025"/>
    <s v="206.1933075630231"/>
    <s v="200.84301314111212"/>
  </r>
  <r>
    <x v="632"/>
    <x v="607"/>
    <s v="Paul-maxime MOULS07/06/2011"/>
    <n v="479279"/>
    <s v="FR"/>
    <s v="REU - Critérium National - La possession - LA REUNION-CRITERIUM-LA POSSESSION-U13sam 14 Déc 2024"/>
    <s v="CFSP SPORTS"/>
    <s v="Paul-maxime MOULS07/06/2011"/>
    <s v="45.2"/>
    <n v="27"/>
    <n v="28"/>
    <n v="-29"/>
    <n v="28"/>
    <n v="55"/>
    <s v="OOX"/>
    <n v="33"/>
    <n v="34"/>
    <n v="-36"/>
    <n v="34"/>
    <n v="67"/>
    <s v="OOX"/>
    <x v="3"/>
    <x v="0"/>
    <x v="0"/>
    <n v="62"/>
    <n v="122"/>
    <s v="120.47194621672651"/>
    <s v="237.05770062001022"/>
    <x v="6"/>
    <n v="8"/>
    <x v="10"/>
    <x v="1"/>
    <m/>
    <s v="U15 M 49"/>
    <n v="120.47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135"/>
    <x v="5"/>
    <s v="Paul-maxime MOULS07/06/2011"/>
    <n v="2025"/>
    <s v="120.47194621672651"/>
    <s v="120.47194621672651"/>
  </r>
  <r>
    <x v="633"/>
    <x v="608"/>
    <s v="Pavel VOTINOV06/10/1993"/>
    <n v="472663"/>
    <s v="RU"/>
    <s v="IDF - Critérium National - Neuilly - Seniors Hommes 3ème plateausam 14 Déc 2024"/>
    <s v="CACHAN HM"/>
    <s v="Pavel VOTINOV06/10/1993"/>
    <s v="95.7"/>
    <n v="115"/>
    <n v="120"/>
    <n v="123"/>
    <n v="123"/>
    <n v="243"/>
    <s v="OOO"/>
    <n v="-142"/>
    <n v="-142"/>
    <n v="-142"/>
    <n v="0"/>
    <n v="0"/>
    <s v="XXX"/>
    <x v="0"/>
    <x v="0"/>
    <x v="0"/>
    <n v="123"/>
    <n v="243"/>
    <s v="143.74333623619387"/>
    <s v="283.98073744223666"/>
    <x v="0"/>
    <n v="999"/>
    <x v="18"/>
    <x v="2"/>
    <m/>
    <s v="SEN M 96"/>
    <n v="0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17"/>
    <x v="3"/>
    <s v="Pavel VOTINOV06/10/1993"/>
    <n v="2025"/>
    <s v="303.66873496012323"/>
    <s v="289.057391155322"/>
  </r>
  <r>
    <x v="634"/>
    <x v="609"/>
    <s v="Penelope TOWNSON VERDIER15/02/2009"/>
    <n v="500601"/>
    <s v="FR"/>
    <s v="NAQ - Critérium National - Mont de marsan - ligue Nouvelle Aquitainesam 14 Déc 2024"/>
    <s v="AS FORCE TESTERINE"/>
    <s v="Penelope TOWNSON VERDIER15/02/2009"/>
    <s v="62.4"/>
    <n v="40"/>
    <n v="-43"/>
    <n v="43"/>
    <n v="43"/>
    <n v="83"/>
    <s v="OXO"/>
    <n v="50"/>
    <n v="-53"/>
    <n v="-55"/>
    <n v="50"/>
    <n v="0"/>
    <s v="OXX"/>
    <x v="0"/>
    <x v="0"/>
    <x v="0"/>
    <n v="93"/>
    <n v="83"/>
    <s v="122.80089027037278"/>
    <s v="109.59649346710688"/>
    <x v="2"/>
    <n v="6"/>
    <x v="7"/>
    <x v="3"/>
    <m/>
    <s v="U17 F 64"/>
    <n v="122.8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137"/>
    <x v="12"/>
    <s v="Penelope TOWNSON VERDIER15/02/2009"/>
    <n v="2025"/>
    <s v="122.80089027037278"/>
    <s v="122.80089027037278"/>
  </r>
  <r>
    <x v="635"/>
    <x v="610"/>
    <s v="Perrine CADONI21/02/1998"/>
    <n v="470647"/>
    <s v="FR"/>
    <s v="OCC - Critérium National - Hc montalbanais - Plateau 3sam 14 Déc 2024"/>
    <s v="HC MONTALBANAIS"/>
    <s v="Perrine CADONI21/02/1998"/>
    <s v="51.7"/>
    <n v="62"/>
    <n v="65"/>
    <n v="67"/>
    <n v="67"/>
    <n v="132"/>
    <s v="OOO"/>
    <n v="-75"/>
    <n v="78"/>
    <n v="-80"/>
    <n v="78"/>
    <n v="0"/>
    <s v="XOX"/>
    <x v="3"/>
    <x v="0"/>
    <x v="0"/>
    <n v="145"/>
    <n v="132"/>
    <s v="217.62068008044702"/>
    <s v="198.10986048702762"/>
    <x v="3"/>
    <n v="4"/>
    <x v="1"/>
    <x v="2"/>
    <m/>
    <s v="SEN F 55"/>
    <n v="217.62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39"/>
    <x v="1"/>
    <s v="Perrine CADONI21/02/1998"/>
    <n v="2025"/>
    <s v="217.62068008044702"/>
    <s v="217.62068008044702"/>
  </r>
  <r>
    <x v="636"/>
    <x v="611"/>
    <s v="Philomène PIARD04/06/2003"/>
    <n v="481982"/>
    <s v="FR"/>
    <s v="NAQ - Critérium National - Mont de marsan - ligue Nouvelle Aquitainesam 14 Déc 2024"/>
    <s v="CHA ANGOUMOISIN"/>
    <s v="Philomène PIARD04/06/2003"/>
    <s v="70.7"/>
    <n v="-70"/>
    <n v="-70"/>
    <n v="-70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3"/>
    <x v="2"/>
    <m/>
    <s v="SEN F 71"/>
    <n v="0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102"/>
    <x v="12"/>
    <s v="Philomène PIARD04/06/2003"/>
    <n v="2025"/>
    <s v="191.69271018345245"/>
    <s v="191.69271018345245"/>
  </r>
  <r>
    <x v="637"/>
    <x v="612"/>
    <s v="Pia EAST01/06/2006"/>
    <n v="479056"/>
    <s v="FR"/>
    <s v="NDIE - Critérium National - Caen - Plateau B fémininsam 14 Déc 2024"/>
    <s v="BALLERS HALTEROPHILIE CLUB DE ROUEN"/>
    <s v="Pia EAST01/06/2006"/>
    <s v="69.6"/>
    <n v="55"/>
    <n v="58"/>
    <n v="-61"/>
    <n v="58"/>
    <n v="113"/>
    <s v="OOX"/>
    <n v="70"/>
    <n v="74"/>
    <n v="77"/>
    <n v="77"/>
    <n v="151"/>
    <s v="OOO"/>
    <x v="1"/>
    <x v="0"/>
    <x v="0"/>
    <n v="135"/>
    <n v="264"/>
    <s v="167.33505791454013"/>
    <s v="327.23300214398955"/>
    <x v="1"/>
    <n v="5"/>
    <x v="3"/>
    <x v="0"/>
    <m/>
    <s v="U20 F 71"/>
    <n v="167.33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28"/>
    <x v="9"/>
    <s v="Pia EAST01/06/2006"/>
    <n v="2025"/>
    <s v="167.33505791454013"/>
    <s v="167.33505791454013"/>
  </r>
  <r>
    <x v="638"/>
    <x v="613"/>
    <s v="Pierre TOUSSAINT27/07/1996"/>
    <n v="463784"/>
    <s v="FR"/>
    <s v="AURA - Critérium National - Vaulx en velin - PLATEAU SEN MASCULINSsam 14 Déc 2024"/>
    <s v="ELITE BARBELL VAULX EN VELIN"/>
    <s v="Pierre TOUSSAINT27/07/1996"/>
    <s v="106.6"/>
    <n v="105"/>
    <n v="-109"/>
    <n v="-109"/>
    <n v="105"/>
    <n v="0"/>
    <s v="OXX"/>
    <n v="130"/>
    <n v="135"/>
    <n v="-140"/>
    <n v="135"/>
    <n v="265"/>
    <s v="OOX"/>
    <x v="0"/>
    <x v="0"/>
    <x v="0"/>
    <n v="240"/>
    <n v="265"/>
    <s v="268.3848017817127"/>
    <s v="296.3415519673078"/>
    <x v="5"/>
    <n v="7"/>
    <x v="19"/>
    <x v="2"/>
    <m/>
    <s v="SEN M 109"/>
    <n v="268.38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76"/>
    <x v="4"/>
    <s v="Pierre TOUSSAINT27/07/1996"/>
    <n v="2025"/>
    <s v="278.3610459645223"/>
    <s v="278.3610459645223"/>
  </r>
  <r>
    <x v="639"/>
    <x v="614"/>
    <s v="Prune GUILMAU07/10/2010"/>
    <n v="484252"/>
    <s v="FR"/>
    <s v="NDIE - Critérium National - Caen - Plateau B fémininsam 14 Déc 2024"/>
    <s v="CAHM ALENCON"/>
    <s v="Prune GUILMAU07/10/2010"/>
    <s v="51.8"/>
    <n v="38"/>
    <n v="41"/>
    <n v="-43"/>
    <n v="41"/>
    <n v="79"/>
    <s v="OOX"/>
    <n v="50"/>
    <n v="53"/>
    <n v="55"/>
    <n v="55"/>
    <n v="108"/>
    <s v="OOO"/>
    <x v="1"/>
    <x v="0"/>
    <x v="0"/>
    <n v="96"/>
    <n v="187"/>
    <s v="143.87279857204223"/>
    <s v="280.2522222184573"/>
    <x v="1"/>
    <n v="5"/>
    <x v="1"/>
    <x v="1"/>
    <m/>
    <s v="U15 F 55"/>
    <n v="143.87"/>
    <x v="1"/>
    <s v="NDIE - Critérium National - Caen - Plateau B fémininsam 14 Déc 2024"/>
    <s v="Critérium National - Caen - Plateau B féminin"/>
    <s v="NDI"/>
    <d v="2024-12-14T00:00:00"/>
    <n v="2024"/>
    <n v="12"/>
    <s v="2024-12"/>
    <m/>
    <s v="2024-2025"/>
    <n v="2025"/>
    <x v="138"/>
    <x v="9"/>
    <s v="Prune GUILMAU07/10/2010"/>
    <n v="2025"/>
    <s v="143.87279857204223"/>
    <s v="143.87279857204223"/>
  </r>
  <r>
    <x v="640"/>
    <x v="615"/>
    <s v="Pryanka MOULS20/06/2005"/>
    <n v="463562"/>
    <s v="FR"/>
    <s v="REU - Critérium National - La possession - U15-17-20dim 15 Déc 2024"/>
    <s v="CFSP SPORTS"/>
    <s v="Pryanka MOULS20/06/2005"/>
    <s v="45.79"/>
    <n v="33"/>
    <n v="35"/>
    <n v="-38"/>
    <n v="35"/>
    <n v="68"/>
    <s v="OOX"/>
    <n v="45"/>
    <n v="48"/>
    <n v="-50"/>
    <n v="48"/>
    <n v="93"/>
    <s v="OOX"/>
    <x v="3"/>
    <x v="0"/>
    <x v="0"/>
    <n v="83"/>
    <n v="161"/>
    <s v="137.04920031251476"/>
    <s v="265.84242470258886"/>
    <x v="2"/>
    <n v="6"/>
    <x v="10"/>
    <x v="0"/>
    <m/>
    <s v="U20 F 49"/>
    <n v="137.04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135"/>
    <x v="5"/>
    <s v="Pryanka MOULS20/06/2005"/>
    <n v="2025"/>
    <s v="151.33657388326446"/>
    <s v="137.04920031251476"/>
  </r>
  <r>
    <x v="641"/>
    <x v="616"/>
    <s v="Quentin DUFOUR21/03/2006"/>
    <n v="434315"/>
    <s v="FR"/>
    <s v="HDF - Critérium National - Comines - U15 / U17 / U20 Hommessam 14 Déc 2024"/>
    <s v="CA ROSENDAEL"/>
    <s v="Quentin DUFOUR21/03/2006"/>
    <n v="81"/>
    <n v="90"/>
    <n v="95"/>
    <n v="-98"/>
    <n v="95"/>
    <n v="185"/>
    <s v="OOX"/>
    <n v="110"/>
    <n v="-120"/>
    <n v="-120"/>
    <n v="110"/>
    <n v="0"/>
    <s v="OXX"/>
    <x v="0"/>
    <x v="0"/>
    <x v="0"/>
    <n v="205"/>
    <n v="185"/>
    <s v="260.1752058379423"/>
    <s v="234.79225892692355"/>
    <x v="2"/>
    <n v="6"/>
    <x v="4"/>
    <x v="0"/>
    <m/>
    <s v="U20 M 81"/>
    <n v="260.17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13"/>
    <x v="8"/>
    <s v="Quentin DUFOUR21/03/2006"/>
    <n v="2025"/>
    <s v="284.6883116032626"/>
    <s v="269.5638517356966"/>
  </r>
  <r>
    <x v="642"/>
    <x v="617"/>
    <s v="Quentin SIRUGUET28/07/1995"/>
    <n v="494276"/>
    <s v="FR"/>
    <s v="PACA - Critérium National - Mondragon - Provence U15 à SEN HOMsam 14 Déc 2024"/>
    <s v="CROSSFIT ISTRES"/>
    <s v="Quentin SIRUGUET28/07/1995"/>
    <s v="80.4"/>
    <n v="90"/>
    <n v="-95"/>
    <n v="-100"/>
    <n v="90"/>
    <n v="0"/>
    <s v="OXX"/>
    <n v="115"/>
    <n v="-125"/>
    <n v="-130"/>
    <n v="115"/>
    <n v="0"/>
    <s v="OXX"/>
    <x v="5"/>
    <x v="0"/>
    <x v="0"/>
    <n v="205"/>
    <n v="0"/>
    <s v="261.24009637693877"/>
    <s v="0.0"/>
    <x v="5"/>
    <n v="7"/>
    <x v="4"/>
    <x v="2"/>
    <m/>
    <s v="SEN M 81"/>
    <n v="261.24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07"/>
    <x v="0"/>
    <s v="Quentin SIRUGUET28/07/1995"/>
    <n v="2025"/>
    <s v="282.31169513828405"/>
    <s v="266.520942565697"/>
  </r>
  <r>
    <x v="643"/>
    <x v="618"/>
    <s v="Rachel LAUBIER22/06/2001"/>
    <n v="493055"/>
    <s v="FR"/>
    <s v="AURA - Critérium National - Vaulx en velin - PLATEAU 3  SENIOR FEMININESdim 15 Déc 2024"/>
    <s v="LA GAULOISE DE VAISE"/>
    <s v="Rachel LAUBIER22/06/2001"/>
    <s v="67.4"/>
    <n v="-65"/>
    <n v="-65"/>
    <n v="-67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3"/>
    <x v="2"/>
    <m/>
    <s v="SEN F 71"/>
    <n v="0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5"/>
    <x v="4"/>
    <s v="Rachel LAUBIER22/06/2001"/>
    <n v="2025"/>
    <s v="180.5496693329468"/>
    <s v="0.0"/>
  </r>
  <r>
    <x v="644"/>
    <x v="619"/>
    <s v="Rachel MAURO19/03/2001"/>
    <n v="504647"/>
    <s v="FR"/>
    <s v="AURA - Critérium National - Vaulx en velin - PLATEAU 2  SENIOR FEMININESdim 15 Déc 2024"/>
    <s v="NEO WEIGHTLIFTING CLUB"/>
    <s v="Rachel MAURO19/03/2001"/>
    <s v="61.5"/>
    <n v="55"/>
    <n v="57"/>
    <n v="60"/>
    <n v="60"/>
    <n v="117"/>
    <s v="OOO"/>
    <n v="70"/>
    <n v="73"/>
    <n v="76"/>
    <n v="76"/>
    <n v="149"/>
    <s v="OOO"/>
    <x v="2"/>
    <x v="0"/>
    <x v="0"/>
    <n v="136"/>
    <n v="266"/>
    <s v="181.2084100635437"/>
    <s v="354.4223314478134"/>
    <x v="2"/>
    <n v="6"/>
    <x v="7"/>
    <x v="2"/>
    <m/>
    <s v="SEN F 64"/>
    <n v="181.2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64"/>
    <x v="4"/>
    <s v="Rachel MAURO19/03/2001"/>
    <n v="2025"/>
    <s v="181.2084100635437"/>
    <s v="181.2084100635437"/>
  </r>
  <r>
    <x v="645"/>
    <x v="620"/>
    <s v="Rania SAMAALI16/03/2005"/>
    <n v="505185"/>
    <s v="BE"/>
    <s v="HDF - Critérium National - Comines - U20 - Seniors Femmessam 14 Déc 2024"/>
    <s v="CA ROSENDAEL"/>
    <s v="Rania SAMAALI16/03/2005"/>
    <s v="78.1"/>
    <n v="78"/>
    <n v="80"/>
    <n v="-82"/>
    <n v="80"/>
    <n v="158"/>
    <s v="OOX"/>
    <n v="-100"/>
    <n v="-100"/>
    <n v="-100"/>
    <n v="0"/>
    <n v="0"/>
    <s v="XXX"/>
    <x v="5"/>
    <x v="0"/>
    <x v="0"/>
    <n v="80"/>
    <n v="158"/>
    <s v="93.58378471235633"/>
    <s v="184.82797480690377"/>
    <x v="0"/>
    <n v="999"/>
    <x v="4"/>
    <x v="0"/>
    <m/>
    <s v="U20 F 81"/>
    <n v="0"/>
    <x v="1"/>
    <s v="HDF - Critérium National - Comines - U20 - Seniors Femmessam 14 Déc 2024"/>
    <s v="Critérium National - Comines - U20 - Seniors Femmes"/>
    <s v="HDF"/>
    <d v="2024-12-14T00:00:00"/>
    <n v="2024"/>
    <n v="12"/>
    <s v="2024-12"/>
    <m/>
    <s v="2024-2025"/>
    <n v="2025"/>
    <x v="13"/>
    <x v="8"/>
    <s v="Rania SAMAALI16/03/2005"/>
    <n v="2025"/>
    <s v="211.2177524801848"/>
    <s v="211.2177524801848"/>
  </r>
  <r>
    <x v="646"/>
    <x v="621"/>
    <s v="Raphael DA FONSECA25/01/1993"/>
    <n v="465782"/>
    <s v="FR"/>
    <s v="IDF - Critérium National - Neuilly - Seniors Hommes 3ème plateausam 14 Déc 2024"/>
    <s v="SPORTING CLUB DE NEUILLY"/>
    <s v="Raphael DA FONSECA25/01/1993"/>
    <s v="76.5"/>
    <n v="100"/>
    <n v="105"/>
    <n v="107"/>
    <n v="107"/>
    <n v="212"/>
    <s v="OOO"/>
    <n v="-130"/>
    <n v="-130"/>
    <n v="130"/>
    <n v="130"/>
    <n v="0"/>
    <s v="XXO"/>
    <x v="3"/>
    <x v="1"/>
    <x v="0"/>
    <n v="237"/>
    <n v="212"/>
    <s v="310.6600366398005"/>
    <s v="277.88999058074984"/>
    <x v="2"/>
    <n v="6"/>
    <x v="4"/>
    <x v="2"/>
    <m/>
    <s v="SEN M 81"/>
    <n v="310.66000000000003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8"/>
    <x v="3"/>
    <s v="Raphael DA FONSECA25/01/1993"/>
    <n v="2025"/>
    <s v="322.461105669447"/>
    <s v="310.6600366398005"/>
  </r>
  <r>
    <x v="647"/>
    <x v="622"/>
    <s v="Raphael DURAND02/03/1998"/>
    <n v="475028"/>
    <s v="FR"/>
    <s v="OCC - Critérium National - Hc montalbanais - Plateau 4sam 14 Déc 2024"/>
    <s v="TOULOUSE HC"/>
    <s v="Raphael DURAND02/03/1998"/>
    <s v="84.8"/>
    <n v="-117"/>
    <n v="-117"/>
    <n v="117"/>
    <n v="117"/>
    <n v="0"/>
    <s v="XXO"/>
    <n v="-138"/>
    <n v="-143"/>
    <n v="-143"/>
    <n v="0"/>
    <n v="0"/>
    <s v="XXX"/>
    <x v="4"/>
    <x v="1"/>
    <x v="0"/>
    <n v="117"/>
    <n v="0"/>
    <s v="144.9079836907923"/>
    <s v="0.0"/>
    <x v="0"/>
    <n v="999"/>
    <x v="9"/>
    <x v="2"/>
    <m/>
    <s v="SEN M 89"/>
    <n v="0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6"/>
    <x v="1"/>
    <s v="Raphael DURAND02/03/1998"/>
    <n v="2025"/>
    <s v="321.13430245001615"/>
    <s v="144.9079836907923"/>
  </r>
  <r>
    <x v="648"/>
    <x v="623"/>
    <s v="Raphael GABARRE FONFREDE14/09/2005"/>
    <n v="491554"/>
    <s v="FR"/>
    <s v="OCC - Critérium National - Hc montalbanais - Plateau 4sam 14 Déc 2024"/>
    <s v="HC MONTALBANAIS"/>
    <s v="Raphael GABARRE FONFREDE14/09/2005"/>
    <s v="80.8"/>
    <n v="-106"/>
    <n v="107"/>
    <n v="110"/>
    <n v="110"/>
    <n v="217"/>
    <s v="XOO"/>
    <n v="-135"/>
    <n v="135"/>
    <n v="-139"/>
    <n v="135"/>
    <n v="0"/>
    <s v="XOX"/>
    <x v="0"/>
    <x v="0"/>
    <x v="0"/>
    <n v="245"/>
    <n v="217"/>
    <s v="311.3624980010417"/>
    <s v="275.77821251520834"/>
    <x v="3"/>
    <n v="4"/>
    <x v="4"/>
    <x v="0"/>
    <m/>
    <s v="U20 M 81"/>
    <n v="311.36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39"/>
    <x v="1"/>
    <s v="Raphael GABARRE FONFREDE14/09/2005"/>
    <n v="2025"/>
    <s v="317.3148648063588"/>
    <s v="311.3624980010417"/>
  </r>
  <r>
    <x v="649"/>
    <x v="624"/>
    <s v="Raphael LEPINAY BARET22/02/2014"/>
    <n v="485228"/>
    <s v="FR"/>
    <s v="REU - Critérium National - La possession - LA REUNION-CRITERIUM-LA POSSESSION-U13sam 14 Déc 2024"/>
    <s v="CFSP SPORTS"/>
    <s v="Raphael LEPINAY BARET22/02/2014"/>
    <s v="31.67"/>
    <n v="22"/>
    <n v="23"/>
    <n v="25"/>
    <n v="25"/>
    <n v="48"/>
    <s v="OOO"/>
    <n v="29"/>
    <n v="30"/>
    <n v="32"/>
    <n v="32"/>
    <n v="62"/>
    <s v="OOO"/>
    <x v="2"/>
    <x v="0"/>
    <x v="0"/>
    <n v="57"/>
    <n v="110"/>
    <s v="159.4813752138876"/>
    <s v="307.77107497416904"/>
    <x v="0"/>
    <n v="999"/>
    <x v="14"/>
    <x v="4"/>
    <m/>
    <s v="U13 M 35"/>
    <n v="307.77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135"/>
    <x v="5"/>
    <s v="Raphael LEPINAY BARET22/02/2014"/>
    <n v="2025"/>
    <s v="159.4813752138876"/>
    <s v="159.4813752138876"/>
  </r>
  <r>
    <x v="650"/>
    <x v="625"/>
    <s v="Raphaelle PERVIER19/12/1992"/>
    <n v="377412"/>
    <s v="FR"/>
    <s v="BRE - Critérium National - Plouhinec - Femmessam 14 Déc 2024"/>
    <s v="CA LORIENTAIS"/>
    <s v="Raphaelle PERVIER19/12/1992"/>
    <s v="54.25"/>
    <n v="59"/>
    <n v="62"/>
    <n v="65"/>
    <n v="65"/>
    <n v="127"/>
    <s v="OOO"/>
    <n v="69"/>
    <n v="72"/>
    <n v="-75"/>
    <n v="72"/>
    <n v="141"/>
    <s v="OOX"/>
    <x v="1"/>
    <x v="0"/>
    <x v="0"/>
    <n v="137"/>
    <n v="268"/>
    <s v="198.52648002085985"/>
    <s v="388.35836967584265"/>
    <x v="1"/>
    <n v="5"/>
    <x v="1"/>
    <x v="2"/>
    <m/>
    <s v="SEN F 55"/>
    <n v="198.52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32"/>
    <x v="7"/>
    <s v="Raphaelle PERVIER19/12/1992"/>
    <n v="2025"/>
    <s v="198.52648002085985"/>
    <s v="198.52648002085985"/>
  </r>
  <r>
    <x v="651"/>
    <x v="626"/>
    <s v="Rémi BACQUAERT14/11/1997"/>
    <n v="496771"/>
    <s v="FR"/>
    <s v="HDF - Critérium National - Comines - Seniors Hommessam 14 Déc 2024"/>
    <s v="OSM LOMME HALTEROPHILIE"/>
    <s v="Rémi BACQUAERT14/11/1997"/>
    <s v="78.55"/>
    <n v="-104"/>
    <n v="107"/>
    <n v="-111"/>
    <n v="107"/>
    <n v="0"/>
    <s v="XOX"/>
    <n v="136"/>
    <n v="-143"/>
    <n v="-144"/>
    <n v="136"/>
    <n v="0"/>
    <s v="OXX"/>
    <x v="5"/>
    <x v="0"/>
    <x v="0"/>
    <n v="243"/>
    <n v="0"/>
    <s v="313.72119440467634"/>
    <s v="0.0"/>
    <x v="2"/>
    <n v="6"/>
    <x v="4"/>
    <x v="2"/>
    <m/>
    <s v="SEN M 81"/>
    <n v="313.72000000000003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29"/>
    <x v="8"/>
    <s v="Rémi BACQUAERT14/11/1997"/>
    <n v="2025"/>
    <s v="330.4921964755068"/>
    <s v="330.4921964755068"/>
  </r>
  <r>
    <x v="652"/>
    <x v="627"/>
    <s v="Remi DACHICOURT16/12/1989"/>
    <n v="484190"/>
    <s v="FR"/>
    <s v="CVL - Critérium National - Orleans - Hommessam 14 Déc 2024"/>
    <s v="CERCLE MICHELET ORLEANS HMS"/>
    <s v="Remi DACHICOURT16/12/1989"/>
    <s v="85.5"/>
    <n v="95"/>
    <n v="-100"/>
    <n v="100"/>
    <n v="100"/>
    <n v="195"/>
    <s v="OXO"/>
    <n v="125"/>
    <n v="130"/>
    <n v="-133"/>
    <n v="130"/>
    <n v="255"/>
    <s v="OOX"/>
    <x v="3"/>
    <x v="0"/>
    <x v="0"/>
    <n v="230"/>
    <n v="450"/>
    <s v="283.6567766537129"/>
    <s v="554.9806499746556"/>
    <x v="2"/>
    <n v="6"/>
    <x v="9"/>
    <x v="2"/>
    <n v="35"/>
    <s v="SEN M 89"/>
    <n v="283.64999999999998"/>
    <x v="0"/>
    <s v="CVL - Critérium National - Orleans - Hommessam 14 Déc 2024"/>
    <s v="Critérium National - Orleans - Hommes"/>
    <s v="CVL"/>
    <d v="2024-12-14T00:00:00"/>
    <n v="2024"/>
    <n v="12"/>
    <s v="2024-12"/>
    <m/>
    <s v="2024-2025"/>
    <n v="2025"/>
    <x v="108"/>
    <x v="13"/>
    <s v="Remi DACHICOURT16/12/1989"/>
    <n v="2025"/>
    <s v="284.688031944031"/>
    <s v="284.688031944031"/>
  </r>
  <r>
    <x v="653"/>
    <x v="628"/>
    <s v="Robin LAPIERRE22/05/2014"/>
    <n v="477120"/>
    <s v="FR"/>
    <s v="PDL - Critérium National - Laval - U10 -U13sam 14 Déc 2024"/>
    <s v="CA EVRON 53 HALTEROPHILIE"/>
    <s v="Robin LAPIERRE22/05/2014"/>
    <s v="44.38"/>
    <n v="26"/>
    <n v="-28"/>
    <n v="-28"/>
    <n v="26"/>
    <n v="0"/>
    <s v="OXX"/>
    <n v="35"/>
    <n v="-37"/>
    <n v="37"/>
    <n v="37"/>
    <n v="72"/>
    <s v="OXO"/>
    <x v="0"/>
    <x v="0"/>
    <x v="0"/>
    <n v="63"/>
    <n v="72"/>
    <s v="124.49215007200542"/>
    <s v="142.27674293943477"/>
    <x v="0"/>
    <n v="999"/>
    <x v="6"/>
    <x v="4"/>
    <m/>
    <s v="U13 M 45"/>
    <n v="0"/>
    <x v="0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27"/>
    <x v="10"/>
    <s v="Robin LAPIERRE22/05/2014"/>
    <n v="2025"/>
    <s v="130.71655540313216"/>
    <s v="130.71655540313216"/>
  </r>
  <r>
    <x v="654"/>
    <x v="629"/>
    <s v="Robin LAURET06/03/1992"/>
    <n v="501976"/>
    <s v="FR"/>
    <s v="REU - Critérium National - La possession - LA REUNION-CRITERIUM-LA POSSESSION-U13sam 14 Déc 2024"/>
    <s v="MAHAVELI HALTÉROPHILIE RÉUNION"/>
    <s v="Robin LAURET06/03/1992"/>
    <s v="86.8"/>
    <n v="95"/>
    <n v="102"/>
    <n v="107"/>
    <n v="107"/>
    <n v="209"/>
    <s v="OOO"/>
    <n v="125"/>
    <n v="133"/>
    <n v="138"/>
    <n v="138"/>
    <n v="271"/>
    <s v="OOO"/>
    <x v="2"/>
    <x v="0"/>
    <x v="0"/>
    <n v="245"/>
    <n v="480"/>
    <s v="299.8470488854514"/>
    <s v="587.4554427143538"/>
    <x v="2"/>
    <n v="6"/>
    <x v="9"/>
    <x v="2"/>
    <m/>
    <s v="SEN M 89"/>
    <n v="299.83999999999997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58"/>
    <x v="5"/>
    <s v="Robin LAURET06/03/1992"/>
    <n v="2025"/>
    <s v="299.8470488854514"/>
    <s v="299.8470488854514"/>
  </r>
  <r>
    <x v="655"/>
    <x v="630"/>
    <s v="Romain DA SILVA03/02/2005"/>
    <n v="410980"/>
    <s v="FR"/>
    <s v="AURA - Critérium National - Vaulx en velin - PLATEAU JEUNES MASCULINSsam 14 Déc 2024"/>
    <s v="ATHLETIC CLUB SAINT MARCELLIN"/>
    <s v="Romain DA SILVA03/02/2005"/>
    <s v="80.9"/>
    <n v="120"/>
    <n v="125"/>
    <n v="-130"/>
    <n v="125"/>
    <n v="245"/>
    <s v="OOX"/>
    <n v="145"/>
    <n v="150"/>
    <n v="154"/>
    <n v="154"/>
    <n v="304"/>
    <s v="OOO"/>
    <x v="1"/>
    <x v="0"/>
    <x v="0"/>
    <n v="279"/>
    <n v="549"/>
    <s v="354.3316489930406"/>
    <s v="697.2332447927573"/>
    <x v="4"/>
    <n v="3"/>
    <x v="4"/>
    <x v="0"/>
    <m/>
    <s v="U20 M 81"/>
    <n v="354.33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51"/>
    <x v="4"/>
    <s v="Romain DA SILVA03/02/2005"/>
    <n v="2025"/>
    <s v="361.1152121865203"/>
    <s v="354.45171817608923"/>
  </r>
  <r>
    <x v="656"/>
    <x v="576"/>
    <s v="Romain LABONDE16/03/1990"/>
    <n v="481465"/>
    <s v="FR"/>
    <s v="NAQ - Critérium National - Mont de marsan - ligue Nouvelle Aquitainesam 14 Déc 2024"/>
    <s v="POWERCAMP BORDEAUX HALTEROPHILIE"/>
    <s v="Romain LABONDE16/03/1990"/>
    <s v="71.7"/>
    <n v="90"/>
    <n v="-95"/>
    <n v="-96"/>
    <n v="90"/>
    <n v="0"/>
    <s v="OXX"/>
    <n v="115"/>
    <n v="-120"/>
    <n v="-120"/>
    <n v="115"/>
    <n v="0"/>
    <s v="OXX"/>
    <x v="5"/>
    <x v="0"/>
    <x v="0"/>
    <n v="205"/>
    <n v="0"/>
    <s v="279.4269280839075"/>
    <s v="0.0"/>
    <x v="5"/>
    <n v="7"/>
    <x v="5"/>
    <x v="2"/>
    <n v="35"/>
    <s v="SEN M 73"/>
    <n v="279.42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70"/>
    <x v="12"/>
    <s v="Romain LABONDE16/03/1990"/>
    <n v="2025"/>
    <s v="279.4269280839075"/>
    <s v="279.4269280839075"/>
  </r>
  <r>
    <x v="657"/>
    <x v="631"/>
    <s v="Romain MONTE29/11/1991"/>
    <n v="484405"/>
    <s v="FR"/>
    <s v="OCC - Critérium National - Hc montalbanais - Plateau 4sam 14 Déc 2024"/>
    <s v="OCCITAN BARBELL CREW"/>
    <s v="Romain MONTE29/11/1991"/>
    <s v="94.9"/>
    <n v="100"/>
    <n v="105"/>
    <n v="-110"/>
    <n v="105"/>
    <n v="205"/>
    <s v="OOX"/>
    <n v="130"/>
    <n v="-135"/>
    <n v="135"/>
    <n v="135"/>
    <n v="265"/>
    <s v="OXO"/>
    <x v="3"/>
    <x v="0"/>
    <x v="0"/>
    <n v="240"/>
    <n v="470"/>
    <s v="281.52446706425786"/>
    <s v="551.3187480008384"/>
    <x v="2"/>
    <n v="6"/>
    <x v="18"/>
    <x v="2"/>
    <m/>
    <s v="SEN M 96"/>
    <n v="281.52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14"/>
    <x v="1"/>
    <s v="Romain MONTE29/11/1991"/>
    <n v="2025"/>
    <s v="281.52446706425786"/>
    <s v="281.52446706425786"/>
  </r>
  <r>
    <x v="658"/>
    <x v="632"/>
    <s v="Romain PASTOR25/04/2009"/>
    <n v="467887"/>
    <s v="FR"/>
    <s v="AURA - Critérium National - Vaulx en velin - PLATEAU JEUNES MASCULINSsam 14 Déc 2024"/>
    <s v="OSQ  ST QUENTIN FALLAVIER"/>
    <s v="Romain PASTOR25/04/2009"/>
    <s v="95.4"/>
    <n v="83"/>
    <n v="87"/>
    <n v="90"/>
    <n v="90"/>
    <n v="177"/>
    <s v="OOO"/>
    <n v="110"/>
    <n v="115"/>
    <n v="-118"/>
    <n v="115"/>
    <n v="225"/>
    <s v="OOX"/>
    <x v="1"/>
    <x v="0"/>
    <x v="0"/>
    <n v="205"/>
    <n v="402"/>
    <s v="239.90593193053044"/>
    <s v="470.4496811515768"/>
    <x v="1"/>
    <n v="5"/>
    <x v="18"/>
    <x v="3"/>
    <m/>
    <s v="U17 M 96"/>
    <n v="239.9"/>
    <x v="0"/>
    <s v="AURA - Critérium National - Vaulx en velin - PLATEAU JEUNES MASCULINSsam 14 Déc 2024"/>
    <s v="Critérium National - Vaulx en velin - PLATEAU JEUNES MASCULINS"/>
    <s v="AUR"/>
    <d v="2024-12-14T00:00:00"/>
    <n v="2024"/>
    <n v="12"/>
    <s v="2024-12"/>
    <m/>
    <s v="2024-2025"/>
    <n v="2025"/>
    <x v="139"/>
    <x v="4"/>
    <s v="Romain PASTOR25/04/2009"/>
    <n v="2025"/>
    <s v="239.90593193053044"/>
    <s v="239.90593193053044"/>
  </r>
  <r>
    <x v="659"/>
    <x v="633"/>
    <s v="Romy LISERAY LASCAR10/04/2008"/>
    <n v="481917"/>
    <s v="FR"/>
    <s v="PACA - Critérium National - Toulon - SUD PACA TOULON COTE AZURven 13 Déc 2024"/>
    <s v="ESVL HALTERO- MUSCU-GYM"/>
    <s v="Romy LISERAY LASCAR10/04/2008"/>
    <s v="63.97"/>
    <n v="44"/>
    <n v="-46"/>
    <n v="-46"/>
    <n v="44"/>
    <n v="0"/>
    <s v="OXX"/>
    <n v="-55"/>
    <n v="-55"/>
    <n v="-55"/>
    <n v="0"/>
    <n v="0"/>
    <s v="XXX"/>
    <x v="4"/>
    <x v="0"/>
    <x v="0"/>
    <n v="44"/>
    <n v="0"/>
    <s v="57.22821496522877"/>
    <s v="0.0"/>
    <x v="0"/>
    <n v="999"/>
    <x v="7"/>
    <x v="3"/>
    <m/>
    <s v="U17 F 64"/>
    <n v="0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88"/>
    <x v="0"/>
    <s v="Romy LISERAY LASCAR10/04/2008"/>
    <n v="2025"/>
    <s v="117.24487823927434"/>
    <s v="117.24487823927434"/>
  </r>
  <r>
    <x v="660"/>
    <x v="634"/>
    <s v="Rose BRETELLE03/09/1997"/>
    <n v="484331"/>
    <s v="FR"/>
    <s v="IDF - Critérium National - Neuilly-sur-seinesam 14 Déc 2024"/>
    <s v="CACHAN HM"/>
    <s v="Rose BRETELLE03/09/1997"/>
    <s v="58.6"/>
    <n v="-55"/>
    <n v="-60"/>
    <n v="-60"/>
    <n v="0"/>
    <n v="0"/>
    <s v="XXX"/>
    <n v="-70"/>
    <n v="70"/>
    <n v="-75"/>
    <n v="70"/>
    <n v="0"/>
    <s v="XOX"/>
    <x v="4"/>
    <x v="0"/>
    <x v="0"/>
    <n v="70"/>
    <n v="0"/>
    <s v="96.2108271173068"/>
    <s v="0.0"/>
    <x v="0"/>
    <n v="999"/>
    <x v="2"/>
    <x v="2"/>
    <m/>
    <s v="SEN F 59"/>
    <n v="0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7"/>
    <x v="3"/>
    <s v="Rose BRETELLE03/09/1997"/>
    <n v="2025"/>
    <s v="191.56345113561852"/>
    <s v="174.59709093565993"/>
  </r>
  <r>
    <x v="661"/>
    <x v="635"/>
    <s v="Rose DUCHAUFFOUR28/09/2009"/>
    <n v="410121"/>
    <s v="FR"/>
    <s v="GE - Critérium National - Langres - LOR - CHAsam 14 Déc 2024"/>
    <s v="HALTEROPHILIE VALLEROY AUBOUE"/>
    <s v="Rose DUCHAUFFOUR28/09/2009"/>
    <n v="40"/>
    <n v="29"/>
    <n v="-33"/>
    <n v="-33"/>
    <n v="29"/>
    <n v="0"/>
    <s v="OXX"/>
    <n v="39"/>
    <n v="41"/>
    <n v="-44"/>
    <n v="41"/>
    <n v="80"/>
    <s v="OOX"/>
    <x v="0"/>
    <x v="0"/>
    <x v="0"/>
    <n v="70"/>
    <n v="80"/>
    <s v="130.08384777299946"/>
    <s v="148.66725459771368"/>
    <x v="1"/>
    <n v="5"/>
    <x v="11"/>
    <x v="3"/>
    <m/>
    <s v="U17 F 40"/>
    <n v="130.08000000000001"/>
    <x v="1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128"/>
    <x v="2"/>
    <s v="Rose DUCHAUFFOUR28/09/2009"/>
    <n v="2025"/>
    <s v="135.80811622352223"/>
    <s v="130.08384777299946"/>
  </r>
  <r>
    <x v="662"/>
    <x v="399"/>
    <s v="Rudy FERRON06/05/2008"/>
    <n v="478979"/>
    <s v="FR"/>
    <s v="PACA - Critérium National - Toulon - SUD PACA TOULON COTE AZURven 13 Déc 2024"/>
    <s v="ESVL HALTERO- MUSCU-GYM"/>
    <s v="Rudy FERRON06/05/2008"/>
    <s v="106.4"/>
    <n v="-100"/>
    <n v="-100"/>
    <n v="-100"/>
    <n v="0"/>
    <n v="0"/>
    <s v="XXX"/>
    <n v="-105"/>
    <n v="105"/>
    <n v="110"/>
    <n v="110"/>
    <n v="215"/>
    <s v="XOO"/>
    <x v="5"/>
    <x v="0"/>
    <x v="0"/>
    <n v="110"/>
    <n v="215"/>
    <s v="123.09640963422319"/>
    <s v="240.59752792143624"/>
    <x v="0"/>
    <n v="999"/>
    <x v="24"/>
    <x v="3"/>
    <m/>
    <s v="U17 M &gt;102"/>
    <n v="0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88"/>
    <x v="0"/>
    <s v="Rudy FERRON06/05/2008"/>
    <n v="2025"/>
    <s v="217.37245564994495"/>
    <s v="217.37245564994495"/>
  </r>
  <r>
    <x v="663"/>
    <x v="636"/>
    <s v="Ryan CALANDRE CONSOLO13/02/2014"/>
    <n v="483425"/>
    <s v="FR"/>
    <s v="IDF - Critérium National - Franconville - Minimesdim 15 Déc 2024"/>
    <s v="CACHAN HM"/>
    <s v="Ryan CALANDRE CONSOLO13/02/2014"/>
    <s v="36.4"/>
    <n v="11"/>
    <n v="13"/>
    <n v="14"/>
    <n v="14"/>
    <n v="27"/>
    <s v="OOO"/>
    <n v="18"/>
    <n v="19"/>
    <n v="20"/>
    <n v="20"/>
    <n v="39"/>
    <s v="OOO"/>
    <x v="2"/>
    <x v="0"/>
    <x v="0"/>
    <n v="34"/>
    <n v="66"/>
    <s v="81.7043502217928"/>
    <s v="158.60256219524481"/>
    <x v="0"/>
    <n v="999"/>
    <x v="11"/>
    <x v="4"/>
    <m/>
    <s v="U13 M 40"/>
    <n v="158.6"/>
    <x v="0"/>
    <s v="IDF - Critérium National - Franconville - Minimesdim 15 Déc 2024"/>
    <s v="Critérium National - Franconville - Minimes"/>
    <s v="IDF"/>
    <d v="2024-12-15T00:00:00"/>
    <n v="2024"/>
    <n v="12"/>
    <s v="2024-12"/>
    <m/>
    <s v="2024-2025"/>
    <n v="2025"/>
    <x v="17"/>
    <x v="3"/>
    <s v="Ryan CALANDRE CONSOLO13/02/2014"/>
    <n v="2025"/>
    <s v="81.7043502217928"/>
    <s v="81.7043502217928"/>
  </r>
  <r>
    <x v="664"/>
    <x v="637"/>
    <s v="Ryan DEBAISIEUX28/07/2013"/>
    <n v="503821"/>
    <s v="FR"/>
    <s v="HDF - Critérium National - Comines - U13 garçonsdim 15 Déc 2024"/>
    <s v="CHCD COMINES"/>
    <s v="Ryan DEBAISIEUX28/07/2013"/>
    <s v="46.97"/>
    <n v="16"/>
    <n v="18"/>
    <n v="-20"/>
    <n v="18"/>
    <n v="34"/>
    <s v="OOX"/>
    <n v="20"/>
    <n v="22"/>
    <n v="-24"/>
    <n v="22"/>
    <n v="42"/>
    <s v="OOX"/>
    <x v="3"/>
    <x v="0"/>
    <x v="0"/>
    <n v="40"/>
    <n v="76"/>
    <s v="75.07929436643377"/>
    <s v="142.65065929622415"/>
    <x v="0"/>
    <n v="999"/>
    <x v="10"/>
    <x v="4"/>
    <m/>
    <s v="U13 M 49"/>
    <n v="142.65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7"/>
    <x v="8"/>
    <s v="Ryan DEBAISIEUX28/07/2013"/>
    <n v="2025"/>
    <s v="75.07929436643377"/>
    <s v="75.07929436643377"/>
  </r>
  <r>
    <x v="665"/>
    <x v="638"/>
    <s v="Sacha SPERKA16/10/1999"/>
    <n v="416133"/>
    <s v="FR"/>
    <s v="BFC - Critérium National - Besançon - BFC - Critérium National - Besançon - BFC-Critérium 81 89 96sam 14 Déc 2024"/>
    <s v="CLUB HALTEROPHILE LUXOVIEN"/>
    <s v="Sacha SPERKA16/10/1999"/>
    <s v="91.75"/>
    <n v="125"/>
    <n v="130"/>
    <n v="135"/>
    <n v="135"/>
    <n v="265"/>
    <s v="OOO"/>
    <n v="153"/>
    <n v="160"/>
    <n v="-170"/>
    <n v="160"/>
    <n v="313"/>
    <s v="OOX"/>
    <x v="1"/>
    <x v="0"/>
    <x v="0"/>
    <n v="295"/>
    <n v="578"/>
    <s v="351.4345306676875"/>
    <s v="688.5734194099098"/>
    <x v="3"/>
    <n v="4"/>
    <x v="18"/>
    <x v="2"/>
    <m/>
    <s v="SEN M 96"/>
    <n v="351.43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Sacha SPERKA16/10/1999"/>
    <n v="2025"/>
    <s v="357.1770528534696"/>
    <s v="351.4345306676875"/>
  </r>
  <r>
    <x v="666"/>
    <x v="639"/>
    <s v="Safana BEDEIR LARADE12/11/2007"/>
    <n v="474709"/>
    <s v="FR"/>
    <s v="IDF - Critérium National - Neuilly-sur-seinesam 14 Déc 2024"/>
    <s v="SPORTING CLUB DE NEUILLY"/>
    <s v="Safana BEDEIR LARADE12/11/2007"/>
    <s v="63.3"/>
    <n v="65"/>
    <n v="68"/>
    <n v="70"/>
    <n v="70"/>
    <n v="138"/>
    <s v="OOO"/>
    <n v="-80"/>
    <n v="80"/>
    <n v="-90"/>
    <n v="80"/>
    <n v="0"/>
    <s v="XOX"/>
    <x v="3"/>
    <x v="0"/>
    <x v="0"/>
    <n v="150"/>
    <n v="138"/>
    <s v="196.33893011273824"/>
    <s v="180.63181570371918"/>
    <x v="3"/>
    <n v="4"/>
    <x v="7"/>
    <x v="0"/>
    <m/>
    <s v="U20 F 64"/>
    <n v="196.33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8"/>
    <x v="3"/>
    <s v="Safana BEDEIR LARADE12/11/2007"/>
    <n v="2025"/>
    <s v="200.51048587185107"/>
    <s v="196.33893011273824"/>
  </r>
  <r>
    <x v="667"/>
    <x v="640"/>
    <s v="Samantha LE MALEFANT21/08/1995"/>
    <n v="436651"/>
    <s v="FR"/>
    <s v="PDL - Critérium National - Laval - seniors Fsam 14 Déc 2024"/>
    <s v="ANGERS MENESTYS BARBELL CLUB"/>
    <s v="Samantha LE MALEFANT21/08/1995"/>
    <s v="62.56"/>
    <n v="77"/>
    <n v="85"/>
    <n v="88"/>
    <n v="88"/>
    <n v="173"/>
    <s v="OOO"/>
    <n v="80"/>
    <n v="105"/>
    <n v="-109"/>
    <n v="105"/>
    <n v="185"/>
    <s v="OOX"/>
    <x v="1"/>
    <x v="0"/>
    <x v="0"/>
    <n v="193"/>
    <n v="358"/>
    <s v="254.4434361442204"/>
    <s v="471.97279865093736"/>
    <x v="4"/>
    <n v="3"/>
    <x v="7"/>
    <x v="2"/>
    <m/>
    <s v="SEN F 64"/>
    <n v="254.44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112"/>
    <x v="10"/>
    <s v="Samantha LE MALEFANT21/08/1995"/>
    <n v="2025"/>
    <s v="254.4434361442204"/>
    <s v="254.4434361442204"/>
  </r>
  <r>
    <x v="668"/>
    <x v="135"/>
    <s v="Samuel AUROQUE29/02/1988"/>
    <n v="477570"/>
    <s v="GP"/>
    <s v="GUA - Critérium National - Creps antilles guyane - GUA-Critérium National d'Haltérophiliesam 14 Déc 2024"/>
    <s v="THE ALPHA'S BARBEL"/>
    <s v="Samuel AUROQUE29/02/1988"/>
    <s v="101.6"/>
    <n v="95"/>
    <n v="100"/>
    <n v="-103"/>
    <n v="100"/>
    <n v="195"/>
    <s v="OOX"/>
    <n v="125"/>
    <n v="130"/>
    <n v="-135"/>
    <n v="130"/>
    <n v="255"/>
    <s v="OOX"/>
    <x v="3"/>
    <x v="0"/>
    <x v="0"/>
    <n v="230"/>
    <n v="450"/>
    <s v="262.0627554346243"/>
    <s v="512.731478024265"/>
    <x v="5"/>
    <n v="7"/>
    <x v="17"/>
    <x v="2"/>
    <n v="35"/>
    <s v="SEN M 102"/>
    <n v="262.06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55"/>
    <x v="11"/>
    <s v="Samuel AUROQUE29/02/1988"/>
    <n v="2025"/>
    <s v="267.18645188962176"/>
    <s v="262.0627554346243"/>
  </r>
  <r>
    <x v="669"/>
    <x v="641"/>
    <s v="Samuel GERINGER04/08/2009"/>
    <n v="505630"/>
    <s v="CH"/>
    <s v="BFC - Critérium National - Besançon - BFC-Critérium 2 SEN Hdim 15 Déc 2024"/>
    <s v="CLUB HALTEROPHILE LUXOVIEN"/>
    <s v="Samuel GERINGER04/08/2009"/>
    <s v="57.8"/>
    <n v="-76"/>
    <n v="77"/>
    <n v="-83"/>
    <n v="77"/>
    <n v="0"/>
    <s v="XOX"/>
    <n v="92"/>
    <n v="-101"/>
    <n v="-101"/>
    <n v="92"/>
    <n v="0"/>
    <s v="OXX"/>
    <x v="5"/>
    <x v="0"/>
    <x v="0"/>
    <n v="169"/>
    <n v="0"/>
    <s v="267.3599686167419"/>
    <s v="0.0"/>
    <x v="1"/>
    <n v="5"/>
    <x v="8"/>
    <x v="3"/>
    <m/>
    <s v="U17 M 61"/>
    <n v="267.35000000000002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Samuel GERINGER04/08/2009"/>
    <n v="2025"/>
    <s v="267.3599686167419"/>
    <s v="267.3599686167419"/>
  </r>
  <r>
    <x v="670"/>
    <x v="642"/>
    <s v="Samuel MASSE10/02/2000"/>
    <n v="435890"/>
    <s v="FR"/>
    <s v="AURA - Critérium National - Vaulx en velin - PLATEAU SEN MASCULINSsam 14 Déc 2024"/>
    <s v="CH ARBRESLE"/>
    <s v="Samuel MASSE10/02/2000"/>
    <s v="87.8"/>
    <n v="-110"/>
    <n v="110"/>
    <n v="115"/>
    <n v="115"/>
    <n v="225"/>
    <s v="XOO"/>
    <n v="137"/>
    <n v="-145"/>
    <n v="-145"/>
    <n v="137"/>
    <n v="0"/>
    <s v="OXX"/>
    <x v="0"/>
    <x v="0"/>
    <x v="0"/>
    <n v="252"/>
    <n v="225"/>
    <s v="306.6526146658386"/>
    <s v="273.79697738021304"/>
    <x v="2"/>
    <n v="6"/>
    <x v="9"/>
    <x v="2"/>
    <m/>
    <s v="SEN M 89"/>
    <n v="306.64999999999998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71"/>
    <x v="4"/>
    <s v="Samuel MASSE10/02/2000"/>
    <n v="2025"/>
    <s v="315.41216262285286"/>
    <s v="306.6526146658386"/>
  </r>
  <r>
    <x v="671"/>
    <x v="643"/>
    <s v="Sandra VALLUCHE13/08/1999"/>
    <n v="467765"/>
    <s v="FR"/>
    <s v="AURA - Critérium National - Vaulx en velin - PLATEAU 1  SENIOR FEMININESdim 15 Déc 2024"/>
    <s v="LEMPDES ATHLETIC CLUB"/>
    <s v="Sandra VALLUCHE13/08/1999"/>
    <s v="54.2"/>
    <n v="-65"/>
    <n v="65"/>
    <n v="-74"/>
    <n v="65"/>
    <n v="0"/>
    <s v="XOX"/>
    <n v="80"/>
    <n v="-90"/>
    <n v="-90"/>
    <n v="80"/>
    <n v="0"/>
    <s v="OXX"/>
    <x v="5"/>
    <x v="0"/>
    <x v="0"/>
    <n v="145"/>
    <n v="0"/>
    <s v="210.25734840171916"/>
    <s v="0.0"/>
    <x v="3"/>
    <n v="4"/>
    <x v="1"/>
    <x v="2"/>
    <m/>
    <s v="SEN F 55"/>
    <n v="210.25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20"/>
    <x v="4"/>
    <s v="Sandra VALLUCHE13/08/1999"/>
    <n v="2025"/>
    <s v="223.36665208165522"/>
    <s v="217.22226784641438"/>
  </r>
  <r>
    <x v="672"/>
    <x v="644"/>
    <s v="Sara IAFRATE18/01/2006"/>
    <n v="415266"/>
    <s v="FR"/>
    <s v="AURA - Critérium National - Vaulx en velin - PLATEAU JEUNES FEMININESsam 14 Déc 2024"/>
    <s v="LA GAULOISE DE VAISE"/>
    <s v="Sara IAFRATE18/01/2006"/>
    <s v="71.5"/>
    <n v="-80"/>
    <n v="82"/>
    <n v="-86"/>
    <n v="82"/>
    <n v="0"/>
    <s v="XOX"/>
    <n v="0"/>
    <n v="0"/>
    <n v="0"/>
    <n v="0"/>
    <n v="0"/>
    <s v="XXX"/>
    <x v="4"/>
    <x v="0"/>
    <x v="0"/>
    <n v="82"/>
    <n v="0"/>
    <s v="100.1929590833358"/>
    <s v="0.0"/>
    <x v="0"/>
    <n v="999"/>
    <x v="15"/>
    <x v="0"/>
    <m/>
    <s v="U20 F 76"/>
    <n v="0"/>
    <x v="1"/>
    <s v="AURA - Critérium National - Vaulx en velin - PLATEAU JEUNES FEMININESsam 14 Déc 2024"/>
    <s v="Critérium National - Vaulx en velin - PLATEAU JEUNES FEMININES"/>
    <s v="AUR"/>
    <d v="2024-12-14T00:00:00"/>
    <n v="2024"/>
    <n v="12"/>
    <s v="2024-12"/>
    <m/>
    <s v="2024-2025"/>
    <n v="2025"/>
    <x v="5"/>
    <x v="4"/>
    <s v="Sara IAFRATE18/01/2006"/>
    <n v="2025"/>
    <s v="238.5103807718108"/>
    <s v="231.78623314513715"/>
  </r>
  <r>
    <x v="673"/>
    <x v="645"/>
    <s v="Sara SAID06/11/2012"/>
    <n v="478759"/>
    <s v="FR"/>
    <s v="HDF - Critérium National - La Ferté Milon - U13sam 14 Déc 2024"/>
    <s v="CLUB MILONAIS HM"/>
    <s v="Sara SAID06/11/2012"/>
    <s v="34.48"/>
    <n v="22"/>
    <n v="24"/>
    <n v="26"/>
    <n v="26"/>
    <n v="50"/>
    <s v="OOO"/>
    <n v="32"/>
    <n v="34"/>
    <n v="36"/>
    <n v="36"/>
    <n v="70"/>
    <s v="OOO"/>
    <x v="2"/>
    <x v="0"/>
    <x v="0"/>
    <n v="62"/>
    <n v="120"/>
    <s v="133.0920650559442"/>
    <s v="257.5975452695694"/>
    <x v="0"/>
    <n v="999"/>
    <x v="14"/>
    <x v="4"/>
    <m/>
    <s v="U13 F 35"/>
    <n v="257.58999999999997"/>
    <x v="1"/>
    <s v="HDF - Critérium National - La Ferté Milon - U13sam 14 Déc 2024"/>
    <s v="Critérium National - La Ferté Milon - U13"/>
    <s v="HDF"/>
    <d v="2024-12-14T00:00:00"/>
    <n v="2024"/>
    <n v="12"/>
    <s v="2024-12"/>
    <m/>
    <s v="2024-2025"/>
    <n v="2025"/>
    <x v="80"/>
    <x v="8"/>
    <s v="Sara SAID06/11/2012"/>
    <n v="2025"/>
    <s v="133.0920650559442"/>
    <s v="133.0920650559442"/>
  </r>
  <r>
    <x v="674"/>
    <x v="646"/>
    <s v="Sara TAIMOURI06/09/1990"/>
    <n v="491158"/>
    <s v="FR"/>
    <s v="IDF - Critérium National - Neuilly-sur-seinesam 14 Déc 2024"/>
    <s v="CHM CHAVILLE"/>
    <s v="Sara TAIMOURI06/09/1990"/>
    <s v="58.5"/>
    <n v="55"/>
    <n v="-60"/>
    <n v="-60"/>
    <n v="55"/>
    <n v="0"/>
    <s v="OXX"/>
    <n v="-68"/>
    <n v="68"/>
    <n v="-73"/>
    <n v="68"/>
    <n v="0"/>
    <s v="XOX"/>
    <x v="5"/>
    <x v="0"/>
    <x v="0"/>
    <n v="123"/>
    <n v="0"/>
    <s v="169.24684076219424"/>
    <s v="0.0"/>
    <x v="2"/>
    <n v="6"/>
    <x v="2"/>
    <x v="2"/>
    <n v="35"/>
    <s v="SEN F 59"/>
    <n v="169.24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00"/>
    <x v="3"/>
    <s v="Sara TAIMOURI06/09/1990"/>
    <n v="2025"/>
    <s v="176.52639639450047"/>
    <s v="176.52639639450047"/>
  </r>
  <r>
    <x v="675"/>
    <x v="647"/>
    <s v="Sarah ERHART08/12/2007"/>
    <n v="500075"/>
    <s v="FR"/>
    <s v="GE - Critérium National - Haguenau - ALS - U15 - U17 - U20 Femsam 14 Déc 2024"/>
    <s v="SAS COLMARIENNE"/>
    <s v="Sarah ERHART08/12/2007"/>
    <s v="53.52"/>
    <n v="-43"/>
    <n v="-43"/>
    <n v="-43"/>
    <n v="0"/>
    <n v="0"/>
    <s v="XXX"/>
    <n v="53"/>
    <n v="56"/>
    <n v="62"/>
    <n v="62"/>
    <n v="118"/>
    <s v="OOO"/>
    <x v="0"/>
    <x v="0"/>
    <x v="0"/>
    <n v="62"/>
    <n v="118"/>
    <s v="90.72077757385354"/>
    <s v="172.66212505991479"/>
    <x v="0"/>
    <n v="999"/>
    <x v="1"/>
    <x v="0"/>
    <m/>
    <s v="U20 F 55"/>
    <n v="0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109"/>
    <x v="2"/>
    <s v="Sarah ERHART08/12/2007"/>
    <n v="2025"/>
    <s v="138.16128485288027"/>
    <s v="138.16128485288027"/>
  </r>
  <r>
    <x v="676"/>
    <x v="648"/>
    <s v="Sarah MILLE17/09/2009"/>
    <n v="474160"/>
    <s v="FR"/>
    <s v="PACA - Critérium National - Mondragon - Provence U15 - U17 - U20 - SEN F 45 à F55sam 14 Déc 2024"/>
    <s v="HM SAINTE TULLE"/>
    <s v="Sarah MILLE17/09/2009"/>
    <s v="69.3"/>
    <n v="-45"/>
    <n v="45"/>
    <n v="-48"/>
    <n v="45"/>
    <n v="0"/>
    <s v="XOX"/>
    <n v="58"/>
    <n v="-61"/>
    <n v="-63"/>
    <n v="58"/>
    <n v="0"/>
    <s v="OXX"/>
    <x v="5"/>
    <x v="0"/>
    <x v="0"/>
    <n v="103"/>
    <n v="0"/>
    <s v="127.97042445881732"/>
    <s v="0.0"/>
    <x v="2"/>
    <n v="6"/>
    <x v="3"/>
    <x v="3"/>
    <m/>
    <s v="U17 F 71"/>
    <n v="127.97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77"/>
    <x v="0"/>
    <s v="Sarah MILLE17/09/2009"/>
    <n v="2025"/>
    <s v="131.82423408535504"/>
    <s v="131.82423408535504"/>
  </r>
  <r>
    <x v="677"/>
    <x v="62"/>
    <s v="Sarah SAINT AIME11/06/1991"/>
    <n v="372599"/>
    <s v="FR"/>
    <s v="AURA - Critérium National - Vaulx en velin - PLATEAU 2  SENIOR FEMININESdim 15 Déc 2024"/>
    <s v="ELITE BARBELL VAULX EN VELIN"/>
    <s v="Sarah SAINT AIME11/06/1991"/>
    <s v="63.4"/>
    <n v="80"/>
    <n v="84"/>
    <n v="-87"/>
    <n v="84"/>
    <n v="164"/>
    <s v="OOX"/>
    <n v="102"/>
    <n v="106"/>
    <n v="109"/>
    <n v="109"/>
    <n v="215"/>
    <s v="OOO"/>
    <x v="1"/>
    <x v="0"/>
    <x v="0"/>
    <n v="193"/>
    <n v="379"/>
    <s v="252.38116295568145"/>
    <s v="495.6086049751465"/>
    <x v="4"/>
    <n v="3"/>
    <x v="7"/>
    <x v="2"/>
    <m/>
    <s v="SEN F 64"/>
    <n v="252.38"/>
    <x v="1"/>
    <s v="AURA - Critérium National - Vaulx en velin - PLATEAU 2  SENIOR FEMININESdim 15 Déc 2024"/>
    <s v="Critérium National - Vaulx en velin - PLATEAU 2  SENIOR FEMININES"/>
    <s v="AUR"/>
    <d v="2024-12-15T00:00:00"/>
    <n v="2024"/>
    <n v="12"/>
    <s v="2024-12"/>
    <m/>
    <s v="2024-2025"/>
    <n v="2025"/>
    <x v="76"/>
    <x v="4"/>
    <s v="Sarah SAINT AIME11/06/1991"/>
    <n v="2025"/>
    <s v="253.9278797539857"/>
    <s v="252.38116295568145"/>
  </r>
  <r>
    <x v="678"/>
    <x v="492"/>
    <s v="Selena BOSQ14/02/2012"/>
    <n v="477046"/>
    <s v="FR"/>
    <s v="HDF - Critérium National - Comines - U13 Fillesdim 15 Déc 2024"/>
    <s v="CA ROSENDAEL"/>
    <s v="Selena BOSQ14/02/2012"/>
    <s v="49.82"/>
    <n v="31"/>
    <n v="33"/>
    <n v="-35"/>
    <n v="33"/>
    <n v="64"/>
    <s v="OOX"/>
    <n v="41"/>
    <n v="43"/>
    <n v="-45"/>
    <n v="43"/>
    <n v="84"/>
    <s v="OOX"/>
    <x v="3"/>
    <x v="0"/>
    <x v="0"/>
    <n v="76"/>
    <n v="148"/>
    <s v="117.30995648591079"/>
    <s v="228.445704735721"/>
    <x v="0"/>
    <n v="999"/>
    <x v="1"/>
    <x v="4"/>
    <m/>
    <s v="U13 F 55"/>
    <n v="228.44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13"/>
    <x v="8"/>
    <s v="Selena BOSQ14/02/2012"/>
    <n v="2025"/>
    <s v="120.43259873928027"/>
    <s v="120.43259873928027"/>
  </r>
  <r>
    <x v="679"/>
    <x v="649"/>
    <s v="Selenia DECRAENE17/08/2010"/>
    <n v="465928"/>
    <s v="FR"/>
    <s v="HDF - Critérium National - La ferte milon - U15 Femmessam 14 Déc 2024"/>
    <s v="CLUB MILONAIS HM"/>
    <s v="Selenia DECRAENE17/08/2010"/>
    <s v="40.46"/>
    <n v="40"/>
    <n v="43"/>
    <n v="-45"/>
    <n v="43"/>
    <n v="83"/>
    <s v="OOX"/>
    <n v="50"/>
    <n v="53"/>
    <n v="-55"/>
    <n v="53"/>
    <n v="103"/>
    <s v="OOX"/>
    <x v="3"/>
    <x v="0"/>
    <x v="0"/>
    <n v="96"/>
    <n v="186"/>
    <s v="176.54083244898695"/>
    <s v="342.0478628699122"/>
    <x v="4"/>
    <n v="3"/>
    <x v="6"/>
    <x v="1"/>
    <m/>
    <s v="U15 F 45"/>
    <n v="176.54"/>
    <x v="1"/>
    <s v="HDF - Critérium National - La ferte milon - U15 Femmessam 14 Déc 2024"/>
    <s v="Critérium National - La ferte milon - U15 Femmes"/>
    <s v="HDF"/>
    <d v="2024-12-14T00:00:00"/>
    <n v="2024"/>
    <n v="12"/>
    <s v="2024-12"/>
    <m/>
    <s v="2024-2025"/>
    <n v="2025"/>
    <x v="80"/>
    <x v="8"/>
    <s v="Selenia DECRAENE17/08/2010"/>
    <n v="2025"/>
    <s v="176.54083244898695"/>
    <s v="176.54083244898695"/>
  </r>
  <r>
    <x v="680"/>
    <x v="93"/>
    <s v="Servane LITZLER26/11/2009"/>
    <n v="471557"/>
    <s v="FR"/>
    <s v="BFC - Critérium National - Besançon - BFC-Critérium u15 F F-Besançondim 15 Déc 2024"/>
    <s v="CLUB HALTEROPHILE LUXOVIEN"/>
    <s v="Servane LITZLER26/11/2009"/>
    <s v="54.3"/>
    <n v="49"/>
    <n v="-52"/>
    <n v="-52"/>
    <n v="49"/>
    <n v="0"/>
    <s v="OXX"/>
    <n v="61"/>
    <n v="64"/>
    <n v="-70"/>
    <n v="64"/>
    <n v="125"/>
    <s v="OOX"/>
    <x v="0"/>
    <x v="0"/>
    <x v="0"/>
    <n v="113"/>
    <n v="125"/>
    <s v="163.6407751109655"/>
    <s v="181.01855653867867"/>
    <x v="3"/>
    <n v="4"/>
    <x v="1"/>
    <x v="3"/>
    <m/>
    <s v="U17 F 55"/>
    <n v="163.63999999999999"/>
    <x v="1"/>
    <s v="BFC - Critérium National - Besançon - BFC-Critérium u15 F F-Besançondim 15 Déc 2024"/>
    <s v="Critérium National - Besançon - BFC-Critérium u15 F F-Besançon"/>
    <s v="BFC"/>
    <d v="2024-12-15T00:00:00"/>
    <n v="2024"/>
    <n v="12"/>
    <s v="2024-12"/>
    <m/>
    <s v="2024-2025"/>
    <n v="2025"/>
    <x v="10"/>
    <x v="6"/>
    <s v="Servane LITZLER26/11/2009"/>
    <n v="2025"/>
    <s v="181.1003547494722"/>
    <s v="163.6407751109655"/>
  </r>
  <r>
    <x v="681"/>
    <x v="650"/>
    <s v="Shaina RADAMA06/02/2011"/>
    <n v="461624"/>
    <s v="FR"/>
    <s v="HDF - Critérium National - Comines - U15 / U17 Femmessam 14 Déc 2024"/>
    <s v="CA ROSENDAEL"/>
    <s v="Shaina RADAMA06/02/2011"/>
    <s v="52.72"/>
    <n v="43"/>
    <n v="46"/>
    <n v="-48"/>
    <n v="46"/>
    <n v="89"/>
    <s v="OOX"/>
    <n v="55"/>
    <n v="-58"/>
    <n v="58"/>
    <n v="58"/>
    <n v="113"/>
    <s v="OXO"/>
    <x v="3"/>
    <x v="0"/>
    <x v="0"/>
    <n v="104"/>
    <n v="202"/>
    <s v="153.8510735404433"/>
    <s v="298.8261236073995"/>
    <x v="3"/>
    <n v="4"/>
    <x v="1"/>
    <x v="1"/>
    <m/>
    <s v="U15 F 55"/>
    <n v="153.85"/>
    <x v="1"/>
    <s v="HDF - Critérium National - Comines - U15 / U17 Femmessam 14 Déc 2024"/>
    <s v="Critérium National - Comines - U15 / U17 Femmes"/>
    <s v="HDF"/>
    <d v="2024-12-14T00:00:00"/>
    <n v="2024"/>
    <n v="12"/>
    <s v="2024-12"/>
    <m/>
    <s v="2024-2025"/>
    <n v="2025"/>
    <x v="13"/>
    <x v="8"/>
    <s v="Shaina RADAMA06/02/2011"/>
    <n v="2025"/>
    <s v="158.11369050784776"/>
    <s v="158.11369050784776"/>
  </r>
  <r>
    <x v="682"/>
    <x v="450"/>
    <s v="Shanilla BOLDINI28/08/2012"/>
    <n v="496243"/>
    <s v="CH"/>
    <s v="BFC - Critérium National - Besançon - BFC-Critérium U13 F-Besançondim 15 Déc 2024"/>
    <s v="CLUB HALTEROPHILE LUXOVIEN"/>
    <s v="Shanilla BOLDINI28/08/2012"/>
    <s v="47.5"/>
    <n v="36"/>
    <n v="38"/>
    <n v="40"/>
    <n v="40"/>
    <n v="78"/>
    <s v="OOO"/>
    <n v="45"/>
    <n v="47"/>
    <n v="49"/>
    <n v="49"/>
    <n v="96"/>
    <s v="OOO"/>
    <x v="2"/>
    <x v="0"/>
    <x v="0"/>
    <n v="89"/>
    <n v="174"/>
    <s v="142.6274996787267"/>
    <s v="278.84477465279156"/>
    <x v="0"/>
    <n v="999"/>
    <x v="10"/>
    <x v="4"/>
    <m/>
    <s v="U13 F 49"/>
    <n v="278.83999999999997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"/>
    <x v="6"/>
    <s v="Shanilla BOLDINI28/08/2012"/>
    <n v="2025"/>
    <s v="142.6274996787267"/>
    <s v="142.6274996787267"/>
  </r>
  <r>
    <x v="683"/>
    <x v="651"/>
    <s v="Shirley VAILLES09/08/1995"/>
    <n v="468244"/>
    <s v="FR"/>
    <s v="PACA - Critérium National - Mondragon - Provence F59 à F&gt;87sam 14 Déc 2024"/>
    <s v="EEAR MONTEUX"/>
    <s v="Shirley VAILLES09/08/1995"/>
    <s v="58.8"/>
    <n v="60"/>
    <n v="63"/>
    <n v="-65"/>
    <n v="63"/>
    <n v="123"/>
    <s v="OOX"/>
    <n v="73"/>
    <n v="77"/>
    <n v="80"/>
    <n v="80"/>
    <n v="157"/>
    <s v="OOO"/>
    <x v="1"/>
    <x v="0"/>
    <x v="0"/>
    <n v="143"/>
    <n v="280"/>
    <s v="196.10466816045349"/>
    <s v="383.98116842606277"/>
    <x v="1"/>
    <n v="5"/>
    <x v="2"/>
    <x v="2"/>
    <m/>
    <s v="SEN F 59"/>
    <n v="196.1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11"/>
    <x v="0"/>
    <s v="Shirley VAILLES09/08/1995"/>
    <n v="2025"/>
    <s v="197.69721338994046"/>
    <s v="196.10466816045349"/>
  </r>
  <r>
    <x v="684"/>
    <x v="318"/>
    <s v="Shizuka RICO29/09/1994"/>
    <n v="438963"/>
    <s v="FR"/>
    <s v="IDF - Critérium National - Franconville - Seniors Femmes 1er plateausam 14 Déc 2024"/>
    <s v="AFHMA FRANCONVILLE"/>
    <s v="Shizuka RICO29/09/1994"/>
    <s v="54.9"/>
    <n v="-70"/>
    <n v="-70"/>
    <n v="70"/>
    <n v="70"/>
    <n v="0"/>
    <s v="XXO"/>
    <n v="90"/>
    <n v="95"/>
    <n v="-97"/>
    <n v="95"/>
    <n v="185"/>
    <s v="OOX"/>
    <x v="0"/>
    <x v="1"/>
    <x v="0"/>
    <n v="165"/>
    <n v="185"/>
    <s v="237.09329695384895"/>
    <s v="265.8318784028003"/>
    <x v="4"/>
    <n v="3"/>
    <x v="1"/>
    <x v="2"/>
    <m/>
    <s v="SEN F 55"/>
    <n v="237.09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4"/>
    <x v="3"/>
    <s v="Shizuka RICO29/09/1994"/>
    <n v="2025"/>
    <s v="248.75595707872316"/>
    <s v="237.2137234764617"/>
  </r>
  <r>
    <x v="685"/>
    <x v="652"/>
    <s v="Simon DEYRIS10/04/2004"/>
    <n v="466033"/>
    <s v="FR"/>
    <s v="OCC - Critérium National - Hc montalbanais - Plateau 4sam 14 Déc 2024"/>
    <s v="TOULOUSE HC"/>
    <s v="Simon DEYRIS10/04/2004"/>
    <s v="86.5"/>
    <n v="110"/>
    <n v="-114"/>
    <n v="-116"/>
    <n v="110"/>
    <n v="0"/>
    <s v="OXX"/>
    <n v="145"/>
    <n v="-150"/>
    <n v="150"/>
    <n v="150"/>
    <n v="295"/>
    <s v="OXO"/>
    <x v="0"/>
    <x v="0"/>
    <x v="0"/>
    <n v="260"/>
    <n v="295"/>
    <s v="318.76155921506466"/>
    <s v="361.6717691094003"/>
    <x v="1"/>
    <n v="5"/>
    <x v="9"/>
    <x v="2"/>
    <m/>
    <s v="SEN M 89"/>
    <n v="318.76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6"/>
    <x v="1"/>
    <s v="Simon DEYRIS10/04/2004"/>
    <n v="2025"/>
    <s v="318.76155921506466"/>
    <s v="318.76155921506466"/>
  </r>
  <r>
    <x v="686"/>
    <x v="274"/>
    <s v="Simon MECHELAERE12/07/1995"/>
    <n v="464695"/>
    <s v="FR"/>
    <s v="AURA - Critérium National - Vaulx en velin - PLATEAU SEN MASCULINSsam 14 Déc 2024"/>
    <s v="ELITE BARBELL VAULX EN VELIN"/>
    <s v="Simon MECHELAERE12/07/1995"/>
    <s v="79.7"/>
    <n v="105"/>
    <n v="109"/>
    <n v="-112"/>
    <n v="109"/>
    <n v="214"/>
    <s v="OOX"/>
    <n v="141"/>
    <n v="-145"/>
    <n v="-145"/>
    <n v="141"/>
    <n v="0"/>
    <s v="OXX"/>
    <x v="0"/>
    <x v="0"/>
    <x v="0"/>
    <n v="250"/>
    <n v="214"/>
    <s v="320.1338974627118"/>
    <s v="274.0346162280813"/>
    <x v="1"/>
    <n v="5"/>
    <x v="4"/>
    <x v="2"/>
    <m/>
    <s v="SEN M 81"/>
    <n v="320.13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76"/>
    <x v="4"/>
    <s v="Simon MECHELAERE12/07/1995"/>
    <n v="2025"/>
    <s v="320.1338974627118"/>
    <s v="320.1338974627118"/>
  </r>
  <r>
    <x v="687"/>
    <x v="653"/>
    <s v="Simon VAN DEN BLIEK23/03/2005"/>
    <n v="503491"/>
    <s v="FR"/>
    <s v="PDL - Critérium National - Laval - U15 au U20 Hdim 15 Déc 2024"/>
    <s v="GRAVITY HALTEROPHILIE"/>
    <s v="Simon VAN DEN BLIEK23/03/2005"/>
    <s v="87.15"/>
    <n v="90"/>
    <n v="95"/>
    <n v="100"/>
    <n v="100"/>
    <n v="195"/>
    <s v="OOO"/>
    <n v="-120"/>
    <n v="120"/>
    <n v="125"/>
    <n v="125"/>
    <n v="245"/>
    <s v="XOO"/>
    <x v="1"/>
    <x v="0"/>
    <x v="0"/>
    <n v="225"/>
    <n v="440"/>
    <s v="274.81361444420804"/>
    <s v="537.4132904686735"/>
    <x v="1"/>
    <n v="5"/>
    <x v="9"/>
    <x v="0"/>
    <m/>
    <s v="U20 M 89"/>
    <n v="274.81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75"/>
    <x v="10"/>
    <s v="Simon VAN DEN BLIEK23/03/2005"/>
    <n v="2025"/>
    <s v="274.81361444420804"/>
    <s v="274.81361444420804"/>
  </r>
  <r>
    <x v="688"/>
    <x v="654"/>
    <s v="Soan TAÏLÉ22/11/2012"/>
    <n v="479336"/>
    <s v="FR"/>
    <s v="REU - Critérium National - La possession - LA REUNION-CRITERIUM-LA POSSESSION-U13sam 14 Déc 2024"/>
    <s v="CH DU TAMPON"/>
    <s v="Soan TAÏLÉ22/11/2012"/>
    <s v="58.26"/>
    <n v="28"/>
    <n v="30"/>
    <n v="32"/>
    <n v="32"/>
    <n v="62"/>
    <s v="OOO"/>
    <n v="34"/>
    <n v="36"/>
    <n v="38"/>
    <n v="38"/>
    <n v="74"/>
    <s v="OOO"/>
    <x v="2"/>
    <x v="0"/>
    <x v="0"/>
    <n v="70"/>
    <n v="136"/>
    <s v="110.07879612975121"/>
    <s v="213.86737533780234"/>
    <x v="0"/>
    <n v="999"/>
    <x v="8"/>
    <x v="4"/>
    <m/>
    <s v="U13 M 61"/>
    <n v="213.86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136"/>
    <x v="5"/>
    <s v="Soan TAÏLÉ22/11/2012"/>
    <n v="2025"/>
    <s v="110.07879612975121"/>
    <s v="110.07879612975121"/>
  </r>
  <r>
    <x v="689"/>
    <x v="655"/>
    <s v="Solène BOUTIN27/06/1999"/>
    <n v="463094"/>
    <s v="FR"/>
    <s v="OCC - Critérium National - Hc montalbanais - Plateau 1sam 14 Déc 2024"/>
    <s v="TOULOUSE HC"/>
    <s v="Solène BOUTIN27/06/1999"/>
    <s v="57.8"/>
    <n v="66"/>
    <n v="69"/>
    <n v="-71"/>
    <n v="69"/>
    <n v="135"/>
    <s v="OOX"/>
    <n v="86"/>
    <n v="90"/>
    <n v="-93"/>
    <n v="90"/>
    <n v="176"/>
    <s v="OOX"/>
    <x v="3"/>
    <x v="0"/>
    <x v="0"/>
    <n v="159"/>
    <n v="311"/>
    <s v="220.540125075655"/>
    <s v="431.370936468734"/>
    <x v="3"/>
    <n v="4"/>
    <x v="2"/>
    <x v="2"/>
    <m/>
    <s v="SEN F 59"/>
    <n v="220.54"/>
    <x v="1"/>
    <s v="OCC - Critérium National - Hc montalbanais - Plateau 1sam 14 Déc 2024"/>
    <s v="Critérium National - Hc montalbanais - Plateau 1"/>
    <s v="OCC"/>
    <d v="2024-12-14T00:00:00"/>
    <n v="2024"/>
    <n v="12"/>
    <s v="2024-12"/>
    <m/>
    <s v="2024-2025"/>
    <n v="2025"/>
    <x v="6"/>
    <x v="1"/>
    <s v="Solène BOUTIN27/06/1999"/>
    <n v="2025"/>
    <s v="220.540125075655"/>
    <s v="220.540125075655"/>
  </r>
  <r>
    <x v="690"/>
    <x v="656"/>
    <s v="Solene DOUYERE11/07/2009"/>
    <n v="476821"/>
    <s v="FR"/>
    <s v="REU - Critérium National - La possession - U15-17-20dim 15 Déc 2024"/>
    <s v="HALTERO CLUB DE LA POSSESSION PLIIISSS"/>
    <s v="Solene DOUYERE11/07/2009"/>
    <s v="53.32"/>
    <n v="44"/>
    <n v="47"/>
    <n v="49"/>
    <n v="49"/>
    <n v="96"/>
    <s v="OOO"/>
    <n v="53"/>
    <n v="56"/>
    <n v="-59"/>
    <n v="56"/>
    <n v="109"/>
    <s v="OOX"/>
    <x v="1"/>
    <x v="0"/>
    <x v="0"/>
    <n v="105"/>
    <n v="205"/>
    <s v="154.05628504264737"/>
    <s v="300.77655651183534"/>
    <x v="1"/>
    <n v="5"/>
    <x v="1"/>
    <x v="3"/>
    <m/>
    <s v="U17 F 55"/>
    <n v="154.05000000000001"/>
    <x v="1"/>
    <s v="REU - Critérium National - La possession - U15-17-20dim 15 Déc 2024"/>
    <s v="Critérium National - La possession - U15-17-20"/>
    <s v="REU"/>
    <d v="2024-12-15T00:00:00"/>
    <n v="2024"/>
    <n v="12"/>
    <s v="2024-12"/>
    <m/>
    <s v="2024-2025"/>
    <n v="2025"/>
    <x v="67"/>
    <x v="5"/>
    <s v="Solene DOUYERE11/07/2009"/>
    <n v="2025"/>
    <s v="154.05628504264737"/>
    <s v="154.05628504264737"/>
  </r>
  <r>
    <x v="691"/>
    <x v="657"/>
    <s v="Solenza SANCI02/06/1998"/>
    <n v="457654"/>
    <s v="FR"/>
    <s v="PACA - Critérium National - Toulon - SUD PACA TOULON COTE AZURven 13 Déc 2024"/>
    <s v="ASL DUMONT D URVILLE"/>
    <s v="Solenza SANCI02/06/1998"/>
    <s v="63.4"/>
    <n v="63"/>
    <n v="66"/>
    <n v="69"/>
    <n v="69"/>
    <n v="135"/>
    <s v="OOO"/>
    <n v="80"/>
    <n v="85"/>
    <n v="-89"/>
    <n v="85"/>
    <n v="165"/>
    <s v="OOX"/>
    <x v="1"/>
    <x v="0"/>
    <x v="0"/>
    <n v="154"/>
    <n v="300"/>
    <s v="201.38186059676136"/>
    <s v="392.3023258378468"/>
    <x v="1"/>
    <n v="5"/>
    <x v="7"/>
    <x v="2"/>
    <m/>
    <s v="SEN F 64"/>
    <n v="201.38"/>
    <x v="1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Solenza SANCI02/06/1998"/>
    <n v="2025"/>
    <s v="203.60917022719534"/>
    <s v="201.38186059676136"/>
  </r>
  <r>
    <x v="692"/>
    <x v="658"/>
    <s v="Sonia COGNON15/06/1974"/>
    <n v="358338"/>
    <s v="FR"/>
    <s v="PDL - Critérium National - Laval - seniors Fsam 14 Déc 2024"/>
    <s v="CJF LAVAL VOUTRE HALTERO 53"/>
    <s v="Sonia COGNON15/06/1974"/>
    <s v="69.63"/>
    <n v="56"/>
    <n v="58"/>
    <n v="61"/>
    <n v="61"/>
    <n v="119"/>
    <s v="OOO"/>
    <n v="70"/>
    <n v="74"/>
    <n v="76"/>
    <n v="76"/>
    <n v="150"/>
    <s v="OOO"/>
    <x v="2"/>
    <x v="0"/>
    <x v="0"/>
    <n v="137"/>
    <n v="269"/>
    <s v="169.77446127467738"/>
    <s v="333.35277432765116"/>
    <x v="2"/>
    <n v="6"/>
    <x v="3"/>
    <x v="2"/>
    <n v="50"/>
    <s v="SEN F 71"/>
    <n v="169.77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43"/>
    <x v="10"/>
    <s v="Sonia COGNON15/06/1974"/>
    <n v="2025"/>
    <s v="188.0700881946882"/>
    <s v="169.77446127467738"/>
  </r>
  <r>
    <x v="693"/>
    <x v="659"/>
    <s v="Sonia SAICIC07/10/1993"/>
    <n v="474762"/>
    <s v="FR"/>
    <s v="IDF - Critérium National - Franconville - Seniors Femmes 2ème plateausam 14 Déc 2024"/>
    <s v="HMDB21 DIJON"/>
    <s v="Sonia SAICIC07/10/1993"/>
    <s v="74.8"/>
    <n v="82"/>
    <n v="86"/>
    <n v="-89"/>
    <n v="86"/>
    <n v="168"/>
    <s v="OOX"/>
    <n v="90"/>
    <n v="0"/>
    <n v="0"/>
    <n v="90"/>
    <n v="0"/>
    <s v="OXX"/>
    <x v="0"/>
    <x v="0"/>
    <x v="0"/>
    <n v="176"/>
    <n v="168"/>
    <s v="210.17537855543094"/>
    <s v="200.62195225745683"/>
    <x v="3"/>
    <n v="4"/>
    <x v="15"/>
    <x v="2"/>
    <m/>
    <s v="SEN F 76"/>
    <n v="210.17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0"/>
    <x v="6"/>
    <s v="Sonia SAICIC07/10/1993"/>
    <n v="2025"/>
    <s v="228.08805286413246"/>
    <s v="224.9516038740706"/>
  </r>
  <r>
    <x v="694"/>
    <x v="660"/>
    <s v="Sophia ZHYLKO31/05/1995"/>
    <n v="497625"/>
    <s v="FR"/>
    <s v="NAQ - Critérium National - Mont de marsan - ligue Nouvelle Aquitaine plateau 2 fillessam 14 Déc 2024"/>
    <s v="STADE MONTOIS HALTEROPHILIE"/>
    <s v="Sophia ZHYLKO31/05/1995"/>
    <n v="64"/>
    <n v="70"/>
    <n v="-73"/>
    <n v="75"/>
    <n v="75"/>
    <n v="145"/>
    <s v="OXO"/>
    <n v="87"/>
    <n v="90"/>
    <n v="93"/>
    <n v="93"/>
    <n v="183"/>
    <s v="OOO"/>
    <x v="1"/>
    <x v="0"/>
    <x v="0"/>
    <n v="168"/>
    <n v="328"/>
    <s v="218.4463390245751"/>
    <s v="426.4904714289324"/>
    <x v="3"/>
    <n v="4"/>
    <x v="7"/>
    <x v="2"/>
    <m/>
    <s v="SEN F 64"/>
    <n v="218.44"/>
    <x v="1"/>
    <s v="NAQ - Critérium National - Mont de marsan - ligue Nouvelle Aquitaine plateau 2 fillessam 14 Déc 2024"/>
    <s v="Critérium National - Mont de marsan - ligue Nouvelle Aquitaine plateau 2 filles"/>
    <s v="NAQ"/>
    <d v="2024-12-14T00:00:00"/>
    <n v="2024"/>
    <n v="12"/>
    <s v="2024-12"/>
    <m/>
    <s v="2024-2025"/>
    <n v="2025"/>
    <x v="91"/>
    <x v="12"/>
    <s v="Sophia ZHYLKO31/05/1995"/>
    <n v="2025"/>
    <s v="218.4463390245751"/>
    <s v="218.4463390245751"/>
  </r>
  <r>
    <x v="695"/>
    <x v="661"/>
    <s v="Sophie DOUCET CHARPIN17/02/1990"/>
    <n v="390544"/>
    <s v="FR"/>
    <s v="AURA - Critérium National - Vaulx en velin - PLATEAU 1  SENIOR FEMININESdim 15 Déc 2024"/>
    <s v="ELITE BARBELL VAULX EN VELIN"/>
    <s v="Sophie DOUCET CHARPIN17/02/1990"/>
    <n v="55"/>
    <n v="55"/>
    <n v="58"/>
    <n v="-60"/>
    <n v="58"/>
    <n v="113"/>
    <s v="OOX"/>
    <n v="68"/>
    <n v="-72"/>
    <n v="72"/>
    <n v="72"/>
    <n v="140"/>
    <s v="OXO"/>
    <x v="3"/>
    <x v="0"/>
    <x v="0"/>
    <n v="130"/>
    <n v="253"/>
    <s v="186.56182285689812"/>
    <s v="363.0780090984248"/>
    <x v="1"/>
    <n v="5"/>
    <x v="1"/>
    <x v="2"/>
    <n v="35"/>
    <s v="SEN F 55"/>
    <n v="186.56"/>
    <x v="1"/>
    <s v="AURA - Critérium National - Vaulx en velin - PLATEAU 1  SENIOR FEMININESdim 15 Déc 2024"/>
    <s v="Critérium National - Vaulx en velin - PLATEAU 1  SENIOR FEMININES"/>
    <s v="AUR"/>
    <d v="2024-12-15T00:00:00"/>
    <n v="2024"/>
    <n v="12"/>
    <s v="2024-12"/>
    <m/>
    <s v="2024-2025"/>
    <n v="2025"/>
    <x v="76"/>
    <x v="4"/>
    <s v="Sophie DOUCET CHARPIN17/02/1990"/>
    <n v="2025"/>
    <s v="194.73717046815798"/>
    <s v="186.56182285689812"/>
  </r>
  <r>
    <x v="696"/>
    <x v="662"/>
    <s v="Sovannarith MEY16/08/1989"/>
    <n v="441682"/>
    <s v="FR"/>
    <s v="IDF - Critérium National - Neuilly - Seniors Hommes 3ème plateausam 14 Déc 2024"/>
    <s v="CHM CHAVILLE"/>
    <s v="Sovannarith MEY16/08/1989"/>
    <n v="61"/>
    <n v="-85"/>
    <n v="-85"/>
    <n v="-85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8"/>
    <x v="2"/>
    <n v="35"/>
    <s v="SEN M 61"/>
    <n v="0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100"/>
    <x v="3"/>
    <s v="Sovannarith MEY16/08/1989"/>
    <n v="2025"/>
    <s v="305.45930492164587"/>
    <s v="291.84147819385095"/>
  </r>
  <r>
    <x v="697"/>
    <x v="663"/>
    <s v="Stella BATCHEV05/03/1999"/>
    <n v="470012"/>
    <s v="FR"/>
    <s v="IDF - Critérium National - Neuilly-sur-seinesam 14 Déc 2024"/>
    <s v="CACHAN HM"/>
    <s v="Stella BATCHEV05/03/1999"/>
    <s v="62.6"/>
    <n v="-67"/>
    <n v="67"/>
    <n v="-70"/>
    <n v="67"/>
    <n v="0"/>
    <s v="XOX"/>
    <n v="75"/>
    <n v="-80"/>
    <n v="-80"/>
    <n v="75"/>
    <n v="0"/>
    <s v="OXX"/>
    <x v="5"/>
    <x v="0"/>
    <x v="0"/>
    <n v="142"/>
    <n v="0"/>
    <s v="187.13357244408087"/>
    <s v="0.0"/>
    <x v="2"/>
    <n v="6"/>
    <x v="7"/>
    <x v="2"/>
    <m/>
    <s v="SEN F 64"/>
    <n v="187.13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17"/>
    <x v="3"/>
    <s v="Stella BATCHEV05/03/1999"/>
    <n v="2025"/>
    <s v="193.26893171402654"/>
    <s v="193.26893171402654"/>
  </r>
  <r>
    <x v="698"/>
    <x v="664"/>
    <s v="Stephane AUBRY08/02/1982"/>
    <n v="1146"/>
    <s v="FR"/>
    <s v="BFC - Critérium National - Besançon - BFC - Critérium National - Besançon - BFC-Critérium 81 89 96sam 14 Déc 2024"/>
    <s v="CLUB HALTEROPHILE LUXOVIEN"/>
    <s v="Stephane AUBRY08/02/1982"/>
    <s v="80.95"/>
    <n v="95"/>
    <n v="100"/>
    <n v="-104"/>
    <n v="100"/>
    <n v="195"/>
    <s v="OOX"/>
    <n v="115"/>
    <n v="-120"/>
    <n v="-120"/>
    <n v="115"/>
    <n v="0"/>
    <s v="OXX"/>
    <x v="0"/>
    <x v="0"/>
    <x v="0"/>
    <n v="215"/>
    <n v="195"/>
    <s v="272.95889821586576"/>
    <s v="247.56737280043637"/>
    <x v="5"/>
    <n v="7"/>
    <x v="4"/>
    <x v="2"/>
    <n v="40"/>
    <s v="SEN M 81"/>
    <n v="272.95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Stephane AUBRY08/02/1982"/>
    <n v="2025"/>
    <s v="283.0783775799278"/>
    <s v="279.21241602120637"/>
  </r>
  <r>
    <x v="699"/>
    <x v="665"/>
    <s v="Stéphane BALIAN21/11/1993"/>
    <n v="424290"/>
    <s v="FR"/>
    <s v="IDF - Critérium National - Franconville - Seniors Hommes 3ème plateausam 14 Déc 2024"/>
    <s v="HCVM CHELLES"/>
    <s v="Stéphane BALIAN21/11/1993"/>
    <s v="94.6"/>
    <n v="125"/>
    <n v="-130"/>
    <n v="-130"/>
    <n v="125"/>
    <n v="0"/>
    <s v="OXX"/>
    <n v="155"/>
    <n v="163"/>
    <n v="-170"/>
    <n v="163"/>
    <n v="318"/>
    <s v="OOX"/>
    <x v="0"/>
    <x v="0"/>
    <x v="0"/>
    <n v="288"/>
    <n v="318"/>
    <s v="338.3095594773064"/>
    <s v="373.5501385895258"/>
    <x v="1"/>
    <n v="5"/>
    <x v="18"/>
    <x v="2"/>
    <m/>
    <s v="SEN M 96"/>
    <n v="338.3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9"/>
    <x v="3"/>
    <s v="Stéphane BALIAN21/11/1993"/>
    <n v="2025"/>
    <s v="338.3095594773064"/>
    <s v="338.3095594773064"/>
  </r>
  <r>
    <x v="700"/>
    <x v="666"/>
    <s v="Stephane DUTILLEUL18/03/2001"/>
    <n v="464931"/>
    <s v="FR"/>
    <s v="PACA - Critérium National - Mondragon - Provence U15 à SEN HOMsam 14 Déc 2024"/>
    <s v="CROSSFIT EPSILON"/>
    <s v="Stephane DUTILLEUL18/03/2001"/>
    <s v="60.5"/>
    <n v="72"/>
    <n v="77"/>
    <n v="-85"/>
    <n v="77"/>
    <n v="149"/>
    <s v="OOX"/>
    <n v="98"/>
    <n v="104"/>
    <n v="-110"/>
    <n v="104"/>
    <n v="202"/>
    <s v="OOX"/>
    <x v="3"/>
    <x v="0"/>
    <x v="0"/>
    <n v="181"/>
    <n v="351"/>
    <s v="276.77402406073907"/>
    <s v="536.7275273222067"/>
    <x v="2"/>
    <n v="6"/>
    <x v="8"/>
    <x v="2"/>
    <m/>
    <s v="SEN M 61"/>
    <n v="276.77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97"/>
    <x v="0"/>
    <s v="Stephane DUTILLEUL18/03/2001"/>
    <n v="2025"/>
    <s v="276.77402406073907"/>
    <s v="276.77402406073907"/>
  </r>
  <r>
    <x v="701"/>
    <x v="667"/>
    <s v="Steven D'ANNA17/09/2000"/>
    <n v="489854"/>
    <s v="FR"/>
    <s v="BFC - Critérium National - Besançon - BFC - Critérium National - Besançon - BFC-Critérium 81 89 96sam 14 Déc 2024"/>
    <s v="LA FRANCAISE DE BESANCON"/>
    <s v="Steven D'ANNA17/09/2000"/>
    <s v="74.7"/>
    <n v="110"/>
    <n v="115"/>
    <n v="-120"/>
    <n v="115"/>
    <n v="225"/>
    <s v="OOX"/>
    <n v="140"/>
    <n v="145"/>
    <n v="-153"/>
    <n v="145"/>
    <n v="285"/>
    <s v="OOX"/>
    <x v="3"/>
    <x v="0"/>
    <x v="0"/>
    <n v="260"/>
    <n v="510"/>
    <s v="345.63335199368004"/>
    <s v="677.9731135260647"/>
    <x v="1"/>
    <n v="5"/>
    <x v="4"/>
    <x v="2"/>
    <m/>
    <s v="SEN M 81"/>
    <n v="345.63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21"/>
    <x v="6"/>
    <s v="Steven D'ANNA17/09/2000"/>
    <n v="2025"/>
    <s v="345.63335199368004"/>
    <s v="345.63335199368004"/>
  </r>
  <r>
    <x v="702"/>
    <x v="668"/>
    <s v="Steven RAVALISSE11/01/2001"/>
    <n v="489974"/>
    <s v="FR"/>
    <s v="OCC - Critérium National - Hc montalbanais - Plateau 4sam 14 Déc 2024"/>
    <s v="TOULOUSE HC"/>
    <s v="Steven RAVALISSE11/01/2001"/>
    <s v="79.1"/>
    <n v="113"/>
    <n v="118"/>
    <n v="123"/>
    <n v="123"/>
    <n v="241"/>
    <s v="OOO"/>
    <n v="140"/>
    <n v="147"/>
    <n v="-152"/>
    <n v="147"/>
    <n v="287"/>
    <s v="OOX"/>
    <x v="1"/>
    <x v="0"/>
    <x v="0"/>
    <n v="270"/>
    <n v="528"/>
    <s v="347.20970057738066"/>
    <s v="678.9878589068778"/>
    <x v="1"/>
    <n v="5"/>
    <x v="4"/>
    <x v="2"/>
    <m/>
    <s v="SEN M 81"/>
    <n v="347.2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6"/>
    <x v="1"/>
    <s v="Steven RAVALISSE11/01/2001"/>
    <n v="2025"/>
    <s v="347.20970057738066"/>
    <s v="347.20970057738066"/>
  </r>
  <r>
    <x v="703"/>
    <x v="669"/>
    <s v="Sullivan MARIE06/10/1992"/>
    <n v="468517"/>
    <s v="FR"/>
    <s v="BFC - Critérium National - Besançon - BFC-Critérium 2 SEN Hdim 15 Déc 2024"/>
    <s v="CLUB HALTEROPHILE LUXOVIEN"/>
    <s v="Sullivan MARIE06/10/1992"/>
    <s v="66.95"/>
    <n v="98"/>
    <n v="102"/>
    <n v="105"/>
    <n v="105"/>
    <n v="207"/>
    <s v="OOO"/>
    <n v="115"/>
    <n v="120"/>
    <n v="-125"/>
    <n v="120"/>
    <n v="235"/>
    <s v="OOX"/>
    <x v="1"/>
    <x v="0"/>
    <x v="0"/>
    <n v="225"/>
    <n v="442"/>
    <s v="320.5541068742985"/>
    <s v="629.7107343930664"/>
    <x v="1"/>
    <n v="5"/>
    <x v="0"/>
    <x v="2"/>
    <m/>
    <s v="SEN M 67"/>
    <n v="320.55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10"/>
    <x v="6"/>
    <s v="Sullivan MARIE06/10/1992"/>
    <n v="2025"/>
    <s v="320.5541068742985"/>
    <s v="320.5541068742985"/>
  </r>
  <r>
    <x v="704"/>
    <x v="670"/>
    <s v="Sylvie EBERENA29/11/1980"/>
    <n v="467304"/>
    <s v="FR"/>
    <s v="IDF - Critérium National - Franconville - Seniors Femmes 2ème plateausam 14 Déc 2024"/>
    <s v="AFHMA FRANCONVILLE"/>
    <s v="Sylvie EBERENA29/11/1980"/>
    <s v="63.9"/>
    <n v="65"/>
    <n v="-68"/>
    <n v="-68"/>
    <n v="65"/>
    <n v="0"/>
    <s v="OXX"/>
    <n v="80"/>
    <n v="82"/>
    <n v="-85"/>
    <n v="82"/>
    <n v="162"/>
    <s v="OOX"/>
    <x v="0"/>
    <x v="0"/>
    <x v="0"/>
    <n v="147"/>
    <n v="162"/>
    <s v="191.3198720497635"/>
    <s v="210.84230797320873"/>
    <x v="1"/>
    <n v="5"/>
    <x v="7"/>
    <x v="2"/>
    <n v="45"/>
    <s v="SEN F 64"/>
    <n v="191.31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4"/>
    <x v="3"/>
    <s v="Sylvie EBERENA29/11/1980"/>
    <n v="2025"/>
    <s v="195.9642038025058"/>
    <s v="194.27879032831345"/>
  </r>
  <r>
    <x v="705"/>
    <x v="671"/>
    <s v="Syndra BAPTE29/06/1987"/>
    <n v="440699"/>
    <s v="FR"/>
    <s v="GUA - Critérium National - Creps antilles guyane - GUA-Critérium National d'Haltérophiliesam 14 Déc 2024"/>
    <s v="HALTEROPHILIE CLUB DE POINTE A PITRE 971"/>
    <s v="Syndra BAPTE29/06/1987"/>
    <n v="94"/>
    <n v="60"/>
    <n v="65"/>
    <n v="-68"/>
    <n v="65"/>
    <n v="125"/>
    <s v="OOX"/>
    <n v="85"/>
    <n v="90"/>
    <n v="-95"/>
    <n v="90"/>
    <n v="175"/>
    <s v="OOX"/>
    <x v="3"/>
    <x v="0"/>
    <x v="0"/>
    <n v="155"/>
    <n v="300"/>
    <s v="168.3738868563362"/>
    <s v="325.8849423025862"/>
    <x v="2"/>
    <n v="6"/>
    <x v="23"/>
    <x v="2"/>
    <n v="35"/>
    <s v="SEN F &gt;87"/>
    <n v="168.37"/>
    <x v="1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Syndra BAPTE29/06/1987"/>
    <n v="2025"/>
    <s v="182.8760975388992"/>
    <s v="168.3738868563362"/>
  </r>
  <r>
    <x v="706"/>
    <x v="672"/>
    <s v="Tamara MONTANDON18/03/1999"/>
    <n v="277015"/>
    <s v="FR"/>
    <s v="PDL - Critérium National - Laval - seniors Fsam 14 Déc 2024"/>
    <s v="GRAVITY HALTEROPHILIE"/>
    <s v="Tamara MONTANDON18/03/1999"/>
    <s v="69.22"/>
    <n v="-65"/>
    <n v="65"/>
    <n v="-70"/>
    <n v="65"/>
    <n v="0"/>
    <s v="XOX"/>
    <n v="-80"/>
    <n v="81"/>
    <n v="-85"/>
    <n v="81"/>
    <n v="0"/>
    <s v="XOX"/>
    <x v="5"/>
    <x v="0"/>
    <x v="0"/>
    <n v="146"/>
    <n v="0"/>
    <s v="181.50923078735397"/>
    <s v="0.0"/>
    <x v="2"/>
    <n v="6"/>
    <x v="3"/>
    <x v="2"/>
    <m/>
    <s v="SEN F 71"/>
    <n v="181.5"/>
    <x v="1"/>
    <s v="PDL - Critérium National - Laval - seniors Fsam 14 Déc 2024"/>
    <s v="Critérium National - Laval - seniors F"/>
    <s v="PDL"/>
    <d v="2024-12-14T00:00:00"/>
    <n v="2024"/>
    <n v="12"/>
    <s v="2024-12"/>
    <m/>
    <s v="2024-2025"/>
    <n v="2025"/>
    <x v="75"/>
    <x v="10"/>
    <s v="Tamara MONTANDON18/03/1999"/>
    <n v="2025"/>
    <s v="194.43183827014914"/>
    <s v="181.50923078735397"/>
  </r>
  <r>
    <x v="707"/>
    <x v="673"/>
    <s v="Tasnym HOFFMANN25/04/2011"/>
    <n v="476348"/>
    <s v="FR"/>
    <s v="NAQ - Critérium National - Mont de marsan - ligue Nouvelle Aquitainesam 14 Déc 2024"/>
    <s v="EA DE SAINT MEDARD"/>
    <s v="Tasnym HOFFMANN25/04/2011"/>
    <s v="44.4"/>
    <n v="38"/>
    <n v="-41"/>
    <n v="42"/>
    <n v="42"/>
    <n v="80"/>
    <s v="OXO"/>
    <n v="48"/>
    <n v="-51"/>
    <n v="-51"/>
    <n v="48"/>
    <n v="0"/>
    <s v="OXX"/>
    <x v="0"/>
    <x v="0"/>
    <x v="0"/>
    <n v="90"/>
    <n v="80"/>
    <s v="152.49913091807758"/>
    <s v="135.55478303829116"/>
    <x v="3"/>
    <n v="4"/>
    <x v="6"/>
    <x v="1"/>
    <m/>
    <s v="U15 F 45"/>
    <n v="152.49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81"/>
    <x v="12"/>
    <s v="Tasnym HOFFMANN25/04/2011"/>
    <n v="2025"/>
    <s v="156.88692799598985"/>
    <s v="156.88692799598985"/>
  </r>
  <r>
    <x v="708"/>
    <x v="674"/>
    <s v="Teddy EREMBERT07/07/1982"/>
    <n v="481962"/>
    <s v="FR"/>
    <s v="GUA - Critérium National - Creps antilles guyane - GUA-Critérium National d'Haltérophiliesam 14 Déc 2024"/>
    <s v="THE ALPHA'S BARBEL"/>
    <s v="Teddy EREMBERT07/07/1982"/>
    <s v="88.7"/>
    <n v="97"/>
    <n v="102"/>
    <n v="-105"/>
    <n v="102"/>
    <n v="199"/>
    <s v="OOX"/>
    <n v="125"/>
    <n v="-130"/>
    <n v="130"/>
    <n v="130"/>
    <n v="255"/>
    <s v="OXO"/>
    <x v="3"/>
    <x v="0"/>
    <x v="0"/>
    <n v="232"/>
    <n v="454"/>
    <s v="280.89856360001676"/>
    <s v="549.6894304931363"/>
    <x v="2"/>
    <n v="6"/>
    <x v="9"/>
    <x v="2"/>
    <n v="40"/>
    <s v="SEN M 89"/>
    <n v="280.89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55"/>
    <x v="11"/>
    <s v="Teddy EREMBERT07/07/1982"/>
    <n v="2025"/>
    <s v="280.89856360001676"/>
    <s v="280.89856360001676"/>
  </r>
  <r>
    <x v="709"/>
    <x v="675"/>
    <s v="Teiva LE PIOLET01/12/2005"/>
    <n v="448770"/>
    <s v="FR"/>
    <s v="GUA - Critérium National - Creps antilles guyane - GUA-Critérium National d'Haltérophiliesam 14 Déc 2024"/>
    <s v="HALTEROPHILIE CLUB DE POINTE A PITRE 971"/>
    <s v="Teiva LE PIOLET01/12/2005"/>
    <n v="81"/>
    <n v="105"/>
    <n v="110"/>
    <n v="115"/>
    <n v="115"/>
    <n v="225"/>
    <s v="OOO"/>
    <n v="130"/>
    <n v="135"/>
    <n v="138"/>
    <n v="138"/>
    <n v="273"/>
    <s v="OOO"/>
    <x v="2"/>
    <x v="0"/>
    <x v="0"/>
    <n v="253"/>
    <n v="498"/>
    <s v="321.09427842438737"/>
    <s v="632.0353780843672"/>
    <x v="3"/>
    <n v="4"/>
    <x v="4"/>
    <x v="0"/>
    <m/>
    <s v="U20 M 81"/>
    <n v="321.08999999999997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Teiva LE PIOLET01/12/2005"/>
    <n v="2025"/>
    <s v="321.09427842438737"/>
    <s v="321.09427842438737"/>
  </r>
  <r>
    <x v="710"/>
    <x v="676"/>
    <s v="Thais CALMUS08/08/2007"/>
    <n v="461765"/>
    <s v="FR"/>
    <s v="BFC - Critérium National - Besançon - BFC-Critérium U17-20 SEN Fsam 14 Déc 2024"/>
    <s v="HC AVALLON MFAC"/>
    <s v="Thais CALMUS08/08/2007"/>
    <s v="68.6"/>
    <n v="77"/>
    <n v="-79"/>
    <n v="80"/>
    <n v="80"/>
    <n v="157"/>
    <s v="OXO"/>
    <n v="87"/>
    <n v="90"/>
    <n v="-93"/>
    <n v="90"/>
    <n v="177"/>
    <s v="OOX"/>
    <x v="3"/>
    <x v="0"/>
    <x v="0"/>
    <n v="170"/>
    <n v="334"/>
    <s v="212.39219308485565"/>
    <s v="417.2881911196576"/>
    <x v="4"/>
    <n v="3"/>
    <x v="3"/>
    <x v="0"/>
    <m/>
    <s v="U20 F 71"/>
    <n v="212.39"/>
    <x v="1"/>
    <s v="BFC - Critérium National - Besançon - BFC-Critérium U17-20 SEN Fsam 14 Déc 2024"/>
    <s v="Critérium National - Besançon - BFC-Critérium U17-20 SEN F"/>
    <s v="BFC"/>
    <d v="2024-12-14T00:00:00"/>
    <n v="2024"/>
    <n v="12"/>
    <s v="2024-12"/>
    <m/>
    <s v="2024-2025"/>
    <n v="2025"/>
    <x v="90"/>
    <x v="6"/>
    <s v="Thais CALMUS08/08/2007"/>
    <n v="2025"/>
    <s v="215.987448708708"/>
    <s v="212.39219308485565"/>
  </r>
  <r>
    <x v="711"/>
    <x v="677"/>
    <s v="Theo COGNON10/01/2002"/>
    <n v="355921"/>
    <s v="FR"/>
    <s v="PDL - Critérium National - Laval - SENIORS hsam 14 Déc 2024"/>
    <s v="CJF LAVAL VOUTRE HALTERO 53"/>
    <s v="Theo COGNON10/01/2002"/>
    <s v="87.45"/>
    <n v="122"/>
    <n v="127"/>
    <n v="130"/>
    <n v="130"/>
    <n v="257"/>
    <s v="OOO"/>
    <n v="-150"/>
    <n v="157"/>
    <n v="-160"/>
    <n v="157"/>
    <n v="0"/>
    <s v="XOX"/>
    <x v="3"/>
    <x v="0"/>
    <x v="0"/>
    <n v="287"/>
    <n v="257"/>
    <s v="349.938217432714"/>
    <s v="313.3593096871341"/>
    <x v="3"/>
    <n v="4"/>
    <x v="9"/>
    <x v="2"/>
    <m/>
    <s v="SEN M 89"/>
    <n v="349.93"/>
    <x v="0"/>
    <s v="PDL - Critérium National - Laval - SENIORS hsam 14 Déc 2024"/>
    <s v="Critérium National - Laval - SENIORS h"/>
    <s v="PDL"/>
    <d v="2024-12-14T00:00:00"/>
    <n v="2024"/>
    <n v="12"/>
    <s v="2024-12"/>
    <m/>
    <s v="2024-2025"/>
    <n v="2025"/>
    <x v="43"/>
    <x v="10"/>
    <s v="Theo COGNON10/01/2002"/>
    <n v="2025"/>
    <s v="349.938217432714"/>
    <s v="349.938217432714"/>
  </r>
  <r>
    <x v="712"/>
    <x v="678"/>
    <s v="Théoline PRIGENT MADEC27/05/2005"/>
    <n v="380190"/>
    <s v="FR"/>
    <s v="GE - Critérium National - Haguenau - ALS - U15 - U17 - U20 Femsam 14 Déc 2024"/>
    <s v="ASPTT STRASBOURG"/>
    <s v="Théoline PRIGENT MADEC27/05/2005"/>
    <s v="64.88"/>
    <n v="70"/>
    <n v="72"/>
    <n v="-74"/>
    <n v="72"/>
    <n v="142"/>
    <s v="OOX"/>
    <n v="84"/>
    <n v="-87"/>
    <n v="87"/>
    <n v="87"/>
    <n v="171"/>
    <s v="OXO"/>
    <x v="3"/>
    <x v="0"/>
    <x v="0"/>
    <n v="159"/>
    <n v="313"/>
    <s v="205.0722009756082"/>
    <s v="403.6955905997822"/>
    <x v="3"/>
    <n v="4"/>
    <x v="3"/>
    <x v="0"/>
    <m/>
    <s v="U20 F 71"/>
    <n v="205.07"/>
    <x v="1"/>
    <s v="GE - Critérium National - Haguenau - ALS - U15 - U17 - U20 Femsam 14 Déc 2024"/>
    <s v="Critérium National - Haguenau - ALS - U15 - U17 - U20 Fem"/>
    <s v="GE "/>
    <d v="2024-12-14T00:00:00"/>
    <n v="2024"/>
    <n v="12"/>
    <s v="2024-12"/>
    <m/>
    <s v="2024-2025"/>
    <n v="2025"/>
    <x v="38"/>
    <x v="2"/>
    <s v="Théoline PRIGENT MADEC27/05/2005"/>
    <n v="2025"/>
    <s v="229.61455120848998"/>
    <s v="205.0722009756082"/>
  </r>
  <r>
    <x v="713"/>
    <x v="679"/>
    <s v="Thibault CREUPELANDT28/01/1992"/>
    <n v="474898"/>
    <s v="FR"/>
    <s v="HDF - Critérium National - Comines - Seniors Hommessam 14 Déc 2024"/>
    <s v="CHCD COMINES"/>
    <s v="Thibault CREUPELANDT28/01/1992"/>
    <s v="60.63"/>
    <n v="70"/>
    <n v="75"/>
    <n v="-78"/>
    <n v="75"/>
    <n v="145"/>
    <s v="OOX"/>
    <n v="90"/>
    <n v="95"/>
    <n v="-98"/>
    <n v="95"/>
    <n v="185"/>
    <s v="OOX"/>
    <x v="3"/>
    <x v="0"/>
    <x v="0"/>
    <n v="170"/>
    <n v="330"/>
    <s v="259.5467417085085"/>
    <s v="503.8260280223988"/>
    <x v="2"/>
    <n v="6"/>
    <x v="8"/>
    <x v="2"/>
    <m/>
    <s v="SEN M 61"/>
    <n v="259.54000000000002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37"/>
    <x v="8"/>
    <s v="Thibault CREUPELANDT28/01/1992"/>
    <n v="2025"/>
    <s v="259.5467417085085"/>
    <s v="259.5467417085085"/>
  </r>
  <r>
    <x v="714"/>
    <x v="680"/>
    <s v="Thibault DEIGNAN06/08/1991"/>
    <n v="473742"/>
    <s v="FR"/>
    <s v="AURA - Critérium National - Vaulx en velin - PLATEAU SEN MASCULINSsam 14 Déc 2024"/>
    <s v="HYBRID ATHLETICS"/>
    <s v="Thibault DEIGNAN06/08/1991"/>
    <s v="70.9"/>
    <n v="90"/>
    <n v="-94"/>
    <n v="-94"/>
    <n v="90"/>
    <n v="0"/>
    <s v="OXX"/>
    <n v="110"/>
    <n v="-114"/>
    <n v="-114"/>
    <n v="110"/>
    <n v="0"/>
    <s v="OXX"/>
    <x v="5"/>
    <x v="0"/>
    <x v="0"/>
    <n v="200"/>
    <n v="0"/>
    <s v="274.53666200353337"/>
    <s v="0.0"/>
    <x v="5"/>
    <n v="7"/>
    <x v="5"/>
    <x v="2"/>
    <m/>
    <s v="SEN M 73"/>
    <n v="274.52999999999997"/>
    <x v="0"/>
    <s v="AURA - Critérium National - Vaulx en velin - PLATEAU SEN MASCULINSsam 14 Déc 2024"/>
    <s v="Critérium National - Vaulx en velin - PLATEAU SEN MASCULINS"/>
    <s v="AUR"/>
    <d v="2024-12-14T00:00:00"/>
    <n v="2024"/>
    <n v="12"/>
    <s v="2024-12"/>
    <m/>
    <s v="2024-2025"/>
    <n v="2025"/>
    <x v="140"/>
    <x v="4"/>
    <s v="Thibault DEIGNAN06/08/1991"/>
    <n v="2025"/>
    <s v="284.27940381145896"/>
    <s v="284.27940381145896"/>
  </r>
  <r>
    <x v="715"/>
    <x v="681"/>
    <s v="Thibaut LECHAT04/10/2015"/>
    <n v="493013"/>
    <s v="FR"/>
    <s v="PDL - Critérium National - Laval - U10 -U13sam 14 Déc 2024"/>
    <s v="CA EVRON 53 HALTEROPHILIE"/>
    <s v="Thibaut LECHAT04/10/2015"/>
    <s v="33.99"/>
    <n v="14"/>
    <n v="15"/>
    <n v="16"/>
    <n v="16"/>
    <n v="31"/>
    <s v="OOO"/>
    <n v="17"/>
    <n v="19"/>
    <n v="21"/>
    <n v="21"/>
    <n v="40"/>
    <s v="OOO"/>
    <x v="2"/>
    <x v="0"/>
    <x v="0"/>
    <n v="37"/>
    <n v="71"/>
    <s v="95.68007948545521"/>
    <s v="183.60231468830594"/>
    <x v="0"/>
    <n v="999"/>
    <x v="21"/>
    <x v="5"/>
    <m/>
    <s v="U10 M "/>
    <n v="183.6"/>
    <x v="0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27"/>
    <x v="10"/>
    <s v="Thibaut LECHAT04/10/2015"/>
    <n v="2025"/>
    <s v="95.68007948545521"/>
    <s v="95.68007948545521"/>
  </r>
  <r>
    <x v="716"/>
    <x v="682"/>
    <s v="Thierry PONS26/10/1998"/>
    <n v="481205"/>
    <s v="FR"/>
    <s v="PACA - Critérium National - Mondragon - Provence U15 à SEN HOMsam 14 Déc 2024"/>
    <s v="EEAR MONTEUX"/>
    <s v="Thierry PONS26/10/1998"/>
    <n v="72"/>
    <n v="-100"/>
    <n v="100"/>
    <n v="-107"/>
    <n v="100"/>
    <n v="0"/>
    <s v="XOX"/>
    <n v="-125"/>
    <n v="127"/>
    <n v="-131"/>
    <n v="127"/>
    <n v="0"/>
    <s v="XOX"/>
    <x v="5"/>
    <x v="0"/>
    <x v="0"/>
    <n v="227"/>
    <n v="0"/>
    <s v="308.61129282738705"/>
    <s v="0.0"/>
    <x v="2"/>
    <n v="6"/>
    <x v="5"/>
    <x v="2"/>
    <m/>
    <s v="SEN M 73"/>
    <n v="308.61"/>
    <x v="0"/>
    <s v="PACA - Critérium National - Mondragon - Provence U15 à SEN HOMsam 14 Déc 2024"/>
    <s v="Critérium National - Mondragon - Provence U15 à SEN HOM"/>
    <s v="PAC"/>
    <d v="2024-12-14T00:00:00"/>
    <n v="2024"/>
    <n v="12"/>
    <s v="2024-12"/>
    <m/>
    <s v="2024-2025"/>
    <n v="2025"/>
    <x v="11"/>
    <x v="0"/>
    <s v="Thierry PONS26/10/1998"/>
    <n v="2025"/>
    <s v="319.60406170214975"/>
    <s v="317.3148648063588"/>
  </r>
  <r>
    <x v="717"/>
    <x v="683"/>
    <s v="Thomas ALCARAZ22/07/2011"/>
    <n v="453678"/>
    <s v="FR"/>
    <s v="OCC - Critérium National - Hc montalbanais - Plateau 2sam 14 Déc 2024"/>
    <s v="CLERMONT SPORTS"/>
    <s v="Thomas ALCARAZ22/07/2011"/>
    <s v="54.6"/>
    <n v="57"/>
    <n v="62"/>
    <n v="65"/>
    <n v="65"/>
    <n v="127"/>
    <s v="OOO"/>
    <n v="75"/>
    <n v="80"/>
    <n v="85"/>
    <n v="85"/>
    <n v="165"/>
    <s v="OOO"/>
    <x v="2"/>
    <x v="0"/>
    <x v="0"/>
    <n v="150"/>
    <n v="292"/>
    <s v="248.0359421213314"/>
    <s v="482.8433006628585"/>
    <x v="4"/>
    <n v="3"/>
    <x v="1"/>
    <x v="1"/>
    <m/>
    <s v="U15 M 55"/>
    <n v="248.03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86"/>
    <x v="1"/>
    <s v="Thomas ALCARAZ22/07/2011"/>
    <n v="2025"/>
    <s v="248.0359421213314"/>
    <s v="248.0359421213314"/>
  </r>
  <r>
    <x v="718"/>
    <x v="684"/>
    <s v="Thomas COLIN08/10/1992"/>
    <n v="474777"/>
    <s v="FR"/>
    <s v="IDF - Critérium National - Franconville - Seniors Hommes 3ème plateausam 14 Déc 2024"/>
    <s v="AFHMA FRANCONVILLE"/>
    <s v="Thomas COLIN08/10/1992"/>
    <s v="88.5"/>
    <n v="125"/>
    <n v="-130"/>
    <n v="130"/>
    <n v="130"/>
    <n v="255"/>
    <s v="OXO"/>
    <n v="157"/>
    <n v="-165"/>
    <n v="-165"/>
    <n v="157"/>
    <n v="0"/>
    <s v="OXX"/>
    <x v="0"/>
    <x v="0"/>
    <x v="0"/>
    <n v="287"/>
    <n v="255"/>
    <s v="347.8760506731697"/>
    <s v="309.08847707894864"/>
    <x v="3"/>
    <n v="4"/>
    <x v="9"/>
    <x v="2"/>
    <m/>
    <s v="SEN M 89"/>
    <n v="347.87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"/>
    <x v="3"/>
    <s v="Thomas COLIN08/10/1992"/>
    <n v="2025"/>
    <s v="372.24348093413903"/>
    <s v="349.2823195300886"/>
  </r>
  <r>
    <x v="719"/>
    <x v="685"/>
    <s v="Thomas CONSALVES13/03/1996"/>
    <n v="497607"/>
    <s v="FR"/>
    <s v="PACA - Critérium National - Toulon - SUD PACA TOULON COTE AZURven 13 Déc 2024"/>
    <s v="ASL DUMONT D URVILLE"/>
    <s v="Thomas CONSALVES13/03/1996"/>
    <s v="88.9"/>
    <n v="110"/>
    <n v="115"/>
    <n v="-120"/>
    <n v="115"/>
    <n v="225"/>
    <s v="OOX"/>
    <n v="140"/>
    <n v="-145"/>
    <n v="-145"/>
    <n v="140"/>
    <n v="0"/>
    <s v="OXX"/>
    <x v="0"/>
    <x v="0"/>
    <x v="0"/>
    <n v="255"/>
    <n v="225"/>
    <s v="308.40618655690827"/>
    <s v="272.12310578550733"/>
    <x v="2"/>
    <n v="6"/>
    <x v="9"/>
    <x v="2"/>
    <m/>
    <s v="SEN M 89"/>
    <n v="308.39999999999998"/>
    <x v="0"/>
    <s v="PACA - Critérium National - Toulon - SUD PACA TOULON COTE AZURven 13 Déc 2024"/>
    <s v="Critérium National - Toulon - SUD PACA TOULON COTE AZUR"/>
    <s v="PAC"/>
    <d v="2024-12-13T00:00:00"/>
    <n v="2024"/>
    <n v="12"/>
    <s v="2024-12"/>
    <m/>
    <s v="2024-2025"/>
    <n v="2025"/>
    <x v="0"/>
    <x v="0"/>
    <s v="Thomas CONSALVES13/03/1996"/>
    <n v="2025"/>
    <s v="311.36595864925516"/>
    <s v="308.40618655690827"/>
  </r>
  <r>
    <x v="720"/>
    <x v="686"/>
    <s v="Thomas ROGUET24/12/2006"/>
    <n v="432236"/>
    <s v="FR"/>
    <s v="PDL - Critérium National - Laval - U15 au U20 Hdim 15 Déc 2024"/>
    <s v="CJF LAVAL VOUTRE HALTERO 53"/>
    <s v="Thomas ROGUET24/12/2006"/>
    <s v="83.94"/>
    <n v="104"/>
    <n v="107"/>
    <n v="-111"/>
    <n v="107"/>
    <n v="211"/>
    <s v="OOX"/>
    <n v="133"/>
    <n v="-137"/>
    <n v="-137"/>
    <n v="133"/>
    <n v="0"/>
    <s v="OXX"/>
    <x v="0"/>
    <x v="0"/>
    <x v="0"/>
    <n v="240"/>
    <n v="211"/>
    <s v="298.83134705580886"/>
    <s v="262.7225592865653"/>
    <x v="1"/>
    <n v="5"/>
    <x v="9"/>
    <x v="0"/>
    <m/>
    <s v="U20 M 89"/>
    <n v="298.83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43"/>
    <x v="10"/>
    <s v="Thomas ROGUET24/12/2006"/>
    <n v="2025"/>
    <s v="303.07008507298826"/>
    <s v="303.07008507298826"/>
  </r>
  <r>
    <x v="721"/>
    <x v="687"/>
    <s v="Tifanie SESMA21/06/2011"/>
    <n v="493572"/>
    <s v="FR"/>
    <s v="PACA - Critérium National - Mondragon - Provence U15 - U17 - U20 - SEN F 45 à F55sam 14 Déc 2024"/>
    <s v="HC MARSEILLE"/>
    <s v="Tifanie SESMA21/06/2011"/>
    <s v="53.5"/>
    <n v="50"/>
    <n v="-53"/>
    <n v="53"/>
    <n v="53"/>
    <n v="103"/>
    <s v="OXO"/>
    <n v="63"/>
    <n v="66"/>
    <n v="-70"/>
    <n v="66"/>
    <n v="129"/>
    <s v="OOX"/>
    <x v="3"/>
    <x v="0"/>
    <x v="0"/>
    <n v="119"/>
    <n v="232"/>
    <s v="174.17232765182158"/>
    <s v="339.5628572707782"/>
    <x v="4"/>
    <n v="3"/>
    <x v="1"/>
    <x v="1"/>
    <m/>
    <s v="U15 F 55"/>
    <n v="174.17"/>
    <x v="1"/>
    <s v="PACA - Critérium National - Mondragon - Provence U15 - U17 - U20 - SEN F 45 à F55sam 14 Déc 2024"/>
    <s v="Critérium National - Mondragon - Provence U15 - U17 - U20 - SEN F 45 à F55"/>
    <s v="PAC"/>
    <d v="2024-12-14T00:00:00"/>
    <n v="2024"/>
    <n v="12"/>
    <s v="2024-12"/>
    <m/>
    <s v="2024-2025"/>
    <n v="2025"/>
    <x v="96"/>
    <x v="0"/>
    <s v="Tifanie SESMA21/06/2011"/>
    <n v="2025"/>
    <s v="174.17232765182158"/>
    <s v="174.17232765182158"/>
  </r>
  <r>
    <x v="722"/>
    <x v="688"/>
    <s v="Timael DALLOIS19/09/2010"/>
    <n v="491334"/>
    <s v="FR"/>
    <s v="PDL - Critérium National - Laval - U15 au U20 Hdim 15 Déc 2024"/>
    <s v="CA EVRON 53 HALTEROPHILIE"/>
    <s v="Timael DALLOIS19/09/2010"/>
    <s v="60.58"/>
    <n v="48"/>
    <n v="52"/>
    <n v="55"/>
    <n v="55"/>
    <n v="107"/>
    <s v="OOO"/>
    <n v="62"/>
    <n v="-66"/>
    <n v="-66"/>
    <n v="62"/>
    <n v="0"/>
    <s v="OXX"/>
    <x v="3"/>
    <x v="0"/>
    <x v="0"/>
    <n v="117"/>
    <n v="107"/>
    <s v="178.73671616319606"/>
    <s v="163.46007375608528"/>
    <x v="2"/>
    <n v="6"/>
    <x v="8"/>
    <x v="1"/>
    <m/>
    <s v="U15 M 61"/>
    <n v="178.73"/>
    <x v="0"/>
    <s v="PDL - Critérium National - Laval - U15 au U20 Hdim 15 Déc 2024"/>
    <s v="Critérium National - Laval - U15 au U20 H"/>
    <s v="PDL"/>
    <d v="2024-12-15T00:00:00"/>
    <n v="2024"/>
    <n v="12"/>
    <s v="2024-12"/>
    <m/>
    <s v="2024-2025"/>
    <n v="2025"/>
    <x v="27"/>
    <x v="10"/>
    <s v="Timael DALLOIS19/09/2010"/>
    <n v="2025"/>
    <s v="178.73671616319606"/>
    <s v="178.73671616319606"/>
  </r>
  <r>
    <x v="723"/>
    <x v="689"/>
    <s v="Timeo BRUNET05/11/2012"/>
    <n v="494853"/>
    <s v="FR"/>
    <s v="HDF - Critérium National - Comines - U13 garçonsdim 15 Déc 2024"/>
    <s v="CA ROSENDAEL"/>
    <s v="Timeo BRUNET05/11/2012"/>
    <s v="31.6"/>
    <n v="11"/>
    <n v="-13"/>
    <n v="13"/>
    <n v="13"/>
    <n v="24"/>
    <s v="OXO"/>
    <n v="20"/>
    <n v="21"/>
    <n v="-23"/>
    <n v="21"/>
    <n v="41"/>
    <s v="OOX"/>
    <x v="3"/>
    <x v="0"/>
    <x v="0"/>
    <n v="34"/>
    <n v="65"/>
    <s v="95.36893567842677"/>
    <s v="182.32296526758057"/>
    <x v="0"/>
    <n v="999"/>
    <x v="14"/>
    <x v="4"/>
    <m/>
    <s v="U13 M 35"/>
    <n v="182.32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13"/>
    <x v="8"/>
    <s v="Timeo BRUNET05/11/2012"/>
    <n v="2025"/>
    <s v="95.36893567842677"/>
    <s v="95.36893567842677"/>
  </r>
  <r>
    <x v="724"/>
    <x v="690"/>
    <s v="Timothy DELATTRE11/02/2014"/>
    <n v="477644"/>
    <s v="FR"/>
    <s v="HDF - Critérium National - Comines - U13 garçonsdim 15 Déc 2024"/>
    <s v="OGS HALTEROPHILIE MUSCULATION"/>
    <s v="Timothy DELATTRE11/02/2014"/>
    <s v="31.08"/>
    <n v="13"/>
    <n v="14"/>
    <n v="-15"/>
    <n v="14"/>
    <n v="27"/>
    <s v="OOX"/>
    <n v="19"/>
    <n v="20"/>
    <n v="22"/>
    <n v="22"/>
    <n v="42"/>
    <s v="OOO"/>
    <x v="1"/>
    <x v="0"/>
    <x v="0"/>
    <n v="36"/>
    <n v="69"/>
    <s v="102.91255633021598"/>
    <s v="197.24906629958062"/>
    <x v="0"/>
    <n v="999"/>
    <x v="14"/>
    <x v="4"/>
    <m/>
    <s v="U13 M 35"/>
    <n v="197.24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3"/>
    <x v="8"/>
    <s v="Timothy DELATTRE11/02/2014"/>
    <n v="2025"/>
    <s v="102.91255633021598"/>
    <s v="102.91255633021598"/>
  </r>
  <r>
    <x v="725"/>
    <x v="691"/>
    <s v="Tina BAUD09/02/2013"/>
    <n v="474042"/>
    <s v="FR"/>
    <s v="BFC - Critérium National - Besançon - BFC-Critérium U13 F-Besançondim 15 Déc 2024"/>
    <s v="HALTEROPHILIE PONTISSALIENNE"/>
    <s v="Tina BAUD09/02/2013"/>
    <n v="45"/>
    <n v="33"/>
    <n v="35"/>
    <n v="37"/>
    <n v="37"/>
    <n v="72"/>
    <s v="OOO"/>
    <n v="42"/>
    <n v="44"/>
    <n v="46"/>
    <n v="46"/>
    <n v="90"/>
    <s v="OOO"/>
    <x v="2"/>
    <x v="0"/>
    <x v="0"/>
    <n v="83"/>
    <n v="162"/>
    <s v="139.05282600433833"/>
    <s v="271.4043109964194"/>
    <x v="0"/>
    <n v="999"/>
    <x v="6"/>
    <x v="4"/>
    <m/>
    <s v="U13 F 45"/>
    <n v="271.39999999999998"/>
    <x v="1"/>
    <s v="BFC - Critérium National - Besançon - BFC-Critérium U13 F-Besançondim 15 Déc 2024"/>
    <s v="Critérium National - Besançon - BFC-Critérium U13 F-Besançon"/>
    <s v="BFC"/>
    <d v="2024-12-15T00:00:00"/>
    <n v="2024"/>
    <n v="12"/>
    <s v="2024-12"/>
    <m/>
    <s v="2024-2025"/>
    <n v="2025"/>
    <x v="104"/>
    <x v="6"/>
    <s v="Tina BAUD09/02/2013"/>
    <n v="2025"/>
    <s v="142.1367703191324"/>
    <s v="140.01936020467102"/>
  </r>
  <r>
    <x v="726"/>
    <x v="692"/>
    <s v="Tom ADAMY07/02/2013"/>
    <n v="483754"/>
    <s v="FR"/>
    <s v="PDL - Critérium National - Laval - U10 -U13sam 14 Déc 2024"/>
    <s v="AL SAVENAY"/>
    <s v="Tom ADAMY07/02/2013"/>
    <s v="41.6"/>
    <n v="18"/>
    <n v="19"/>
    <n v="-21"/>
    <n v="19"/>
    <n v="37"/>
    <s v="OOX"/>
    <n v="20"/>
    <n v="21"/>
    <n v="23"/>
    <n v="23"/>
    <n v="44"/>
    <s v="OOO"/>
    <x v="1"/>
    <x v="0"/>
    <x v="0"/>
    <n v="42"/>
    <n v="81"/>
    <s v="88.22695188601566"/>
    <s v="170.15197863731592"/>
    <x v="0"/>
    <n v="999"/>
    <x v="6"/>
    <x v="4"/>
    <m/>
    <s v="U13 M 45"/>
    <n v="170.15"/>
    <x v="0"/>
    <s v="PDL - Critérium National - Laval - U10 -U13sam 14 Déc 2024"/>
    <s v="Critérium National - Laval - U10 -U13"/>
    <s v="PDL"/>
    <d v="2024-12-14T00:00:00"/>
    <n v="2024"/>
    <n v="12"/>
    <s v="2024-12"/>
    <m/>
    <s v="2024-2025"/>
    <n v="2025"/>
    <x v="62"/>
    <x v="10"/>
    <s v="Tom ADAMY07/02/2013"/>
    <n v="2025"/>
    <s v="88.22695188601566"/>
    <s v="88.22695188601566"/>
  </r>
  <r>
    <x v="727"/>
    <x v="693"/>
    <s v="Tom CARCANO24/07/2008"/>
    <n v="462203"/>
    <s v="FR"/>
    <s v="GE - Critérium National - Langres - LOR - CHAsam 14 Déc 2024"/>
    <s v="LANGRES HM"/>
    <s v="Tom CARCANO24/07/2008"/>
    <s v="71.3"/>
    <n v="90"/>
    <n v="93"/>
    <n v="95"/>
    <n v="95"/>
    <n v="188"/>
    <s v="OOO"/>
    <n v="108"/>
    <n v="112"/>
    <n v="115"/>
    <n v="115"/>
    <n v="227"/>
    <s v="OOO"/>
    <x v="2"/>
    <x v="0"/>
    <x v="0"/>
    <n v="210"/>
    <n v="415"/>
    <s v="287.24540651089694"/>
    <s v="567.6516366762963"/>
    <x v="3"/>
    <n v="4"/>
    <x v="5"/>
    <x v="3"/>
    <m/>
    <s v="U17 M 73"/>
    <n v="287.24"/>
    <x v="0"/>
    <s v="GE - Critérium National - Langres - LOR - CHAsam 14 Déc 2024"/>
    <s v="Critérium National - Langres - LOR - CHA"/>
    <s v="GE "/>
    <d v="2024-12-14T00:00:00"/>
    <n v="2024"/>
    <n v="12"/>
    <s v="2024-12"/>
    <m/>
    <s v="2024-2025"/>
    <n v="2025"/>
    <x v="56"/>
    <x v="2"/>
    <s v="Tom CARCANO24/07/2008"/>
    <n v="2025"/>
    <s v="287.24540651089694"/>
    <s v="287.24540651089694"/>
  </r>
  <r>
    <x v="728"/>
    <x v="694"/>
    <s v="Tom DESACHY07/04/1998"/>
    <n v="446586"/>
    <s v="FR"/>
    <s v="NAQ - Critérium National - Mont de marsan - ligue Nouvelle Aquitainesam 14 Déc 2024"/>
    <s v="CHM ANGERIEN"/>
    <s v="Tom DESACHY07/04/1998"/>
    <s v="87.3"/>
    <n v="125"/>
    <n v="130"/>
    <n v="-135"/>
    <n v="130"/>
    <n v="255"/>
    <s v="OOX"/>
    <n v="-157"/>
    <n v="157"/>
    <n v="-163"/>
    <n v="157"/>
    <n v="0"/>
    <s v="XOX"/>
    <x v="0"/>
    <x v="0"/>
    <x v="0"/>
    <n v="287"/>
    <n v="255"/>
    <s v="350.23841270310623"/>
    <s v="311.1874398581606"/>
    <x v="3"/>
    <n v="4"/>
    <x v="9"/>
    <x v="2"/>
    <m/>
    <s v="SEN M 89"/>
    <n v="350.23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52"/>
    <x v="12"/>
    <s v="Tom DESACHY07/04/1998"/>
    <n v="2025"/>
    <s v="352.38371905924606"/>
    <s v="352.38371905924606"/>
  </r>
  <r>
    <x v="729"/>
    <x v="695"/>
    <s v="Tommy PETIT07/01/1997"/>
    <n v="461849"/>
    <s v="FR"/>
    <s v="NAQ - Critérium National - Mont de marsan - ligue Nouvelle Aquitainesam 14 Déc 2024"/>
    <s v="STADE MONTOIS HALTEROPHILIE"/>
    <s v="Tommy PETIT07/01/1997"/>
    <s v="80.6"/>
    <n v="115"/>
    <n v="120"/>
    <n v="-125"/>
    <n v="120"/>
    <n v="235"/>
    <s v="OOX"/>
    <n v="135"/>
    <n v="147"/>
    <n v="-155"/>
    <n v="147"/>
    <n v="282"/>
    <s v="OOX"/>
    <x v="3"/>
    <x v="0"/>
    <x v="0"/>
    <n v="267"/>
    <n v="517"/>
    <s v="339.7838890195594"/>
    <s v="657.9335978393716"/>
    <x v="1"/>
    <n v="5"/>
    <x v="4"/>
    <x v="2"/>
    <m/>
    <s v="SEN M 81"/>
    <n v="339.78"/>
    <x v="0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91"/>
    <x v="12"/>
    <s v="Tommy PETIT07/01/1997"/>
    <n v="2025"/>
    <s v="339.7838890195594"/>
    <s v="339.7838890195594"/>
  </r>
  <r>
    <x v="730"/>
    <x v="421"/>
    <s v="Tony ROULLET01/12/2011"/>
    <n v="479768"/>
    <s v="FR"/>
    <s v="BFC - Critérium National - Besançon - BFC - Critérium National - Besançon - BFC-Critérium 81 89 96sam 14 Déc 2024"/>
    <s v="CHM VAUZELLES"/>
    <s v="Tony ROULLET01/12/2011"/>
    <s v="52.3"/>
    <n v="35"/>
    <n v="-37"/>
    <n v="37"/>
    <n v="37"/>
    <n v="72"/>
    <s v="OXO"/>
    <n v="40"/>
    <n v="43"/>
    <n v="46"/>
    <n v="46"/>
    <n v="89"/>
    <s v="OOO"/>
    <x v="1"/>
    <x v="0"/>
    <x v="0"/>
    <n v="83"/>
    <n v="161"/>
    <s v="142.104151480146"/>
    <s v="275.64781190727115"/>
    <x v="6"/>
    <n v="8"/>
    <x v="1"/>
    <x v="1"/>
    <m/>
    <s v="U15 M 55"/>
    <n v="142.1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20"/>
    <x v="6"/>
    <s v="Tony ROULLET01/12/2011"/>
    <n v="2025"/>
    <s v="142.104151480146"/>
    <s v="142.104151480146"/>
  </r>
  <r>
    <x v="731"/>
    <x v="696"/>
    <s v="Tory HOMINAL03/04/1996"/>
    <n v="493004"/>
    <s v="FR"/>
    <s v="NAQ - Critérium National - Mont de marsan - ligue Nouvelle Aquitainesam 14 Déc 2024"/>
    <s v="OLYMPE ATHLÉTIQUE"/>
    <s v="Tory HOMINAL03/04/1996"/>
    <s v="58.8"/>
    <n v="60"/>
    <n v="-63"/>
    <n v="63"/>
    <n v="63"/>
    <n v="123"/>
    <s v="OXO"/>
    <n v="-74"/>
    <n v="-77"/>
    <n v="-77"/>
    <n v="0"/>
    <n v="0"/>
    <s v="XXX"/>
    <x v="5"/>
    <x v="0"/>
    <x v="0"/>
    <n v="63"/>
    <n v="123"/>
    <s v="86.39576289586412"/>
    <s v="168.67744184430614"/>
    <x v="0"/>
    <n v="999"/>
    <x v="2"/>
    <x v="2"/>
    <m/>
    <s v="SEN F 59"/>
    <n v="0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59"/>
    <x v="12"/>
    <s v="Tory HOMINAL03/04/1996"/>
    <n v="2025"/>
    <s v="174.75080306340382"/>
    <s v="86.39576289586412"/>
  </r>
  <r>
    <x v="732"/>
    <x v="697"/>
    <s v="Tyler ALARD17/12/2013"/>
    <n v="493914"/>
    <s v="FR"/>
    <s v="HDF - Critérium National - Comines - U13 garçonsdim 15 Déc 2024"/>
    <s v="OGS HALTEROPHILIE MUSCULATION"/>
    <s v="Tyler ALARD17/12/2013"/>
    <s v="31.75"/>
    <n v="16"/>
    <n v="18"/>
    <n v="-20"/>
    <n v="18"/>
    <n v="34"/>
    <s v="OOX"/>
    <n v="24"/>
    <n v="26"/>
    <n v="28"/>
    <n v="28"/>
    <n v="54"/>
    <s v="OOO"/>
    <x v="1"/>
    <x v="0"/>
    <x v="0"/>
    <n v="46"/>
    <n v="88"/>
    <s v="128.3360000360395"/>
    <s v="245.5123478950321"/>
    <x v="0"/>
    <n v="999"/>
    <x v="14"/>
    <x v="4"/>
    <m/>
    <s v="U13 M 35"/>
    <n v="245.51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3"/>
    <x v="8"/>
    <s v="Tyler ALARD17/12/2013"/>
    <n v="2025"/>
    <s v="132.31031361123652"/>
    <s v="128.3360000360395"/>
  </r>
  <r>
    <x v="733"/>
    <x v="698"/>
    <s v="Ugo GRAVOIS10/01/2000"/>
    <n v="402059"/>
    <s v="FR"/>
    <s v="IDF - Critérium National - Franconville - Seniors Hommes 3ème plateausam 14 Déc 2024"/>
    <s v="AFHMA FRANCONVILLE"/>
    <s v="Ugo GRAVOIS10/01/2000"/>
    <n v="81"/>
    <n v="-112"/>
    <n v="112"/>
    <n v="-117"/>
    <n v="112"/>
    <n v="0"/>
    <s v="XOX"/>
    <n v="-138"/>
    <n v="138"/>
    <n v="139"/>
    <n v="139"/>
    <n v="277"/>
    <s v="XOO"/>
    <x v="0"/>
    <x v="0"/>
    <x v="0"/>
    <n v="251"/>
    <n v="277"/>
    <s v="318.5559837332855"/>
    <s v="351.55381471760984"/>
    <x v="1"/>
    <n v="5"/>
    <x v="4"/>
    <x v="2"/>
    <m/>
    <s v="SEN M 81"/>
    <n v="318.55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"/>
    <x v="3"/>
    <s v="Ugo GRAVOIS10/01/2000"/>
    <n v="2025"/>
    <s v="336.0972825289292"/>
    <s v="318.5559837332855"/>
  </r>
  <r>
    <x v="734"/>
    <x v="699"/>
    <s v="Ulysse GELE07/08/2006"/>
    <n v="476196"/>
    <s v="FR"/>
    <s v="HDF - Critérium National - Comines - U15 / U17 / U20 Hommessam 14 Déc 2024"/>
    <s v="CAHC BERCK"/>
    <s v="Ulysse GELE07/08/2006"/>
    <s v="71.3"/>
    <n v="80"/>
    <n v="-85"/>
    <n v="-86"/>
    <n v="80"/>
    <n v="0"/>
    <s v="OXX"/>
    <n v="95"/>
    <n v="100"/>
    <n v="-103"/>
    <n v="100"/>
    <n v="195"/>
    <s v="OOX"/>
    <x v="0"/>
    <x v="0"/>
    <x v="0"/>
    <n v="180"/>
    <n v="195"/>
    <s v="246.21034843791168"/>
    <s v="266.7278774744043"/>
    <x v="2"/>
    <n v="6"/>
    <x v="5"/>
    <x v="0"/>
    <m/>
    <s v="U20 M 73"/>
    <n v="246.21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92"/>
    <x v="8"/>
    <s v="Ulysse GELE07/08/2006"/>
    <n v="2025"/>
    <s v="249.38118257267405"/>
    <s v="249.38118257267405"/>
  </r>
  <r>
    <x v="735"/>
    <x v="700"/>
    <s v="Valentin AUDINOT14/12/1992"/>
    <n v="496251"/>
    <s v="FR"/>
    <s v="BFC - Critérium National - Besançon - BFC - Critérium National - Besançon - BFC-Critérium 81 89 96sam 14 Déc 2024"/>
    <s v="CLUB HALTEROPHILE LUXOVIEN"/>
    <s v="Valentin AUDINOT14/12/1992"/>
    <s v="88.3"/>
    <n v="100"/>
    <n v="-104"/>
    <n v="-104"/>
    <n v="100"/>
    <n v="0"/>
    <s v="OXX"/>
    <n v="120"/>
    <n v="125"/>
    <n v="-130"/>
    <n v="125"/>
    <n v="245"/>
    <s v="OOX"/>
    <x v="0"/>
    <x v="0"/>
    <x v="0"/>
    <n v="225"/>
    <n v="245"/>
    <s v="273.02897308874725"/>
    <s v="297.2982151410804"/>
    <x v="5"/>
    <n v="7"/>
    <x v="9"/>
    <x v="2"/>
    <m/>
    <s v="SEN M 89"/>
    <n v="273.02"/>
    <x v="0"/>
    <s v="BFC - Critérium National - Besançon - BFC - Critérium National - Besançon - BFC-Critérium 81 89 96sam 14 Déc 2024"/>
    <s v="Critérium National - Besançon - BFC - Critérium National - Besançon - BFC-Critérium 81 89 96"/>
    <s v="BFC"/>
    <d v="2024-12-14T00:00:00"/>
    <n v="2024"/>
    <n v="12"/>
    <s v="2024-12"/>
    <m/>
    <s v="2024-2025"/>
    <n v="2025"/>
    <x v="10"/>
    <x v="6"/>
    <s v="Valentin AUDINOT14/12/1992"/>
    <n v="2025"/>
    <s v="280.0398541202305"/>
    <s v="273.02897308874725"/>
  </r>
  <r>
    <x v="736"/>
    <x v="701"/>
    <s v="Valentin CHRISTOPHEL09/09/2004"/>
    <n v="371915"/>
    <s v="FR"/>
    <s v="GE - Critérium National - Haguenau - ALS - U15 - U17 - U20 - SEN Homsam 14 Déc 2024"/>
    <s v="ASPTT STRASBOURG"/>
    <s v="Valentin CHRISTOPHEL09/09/2004"/>
    <n v="73"/>
    <n v="117"/>
    <n v="121"/>
    <n v="125"/>
    <n v="125"/>
    <n v="246"/>
    <s v="OOO"/>
    <n v="140"/>
    <n v="145"/>
    <n v="-150"/>
    <n v="145"/>
    <n v="285"/>
    <s v="OOX"/>
    <x v="1"/>
    <x v="0"/>
    <x v="0"/>
    <n v="270"/>
    <n v="531"/>
    <s v="363.9617259168756"/>
    <s v="715.7913943031887"/>
    <x v="3"/>
    <n v="4"/>
    <x v="5"/>
    <x v="2"/>
    <m/>
    <s v="SEN M 73"/>
    <n v="363.96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38"/>
    <x v="2"/>
    <s v="Valentin CHRISTOPHEL09/09/2004"/>
    <n v="2025"/>
    <s v="363.9617259168756"/>
    <s v="363.9617259168756"/>
  </r>
  <r>
    <x v="737"/>
    <x v="702"/>
    <s v="Valentin RIVASSEAU26/07/2004"/>
    <n v="476922"/>
    <s v="FR"/>
    <s v="REU - Critérium National - La possession - LA REUNION-CRITERIUM-LA POSSESSION-U13sam 14 Déc 2024"/>
    <s v="CLUB HALTEROPHILIE RAPTOR"/>
    <s v="Valentin RIVASSEAU26/07/2004"/>
    <s v="65.6"/>
    <n v="87"/>
    <n v="90"/>
    <n v="93"/>
    <n v="93"/>
    <n v="183"/>
    <s v="OOO"/>
    <n v="100"/>
    <n v="0"/>
    <n v="0"/>
    <n v="100"/>
    <n v="0"/>
    <s v="OXX"/>
    <x v="3"/>
    <x v="0"/>
    <x v="0"/>
    <n v="193"/>
    <n v="183"/>
    <s v="278.7598966301946"/>
    <s v="264.3163786700809"/>
    <x v="5"/>
    <n v="7"/>
    <x v="0"/>
    <x v="2"/>
    <m/>
    <s v="SEN M 67"/>
    <n v="278.75"/>
    <x v="0"/>
    <s v="REU - Critérium National - La possession - LA REUNION-CRITERIUM-LA POSSESSION-U13sam 14 Déc 2024"/>
    <s v="Critérium National - La possession - LA REUNION-CRITERIUM-LA POSSESSION-U13"/>
    <s v="REU"/>
    <d v="2024-12-14T00:00:00"/>
    <n v="2024"/>
    <n v="12"/>
    <s v="2024-12"/>
    <m/>
    <s v="2024-2025"/>
    <n v="2025"/>
    <x v="73"/>
    <x v="5"/>
    <s v="Valentin RIVASSEAU26/07/2004"/>
    <n v="2025"/>
    <s v="290.92921444075125"/>
    <s v="278.7598966301946"/>
  </r>
  <r>
    <x v="738"/>
    <x v="703"/>
    <s v="Valentine LAMIRAL16/07/1999"/>
    <n v="490720"/>
    <s v="FR"/>
    <s v="BRE - Critérium National - Plouhinec - Femmessam 14 Déc 2024"/>
    <s v="CERCLE PAUL BERT"/>
    <s v="Valentine LAMIRAL16/07/1999"/>
    <s v="70.25"/>
    <n v="-59"/>
    <n v="-59"/>
    <n v="-59"/>
    <n v="0"/>
    <n v="0"/>
    <s v="XXX"/>
    <n v="0"/>
    <n v="0"/>
    <n v="0"/>
    <n v="0"/>
    <n v="0"/>
    <s v="XXX"/>
    <x v="6"/>
    <x v="0"/>
    <x v="0"/>
    <n v="0"/>
    <n v="0"/>
    <s v="0.0"/>
    <s v="0.0"/>
    <x v="0"/>
    <n v="999"/>
    <x v="3"/>
    <x v="2"/>
    <m/>
    <s v="SEN F 71"/>
    <n v="0"/>
    <x v="1"/>
    <s v="BRE - Critérium National - Plouhinec - Femmessam 14 Déc 2024"/>
    <s v="Critérium National - Plouhinec - Femmes"/>
    <s v="BRE"/>
    <d v="2024-12-14T00:00:00"/>
    <n v="2024"/>
    <n v="12"/>
    <s v="2024-12"/>
    <m/>
    <s v="2024-2025"/>
    <n v="2025"/>
    <x v="41"/>
    <x v="7"/>
    <s v="Valentine LAMIRAL16/07/1999"/>
    <n v="2025"/>
    <s v="172.6909393832679"/>
    <s v="158.55850098199915"/>
  </r>
  <r>
    <x v="739"/>
    <x v="704"/>
    <s v="Valeriane GIMBERT18/08/2000"/>
    <n v="483111"/>
    <s v="FR"/>
    <s v="PACA - Critérium National - Mondragon - Provence F59 à F&gt;87sam 14 Déc 2024"/>
    <s v="EEAR MONTEUX"/>
    <s v="Valeriane GIMBERT18/08/2000"/>
    <s v="105.2"/>
    <n v="62"/>
    <n v="66"/>
    <n v="67"/>
    <n v="67"/>
    <n v="133"/>
    <s v="OOO"/>
    <n v="88"/>
    <n v="95"/>
    <n v="-100"/>
    <n v="95"/>
    <n v="183"/>
    <s v="OOX"/>
    <x v="1"/>
    <x v="0"/>
    <x v="0"/>
    <n v="162"/>
    <n v="316"/>
    <s v="170.1744150496321"/>
    <s v="331.94515528199844"/>
    <x v="1"/>
    <n v="5"/>
    <x v="23"/>
    <x v="2"/>
    <m/>
    <s v="SEN F &gt;87"/>
    <n v="170.17"/>
    <x v="1"/>
    <s v="PACA - Critérium National - Mondragon - Provence F59 à F&gt;87sam 14 Déc 2024"/>
    <s v="Critérium National - Mondragon - Provence F59 à F&gt;87"/>
    <s v="PAC"/>
    <d v="2024-12-14T00:00:00"/>
    <n v="2024"/>
    <n v="12"/>
    <s v="2024-12"/>
    <m/>
    <s v="2024-2025"/>
    <n v="2025"/>
    <x v="11"/>
    <x v="0"/>
    <s v="Valeriane GIMBERT18/08/2000"/>
    <n v="2025"/>
    <s v="170.1744150496321"/>
    <s v="170.1744150496321"/>
  </r>
  <r>
    <x v="740"/>
    <x v="705"/>
    <s v="Victor COMBEAU21/03/2001"/>
    <n v="462183"/>
    <s v="FR"/>
    <s v="NDIE - Critérium National - Caen - Plateauu Elite masculinsam 14 Déc 2024"/>
    <s v="CAEN CALVADOS HALTEROPHILIE MUSCULATION"/>
    <s v="Victor COMBEAU21/03/2001"/>
    <s v="72.5"/>
    <n v="99"/>
    <n v="-103"/>
    <n v="105"/>
    <n v="105"/>
    <n v="204"/>
    <s v="OXO"/>
    <n v="130"/>
    <n v="135"/>
    <n v="-140"/>
    <n v="135"/>
    <n v="265"/>
    <s v="OOX"/>
    <x v="3"/>
    <x v="0"/>
    <x v="0"/>
    <n v="240"/>
    <n v="469"/>
    <s v="324.89074721309595"/>
    <s v="634.8906685122583"/>
    <x v="1"/>
    <n v="5"/>
    <x v="5"/>
    <x v="2"/>
    <m/>
    <s v="SEN M 73"/>
    <n v="324.89"/>
    <x v="0"/>
    <s v="NDIE - Critérium National - Caen - Plateauu Elite masculinsam 14 Déc 2024"/>
    <s v="Critérium National - Caen - Plateauu Elite masculin"/>
    <s v="NDI"/>
    <d v="2024-12-14T00:00:00"/>
    <n v="2024"/>
    <n v="12"/>
    <s v="2024-12"/>
    <m/>
    <s v="2024-2025"/>
    <n v="2025"/>
    <x v="53"/>
    <x v="9"/>
    <s v="Victor COMBEAU21/03/2001"/>
    <n v="2025"/>
    <s v="324.89074721309595"/>
    <s v="324.89074721309595"/>
  </r>
  <r>
    <x v="741"/>
    <x v="706"/>
    <s v="Victor MIEGEBIELLE12/06/1997"/>
    <n v="501526"/>
    <s v="FR"/>
    <s v="PDL - Critérium National - Laval - SENIORS hsam 14 Déc 2024"/>
    <s v="SGT ANGERS"/>
    <s v="Victor MIEGEBIELLE12/06/1997"/>
    <s v="70.35"/>
    <n v="95"/>
    <n v="-100"/>
    <n v="-100"/>
    <n v="95"/>
    <n v="0"/>
    <s v="OXX"/>
    <n v="122"/>
    <n v="-126"/>
    <n v="-126"/>
    <n v="122"/>
    <n v="0"/>
    <s v="OXX"/>
    <x v="5"/>
    <x v="0"/>
    <x v="0"/>
    <n v="217"/>
    <n v="0"/>
    <s v="299.3445159013628"/>
    <s v="0.0"/>
    <x v="2"/>
    <n v="6"/>
    <x v="5"/>
    <x v="2"/>
    <m/>
    <s v="SEN M 73"/>
    <n v="299.33999999999997"/>
    <x v="0"/>
    <s v="PDL - Critérium National - Laval - SENIORS hsam 14 Déc 2024"/>
    <s v="Critérium National - Laval - SENIORS h"/>
    <s v="PDL"/>
    <d v="2024-12-14T00:00:00"/>
    <n v="2024"/>
    <n v="12"/>
    <s v="2024-12"/>
    <m/>
    <s v="2024-2025"/>
    <n v="2025"/>
    <x v="44"/>
    <x v="10"/>
    <s v="Victor MIEGEBIELLE12/06/1997"/>
    <n v="2025"/>
    <s v="311.0845329807357"/>
    <s v="311.0845329807357"/>
  </r>
  <r>
    <x v="742"/>
    <x v="707"/>
    <s v="Victoria ARMSTRONG31/10/1995"/>
    <n v="468247"/>
    <s v="FR"/>
    <s v="AURA - Critérium National - Vaulx en velin - PLATEAU 3  SENIOR FEMININESdim 15 Déc 2024"/>
    <s v="SAVOIE BARBELL TEAM"/>
    <s v="Victoria ARMSTRONG31/10/1995"/>
    <s v="66.5"/>
    <n v="75"/>
    <n v="78"/>
    <n v="-81"/>
    <n v="78"/>
    <n v="153"/>
    <s v="OOX"/>
    <n v="-94"/>
    <n v="94"/>
    <n v="-98"/>
    <n v="94"/>
    <n v="0"/>
    <s v="XOX"/>
    <x v="0"/>
    <x v="0"/>
    <x v="0"/>
    <n v="172"/>
    <n v="153"/>
    <s v="218.68095734558088"/>
    <s v="194.524339964383"/>
    <x v="3"/>
    <n v="4"/>
    <x v="3"/>
    <x v="2"/>
    <m/>
    <s v="SEN F 71"/>
    <n v="218.68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101"/>
    <x v="4"/>
    <s v="Victoria ARMSTRONG31/10/1995"/>
    <n v="2025"/>
    <s v="218.68095734558088"/>
    <s v="218.68095734558088"/>
  </r>
  <r>
    <x v="743"/>
    <x v="708"/>
    <s v="Victoria LAMBOLEY02/02/1993"/>
    <n v="501704"/>
    <s v="FR"/>
    <s v="IDF - Critérium National - Franconville - Seniors Femmes 2ème plateausam 14 Déc 2024"/>
    <s v="VGA ST MAUR HALTEROPHILIE"/>
    <s v="Victoria LAMBOLEY02/02/1993"/>
    <s v="70.2"/>
    <n v="62"/>
    <n v="64"/>
    <n v="67"/>
    <n v="67"/>
    <n v="131"/>
    <s v="OOO"/>
    <n v="-88"/>
    <n v="88"/>
    <n v="-93"/>
    <n v="88"/>
    <n v="0"/>
    <s v="XOX"/>
    <x v="3"/>
    <x v="0"/>
    <x v="0"/>
    <n v="155"/>
    <n v="131"/>
    <s v="191.2387916346269"/>
    <s v="161.6276238976524"/>
    <x v="1"/>
    <n v="5"/>
    <x v="3"/>
    <x v="2"/>
    <m/>
    <s v="SEN F 71"/>
    <n v="191.23"/>
    <x v="1"/>
    <s v="IDF - Critérium National - Franconville - Seniors Femmes 2ème plateausam 14 Déc 2024"/>
    <s v="Critérium National - Franconville - Seniors Femmes 2ème plateau"/>
    <s v="IDF"/>
    <d v="2024-12-14T00:00:00"/>
    <n v="2024"/>
    <n v="12"/>
    <s v="2024-12"/>
    <m/>
    <s v="2024-2025"/>
    <n v="2025"/>
    <x v="3"/>
    <x v="3"/>
    <s v="Victoria LAMBOLEY02/02/1993"/>
    <n v="2025"/>
    <s v="191.2387916346269"/>
    <s v="191.2387916346269"/>
  </r>
  <r>
    <x v="744"/>
    <x v="709"/>
    <s v="Vincent CARLIER02/10/1995"/>
    <n v="425254"/>
    <s v="FR"/>
    <s v="IDF - Critérium National - Neuilly - Seniors Hommes 3ème plateausam 14 Déc 2024"/>
    <s v="RUEIL ATHLETIC CLUB"/>
    <s v="Vincent CARLIER02/10/1995"/>
    <s v="95.5"/>
    <n v="-103"/>
    <n v="103"/>
    <n v="-107"/>
    <n v="103"/>
    <n v="0"/>
    <s v="XOX"/>
    <n v="125"/>
    <n v="-130"/>
    <n v="-130"/>
    <n v="125"/>
    <n v="0"/>
    <s v="OXX"/>
    <x v="5"/>
    <x v="0"/>
    <x v="0"/>
    <n v="228"/>
    <n v="0"/>
    <s v="266.6981218026993"/>
    <s v="0.0"/>
    <x v="5"/>
    <n v="7"/>
    <x v="18"/>
    <x v="2"/>
    <m/>
    <s v="SEN M 96"/>
    <n v="266.69"/>
    <x v="0"/>
    <s v="IDF - Critérium National - Neuilly - Seniors Hommes 3ème plateausam 14 Déc 2024"/>
    <s v="Critérium National - Neuilly - Seniors Hommes 3ème plateau"/>
    <s v="IDF"/>
    <d v="2024-12-14T00:00:00"/>
    <n v="2024"/>
    <n v="12"/>
    <s v="2024-12"/>
    <m/>
    <s v="2024-2025"/>
    <n v="2025"/>
    <x v="57"/>
    <x v="3"/>
    <s v="Vincent CARLIER02/10/1995"/>
    <n v="2025"/>
    <s v="279.30615740203524"/>
    <s v="279.30615740203524"/>
  </r>
  <r>
    <x v="745"/>
    <x v="710"/>
    <s v="Vincent FONTENELLE12/07/1980"/>
    <n v="9108"/>
    <s v="FR"/>
    <s v="HDF - Critérium National - Comines - Seniors Hommessam 14 Déc 2024"/>
    <s v="CHCD COMINES"/>
    <s v="Vincent FONTENELLE12/07/1980"/>
    <n v="94"/>
    <n v="-120"/>
    <n v="120"/>
    <n v="-127"/>
    <n v="120"/>
    <n v="0"/>
    <s v="XOX"/>
    <n v="145"/>
    <n v="156"/>
    <n v="0"/>
    <n v="156"/>
    <n v="301"/>
    <s v="OOX"/>
    <x v="0"/>
    <x v="0"/>
    <x v="0"/>
    <n v="276"/>
    <n v="301"/>
    <s v="325.14627047703743"/>
    <s v="354.59792541155167"/>
    <x v="1"/>
    <n v="5"/>
    <x v="18"/>
    <x v="2"/>
    <n v="45"/>
    <s v="SEN M 96"/>
    <n v="325.14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37"/>
    <x v="8"/>
    <s v="Vincent FONTENELLE12/07/1980"/>
    <n v="2025"/>
    <s v="340.46154382550736"/>
    <s v="336.6027396390649"/>
  </r>
  <r>
    <x v="746"/>
    <x v="711"/>
    <s v="Vinciane HERBIN20/07/2005"/>
    <n v="438874"/>
    <s v="FR"/>
    <s v="IDF - Critérium National - Neuilly-sur-seinesam 14 Déc 2024"/>
    <s v="SPORTING CLUB DE NEUILLY"/>
    <s v="Vinciane HERBIN20/07/2005"/>
    <s v="58.9"/>
    <n v="-48"/>
    <n v="48"/>
    <n v="-51"/>
    <n v="48"/>
    <n v="0"/>
    <s v="XOX"/>
    <n v="-55"/>
    <n v="-55"/>
    <n v="-55"/>
    <n v="0"/>
    <n v="0"/>
    <s v="XXX"/>
    <x v="4"/>
    <x v="0"/>
    <x v="0"/>
    <n v="48"/>
    <n v="0"/>
    <s v="65.75195263584287"/>
    <s v="0.0"/>
    <x v="0"/>
    <n v="999"/>
    <x v="2"/>
    <x v="0"/>
    <m/>
    <s v="U20 F 59"/>
    <n v="0"/>
    <x v="1"/>
    <s v="IDF - Critérium National - Neuilly-sur-seinesam 14 Déc 2024"/>
    <s v="Critérium National - Neuilly-sur-seine"/>
    <s v="IDF"/>
    <d v="2024-12-14T00:00:00"/>
    <n v="2024"/>
    <n v="12"/>
    <s v="2024-12"/>
    <m/>
    <s v="2024-2025"/>
    <n v="2025"/>
    <x v="8"/>
    <x v="3"/>
    <s v="Vinciane HERBIN20/07/2005"/>
    <n v="2025"/>
    <s v="149.48842033064312"/>
    <s v="147.05646346639006"/>
  </r>
  <r>
    <x v="747"/>
    <x v="712"/>
    <s v="Willem LINGUET18/03/1996"/>
    <n v="502536"/>
    <s v="FR"/>
    <s v="GUA - Critérium National - Creps antilles guyane - GUA-Critérium National d'Haltérophiliesam 14 Déc 2024"/>
    <s v="THE ALPHA'S BARBEL"/>
    <s v="Willem LINGUET18/03/1996"/>
    <s v="101.5"/>
    <n v="115"/>
    <n v="120"/>
    <n v="-123"/>
    <n v="120"/>
    <n v="235"/>
    <s v="OOX"/>
    <n v="145"/>
    <n v="150"/>
    <n v="-155"/>
    <n v="150"/>
    <n v="295"/>
    <s v="OOX"/>
    <x v="3"/>
    <x v="0"/>
    <x v="0"/>
    <n v="270"/>
    <n v="530"/>
    <s v="307.76163426813287"/>
    <s v="604.1246894892979"/>
    <x v="1"/>
    <n v="5"/>
    <x v="17"/>
    <x v="2"/>
    <m/>
    <s v="SEN M 102"/>
    <n v="307.76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55"/>
    <x v="11"/>
    <s v="Willem LINGUET18/03/1996"/>
    <n v="2025"/>
    <s v="307.76163426813287"/>
    <s v="307.76163426813287"/>
  </r>
  <r>
    <x v="748"/>
    <x v="713"/>
    <s v="William steve NGALAMO KROUSSI11/01/2006"/>
    <n v="484632"/>
    <s v="CM"/>
    <s v="BFC - Critérium National - Besançon - BFC-Critérium 2 SEN Hdim 15 Déc 2024"/>
    <s v="LA FRANCAISE DE BESANCON"/>
    <s v="William steve NGALAMO KROUSSI11/01/2006"/>
    <n v="76"/>
    <n v="75"/>
    <n v="-80"/>
    <n v="-85"/>
    <n v="75"/>
    <n v="0"/>
    <s v="OXX"/>
    <n v="95"/>
    <n v="100"/>
    <n v="-105"/>
    <n v="100"/>
    <n v="195"/>
    <s v="OOX"/>
    <x v="0"/>
    <x v="0"/>
    <x v="0"/>
    <n v="175"/>
    <n v="195"/>
    <s v="230.27195172786674"/>
    <s v="256.5887462110515"/>
    <x v="5"/>
    <n v="7"/>
    <x v="4"/>
    <x v="0"/>
    <m/>
    <s v="U20 M 81"/>
    <n v="230.27"/>
    <x v="0"/>
    <s v="BFC - Critérium National - Besançon - BFC-Critérium 2 SEN Hdim 15 Déc 2024"/>
    <s v="Critérium National - Besançon - BFC-Critérium 2 SEN H"/>
    <s v="BFC"/>
    <d v="2024-12-15T00:00:00"/>
    <n v="2024"/>
    <n v="12"/>
    <s v="2024-12"/>
    <m/>
    <s v="2024-2025"/>
    <n v="2025"/>
    <x v="21"/>
    <x v="6"/>
    <s v="William steve NGALAMO KROUSSI11/01/2006"/>
    <n v="2025"/>
    <s v="247.7613709888384"/>
    <s v="247.7613709888384"/>
  </r>
  <r>
    <x v="749"/>
    <x v="714"/>
    <s v="Willy DJASSIDJI15/10/1991"/>
    <n v="198301"/>
    <s v="FR"/>
    <s v="HDF - Critérium National - Comines - Seniors Hommessam 14 Déc 2024"/>
    <s v="ASPTT LILLE METROPOLE"/>
    <s v="Willy DJASSIDJI15/10/1991"/>
    <s v="97.4"/>
    <n v="-120"/>
    <n v="120"/>
    <n v="-127"/>
    <n v="120"/>
    <n v="0"/>
    <s v="XOX"/>
    <n v="140"/>
    <n v="150"/>
    <n v="-160"/>
    <n v="150"/>
    <n v="290"/>
    <s v="OOX"/>
    <x v="0"/>
    <x v="0"/>
    <x v="0"/>
    <n v="270"/>
    <n v="290"/>
    <s v="313.11651649406787"/>
    <s v="336.3103325306655"/>
    <x v="1"/>
    <n v="5"/>
    <x v="17"/>
    <x v="2"/>
    <m/>
    <s v="SEN M 102"/>
    <n v="313.11"/>
    <x v="0"/>
    <s v="HDF - Critérium National - Comines - Seniors Hommessam 14 Déc 2024"/>
    <s v="Critérium National - Comines - Seniors Hommes"/>
    <s v="HDF"/>
    <d v="2024-12-14T00:00:00"/>
    <n v="2024"/>
    <n v="12"/>
    <s v="2024-12"/>
    <m/>
    <s v="2024-2025"/>
    <n v="2025"/>
    <x v="16"/>
    <x v="8"/>
    <s v="Willy DJASSIDJI15/10/1991"/>
    <n v="2025"/>
    <s v="324.05144452598967"/>
    <s v="320.35896756326434"/>
  </r>
  <r>
    <x v="750"/>
    <x v="715"/>
    <s v="Wyatt JEAN02/05/2008"/>
    <n v="475479"/>
    <s v="FR"/>
    <s v="OCC - Critérium National - Hc montalbanais - Plateau 2sam 14 Déc 2024"/>
    <s v="CLERMONT SPORTS"/>
    <s v="Wyatt JEAN02/05/2008"/>
    <s v="47.9"/>
    <n v="55"/>
    <n v="60"/>
    <n v="64"/>
    <n v="64"/>
    <n v="124"/>
    <s v="OOO"/>
    <n v="72"/>
    <n v="77"/>
    <n v="82"/>
    <n v="82"/>
    <n v="159"/>
    <s v="OOO"/>
    <x v="2"/>
    <x v="0"/>
    <x v="0"/>
    <n v="146"/>
    <n v="283"/>
    <s v="269.3359854168479"/>
    <s v="522.0690676230682"/>
    <x v="4"/>
    <n v="3"/>
    <x v="10"/>
    <x v="3"/>
    <m/>
    <s v="U17 M 49"/>
    <n v="269.33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86"/>
    <x v="1"/>
    <s v="Wyatt JEAN02/05/2008"/>
    <n v="2025"/>
    <s v="269.3359854168479"/>
    <s v="269.3359854168479"/>
  </r>
  <r>
    <x v="751"/>
    <x v="716"/>
    <s v="Yael PENCOLE13/11/2007"/>
    <n v="473925"/>
    <s v="FR"/>
    <s v="IDF - Critérium National - Franconville - Jeunes Femmesdim 15 Déc 2024"/>
    <s v="VGA ST MAUR HALTEROPHILIE"/>
    <s v="Yael PENCOLE13/11/2007"/>
    <s v="63.5"/>
    <n v="47"/>
    <n v="50"/>
    <n v="-52"/>
    <n v="50"/>
    <n v="97"/>
    <s v="OOX"/>
    <n v="64"/>
    <n v="66"/>
    <n v="-68"/>
    <n v="66"/>
    <n v="130"/>
    <s v="OOX"/>
    <x v="3"/>
    <x v="0"/>
    <x v="0"/>
    <n v="116"/>
    <n v="227"/>
    <s v="151.54565094060447"/>
    <s v="296.5591617544588"/>
    <x v="2"/>
    <n v="6"/>
    <x v="7"/>
    <x v="0"/>
    <m/>
    <s v="U20 F 64"/>
    <n v="151.54"/>
    <x v="1"/>
    <s v="IDF - Critérium National - Franconville - Jeunes Femmesdim 15 Déc 2024"/>
    <s v="Critérium National - Franconville - Jeunes Femmes"/>
    <s v="IDF"/>
    <d v="2024-12-15T00:00:00"/>
    <n v="2024"/>
    <n v="12"/>
    <s v="2024-12"/>
    <m/>
    <s v="2024-2025"/>
    <n v="2025"/>
    <x v="3"/>
    <x v="3"/>
    <s v="Yael PENCOLE13/11/2007"/>
    <n v="2025"/>
    <s v="151.54565094060447"/>
    <s v="151.54565094060447"/>
  </r>
  <r>
    <x v="752"/>
    <x v="717"/>
    <s v="Yanis BOUKRAA15/01/2010"/>
    <n v="491569"/>
    <s v="FR"/>
    <s v="IDF - Critérium National - Franconville - Jeunes Hommesdim 15 Déc 2024"/>
    <s v="AFHMA FRANCONVILLE"/>
    <s v="Yanis BOUKRAA15/01/2010"/>
    <s v="58.9"/>
    <n v="52"/>
    <n v="56"/>
    <n v="-60"/>
    <n v="56"/>
    <n v="108"/>
    <s v="OOX"/>
    <n v="-60"/>
    <n v="60"/>
    <n v="-65"/>
    <n v="60"/>
    <n v="0"/>
    <s v="XOX"/>
    <x v="0"/>
    <x v="0"/>
    <x v="0"/>
    <n v="116"/>
    <n v="108"/>
    <s v="180.92670642979556"/>
    <s v="168.44900253808552"/>
    <x v="2"/>
    <n v="6"/>
    <x v="8"/>
    <x v="1"/>
    <m/>
    <s v="U15 M 61"/>
    <n v="180.92"/>
    <x v="0"/>
    <s v="IDF - Critérium National - Franconville - Jeunes Hommesdim 15 Déc 2024"/>
    <s v="Critérium National - Franconville - Jeunes Hommes"/>
    <s v="IDF"/>
    <d v="2024-12-15T00:00:00"/>
    <n v="2024"/>
    <n v="12"/>
    <s v="2024-12"/>
    <m/>
    <s v="2024-2025"/>
    <n v="2025"/>
    <x v="4"/>
    <x v="3"/>
    <s v="Yanis BOUKRAA15/01/2010"/>
    <n v="2025"/>
    <s v="183.58130275963265"/>
    <s v="183.58130275963265"/>
  </r>
  <r>
    <x v="753"/>
    <x v="718"/>
    <s v="Yann THOMASSON03/12/2002"/>
    <n v="419843"/>
    <s v="FR"/>
    <s v="NDIE - Critérium National - Caen - Plateauu Elite masculinsam 14 Déc 2024"/>
    <s v="LANEUVEVILLE HMS"/>
    <s v="Yann THOMASSON03/12/2002"/>
    <s v="101.4"/>
    <n v="151"/>
    <n v="156"/>
    <n v="161"/>
    <n v="161"/>
    <n v="317"/>
    <s v="OOO"/>
    <n v="175"/>
    <n v="180"/>
    <n v="-185"/>
    <n v="180"/>
    <n v="355"/>
    <s v="OOX"/>
    <x v="1"/>
    <x v="0"/>
    <x v="0"/>
    <n v="341"/>
    <n v="672"/>
    <s v="388.84702281222593"/>
    <s v="766.2909071255596"/>
    <x v="4"/>
    <n v="3"/>
    <x v="17"/>
    <x v="2"/>
    <m/>
    <s v="SEN M 102"/>
    <n v="388.84"/>
    <x v="0"/>
    <s v="NDIE - Critérium National - Caen - Plateauu Elite masculinsam 14 Déc 2024"/>
    <s v="Critérium National - Caen - Plateauu Elite masculin"/>
    <s v="NDI"/>
    <d v="2024-12-14T00:00:00"/>
    <n v="2024"/>
    <n v="12"/>
    <s v="2024-12"/>
    <m/>
    <s v="2024-2025"/>
    <n v="2025"/>
    <x v="94"/>
    <x v="2"/>
    <s v="Yann THOMASSON03/12/2002"/>
    <n v="2025"/>
    <s v="392.93774479889504"/>
    <s v="392.93774479889504"/>
  </r>
  <r>
    <x v="754"/>
    <x v="719"/>
    <s v="Yannis DERRICK28/02/1998"/>
    <n v="440505"/>
    <s v="FR"/>
    <s v="GUA - Critérium National - Creps antilles guyane - GUA-Critérium National d'Haltérophiliesam 14 Déc 2024"/>
    <s v="HALTEROPHILIE CLUB DE POINTE A PITRE 971"/>
    <s v="Yannis DERRICK28/02/1998"/>
    <n v="81"/>
    <n v="105"/>
    <n v="110"/>
    <n v="115"/>
    <n v="115"/>
    <n v="225"/>
    <s v="OOO"/>
    <n v="150"/>
    <n v="155"/>
    <n v="160"/>
    <n v="160"/>
    <n v="315"/>
    <s v="OOO"/>
    <x v="2"/>
    <x v="0"/>
    <x v="0"/>
    <n v="275"/>
    <n v="540"/>
    <s v="349.015520026508"/>
    <s v="685.3395665975066"/>
    <x v="3"/>
    <n v="4"/>
    <x v="4"/>
    <x v="2"/>
    <m/>
    <s v="SEN M 81"/>
    <n v="349.01"/>
    <x v="0"/>
    <s v="GUA - Critérium National - Creps antilles guyane - GUA-Critérium National d'Haltérophiliesam 14 Déc 2024"/>
    <s v="Critérium National - Creps antilles guyane - GUA-Critérium National d'Haltérophilie"/>
    <s v="GUA"/>
    <d v="2024-12-14T00:00:00"/>
    <n v="2024"/>
    <n v="12"/>
    <s v="2024-12"/>
    <m/>
    <s v="2024-2025"/>
    <n v="2025"/>
    <x v="36"/>
    <x v="11"/>
    <s v="Yannis DERRICK28/02/1998"/>
    <n v="2025"/>
    <s v="350.68491271758467"/>
    <s v="349.015520026508"/>
  </r>
  <r>
    <x v="755"/>
    <x v="720"/>
    <s v="Yohan BOESS10/09/2001"/>
    <n v="475452"/>
    <s v="FR"/>
    <s v="GE - Critérium National - Haguenau - ALS - U15 - U17 - U20 - SEN Homsam 14 Déc 2024"/>
    <s v="ASPTT STRASBOURG"/>
    <s v="Yohan BOESS10/09/2001"/>
    <s v="94.5"/>
    <n v="97"/>
    <n v="102"/>
    <n v="-107"/>
    <n v="102"/>
    <n v="199"/>
    <s v="OOX"/>
    <n v="112"/>
    <n v="120"/>
    <n v="128"/>
    <n v="128"/>
    <n v="248"/>
    <s v="OOO"/>
    <x v="1"/>
    <x v="0"/>
    <x v="0"/>
    <n v="230"/>
    <n v="447"/>
    <s v="270.30637470575596"/>
    <s v="525.3345630150995"/>
    <x v="5"/>
    <n v="7"/>
    <x v="18"/>
    <x v="2"/>
    <m/>
    <s v="SEN M 96"/>
    <n v="270.3"/>
    <x v="0"/>
    <s v="GE - Critérium National - Haguenau - ALS - U15 - U17 - U20 - SEN Homsam 14 Déc 2024"/>
    <s v="Critérium National - Haguenau - ALS - U15 - U17 - U20 - SEN Hom"/>
    <s v="GE "/>
    <d v="2024-12-14T00:00:00"/>
    <n v="2024"/>
    <n v="12"/>
    <s v="2024-12"/>
    <m/>
    <s v="2024-2025"/>
    <n v="2025"/>
    <x v="38"/>
    <x v="2"/>
    <s v="Yohan BOESS10/09/2001"/>
    <n v="2025"/>
    <s v="281.7791624138574"/>
    <s v="270.30637470575596"/>
  </r>
  <r>
    <x v="756"/>
    <x v="604"/>
    <s v="Yohann CHAN TAI TAT27/05/2001"/>
    <n v="491119"/>
    <s v="FR"/>
    <s v="OCC - Critérium National - Hc montalbanais - Plateau 2sam 14 Déc 2024"/>
    <s v="OCCITAN BARBELL CREW"/>
    <s v="Yohann CHAN TAI TAT27/05/2001"/>
    <s v="59.8"/>
    <n v="80"/>
    <n v="-85"/>
    <n v="85"/>
    <n v="85"/>
    <n v="165"/>
    <s v="OXO"/>
    <n v="-100"/>
    <n v="100"/>
    <n v="-105"/>
    <n v="100"/>
    <n v="0"/>
    <s v="XOX"/>
    <x v="0"/>
    <x v="0"/>
    <x v="0"/>
    <n v="185"/>
    <n v="165"/>
    <s v="285.3170316268195"/>
    <s v="254.4719471266228"/>
    <x v="2"/>
    <n v="6"/>
    <x v="8"/>
    <x v="2"/>
    <m/>
    <s v="SEN M 61"/>
    <n v="285.31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14"/>
    <x v="1"/>
    <s v="Yohann CHAN TAI TAT27/05/2001"/>
    <n v="2025"/>
    <s v="285.3170316268195"/>
    <s v="285.3170316268195"/>
  </r>
  <r>
    <x v="757"/>
    <x v="721"/>
    <s v="Youan SERROUT DE LA CARRE11/03/2014"/>
    <n v="469042"/>
    <s v="FR"/>
    <s v="HDF - Critérium National - Comines - U13 garçonsdim 15 Déc 2024"/>
    <s v="CHCD COMINES"/>
    <s v="Youan SERROUT DE LA CARRE11/03/2014"/>
    <n v="30"/>
    <n v="14"/>
    <n v="15"/>
    <n v="-17"/>
    <n v="15"/>
    <n v="29"/>
    <s v="OOX"/>
    <n v="20"/>
    <n v="21"/>
    <n v="-23"/>
    <n v="21"/>
    <n v="41"/>
    <s v="OOX"/>
    <x v="3"/>
    <x v="0"/>
    <x v="0"/>
    <n v="36"/>
    <n v="70"/>
    <s v="107.22050862620388"/>
    <s v="208.48432232872977"/>
    <x v="0"/>
    <n v="999"/>
    <x v="14"/>
    <x v="4"/>
    <m/>
    <s v="U13 M 35"/>
    <n v="208.48"/>
    <x v="0"/>
    <s v="HDF - Critérium National - Comines - U13 garçonsdim 15 Déc 2024"/>
    <s v="Critérium National - Comines - U13 garçons"/>
    <s v="HDF"/>
    <d v="2024-12-15T00:00:00"/>
    <n v="2024"/>
    <n v="12"/>
    <s v="2024-12"/>
    <m/>
    <s v="2024-2025"/>
    <n v="2025"/>
    <x v="37"/>
    <x v="8"/>
    <s v="Youan SERROUT DE LA CARRE11/03/2014"/>
    <n v="2025"/>
    <s v="139.4252973793543"/>
    <s v="115.43616762027057"/>
  </r>
  <r>
    <x v="758"/>
    <x v="722"/>
    <s v="Youenn PERSONNIC27/11/2004"/>
    <n v="490707"/>
    <s v="FR"/>
    <s v="OCC - Critérium National - Hc montalbanais - Plateau 4sam 14 Déc 2024"/>
    <s v="HC MONTALBANAIS"/>
    <s v="Youenn PERSONNIC27/11/2004"/>
    <n v="80"/>
    <n v="124"/>
    <n v="127"/>
    <n v="-130"/>
    <n v="127"/>
    <n v="251"/>
    <s v="OOX"/>
    <n v="152"/>
    <n v="157"/>
    <n v="161"/>
    <n v="161"/>
    <n v="318"/>
    <s v="OOO"/>
    <x v="1"/>
    <x v="0"/>
    <x v="0"/>
    <n v="288"/>
    <n v="569"/>
    <s v="368.02464047207525"/>
    <s v="727.1042375993432"/>
    <x v="3"/>
    <n v="4"/>
    <x v="4"/>
    <x v="2"/>
    <m/>
    <s v="SEN M 81"/>
    <n v="368.02"/>
    <x v="0"/>
    <s v="OCC - Critérium National - Hc montalbanais - Plateau 4sam 14 Déc 2024"/>
    <s v="Critérium National - Hc montalbanais - Plateau 4"/>
    <s v="OCC"/>
    <d v="2024-12-14T00:00:00"/>
    <n v="2024"/>
    <n v="12"/>
    <s v="2024-12"/>
    <m/>
    <s v="2024-2025"/>
    <n v="2025"/>
    <x v="39"/>
    <x v="1"/>
    <s v="Youenn PERSONNIC27/11/2004"/>
    <n v="2025"/>
    <s v="368.02464047207525"/>
    <s v="368.02464047207525"/>
  </r>
  <r>
    <x v="759"/>
    <x v="723"/>
    <s v="Yvan - alexis MILOSEVIC06/08/1992"/>
    <n v="471304"/>
    <s v="FR"/>
    <s v="OCC - Critérium National - Hc montalbanais - Plateau 2sam 14 Déc 2024"/>
    <s v="HC MONTALBANAIS"/>
    <s v="Yvan - alexis MILOSEVIC06/08/1992"/>
    <s v="75.1"/>
    <n v="90"/>
    <n v="95"/>
    <n v="100"/>
    <n v="100"/>
    <n v="195"/>
    <s v="OOO"/>
    <n v="108"/>
    <n v="112"/>
    <n v="-120"/>
    <n v="112"/>
    <n v="220"/>
    <s v="OOX"/>
    <x v="1"/>
    <x v="0"/>
    <x v="0"/>
    <n v="212"/>
    <n v="415"/>
    <s v="280.92822074033444"/>
    <s v="549.9302434303717"/>
    <x v="5"/>
    <n v="7"/>
    <x v="4"/>
    <x v="2"/>
    <m/>
    <s v="SEN M 81"/>
    <n v="280.92"/>
    <x v="0"/>
    <s v="OCC - Critérium National - Hc montalbanais - Plateau 2sam 14 Déc 2024"/>
    <s v="Critérium National - Hc montalbanais - Plateau 2"/>
    <s v="OCC"/>
    <d v="2024-12-14T00:00:00"/>
    <n v="2024"/>
    <n v="12"/>
    <s v="2024-12"/>
    <m/>
    <s v="2024-2025"/>
    <n v="2025"/>
    <x v="39"/>
    <x v="1"/>
    <s v="Yvan - alexis MILOSEVIC06/08/1992"/>
    <n v="2025"/>
    <s v="306.98708400281805"/>
    <s v="280.92822074033444"/>
  </r>
  <r>
    <x v="760"/>
    <x v="724"/>
    <s v="Zahra LAMDAHBIN15/09/1998"/>
    <n v="483288"/>
    <s v="MA"/>
    <s v="IDF - Critérium National - Franconville - Seniors Femmes 1er plateausam 14 Déc 2024"/>
    <s v="RUEIL ATHLETIC CLUB"/>
    <s v="Zahra LAMDAHBIN15/09/1998"/>
    <n v="59"/>
    <n v="57"/>
    <n v="60"/>
    <n v="-62"/>
    <n v="60"/>
    <n v="117"/>
    <s v="OOX"/>
    <n v="-75"/>
    <n v="-75"/>
    <n v="80"/>
    <n v="80"/>
    <n v="0"/>
    <s v="XXO"/>
    <x v="0"/>
    <x v="1"/>
    <x v="0"/>
    <n v="140"/>
    <n v="117"/>
    <s v="191.56345113561852"/>
    <s v="160.0923127347669"/>
    <x v="1"/>
    <n v="5"/>
    <x v="2"/>
    <x v="2"/>
    <m/>
    <s v="SEN F 59"/>
    <n v="191.56"/>
    <x v="1"/>
    <s v="IDF - Critérium National - Franconville - Seniors Femmes 1er plateausam 14 Déc 2024"/>
    <s v="Critérium National - Franconville - Seniors Femmes 1er plateau"/>
    <s v="IDF"/>
    <d v="2024-12-14T00:00:00"/>
    <n v="2024"/>
    <n v="12"/>
    <s v="2024-12"/>
    <m/>
    <s v="2024-2025"/>
    <n v="2025"/>
    <x v="57"/>
    <x v="3"/>
    <s v="Zahra LAMDAHBIN15/09/1998"/>
    <n v="2025"/>
    <s v="191.56345113561852"/>
    <s v="191.56345113561852"/>
  </r>
  <r>
    <x v="761"/>
    <x v="351"/>
    <s v="Zahra TRAB14/05/2007"/>
    <n v="479215"/>
    <s v="TN"/>
    <s v="PDL - Critérium National - Laval - U15 au U20 Fdim 15 Déc 2024"/>
    <s v="CA EVRON 53 HALTEROPHILIE"/>
    <s v="Zahra TRAB14/05/2007"/>
    <s v="55.55"/>
    <n v="59"/>
    <n v="62"/>
    <n v="-64"/>
    <n v="62"/>
    <n v="121"/>
    <s v="OOX"/>
    <n v="75"/>
    <n v="-79"/>
    <n v="-80"/>
    <n v="75"/>
    <n v="0"/>
    <s v="OXX"/>
    <x v="0"/>
    <x v="0"/>
    <x v="0"/>
    <n v="137"/>
    <n v="121"/>
    <s v="195.2440634899632"/>
    <s v="172.44183709697478"/>
    <x v="3"/>
    <n v="4"/>
    <x v="2"/>
    <x v="0"/>
    <m/>
    <s v="U20 F 59"/>
    <n v="195.24"/>
    <x v="1"/>
    <s v="PDL - Critérium National - Laval - U15 au U20 Fdim 15 Déc 2024"/>
    <s v="Critérium National - Laval - U15 au U20 F"/>
    <s v="PDL"/>
    <d v="2024-12-15T00:00:00"/>
    <n v="2024"/>
    <n v="12"/>
    <s v="2024-12"/>
    <m/>
    <s v="2024-2025"/>
    <n v="2025"/>
    <x v="27"/>
    <x v="10"/>
    <s v="Zahra TRAB14/05/2007"/>
    <n v="2025"/>
    <s v="211.05287779455614"/>
    <s v="197.18420406359348"/>
  </r>
  <r>
    <x v="762"/>
    <x v="96"/>
    <s v="Zakaria BOUKHARTA24/07/2010"/>
    <n v="489951"/>
    <s v="FR"/>
    <s v="HDF - Critérium National - Comines - U15 / U17 / U20 Hommessam 14 Déc 2024"/>
    <s v="OSM LOMME HALTEROPHILIE"/>
    <s v="Zakaria BOUKHARTA24/07/2010"/>
    <s v="54.2"/>
    <n v="-50"/>
    <n v="50"/>
    <n v="-53"/>
    <n v="50"/>
    <n v="0"/>
    <s v="XOX"/>
    <n v="60"/>
    <n v="65"/>
    <n v="-70"/>
    <n v="65"/>
    <n v="125"/>
    <s v="OOX"/>
    <x v="0"/>
    <x v="0"/>
    <x v="0"/>
    <n v="115"/>
    <n v="125"/>
    <s v="191.2785092295613"/>
    <s v="207.91142307561012"/>
    <x v="1"/>
    <n v="5"/>
    <x v="1"/>
    <x v="1"/>
    <m/>
    <s v="U15 M 55"/>
    <n v="191.27"/>
    <x v="0"/>
    <s v="HDF - Critérium National - Comines - U15 / U17 / U20 Hommessam 14 Déc 2024"/>
    <s v="Critérium National - Comines - U15 / U17 / U20 Hommes"/>
    <s v="HDF"/>
    <d v="2024-12-14T00:00:00"/>
    <n v="2024"/>
    <n v="12"/>
    <s v="2024-12"/>
    <m/>
    <s v="2024-2025"/>
    <n v="2025"/>
    <x v="29"/>
    <x v="8"/>
    <s v="Zakaria BOUKHARTA24/07/2010"/>
    <n v="2025"/>
    <s v="191.2785092295613"/>
    <s v="191.2785092295613"/>
  </r>
  <r>
    <x v="763"/>
    <x v="725"/>
    <s v="Zakaria CHELALI20/08/1995"/>
    <n v="459924"/>
    <s v="FR"/>
    <s v="IDF - Critérium National - Franconville - Seniors Hommes 3ème plateausam 14 Déc 2024"/>
    <s v="AFHMA FRANCONVILLE"/>
    <s v="Zakaria CHELALI20/08/1995"/>
    <s v="90.8"/>
    <n v="110"/>
    <n v="-115"/>
    <n v="-115"/>
    <n v="110"/>
    <n v="0"/>
    <s v="OXX"/>
    <n v="-145"/>
    <n v="-145"/>
    <n v="-145"/>
    <n v="0"/>
    <n v="0"/>
    <s v="XXX"/>
    <x v="4"/>
    <x v="0"/>
    <x v="0"/>
    <n v="110"/>
    <n v="0"/>
    <s v="131.68884949905424"/>
    <s v="0.0"/>
    <x v="0"/>
    <n v="999"/>
    <x v="18"/>
    <x v="2"/>
    <m/>
    <s v="SEN M 96"/>
    <n v="0"/>
    <x v="0"/>
    <s v="IDF - Critérium National - Franconville - Seniors Hommes 3ème plateausam 14 Déc 2024"/>
    <s v="Critérium National - Franconville - Seniors Hommes 3ème plateau"/>
    <s v="IDF"/>
    <d v="2024-12-14T00:00:00"/>
    <n v="2024"/>
    <n v="12"/>
    <s v="2024-12"/>
    <m/>
    <s v="2024-2025"/>
    <n v="2025"/>
    <x v="4"/>
    <x v="3"/>
    <s v="Zakaria CHELALI20/08/1995"/>
    <n v="2025"/>
    <s v="317.49794027416385"/>
    <s v="310.7035319090064"/>
  </r>
  <r>
    <x v="764"/>
    <x v="726"/>
    <s v="Zeline PICOT13/02/2003"/>
    <n v="352110"/>
    <s v="FR"/>
    <s v="AURA - Critérium National - Vaulx en velin - PLATEAU 3  SENIOR FEMININESdim 15 Déc 2024"/>
    <s v="ATHLETIC CLUB SAINT MARCELLIN"/>
    <s v="Zeline PICOT13/02/2003"/>
    <s v="70.4"/>
    <n v="72"/>
    <n v="75"/>
    <n v="77"/>
    <n v="77"/>
    <n v="152"/>
    <s v="OOO"/>
    <n v="90"/>
    <n v="95"/>
    <n v="-101"/>
    <n v="95"/>
    <n v="185"/>
    <s v="OOX"/>
    <x v="1"/>
    <x v="0"/>
    <x v="0"/>
    <n v="172"/>
    <n v="337"/>
    <s v="211.8906308587475"/>
    <s v="415.15780581045294"/>
    <x v="3"/>
    <n v="4"/>
    <x v="3"/>
    <x v="2"/>
    <m/>
    <s v="SEN F 71"/>
    <n v="211.89"/>
    <x v="1"/>
    <s v="AURA - Critérium National - Vaulx en velin - PLATEAU 3  SENIOR FEMININESdim 15 Déc 2024"/>
    <s v="Critérium National - Vaulx en velin - PLATEAU 3  SENIOR FEMININES"/>
    <s v="AUR"/>
    <d v="2024-12-15T00:00:00"/>
    <n v="2024"/>
    <n v="12"/>
    <s v="2024-12"/>
    <m/>
    <s v="2024-2025"/>
    <n v="2025"/>
    <x v="51"/>
    <x v="4"/>
    <s v="Zeline PICOT13/02/2003"/>
    <n v="2025"/>
    <s v="215.22650081728497"/>
    <s v="211.8906308587475"/>
  </r>
  <r>
    <x v="765"/>
    <x v="727"/>
    <s v="Zélyna DECLERCQ07/04/2014"/>
    <n v="477641"/>
    <s v="FR"/>
    <s v="HDF - Critérium National - Comines - U13 Fillesdim 15 Déc 2024"/>
    <s v="OGS HALTEROPHILIE MUSCULATION"/>
    <s v="Zélyna DECLERCQ07/04/2014"/>
    <s v="31.12"/>
    <n v="20"/>
    <n v="22"/>
    <n v="-24"/>
    <n v="22"/>
    <n v="42"/>
    <s v="OOX"/>
    <n v="26"/>
    <n v="-28"/>
    <n v="-28"/>
    <n v="26"/>
    <n v="0"/>
    <s v="OXX"/>
    <x v="0"/>
    <x v="0"/>
    <x v="0"/>
    <n v="48"/>
    <n v="42"/>
    <s v="114.83315467378672"/>
    <s v="100.47901033956339"/>
    <x v="0"/>
    <n v="999"/>
    <x v="14"/>
    <x v="4"/>
    <m/>
    <s v="U13 F 35"/>
    <n v="0"/>
    <x v="1"/>
    <s v="HDF - Critérium National - Comines - U13 Fillesdim 15 Déc 2024"/>
    <s v="Critérium National - Comines - U13 Filles"/>
    <s v="HDF"/>
    <d v="2024-12-15T00:00:00"/>
    <n v="2024"/>
    <n v="12"/>
    <s v="2024-12"/>
    <m/>
    <s v="2024-2025"/>
    <n v="2025"/>
    <x v="33"/>
    <x v="8"/>
    <s v="Zélyna DECLERCQ07/04/2014"/>
    <n v="2025"/>
    <s v="120.55028117495435"/>
    <s v="120.55028117495435"/>
  </r>
  <r>
    <x v="766"/>
    <x v="728"/>
    <s v="Zoé CAUMON01/10/2011"/>
    <n v="479033"/>
    <s v="FR"/>
    <s v="OCC - Critérium National - Hc montalbanais - Plateau 3sam 14 Déc 2024"/>
    <s v="HC FIGEAC"/>
    <s v="Zoé CAUMON01/10/2011"/>
    <s v="47.7"/>
    <n v="28"/>
    <n v="-31"/>
    <n v="31"/>
    <n v="31"/>
    <n v="59"/>
    <s v="OXO"/>
    <n v="38"/>
    <n v="41"/>
    <n v="44"/>
    <n v="44"/>
    <n v="85"/>
    <s v="OOO"/>
    <x v="1"/>
    <x v="0"/>
    <x v="0"/>
    <n v="75"/>
    <n v="144"/>
    <s v="119.78761467649227"/>
    <s v="229.99222017886515"/>
    <x v="1"/>
    <n v="5"/>
    <x v="10"/>
    <x v="1"/>
    <m/>
    <s v="U15 F 49"/>
    <n v="119.78"/>
    <x v="1"/>
    <s v="OCC - Critérium National - Hc montalbanais - Plateau 3sam 14 Déc 2024"/>
    <s v="Critérium National - Hc montalbanais - Plateau 3"/>
    <s v="OCC"/>
    <d v="2024-12-14T00:00:00"/>
    <n v="2024"/>
    <n v="12"/>
    <s v="2024-12"/>
    <m/>
    <s v="2024-2025"/>
    <n v="2025"/>
    <x v="1"/>
    <x v="1"/>
    <s v="Zoé CAUMON01/10/2011"/>
    <n v="2025"/>
    <s v="119.78761467649227"/>
    <s v="119.78761467649227"/>
  </r>
  <r>
    <x v="767"/>
    <x v="729"/>
    <s v="Zoé FURET22/01/2005"/>
    <n v="473962"/>
    <s v="FR"/>
    <s v="NAQ - Critérium National - Mont de marsan - ligue Nouvelle Aquitainesam 14 Déc 2024"/>
    <s v="EA DE SAINT MEDARD"/>
    <s v="Zoé FURET22/01/2005"/>
    <s v="80.2"/>
    <n v="77"/>
    <n v="82"/>
    <n v="85"/>
    <n v="85"/>
    <n v="167"/>
    <s v="OOO"/>
    <n v="89"/>
    <n v="93"/>
    <n v="95"/>
    <n v="95"/>
    <n v="188"/>
    <s v="OOO"/>
    <x v="2"/>
    <x v="0"/>
    <x v="0"/>
    <n v="180"/>
    <n v="355"/>
    <s v="208.04235954684276"/>
    <s v="410.3057646618288"/>
    <x v="4"/>
    <n v="3"/>
    <x v="4"/>
    <x v="0"/>
    <m/>
    <s v="U20 F 81"/>
    <n v="208.04"/>
    <x v="1"/>
    <s v="NAQ - Critérium National - Mont de marsan - ligue Nouvelle Aquitainesam 14 Déc 2024"/>
    <s v="Critérium National - Mont de marsan - ligue Nouvelle Aquitaine"/>
    <s v="NAQ"/>
    <d v="2024-12-14T00:00:00"/>
    <n v="2024"/>
    <n v="12"/>
    <s v="2024-12"/>
    <m/>
    <s v="2024-2025"/>
    <n v="2025"/>
    <x v="81"/>
    <x v="12"/>
    <s v="Zoé FURET22/01/2005"/>
    <n v="2025"/>
    <s v="208.04235954684276"/>
    <s v="208.042359546842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23ED1-A989-4171-B2A1-1486E09B195A}" name="Tableau croisé dynamique26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E35:F39" firstHeaderRow="2" firstDataRow="2" firstDataCol="1" rowPageCount="1" colPageCount="1"/>
  <pivotFields count="55">
    <pivotField axis="axisRow" compact="0" outline="0" showAll="0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</pivotField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">
        <item x="0"/>
        <item x="1"/>
        <item t="default"/>
      </items>
    </pivotField>
    <pivotField axis="axisPage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compact="0" outline="0" showAll="0"/>
    <pivotField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0"/>
  </rowFields>
  <rowItems count="3">
    <i>
      <x v="61"/>
    </i>
    <i>
      <x v="608"/>
    </i>
    <i t="grand">
      <x/>
    </i>
  </rowItems>
  <colItems count="1">
    <i/>
  </colItems>
  <pageFields count="1">
    <pageField fld="23" item="1" hier="-1"/>
  </pageFields>
  <dataFields count="1">
    <dataField name="Nombre de DateNaissanc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CC6CFC-EA29-4B0F-8958-570D3FEA8262}" name="Tableau croisé dynamique25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35:C39" firstHeaderRow="2" firstDataRow="2" firstDataCol="1" rowPageCount="1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compact="0" outline="0" showAll="0"/>
    <pivotField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5"/>
  </rowFields>
  <rowItems count="3">
    <i>
      <x/>
    </i>
    <i>
      <x v="1"/>
    </i>
    <i t="grand">
      <x/>
    </i>
  </rowItems>
  <colItems count="1">
    <i/>
  </colItems>
  <pageFields count="1">
    <pageField fld="22" item="1" hier="-1"/>
  </pageFields>
  <dataFields count="1">
    <dataField name="Nombre de DateNaissanc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83A499-AAD3-4A15-A316-3D6E5BC9E344}" name="Tableau croisé dynamique23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2">
  <location ref="B49:J53" firstHeaderRow="1" firstDataRow="2" firstDataCol="1" rowPageCount="1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sortType="ascending">
      <items count="8">
        <item x="6"/>
        <item x="4"/>
        <item x="5"/>
        <item x="0"/>
        <item x="3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5"/>
  </rowFields>
  <rowItems count="3">
    <i>
      <x/>
    </i>
    <i>
      <x v="1"/>
    </i>
    <i t="grand">
      <x/>
    </i>
  </rowItems>
  <colFields count="1">
    <field x="2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31" hier="-1"/>
  </pageFields>
  <dataFields count="1">
    <dataField name="Nombre de DateNaissance" fld="1" subtotal="count" showDataAs="percentOfRow" baseField="35" baseItem="1" numFmtId="9"/>
  </dataFields>
  <chartFormats count="2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1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2"/>
          </reference>
          <reference field="35" count="1" selected="0">
            <x v="0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3"/>
          </reference>
          <reference field="35" count="1" selected="0">
            <x v="0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4"/>
          </reference>
          <reference field="35" count="1" selected="0">
            <x v="0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5"/>
          </reference>
          <reference field="35" count="1" selected="0">
            <x v="0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6"/>
          </reference>
          <reference field="35" count="1" selected="0">
            <x v="0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0"/>
          </reference>
          <reference field="35" count="1" selected="0">
            <x v="1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1"/>
          </reference>
          <reference field="35" count="1" selected="0">
            <x v="1"/>
          </reference>
        </references>
      </pivotArea>
    </chartFormat>
    <chartFormat chart="0" format="9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2"/>
          </reference>
          <reference field="35" count="1" selected="0">
            <x v="1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3"/>
          </reference>
          <reference field="35" count="1" selected="0">
            <x v="1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4"/>
          </reference>
          <reference field="35" count="1" selected="0">
            <x v="1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5"/>
          </reference>
          <reference field="35" count="1" selected="0">
            <x v="1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6"/>
          </reference>
          <reference field="35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F28A10-E9B2-4023-A573-BC38A6A88308}" name="Tableau croisé dynamique22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G13:H22" firstHeaderRow="2" firstDataRow="2" firstDataCol="1" rowPageCount="2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4"/>
        <item x="3"/>
        <item x="1"/>
        <item x="7"/>
        <item x="2"/>
        <item x="5"/>
        <item x="6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28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pageFields count="2">
    <pageField fld="31" hier="-1"/>
    <pageField fld="35" item="1" hier="-1"/>
  </pageFields>
  <dataFields count="1">
    <dataField name="Nombre de DateNaissance" fld="1" subtotal="count" baseField="0" baseItem="0"/>
  </dataFields>
  <formats count="4">
    <format dxfId="9">
      <pivotArea outline="0" fieldPosition="0">
        <references count="1">
          <reference field="28" count="1" selected="0">
            <x v="7"/>
          </reference>
        </references>
      </pivotArea>
    </format>
    <format dxfId="8">
      <pivotArea dataOnly="0" labelOnly="1" outline="0" fieldPosition="0">
        <references count="1">
          <reference field="28" count="1">
            <x v="7"/>
          </reference>
        </references>
      </pivotArea>
    </format>
    <format dxfId="7">
      <pivotArea outline="0" fieldPosition="0">
        <references count="1">
          <reference field="28" count="4" selected="0">
            <x v="0"/>
            <x v="1"/>
            <x v="2"/>
            <x v="4"/>
          </reference>
        </references>
      </pivotArea>
    </format>
    <format dxfId="6">
      <pivotArea dataOnly="0" labelOnly="1" outline="0" fieldPosition="0">
        <references count="1">
          <reference field="28" count="4">
            <x v="0"/>
            <x v="1"/>
            <x v="2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516FE-2E31-4921-80C2-B537F5B587B5}" name="Tableau croisé dynamique2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13:C21" firstHeaderRow="2" firstDataRow="2" firstDataCol="1" rowPageCount="2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28"/>
  </rowFields>
  <rowItems count="7">
    <i>
      <x v="1"/>
    </i>
    <i>
      <x v="2"/>
    </i>
    <i>
      <x v="3"/>
    </i>
    <i>
      <x v="5"/>
    </i>
    <i>
      <x v="6"/>
    </i>
    <i>
      <x v="7"/>
    </i>
    <i t="grand">
      <x/>
    </i>
  </rowItems>
  <colItems count="1">
    <i/>
  </colItems>
  <pageFields count="2">
    <pageField fld="31" hier="-1"/>
    <pageField fld="35" item="0" hier="-1"/>
  </pageFields>
  <dataFields count="1">
    <dataField name="Nombre de DateNaissance" fld="1" subtotal="count" baseField="0" baseItem="0"/>
  </dataFields>
  <formats count="3">
    <format dxfId="12">
      <pivotArea dataOnly="0" labelOnly="1" outline="0" fieldPosition="0">
        <references count="1">
          <reference field="28" count="3">
            <x v="1"/>
            <x v="2"/>
            <x v="3"/>
          </reference>
        </references>
      </pivotArea>
    </format>
    <format dxfId="11">
      <pivotArea outline="0" fieldPosition="0">
        <references count="1">
          <reference field="28" count="1" selected="0">
            <x v="7"/>
          </reference>
        </references>
      </pivotArea>
    </format>
    <format dxfId="10">
      <pivotArea dataOnly="0" labelOnly="1" outline="0" fieldPosition="0">
        <references count="1">
          <reference field="28" count="1">
            <x v="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44775-064D-4B05-AEBF-5AECB01F8FDE}" name="Tableau croisé dynamique20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20">
  <location ref="P174:Q175" firstHeaderRow="1" firstDataRow="1" firstDataCol="1" rowPageCount="2" colPageCount="1"/>
  <pivotFields count="55">
    <pivotField dataField="1" compact="0" outline="0" showAll="0" defaultSubtotal="0"/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x="4"/>
        <item x="3"/>
        <item x="1"/>
        <item x="7"/>
        <item h="1" x="2"/>
        <item h="1" x="5"/>
        <item h="1"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x="1"/>
        <item x="3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multipleItemSelectionAllowed="1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sortType="a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 sortType="descending">
      <items count="47">
        <item sd="0" x="44"/>
        <item sd="0" x="43"/>
        <item sd="0" x="42"/>
        <item sd="0" x="41"/>
        <item sd="0" x="40"/>
        <item sd="0" x="39"/>
        <item sd="0" x="38"/>
        <item sd="0" x="37"/>
        <item sd="0" x="36"/>
        <item sd="0" x="35"/>
        <item sd="0" x="34"/>
        <item sd="0" x="33"/>
        <item sd="0" x="32"/>
        <item sd="0" x="31"/>
        <item sd="0" x="30"/>
        <item sd="0" x="29"/>
        <item sd="0" x="28"/>
        <item sd="0" x="27"/>
        <item sd="0" x="26"/>
        <item sd="0" x="25"/>
        <item sd="0" x="24"/>
        <item sd="0" x="23"/>
        <item sd="0" x="22"/>
        <item sd="0" x="21"/>
        <item sd="0" x="20"/>
        <item sd="0" x="19"/>
        <item sd="0" x="18"/>
        <item sd="0" x="17"/>
        <item sd="0" x="16"/>
        <item sd="0" x="15"/>
        <item sd="0" x="14"/>
        <item sd="0" x="13"/>
        <item sd="0" x="12"/>
        <item sd="0" x="11"/>
        <item sd="0" x="10"/>
        <item sd="0" x="9"/>
        <item sd="0" x="8"/>
        <item sd="0" x="7"/>
        <item sd="0" x="6"/>
        <item sd="0" x="5"/>
        <item sd="0" x="4"/>
        <item sd="0" x="3"/>
        <item sd="0" x="2"/>
        <item sd="0" x="1"/>
        <item sd="0" x="45"/>
        <item sd="0" x="0"/>
        <item t="default"/>
      </items>
    </pivotField>
  </pivotFields>
  <rowItems count="1">
    <i/>
  </rowItems>
  <colItems count="1">
    <i/>
  </colItems>
  <pageFields count="2">
    <pageField fld="28" hier="-1"/>
    <pageField fld="31" hier="-1"/>
  </pageFields>
  <dataFields count="1">
    <dataField name="Nombre de Nom" fld="0" subtotal="count" baseField="0" baseItem="0"/>
  </dataFields>
  <formats count="2">
    <format dxfId="13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14">
      <pivotArea dataOnly="0" labelOnly="1" outline="0" fieldPosition="0">
        <references count="1">
          <reference field="28" count="1">
            <x v="3"/>
          </reference>
        </references>
      </pivotArea>
    </format>
  </formats>
  <chartFormats count="1"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BDDD04-7E8A-46F4-8709-B1157166D404}" name="Tableau croisé dynamique19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20">
  <location ref="M174:N187" firstHeaderRow="2" firstDataRow="2" firstDataCol="1" rowPageCount="2" colPageCount="1"/>
  <pivotFields count="55">
    <pivotField dataField="1" compact="0" outline="0" showAll="0" defaultSubtotal="0"/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x="4"/>
        <item x="3"/>
        <item x="1"/>
        <item x="7"/>
        <item h="1" x="2"/>
        <item h="1" x="5"/>
        <item h="1"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x="1"/>
        <item x="3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multipleItemSelectionAllowed="1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measureFilter="1" sortType="ascending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 sortType="descending">
      <items count="47">
        <item sd="0" x="44"/>
        <item sd="0" x="43"/>
        <item sd="0" x="42"/>
        <item sd="0" x="41"/>
        <item sd="0" x="40"/>
        <item sd="0" x="39"/>
        <item sd="0" x="38"/>
        <item sd="0" x="37"/>
        <item sd="0" x="36"/>
        <item sd="0" x="35"/>
        <item sd="0" x="34"/>
        <item sd="0" x="33"/>
        <item sd="0" x="32"/>
        <item sd="0" x="31"/>
        <item sd="0" x="30"/>
        <item sd="0" x="29"/>
        <item sd="0" x="28"/>
        <item sd="0" x="27"/>
        <item sd="0" x="26"/>
        <item sd="0" x="25"/>
        <item sd="0" x="24"/>
        <item sd="0" x="23"/>
        <item sd="0" x="22"/>
        <item sd="0" x="21"/>
        <item sd="0" x="20"/>
        <item sd="0" x="19"/>
        <item sd="0" x="18"/>
        <item sd="0" x="17"/>
        <item sd="0" x="16"/>
        <item sd="0" x="15"/>
        <item sd="0" x="14"/>
        <item sd="0" x="13"/>
        <item sd="0" x="12"/>
        <item sd="0" x="11"/>
        <item sd="0" x="10"/>
        <item sd="0" x="9"/>
        <item sd="0" x="8"/>
        <item sd="0" x="7"/>
        <item sd="0" x="6"/>
        <item sd="0" x="5"/>
        <item sd="0" x="4"/>
        <item sd="0" x="3"/>
        <item sd="0" x="2"/>
        <item sd="0" x="1"/>
        <item sd="0" x="45"/>
        <item sd="0" x="0"/>
        <item t="default"/>
      </items>
    </pivotField>
  </pivotFields>
  <rowFields count="1">
    <field x="46"/>
  </rowFields>
  <rowItems count="12">
    <i>
      <x v="32"/>
    </i>
    <i>
      <x v="89"/>
    </i>
    <i>
      <x v="24"/>
    </i>
    <i>
      <x v="87"/>
    </i>
    <i>
      <x v="83"/>
    </i>
    <i>
      <x v="20"/>
    </i>
    <i>
      <x v="17"/>
    </i>
    <i>
      <x v="74"/>
    </i>
    <i>
      <x v="73"/>
    </i>
    <i>
      <x v="4"/>
    </i>
    <i>
      <x v="61"/>
    </i>
    <i t="grand">
      <x/>
    </i>
  </rowItems>
  <colItems count="1">
    <i/>
  </colItems>
  <pageFields count="2">
    <pageField fld="28" hier="-1"/>
    <pageField fld="31" hier="-1"/>
  </pageFields>
  <dataFields count="1">
    <dataField name="Nombre de Nom" fld="0" subtotal="count" baseField="0" baseItem="0"/>
  </dataFields>
  <formats count="2">
    <format dxfId="18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19">
      <pivotArea dataOnly="0" labelOnly="1" outline="0" fieldPosition="0">
        <references count="1">
          <reference field="28" count="1">
            <x v="3"/>
          </reference>
        </references>
      </pivotArea>
    </format>
  </formats>
  <chartFormats count="1"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B00EA-8D1F-4D08-9F92-B314B3C1D04A}" name="Tableau croisé dynamique18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N8:O22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5"/>
        <item h="1" x="4"/>
        <item x="1"/>
        <item x="3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0"/>
  </rowFields>
  <rowItems count="13">
    <i>
      <x v="3"/>
    </i>
    <i>
      <x v="4"/>
    </i>
    <i>
      <x v="6"/>
    </i>
    <i>
      <x v="8"/>
    </i>
    <i>
      <x v="10"/>
    </i>
    <i>
      <x v="12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pageFields count="3">
    <pageField fld="28" hier="-1"/>
    <pageField fld="35" item="1" hier="-1"/>
    <pageField fld="31" hier="-1"/>
  </pageFields>
  <dataFields count="1">
    <dataField name="Nombre de DateNaissance" fld="1" subtotal="count" baseField="0" baseItem="0"/>
  </dataFields>
  <formats count="4">
    <format dxfId="21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22">
      <pivotArea dataOnly="0" labelOnly="1" outline="0" fieldPosition="0">
        <references count="1">
          <reference field="28" count="1">
            <x v="3"/>
          </reference>
        </references>
      </pivotArea>
    </format>
    <format dxfId="23">
      <pivotArea dataOnly="0" labelOnly="1" outline="0" fieldPosition="0">
        <references count="1">
          <reference field="30" count="2">
            <x v="22"/>
            <x v="23"/>
          </reference>
        </references>
      </pivotArea>
    </format>
    <format dxfId="20">
      <pivotArea dataOnly="0" labelOnly="1" outline="0" fieldPosition="0">
        <references count="1">
          <reference field="30" count="2">
            <x v="18"/>
            <x v="1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5014F1-F9A3-41B2-BA3F-D8E2F18C7A5C}" name="Tableau croisé dynamique17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L8:M22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5"/>
        <item h="1" x="4"/>
        <item x="1"/>
        <item x="3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0"/>
  </rowFields>
  <rowItems count="13"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22"/>
    </i>
    <i>
      <x v="23"/>
    </i>
    <i t="grand">
      <x/>
    </i>
  </rowItems>
  <colItems count="1">
    <i/>
  </colItems>
  <pageFields count="3">
    <pageField fld="28" hier="-1"/>
    <pageField fld="35" item="0" hier="-1"/>
    <pageField fld="31" hier="-1"/>
  </pageFields>
  <dataFields count="1">
    <dataField name="Nombre de DateNaissance" fld="1" subtotal="count" baseField="0" baseItem="0"/>
  </dataFields>
  <formats count="3">
    <format dxfId="25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28" count="1">
            <x v="3"/>
          </reference>
        </references>
      </pivotArea>
    </format>
    <format dxfId="24">
      <pivotArea dataOnly="0" labelOnly="1" outline="0" fieldPosition="0">
        <references count="1">
          <reference field="30" count="2">
            <x v="22"/>
            <x v="2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37BC4F-2798-438B-ABC2-A2E90913E105}" name="Tableau croisé dynamique16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G8:J24" firstHeaderRow="1" firstDataRow="2" firstDataCol="1" rowPageCount="2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h="1" x="5"/>
        <item h="1" x="4"/>
        <item x="1"/>
        <item x="3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Row" compact="0" outline="0" showAll="0" sortType="descending">
      <items count="15">
        <item x="4"/>
        <item x="6"/>
        <item x="7"/>
        <item x="13"/>
        <item x="2"/>
        <item x="11"/>
        <item x="8"/>
        <item x="3"/>
        <item x="12"/>
        <item x="9"/>
        <item x="1"/>
        <item x="0"/>
        <item x="10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47"/>
  </rowFields>
  <rowItems count="15">
    <i>
      <x v="7"/>
    </i>
    <i>
      <x v="6"/>
    </i>
    <i>
      <x v="11"/>
    </i>
    <i>
      <x/>
    </i>
    <i>
      <x v="1"/>
    </i>
    <i>
      <x v="4"/>
    </i>
    <i>
      <x v="10"/>
    </i>
    <i>
      <x v="13"/>
    </i>
    <i>
      <x v="12"/>
    </i>
    <i>
      <x v="8"/>
    </i>
    <i>
      <x v="2"/>
    </i>
    <i>
      <x v="5"/>
    </i>
    <i>
      <x v="9"/>
    </i>
    <i>
      <x v="3"/>
    </i>
    <i t="grand">
      <x/>
    </i>
  </rowItems>
  <colFields count="1">
    <field x="35"/>
  </colFields>
  <colItems count="3">
    <i>
      <x/>
    </i>
    <i>
      <x v="1"/>
    </i>
    <i t="grand">
      <x/>
    </i>
  </colItems>
  <pageFields count="2">
    <pageField fld="28" hier="-1"/>
    <pageField fld="31" hier="-1"/>
  </pageFields>
  <dataFields count="1">
    <dataField name="Nombre de DateNaissance" fld="1" subtotal="count" baseField="0" baseItem="0"/>
  </dataFields>
  <formats count="2">
    <format dxfId="105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106">
      <pivotArea dataOnly="0" labelOnly="1" outline="0" fieldPosition="0">
        <references count="1">
          <reference field="28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A216C0-B321-4367-8ED6-0482D2E4D32C}" name="Tableau croisé dynamique15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7:E13" firstHeaderRow="1" firstDataRow="2" firstDataCol="1" rowPageCount="1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compact="0" outline="0" showAll="0"/>
    <pivotField axis="axisRow" compact="0" outline="0" multipleItemSelectionAllowed="1" showAll="0">
      <items count="7">
        <item h="1" x="5"/>
        <item h="1" x="4"/>
        <item x="1"/>
        <item x="3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1"/>
  </rowFields>
  <rowItems count="5">
    <i>
      <x v="2"/>
    </i>
    <i>
      <x v="3"/>
    </i>
    <i>
      <x v="4"/>
    </i>
    <i>
      <x v="5"/>
    </i>
    <i t="grand">
      <x/>
    </i>
  </rowItems>
  <colFields count="1">
    <field x="35"/>
  </colFields>
  <colItems count="3">
    <i>
      <x/>
    </i>
    <i>
      <x v="1"/>
    </i>
    <i t="grand">
      <x/>
    </i>
  </colItems>
  <pageFields count="1">
    <pageField fld="28" hier="-1"/>
  </pageFields>
  <dataFields count="1">
    <dataField name="Nombre de DateNaissance" fld="1" subtotal="count" baseField="0" baseItem="0"/>
  </dataFields>
  <formats count="2">
    <format dxfId="103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104">
      <pivotArea dataOnly="0" labelOnly="1" outline="0" fieldPosition="0">
        <references count="1">
          <reference field="28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5494FB-B872-47F4-9690-7AD5A76EC9D2}" name="Tableau croisé dynamique12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8">
  <location ref="L136:M160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x="4"/>
        <item x="3"/>
        <item x="1"/>
        <item x="7"/>
        <item h="1" x="2"/>
        <item h="1" x="5"/>
        <item h="1"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x="1"/>
        <item h="1"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compact="0" outline="0" showAll="0">
      <items count="4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t="default"/>
      </items>
    </pivotField>
  </pivotFields>
  <rowFields count="1">
    <field x="54"/>
  </rowFields>
  <rowItems count="23">
    <i>
      <x v="8"/>
    </i>
    <i>
      <x v="9"/>
    </i>
    <i>
      <x v="11"/>
    </i>
    <i>
      <x v="13"/>
    </i>
    <i>
      <x v="14"/>
    </i>
    <i>
      <x v="16"/>
    </i>
    <i>
      <x v="17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2">
    <format dxfId="101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102">
      <pivotArea dataOnly="0" labelOnly="1" outline="0" fieldPosition="0">
        <references count="1">
          <reference field="28" count="1">
            <x v="3"/>
          </reference>
        </references>
      </pivotArea>
    </format>
  </format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9910E3-0365-4A40-91F1-F0B0A214FB7E}" name="Tableau croisé dynamique13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13">
  <location ref="B174:E212" firstHeaderRow="1" firstDataRow="2" firstDataCol="1" rowPageCount="2" colPageCount="1"/>
  <pivotFields count="55">
    <pivotField dataField="1" compact="0" outline="0" showAll="0" defaultSubtotal="0"/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x="1"/>
        <item x="3"/>
        <item x="0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multipleItemSelectionAllowed="1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compact="0" outline="0" showAll="0" sortType="descending">
      <items count="47">
        <item sd="0" x="44"/>
        <item sd="0" x="43"/>
        <item sd="0" x="42"/>
        <item sd="0" x="41"/>
        <item sd="0" x="40"/>
        <item sd="0" x="39"/>
        <item sd="0" x="38"/>
        <item sd="0" x="37"/>
        <item sd="0" x="36"/>
        <item sd="0" x="35"/>
        <item sd="0" x="34"/>
        <item sd="0" x="33"/>
        <item sd="0" x="32"/>
        <item sd="0" x="31"/>
        <item sd="0" x="30"/>
        <item sd="0" x="29"/>
        <item sd="0" x="28"/>
        <item sd="0" x="27"/>
        <item sd="0" x="26"/>
        <item sd="0" x="25"/>
        <item sd="0" x="24"/>
        <item sd="0" x="23"/>
        <item sd="0" x="22"/>
        <item sd="0" x="21"/>
        <item sd="0" x="20"/>
        <item sd="0" x="19"/>
        <item sd="0" x="18"/>
        <item sd="0" x="17"/>
        <item sd="0" x="16"/>
        <item sd="0" x="15"/>
        <item sd="0" x="14"/>
        <item sd="0" x="13"/>
        <item sd="0" x="12"/>
        <item sd="0" x="11"/>
        <item sd="0" x="10"/>
        <item sd="0" x="9"/>
        <item sd="0" x="8"/>
        <item sd="0" x="7"/>
        <item sd="0" x="6"/>
        <item sd="0" x="5"/>
        <item sd="0" x="4"/>
        <item sd="0" x="3"/>
        <item sd="0" x="2"/>
        <item sd="0" x="1"/>
        <item sd="0" x="45"/>
        <item sd="0" x="0"/>
        <item t="default"/>
      </items>
    </pivotField>
  </pivotFields>
  <rowFields count="1">
    <field x="54"/>
  </rowFields>
  <rowItems count="37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41"/>
    </i>
    <i>
      <x v="43"/>
    </i>
    <i t="grand">
      <x/>
    </i>
  </rowItems>
  <colFields count="1">
    <field x="35"/>
  </colFields>
  <colItems count="3">
    <i>
      <x/>
    </i>
    <i>
      <x v="1"/>
    </i>
    <i t="grand">
      <x/>
    </i>
  </colItems>
  <pageFields count="2">
    <pageField fld="28" hier="-1"/>
    <pageField fld="31" hier="-1"/>
  </pageFields>
  <dataFields count="1">
    <dataField name="Nombre de Nom" fld="0" subtotal="count" baseField="0" baseItem="0"/>
  </dataFields>
  <formats count="2">
    <format dxfId="99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100">
      <pivotArea dataOnly="0" labelOnly="1" outline="0" fieldPosition="0">
        <references count="1">
          <reference field="28" count="1">
            <x v="3"/>
          </reference>
        </references>
      </pivotArea>
    </format>
  </formats>
  <chartFormats count="2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1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43F664-CFBF-4C62-9695-F733B2C0B231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33:C41" firstHeaderRow="2" firstDataRow="2" firstDataCol="1" rowPageCount="2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4"/>
        <item x="3"/>
        <item x="1"/>
        <item x="7"/>
        <item x="2"/>
        <item x="5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28"/>
  </rowFields>
  <rowItems count="7">
    <i>
      <x v="1"/>
    </i>
    <i>
      <x v="2"/>
    </i>
    <i>
      <x v="3"/>
    </i>
    <i>
      <x v="5"/>
    </i>
    <i>
      <x v="6"/>
    </i>
    <i>
      <x v="7"/>
    </i>
    <i t="grand">
      <x/>
    </i>
  </rowItems>
  <colItems count="1">
    <i/>
  </colItems>
  <pageFields count="2">
    <pageField fld="31" hier="-1"/>
    <pageField fld="35" item="0" hier="-1"/>
  </pageFields>
  <dataFields count="1">
    <dataField name="Nombre de DateNaissance" fld="1" subtotal="count" baseField="0" baseItem="0"/>
  </dataFields>
  <formats count="2">
    <format dxfId="97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98">
      <pivotArea dataOnly="0" labelOnly="1" outline="0" fieldPosition="0">
        <references count="1">
          <reference field="28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62F954-9472-4E0C-93AA-7E3B35F2B297}" name="Tableau croisé dynamique2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G33:H42" firstHeaderRow="2" firstDataRow="2" firstDataCol="1" rowPageCount="2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4"/>
        <item x="3"/>
        <item x="1"/>
        <item x="7"/>
        <item x="2"/>
        <item x="5"/>
        <item x="6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28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pageFields count="2">
    <pageField fld="31" hier="-1"/>
    <pageField fld="35" item="1" hier="-1"/>
  </pageFields>
  <dataFields count="1">
    <dataField name="Nombre de DateNaissance" fld="1" subtotal="count" baseField="0" baseItem="0"/>
  </dataFields>
  <formats count="2">
    <format dxfId="95">
      <pivotArea dataOnly="0" labelOnly="1" outline="0" fieldPosition="0">
        <references count="1">
          <reference field="28" count="2">
            <x v="0"/>
            <x v="1"/>
          </reference>
        </references>
      </pivotArea>
    </format>
    <format dxfId="96">
      <pivotArea dataOnly="0" labelOnly="1" outline="0" fieldPosition="0">
        <references count="1">
          <reference field="28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B28565-8E75-4CEE-B78A-8A8C7FAB9B40}" name="Tableau croisé dynamique3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Q33:R43" firstHeaderRow="2" firstDataRow="2" firstDataCol="1" rowPageCount="2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7"/>
        <item x="4"/>
        <item x="3"/>
        <item x="1"/>
        <item x="2"/>
        <item x="5"/>
        <item x="6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h="1" x="2"/>
        <item h="1" x="5"/>
        <item h="1" x="4"/>
        <item x="1"/>
        <item x="3"/>
        <item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2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2">
    <pageField fld="31" hier="-1"/>
    <pageField fld="35" item="1" hier="-1"/>
  </pageFields>
  <dataFields count="1">
    <dataField name="Nombre de DateNaissance" fld="1" subtotal="count" baseField="0" baseItem="0"/>
  </dataFields>
  <formats count="3">
    <format dxfId="92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93">
      <pivotArea dataOnly="0" labelOnly="1" outline="0" fieldPosition="0">
        <references count="1">
          <reference field="28" count="1">
            <x v="3"/>
          </reference>
        </references>
      </pivotArea>
    </format>
    <format dxfId="94">
      <pivotArea dataOnly="0" labelOnly="1" outline="0" fieldPosition="0">
        <references count="1">
          <reference field="28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95C7B6-AB56-4614-861C-10B5ACFFCA95}" name="Tableau croisé dynamique4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L33:M42" firstHeaderRow="2" firstDataRow="2" firstDataCol="1" rowPageCount="2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7"/>
        <item x="4"/>
        <item x="3"/>
        <item x="1"/>
        <item x="2"/>
        <item x="5"/>
        <item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h="1" x="2"/>
        <item h="1" x="5"/>
        <item h="1" x="4"/>
        <item x="1"/>
        <item x="3"/>
        <item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28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2">
    <pageField fld="31" hier="-1"/>
    <pageField fld="35" item="0" hier="-1"/>
  </pageFields>
  <dataFields count="1">
    <dataField name="Nombre de DateNaissance" fld="1" subtotal="count" baseField="0" baseItem="0"/>
  </dataFields>
  <formats count="3">
    <format dxfId="89">
      <pivotArea dataOnly="0" labelOnly="1" outline="0" fieldPosition="0">
        <references count="1">
          <reference field="28" count="2">
            <x v="2"/>
            <x v="3"/>
          </reference>
        </references>
      </pivotArea>
    </format>
    <format dxfId="90">
      <pivotArea dataOnly="0" labelOnly="1" outline="0" fieldPosition="0">
        <references count="1">
          <reference field="28" count="1">
            <x v="4"/>
          </reference>
        </references>
      </pivotArea>
    </format>
    <format dxfId="91">
      <pivotArea dataOnly="0" labelOnly="1" outline="0" fieldPosition="0">
        <references count="1">
          <reference field="28" count="4"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B391BA-E50B-4424-932D-152918210055}" name="Tableau croisé dynamique5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2">
  <location ref="B53:C68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x="4"/>
        <item x="3"/>
        <item h="1" x="1"/>
        <item x="7"/>
        <item h="1" x="2"/>
        <item h="1" x="5"/>
        <item h="1"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Row" compact="0" outline="0" showAll="0" sortType="descending">
      <items count="15">
        <item x="4"/>
        <item x="6"/>
        <item x="7"/>
        <item x="13"/>
        <item x="2"/>
        <item x="11"/>
        <item x="8"/>
        <item x="3"/>
        <item x="12"/>
        <item x="9"/>
        <item x="1"/>
        <item x="0"/>
        <item x="10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47"/>
  </rowFields>
  <rowItems count="14">
    <i>
      <x/>
    </i>
    <i>
      <x v="7"/>
    </i>
    <i>
      <x v="11"/>
    </i>
    <i>
      <x v="4"/>
    </i>
    <i>
      <x v="8"/>
    </i>
    <i>
      <x v="1"/>
    </i>
    <i>
      <x v="10"/>
    </i>
    <i>
      <x v="13"/>
    </i>
    <i>
      <x v="12"/>
    </i>
    <i>
      <x v="6"/>
    </i>
    <i>
      <x v="9"/>
    </i>
    <i>
      <x v="5"/>
    </i>
    <i>
      <x v="2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4">
    <format dxfId="85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86">
      <pivotArea dataOnly="0" labelOnly="1" outline="0" fieldPosition="0">
        <references count="1">
          <reference field="28" count="1">
            <x v="3"/>
          </reference>
        </references>
      </pivotArea>
    </format>
    <format dxfId="87">
      <pivotArea dataOnly="0" labelOnly="1" outline="0" fieldPosition="0">
        <references count="1">
          <reference field="47" count="4">
            <x v="0"/>
            <x v="4"/>
            <x v="7"/>
            <x v="11"/>
          </reference>
        </references>
      </pivotArea>
    </format>
    <format dxfId="88">
      <pivotArea dataOnly="0" labelOnly="1" outline="0" fieldPosition="0">
        <references count="1">
          <reference field="47" count="1">
            <x v="4"/>
          </reference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4DF256-1FEB-48D2-A4EA-7F85AEE7FD79}" name="Tableau croisé dynamique6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3">
  <location ref="G53:H63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x="4"/>
        <item x="3"/>
        <item h="1" x="1"/>
        <item x="7"/>
        <item h="1" x="2"/>
        <item h="1" x="5"/>
        <item h="1" x="0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x="1"/>
        <item h="1"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0"/>
  </rowFields>
  <rowItems count="9"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5">
    <format dxfId="80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81">
      <pivotArea dataOnly="0" labelOnly="1" outline="0" fieldPosition="0">
        <references count="1">
          <reference field="28" count="1">
            <x v="3"/>
          </reference>
        </references>
      </pivotArea>
    </format>
    <format dxfId="82">
      <pivotArea dataOnly="0" labelOnly="1" outline="0" fieldPosition="0">
        <references count="1">
          <reference field="30" count="3">
            <x v="4"/>
            <x v="5"/>
            <x v="7"/>
          </reference>
        </references>
      </pivotArea>
    </format>
    <format dxfId="83">
      <pivotArea dataOnly="0" labelOnly="1" outline="0" fieldPosition="0">
        <references count="1">
          <reference field="30" count="1">
            <x v="22"/>
          </reference>
        </references>
      </pivotArea>
    </format>
    <format dxfId="84">
      <pivotArea dataOnly="0" labelOnly="1" outline="0" fieldPosition="0">
        <references count="1">
          <reference field="30" count="4">
            <x v="4"/>
            <x v="5"/>
            <x v="7"/>
            <x v="9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57D6BD-4EF5-43EF-BD29-54A691054220}" name="Tableau croisé dynamique7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7">
  <location ref="K53:L62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x="4"/>
        <item x="3"/>
        <item h="1" x="1"/>
        <item x="7"/>
        <item h="1" x="2"/>
        <item h="1" x="5"/>
        <item h="1" x="0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h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0"/>
  </rowFields>
  <rowItems count="8">
    <i>
      <x v="8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6">
    <format dxfId="74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28" count="1">
            <x v="3"/>
          </reference>
        </references>
      </pivotArea>
    </format>
    <format dxfId="76">
      <pivotArea dataOnly="0" labelOnly="1" outline="0" fieldPosition="0">
        <references count="1">
          <reference field="30" count="3">
            <x v="4"/>
            <x v="5"/>
            <x v="7"/>
          </reference>
        </references>
      </pivotArea>
    </format>
    <format dxfId="77">
      <pivotArea dataOnly="0" labelOnly="1" outline="0" fieldPosition="0">
        <references count="1">
          <reference field="30" count="1">
            <x v="22"/>
          </reference>
        </references>
      </pivotArea>
    </format>
    <format dxfId="78">
      <pivotArea dataOnly="0" labelOnly="1" outline="0" fieldPosition="0">
        <references count="1">
          <reference field="30" count="1">
            <x v="4"/>
          </reference>
        </references>
      </pivotArea>
    </format>
    <format dxfId="79">
      <pivotArea dataOnly="0" labelOnly="1" outline="0" fieldPosition="0">
        <references count="1">
          <reference field="30" count="2">
            <x v="12"/>
            <x v="14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C7490-7BBF-4163-B554-BE413D42370D}" name="Tableau croisé dynamique8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9">
  <location ref="L93:M105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h="1" x="4"/>
        <item h="1" x="3"/>
        <item x="1"/>
        <item h="1" x="7"/>
        <item h="1" x="2"/>
        <item h="1" x="5"/>
        <item h="1" x="0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h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0"/>
  </rowFields>
  <rowItems count="11">
    <i>
      <x v="4"/>
    </i>
    <i>
      <x v="6"/>
    </i>
    <i>
      <x v="8"/>
    </i>
    <i>
      <x v="10"/>
    </i>
    <i>
      <x v="12"/>
    </i>
    <i>
      <x v="14"/>
    </i>
    <i>
      <x v="15"/>
    </i>
    <i>
      <x v="16"/>
    </i>
    <i>
      <x v="17"/>
    </i>
    <i>
      <x v="19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7">
    <format dxfId="67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28" count="1">
            <x v="3"/>
          </reference>
        </references>
      </pivotArea>
    </format>
    <format dxfId="69">
      <pivotArea dataOnly="0" labelOnly="1" outline="0" fieldPosition="0">
        <references count="1">
          <reference field="30" count="3">
            <x v="4"/>
            <x v="5"/>
            <x v="7"/>
          </reference>
        </references>
      </pivotArea>
    </format>
    <format dxfId="70">
      <pivotArea dataOnly="0" labelOnly="1" outline="0" fieldPosition="0">
        <references count="1">
          <reference field="30" count="1">
            <x v="22"/>
          </reference>
        </references>
      </pivotArea>
    </format>
    <format dxfId="71">
      <pivotArea dataOnly="0" labelOnly="1" outline="0" fieldPosition="0">
        <references count="1">
          <reference field="30" count="1">
            <x v="4"/>
          </reference>
        </references>
      </pivotArea>
    </format>
    <format dxfId="72">
      <pivotArea dataOnly="0" labelOnly="1" outline="0" fieldPosition="0">
        <references count="1">
          <reference field="30" count="2">
            <x v="12"/>
            <x v="14"/>
          </reference>
        </references>
      </pivotArea>
    </format>
    <format dxfId="73">
      <pivotArea dataOnly="0" labelOnly="1" outline="0" fieldPosition="0">
        <references count="1">
          <reference field="30" count="3">
            <x v="12"/>
            <x v="14"/>
            <x v="15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CBE78-B142-4F9C-8A39-2A32C9B5074B}" name="Tableau croisé dynamique9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4">
  <location ref="G93:H104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h="1" x="4"/>
        <item h="1" x="3"/>
        <item x="1"/>
        <item h="1" x="7"/>
        <item h="1" x="2"/>
        <item h="1" x="5"/>
        <item h="1" x="0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x="1"/>
        <item h="1"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30"/>
  </rowFields>
  <rowItems count="10">
    <i>
      <x v="2"/>
    </i>
    <i>
      <x v="3"/>
    </i>
    <i>
      <x v="4"/>
    </i>
    <i>
      <x v="5"/>
    </i>
    <i>
      <x v="7"/>
    </i>
    <i>
      <x v="9"/>
    </i>
    <i>
      <x v="11"/>
    </i>
    <i>
      <x v="13"/>
    </i>
    <i>
      <x v="23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4">
    <format dxfId="63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64">
      <pivotArea dataOnly="0" labelOnly="1" outline="0" fieldPosition="0">
        <references count="1">
          <reference field="28" count="1">
            <x v="3"/>
          </reference>
        </references>
      </pivotArea>
    </format>
    <format dxfId="65">
      <pivotArea dataOnly="0" labelOnly="1" outline="0" fieldPosition="0">
        <references count="1">
          <reference field="30" count="3">
            <x v="4"/>
            <x v="5"/>
            <x v="7"/>
          </reference>
        </references>
      </pivotArea>
    </format>
    <format dxfId="66">
      <pivotArea dataOnly="0" labelOnly="1" outline="0" fieldPosition="0">
        <references count="1">
          <reference field="30" count="1">
            <x v="22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C3B00B-6615-45B1-AC93-FF3E17351734}" name="Tableau croisé dynamique10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2">
  <location ref="B93:C109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h="1" x="4"/>
        <item h="1" x="3"/>
        <item x="1"/>
        <item h="1" x="7"/>
        <item h="1" x="2"/>
        <item h="1" x="5"/>
        <item h="1"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Row" compact="0" outline="0" showAll="0" sortType="descending">
      <items count="15">
        <item x="4"/>
        <item x="6"/>
        <item x="7"/>
        <item x="13"/>
        <item x="2"/>
        <item x="11"/>
        <item x="8"/>
        <item x="3"/>
        <item x="12"/>
        <item x="9"/>
        <item x="1"/>
        <item x="0"/>
        <item x="10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47"/>
  </rowFields>
  <rowItems count="15">
    <i>
      <x v="7"/>
    </i>
    <i>
      <x v="11"/>
    </i>
    <i>
      <x v="10"/>
    </i>
    <i>
      <x/>
    </i>
    <i>
      <x v="4"/>
    </i>
    <i>
      <x v="1"/>
    </i>
    <i>
      <x v="8"/>
    </i>
    <i>
      <x v="12"/>
    </i>
    <i>
      <x v="6"/>
    </i>
    <i>
      <x v="13"/>
    </i>
    <i>
      <x v="9"/>
    </i>
    <i>
      <x v="2"/>
    </i>
    <i>
      <x v="3"/>
    </i>
    <i>
      <x v="5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5">
    <format dxfId="58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28" count="1">
            <x v="3"/>
          </reference>
        </references>
      </pivotArea>
    </format>
    <format dxfId="60">
      <pivotArea dataOnly="0" labelOnly="1" outline="0" fieldPosition="0">
        <references count="1">
          <reference field="47" count="4">
            <x v="0"/>
            <x v="4"/>
            <x v="7"/>
            <x v="11"/>
          </reference>
        </references>
      </pivotArea>
    </format>
    <format dxfId="61">
      <pivotArea dataOnly="0" labelOnly="1" outline="0" fieldPosition="0">
        <references count="1">
          <reference field="47" count="1">
            <x v="4"/>
          </reference>
        </references>
      </pivotArea>
    </format>
    <format dxfId="62">
      <pivotArea dataOnly="0" labelOnly="1" outline="0" fieldPosition="0">
        <references count="1">
          <reference field="47" count="1">
            <x v="10"/>
          </reference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05089A-6886-489F-9819-31CFBD80D650}" name="Tableau croisé dynamique1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 chartFormat="5">
  <location ref="B137:C157" firstHeaderRow="2" firstDataRow="2" firstDataCol="1" rowPageCount="3" colPageCount="1"/>
  <pivotFields count="55">
    <pivotField compact="0" outline="0" showAll="0" defaultSubtotal="0"/>
    <pivotField dataField="1"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 defaultSubtotal="0">
      <items count="8">
        <item h="1" x="6"/>
        <item x="4"/>
        <item x="3"/>
        <item x="1"/>
        <item x="7"/>
        <item h="1" x="2"/>
        <item h="1" x="5"/>
        <item h="1" x="0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x="2"/>
        <item h="1" x="5"/>
        <item h="1" x="4"/>
        <item h="1" x="1"/>
        <item h="1" x="3"/>
        <item h="1" x="0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3">
        <item h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compact="0" outline="0" showAll="0">
      <items count="4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t="default"/>
      </items>
    </pivotField>
  </pivotFields>
  <rowFields count="1">
    <field x="54"/>
  </rowFields>
  <rowItems count="19">
    <i>
      <x v="9"/>
    </i>
    <i>
      <x v="12"/>
    </i>
    <i>
      <x v="15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pageFields count="3">
    <pageField fld="35" hier="-1"/>
    <pageField fld="28" hier="-1"/>
    <pageField fld="31" hier="-1"/>
  </pageFields>
  <dataFields count="1">
    <dataField name="Nombre de DateNaissance" fld="1" subtotal="count" baseField="0" baseItem="0"/>
  </dataFields>
  <formats count="2">
    <format dxfId="56">
      <pivotArea dataOnly="0" labelOnly="1" outline="0" fieldPosition="0">
        <references count="1">
          <reference field="28" count="2">
            <x v="1"/>
            <x v="2"/>
          </reference>
        </references>
      </pivotArea>
    </format>
    <format dxfId="57">
      <pivotArea dataOnly="0" labelOnly="1" outline="0" fieldPosition="0">
        <references count="1">
          <reference field="28" count="1">
            <x v="3"/>
          </reference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A8330D-AB8D-4491-B2D5-A9049BA9D8E3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J420" firstHeaderRow="1" firstDataRow="2" firstDataCol="5" rowPageCount="1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Row" compact="0" outline="0" multipleItemSelectionAllowed="1" showAll="0" defaultSubtotal="0">
      <items count="6">
        <item x="2"/>
        <item h="1" x="5"/>
        <item h="1" x="4"/>
        <item x="1"/>
        <item x="3"/>
        <item x="0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5">
    <field x="0"/>
    <field x="46"/>
    <field x="28"/>
    <field x="31"/>
    <field x="30"/>
  </rowFields>
  <rowItems count="414">
    <i>
      <x v="522"/>
      <x v="129"/>
      <x v="2"/>
      <x v="4"/>
      <x v="4"/>
    </i>
    <i>
      <x v="530"/>
      <x v="24"/>
      <x v="3"/>
      <x/>
      <x v="7"/>
    </i>
    <i>
      <x v="496"/>
      <x v="34"/>
      <x v="3"/>
      <x/>
      <x v="7"/>
    </i>
    <i>
      <x v="667"/>
      <x v="8"/>
      <x v="3"/>
      <x/>
      <x v="7"/>
    </i>
    <i>
      <x v="677"/>
      <x v="74"/>
      <x v="3"/>
      <x/>
      <x v="7"/>
    </i>
    <i>
      <x v="439"/>
      <x v="127"/>
      <x v="3"/>
      <x/>
      <x v="9"/>
    </i>
    <i>
      <x v="275"/>
      <x v="17"/>
      <x v="3"/>
      <x/>
      <x v="5"/>
    </i>
    <i>
      <x v="684"/>
      <x v="4"/>
      <x v="3"/>
      <x/>
      <x v="4"/>
    </i>
    <i>
      <x v="532"/>
      <x v="101"/>
      <x v="6"/>
      <x/>
      <x v="4"/>
    </i>
    <i>
      <x v="214"/>
      <x v="74"/>
      <x v="6"/>
      <x/>
      <x v="5"/>
    </i>
    <i>
      <x v="122"/>
      <x v="116"/>
      <x v="6"/>
      <x/>
      <x v="5"/>
    </i>
    <i>
      <x v="281"/>
      <x v="59"/>
      <x v="2"/>
      <x v="4"/>
      <x v="4"/>
    </i>
    <i>
      <x v="582"/>
      <x v="107"/>
      <x v="6"/>
      <x/>
      <x v="5"/>
    </i>
    <i>
      <x v="512"/>
      <x v="34"/>
      <x v="6"/>
      <x/>
      <x v="4"/>
    </i>
    <i>
      <x v="164"/>
      <x v="22"/>
      <x v="6"/>
      <x/>
      <x v="5"/>
    </i>
    <i>
      <x v="628"/>
      <x v="20"/>
      <x v="6"/>
      <x/>
      <x v="11"/>
    </i>
    <i>
      <x v="368"/>
      <x v="133"/>
      <x v="6"/>
      <x/>
      <x v="5"/>
    </i>
    <i>
      <x v="245"/>
      <x v="109"/>
      <x v="6"/>
      <x/>
      <x v="5"/>
    </i>
    <i>
      <x v="163"/>
      <x v="116"/>
      <x v="6"/>
      <x/>
      <x v="9"/>
    </i>
    <i>
      <x v="48"/>
      <x v="19"/>
      <x v="6"/>
      <x/>
      <x v="5"/>
    </i>
    <i>
      <x v="161"/>
      <x v="83"/>
      <x v="6"/>
      <x/>
      <x v="9"/>
    </i>
    <i>
      <x v="266"/>
      <x v="4"/>
      <x v="6"/>
      <x/>
      <x v="7"/>
    </i>
    <i>
      <x v="19"/>
      <x v="33"/>
      <x v="6"/>
      <x/>
      <x v="3"/>
    </i>
    <i>
      <x v="8"/>
      <x v="127"/>
      <x v="6"/>
      <x/>
      <x v="4"/>
    </i>
    <i>
      <x v="372"/>
      <x v="8"/>
      <x v="6"/>
      <x/>
      <x v="7"/>
    </i>
    <i>
      <x v="153"/>
      <x v="63"/>
      <x v="6"/>
      <x/>
      <x v="3"/>
    </i>
    <i>
      <x v="148"/>
      <x v="29"/>
      <x v="6"/>
      <x/>
      <x v="12"/>
    </i>
    <i>
      <x v="128"/>
      <x v="37"/>
      <x v="6"/>
      <x/>
      <x v="5"/>
    </i>
    <i>
      <x v="402"/>
      <x v="61"/>
      <x v="3"/>
      <x v="5"/>
      <x v="9"/>
    </i>
    <i>
      <x v="689"/>
      <x v="133"/>
      <x v="6"/>
      <x/>
      <x v="5"/>
    </i>
    <i>
      <x v="254"/>
      <x v="128"/>
      <x v="6"/>
      <x/>
      <x v="4"/>
    </i>
    <i>
      <x v="123"/>
      <x v="42"/>
      <x v="6"/>
      <x/>
      <x v="5"/>
    </i>
    <i>
      <x v="742"/>
      <x v="122"/>
      <x v="6"/>
      <x/>
      <x v="9"/>
    </i>
    <i>
      <x v="694"/>
      <x v="129"/>
      <x v="6"/>
      <x/>
      <x v="7"/>
    </i>
    <i>
      <x v="452"/>
      <x v="14"/>
      <x v="6"/>
      <x/>
      <x v="9"/>
    </i>
    <i>
      <x v="334"/>
      <x v="30"/>
      <x v="6"/>
      <x/>
      <x v="4"/>
    </i>
    <i>
      <x v="635"/>
      <x v="89"/>
      <x v="6"/>
      <x/>
      <x v="4"/>
    </i>
    <i>
      <x v="87"/>
      <x v="113"/>
      <x v="6"/>
      <x/>
      <x v="9"/>
    </i>
    <i>
      <x v="239"/>
      <x v="17"/>
      <x v="6"/>
      <x/>
      <x v="7"/>
    </i>
    <i>
      <x v="462"/>
      <x v="4"/>
      <x v="6"/>
      <x/>
      <x v="7"/>
    </i>
    <i>
      <x v="170"/>
      <x v="130"/>
      <x v="6"/>
      <x/>
      <x v="7"/>
    </i>
    <i>
      <x v="392"/>
      <x v="74"/>
      <x v="6"/>
      <x/>
      <x v="9"/>
    </i>
    <i>
      <x v="238"/>
      <x v="50"/>
      <x v="6"/>
      <x/>
      <x v="7"/>
    </i>
    <i>
      <x v="364"/>
      <x v="29"/>
      <x v="6"/>
      <x/>
      <x v="7"/>
    </i>
    <i>
      <x v="623"/>
      <x v="26"/>
      <x v="6"/>
      <x/>
      <x v="5"/>
    </i>
    <i>
      <x v="260"/>
      <x v="48"/>
      <x v="6"/>
      <x/>
      <x v="5"/>
    </i>
    <i>
      <x v="602"/>
      <x v="73"/>
      <x v="6"/>
      <x/>
      <x v="7"/>
    </i>
    <i>
      <x v="57"/>
      <x v="64"/>
      <x v="6"/>
      <x/>
      <x v="4"/>
    </i>
    <i>
      <x v="151"/>
      <x v="104"/>
      <x v="6"/>
      <x/>
      <x v="9"/>
    </i>
    <i>
      <x v="102"/>
      <x v="61"/>
      <x v="6"/>
      <x/>
      <x v="12"/>
    </i>
    <i>
      <x v="236"/>
      <x v="42"/>
      <x v="3"/>
      <x v="5"/>
      <x v="11"/>
    </i>
    <i>
      <x v="244"/>
      <x v="108"/>
      <x v="6"/>
      <x/>
      <x v="5"/>
    </i>
    <i>
      <x v="449"/>
      <x v="74"/>
      <x v="6"/>
      <x/>
      <x v="9"/>
    </i>
    <i>
      <x v="710"/>
      <x v="86"/>
      <x v="3"/>
      <x v="5"/>
      <x v="9"/>
    </i>
    <i>
      <x v="227"/>
      <x v="17"/>
      <x v="6"/>
      <x/>
      <x v="4"/>
    </i>
    <i>
      <x v="21"/>
      <x v="128"/>
      <x v="6"/>
      <x/>
      <x v="4"/>
    </i>
    <i>
      <x v="348"/>
      <x v="8"/>
      <x v="1"/>
      <x/>
      <x v="4"/>
    </i>
    <i>
      <x v="113"/>
      <x v="108"/>
      <x v="6"/>
      <x/>
      <x v="5"/>
    </i>
    <i>
      <x v="764"/>
      <x v="24"/>
      <x v="6"/>
      <x/>
      <x v="9"/>
    </i>
    <i>
      <x v="598"/>
      <x v="29"/>
      <x v="1"/>
      <x/>
      <x v="7"/>
    </i>
    <i>
      <x v="269"/>
      <x v="66"/>
      <x v="1"/>
      <x/>
      <x v="7"/>
    </i>
    <i>
      <x v="217"/>
      <x v="116"/>
      <x v="1"/>
      <x/>
      <x v="5"/>
    </i>
    <i>
      <x v="671"/>
      <x v="104"/>
      <x v="6"/>
      <x/>
      <x v="4"/>
    </i>
    <i>
      <x v="693"/>
      <x v="95"/>
      <x v="6"/>
      <x/>
      <x v="11"/>
    </i>
    <i>
      <x v="77"/>
      <x v="127"/>
      <x v="6"/>
      <x/>
      <x v="11"/>
    </i>
    <i>
      <x v="267"/>
      <x v="125"/>
      <x v="6"/>
      <x/>
      <x v="4"/>
    </i>
    <i>
      <x v="533"/>
      <x v="89"/>
      <x v="1"/>
      <x/>
      <x v="5"/>
    </i>
    <i>
      <x v="626"/>
      <x v="91"/>
      <x v="6"/>
      <x/>
      <x v="4"/>
    </i>
    <i>
      <x v="187"/>
      <x v="75"/>
      <x v="3"/>
      <x v="5"/>
      <x v="4"/>
    </i>
    <i>
      <x v="362"/>
      <x v="35"/>
      <x v="3"/>
      <x v="5"/>
      <x v="4"/>
    </i>
    <i>
      <x v="767"/>
      <x v="72"/>
      <x v="3"/>
      <x v="5"/>
      <x v="12"/>
    </i>
    <i>
      <x v="538"/>
      <x v="20"/>
      <x v="1"/>
      <x/>
      <x v="7"/>
    </i>
    <i>
      <x v="425"/>
      <x v="59"/>
      <x v="6"/>
      <x v="5"/>
      <x v="5"/>
    </i>
    <i>
      <x v="400"/>
      <x v="126"/>
      <x v="1"/>
      <x/>
      <x v="11"/>
    </i>
    <i>
      <x v="126"/>
      <x v="17"/>
      <x v="1"/>
      <x/>
      <x v="11"/>
    </i>
    <i>
      <x v="712"/>
      <x v="20"/>
      <x v="6"/>
      <x v="5"/>
      <x v="9"/>
    </i>
    <i>
      <x v="83"/>
      <x v="52"/>
      <x v="2"/>
      <x v="4"/>
      <x v="4"/>
    </i>
    <i>
      <x v="415"/>
      <x v="87"/>
      <x v="6"/>
      <x v="5"/>
      <x v="4"/>
    </i>
    <i>
      <x v="143"/>
      <x v="118"/>
      <x v="1"/>
      <x/>
      <x v="5"/>
    </i>
    <i>
      <x v="540"/>
      <x v="61"/>
      <x v="1"/>
      <x/>
      <x v="7"/>
    </i>
    <i>
      <x v="220"/>
      <x v="108"/>
      <x v="6"/>
      <x/>
      <x v="2"/>
    </i>
    <i>
      <x v="205"/>
      <x v="126"/>
      <x v="1"/>
      <x/>
      <x v="5"/>
    </i>
    <i>
      <x v="169"/>
      <x v="24"/>
      <x v="6"/>
      <x v="5"/>
      <x v="5"/>
    </i>
    <i>
      <x v="240"/>
      <x v="88"/>
      <x v="6"/>
      <x/>
      <x v="2"/>
    </i>
    <i>
      <x v="691"/>
      <x v="17"/>
      <x v="1"/>
      <x/>
      <x v="7"/>
    </i>
    <i>
      <x v="455"/>
      <x v="34"/>
      <x v="1"/>
      <x/>
      <x v="7"/>
    </i>
    <i>
      <x v="145"/>
      <x v="116"/>
      <x v="1"/>
      <x/>
      <x v="5"/>
    </i>
    <i>
      <x v="548"/>
      <x v="4"/>
      <x v="1"/>
      <x/>
      <x v="7"/>
    </i>
    <i>
      <x v="508"/>
      <x v="73"/>
      <x v="1"/>
      <x/>
      <x v="4"/>
    </i>
    <i>
      <x v="631"/>
      <x v="101"/>
      <x v="1"/>
      <x/>
      <x v="5"/>
    </i>
    <i>
      <x v="231"/>
      <x v="80"/>
      <x v="1"/>
      <x/>
      <x v="4"/>
    </i>
    <i>
      <x v="133"/>
      <x v="50"/>
      <x v="1"/>
      <x/>
      <x v="9"/>
    </i>
    <i>
      <x v="539"/>
      <x v="88"/>
      <x v="1"/>
      <x/>
      <x v="7"/>
    </i>
    <i>
      <x v="650"/>
      <x v="31"/>
      <x v="1"/>
      <x/>
      <x v="4"/>
    </i>
    <i>
      <x v="620"/>
      <x v="133"/>
      <x v="1"/>
      <x/>
      <x v="7"/>
    </i>
    <i>
      <x v="389"/>
      <x v="47"/>
      <x v="6"/>
      <x v="5"/>
      <x v="4"/>
    </i>
    <i>
      <x v="438"/>
      <x v="84"/>
      <x v="2"/>
      <x v="3"/>
      <x v="11"/>
    </i>
    <i>
      <x v="90"/>
      <x v="49"/>
      <x v="1"/>
      <x/>
      <x v="11"/>
    </i>
    <i>
      <x v="278"/>
      <x v="4"/>
      <x v="1"/>
      <x/>
      <x v="5"/>
    </i>
    <i>
      <x v="367"/>
      <x v="126"/>
      <x v="1"/>
      <x/>
      <x v="9"/>
    </i>
    <i>
      <x v="339"/>
      <x v="8"/>
      <x v="1"/>
      <x/>
      <x v="7"/>
    </i>
    <i>
      <x v="666"/>
      <x v="127"/>
      <x v="6"/>
      <x v="5"/>
      <x v="7"/>
    </i>
    <i>
      <x v="36"/>
      <x v="19"/>
      <x v="1"/>
      <x/>
      <x v="5"/>
    </i>
    <i>
      <x v="683"/>
      <x v="73"/>
      <x v="1"/>
      <x/>
      <x v="5"/>
    </i>
    <i>
      <x v="53"/>
      <x v="124"/>
      <x v="1"/>
      <x/>
      <x v="5"/>
    </i>
    <i>
      <x v="612"/>
      <x v="29"/>
      <x v="1"/>
      <x/>
      <x v="5"/>
    </i>
    <i>
      <x v="761"/>
      <x v="30"/>
      <x v="6"/>
      <x v="5"/>
      <x v="5"/>
    </i>
    <i>
      <x v="3"/>
      <x v="140"/>
      <x v="1"/>
      <x/>
      <x v="9"/>
    </i>
    <i>
      <x v="630"/>
      <x v="92"/>
      <x v="1"/>
      <x/>
      <x v="9"/>
    </i>
    <i>
      <x v="599"/>
      <x v="133"/>
      <x v="1"/>
      <x/>
      <x v="7"/>
    </i>
    <i>
      <x v="614"/>
      <x v="4"/>
      <x v="1"/>
      <x/>
      <x v="7"/>
    </i>
    <i>
      <x v="475"/>
      <x v="16"/>
      <x v="1"/>
      <x/>
      <x v="7"/>
    </i>
    <i>
      <x v="513"/>
      <x v="89"/>
      <x v="1"/>
      <x/>
      <x v="7"/>
    </i>
    <i>
      <x v="189"/>
      <x v="110"/>
      <x v="4"/>
      <x/>
      <x v="9"/>
    </i>
    <i>
      <x v="50"/>
      <x v="17"/>
      <x v="1"/>
      <x/>
      <x v="5"/>
    </i>
    <i>
      <x v="103"/>
      <x v="99"/>
      <x v="1"/>
      <x/>
      <x v="3"/>
    </i>
    <i>
      <x v="172"/>
      <x v="107"/>
      <x v="1"/>
      <x/>
      <x v="11"/>
    </i>
    <i>
      <x v="191"/>
      <x v="107"/>
      <x v="1"/>
      <x/>
      <x v="5"/>
    </i>
    <i>
      <x v="247"/>
      <x v="42"/>
      <x v="1"/>
      <x/>
      <x v="4"/>
    </i>
    <i>
      <x v="437"/>
      <x v="136"/>
      <x v="1"/>
      <x/>
      <x v="7"/>
    </i>
    <i>
      <x v="434"/>
      <x v="70"/>
      <x v="1"/>
      <x/>
      <x v="5"/>
    </i>
    <i>
      <x v="224"/>
      <x v="19"/>
      <x v="1"/>
      <x/>
      <x v="5"/>
    </i>
    <i>
      <x v="435"/>
      <x v="78"/>
      <x v="1"/>
      <x/>
      <x v="7"/>
    </i>
    <i>
      <x v="307"/>
      <x v="122"/>
      <x v="1"/>
      <x/>
      <x v="7"/>
    </i>
    <i>
      <x v="285"/>
      <x v="50"/>
      <x v="1"/>
      <x/>
      <x v="7"/>
    </i>
    <i>
      <x v="256"/>
      <x v="75"/>
      <x v="3"/>
      <x v="4"/>
      <x v="3"/>
    </i>
    <i>
      <x v="137"/>
      <x v="74"/>
      <x v="1"/>
      <x/>
      <x v="11"/>
    </i>
    <i>
      <x v="495"/>
      <x v="51"/>
      <x v="1"/>
      <x/>
      <x v="9"/>
    </i>
    <i>
      <x v="6"/>
      <x v="133"/>
      <x v="1"/>
      <x/>
      <x v="5"/>
    </i>
    <i>
      <x v="561"/>
      <x v="121"/>
      <x v="1"/>
      <x/>
      <x v="7"/>
    </i>
    <i>
      <x v="411"/>
      <x v="35"/>
      <x v="6"/>
      <x v="5"/>
      <x v="4"/>
    </i>
    <i>
      <x v="41"/>
      <x v="83"/>
      <x v="1"/>
      <x/>
      <x v="4"/>
    </i>
    <i>
      <x v="760"/>
      <x v="118"/>
      <x v="1"/>
      <x/>
      <x v="5"/>
    </i>
    <i>
      <x v="704"/>
      <x v="4"/>
      <x v="1"/>
      <x/>
      <x v="7"/>
    </i>
    <i>
      <x v="743"/>
      <x v="140"/>
      <x v="1"/>
      <x/>
      <x v="9"/>
    </i>
    <i>
      <x v="335"/>
      <x v="13"/>
      <x v="1"/>
      <x/>
      <x v="7"/>
    </i>
    <i>
      <x v="49"/>
      <x v="125"/>
      <x v="1"/>
      <x/>
      <x v="3"/>
    </i>
    <i>
      <x v="135"/>
      <x v="111"/>
      <x v="1"/>
      <x/>
      <x v="9"/>
    </i>
    <i>
      <x v="463"/>
      <x v="72"/>
      <x v="3"/>
      <x v="3"/>
      <x v="3"/>
    </i>
    <i>
      <x v="86"/>
      <x v="108"/>
      <x v="4"/>
      <x/>
      <x v="5"/>
    </i>
    <i>
      <x v="131"/>
      <x v="79"/>
      <x v="4"/>
      <x/>
      <x v="5"/>
    </i>
    <i>
      <x v="225"/>
      <x v="39"/>
      <x v="6"/>
      <x v="5"/>
      <x v="9"/>
    </i>
    <i>
      <x v="124"/>
      <x v="71"/>
      <x v="1"/>
      <x/>
      <x v="9"/>
    </i>
    <i>
      <x v="35"/>
      <x v="93"/>
      <x v="4"/>
      <x/>
      <x v="7"/>
    </i>
    <i>
      <x v="199"/>
      <x v="129"/>
      <x v="6"/>
      <x v="5"/>
      <x v="4"/>
    </i>
    <i>
      <x v="521"/>
      <x v="137"/>
      <x v="1"/>
      <x/>
      <x v="23"/>
    </i>
    <i>
      <x v="529"/>
      <x v="4"/>
      <x v="1"/>
      <x/>
      <x v="9"/>
    </i>
    <i>
      <x v="697"/>
      <x v="33"/>
      <x v="4"/>
      <x/>
      <x v="7"/>
    </i>
    <i>
      <x v="323"/>
      <x v="21"/>
      <x v="4"/>
      <x/>
      <x v="4"/>
    </i>
    <i>
      <x v="60"/>
      <x v="58"/>
      <x v="1"/>
      <x/>
      <x v="9"/>
    </i>
    <i>
      <x v="204"/>
      <x v="102"/>
      <x v="4"/>
      <x/>
      <x v="7"/>
    </i>
    <i>
      <x v="695"/>
      <x v="74"/>
      <x v="1"/>
      <x/>
      <x v="4"/>
    </i>
    <i>
      <x v="232"/>
      <x v="61"/>
      <x v="1"/>
      <x/>
      <x v="9"/>
    </i>
    <i>
      <x v="454"/>
      <x v="82"/>
      <x v="6"/>
      <x v="5"/>
      <x v="7"/>
    </i>
    <i>
      <x v="110"/>
      <x v="73"/>
      <x v="1"/>
      <x/>
      <x v="3"/>
    </i>
    <i>
      <x v="502"/>
      <x v="24"/>
      <x v="6"/>
      <x v="5"/>
      <x v="7"/>
    </i>
    <i>
      <x v="61"/>
      <x v="139"/>
      <x v="1"/>
      <x/>
      <x v="11"/>
    </i>
    <i>
      <x v="152"/>
      <x v="61"/>
      <x v="1"/>
      <x/>
      <x v="11"/>
    </i>
    <i>
      <x v="261"/>
      <x v="127"/>
      <x v="1"/>
      <x/>
      <x v="11"/>
    </i>
    <i>
      <x v="130"/>
      <x v="47"/>
      <x v="1"/>
      <x/>
      <x v="13"/>
    </i>
    <i>
      <x v="157"/>
      <x v="72"/>
      <x v="1"/>
      <x/>
      <x v="3"/>
    </i>
    <i>
      <x v="570"/>
      <x v="43"/>
      <x v="3"/>
      <x v="4"/>
      <x v="11"/>
    </i>
    <i>
      <x v="558"/>
      <x v="39"/>
      <x v="4"/>
      <x/>
      <x v="4"/>
    </i>
    <i>
      <x v="26"/>
      <x v="10"/>
      <x v="4"/>
      <x/>
      <x v="9"/>
    </i>
    <i>
      <x v="136"/>
      <x v="32"/>
      <x v="4"/>
      <x/>
      <x v="9"/>
    </i>
    <i>
      <x v="250"/>
      <x v="31"/>
      <x v="4"/>
      <x/>
      <x v="7"/>
    </i>
    <i>
      <x v="375"/>
      <x v="123"/>
      <x v="6"/>
      <x v="4"/>
      <x v="4"/>
    </i>
    <i>
      <x v="54"/>
      <x v="30"/>
      <x v="6"/>
      <x v="5"/>
      <x v="5"/>
    </i>
    <i>
      <x v="218"/>
      <x v="133"/>
      <x v="4"/>
      <x/>
      <x v="4"/>
    </i>
    <i>
      <x v="75"/>
      <x v="45"/>
      <x v="6"/>
      <x v="5"/>
      <x v="4"/>
    </i>
    <i>
      <x v="132"/>
      <x v="17"/>
      <x v="6"/>
      <x v="5"/>
      <x v="5"/>
    </i>
    <i>
      <x v="706"/>
      <x v="79"/>
      <x v="4"/>
      <x/>
      <x v="9"/>
    </i>
    <i>
      <x v="46"/>
      <x v="95"/>
      <x v="4"/>
      <x/>
      <x v="7"/>
    </i>
    <i>
      <x v="644"/>
      <x v="110"/>
      <x v="4"/>
      <x/>
      <x v="7"/>
    </i>
    <i>
      <x v="226"/>
      <x v="33"/>
      <x v="4"/>
      <x/>
      <x v="9"/>
    </i>
    <i>
      <x v="317"/>
      <x v="63"/>
      <x v="3"/>
      <x v="4"/>
      <x v="9"/>
    </i>
    <i>
      <x v="222"/>
      <x v="97"/>
      <x v="1"/>
      <x/>
      <x v="3"/>
    </i>
    <i>
      <x v="271"/>
      <x v="122"/>
      <x v="4"/>
      <x/>
      <x v="5"/>
    </i>
    <i>
      <x v="72"/>
      <x v="89"/>
      <x v="4"/>
      <x/>
      <x v="5"/>
    </i>
    <i>
      <x v="171"/>
      <x v="97"/>
      <x v="4"/>
      <x/>
      <x v="9"/>
    </i>
    <i>
      <x v="526"/>
      <x v="114"/>
      <x v="4"/>
      <x/>
      <x v="7"/>
    </i>
    <i>
      <x v="160"/>
      <x v="113"/>
      <x v="4"/>
      <x/>
      <x v="7"/>
    </i>
    <i>
      <x v="125"/>
      <x v="131"/>
      <x v="4"/>
      <x/>
      <x v="12"/>
    </i>
    <i>
      <x v="277"/>
      <x v="63"/>
      <x v="3"/>
      <x v="3"/>
      <x v="5"/>
    </i>
    <i>
      <x v="560"/>
      <x v="67"/>
      <x v="4"/>
      <x/>
      <x v="9"/>
    </i>
    <i>
      <x v="394"/>
      <x v="74"/>
      <x v="1"/>
      <x/>
      <x v="2"/>
    </i>
    <i>
      <x v="445"/>
      <x v="40"/>
      <x v="6"/>
      <x v="5"/>
      <x v="5"/>
    </i>
    <i>
      <x v="273"/>
      <x v="93"/>
      <x v="4"/>
      <x/>
      <x v="12"/>
    </i>
    <i>
      <x v="608"/>
      <x v="71"/>
      <x v="4"/>
      <x/>
      <x v="4"/>
    </i>
    <i>
      <x v="406"/>
      <x v="101"/>
      <x v="4"/>
      <x/>
      <x v="4"/>
    </i>
    <i>
      <x v="194"/>
      <x v="86"/>
      <x v="1"/>
      <x v="5"/>
      <x v="7"/>
    </i>
    <i>
      <x v="156"/>
      <x v="87"/>
      <x v="1"/>
      <x v="5"/>
      <x v="4"/>
    </i>
    <i>
      <x v="366"/>
      <x v="37"/>
      <x v="4"/>
      <x/>
      <x v="9"/>
    </i>
    <i>
      <x v="616"/>
      <x v="80"/>
      <x v="4"/>
      <x/>
      <x v="7"/>
    </i>
    <i>
      <x v="621"/>
      <x v="48"/>
      <x v="4"/>
      <x/>
      <x v="12"/>
    </i>
    <i>
      <x v="679"/>
      <x v="63"/>
      <x v="3"/>
      <x v="3"/>
      <x v="2"/>
    </i>
    <i>
      <x v="374"/>
      <x v="30"/>
      <x v="4"/>
      <x/>
      <x v="9"/>
    </i>
    <i>
      <x v="221"/>
      <x v="52"/>
      <x v="4"/>
      <x/>
      <x v="4"/>
    </i>
    <i>
      <x v="32"/>
      <x v="27"/>
      <x v="6"/>
      <x v="4"/>
      <x v="7"/>
    </i>
    <i>
      <x v="518"/>
      <x v="74"/>
      <x v="4"/>
      <x/>
      <x v="7"/>
    </i>
    <i>
      <x v="121"/>
      <x v="5"/>
      <x v="4"/>
      <x/>
      <x v="4"/>
    </i>
    <i>
      <x v="104"/>
      <x v="9"/>
      <x v="4"/>
      <x/>
      <x v="7"/>
    </i>
    <i>
      <x v="721"/>
      <x v="88"/>
      <x v="3"/>
      <x v="3"/>
      <x v="4"/>
    </i>
    <i>
      <x v="549"/>
      <x v="61"/>
      <x v="4"/>
      <x/>
      <x v="9"/>
    </i>
    <i>
      <x v="617"/>
      <x v="51"/>
      <x v="4"/>
      <x/>
      <x v="12"/>
    </i>
    <i>
      <x v="12"/>
      <x v="65"/>
      <x v="6"/>
      <x v="4"/>
      <x v="4"/>
    </i>
    <i>
      <x v="510"/>
      <x v="4"/>
      <x v="4"/>
      <x/>
      <x v="3"/>
    </i>
    <i>
      <x v="524"/>
      <x v="74"/>
      <x v="3"/>
      <x v="3"/>
      <x v="9"/>
    </i>
    <i>
      <x v="165"/>
      <x v="125"/>
      <x v="1"/>
      <x v="5"/>
      <x v="5"/>
    </i>
    <i>
      <x v="177"/>
      <x v="58"/>
      <x v="4"/>
      <x/>
      <x v="7"/>
    </i>
    <i>
      <x v="416"/>
      <x v="97"/>
      <x v="1"/>
      <x v="5"/>
      <x v="12"/>
    </i>
    <i>
      <x v="141"/>
      <x v="98"/>
      <x v="4"/>
      <x/>
      <x v="3"/>
    </i>
    <i>
      <x v="47"/>
      <x v="39"/>
      <x v="4"/>
      <x/>
      <x v="5"/>
    </i>
    <i>
      <x v="429"/>
      <x v="68"/>
      <x v="6"/>
      <x v="4"/>
      <x v="4"/>
    </i>
    <i>
      <x v="551"/>
      <x v="10"/>
      <x v="4"/>
      <x/>
      <x v="9"/>
    </i>
    <i>
      <x v="241"/>
      <x v="66"/>
      <x v="4"/>
      <x/>
      <x v="13"/>
    </i>
    <i>
      <x v="144"/>
      <x v="33"/>
      <x v="4"/>
      <x/>
      <x v="4"/>
    </i>
    <i>
      <x v="547"/>
      <x v="99"/>
      <x v="4"/>
      <x/>
      <x v="9"/>
    </i>
    <i>
      <x v="460"/>
      <x v="119"/>
      <x v="4"/>
      <x/>
      <x v="9"/>
    </i>
    <i>
      <x v="600"/>
      <x v="112"/>
      <x v="1"/>
      <x v="5"/>
      <x v="4"/>
    </i>
    <i>
      <x v="395"/>
      <x v="119"/>
      <x v="4"/>
      <x/>
      <x v="7"/>
    </i>
    <i>
      <x v="140"/>
      <x v="52"/>
      <x v="4"/>
      <x/>
      <x v="5"/>
    </i>
    <i>
      <x v="84"/>
      <x v="10"/>
      <x v="3"/>
      <x v="3"/>
      <x v="5"/>
    </i>
    <i>
      <x v="398"/>
      <x v="116"/>
      <x v="4"/>
      <x/>
      <x v="7"/>
    </i>
    <i>
      <x v="272"/>
      <x v="46"/>
      <x v="4"/>
      <x/>
      <x v="5"/>
    </i>
    <i>
      <x v="610"/>
      <x v="116"/>
      <x v="4"/>
      <x/>
      <x v="4"/>
    </i>
    <i>
      <x v="739"/>
      <x v="73"/>
      <x v="1"/>
      <x/>
      <x v="23"/>
    </i>
    <i>
      <x v="692"/>
      <x v="58"/>
      <x v="4"/>
      <x/>
      <x v="9"/>
    </i>
    <i>
      <x v="116"/>
      <x v="123"/>
      <x v="4"/>
      <x/>
      <x v="5"/>
    </i>
    <i>
      <x v="674"/>
      <x v="51"/>
      <x v="4"/>
      <x/>
      <x v="5"/>
    </i>
    <i>
      <x v="304"/>
      <x v="33"/>
      <x v="4"/>
      <x/>
      <x v="4"/>
    </i>
    <i>
      <x v="373"/>
      <x v="129"/>
      <x v="4"/>
      <x/>
      <x v="5"/>
    </i>
    <i>
      <x v="503"/>
      <x v="78"/>
      <x v="4"/>
      <x/>
      <x v="7"/>
    </i>
    <i>
      <x v="536"/>
      <x v="89"/>
      <x v="4"/>
      <x/>
      <x v="7"/>
    </i>
    <i>
      <x v="622"/>
      <x v="125"/>
      <x v="6"/>
      <x v="4"/>
      <x v="4"/>
    </i>
    <i>
      <x v="295"/>
      <x v="69"/>
      <x v="4"/>
      <x/>
      <x v="9"/>
    </i>
    <i>
      <x v="263"/>
      <x v="89"/>
      <x v="6"/>
      <x v="4"/>
      <x v="7"/>
    </i>
    <i>
      <x v="229"/>
      <x v="53"/>
      <x v="1"/>
      <x v="5"/>
      <x v="9"/>
    </i>
    <i>
      <x v="705"/>
      <x v="83"/>
      <x v="4"/>
      <x/>
      <x v="23"/>
    </i>
    <i>
      <x v="607"/>
      <x v="34"/>
      <x v="4"/>
      <x/>
      <x v="5"/>
    </i>
    <i>
      <x v="450"/>
      <x v="122"/>
      <x v="1"/>
      <x v="5"/>
      <x v="7"/>
    </i>
    <i>
      <x v="525"/>
      <x v="107"/>
      <x v="4"/>
      <x/>
      <x v="5"/>
    </i>
    <i>
      <x v="541"/>
      <x v="20"/>
      <x v="4"/>
      <x/>
      <x v="7"/>
    </i>
    <i>
      <x v="343"/>
      <x v="60"/>
      <x v="4"/>
      <x/>
      <x v="9"/>
    </i>
    <i>
      <x v="142"/>
      <x v="103"/>
      <x v="6"/>
      <x v="4"/>
      <x v="4"/>
    </i>
    <i>
      <x v="637"/>
      <x v="27"/>
      <x v="1"/>
      <x v="5"/>
      <x v="9"/>
    </i>
    <i>
      <x v="519"/>
      <x v="106"/>
      <x v="4"/>
      <x/>
      <x v="7"/>
    </i>
    <i>
      <x v="457"/>
      <x v="58"/>
      <x v="1"/>
      <x v="5"/>
      <x v="23"/>
    </i>
    <i>
      <x v="587"/>
      <x v="103"/>
      <x v="6"/>
      <x v="4"/>
      <x v="7"/>
    </i>
    <i>
      <x v="376"/>
      <x v="75"/>
      <x v="6"/>
      <x v="4"/>
      <x v="7"/>
    </i>
    <i>
      <x v="344"/>
      <x v="74"/>
      <x v="4"/>
      <x/>
      <x v="9"/>
    </i>
    <i>
      <x v="76"/>
      <x v="132"/>
      <x v="4"/>
      <x/>
      <x v="11"/>
    </i>
    <i>
      <x v="327"/>
      <x v="83"/>
      <x v="1"/>
      <x v="5"/>
      <x v="12"/>
    </i>
    <i>
      <x v="262"/>
      <x v="140"/>
      <x v="4"/>
      <x/>
      <x v="5"/>
    </i>
    <i>
      <x v="365"/>
      <x v="99"/>
      <x v="4"/>
      <x/>
      <x v="5"/>
    </i>
    <i>
      <x v="585"/>
      <x v="83"/>
      <x v="4"/>
      <x/>
      <x v="7"/>
    </i>
    <i>
      <x v="370"/>
      <x v="35"/>
      <x v="1"/>
      <x v="5"/>
      <x v="3"/>
    </i>
    <i>
      <x v="433"/>
      <x v="18"/>
      <x v="4"/>
      <x/>
      <x v="5"/>
    </i>
    <i>
      <x v="193"/>
      <x v="117"/>
      <x v="4"/>
      <x/>
      <x v="4"/>
    </i>
    <i>
      <x v="2"/>
      <x v="117"/>
      <x v="4"/>
      <x/>
      <x v="5"/>
    </i>
    <i>
      <x v="430"/>
      <x v="122"/>
      <x v="6"/>
      <x v="4"/>
      <x v="5"/>
    </i>
    <i>
      <x v="45"/>
      <x v="89"/>
      <x v="6"/>
      <x v="4"/>
      <x v="4"/>
    </i>
    <i>
      <x v="485"/>
      <x v="98"/>
      <x v="1"/>
      <x v="5"/>
      <x v="11"/>
    </i>
    <i>
      <x v="150"/>
      <x v="15"/>
      <x v="3"/>
      <x v="3"/>
      <x v="5"/>
    </i>
    <i>
      <x v="149"/>
      <x v="99"/>
      <x v="7"/>
      <x/>
      <x v="7"/>
    </i>
    <i>
      <x v="134"/>
      <x v="140"/>
      <x v="4"/>
      <x/>
      <x v="4"/>
    </i>
    <i>
      <x v="680"/>
      <x v="61"/>
      <x v="6"/>
      <x v="4"/>
      <x v="4"/>
    </i>
    <i>
      <x v="349"/>
      <x v="83"/>
      <x v="4"/>
      <x/>
      <x v="9"/>
    </i>
    <i>
      <x v="613"/>
      <x v="10"/>
      <x v="1"/>
      <x v="5"/>
      <x v="7"/>
    </i>
    <i>
      <x v="609"/>
      <x v="53"/>
      <x v="1"/>
      <x v="5"/>
      <x v="7"/>
    </i>
    <i>
      <x v="501"/>
      <x v="123"/>
      <x v="6"/>
      <x v="3"/>
      <x v="3"/>
    </i>
    <i>
      <x v="534"/>
      <x v="35"/>
      <x v="4"/>
      <x/>
      <x v="5"/>
    </i>
    <i>
      <x v="535"/>
      <x v="56"/>
      <x v="4"/>
      <x/>
      <x v="4"/>
    </i>
    <i>
      <x v="356"/>
      <x v="100"/>
      <x v="4"/>
      <x/>
      <x v="9"/>
    </i>
    <i>
      <x v="7"/>
      <x v="123"/>
      <x v="6"/>
      <x v="3"/>
      <x v="2"/>
    </i>
    <i>
      <x v="393"/>
      <x v="92"/>
      <x v="4"/>
      <x/>
      <x v="4"/>
    </i>
    <i>
      <x v="298"/>
      <x v="125"/>
      <x v="6"/>
      <x v="4"/>
      <x v="5"/>
    </i>
    <i>
      <x v="325"/>
      <x v="20"/>
      <x v="6"/>
      <x v="4"/>
      <x v="7"/>
    </i>
    <i>
      <x v="264"/>
      <x v="51"/>
      <x v="4"/>
      <x/>
      <x v="23"/>
    </i>
    <i>
      <x v="397"/>
      <x v="92"/>
      <x v="7"/>
      <x/>
      <x v="7"/>
    </i>
    <i>
      <x v="138"/>
      <x v="94"/>
      <x v="6"/>
      <x v="3"/>
      <x v="4"/>
    </i>
    <i>
      <x v="520"/>
      <x v="61"/>
      <x v="4"/>
      <x/>
      <x v="7"/>
    </i>
    <i>
      <x v="403"/>
      <x v="12"/>
      <x v="7"/>
      <x/>
      <x v="9"/>
    </i>
    <i>
      <x v="321"/>
      <x v="123"/>
      <x v="6"/>
      <x v="4"/>
      <x v="11"/>
    </i>
    <i>
      <x v="120"/>
      <x v="58"/>
      <x v="4"/>
      <x v="5"/>
      <x v="5"/>
    </i>
    <i>
      <x v="20"/>
      <x v="22"/>
      <x v="4"/>
      <x/>
      <x v="5"/>
    </i>
    <i>
      <x v="316"/>
      <x v="35"/>
      <x v="1"/>
      <x v="5"/>
      <x v="13"/>
    </i>
    <i>
      <x v="431"/>
      <x v="72"/>
      <x v="6"/>
      <x v="3"/>
      <x v="2"/>
    </i>
    <i>
      <x v="59"/>
      <x v="139"/>
      <x v="4"/>
      <x/>
      <x v="5"/>
    </i>
    <i>
      <x v="476"/>
      <x v="40"/>
      <x v="1"/>
      <x v="5"/>
      <x v="4"/>
    </i>
    <i>
      <x v="178"/>
      <x v="20"/>
      <x v="4"/>
      <x v="5"/>
      <x v="4"/>
    </i>
    <i>
      <x v="690"/>
      <x v="80"/>
      <x v="1"/>
      <x v="4"/>
      <x v="4"/>
    </i>
    <i>
      <x v="681"/>
      <x v="32"/>
      <x v="6"/>
      <x v="3"/>
      <x v="4"/>
    </i>
    <i>
      <x v="593"/>
      <x v="33"/>
      <x v="7"/>
      <x/>
      <x v="9"/>
    </i>
    <i>
      <x v="330"/>
      <x v="59"/>
      <x v="6"/>
      <x v="3"/>
      <x v="2"/>
    </i>
    <i>
      <x v="497"/>
      <x v="61"/>
      <x v="1"/>
      <x v="4"/>
      <x v="3"/>
    </i>
    <i>
      <x v="290"/>
      <x v="40"/>
      <x v="1"/>
      <x v="4"/>
      <x v="7"/>
    </i>
    <i>
      <x v="573"/>
      <x v="4"/>
      <x v="7"/>
      <x/>
      <x v="9"/>
    </i>
    <i>
      <x v="707"/>
      <x v="72"/>
      <x v="6"/>
      <x v="3"/>
      <x v="2"/>
    </i>
    <i>
      <x v="572"/>
      <x v="51"/>
      <x v="7"/>
      <x/>
      <x v="5"/>
    </i>
    <i>
      <x v="751"/>
      <x v="140"/>
      <x v="4"/>
      <x v="5"/>
      <x v="7"/>
    </i>
    <i>
      <x v="528"/>
      <x v="86"/>
      <x v="4"/>
      <x v="5"/>
      <x v="5"/>
    </i>
    <i>
      <x v="563"/>
      <x v="17"/>
      <x v="4"/>
      <x/>
      <x v="3"/>
    </i>
    <i>
      <x v="146"/>
      <x v="62"/>
      <x v="1"/>
      <x v="4"/>
      <x v="9"/>
    </i>
    <i>
      <x v="444"/>
      <x v="7"/>
      <x v="1"/>
      <x v="4"/>
      <x v="5"/>
    </i>
    <i>
      <x v="190"/>
      <x v="56"/>
      <x v="4"/>
      <x v="5"/>
      <x v="9"/>
    </i>
    <i>
      <x v="500"/>
      <x v="61"/>
      <x v="1"/>
      <x v="4"/>
      <x v="5"/>
    </i>
    <i>
      <x v="363"/>
      <x v="103"/>
      <x v="6"/>
      <x v="3"/>
      <x v="2"/>
    </i>
    <i>
      <x v="81"/>
      <x v="118"/>
      <x v="6"/>
      <x v="3"/>
      <x v="5"/>
    </i>
    <i>
      <x v="13"/>
      <x v="32"/>
      <x v="1"/>
      <x v="4"/>
      <x v="7"/>
    </i>
    <i>
      <x v="509"/>
      <x v="112"/>
      <x v="6"/>
      <x v="4"/>
      <x v="22"/>
    </i>
    <i>
      <x v="550"/>
      <x v="5"/>
      <x v="7"/>
      <x/>
      <x v="4"/>
    </i>
    <i>
      <x v="615"/>
      <x v="101"/>
      <x v="4"/>
      <x v="5"/>
      <x v="7"/>
    </i>
    <i>
      <x v="396"/>
      <x v="48"/>
      <x v="1"/>
      <x v="4"/>
      <x v="9"/>
    </i>
    <i>
      <x v="527"/>
      <x v="25"/>
      <x v="1"/>
      <x v="4"/>
      <x v="9"/>
    </i>
    <i>
      <x v="499"/>
      <x v="95"/>
      <x v="1"/>
      <x v="4"/>
      <x v="3"/>
    </i>
    <i>
      <x v="322"/>
      <x v="34"/>
      <x v="1"/>
      <x v="3"/>
      <x v="4"/>
    </i>
    <i>
      <x v="448"/>
      <x v="55"/>
      <x v="4"/>
      <x v="5"/>
      <x v="9"/>
    </i>
    <i>
      <x v="639"/>
      <x v="36"/>
      <x v="1"/>
      <x v="3"/>
      <x v="4"/>
    </i>
    <i>
      <x v="405"/>
      <x v="63"/>
      <x v="4"/>
      <x v="5"/>
      <x v="9"/>
    </i>
    <i>
      <x v="584"/>
      <x v="40"/>
      <x v="6"/>
      <x v="3"/>
      <x v="2"/>
    </i>
    <i>
      <x v="329"/>
      <x v="4"/>
      <x v="1"/>
      <x v="4"/>
      <x v="4"/>
    </i>
    <i>
      <x v="242"/>
      <x v="87"/>
      <x v="6"/>
      <x v="3"/>
      <x v="3"/>
    </i>
    <i>
      <x v="407"/>
      <x v="48"/>
      <x v="1"/>
      <x v="4"/>
      <x v="9"/>
    </i>
    <i>
      <x v="465"/>
      <x v="19"/>
      <x v="4"/>
      <x v="4"/>
      <x v="4"/>
    </i>
    <i>
      <x v="115"/>
      <x v="3"/>
      <x v="1"/>
      <x v="3"/>
      <x v="4"/>
    </i>
    <i>
      <x v="601"/>
      <x v="86"/>
      <x v="1"/>
      <x v="3"/>
      <x v="4"/>
    </i>
    <i>
      <x v="219"/>
      <x v="61"/>
      <x v="4"/>
      <x v="4"/>
      <x v="4"/>
    </i>
    <i>
      <x v="494"/>
      <x v="83"/>
      <x v="4"/>
      <x v="5"/>
      <x v="11"/>
    </i>
    <i>
      <x v="92"/>
      <x v="4"/>
      <x v="4"/>
      <x v="5"/>
      <x v="12"/>
    </i>
    <i>
      <x v="44"/>
      <x v="20"/>
      <x v="1"/>
      <x v="4"/>
      <x v="22"/>
    </i>
    <i>
      <x v="158"/>
      <x v="48"/>
      <x v="1"/>
      <x v="3"/>
      <x v="11"/>
    </i>
    <i>
      <x v="640"/>
      <x v="41"/>
      <x v="4"/>
      <x v="5"/>
      <x v="3"/>
    </i>
    <i>
      <x v="359"/>
      <x v="131"/>
      <x v="7"/>
      <x v="5"/>
      <x v="7"/>
    </i>
    <i>
      <x v="188"/>
      <x v="74"/>
      <x v="7"/>
      <x/>
      <x v="5"/>
    </i>
    <i>
      <x v="414"/>
      <x v="55"/>
      <x v="7"/>
      <x v="5"/>
      <x v="9"/>
    </i>
    <i>
      <x v="453"/>
      <x v="100"/>
      <x v="1"/>
      <x v="3"/>
      <x v="4"/>
    </i>
    <i>
      <x v="268"/>
      <x v="3"/>
      <x v="1"/>
      <x v="4"/>
      <x v="22"/>
    </i>
    <i>
      <x v="159"/>
      <x v="29"/>
      <x v="4"/>
      <x v="4"/>
      <x v="3"/>
    </i>
    <i>
      <x v="401"/>
      <x v="4"/>
      <x v="1"/>
      <x v="3"/>
      <x v="2"/>
    </i>
    <i>
      <x v="139"/>
      <x v="4"/>
      <x v="4"/>
      <x v="4"/>
      <x v="4"/>
    </i>
    <i>
      <x v="661"/>
      <x v="85"/>
      <x v="1"/>
      <x v="4"/>
      <x v="1"/>
    </i>
    <i>
      <x v="361"/>
      <x v="72"/>
      <x v="1"/>
      <x v="3"/>
      <x v="4"/>
    </i>
    <i>
      <x v="487"/>
      <x v="58"/>
      <x v="1"/>
      <x v="3"/>
      <x v="3"/>
    </i>
    <i>
      <x v="16"/>
      <x v="32"/>
      <x v="4"/>
      <x v="4"/>
      <x v="7"/>
    </i>
    <i>
      <x v="114"/>
      <x v="65"/>
      <x v="1"/>
      <x v="3"/>
      <x v="3"/>
    </i>
    <i>
      <x v="504"/>
      <x v="83"/>
      <x v="4"/>
      <x v="4"/>
      <x v="4"/>
    </i>
    <i>
      <x v="676"/>
      <x v="94"/>
      <x v="4"/>
      <x v="4"/>
      <x v="9"/>
    </i>
    <i>
      <x v="306"/>
      <x v="63"/>
      <x v="7"/>
      <x v="5"/>
      <x v="23"/>
    </i>
    <i>
      <x v="424"/>
      <x v="63"/>
      <x v="1"/>
      <x v="3"/>
      <x v="4"/>
    </i>
    <i>
      <x v="167"/>
      <x v="81"/>
      <x v="1"/>
      <x v="3"/>
      <x v="5"/>
    </i>
    <i>
      <x v="319"/>
      <x v="30"/>
      <x v="1"/>
      <x v="3"/>
      <x v="5"/>
    </i>
    <i>
      <x v="38"/>
      <x v="112"/>
      <x v="4"/>
      <x v="3"/>
      <x v="4"/>
    </i>
    <i>
      <x v="456"/>
      <x v="61"/>
      <x v="4"/>
      <x v="4"/>
      <x v="22"/>
    </i>
    <i>
      <x v="168"/>
      <x v="61"/>
      <x v="1"/>
      <x v="3"/>
      <x v="5"/>
    </i>
    <i>
      <x v="619"/>
      <x v="95"/>
      <x v="4"/>
      <x v="4"/>
      <x v="4"/>
    </i>
    <i>
      <x v="1"/>
      <x v="87"/>
      <x v="1"/>
      <x v="3"/>
      <x v="4"/>
    </i>
    <i>
      <x v="234"/>
      <x v="32"/>
      <x v="1"/>
      <x v="3"/>
      <x v="7"/>
    </i>
    <i>
      <x v="426"/>
      <x v="33"/>
      <x v="4"/>
      <x v="4"/>
      <x v="3"/>
    </i>
    <i>
      <x v="634"/>
      <x v="11"/>
      <x v="4"/>
      <x v="4"/>
      <x v="7"/>
    </i>
    <i>
      <x v="493"/>
      <x v="92"/>
      <x v="7"/>
      <x v="5"/>
      <x v="13"/>
    </i>
    <i>
      <x v="423"/>
      <x v="16"/>
      <x v="4"/>
      <x v="4"/>
      <x v="12"/>
    </i>
    <i>
      <x v="265"/>
      <x v="4"/>
      <x v="4"/>
      <x v="4"/>
      <x v="4"/>
    </i>
    <i>
      <x v="766"/>
      <x v="87"/>
      <x v="1"/>
      <x v="3"/>
      <x v="3"/>
    </i>
    <i>
      <x v="388"/>
      <x v="63"/>
      <x v="1"/>
      <x v="3"/>
      <x v="2"/>
    </i>
    <i>
      <x v="410"/>
      <x v="102"/>
      <x v="4"/>
      <x v="3"/>
      <x v="4"/>
    </i>
    <i>
      <x v="436"/>
      <x v="81"/>
      <x v="4"/>
      <x v="3"/>
      <x v="2"/>
    </i>
    <i>
      <x v="486"/>
      <x v="58"/>
      <x v="4"/>
      <x v="3"/>
      <x v="9"/>
    </i>
    <i>
      <x v="173"/>
      <x v="98"/>
      <x v="4"/>
      <x v="3"/>
      <x v="5"/>
    </i>
    <i>
      <x v="109"/>
      <x v="32"/>
      <x v="4"/>
      <x v="3"/>
      <x v="5"/>
    </i>
    <i>
      <x v="176"/>
      <x v="1"/>
      <x v="4"/>
      <x v="3"/>
      <x v="4"/>
    </i>
    <i>
      <x v="71"/>
      <x v="30"/>
      <x v="4"/>
      <x v="3"/>
      <x v="9"/>
    </i>
    <i>
      <x v="88"/>
      <x v="83"/>
      <x v="4"/>
      <x v="3"/>
      <x v="5"/>
    </i>
    <i>
      <x v="96"/>
      <x v="30"/>
      <x v="4"/>
      <x v="3"/>
      <x v="22"/>
    </i>
    <i>
      <x v="175"/>
      <x v="83"/>
      <x v="7"/>
      <x v="3"/>
      <x v="5"/>
    </i>
    <i>
      <x v="186"/>
      <x v="138"/>
      <x v="4"/>
      <x v="3"/>
      <x v="1"/>
    </i>
    <i>
      <x v="371"/>
      <x v="92"/>
      <x v="4"/>
      <x v="3"/>
      <x v="2"/>
    </i>
    <i>
      <x v="33"/>
      <x v="114"/>
      <x v="4"/>
      <x v="3"/>
      <x v="1"/>
    </i>
    <i>
      <x v="155"/>
      <x v="131"/>
      <x v="5"/>
      <x/>
      <x v="9"/>
    </i>
    <i>
      <x v="731"/>
      <x v="113"/>
      <x v="5"/>
      <x/>
      <x v="5"/>
    </i>
    <i>
      <x v="443"/>
      <x v="108"/>
      <x v="5"/>
      <x v="3"/>
      <x v="2"/>
    </i>
    <i>
      <x v="672"/>
      <x v="100"/>
      <x v="5"/>
      <x v="5"/>
      <x v="11"/>
    </i>
    <i>
      <x v="9"/>
      <x v="16"/>
      <x v="5"/>
      <x v="5"/>
      <x v="7"/>
    </i>
    <i>
      <x v="404"/>
      <x v="140"/>
      <x v="5"/>
      <x/>
      <x v="4"/>
    </i>
    <i>
      <x v="42"/>
      <x v="27"/>
      <x v="5"/>
      <x/>
      <x v="5"/>
    </i>
    <i>
      <x v="34"/>
      <x v="18"/>
      <x v="5"/>
      <x/>
      <x v="9"/>
    </i>
    <i>
      <x v="384"/>
      <x v="57"/>
      <x v="5"/>
      <x v="3"/>
      <x v="5"/>
    </i>
    <i>
      <x v="643"/>
      <x v="100"/>
      <x v="5"/>
      <x/>
      <x v="9"/>
    </i>
    <i>
      <x v="746"/>
      <x v="127"/>
      <x v="5"/>
      <x v="5"/>
      <x v="5"/>
    </i>
    <i>
      <x v="523"/>
      <x v="140"/>
      <x v="5"/>
      <x/>
      <x v="5"/>
    </i>
    <i>
      <x v="147"/>
      <x v="62"/>
      <x v="5"/>
      <x v="5"/>
      <x v="3"/>
    </i>
    <i>
      <x v="511"/>
      <x v="34"/>
      <x v="5"/>
      <x/>
      <x v="11"/>
    </i>
    <i>
      <x v="27"/>
      <x v="37"/>
      <x v="5"/>
      <x v="5"/>
      <x v="2"/>
    </i>
    <i>
      <x v="166"/>
      <x v="61"/>
      <x v="5"/>
      <x/>
      <x v="13"/>
    </i>
    <i>
      <x v="230"/>
      <x v="111"/>
      <x v="5"/>
      <x/>
      <x v="5"/>
    </i>
    <i>
      <x v="91"/>
      <x v="71"/>
      <x v="5"/>
      <x/>
      <x v="5"/>
    </i>
    <i>
      <x v="428"/>
      <x v="140"/>
      <x v="5"/>
      <x/>
      <x v="7"/>
    </i>
    <i>
      <x v="537"/>
      <x v="95"/>
      <x v="5"/>
      <x/>
      <x v="7"/>
    </i>
    <i>
      <x v="659"/>
      <x v="75"/>
      <x v="5"/>
      <x v="4"/>
      <x v="7"/>
    </i>
    <i>
      <x v="738"/>
      <x v="39"/>
      <x v="5"/>
      <x/>
      <x v="9"/>
    </i>
    <i>
      <x v="675"/>
      <x v="121"/>
      <x v="5"/>
      <x v="5"/>
      <x v="4"/>
    </i>
    <i>
      <x v="233"/>
      <x v="129"/>
      <x v="5"/>
      <x v="5"/>
      <x v="4"/>
    </i>
    <i>
      <x v="645"/>
      <x v="32"/>
      <x v="5"/>
      <x v="5"/>
      <x v="12"/>
    </i>
    <i>
      <x v="488"/>
      <x v="127"/>
      <x v="5"/>
      <x/>
      <x v="3"/>
    </i>
    <i>
      <x v="56"/>
      <x v="32"/>
      <x v="5"/>
      <x v="4"/>
      <x v="7"/>
    </i>
    <i>
      <x v="514"/>
      <x v="29"/>
      <x v="5"/>
      <x/>
      <x v="7"/>
    </i>
    <i>
      <x v="660"/>
      <x v="33"/>
      <x v="5"/>
      <x/>
      <x v="5"/>
    </i>
    <i>
      <x v="636"/>
      <x v="46"/>
      <x v="5"/>
      <x/>
      <x v="9"/>
    </i>
    <i>
      <x v="127"/>
      <x v="89"/>
      <x v="5"/>
      <x v="3"/>
      <x v="3"/>
    </i>
    <i>
      <x v="360"/>
      <x v="18"/>
      <x v="5"/>
      <x/>
      <x v="2"/>
    </i>
    <i>
      <x v="243"/>
      <x v="134"/>
      <x v="5"/>
      <x/>
      <x v="3"/>
    </i>
    <i>
      <x v="324"/>
      <x v="38"/>
      <x v="5"/>
      <x/>
      <x v="23"/>
    </i>
    <i>
      <x v="408"/>
      <x v="75"/>
      <x v="5"/>
      <x/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5" item="0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2">
    <format dxfId="17">
      <pivotArea outline="0" fieldPosition="0">
        <references count="1">
          <reference field="4294967294" count="1" selected="0">
            <x v="3"/>
          </reference>
        </references>
      </pivotArea>
    </format>
    <format dxfId="15">
      <pivotArea outline="0" fieldPosition="0">
        <references count="6">
          <reference field="4294967294" count="1" selected="0">
            <x v="3"/>
          </reference>
          <reference field="0" count="3" selected="0">
            <x v="102"/>
            <x v="151"/>
            <x v="236"/>
          </reference>
          <reference field="28" count="2" selected="0">
            <x v="3"/>
            <x v="6"/>
          </reference>
          <reference field="30" count="3" selected="0">
            <x v="9"/>
            <x v="11"/>
            <x v="12"/>
          </reference>
          <reference field="31" count="2" selected="0">
            <x v="0"/>
            <x v="5"/>
          </reference>
          <reference field="46" count="3" selected="0">
            <x v="42"/>
            <x v="61"/>
            <x v="10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D75D82-E689-43C3-9136-933AEC2D7329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J268" firstHeaderRow="1" firstDataRow="2" firstDataCol="5" rowPageCount="1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Row" compact="0" outline="0" multipleItemSelectionAllowed="1" showAll="0" defaultSubtotal="0">
      <items count="6">
        <item x="2"/>
        <item h="1" x="5"/>
        <item h="1" x="4"/>
        <item x="1"/>
        <item x="3"/>
        <item x="0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5">
    <field x="0"/>
    <field x="46"/>
    <field x="28"/>
    <field x="31"/>
    <field x="30"/>
  </rowFields>
  <rowItems count="262">
    <i>
      <x v="98"/>
      <x v="61"/>
      <x v="3"/>
      <x/>
      <x v="17"/>
    </i>
    <i>
      <x v="753"/>
      <x v="102"/>
      <x v="3"/>
      <x/>
      <x v="16"/>
    </i>
    <i>
      <x v="246"/>
      <x v="61"/>
      <x v="6"/>
      <x/>
      <x v="12"/>
    </i>
    <i>
      <x v="479"/>
      <x v="4"/>
      <x v="6"/>
      <x/>
      <x v="12"/>
    </i>
    <i>
      <x v="758"/>
      <x v="89"/>
      <x v="6"/>
      <x/>
      <x v="12"/>
    </i>
    <i>
      <x v="291"/>
      <x v="100"/>
      <x v="6"/>
      <x/>
      <x v="12"/>
    </i>
    <i>
      <x v="736"/>
      <x v="20"/>
      <x v="6"/>
      <x/>
      <x v="10"/>
    </i>
    <i>
      <x v="97"/>
      <x v="87"/>
      <x v="6"/>
      <x/>
      <x v="15"/>
    </i>
    <i>
      <x v="340"/>
      <x v="95"/>
      <x v="6"/>
      <x/>
      <x v="14"/>
    </i>
    <i>
      <x v="106"/>
      <x v="103"/>
      <x v="6"/>
      <x/>
      <x v="17"/>
    </i>
    <i>
      <x v="341"/>
      <x v="127"/>
      <x v="6"/>
      <x/>
      <x v="10"/>
    </i>
    <i>
      <x v="655"/>
      <x v="24"/>
      <x v="3"/>
      <x v="5"/>
      <x v="12"/>
    </i>
    <i>
      <x v="665"/>
      <x v="61"/>
      <x v="6"/>
      <x/>
      <x v="15"/>
    </i>
    <i>
      <x v="553"/>
      <x v="25"/>
      <x v="6"/>
      <x/>
      <x v="14"/>
    </i>
    <i>
      <x v="118"/>
      <x v="118"/>
      <x v="6"/>
      <x/>
      <x v="10"/>
    </i>
    <i>
      <x v="70"/>
      <x v="24"/>
      <x v="6"/>
      <x/>
      <x v="8"/>
    </i>
    <i>
      <x v="728"/>
      <x v="50"/>
      <x v="6"/>
      <x/>
      <x v="14"/>
    </i>
    <i>
      <x v="4"/>
      <x v="4"/>
      <x v="6"/>
      <x/>
      <x v="12"/>
    </i>
    <i>
      <x v="711"/>
      <x v="58"/>
      <x v="6"/>
      <x/>
      <x v="14"/>
    </i>
    <i>
      <x v="309"/>
      <x v="108"/>
      <x v="6"/>
      <x/>
      <x v="12"/>
    </i>
    <i>
      <x v="754"/>
      <x v="83"/>
      <x v="6"/>
      <x/>
      <x v="12"/>
    </i>
    <i>
      <x v="718"/>
      <x v="4"/>
      <x v="6"/>
      <x/>
      <x v="14"/>
    </i>
    <i>
      <x v="702"/>
      <x v="133"/>
      <x v="1"/>
      <x/>
      <x v="12"/>
    </i>
    <i>
      <x v="701"/>
      <x v="99"/>
      <x v="1"/>
      <x/>
      <x v="12"/>
    </i>
    <i>
      <x v="211"/>
      <x v="102"/>
      <x v="6"/>
      <x/>
      <x v="15"/>
    </i>
    <i>
      <x v="478"/>
      <x v="38"/>
      <x v="1"/>
      <x/>
      <x v="12"/>
    </i>
    <i>
      <x v="252"/>
      <x v="24"/>
      <x v="1"/>
      <x/>
      <x v="15"/>
    </i>
    <i>
      <x v="351"/>
      <x v="24"/>
      <x v="1"/>
      <x/>
      <x v="14"/>
    </i>
    <i>
      <x v="338"/>
      <x v="107"/>
      <x v="1"/>
      <x/>
      <x v="10"/>
    </i>
    <i>
      <x v="336"/>
      <x v="114"/>
      <x v="1"/>
      <x/>
      <x v="12"/>
    </i>
    <i>
      <x v="729"/>
      <x v="129"/>
      <x v="1"/>
      <x/>
      <x v="12"/>
    </i>
    <i>
      <x v="197"/>
      <x v="140"/>
      <x v="1"/>
      <x/>
      <x v="17"/>
    </i>
    <i>
      <x v="350"/>
      <x v="61"/>
      <x v="1"/>
      <x/>
      <x v="12"/>
    </i>
    <i>
      <x v="23"/>
      <x v="99"/>
      <x v="1"/>
      <x/>
      <x v="14"/>
    </i>
    <i>
      <x v="64"/>
      <x v="5"/>
      <x v="1"/>
      <x/>
      <x v="16"/>
    </i>
    <i>
      <x v="699"/>
      <x v="92"/>
      <x v="1"/>
      <x/>
      <x v="15"/>
    </i>
    <i>
      <x v="567"/>
      <x v="89"/>
      <x v="1"/>
      <x/>
      <x v="15"/>
    </i>
    <i>
      <x v="5"/>
      <x v="100"/>
      <x v="6"/>
      <x v="5"/>
      <x v="10"/>
    </i>
    <i>
      <x v="627"/>
      <x v="130"/>
      <x v="1"/>
      <x/>
      <x v="15"/>
    </i>
    <i>
      <x v="22"/>
      <x v="104"/>
      <x v="1"/>
      <x/>
      <x v="14"/>
    </i>
    <i>
      <x v="207"/>
      <x v="73"/>
      <x v="1"/>
      <x/>
      <x v="10"/>
    </i>
    <i>
      <x v="346"/>
      <x v="140"/>
      <x v="1"/>
      <x/>
      <x v="12"/>
    </i>
    <i>
      <x v="210"/>
      <x v="17"/>
      <x v="1"/>
      <x/>
      <x v="14"/>
    </i>
    <i>
      <x v="597"/>
      <x v="61"/>
      <x v="1"/>
      <x/>
      <x v="15"/>
    </i>
    <i>
      <x v="385"/>
      <x v="118"/>
      <x v="1"/>
      <x/>
      <x v="12"/>
    </i>
    <i>
      <x v="206"/>
      <x v="129"/>
      <x v="1"/>
      <x/>
      <x v="14"/>
    </i>
    <i>
      <x v="58"/>
      <x v="20"/>
      <x v="1"/>
      <x/>
      <x v="10"/>
    </i>
    <i>
      <x v="506"/>
      <x v="83"/>
      <x v="6"/>
      <x v="5"/>
      <x v="14"/>
    </i>
    <i>
      <x v="745"/>
      <x v="48"/>
      <x v="1"/>
      <x/>
      <x v="15"/>
    </i>
    <i>
      <x v="740"/>
      <x v="34"/>
      <x v="1"/>
      <x/>
      <x v="10"/>
    </i>
    <i>
      <x v="203"/>
      <x v="20"/>
      <x v="1"/>
      <x/>
      <x v="6"/>
    </i>
    <i>
      <x v="18"/>
      <x v="19"/>
      <x v="1"/>
      <x/>
      <x v="12"/>
    </i>
    <i>
      <x v="352"/>
      <x v="58"/>
      <x v="1"/>
      <x/>
      <x v="12"/>
    </i>
    <i>
      <x v="515"/>
      <x v="2"/>
      <x v="1"/>
      <x/>
      <x v="12"/>
    </i>
    <i>
      <x v="39"/>
      <x v="53"/>
      <x v="4"/>
      <x/>
      <x v="8"/>
    </i>
    <i>
      <x v="709"/>
      <x v="83"/>
      <x v="6"/>
      <x v="5"/>
      <x v="12"/>
    </i>
    <i>
      <x v="703"/>
      <x v="61"/>
      <x v="1"/>
      <x/>
      <x v="8"/>
    </i>
    <i>
      <x v="62"/>
      <x v="97"/>
      <x v="1"/>
      <x/>
      <x v="8"/>
    </i>
    <i>
      <x v="686"/>
      <x v="74"/>
      <x v="1"/>
      <x/>
      <x v="12"/>
    </i>
    <i>
      <x v="301"/>
      <x v="127"/>
      <x v="1"/>
      <x/>
      <x v="12"/>
    </i>
    <i>
      <x v="685"/>
      <x v="133"/>
      <x v="1"/>
      <x/>
      <x v="14"/>
    </i>
    <i>
      <x v="733"/>
      <x v="4"/>
      <x v="1"/>
      <x/>
      <x v="12"/>
    </i>
    <i>
      <x v="28"/>
      <x v="4"/>
      <x v="1"/>
      <x/>
      <x v="12"/>
    </i>
    <i>
      <x v="73"/>
      <x v="50"/>
      <x v="1"/>
      <x/>
      <x v="15"/>
    </i>
    <i>
      <x v="566"/>
      <x v="100"/>
      <x v="1"/>
      <x/>
      <x v="14"/>
    </i>
    <i>
      <x v="99"/>
      <x v="98"/>
      <x v="4"/>
      <x/>
      <x v="8"/>
    </i>
    <i>
      <x v="387"/>
      <x v="140"/>
      <x v="4"/>
      <x/>
      <x v="12"/>
    </i>
    <i>
      <x v="24"/>
      <x/>
      <x v="4"/>
      <x/>
      <x v="10"/>
    </i>
    <i>
      <x v="303"/>
      <x v="19"/>
      <x v="1"/>
      <x v="5"/>
      <x v="10"/>
    </i>
    <i>
      <x v="333"/>
      <x v="29"/>
      <x v="1"/>
      <x/>
      <x v="14"/>
    </i>
    <i>
      <x v="69"/>
      <x v="61"/>
      <x v="6"/>
      <x v="5"/>
      <x v="12"/>
    </i>
    <i>
      <x v="594"/>
      <x v="130"/>
      <x v="1"/>
      <x/>
      <x v="16"/>
    </i>
    <i>
      <x v="480"/>
      <x v="52"/>
      <x v="6"/>
      <x v="5"/>
      <x v="6"/>
    </i>
    <i>
      <x v="651"/>
      <x v="114"/>
      <x v="4"/>
      <x/>
      <x v="12"/>
    </i>
    <i>
      <x v="749"/>
      <x v="19"/>
      <x v="1"/>
      <x/>
      <x v="16"/>
    </i>
    <i>
      <x v="345"/>
      <x v="30"/>
      <x v="1"/>
      <x/>
      <x v="15"/>
    </i>
    <i>
      <x v="648"/>
      <x v="89"/>
      <x v="6"/>
      <x v="5"/>
      <x v="12"/>
    </i>
    <i>
      <x v="646"/>
      <x v="127"/>
      <x v="4"/>
      <x/>
      <x v="12"/>
    </i>
    <i>
      <x v="14"/>
      <x v="111"/>
      <x v="1"/>
      <x/>
      <x v="6"/>
    </i>
    <i>
      <x v="181"/>
      <x v="30"/>
      <x v="1"/>
      <x/>
      <x v="6"/>
    </i>
    <i>
      <x v="180"/>
      <x v="87"/>
      <x v="1"/>
      <x/>
      <x v="16"/>
    </i>
    <i>
      <x v="557"/>
      <x v="133"/>
      <x v="4"/>
      <x/>
      <x v="14"/>
    </i>
    <i>
      <x v="337"/>
      <x v="108"/>
      <x v="1"/>
      <x/>
      <x v="16"/>
    </i>
    <i>
      <x v="716"/>
      <x v="73"/>
      <x v="4"/>
      <x/>
      <x v="10"/>
    </i>
    <i>
      <x v="312"/>
      <x v="116"/>
      <x v="4"/>
      <x/>
      <x v="8"/>
    </i>
    <i>
      <x v="719"/>
      <x v="17"/>
      <x v="4"/>
      <x/>
      <x v="14"/>
    </i>
    <i>
      <x v="747"/>
      <x v="132"/>
      <x v="1"/>
      <x/>
      <x v="16"/>
    </i>
    <i>
      <x v="80"/>
      <x v="132"/>
      <x v="4"/>
      <x/>
      <x v="12"/>
    </i>
    <i>
      <x v="314"/>
      <x v="38"/>
      <x v="1"/>
      <x v="5"/>
      <x v="12"/>
    </i>
    <i>
      <x v="63"/>
      <x v="73"/>
      <x v="1"/>
      <x/>
      <x v="19"/>
    </i>
    <i>
      <x v="670"/>
      <x v="42"/>
      <x v="4"/>
      <x/>
      <x v="14"/>
    </i>
    <i>
      <x v="355"/>
      <x v="23"/>
      <x v="4"/>
      <x/>
      <x v="14"/>
    </i>
    <i>
      <x v="82"/>
      <x v="61"/>
      <x v="4"/>
      <x/>
      <x v="15"/>
    </i>
    <i>
      <x v="89"/>
      <x v="133"/>
      <x v="4"/>
      <x/>
      <x v="8"/>
    </i>
    <i>
      <x v="625"/>
      <x v="125"/>
      <x v="4"/>
      <x/>
      <x v="10"/>
    </i>
    <i>
      <x v="259"/>
      <x v="123"/>
      <x v="1"/>
      <x/>
      <x v="4"/>
    </i>
    <i>
      <x v="380"/>
      <x v="30"/>
      <x v="4"/>
      <x/>
      <x v="10"/>
    </i>
    <i>
      <x v="274"/>
      <x v="105"/>
      <x v="4"/>
      <x/>
      <x v="14"/>
    </i>
    <i>
      <x v="467"/>
      <x v="13"/>
      <x v="4"/>
      <x/>
      <x v="14"/>
    </i>
    <i>
      <x v="11"/>
      <x v="73"/>
      <x v="3"/>
      <x v="4"/>
      <x v="12"/>
    </i>
    <i>
      <x v="300"/>
      <x v="47"/>
      <x v="4"/>
      <x/>
      <x v="10"/>
    </i>
    <i>
      <x v="15"/>
      <x v="52"/>
      <x v="4"/>
      <x/>
      <x v="10"/>
    </i>
    <i>
      <x v="578"/>
      <x v="127"/>
      <x v="4"/>
      <x/>
      <x v="12"/>
    </i>
    <i>
      <x v="108"/>
      <x v="80"/>
      <x v="4"/>
      <x/>
      <x v="14"/>
    </i>
    <i>
      <x v="606"/>
      <x v="32"/>
      <x v="3"/>
      <x v="4"/>
      <x v="14"/>
    </i>
    <i>
      <x v="654"/>
      <x v="108"/>
      <x v="4"/>
      <x/>
      <x v="14"/>
    </i>
    <i>
      <x v="741"/>
      <x v="124"/>
      <x v="4"/>
      <x/>
      <x v="10"/>
    </i>
    <i>
      <x v="546"/>
      <x v="39"/>
      <x v="4"/>
      <x/>
      <x v="15"/>
    </i>
    <i>
      <x v="720"/>
      <x v="58"/>
      <x v="1"/>
      <x v="5"/>
      <x v="14"/>
    </i>
    <i>
      <x v="237"/>
      <x v="63"/>
      <x v="4"/>
      <x/>
      <x v="14"/>
    </i>
    <i>
      <x v="66"/>
      <x v="92"/>
      <x v="4"/>
      <x/>
      <x v="10"/>
    </i>
    <i>
      <x v="399"/>
      <x v="48"/>
      <x v="4"/>
      <x/>
      <x v="12"/>
    </i>
    <i>
      <x v="93"/>
      <x v="125"/>
      <x v="6"/>
      <x v="4"/>
      <x v="10"/>
    </i>
    <i>
      <x v="308"/>
      <x v="83"/>
      <x v="1"/>
      <x v="5"/>
      <x v="16"/>
    </i>
    <i>
      <x v="297"/>
      <x v="38"/>
      <x v="4"/>
      <x/>
      <x v="10"/>
    </i>
    <i>
      <x v="202"/>
      <x v="44"/>
      <x v="4"/>
      <x/>
      <x v="10"/>
    </i>
    <i>
      <x v="543"/>
      <x v="32"/>
      <x v="4"/>
      <x/>
      <x v="8"/>
    </i>
    <i>
      <x v="94"/>
      <x v="92"/>
      <x v="4"/>
      <x/>
      <x v="8"/>
    </i>
    <i>
      <x v="208"/>
      <x v="9"/>
      <x v="1"/>
      <x v="5"/>
      <x v="10"/>
    </i>
    <i>
      <x v="101"/>
      <x v="110"/>
      <x v="4"/>
      <x/>
      <x v="15"/>
    </i>
    <i>
      <x v="588"/>
      <x v="92"/>
      <x v="6"/>
      <x v="4"/>
      <x v="10"/>
    </i>
    <i>
      <x v="293"/>
      <x v="67"/>
      <x v="4"/>
      <x/>
      <x v="14"/>
    </i>
    <i>
      <x v="100"/>
      <x v="5"/>
      <x v="1"/>
      <x v="5"/>
      <x v="8"/>
    </i>
    <i>
      <x v="198"/>
      <x v="80"/>
      <x v="4"/>
      <x/>
      <x v="14"/>
    </i>
    <i>
      <x v="595"/>
      <x v="4"/>
      <x v="4"/>
      <x/>
      <x v="10"/>
    </i>
    <i>
      <x v="386"/>
      <x v="105"/>
      <x v="4"/>
      <x/>
      <x v="12"/>
    </i>
    <i>
      <x v="95"/>
      <x v="6"/>
      <x v="1"/>
      <x v="5"/>
      <x v="14"/>
    </i>
    <i>
      <x v="464"/>
      <x v="33"/>
      <x v="1"/>
      <x v="5"/>
      <x v="10"/>
    </i>
    <i>
      <x v="727"/>
      <x v="103"/>
      <x v="6"/>
      <x v="4"/>
      <x v="10"/>
    </i>
    <i>
      <x v="379"/>
      <x v="54"/>
      <x v="4"/>
      <x/>
      <x v="12"/>
    </i>
    <i>
      <x v="562"/>
      <x v="137"/>
      <x v="3"/>
      <x v="3"/>
      <x v="8"/>
    </i>
    <i>
      <x v="441"/>
      <x v="67"/>
      <x v="4"/>
      <x/>
      <x v="12"/>
    </i>
    <i>
      <x v="756"/>
      <x v="111"/>
      <x v="4"/>
      <x/>
      <x v="6"/>
    </i>
    <i>
      <x v="592"/>
      <x v="83"/>
      <x v="4"/>
      <x/>
      <x v="12"/>
    </i>
    <i>
      <x v="310"/>
      <x v="32"/>
      <x v="1"/>
      <x v="5"/>
      <x v="10"/>
    </i>
    <i>
      <x v="652"/>
      <x v="38"/>
      <x v="4"/>
      <x/>
      <x v="14"/>
    </i>
    <i>
      <x v="37"/>
      <x v="31"/>
      <x v="4"/>
      <x/>
      <x v="6"/>
    </i>
    <i>
      <x v="581"/>
      <x v="33"/>
      <x v="4"/>
      <x/>
      <x v="12"/>
    </i>
    <i>
      <x v="469"/>
      <x v="58"/>
      <x v="2"/>
      <x v="3"/>
      <x v="4"/>
    </i>
    <i>
      <x v="420"/>
      <x v="99"/>
      <x v="1"/>
      <x v="5"/>
      <x v="6"/>
    </i>
    <i>
      <x v="212"/>
      <x v="20"/>
      <x v="7"/>
      <x/>
      <x v="10"/>
    </i>
    <i>
      <x v="568"/>
      <x v="50"/>
      <x v="4"/>
      <x/>
      <x v="16"/>
    </i>
    <i>
      <x v="209"/>
      <x v="108"/>
      <x v="4"/>
      <x/>
      <x v="14"/>
    </i>
    <i>
      <x v="657"/>
      <x v="111"/>
      <x v="4"/>
      <x/>
      <x v="15"/>
    </i>
    <i>
      <x v="759"/>
      <x v="89"/>
      <x v="7"/>
      <x/>
      <x v="12"/>
    </i>
    <i>
      <x v="708"/>
      <x v="132"/>
      <x v="4"/>
      <x/>
      <x v="14"/>
    </i>
    <i>
      <x v="565"/>
      <x v="127"/>
      <x v="4"/>
      <x/>
      <x v="15"/>
    </i>
    <i>
      <x v="564"/>
      <x v="32"/>
      <x v="1"/>
      <x v="5"/>
      <x v="10"/>
    </i>
    <i>
      <x v="656"/>
      <x v="116"/>
      <x v="7"/>
      <x/>
      <x v="10"/>
    </i>
    <i>
      <x v="311"/>
      <x v="61"/>
      <x v="4"/>
      <x/>
      <x v="12"/>
    </i>
    <i>
      <x v="381"/>
      <x v="26"/>
      <x v="4"/>
      <x/>
      <x v="17"/>
    </i>
    <i>
      <x v="472"/>
      <x v="17"/>
      <x v="6"/>
      <x v="4"/>
      <x v="8"/>
    </i>
    <i>
      <x v="737"/>
      <x v="62"/>
      <x v="7"/>
      <x/>
      <x v="8"/>
    </i>
    <i>
      <x v="30"/>
      <x v="106"/>
      <x v="4"/>
      <x/>
      <x v="8"/>
    </i>
    <i>
      <x v="580"/>
      <x v="86"/>
      <x v="4"/>
      <x/>
      <x v="14"/>
    </i>
    <i>
      <x v="354"/>
      <x v="42"/>
      <x v="4"/>
      <x/>
      <x v="17"/>
    </i>
    <i>
      <x v="326"/>
      <x v="100"/>
      <x v="6"/>
      <x v="3"/>
      <x v="8"/>
    </i>
    <i>
      <x v="700"/>
      <x v="66"/>
      <x v="4"/>
      <x/>
      <x v="6"/>
    </i>
    <i>
      <x v="25"/>
      <x v="28"/>
      <x v="6"/>
      <x v="4"/>
      <x v="10"/>
    </i>
    <i>
      <x v="442"/>
      <x v="81"/>
      <x v="7"/>
      <x/>
      <x v="12"/>
    </i>
    <i>
      <x v="687"/>
      <x v="79"/>
      <x v="1"/>
      <x v="5"/>
      <x v="14"/>
    </i>
    <i>
      <x v="714"/>
      <x v="96"/>
      <x v="7"/>
      <x/>
      <x v="10"/>
    </i>
    <i>
      <x v="68"/>
      <x v="76"/>
      <x v="7"/>
      <x/>
      <x v="14"/>
    </i>
    <i>
      <x v="735"/>
      <x v="61"/>
      <x v="7"/>
      <x/>
      <x v="14"/>
    </i>
    <i>
      <x v="698"/>
      <x v="61"/>
      <x v="7"/>
      <x/>
      <x v="12"/>
    </i>
    <i>
      <x v="440"/>
      <x v="38"/>
      <x v="7"/>
      <x/>
      <x v="14"/>
    </i>
    <i>
      <x v="603"/>
      <x v="33"/>
      <x v="1"/>
      <x v="5"/>
      <x v="12"/>
    </i>
    <i>
      <x v="29"/>
      <x v="73"/>
      <x v="1"/>
      <x v="5"/>
      <x v="8"/>
    </i>
    <i>
      <x v="17"/>
      <x v="61"/>
      <x v="7"/>
      <x/>
      <x v="14"/>
    </i>
    <i>
      <x v="342"/>
      <x v="69"/>
      <x v="7"/>
      <x/>
      <x v="10"/>
    </i>
    <i>
      <x v="555"/>
      <x v="61"/>
      <x v="1"/>
      <x v="5"/>
      <x v="8"/>
    </i>
    <i>
      <x v="755"/>
      <x v="20"/>
      <x v="7"/>
      <x/>
      <x v="15"/>
    </i>
    <i>
      <x v="517"/>
      <x v="91"/>
      <x v="4"/>
      <x v="5"/>
      <x v="10"/>
    </i>
    <i>
      <x v="750"/>
      <x v="59"/>
      <x v="3"/>
      <x v="4"/>
      <x v="3"/>
    </i>
    <i>
      <x v="638"/>
      <x v="74"/>
      <x v="7"/>
      <x/>
      <x v="17"/>
    </i>
    <i>
      <x v="302"/>
      <x v="83"/>
      <x v="4"/>
      <x v="5"/>
      <x v="12"/>
    </i>
    <i>
      <x v="292"/>
      <x v="61"/>
      <x v="1"/>
      <x v="5"/>
      <x v="19"/>
    </i>
    <i>
      <x v="669"/>
      <x v="61"/>
      <x v="1"/>
      <x v="4"/>
      <x v="6"/>
    </i>
    <i>
      <x v="468"/>
      <x v="61"/>
      <x v="6"/>
      <x v="4"/>
      <x v="18"/>
    </i>
    <i>
      <x v="195"/>
      <x v="73"/>
      <x v="1"/>
      <x v="5"/>
      <x v="6"/>
    </i>
    <i>
      <x v="744"/>
      <x v="118"/>
      <x v="7"/>
      <x/>
      <x v="15"/>
    </i>
    <i>
      <x v="67"/>
      <x v="32"/>
      <x v="1"/>
      <x v="5"/>
      <x v="6"/>
    </i>
    <i>
      <x v="390"/>
      <x v="93"/>
      <x v="4"/>
      <x/>
      <x v="19"/>
    </i>
    <i>
      <x v="590"/>
      <x v="58"/>
      <x v="4"/>
      <x v="5"/>
      <x v="10"/>
    </i>
    <i>
      <x v="313"/>
      <x v="5"/>
      <x v="4"/>
      <x v="5"/>
      <x v="6"/>
    </i>
    <i>
      <x v="668"/>
      <x v="132"/>
      <x v="7"/>
      <x/>
      <x v="16"/>
    </i>
    <i>
      <x v="642"/>
      <x v="69"/>
      <x v="7"/>
      <x/>
      <x v="12"/>
    </i>
    <i>
      <x v="276"/>
      <x v="84"/>
      <x v="7"/>
      <x/>
      <x v="12"/>
    </i>
    <i>
      <x v="641"/>
      <x v="32"/>
      <x v="4"/>
      <x v="5"/>
      <x v="12"/>
    </i>
    <i>
      <x v="713"/>
      <x v="48"/>
      <x v="4"/>
      <x/>
      <x v="6"/>
    </i>
    <i>
      <x v="357"/>
      <x v="10"/>
      <x v="4"/>
      <x v="5"/>
      <x v="12"/>
    </i>
    <i>
      <x v="470"/>
      <x v="15"/>
      <x v="1"/>
      <x v="4"/>
      <x v="10"/>
    </i>
    <i>
      <x v="417"/>
      <x v="53"/>
      <x v="1"/>
      <x v="5"/>
      <x v="6"/>
    </i>
    <i>
      <x v="74"/>
      <x v="34"/>
      <x v="4"/>
      <x v="5"/>
      <x v="12"/>
    </i>
    <i>
      <x v="162"/>
      <x v="83"/>
      <x v="7"/>
      <x/>
      <x v="19"/>
    </i>
    <i>
      <x v="382"/>
      <x v="26"/>
      <x v="7"/>
      <x/>
      <x v="12"/>
    </i>
    <i>
      <x v="51"/>
      <x v="4"/>
      <x v="1"/>
      <x v="4"/>
      <x v="12"/>
    </i>
    <i>
      <x v="253"/>
      <x v="30"/>
      <x v="1"/>
      <x v="4"/>
      <x v="10"/>
    </i>
    <i>
      <x v="280"/>
      <x v="9"/>
      <x v="4"/>
      <x v="5"/>
      <x v="6"/>
    </i>
    <i>
      <x v="413"/>
      <x v="103"/>
      <x v="1"/>
      <x v="4"/>
      <x v="8"/>
    </i>
    <i>
      <x v="489"/>
      <x v="83"/>
      <x v="1"/>
      <x v="4"/>
      <x v="8"/>
    </i>
    <i>
      <x v="717"/>
      <x v="59"/>
      <x v="3"/>
      <x v="3"/>
      <x v="4"/>
    </i>
    <i>
      <x v="734"/>
      <x v="35"/>
      <x v="4"/>
      <x v="5"/>
      <x v="10"/>
    </i>
    <i>
      <x v="179"/>
      <x v="99"/>
      <x/>
      <x/>
      <x v="10"/>
    </i>
    <i>
      <x v="459"/>
      <x v="135"/>
      <x v="6"/>
      <x v="3"/>
      <x v="4"/>
    </i>
    <i>
      <x v="658"/>
      <x v="115"/>
      <x v="1"/>
      <x v="4"/>
      <x v="15"/>
    </i>
    <i>
      <x v="618"/>
      <x v="123"/>
      <x/>
      <x/>
      <x v="10"/>
    </i>
    <i>
      <x v="185"/>
      <x v="59"/>
      <x v="1"/>
      <x v="4"/>
      <x v="4"/>
    </i>
    <i>
      <x v="471"/>
      <x v="114"/>
      <x v="1"/>
      <x v="3"/>
      <x v="14"/>
    </i>
    <i>
      <x v="10"/>
      <x v="61"/>
      <x v="4"/>
      <x v="4"/>
      <x v="8"/>
    </i>
    <i>
      <x v="328"/>
      <x v="61"/>
      <x v="4"/>
      <x v="4"/>
      <x v="14"/>
    </i>
    <i>
      <x v="748"/>
      <x v="99"/>
      <x v="7"/>
      <x v="5"/>
      <x v="12"/>
    </i>
    <i>
      <x v="78"/>
      <x v="32"/>
      <x v="4"/>
      <x v="4"/>
      <x v="10"/>
    </i>
    <i>
      <x v="477"/>
      <x v="18"/>
      <x v="1"/>
      <x v="3"/>
      <x v="8"/>
    </i>
    <i>
      <x v="552"/>
      <x v="120"/>
      <x v="4"/>
      <x v="4"/>
      <x v="6"/>
    </i>
    <i>
      <x v="505"/>
      <x v="87"/>
      <x v="1"/>
      <x v="3"/>
      <x v="6"/>
    </i>
    <i>
      <x v="391"/>
      <x v="4"/>
      <x v="4"/>
      <x v="4"/>
      <x v="8"/>
    </i>
    <i>
      <x v="65"/>
      <x v="140"/>
      <x/>
      <x v="5"/>
      <x v="12"/>
    </i>
    <i>
      <x v="289"/>
      <x v="139"/>
      <x v="1"/>
      <x v="4"/>
      <x v="4"/>
    </i>
    <i>
      <x v="249"/>
      <x v="32"/>
      <x v="1"/>
      <x v="3"/>
      <x v="6"/>
    </i>
    <i>
      <x v="347"/>
      <x v="90"/>
      <x v="1"/>
      <x v="3"/>
      <x v="6"/>
    </i>
    <i>
      <x v="279"/>
      <x v="140"/>
      <x v="4"/>
      <x v="3"/>
      <x v="10"/>
    </i>
    <i>
      <x v="419"/>
      <x v="77"/>
      <x v="1"/>
      <x v="3"/>
      <x v="4"/>
    </i>
    <i>
      <x v="762"/>
      <x v="114"/>
      <x v="1"/>
      <x v="3"/>
      <x v="4"/>
    </i>
    <i>
      <x v="284"/>
      <x v="83"/>
      <x v="7"/>
      <x v="4"/>
      <x v="6"/>
    </i>
    <i>
      <x v="624"/>
      <x v="103"/>
      <x v="4"/>
      <x v="3"/>
      <x v="3"/>
    </i>
    <i>
      <x v="258"/>
      <x v="53"/>
      <x v="1"/>
      <x v="3"/>
      <x v="3"/>
    </i>
    <i>
      <x v="752"/>
      <x v="4"/>
      <x v="4"/>
      <x v="3"/>
      <x v="6"/>
    </i>
    <i>
      <x v="722"/>
      <x v="30"/>
      <x v="4"/>
      <x v="3"/>
      <x v="6"/>
    </i>
    <i>
      <x v="358"/>
      <x v="103"/>
      <x v="4"/>
      <x v="3"/>
      <x v="3"/>
    </i>
    <i>
      <x v="569"/>
      <x v="41"/>
      <x v="4"/>
      <x v="3"/>
      <x v="3"/>
    </i>
    <i>
      <x v="730"/>
      <x v="55"/>
      <x/>
      <x v="3"/>
      <x v="4"/>
    </i>
    <i>
      <x v="632"/>
      <x v="41"/>
      <x/>
      <x v="3"/>
      <x v="3"/>
    </i>
    <i>
      <x v="491"/>
      <x v="55"/>
      <x v="5"/>
      <x v="3"/>
      <x v="10"/>
    </i>
    <i>
      <x v="662"/>
      <x v="75"/>
      <x v="5"/>
      <x v="4"/>
      <x v="18"/>
    </i>
    <i>
      <x/>
      <x v="17"/>
      <x v="5"/>
      <x v="5"/>
      <x v="8"/>
    </i>
    <i>
      <x v="577"/>
      <x v="92"/>
      <x v="5"/>
      <x/>
      <x v="14"/>
    </i>
    <i>
      <x v="305"/>
      <x v="20"/>
      <x v="5"/>
      <x/>
      <x v="16"/>
    </i>
    <i>
      <x v="296"/>
      <x v="118"/>
      <x v="5"/>
      <x/>
      <x v="15"/>
    </i>
    <i>
      <x v="105"/>
      <x v="136"/>
      <x v="5"/>
      <x/>
      <x v="15"/>
    </i>
    <i>
      <x v="571"/>
      <x v="19"/>
      <x v="5"/>
      <x/>
      <x v="12"/>
    </i>
    <i>
      <x v="288"/>
      <x v="140"/>
      <x v="5"/>
      <x v="5"/>
      <x v="10"/>
    </i>
    <i>
      <x v="545"/>
      <x v="39"/>
      <x v="5"/>
      <x/>
      <x v="15"/>
    </i>
    <i>
      <x v="596"/>
      <x v="97"/>
      <x v="5"/>
      <x/>
      <x v="12"/>
    </i>
    <i>
      <x v="201"/>
      <x v="35"/>
      <x v="5"/>
      <x/>
      <x v="15"/>
    </i>
    <i>
      <x v="647"/>
      <x v="133"/>
      <x v="5"/>
      <x/>
      <x v="14"/>
    </i>
    <i>
      <x v="763"/>
      <x v="4"/>
      <x v="5"/>
      <x/>
      <x v="15"/>
    </i>
    <i>
      <x v="633"/>
      <x v="33"/>
      <x v="5"/>
      <x/>
      <x v="15"/>
    </i>
    <i>
      <x v="196"/>
      <x v="118"/>
      <x v="5"/>
      <x/>
      <x v="14"/>
    </i>
    <i>
      <x v="427"/>
      <x v="128"/>
      <x v="5"/>
      <x/>
      <x v="12"/>
    </i>
    <i>
      <x v="282"/>
      <x v="75"/>
      <x v="5"/>
      <x v="5"/>
      <x v="4"/>
    </i>
    <i>
      <x v="223"/>
      <x v="127"/>
      <x v="5"/>
      <x/>
      <x v="12"/>
    </i>
    <i>
      <x v="283"/>
      <x v="66"/>
      <x v="5"/>
      <x/>
      <x v="14"/>
    </i>
    <i>
      <x v="85"/>
      <x v="48"/>
      <x v="5"/>
      <x v="5"/>
      <x v="8"/>
    </i>
    <i>
      <x v="299"/>
      <x v="121"/>
      <x v="5"/>
      <x/>
      <x v="14"/>
    </i>
    <i>
      <x v="421"/>
      <x v="116"/>
      <x v="5"/>
      <x/>
      <x v="14"/>
    </i>
    <i>
      <x v="353"/>
      <x v="73"/>
      <x v="5"/>
      <x/>
      <x v="12"/>
    </i>
    <i>
      <x v="183"/>
      <x v="47"/>
      <x v="5"/>
      <x/>
      <x v="15"/>
    </i>
    <i>
      <x v="696"/>
      <x v="51"/>
      <x v="5"/>
      <x/>
      <x v="6"/>
    </i>
    <i>
      <x v="556"/>
      <x v="133"/>
      <x v="5"/>
      <x v="5"/>
      <x v="8"/>
    </i>
    <i>
      <x v="516"/>
      <x v="117"/>
      <x v="5"/>
      <x/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5" item="1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1">
    <format dxfId="16">
      <pivotArea outline="0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0FB797-DA81-4638-8F67-E82ED6D1E5C8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I68" firstHeaderRow="1" firstDataRow="2" firstDataCol="4" rowPageCount="2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2"/>
        <item h="1" x="5"/>
        <item h="1" x="4"/>
        <item h="1" x="1"/>
        <item h="1" x="3"/>
        <item x="0"/>
        <item t="default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4">
    <field x="0"/>
    <field x="46"/>
    <field x="28"/>
    <field x="30"/>
  </rowFields>
  <rowItems count="62">
    <i>
      <x v="402"/>
      <x v="61"/>
      <x v="3"/>
      <x v="9"/>
    </i>
    <i>
      <x v="236"/>
      <x v="42"/>
      <x v="3"/>
      <x v="11"/>
    </i>
    <i>
      <x v="710"/>
      <x v="86"/>
      <x v="3"/>
      <x v="9"/>
    </i>
    <i>
      <x v="187"/>
      <x v="75"/>
      <x v="3"/>
      <x v="4"/>
    </i>
    <i>
      <x v="362"/>
      <x v="35"/>
      <x v="3"/>
      <x v="4"/>
    </i>
    <i>
      <x v="767"/>
      <x v="72"/>
      <x v="3"/>
      <x v="12"/>
    </i>
    <i>
      <x v="425"/>
      <x v="59"/>
      <x v="6"/>
      <x v="5"/>
    </i>
    <i>
      <x v="712"/>
      <x v="20"/>
      <x v="6"/>
      <x v="9"/>
    </i>
    <i>
      <x v="415"/>
      <x v="87"/>
      <x v="6"/>
      <x v="4"/>
    </i>
    <i>
      <x v="169"/>
      <x v="24"/>
      <x v="6"/>
      <x v="5"/>
    </i>
    <i>
      <x v="389"/>
      <x v="47"/>
      <x v="6"/>
      <x v="4"/>
    </i>
    <i>
      <x v="666"/>
      <x v="127"/>
      <x v="6"/>
      <x v="7"/>
    </i>
    <i>
      <x v="761"/>
      <x v="30"/>
      <x v="6"/>
      <x v="5"/>
    </i>
    <i>
      <x v="411"/>
      <x v="35"/>
      <x v="6"/>
      <x v="4"/>
    </i>
    <i>
      <x v="225"/>
      <x v="39"/>
      <x v="6"/>
      <x v="9"/>
    </i>
    <i>
      <x v="199"/>
      <x v="129"/>
      <x v="6"/>
      <x v="4"/>
    </i>
    <i>
      <x v="454"/>
      <x v="82"/>
      <x v="6"/>
      <x v="7"/>
    </i>
    <i>
      <x v="502"/>
      <x v="24"/>
      <x v="6"/>
      <x v="7"/>
    </i>
    <i>
      <x v="54"/>
      <x v="30"/>
      <x v="6"/>
      <x v="5"/>
    </i>
    <i>
      <x v="75"/>
      <x v="45"/>
      <x v="6"/>
      <x v="4"/>
    </i>
    <i>
      <x v="132"/>
      <x v="17"/>
      <x v="6"/>
      <x v="5"/>
    </i>
    <i>
      <x v="445"/>
      <x v="40"/>
      <x v="6"/>
      <x v="5"/>
    </i>
    <i>
      <x v="194"/>
      <x v="86"/>
      <x v="1"/>
      <x v="7"/>
    </i>
    <i>
      <x v="156"/>
      <x v="87"/>
      <x v="1"/>
      <x v="4"/>
    </i>
    <i>
      <x v="165"/>
      <x v="125"/>
      <x v="1"/>
      <x v="5"/>
    </i>
    <i>
      <x v="416"/>
      <x v="97"/>
      <x v="1"/>
      <x v="12"/>
    </i>
    <i>
      <x v="600"/>
      <x v="112"/>
      <x v="1"/>
      <x v="4"/>
    </i>
    <i>
      <x v="229"/>
      <x v="53"/>
      <x v="1"/>
      <x v="9"/>
    </i>
    <i>
      <x v="450"/>
      <x v="122"/>
      <x v="1"/>
      <x v="7"/>
    </i>
    <i>
      <x v="637"/>
      <x v="27"/>
      <x v="1"/>
      <x v="9"/>
    </i>
    <i>
      <x v="457"/>
      <x v="58"/>
      <x v="1"/>
      <x v="23"/>
    </i>
    <i>
      <x v="327"/>
      <x v="83"/>
      <x v="1"/>
      <x v="12"/>
    </i>
    <i>
      <x v="370"/>
      <x v="35"/>
      <x v="1"/>
      <x v="3"/>
    </i>
    <i>
      <x v="485"/>
      <x v="98"/>
      <x v="1"/>
      <x v="11"/>
    </i>
    <i>
      <x v="613"/>
      <x v="10"/>
      <x v="1"/>
      <x v="7"/>
    </i>
    <i>
      <x v="609"/>
      <x v="53"/>
      <x v="1"/>
      <x v="7"/>
    </i>
    <i>
      <x v="120"/>
      <x v="58"/>
      <x v="4"/>
      <x v="5"/>
    </i>
    <i>
      <x v="316"/>
      <x v="35"/>
      <x v="1"/>
      <x v="13"/>
    </i>
    <i>
      <x v="476"/>
      <x v="40"/>
      <x v="1"/>
      <x v="4"/>
    </i>
    <i>
      <x v="178"/>
      <x v="20"/>
      <x v="4"/>
      <x v="4"/>
    </i>
    <i>
      <x v="751"/>
      <x v="140"/>
      <x v="4"/>
      <x v="7"/>
    </i>
    <i>
      <x v="528"/>
      <x v="86"/>
      <x v="4"/>
      <x v="5"/>
    </i>
    <i>
      <x v="190"/>
      <x v="56"/>
      <x v="4"/>
      <x v="9"/>
    </i>
    <i>
      <x v="615"/>
      <x v="101"/>
      <x v="4"/>
      <x v="7"/>
    </i>
    <i>
      <x v="448"/>
      <x v="55"/>
      <x v="4"/>
      <x v="9"/>
    </i>
    <i>
      <x v="405"/>
      <x v="63"/>
      <x v="4"/>
      <x v="9"/>
    </i>
    <i>
      <x v="494"/>
      <x v="83"/>
      <x v="4"/>
      <x v="11"/>
    </i>
    <i>
      <x v="92"/>
      <x v="4"/>
      <x v="4"/>
      <x v="12"/>
    </i>
    <i>
      <x v="640"/>
      <x v="41"/>
      <x v="4"/>
      <x v="3"/>
    </i>
    <i>
      <x v="359"/>
      <x v="131"/>
      <x v="7"/>
      <x v="7"/>
    </i>
    <i>
      <x v="414"/>
      <x v="55"/>
      <x v="7"/>
      <x v="9"/>
    </i>
    <i>
      <x v="306"/>
      <x v="63"/>
      <x v="7"/>
      <x v="23"/>
    </i>
    <i>
      <x v="493"/>
      <x v="92"/>
      <x v="7"/>
      <x v="13"/>
    </i>
    <i>
      <x v="233"/>
      <x v="129"/>
      <x v="5"/>
      <x v="4"/>
    </i>
    <i>
      <x v="147"/>
      <x v="62"/>
      <x v="5"/>
      <x v="3"/>
    </i>
    <i>
      <x v="746"/>
      <x v="127"/>
      <x v="5"/>
      <x v="5"/>
    </i>
    <i>
      <x v="672"/>
      <x v="100"/>
      <x v="5"/>
      <x v="11"/>
    </i>
    <i>
      <x v="27"/>
      <x v="37"/>
      <x v="5"/>
      <x v="2"/>
    </i>
    <i>
      <x v="675"/>
      <x v="121"/>
      <x v="5"/>
      <x v="4"/>
    </i>
    <i>
      <x v="645"/>
      <x v="32"/>
      <x v="5"/>
      <x v="12"/>
    </i>
    <i>
      <x v="9"/>
      <x v="16"/>
      <x v="5"/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31" hier="-1"/>
    <pageField fld="35" item="0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19">
    <format dxfId="37">
      <pivotArea outline="0" fieldPosition="0">
        <references count="1">
          <reference field="4294967294" count="1" selected="0">
            <x v="3"/>
          </reference>
        </references>
      </pivotArea>
    </format>
    <format dxfId="38">
      <pivotArea outline="0" fieldPosition="0">
        <references count="4">
          <reference field="0" count="1" selected="0">
            <x v="236"/>
          </reference>
          <reference field="28" count="1" selected="0">
            <x v="3"/>
          </reference>
          <reference field="30" count="1" selected="0">
            <x v="11"/>
          </reference>
          <reference field="46" count="1" selected="0">
            <x v="42"/>
          </reference>
        </references>
      </pivotArea>
    </format>
    <format dxfId="39">
      <pivotArea dataOnly="0" labelOnly="1" outline="0" fieldPosition="0">
        <references count="1">
          <reference field="0" count="1">
            <x v="236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236"/>
          </reference>
          <reference field="46" count="1">
            <x v="42"/>
          </reference>
        </references>
      </pivotArea>
    </format>
    <format dxfId="41">
      <pivotArea dataOnly="0" labelOnly="1" outline="0" offset="IV2" fieldPosition="0">
        <references count="3">
          <reference field="0" count="1" selected="0">
            <x v="402"/>
          </reference>
          <reference field="28" count="1">
            <x v="3"/>
          </reference>
          <reference field="46" count="1" selected="0">
            <x v="61"/>
          </reference>
        </references>
      </pivotArea>
    </format>
    <format dxfId="42">
      <pivotArea dataOnly="0" labelOnly="1" outline="0" fieldPosition="0">
        <references count="4">
          <reference field="0" count="1" selected="0">
            <x v="236"/>
          </reference>
          <reference field="28" count="1" selected="0">
            <x v="3"/>
          </reference>
          <reference field="30" count="1">
            <x v="11"/>
          </reference>
          <reference field="46" count="1" selected="0">
            <x v="42"/>
          </reference>
        </references>
      </pivotArea>
    </format>
    <format dxfId="43">
      <pivotArea outline="0" fieldPosition="0">
        <references count="4">
          <reference field="0" count="1" selected="0">
            <x v="767"/>
          </reference>
          <reference field="28" count="1" selected="0">
            <x v="3"/>
          </reference>
          <reference field="30" count="1" selected="0">
            <x v="12"/>
          </reference>
          <reference field="46" count="1" selected="0">
            <x v="72"/>
          </reference>
        </references>
      </pivotArea>
    </format>
    <format dxfId="44">
      <pivotArea dataOnly="0" labelOnly="1" outline="0" fieldPosition="0">
        <references count="1">
          <reference field="0" count="1">
            <x v="767"/>
          </reference>
        </references>
      </pivotArea>
    </format>
    <format dxfId="45">
      <pivotArea dataOnly="0" labelOnly="1" outline="0" fieldPosition="0">
        <references count="2">
          <reference field="0" count="1" selected="0">
            <x v="767"/>
          </reference>
          <reference field="46" count="1">
            <x v="72"/>
          </reference>
        </references>
      </pivotArea>
    </format>
    <format dxfId="46">
      <pivotArea dataOnly="0" labelOnly="1" outline="0" offset="IV256" fieldPosition="0">
        <references count="3">
          <reference field="0" count="1" selected="0">
            <x v="402"/>
          </reference>
          <reference field="28" count="1">
            <x v="3"/>
          </reference>
          <reference field="46" count="1" selected="0">
            <x v="61"/>
          </reference>
        </references>
      </pivotArea>
    </format>
    <format dxfId="47">
      <pivotArea dataOnly="0" labelOnly="1" outline="0" fieldPosition="0">
        <references count="4">
          <reference field="0" count="1" selected="0">
            <x v="767"/>
          </reference>
          <reference field="28" count="1" selected="0">
            <x v="3"/>
          </reference>
          <reference field="30" count="1">
            <x v="12"/>
          </reference>
          <reference field="46" count="1" selected="0">
            <x v="72"/>
          </reference>
        </references>
      </pivotArea>
    </format>
    <format dxfId="48">
      <pivotArea outline="0" fieldPosition="0">
        <references count="4">
          <reference field="0" count="2" selected="0">
            <x v="187"/>
            <x v="362"/>
          </reference>
          <reference field="28" count="1" selected="0">
            <x v="3"/>
          </reference>
          <reference field="30" count="1" selected="0">
            <x v="4"/>
          </reference>
          <reference field="46" count="2" selected="0">
            <x v="35"/>
            <x v="75"/>
          </reference>
        </references>
      </pivotArea>
    </format>
    <format dxfId="49">
      <pivotArea dataOnly="0" labelOnly="1" outline="0" fieldPosition="0">
        <references count="1">
          <reference field="0" count="2">
            <x v="187"/>
            <x v="362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187"/>
          </reference>
          <reference field="46" count="1">
            <x v="75"/>
          </reference>
        </references>
      </pivotArea>
    </format>
    <format dxfId="51">
      <pivotArea dataOnly="0" labelOnly="1" outline="0" fieldPosition="0">
        <references count="2">
          <reference field="0" count="1" selected="0">
            <x v="362"/>
          </reference>
          <reference field="46" count="1">
            <x v="35"/>
          </reference>
        </references>
      </pivotArea>
    </format>
    <format dxfId="52">
      <pivotArea dataOnly="0" labelOnly="1" outline="0" offset="IV4:IV5" fieldPosition="0">
        <references count="3">
          <reference field="0" count="1" selected="0">
            <x v="402"/>
          </reference>
          <reference field="28" count="1">
            <x v="3"/>
          </reference>
          <reference field="46" count="1" selected="0">
            <x v="61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187"/>
          </reference>
          <reference field="28" count="1" selected="0">
            <x v="3"/>
          </reference>
          <reference field="30" count="1">
            <x v="4"/>
          </reference>
          <reference field="46" count="1" selected="0">
            <x v="75"/>
          </reference>
        </references>
      </pivotArea>
    </format>
    <format dxfId="54">
      <pivotArea dataOnly="0" labelOnly="1" outline="0" fieldPosition="0">
        <references count="4">
          <reference field="0" count="1" selected="0">
            <x v="362"/>
          </reference>
          <reference field="28" count="1" selected="0">
            <x v="3"/>
          </reference>
          <reference field="30" count="1">
            <x v="4"/>
          </reference>
          <reference field="46" count="1" selected="0">
            <x v="35"/>
          </reference>
        </references>
      </pivotArea>
    </format>
    <format dxfId="55">
      <pivotArea dataOnly="0" labelOnly="1" outline="0" offset="IV1" fieldPosition="0">
        <references count="3">
          <reference field="0" count="1" selected="0">
            <x v="402"/>
          </reference>
          <reference field="28" count="1">
            <x v="3"/>
          </reference>
          <reference field="46" count="1" selected="0">
            <x v="6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2B602-4C79-4F81-A876-17C7C37B609B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I49" firstHeaderRow="1" firstDataRow="2" firstDataCol="4" rowPageCount="2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2"/>
        <item h="1" x="5"/>
        <item h="1" x="4"/>
        <item h="1" x="1"/>
        <item h="1" x="3"/>
        <item x="0"/>
        <item t="default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4">
    <field x="0"/>
    <field x="46"/>
    <field x="28"/>
    <field x="30"/>
  </rowFields>
  <rowItems count="43">
    <i>
      <x v="655"/>
      <x v="24"/>
      <x v="3"/>
      <x v="12"/>
    </i>
    <i>
      <x v="5"/>
      <x v="100"/>
      <x v="6"/>
      <x v="10"/>
    </i>
    <i>
      <x v="506"/>
      <x v="83"/>
      <x v="6"/>
      <x v="14"/>
    </i>
    <i>
      <x v="709"/>
      <x v="83"/>
      <x v="6"/>
      <x v="12"/>
    </i>
    <i>
      <x v="303"/>
      <x v="19"/>
      <x v="1"/>
      <x v="10"/>
    </i>
    <i>
      <x v="69"/>
      <x v="61"/>
      <x v="6"/>
      <x v="12"/>
    </i>
    <i>
      <x v="480"/>
      <x v="52"/>
      <x v="6"/>
      <x v="6"/>
    </i>
    <i>
      <x v="648"/>
      <x v="89"/>
      <x v="6"/>
      <x v="12"/>
    </i>
    <i>
      <x v="314"/>
      <x v="38"/>
      <x v="1"/>
      <x v="12"/>
    </i>
    <i>
      <x v="720"/>
      <x v="58"/>
      <x v="1"/>
      <x v="14"/>
    </i>
    <i>
      <x v="308"/>
      <x v="83"/>
      <x v="1"/>
      <x v="16"/>
    </i>
    <i>
      <x v="208"/>
      <x v="9"/>
      <x v="1"/>
      <x v="10"/>
    </i>
    <i>
      <x v="100"/>
      <x v="5"/>
      <x v="1"/>
      <x v="8"/>
    </i>
    <i>
      <x v="95"/>
      <x v="6"/>
      <x v="1"/>
      <x v="14"/>
    </i>
    <i>
      <x v="464"/>
      <x v="33"/>
      <x v="1"/>
      <x v="10"/>
    </i>
    <i>
      <x v="310"/>
      <x v="32"/>
      <x v="1"/>
      <x v="10"/>
    </i>
    <i>
      <x v="420"/>
      <x v="99"/>
      <x v="1"/>
      <x v="6"/>
    </i>
    <i>
      <x v="564"/>
      <x v="32"/>
      <x v="1"/>
      <x v="10"/>
    </i>
    <i>
      <x v="687"/>
      <x v="79"/>
      <x v="1"/>
      <x v="14"/>
    </i>
    <i>
      <x v="603"/>
      <x v="33"/>
      <x v="1"/>
      <x v="12"/>
    </i>
    <i>
      <x v="29"/>
      <x v="73"/>
      <x v="1"/>
      <x v="8"/>
    </i>
    <i>
      <x v="555"/>
      <x v="61"/>
      <x v="1"/>
      <x v="8"/>
    </i>
    <i>
      <x v="517"/>
      <x v="91"/>
      <x v="4"/>
      <x v="10"/>
    </i>
    <i>
      <x v="302"/>
      <x v="83"/>
      <x v="4"/>
      <x v="12"/>
    </i>
    <i>
      <x v="292"/>
      <x v="61"/>
      <x v="1"/>
      <x v="19"/>
    </i>
    <i>
      <x v="195"/>
      <x v="73"/>
      <x v="1"/>
      <x v="6"/>
    </i>
    <i>
      <x v="67"/>
      <x v="32"/>
      <x v="1"/>
      <x v="6"/>
    </i>
    <i>
      <x v="590"/>
      <x v="58"/>
      <x v="4"/>
      <x v="10"/>
    </i>
    <i>
      <x v="313"/>
      <x v="5"/>
      <x v="4"/>
      <x v="6"/>
    </i>
    <i>
      <x v="641"/>
      <x v="32"/>
      <x v="4"/>
      <x v="12"/>
    </i>
    <i>
      <x v="357"/>
      <x v="10"/>
      <x v="4"/>
      <x v="12"/>
    </i>
    <i>
      <x v="417"/>
      <x v="53"/>
      <x v="1"/>
      <x v="6"/>
    </i>
    <i>
      <x v="74"/>
      <x v="34"/>
      <x v="4"/>
      <x v="12"/>
    </i>
    <i>
      <x v="280"/>
      <x v="9"/>
      <x v="4"/>
      <x v="6"/>
    </i>
    <i>
      <x v="734"/>
      <x v="35"/>
      <x v="4"/>
      <x v="10"/>
    </i>
    <i>
      <x v="748"/>
      <x v="99"/>
      <x v="7"/>
      <x v="12"/>
    </i>
    <i>
      <x v="65"/>
      <x v="140"/>
      <x/>
      <x v="12"/>
    </i>
    <i>
      <x/>
      <x v="17"/>
      <x v="5"/>
      <x v="8"/>
    </i>
    <i>
      <x v="288"/>
      <x v="140"/>
      <x v="5"/>
      <x v="10"/>
    </i>
    <i>
      <x v="85"/>
      <x v="48"/>
      <x v="5"/>
      <x v="8"/>
    </i>
    <i>
      <x v="556"/>
      <x v="133"/>
      <x v="5"/>
      <x v="8"/>
    </i>
    <i>
      <x v="282"/>
      <x v="75"/>
      <x v="5"/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31" hier="-1"/>
    <pageField fld="35" item="1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6">
    <format dxfId="31">
      <pivotArea outline="0" fieldPosition="0">
        <references count="1">
          <reference field="4294967294" count="1" selected="0">
            <x v="3"/>
          </reference>
        </references>
      </pivotArea>
    </format>
    <format dxfId="32">
      <pivotArea outline="0" fieldPosition="0">
        <references count="4">
          <reference field="0" count="1" selected="0">
            <x v="655"/>
          </reference>
          <reference field="28" count="1" selected="0">
            <x v="3"/>
          </reference>
          <reference field="30" count="1" selected="0">
            <x v="12"/>
          </reference>
          <reference field="46" count="1" selected="0">
            <x v="24"/>
          </reference>
        </references>
      </pivotArea>
    </format>
    <format dxfId="33">
      <pivotArea dataOnly="0" labelOnly="1" outline="0" fieldPosition="0">
        <references count="1">
          <reference field="0" count="1">
            <x v="655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655"/>
          </reference>
          <reference field="46" count="1">
            <x v="24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655"/>
          </reference>
          <reference field="28" count="1">
            <x v="3"/>
          </reference>
          <reference field="46" count="1" selected="0">
            <x v="24"/>
          </reference>
        </references>
      </pivotArea>
    </format>
    <format dxfId="36">
      <pivotArea dataOnly="0" labelOnly="1" outline="0" fieldPosition="0">
        <references count="4">
          <reference field="0" count="1" selected="0">
            <x v="655"/>
          </reference>
          <reference field="28" count="1" selected="0">
            <x v="3"/>
          </reference>
          <reference field="30" count="1">
            <x v="12"/>
          </reference>
          <reference field="46" count="1" selected="0">
            <x v="2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C333B8-2F83-49DD-930C-6A52FD1AF67F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I59" firstHeaderRow="1" firstDataRow="2" firstDataCol="4" rowPageCount="2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2"/>
        <item h="1" x="5"/>
        <item h="1" x="4"/>
        <item h="1" x="1"/>
        <item x="3"/>
        <item h="1" x="0"/>
        <item t="default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4">
    <field x="0"/>
    <field x="46"/>
    <field x="28"/>
    <field x="30"/>
  </rowFields>
  <rowItems count="53">
    <i>
      <x v="522"/>
      <x v="129"/>
      <x v="2"/>
      <x v="4"/>
    </i>
    <i>
      <x v="281"/>
      <x v="59"/>
      <x v="2"/>
      <x v="4"/>
    </i>
    <i>
      <x v="83"/>
      <x v="52"/>
      <x v="2"/>
      <x v="4"/>
    </i>
    <i>
      <x v="256"/>
      <x v="75"/>
      <x v="3"/>
      <x v="3"/>
    </i>
    <i>
      <x v="570"/>
      <x v="43"/>
      <x v="3"/>
      <x v="11"/>
    </i>
    <i>
      <x v="375"/>
      <x v="123"/>
      <x v="6"/>
      <x v="4"/>
    </i>
    <i>
      <x v="317"/>
      <x v="63"/>
      <x v="3"/>
      <x v="9"/>
    </i>
    <i>
      <x v="32"/>
      <x v="27"/>
      <x v="6"/>
      <x v="7"/>
    </i>
    <i>
      <x v="12"/>
      <x v="65"/>
      <x v="6"/>
      <x v="4"/>
    </i>
    <i>
      <x v="429"/>
      <x v="68"/>
      <x v="6"/>
      <x v="4"/>
    </i>
    <i>
      <x v="622"/>
      <x v="125"/>
      <x v="6"/>
      <x v="4"/>
    </i>
    <i>
      <x v="263"/>
      <x v="89"/>
      <x v="6"/>
      <x v="7"/>
    </i>
    <i>
      <x v="142"/>
      <x v="103"/>
      <x v="6"/>
      <x v="4"/>
    </i>
    <i>
      <x v="587"/>
      <x v="103"/>
      <x v="6"/>
      <x v="7"/>
    </i>
    <i>
      <x v="376"/>
      <x v="75"/>
      <x v="6"/>
      <x v="7"/>
    </i>
    <i>
      <x v="430"/>
      <x v="122"/>
      <x v="6"/>
      <x v="5"/>
    </i>
    <i>
      <x v="45"/>
      <x v="89"/>
      <x v="6"/>
      <x v="4"/>
    </i>
    <i>
      <x v="680"/>
      <x v="61"/>
      <x v="6"/>
      <x v="4"/>
    </i>
    <i>
      <x v="298"/>
      <x v="125"/>
      <x v="6"/>
      <x v="5"/>
    </i>
    <i>
      <x v="325"/>
      <x v="20"/>
      <x v="6"/>
      <x v="7"/>
    </i>
    <i>
      <x v="321"/>
      <x v="123"/>
      <x v="6"/>
      <x v="11"/>
    </i>
    <i>
      <x v="690"/>
      <x v="80"/>
      <x v="1"/>
      <x v="4"/>
    </i>
    <i>
      <x v="497"/>
      <x v="61"/>
      <x v="1"/>
      <x v="3"/>
    </i>
    <i>
      <x v="290"/>
      <x v="40"/>
      <x v="1"/>
      <x v="7"/>
    </i>
    <i>
      <x v="146"/>
      <x v="62"/>
      <x v="1"/>
      <x v="9"/>
    </i>
    <i>
      <x v="444"/>
      <x v="7"/>
      <x v="1"/>
      <x v="5"/>
    </i>
    <i>
      <x v="500"/>
      <x v="61"/>
      <x v="1"/>
      <x v="5"/>
    </i>
    <i>
      <x v="13"/>
      <x v="32"/>
      <x v="1"/>
      <x v="7"/>
    </i>
    <i>
      <x v="509"/>
      <x v="112"/>
      <x v="6"/>
      <x v="22"/>
    </i>
    <i>
      <x v="396"/>
      <x v="48"/>
      <x v="1"/>
      <x v="9"/>
    </i>
    <i>
      <x v="527"/>
      <x v="25"/>
      <x v="1"/>
      <x v="9"/>
    </i>
    <i>
      <x v="499"/>
      <x v="95"/>
      <x v="1"/>
      <x v="3"/>
    </i>
    <i>
      <x v="329"/>
      <x v="4"/>
      <x v="1"/>
      <x v="4"/>
    </i>
    <i>
      <x v="407"/>
      <x v="48"/>
      <x v="1"/>
      <x v="9"/>
    </i>
    <i>
      <x v="465"/>
      <x v="19"/>
      <x v="4"/>
      <x v="4"/>
    </i>
    <i>
      <x v="219"/>
      <x v="61"/>
      <x v="4"/>
      <x v="4"/>
    </i>
    <i>
      <x v="44"/>
      <x v="20"/>
      <x v="1"/>
      <x v="22"/>
    </i>
    <i>
      <x v="268"/>
      <x v="3"/>
      <x v="1"/>
      <x v="22"/>
    </i>
    <i>
      <x v="159"/>
      <x v="29"/>
      <x v="4"/>
      <x v="3"/>
    </i>
    <i>
      <x v="139"/>
      <x v="4"/>
      <x v="4"/>
      <x v="4"/>
    </i>
    <i>
      <x v="661"/>
      <x v="85"/>
      <x v="1"/>
      <x v="1"/>
    </i>
    <i>
      <x v="16"/>
      <x v="32"/>
      <x v="4"/>
      <x v="7"/>
    </i>
    <i>
      <x v="504"/>
      <x v="83"/>
      <x v="4"/>
      <x v="4"/>
    </i>
    <i>
      <x v="676"/>
      <x v="94"/>
      <x v="4"/>
      <x v="9"/>
    </i>
    <i>
      <x v="456"/>
      <x v="61"/>
      <x v="4"/>
      <x v="22"/>
    </i>
    <i>
      <x v="619"/>
      <x v="95"/>
      <x v="4"/>
      <x v="4"/>
    </i>
    <i>
      <x v="426"/>
      <x v="33"/>
      <x v="4"/>
      <x v="3"/>
    </i>
    <i>
      <x v="634"/>
      <x v="11"/>
      <x v="4"/>
      <x v="7"/>
    </i>
    <i>
      <x v="423"/>
      <x v="16"/>
      <x v="4"/>
      <x v="12"/>
    </i>
    <i>
      <x v="265"/>
      <x v="4"/>
      <x v="4"/>
      <x v="4"/>
    </i>
    <i>
      <x v="56"/>
      <x v="32"/>
      <x v="5"/>
      <x v="7"/>
    </i>
    <i>
      <x v="659"/>
      <x v="75"/>
      <x v="5"/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31" hier="-1"/>
    <pageField fld="35" item="0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1">
    <format dxfId="30">
      <pivotArea outline="0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B8E7A7-CC30-48E4-A879-4FD3E60CFE66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I32" firstHeaderRow="1" firstDataRow="2" firstDataCol="4" rowPageCount="2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2"/>
        <item h="1" x="5"/>
        <item h="1" x="4"/>
        <item h="1" x="1"/>
        <item x="3"/>
        <item h="1" x="0"/>
        <item t="default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4">
    <field x="0"/>
    <field x="46"/>
    <field x="28"/>
    <field x="30"/>
  </rowFields>
  <rowItems count="26">
    <i>
      <x v="11"/>
      <x v="73"/>
      <x v="3"/>
      <x v="12"/>
    </i>
    <i>
      <x v="606"/>
      <x v="32"/>
      <x v="3"/>
      <x v="14"/>
    </i>
    <i>
      <x v="93"/>
      <x v="125"/>
      <x v="6"/>
      <x v="10"/>
    </i>
    <i>
      <x v="588"/>
      <x v="92"/>
      <x v="6"/>
      <x v="10"/>
    </i>
    <i>
      <x v="727"/>
      <x v="103"/>
      <x v="6"/>
      <x v="10"/>
    </i>
    <i>
      <x v="472"/>
      <x v="17"/>
      <x v="6"/>
      <x v="8"/>
    </i>
    <i>
      <x v="25"/>
      <x v="28"/>
      <x v="6"/>
      <x v="10"/>
    </i>
    <i>
      <x v="750"/>
      <x v="59"/>
      <x v="3"/>
      <x v="3"/>
    </i>
    <i>
      <x v="669"/>
      <x v="61"/>
      <x v="1"/>
      <x v="6"/>
    </i>
    <i>
      <x v="468"/>
      <x v="61"/>
      <x v="6"/>
      <x v="18"/>
    </i>
    <i>
      <x v="470"/>
      <x v="15"/>
      <x v="1"/>
      <x v="10"/>
    </i>
    <i>
      <x v="51"/>
      <x v="4"/>
      <x v="1"/>
      <x v="12"/>
    </i>
    <i>
      <x v="253"/>
      <x v="30"/>
      <x v="1"/>
      <x v="10"/>
    </i>
    <i>
      <x v="413"/>
      <x v="103"/>
      <x v="1"/>
      <x v="8"/>
    </i>
    <i>
      <x v="489"/>
      <x v="83"/>
      <x v="1"/>
      <x v="8"/>
    </i>
    <i>
      <x v="658"/>
      <x v="115"/>
      <x v="1"/>
      <x v="15"/>
    </i>
    <i>
      <x v="185"/>
      <x v="59"/>
      <x v="1"/>
      <x v="4"/>
    </i>
    <i>
      <x v="10"/>
      <x v="61"/>
      <x v="4"/>
      <x v="8"/>
    </i>
    <i>
      <x v="328"/>
      <x v="61"/>
      <x v="4"/>
      <x v="14"/>
    </i>
    <i>
      <x v="78"/>
      <x v="32"/>
      <x v="4"/>
      <x v="10"/>
    </i>
    <i>
      <x v="552"/>
      <x v="120"/>
      <x v="4"/>
      <x v="6"/>
    </i>
    <i>
      <x v="391"/>
      <x v="4"/>
      <x v="4"/>
      <x v="8"/>
    </i>
    <i>
      <x v="289"/>
      <x v="139"/>
      <x v="1"/>
      <x v="4"/>
    </i>
    <i>
      <x v="284"/>
      <x v="83"/>
      <x v="7"/>
      <x v="6"/>
    </i>
    <i>
      <x v="662"/>
      <x v="75"/>
      <x v="5"/>
      <x v="1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31" hier="-1"/>
    <pageField fld="35" item="1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1">
    <format dxfId="29">
      <pivotArea outline="0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DB8D5-968A-4EE1-AABC-24B7CB674408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I61" firstHeaderRow="1" firstDataRow="2" firstDataCol="4" rowPageCount="2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2"/>
        <item h="1" x="5"/>
        <item h="1" x="4"/>
        <item x="1"/>
        <item h="1" x="3"/>
        <item h="1" x="0"/>
        <item t="default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4">
    <field x="0"/>
    <field x="46"/>
    <field x="28"/>
    <field x="30"/>
  </rowFields>
  <rowItems count="55">
    <i>
      <x v="438"/>
      <x v="84"/>
      <x v="2"/>
      <x v="11"/>
    </i>
    <i>
      <x v="463"/>
      <x v="72"/>
      <x v="3"/>
      <x v="3"/>
    </i>
    <i>
      <x v="277"/>
      <x v="63"/>
      <x v="3"/>
      <x v="5"/>
    </i>
    <i>
      <x v="679"/>
      <x v="63"/>
      <x v="3"/>
      <x v="2"/>
    </i>
    <i>
      <x v="721"/>
      <x v="88"/>
      <x v="3"/>
      <x v="4"/>
    </i>
    <i>
      <x v="524"/>
      <x v="74"/>
      <x v="3"/>
      <x v="9"/>
    </i>
    <i>
      <x v="84"/>
      <x v="10"/>
      <x v="3"/>
      <x v="5"/>
    </i>
    <i>
      <x v="150"/>
      <x v="15"/>
      <x v="3"/>
      <x v="5"/>
    </i>
    <i>
      <x v="501"/>
      <x v="123"/>
      <x v="6"/>
      <x v="3"/>
    </i>
    <i>
      <x v="7"/>
      <x v="123"/>
      <x v="6"/>
      <x v="2"/>
    </i>
    <i>
      <x v="138"/>
      <x v="94"/>
      <x v="6"/>
      <x v="4"/>
    </i>
    <i>
      <x v="431"/>
      <x v="72"/>
      <x v="6"/>
      <x v="2"/>
    </i>
    <i>
      <x v="681"/>
      <x v="32"/>
      <x v="6"/>
      <x v="4"/>
    </i>
    <i>
      <x v="330"/>
      <x v="59"/>
      <x v="6"/>
      <x v="2"/>
    </i>
    <i>
      <x v="707"/>
      <x v="72"/>
      <x v="6"/>
      <x v="2"/>
    </i>
    <i>
      <x v="363"/>
      <x v="103"/>
      <x v="6"/>
      <x v="2"/>
    </i>
    <i>
      <x v="81"/>
      <x v="118"/>
      <x v="6"/>
      <x v="5"/>
    </i>
    <i>
      <x v="322"/>
      <x v="34"/>
      <x v="1"/>
      <x v="4"/>
    </i>
    <i>
      <x v="639"/>
      <x v="36"/>
      <x v="1"/>
      <x v="4"/>
    </i>
    <i>
      <x v="584"/>
      <x v="40"/>
      <x v="6"/>
      <x v="2"/>
    </i>
    <i>
      <x v="242"/>
      <x v="87"/>
      <x v="6"/>
      <x v="3"/>
    </i>
    <i>
      <x v="115"/>
      <x v="3"/>
      <x v="1"/>
      <x v="4"/>
    </i>
    <i>
      <x v="601"/>
      <x v="86"/>
      <x v="1"/>
      <x v="4"/>
    </i>
    <i>
      <x v="158"/>
      <x v="48"/>
      <x v="1"/>
      <x v="11"/>
    </i>
    <i>
      <x v="453"/>
      <x v="100"/>
      <x v="1"/>
      <x v="4"/>
    </i>
    <i>
      <x v="401"/>
      <x v="4"/>
      <x v="1"/>
      <x v="2"/>
    </i>
    <i>
      <x v="361"/>
      <x v="72"/>
      <x v="1"/>
      <x v="4"/>
    </i>
    <i>
      <x v="487"/>
      <x v="58"/>
      <x v="1"/>
      <x v="3"/>
    </i>
    <i>
      <x v="114"/>
      <x v="65"/>
      <x v="1"/>
      <x v="3"/>
    </i>
    <i>
      <x v="424"/>
      <x v="63"/>
      <x v="1"/>
      <x v="4"/>
    </i>
    <i>
      <x v="167"/>
      <x v="81"/>
      <x v="1"/>
      <x v="5"/>
    </i>
    <i>
      <x v="319"/>
      <x v="30"/>
      <x v="1"/>
      <x v="5"/>
    </i>
    <i>
      <x v="38"/>
      <x v="112"/>
      <x v="4"/>
      <x v="4"/>
    </i>
    <i>
      <x v="168"/>
      <x v="61"/>
      <x v="1"/>
      <x v="5"/>
    </i>
    <i>
      <x v="1"/>
      <x v="87"/>
      <x v="1"/>
      <x v="4"/>
    </i>
    <i>
      <x v="234"/>
      <x v="32"/>
      <x v="1"/>
      <x v="7"/>
    </i>
    <i>
      <x v="766"/>
      <x v="87"/>
      <x v="1"/>
      <x v="3"/>
    </i>
    <i>
      <x v="388"/>
      <x v="63"/>
      <x v="1"/>
      <x v="2"/>
    </i>
    <i>
      <x v="410"/>
      <x v="102"/>
      <x v="4"/>
      <x v="4"/>
    </i>
    <i>
      <x v="436"/>
      <x v="81"/>
      <x v="4"/>
      <x v="2"/>
    </i>
    <i>
      <x v="486"/>
      <x v="58"/>
      <x v="4"/>
      <x v="9"/>
    </i>
    <i>
      <x v="173"/>
      <x v="98"/>
      <x v="4"/>
      <x v="5"/>
    </i>
    <i>
      <x v="109"/>
      <x v="32"/>
      <x v="4"/>
      <x v="5"/>
    </i>
    <i>
      <x v="176"/>
      <x v="1"/>
      <x v="4"/>
      <x v="4"/>
    </i>
    <i>
      <x v="71"/>
      <x v="30"/>
      <x v="4"/>
      <x v="9"/>
    </i>
    <i>
      <x v="88"/>
      <x v="83"/>
      <x v="4"/>
      <x v="5"/>
    </i>
    <i>
      <x v="96"/>
      <x v="30"/>
      <x v="4"/>
      <x v="22"/>
    </i>
    <i>
      <x v="175"/>
      <x v="83"/>
      <x v="7"/>
      <x v="5"/>
    </i>
    <i>
      <x v="186"/>
      <x v="138"/>
      <x v="4"/>
      <x v="1"/>
    </i>
    <i>
      <x v="371"/>
      <x v="92"/>
      <x v="4"/>
      <x v="2"/>
    </i>
    <i>
      <x v="33"/>
      <x v="114"/>
      <x v="4"/>
      <x v="1"/>
    </i>
    <i>
      <x v="127"/>
      <x v="89"/>
      <x v="5"/>
      <x v="3"/>
    </i>
    <i>
      <x v="443"/>
      <x v="108"/>
      <x v="5"/>
      <x v="2"/>
    </i>
    <i>
      <x v="384"/>
      <x v="57"/>
      <x v="5"/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31" hier="-1"/>
    <pageField fld="35" item="0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1">
    <format dxfId="28">
      <pivotArea outline="0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0FD370-74E9-458D-89A3-321F8F9439E9}" name="Tableau croisé dynamique1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gridDropZones="1" multipleFieldFilters="0">
  <location ref="B5:I29" firstHeaderRow="1" firstDataRow="2" firstDataCol="4" rowPageCount="2" colPageCount="1"/>
  <pivotFields count="55">
    <pivotField axis="axisRow" compact="0" outline="0" showAll="0" sortType="descending" defaultSubtotal="0">
      <items count="7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compact="0" numFmtId="14" outline="0" showAll="0">
      <items count="731">
        <item x="186"/>
        <item x="658"/>
        <item x="218"/>
        <item x="530"/>
        <item x="391"/>
        <item x="710"/>
        <item x="595"/>
        <item x="670"/>
        <item x="554"/>
        <item x="664"/>
        <item x="293"/>
        <item x="202"/>
        <item x="674"/>
        <item x="297"/>
        <item x="260"/>
        <item x="140"/>
        <item x="141"/>
        <item x="104"/>
        <item x="291"/>
        <item x="160"/>
        <item x="352"/>
        <item x="80"/>
        <item x="303"/>
        <item x="348"/>
        <item x="561"/>
        <item x="68"/>
        <item x="562"/>
        <item x="566"/>
        <item x="64"/>
        <item x="234"/>
        <item x="342"/>
        <item x="671"/>
        <item x="191"/>
        <item x="41"/>
        <item x="135"/>
        <item x="365"/>
        <item x="341"/>
        <item x="169"/>
        <item x="200"/>
        <item x="60"/>
        <item x="518"/>
        <item x="19"/>
        <item x="563"/>
        <item x="86"/>
        <item x="374"/>
        <item x="662"/>
        <item x="289"/>
        <item x="2"/>
        <item x="509"/>
        <item x="30"/>
        <item x="627"/>
        <item x="346"/>
        <item x="201"/>
        <item x="37"/>
        <item x="661"/>
        <item x="576"/>
        <item x="384"/>
        <item x="373"/>
        <item x="646"/>
        <item x="386"/>
        <item x="345"/>
        <item x="257"/>
        <item x="134"/>
        <item x="21"/>
        <item x="243"/>
        <item x="529"/>
        <item x="62"/>
        <item x="143"/>
        <item x="385"/>
        <item x="237"/>
        <item x="546"/>
        <item x="680"/>
        <item x="8"/>
        <item x="195"/>
        <item x="714"/>
        <item x="631"/>
        <item x="77"/>
        <item x="333"/>
        <item x="679"/>
        <item x="430"/>
        <item x="339"/>
        <item x="269"/>
        <item x="629"/>
        <item x="319"/>
        <item x="330"/>
        <item x="558"/>
        <item x="504"/>
        <item x="372"/>
        <item x="270"/>
        <item x="265"/>
        <item x="199"/>
        <item x="162"/>
        <item x="203"/>
        <item x="76"/>
        <item x="723"/>
        <item x="267"/>
        <item x="301"/>
        <item x="528"/>
        <item x="669"/>
        <item x="684"/>
        <item x="371"/>
        <item x="700"/>
        <item x="625"/>
        <item x="124"/>
        <item x="621"/>
        <item x="708"/>
        <item x="258"/>
        <item x="235"/>
        <item x="244"/>
        <item x="228"/>
        <item x="502"/>
        <item x="347"/>
        <item x="147"/>
        <item x="123"/>
        <item x="508"/>
        <item x="583"/>
        <item x="57"/>
        <item x="387"/>
        <item x="600"/>
        <item x="608"/>
        <item x="659"/>
        <item x="598"/>
        <item x="24"/>
        <item x="665"/>
        <item x="540"/>
        <item x="602"/>
        <item x="163"/>
        <item x="547"/>
        <item x="503"/>
        <item x="432"/>
        <item x="20"/>
        <item x="431"/>
        <item x="338"/>
        <item x="161"/>
        <item x="366"/>
        <item x="125"/>
        <item x="332"/>
        <item x="204"/>
        <item x="575"/>
        <item x="427"/>
        <item x="227"/>
        <item x="318"/>
        <item x="48"/>
        <item x="573"/>
        <item x="378"/>
        <item x="603"/>
        <item x="542"/>
        <item x="4"/>
        <item x="247"/>
        <item x="300"/>
        <item x="578"/>
        <item x="136"/>
        <item x="28"/>
        <item x="241"/>
        <item x="395"/>
        <item x="23"/>
        <item x="220"/>
        <item x="475"/>
        <item x="22"/>
        <item x="660"/>
        <item x="594"/>
        <item x="274"/>
        <item x="425"/>
        <item x="59"/>
        <item x="617"/>
        <item x="651"/>
        <item x="725"/>
        <item x="640"/>
        <item x="709"/>
        <item x="34"/>
        <item x="468"/>
        <item x="548"/>
        <item x="707"/>
        <item x="47"/>
        <item x="533"/>
        <item x="574"/>
        <item x="26"/>
        <item x="196"/>
        <item x="108"/>
        <item x="148"/>
        <item x="14"/>
        <item x="685"/>
        <item x="712"/>
        <item x="357"/>
        <item x="696"/>
        <item x="359"/>
        <item x="451"/>
        <item x="340"/>
        <item x="279"/>
        <item x="553"/>
        <item x="613"/>
        <item x="328"/>
        <item x="552"/>
        <item x="121"/>
        <item x="106"/>
        <item x="295"/>
        <item x="159"/>
        <item x="519"/>
        <item x="217"/>
        <item x="144"/>
        <item x="137"/>
        <item x="122"/>
        <item x="695"/>
        <item x="63"/>
        <item x="389"/>
        <item x="156"/>
        <item x="87"/>
        <item x="154"/>
        <item x="489"/>
        <item x="522"/>
        <item x="706"/>
        <item x="151"/>
        <item x="70"/>
        <item x="356"/>
        <item x="360"/>
        <item x="634"/>
        <item x="505"/>
        <item x="53"/>
        <item x="559"/>
        <item x="500"/>
        <item x="390"/>
        <item x="626"/>
        <item x="515"/>
        <item x="606"/>
        <item x="179"/>
        <item x="46"/>
        <item x="577"/>
        <item x="336"/>
        <item x="396"/>
        <item x="493"/>
        <item x="610"/>
        <item x="719"/>
        <item x="622"/>
        <item x="229"/>
        <item x="211"/>
        <item x="694"/>
        <item x="6"/>
        <item x="208"/>
        <item x="657"/>
        <item x="601"/>
        <item x="579"/>
        <item x="499"/>
        <item x="128"/>
        <item x="398"/>
        <item x="724"/>
        <item x="329"/>
        <item x="343"/>
        <item x="682"/>
        <item x="219"/>
        <item x="337"/>
        <item x="271"/>
        <item x="449"/>
        <item x="99"/>
        <item x="592"/>
        <item x="512"/>
        <item x="377"/>
        <item x="72"/>
        <item x="456"/>
        <item x="527"/>
        <item x="663"/>
        <item x="672"/>
        <item x="589"/>
        <item x="194"/>
        <item x="597"/>
        <item x="655"/>
        <item x="15"/>
        <item x="497"/>
        <item x="102"/>
        <item x="703"/>
        <item x="305"/>
        <item x="643"/>
        <item x="544"/>
        <item x="101"/>
        <item x="638"/>
        <item x="296"/>
        <item x="523"/>
        <item x="308"/>
        <item x="3"/>
        <item x="467"/>
        <item x="150"/>
        <item x="334"/>
        <item x="240"/>
        <item x="58"/>
        <item x="698"/>
        <item x="331"/>
        <item x="413"/>
        <item x="642"/>
        <item x="532"/>
        <item x="126"/>
        <item x="605"/>
        <item x="238"/>
        <item x="17"/>
        <item x="250"/>
        <item x="224"/>
        <item x="98"/>
        <item x="61"/>
        <item x="242"/>
        <item x="704"/>
        <item x="206"/>
        <item x="667"/>
        <item x="516"/>
        <item x="170"/>
        <item x="187"/>
        <item x="521"/>
        <item x="105"/>
        <item x="668"/>
        <item x="520"/>
        <item x="131"/>
        <item x="116"/>
        <item x="118"/>
        <item x="364"/>
        <item x="214"/>
        <item x="287"/>
        <item x="165"/>
        <item x="666"/>
        <item x="619"/>
        <item x="705"/>
        <item x="35"/>
        <item x="535"/>
        <item x="18"/>
        <item x="604"/>
        <item x="419"/>
        <item x="588"/>
        <item x="618"/>
        <item x="189"/>
        <item x="439"/>
        <item x="358"/>
        <item x="82"/>
        <item x="223"/>
        <item x="720"/>
        <item x="176"/>
        <item x="209"/>
        <item x="255"/>
        <item x="517"/>
        <item x="262"/>
        <item x="94"/>
        <item x="379"/>
        <item x="292"/>
        <item x="677"/>
        <item x="50"/>
        <item x="481"/>
        <item x="531"/>
        <item x="281"/>
        <item x="272"/>
        <item x="513"/>
        <item x="97"/>
        <item x="182"/>
        <item x="549"/>
        <item x="236"/>
        <item x="263"/>
        <item x="39"/>
        <item x="180"/>
        <item x="103"/>
        <item x="424"/>
        <item x="580"/>
        <item x="498"/>
        <item x="718"/>
        <item x="91"/>
        <item x="442"/>
        <item x="110"/>
        <item x="73"/>
        <item x="215"/>
        <item x="66"/>
        <item x="42"/>
        <item x="726"/>
        <item x="423"/>
        <item x="335"/>
        <item x="130"/>
        <item x="429"/>
        <item x="400"/>
        <item x="113"/>
        <item x="611"/>
        <item x="464"/>
        <item x="152"/>
        <item x="90"/>
        <item x="307"/>
        <item x="171"/>
        <item x="36"/>
        <item x="221"/>
        <item x="382"/>
        <item x="482"/>
        <item x="445"/>
        <item x="89"/>
        <item x="652"/>
        <item x="495"/>
        <item x="256"/>
        <item x="392"/>
        <item x="702"/>
        <item x="593"/>
        <item x="496"/>
        <item x="207"/>
        <item x="344"/>
        <item x="701"/>
        <item x="525"/>
        <item x="268"/>
        <item x="49"/>
        <item x="133"/>
        <item x="178"/>
        <item x="722"/>
        <item x="539"/>
        <item x="100"/>
        <item x="571"/>
        <item x="729"/>
        <item x="630"/>
        <item x="205"/>
        <item x="74"/>
        <item x="394"/>
        <item x="488"/>
        <item x="620"/>
        <item x="653"/>
        <item x="304"/>
        <item x="407"/>
        <item x="75"/>
        <item x="193"/>
        <item x="397"/>
        <item x="69"/>
        <item x="9"/>
        <item x="164"/>
        <item x="678"/>
        <item x="299"/>
        <item x="615"/>
        <item x="479"/>
        <item x="54"/>
        <item x="473"/>
        <item x="444"/>
        <item x="711"/>
        <item x="409"/>
        <item x="435"/>
        <item x="322"/>
        <item x="155"/>
        <item x="276"/>
        <item x="545"/>
        <item x="623"/>
        <item x="584"/>
        <item x="362"/>
        <item x="349"/>
        <item x="306"/>
        <item x="311"/>
        <item x="675"/>
        <item x="85"/>
        <item x="222"/>
        <item x="713"/>
        <item x="230"/>
        <item x="644"/>
        <item x="453"/>
        <item x="288"/>
        <item x="446"/>
        <item x="501"/>
        <item x="197"/>
        <item x="616"/>
        <item x="120"/>
        <item x="298"/>
        <item x="354"/>
        <item x="92"/>
        <item x="612"/>
        <item x="440"/>
        <item x="537"/>
        <item x="699"/>
        <item x="132"/>
        <item x="480"/>
        <item x="29"/>
        <item x="417"/>
        <item x="226"/>
        <item x="538"/>
        <item x="408"/>
        <item x="403"/>
        <item x="686"/>
        <item x="284"/>
        <item x="581"/>
        <item x="188"/>
        <item x="233"/>
        <item x="465"/>
        <item x="95"/>
        <item x="309"/>
        <item x="469"/>
        <item x="192"/>
        <item x="168"/>
        <item x="511"/>
        <item x="381"/>
        <item x="351"/>
        <item x="491"/>
        <item x="278"/>
        <item x="302"/>
        <item x="177"/>
        <item x="67"/>
        <item x="406"/>
        <item x="65"/>
        <item x="146"/>
        <item x="676"/>
        <item x="27"/>
        <item x="591"/>
        <item x="0"/>
        <item x="412"/>
        <item x="438"/>
        <item x="639"/>
        <item x="716"/>
        <item x="5"/>
        <item x="647"/>
        <item x="388"/>
        <item x="83"/>
        <item x="569"/>
        <item x="13"/>
        <item x="599"/>
        <item x="12"/>
        <item x="494"/>
        <item x="459"/>
        <item x="454"/>
        <item x="252"/>
        <item x="633"/>
        <item x="483"/>
        <item x="11"/>
        <item x="715"/>
        <item x="399"/>
        <item x="587"/>
        <item x="461"/>
        <item x="596"/>
        <item x="25"/>
        <item x="139"/>
        <item x="415"/>
        <item x="510"/>
        <item x="693"/>
        <item x="294"/>
        <item x="551"/>
        <item x="16"/>
        <item x="56"/>
        <item x="51"/>
        <item x="32"/>
        <item x="506"/>
        <item x="277"/>
        <item x="323"/>
        <item x="368"/>
        <item x="145"/>
        <item x="259"/>
        <item x="280"/>
        <item x="534"/>
        <item x="286"/>
        <item x="285"/>
        <item x="486"/>
        <item x="367"/>
        <item x="609"/>
        <item x="485"/>
        <item x="249"/>
        <item x="158"/>
        <item x="457"/>
        <item x="10"/>
        <item x="45"/>
        <item x="418"/>
        <item x="383"/>
        <item x="568"/>
        <item x="632"/>
        <item x="320"/>
        <item x="405"/>
        <item x="142"/>
        <item x="261"/>
        <item x="324"/>
        <item x="656"/>
        <item x="216"/>
        <item x="420"/>
        <item x="641"/>
        <item x="264"/>
        <item x="184"/>
        <item x="648"/>
        <item x="635"/>
        <item x="316"/>
        <item x="44"/>
        <item x="312"/>
        <item x="78"/>
        <item x="434"/>
        <item x="93"/>
        <item x="717"/>
        <item x="88"/>
        <item x="490"/>
        <item x="426"/>
        <item x="321"/>
        <item x="127"/>
        <item x="433"/>
        <item x="115"/>
        <item x="448"/>
        <item x="7"/>
        <item x="166"/>
        <item x="325"/>
        <item x="174"/>
        <item x="458"/>
        <item x="466"/>
        <item x="149"/>
        <item x="231"/>
        <item x="460"/>
        <item x="582"/>
        <item x="428"/>
        <item x="452"/>
        <item x="273"/>
        <item x="411"/>
        <item x="353"/>
        <item x="1"/>
        <item x="477"/>
        <item x="543"/>
        <item x="96"/>
        <item x="114"/>
        <item x="507"/>
        <item x="275"/>
        <item x="649"/>
        <item x="688"/>
        <item x="474"/>
        <item x="614"/>
        <item x="109"/>
        <item x="443"/>
        <item x="393"/>
        <item x="84"/>
        <item x="138"/>
        <item x="167"/>
        <item x="650"/>
        <item x="38"/>
        <item x="376"/>
        <item x="81"/>
        <item x="350"/>
        <item x="175"/>
        <item x="673"/>
        <item x="402"/>
        <item x="607"/>
        <item x="317"/>
        <item x="487"/>
        <item x="687"/>
        <item x="550"/>
        <item x="683"/>
        <item x="246"/>
        <item x="33"/>
        <item x="416"/>
        <item x="157"/>
        <item x="728"/>
        <item x="71"/>
        <item x="254"/>
        <item x="172"/>
        <item x="185"/>
        <item x="363"/>
        <item x="355"/>
        <item x="380"/>
        <item x="565"/>
        <item x="421"/>
        <item x="239"/>
        <item x="314"/>
        <item x="198"/>
        <item x="232"/>
        <item x="112"/>
        <item x="43"/>
        <item x="492"/>
        <item x="119"/>
        <item x="471"/>
        <item x="536"/>
        <item x="570"/>
        <item x="564"/>
        <item x="40"/>
        <item x="455"/>
        <item x="404"/>
        <item x="369"/>
        <item x="326"/>
        <item x="117"/>
        <item x="245"/>
        <item x="310"/>
        <item x="251"/>
        <item x="414"/>
        <item x="447"/>
        <item x="524"/>
        <item x="253"/>
        <item x="555"/>
        <item x="422"/>
        <item x="450"/>
        <item x="514"/>
        <item x="315"/>
        <item x="107"/>
        <item x="689"/>
        <item x="645"/>
        <item x="153"/>
        <item x="586"/>
        <item x="654"/>
        <item x="441"/>
        <item x="436"/>
        <item x="692"/>
        <item x="691"/>
        <item x="462"/>
        <item x="590"/>
        <item x="282"/>
        <item x="560"/>
        <item x="484"/>
        <item x="79"/>
        <item x="375"/>
        <item x="225"/>
        <item x="585"/>
        <item x="401"/>
        <item x="476"/>
        <item x="637"/>
        <item x="283"/>
        <item x="572"/>
        <item x="526"/>
        <item x="472"/>
        <item x="129"/>
        <item x="470"/>
        <item x="567"/>
        <item x="410"/>
        <item x="181"/>
        <item x="290"/>
        <item x="183"/>
        <item x="556"/>
        <item x="697"/>
        <item x="213"/>
        <item x="463"/>
        <item x="31"/>
        <item x="690"/>
        <item x="636"/>
        <item x="624"/>
        <item x="266"/>
        <item x="721"/>
        <item x="727"/>
        <item x="313"/>
        <item x="248"/>
        <item x="212"/>
        <item x="628"/>
        <item x="55"/>
        <item x="478"/>
        <item x="210"/>
        <item x="327"/>
        <item x="173"/>
        <item x="437"/>
        <item x="370"/>
        <item x="111"/>
        <item x="52"/>
        <item x="541"/>
        <item x="557"/>
        <item x="361"/>
        <item x="190"/>
        <item x="68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6"/>
        <item x="1"/>
        <item x="7"/>
        <item x="4"/>
        <item x="2"/>
        <item x="0"/>
        <item x="3"/>
        <item x="5"/>
      </items>
    </pivotField>
    <pivotField compact="0" outline="0" showAll="0"/>
    <pivotField axis="axisRow" compact="0" outline="0" showAll="0">
      <items count="27">
        <item x="14"/>
        <item x="11"/>
        <item x="6"/>
        <item x="10"/>
        <item x="1"/>
        <item x="2"/>
        <item x="8"/>
        <item x="7"/>
        <item x="0"/>
        <item x="3"/>
        <item x="5"/>
        <item x="15"/>
        <item x="4"/>
        <item x="20"/>
        <item x="9"/>
        <item x="18"/>
        <item x="17"/>
        <item x="19"/>
        <item x="24"/>
        <item x="16"/>
        <item x="25"/>
        <item x="22"/>
        <item x="12"/>
        <item x="23"/>
        <item x="13"/>
        <item x="21"/>
        <item t="default"/>
      </items>
    </pivotField>
    <pivotField axis="axisPage" compact="0" outline="0" multipleItemSelectionAllowed="1" showAll="0">
      <items count="7">
        <item h="1" x="2"/>
        <item h="1" x="5"/>
        <item h="1" x="4"/>
        <item x="1"/>
        <item h="1" x="3"/>
        <item h="1" x="0"/>
        <item t="default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1">
        <item x="22"/>
        <item x="85"/>
        <item x="130"/>
        <item x="68"/>
        <item x="4"/>
        <item x="48"/>
        <item x="62"/>
        <item x="125"/>
        <item x="112"/>
        <item x="65"/>
        <item x="24"/>
        <item x="137"/>
        <item x="118"/>
        <item x="111"/>
        <item x="126"/>
        <item x="79"/>
        <item x="9"/>
        <item x="0"/>
        <item x="30"/>
        <item x="16"/>
        <item x="38"/>
        <item x="110"/>
        <item x="18"/>
        <item x="114"/>
        <item x="51"/>
        <item x="133"/>
        <item x="116"/>
        <item x="28"/>
        <item x="23"/>
        <item x="78"/>
        <item x="27"/>
        <item x="32"/>
        <item x="13"/>
        <item x="17"/>
        <item x="53"/>
        <item x="92"/>
        <item x="138"/>
        <item x="25"/>
        <item x="108"/>
        <item x="41"/>
        <item x="105"/>
        <item x="135"/>
        <item x="71"/>
        <item x="136"/>
        <item x="93"/>
        <item x="54"/>
        <item x="102"/>
        <item x="74"/>
        <item x="37"/>
        <item x="60"/>
        <item x="52"/>
        <item x="100"/>
        <item x="15"/>
        <item x="34"/>
        <item x="115"/>
        <item x="120"/>
        <item x="89"/>
        <item x="35"/>
        <item x="43"/>
        <item x="86"/>
        <item x="69"/>
        <item x="10"/>
        <item x="73"/>
        <item x="80"/>
        <item x="45"/>
        <item x="12"/>
        <item x="97"/>
        <item x="106"/>
        <item x="122"/>
        <item x="107"/>
        <item x="123"/>
        <item x="61"/>
        <item x="81"/>
        <item x="11"/>
        <item x="76"/>
        <item x="88"/>
        <item x="50"/>
        <item x="121"/>
        <item x="124"/>
        <item x="75"/>
        <item x="67"/>
        <item x="82"/>
        <item x="127"/>
        <item x="36"/>
        <item x="104"/>
        <item x="128"/>
        <item x="90"/>
        <item x="1"/>
        <item x="96"/>
        <item x="39"/>
        <item x="113"/>
        <item x="131"/>
        <item x="49"/>
        <item x="31"/>
        <item x="77"/>
        <item x="40"/>
        <item x="140"/>
        <item x="47"/>
        <item x="63"/>
        <item x="21"/>
        <item x="5"/>
        <item x="119"/>
        <item x="94"/>
        <item x="56"/>
        <item x="20"/>
        <item x="103"/>
        <item x="26"/>
        <item x="84"/>
        <item x="58"/>
        <item x="99"/>
        <item x="64"/>
        <item x="14"/>
        <item x="33"/>
        <item x="59"/>
        <item x="29"/>
        <item x="139"/>
        <item x="70"/>
        <item x="2"/>
        <item x="57"/>
        <item x="117"/>
        <item x="134"/>
        <item x="109"/>
        <item x="101"/>
        <item x="7"/>
        <item x="44"/>
        <item x="42"/>
        <item x="95"/>
        <item x="8"/>
        <item x="19"/>
        <item x="91"/>
        <item x="83"/>
        <item x="72"/>
        <item x="55"/>
        <item x="6"/>
        <item x="98"/>
        <item x="129"/>
        <item x="66"/>
        <item x="132"/>
        <item x="87"/>
        <item x="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4">
    <field x="0"/>
    <field x="46"/>
    <field x="28"/>
    <field x="30"/>
  </rowFields>
  <rowItems count="23">
    <i>
      <x v="562"/>
      <x v="137"/>
      <x v="3"/>
      <x v="8"/>
    </i>
    <i>
      <x v="469"/>
      <x v="58"/>
      <x v="2"/>
      <x v="4"/>
    </i>
    <i>
      <x v="326"/>
      <x v="100"/>
      <x v="6"/>
      <x v="8"/>
    </i>
    <i>
      <x v="717"/>
      <x v="59"/>
      <x v="3"/>
      <x v="4"/>
    </i>
    <i>
      <x v="459"/>
      <x v="135"/>
      <x v="6"/>
      <x v="4"/>
    </i>
    <i>
      <x v="471"/>
      <x v="114"/>
      <x v="1"/>
      <x v="14"/>
    </i>
    <i>
      <x v="477"/>
      <x v="18"/>
      <x v="1"/>
      <x v="8"/>
    </i>
    <i>
      <x v="505"/>
      <x v="87"/>
      <x v="1"/>
      <x v="6"/>
    </i>
    <i>
      <x v="249"/>
      <x v="32"/>
      <x v="1"/>
      <x v="6"/>
    </i>
    <i>
      <x v="347"/>
      <x v="90"/>
      <x v="1"/>
      <x v="6"/>
    </i>
    <i>
      <x v="279"/>
      <x v="140"/>
      <x v="4"/>
      <x v="10"/>
    </i>
    <i>
      <x v="419"/>
      <x v="77"/>
      <x v="1"/>
      <x v="4"/>
    </i>
    <i>
      <x v="762"/>
      <x v="114"/>
      <x v="1"/>
      <x v="4"/>
    </i>
    <i>
      <x v="624"/>
      <x v="103"/>
      <x v="4"/>
      <x v="3"/>
    </i>
    <i>
      <x v="258"/>
      <x v="53"/>
      <x v="1"/>
      <x v="3"/>
    </i>
    <i>
      <x v="752"/>
      <x v="4"/>
      <x v="4"/>
      <x v="6"/>
    </i>
    <i>
      <x v="722"/>
      <x v="30"/>
      <x v="4"/>
      <x v="6"/>
    </i>
    <i>
      <x v="358"/>
      <x v="103"/>
      <x v="4"/>
      <x v="3"/>
    </i>
    <i>
      <x v="569"/>
      <x v="41"/>
      <x v="4"/>
      <x v="3"/>
    </i>
    <i>
      <x v="730"/>
      <x v="55"/>
      <x/>
      <x v="4"/>
    </i>
    <i>
      <x v="632"/>
      <x v="41"/>
      <x/>
      <x v="3"/>
    </i>
    <i>
      <x v="491"/>
      <x v="55"/>
      <x v="5"/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31" hier="-1"/>
    <pageField fld="35" item="1" hier="-1"/>
  </pageFields>
  <dataFields count="4">
    <dataField name="Somme de Arrache" fld="12" baseField="0" baseItem="0"/>
    <dataField name="Somme de EpJete" fld="18" baseField="0" baseItem="0"/>
    <dataField name="Somme de PoidsTotal" fld="24" baseField="0" baseItem="0"/>
    <dataField name="Somme de IWF" fld="34" baseField="0" baseItem="0" numFmtId="165"/>
  </dataFields>
  <formats count="1">
    <format dxfId="27">
      <pivotArea outline="0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3.xml"/><Relationship Id="rId13" Type="http://schemas.openxmlformats.org/officeDocument/2006/relationships/pivotTable" Target="../pivotTables/pivotTable18.xml"/><Relationship Id="rId18" Type="http://schemas.openxmlformats.org/officeDocument/2006/relationships/pivotTable" Target="../pivotTables/pivotTable23.xml"/><Relationship Id="rId3" Type="http://schemas.openxmlformats.org/officeDocument/2006/relationships/pivotTable" Target="../pivotTables/pivotTable8.xml"/><Relationship Id="rId7" Type="http://schemas.openxmlformats.org/officeDocument/2006/relationships/pivotTable" Target="../pivotTables/pivotTable12.xml"/><Relationship Id="rId12" Type="http://schemas.openxmlformats.org/officeDocument/2006/relationships/pivotTable" Target="../pivotTables/pivotTable17.xml"/><Relationship Id="rId17" Type="http://schemas.openxmlformats.org/officeDocument/2006/relationships/pivotTable" Target="../pivotTables/pivotTable22.xml"/><Relationship Id="rId2" Type="http://schemas.openxmlformats.org/officeDocument/2006/relationships/pivotTable" Target="../pivotTables/pivotTable7.xml"/><Relationship Id="rId16" Type="http://schemas.openxmlformats.org/officeDocument/2006/relationships/pivotTable" Target="../pivotTables/pivotTable21.xml"/><Relationship Id="rId20" Type="http://schemas.openxmlformats.org/officeDocument/2006/relationships/drawing" Target="../drawings/drawing2.xml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11" Type="http://schemas.openxmlformats.org/officeDocument/2006/relationships/pivotTable" Target="../pivotTables/pivotTable16.xml"/><Relationship Id="rId5" Type="http://schemas.openxmlformats.org/officeDocument/2006/relationships/pivotTable" Target="../pivotTables/pivotTable10.xml"/><Relationship Id="rId15" Type="http://schemas.openxmlformats.org/officeDocument/2006/relationships/pivotTable" Target="../pivotTables/pivotTable20.xml"/><Relationship Id="rId10" Type="http://schemas.openxmlformats.org/officeDocument/2006/relationships/pivotTable" Target="../pivotTables/pivotTable15.xml"/><Relationship Id="rId19" Type="http://schemas.openxmlformats.org/officeDocument/2006/relationships/pivotTable" Target="../pivotTables/pivotTable24.xml"/><Relationship Id="rId4" Type="http://schemas.openxmlformats.org/officeDocument/2006/relationships/pivotTable" Target="../pivotTables/pivotTable9.xml"/><Relationship Id="rId9" Type="http://schemas.openxmlformats.org/officeDocument/2006/relationships/pivotTable" Target="../pivotTables/pivotTable14.xml"/><Relationship Id="rId14" Type="http://schemas.openxmlformats.org/officeDocument/2006/relationships/pivotTable" Target="../pivotTables/pivotTable1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3050F-D512-45DA-9776-E9A073D86B0A}">
  <sheetPr>
    <tabColor rgb="FFFFC000"/>
  </sheetPr>
  <dimension ref="B2:J58"/>
  <sheetViews>
    <sheetView tabSelected="1" workbookViewId="0">
      <selection activeCell="B44" sqref="B44"/>
    </sheetView>
  </sheetViews>
  <sheetFormatPr baseColWidth="10" defaultRowHeight="15" x14ac:dyDescent="0.25"/>
  <cols>
    <col min="2" max="2" width="25.28515625" bestFit="1" customWidth="1"/>
    <col min="3" max="9" width="19.140625" bestFit="1" customWidth="1"/>
    <col min="10" max="10" width="12.5703125" bestFit="1" customWidth="1"/>
    <col min="11" max="17" width="4.42578125" bestFit="1" customWidth="1"/>
    <col min="18" max="18" width="7.42578125" bestFit="1" customWidth="1"/>
  </cols>
  <sheetData>
    <row r="2" spans="2:10" ht="21" x14ac:dyDescent="0.35">
      <c r="B2" s="20" t="s">
        <v>4538</v>
      </c>
    </row>
    <row r="4" spans="2:10" x14ac:dyDescent="0.25">
      <c r="B4" s="5" t="s">
        <v>4523</v>
      </c>
    </row>
    <row r="5" spans="2:10" x14ac:dyDescent="0.25">
      <c r="B5" s="24" t="s">
        <v>4524</v>
      </c>
      <c r="C5" s="24"/>
      <c r="D5" s="24"/>
      <c r="E5" s="24"/>
      <c r="F5" s="24"/>
    </row>
    <row r="6" spans="2:10" x14ac:dyDescent="0.25">
      <c r="B6" s="24" t="s">
        <v>4525</v>
      </c>
      <c r="C6" s="24"/>
      <c r="D6" s="24"/>
      <c r="E6" s="24"/>
      <c r="F6" s="24"/>
    </row>
    <row r="7" spans="2:10" x14ac:dyDescent="0.25">
      <c r="B7" s="24" t="s">
        <v>4540</v>
      </c>
      <c r="C7" s="24"/>
      <c r="D7" s="24"/>
      <c r="E7" s="24"/>
      <c r="F7" s="24"/>
    </row>
    <row r="9" spans="2:10" x14ac:dyDescent="0.25">
      <c r="B9" s="5" t="s">
        <v>4509</v>
      </c>
      <c r="G9" s="5" t="s">
        <v>4510</v>
      </c>
    </row>
    <row r="10" spans="2:10" x14ac:dyDescent="0.25">
      <c r="B10" s="2" t="s">
        <v>27</v>
      </c>
      <c r="C10" t="s">
        <v>126</v>
      </c>
      <c r="G10" s="2" t="s">
        <v>27</v>
      </c>
      <c r="H10" t="s">
        <v>126</v>
      </c>
    </row>
    <row r="11" spans="2:10" x14ac:dyDescent="0.25">
      <c r="B11" s="2" t="s">
        <v>31</v>
      </c>
      <c r="C11" t="s">
        <v>132</v>
      </c>
      <c r="G11" s="2" t="s">
        <v>31</v>
      </c>
      <c r="H11" t="s">
        <v>52</v>
      </c>
    </row>
    <row r="13" spans="2:10" x14ac:dyDescent="0.25">
      <c r="B13" s="2" t="s">
        <v>4442</v>
      </c>
      <c r="G13" s="2" t="s">
        <v>4442</v>
      </c>
    </row>
    <row r="14" spans="2:10" x14ac:dyDescent="0.25">
      <c r="B14" s="2" t="s">
        <v>24</v>
      </c>
      <c r="C14" t="s">
        <v>4437</v>
      </c>
      <c r="G14" s="2" t="s">
        <v>24</v>
      </c>
      <c r="H14" t="s">
        <v>4437</v>
      </c>
    </row>
    <row r="15" spans="2:10" x14ac:dyDescent="0.25">
      <c r="B15" t="s">
        <v>98</v>
      </c>
      <c r="C15" s="4">
        <v>7</v>
      </c>
      <c r="D15" s="13">
        <v>2.8455284552845527E-2</v>
      </c>
      <c r="G15" t="s">
        <v>98</v>
      </c>
      <c r="H15" s="4">
        <v>2</v>
      </c>
      <c r="I15" s="13">
        <v>1.1627906976744186E-2</v>
      </c>
    </row>
    <row r="16" spans="2:10" x14ac:dyDescent="0.25">
      <c r="B16" t="s">
        <v>94</v>
      </c>
      <c r="C16" s="4">
        <v>53</v>
      </c>
      <c r="D16" s="13">
        <v>0.21544715447154472</v>
      </c>
      <c r="E16" s="11" t="s">
        <v>4456</v>
      </c>
      <c r="G16" t="s">
        <v>94</v>
      </c>
      <c r="H16" s="4">
        <v>20</v>
      </c>
      <c r="I16" s="13">
        <v>0.11627906976744186</v>
      </c>
      <c r="J16" s="11" t="s">
        <v>4457</v>
      </c>
    </row>
    <row r="17" spans="2:10" x14ac:dyDescent="0.25">
      <c r="B17" t="s">
        <v>89</v>
      </c>
      <c r="C17" s="4">
        <v>73</v>
      </c>
      <c r="D17" s="13">
        <v>0.2967479674796748</v>
      </c>
      <c r="G17" t="s">
        <v>89</v>
      </c>
      <c r="H17" s="4">
        <v>49</v>
      </c>
      <c r="I17" s="13">
        <v>0.28488372093023256</v>
      </c>
    </row>
    <row r="18" spans="2:10" x14ac:dyDescent="0.25">
      <c r="B18" t="s">
        <v>93</v>
      </c>
      <c r="C18" s="4">
        <v>83</v>
      </c>
      <c r="D18" s="13">
        <v>0.33739837398373984</v>
      </c>
      <c r="G18" t="s">
        <v>93</v>
      </c>
      <c r="H18" s="4">
        <v>58</v>
      </c>
      <c r="I18" s="13">
        <v>0.33720930232558138</v>
      </c>
    </row>
    <row r="19" spans="2:10" x14ac:dyDescent="0.25">
      <c r="B19" t="s">
        <v>64</v>
      </c>
      <c r="C19" s="4">
        <v>8</v>
      </c>
      <c r="D19" s="13">
        <v>3.2520325203252036E-2</v>
      </c>
      <c r="G19" t="s">
        <v>64</v>
      </c>
      <c r="H19" s="4">
        <v>20</v>
      </c>
      <c r="I19" s="13">
        <v>0.11627906976744186</v>
      </c>
    </row>
    <row r="20" spans="2:10" x14ac:dyDescent="0.25">
      <c r="B20" s="8" t="s">
        <v>49</v>
      </c>
      <c r="C20" s="9">
        <v>22</v>
      </c>
      <c r="D20" s="13">
        <v>8.943089430894309E-2</v>
      </c>
      <c r="E20" t="s">
        <v>4504</v>
      </c>
      <c r="G20" t="s">
        <v>56</v>
      </c>
      <c r="H20" s="4">
        <v>2</v>
      </c>
      <c r="I20" s="13">
        <v>1.1627906976744186E-2</v>
      </c>
    </row>
    <row r="21" spans="2:10" x14ac:dyDescent="0.25">
      <c r="B21" t="s">
        <v>4433</v>
      </c>
      <c r="C21" s="4">
        <v>246</v>
      </c>
      <c r="G21" s="8" t="s">
        <v>49</v>
      </c>
      <c r="H21" s="9">
        <v>21</v>
      </c>
      <c r="I21" s="13">
        <v>0.12209302325581395</v>
      </c>
      <c r="J21" t="s">
        <v>4505</v>
      </c>
    </row>
    <row r="22" spans="2:10" x14ac:dyDescent="0.25">
      <c r="G22" t="s">
        <v>4433</v>
      </c>
      <c r="H22" s="4">
        <v>172</v>
      </c>
    </row>
    <row r="25" spans="2:10" x14ac:dyDescent="0.25">
      <c r="B25" s="5" t="s">
        <v>4535</v>
      </c>
    </row>
    <row r="26" spans="2:10" x14ac:dyDescent="0.25">
      <c r="B26" t="s">
        <v>4533</v>
      </c>
    </row>
    <row r="27" spans="2:10" x14ac:dyDescent="0.25">
      <c r="B27" t="s">
        <v>4534</v>
      </c>
    </row>
    <row r="29" spans="2:10" x14ac:dyDescent="0.25">
      <c r="B29" t="s">
        <v>4536</v>
      </c>
    </row>
    <row r="30" spans="2:10" x14ac:dyDescent="0.25">
      <c r="B30" t="s">
        <v>4537</v>
      </c>
    </row>
    <row r="31" spans="2:10" x14ac:dyDescent="0.25">
      <c r="B31" t="s">
        <v>4539</v>
      </c>
    </row>
    <row r="33" spans="2:6" x14ac:dyDescent="0.25">
      <c r="B33" s="2" t="s">
        <v>4532</v>
      </c>
      <c r="C33" s="3">
        <v>1</v>
      </c>
      <c r="E33" s="2" t="s">
        <v>4531</v>
      </c>
      <c r="F33" s="3">
        <v>1</v>
      </c>
    </row>
    <row r="35" spans="2:6" x14ac:dyDescent="0.25">
      <c r="B35" s="2" t="s">
        <v>4442</v>
      </c>
      <c r="E35" s="2" t="s">
        <v>4442</v>
      </c>
    </row>
    <row r="36" spans="2:6" x14ac:dyDescent="0.25">
      <c r="B36" s="2" t="s">
        <v>31</v>
      </c>
      <c r="C36" t="s">
        <v>4437</v>
      </c>
      <c r="E36" s="2" t="s">
        <v>0</v>
      </c>
      <c r="F36" t="s">
        <v>4437</v>
      </c>
    </row>
    <row r="37" spans="2:6" x14ac:dyDescent="0.25">
      <c r="B37" t="s">
        <v>132</v>
      </c>
      <c r="C37" s="4">
        <v>28</v>
      </c>
      <c r="D37">
        <f>GETPIVOTDATA("DateNaissance",$B$35,"Sexe","F")/GETPIVOTDATA("DateNaissance",$B$13)</f>
        <v>0.11382113821138211</v>
      </c>
      <c r="E37" t="s">
        <v>1023</v>
      </c>
      <c r="F37" s="4">
        <v>1</v>
      </c>
    </row>
    <row r="38" spans="2:6" x14ac:dyDescent="0.25">
      <c r="B38" t="s">
        <v>52</v>
      </c>
      <c r="C38" s="4">
        <v>14</v>
      </c>
      <c r="D38">
        <f>GETPIVOTDATA("DateNaissance",$B$35,"Sexe","M")/GETPIVOTDATA("DateNaissance",$G$13)</f>
        <v>8.1395348837209308E-2</v>
      </c>
      <c r="E38" t="s">
        <v>3780</v>
      </c>
      <c r="F38" s="4">
        <v>1</v>
      </c>
    </row>
    <row r="39" spans="2:6" x14ac:dyDescent="0.25">
      <c r="B39" t="s">
        <v>4433</v>
      </c>
      <c r="C39" s="4">
        <v>42</v>
      </c>
      <c r="E39" t="s">
        <v>4433</v>
      </c>
      <c r="F39" s="4">
        <v>2</v>
      </c>
    </row>
    <row r="42" spans="2:6" x14ac:dyDescent="0.25">
      <c r="B42" s="23" t="s">
        <v>4527</v>
      </c>
    </row>
    <row r="43" spans="2:6" x14ac:dyDescent="0.25">
      <c r="B43" s="24" t="s">
        <v>4541</v>
      </c>
      <c r="C43" s="24"/>
      <c r="D43" s="24"/>
      <c r="E43" s="24"/>
    </row>
    <row r="44" spans="2:6" x14ac:dyDescent="0.25">
      <c r="B44" s="24" t="s">
        <v>4528</v>
      </c>
      <c r="C44" s="24"/>
      <c r="D44" s="24"/>
      <c r="E44" s="24"/>
    </row>
    <row r="47" spans="2:6" x14ac:dyDescent="0.25">
      <c r="B47" s="2" t="s">
        <v>27</v>
      </c>
      <c r="C47" t="s">
        <v>126</v>
      </c>
    </row>
    <row r="49" spans="2:10" x14ac:dyDescent="0.25">
      <c r="B49" s="2" t="s">
        <v>4442</v>
      </c>
      <c r="C49" s="2" t="s">
        <v>4526</v>
      </c>
    </row>
    <row r="50" spans="2:10" x14ac:dyDescent="0.25">
      <c r="B50" s="2" t="s">
        <v>31</v>
      </c>
      <c r="C50">
        <v>0</v>
      </c>
      <c r="D50">
        <v>1</v>
      </c>
      <c r="E50">
        <v>2</v>
      </c>
      <c r="F50">
        <v>3</v>
      </c>
      <c r="G50">
        <v>4</v>
      </c>
      <c r="H50">
        <v>5</v>
      </c>
      <c r="I50">
        <v>6</v>
      </c>
      <c r="J50" t="s">
        <v>4433</v>
      </c>
    </row>
    <row r="51" spans="2:10" x14ac:dyDescent="0.25">
      <c r="B51" t="s">
        <v>132</v>
      </c>
      <c r="C51" s="25">
        <v>2.4390243902439025E-2</v>
      </c>
      <c r="D51" s="25">
        <v>4.065040650406504E-2</v>
      </c>
      <c r="E51" s="25">
        <v>0.17073170731707318</v>
      </c>
      <c r="F51" s="25">
        <v>0.24390243902439024</v>
      </c>
      <c r="G51" s="25">
        <v>0.26422764227642276</v>
      </c>
      <c r="H51" s="25">
        <v>0.18292682926829268</v>
      </c>
      <c r="I51" s="25">
        <v>7.3170731707317069E-2</v>
      </c>
      <c r="J51" s="25">
        <v>1</v>
      </c>
    </row>
    <row r="52" spans="2:10" x14ac:dyDescent="0.25">
      <c r="B52" t="s">
        <v>52</v>
      </c>
      <c r="C52" s="25">
        <v>2.3255813953488372E-2</v>
      </c>
      <c r="D52" s="25">
        <v>5.8139534883720929E-2</v>
      </c>
      <c r="E52" s="25">
        <v>0.16860465116279069</v>
      </c>
      <c r="F52" s="25">
        <v>0.25</v>
      </c>
      <c r="G52" s="25">
        <v>0.2558139534883721</v>
      </c>
      <c r="H52" s="25">
        <v>0.19186046511627908</v>
      </c>
      <c r="I52" s="25">
        <v>5.232558139534884E-2</v>
      </c>
      <c r="J52" s="25">
        <v>1</v>
      </c>
    </row>
    <row r="53" spans="2:10" x14ac:dyDescent="0.25">
      <c r="B53" t="s">
        <v>4433</v>
      </c>
      <c r="C53" s="25">
        <v>2.3923444976076555E-2</v>
      </c>
      <c r="D53" s="25">
        <v>4.784688995215311E-2</v>
      </c>
      <c r="E53" s="25">
        <v>0.16985645933014354</v>
      </c>
      <c r="F53" s="25">
        <v>0.24641148325358853</v>
      </c>
      <c r="G53" s="25">
        <v>0.26076555023923442</v>
      </c>
      <c r="H53" s="25">
        <v>0.18660287081339713</v>
      </c>
      <c r="I53" s="25">
        <v>6.4593301435406703E-2</v>
      </c>
      <c r="J53" s="25">
        <v>1</v>
      </c>
    </row>
    <row r="57" spans="2:10" x14ac:dyDescent="0.25">
      <c r="B57" s="5" t="s">
        <v>4529</v>
      </c>
    </row>
    <row r="58" spans="2:10" x14ac:dyDescent="0.25">
      <c r="B58" s="24" t="s">
        <v>4530</v>
      </c>
      <c r="C58" s="24"/>
      <c r="D58" s="24"/>
      <c r="E58" s="24"/>
    </row>
  </sheetData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6395E-DB33-4E4F-8BF1-04BF8EFE945D}">
  <sheetPr>
    <tabColor rgb="FFFFC000"/>
  </sheetPr>
  <dimension ref="B1:U594"/>
  <sheetViews>
    <sheetView topLeftCell="A18" workbookViewId="0">
      <selection activeCell="I35" sqref="I35:I41"/>
    </sheetView>
  </sheetViews>
  <sheetFormatPr baseColWidth="10" defaultRowHeight="15" x14ac:dyDescent="0.25"/>
  <cols>
    <col min="2" max="2" width="25.7109375" bestFit="1" customWidth="1"/>
    <col min="3" max="4" width="21.5703125" bestFit="1" customWidth="1"/>
    <col min="5" max="5" width="12.5703125" bestFit="1" customWidth="1"/>
    <col min="6" max="6" width="20.7109375" bestFit="1" customWidth="1"/>
    <col min="7" max="7" width="25.28515625" bestFit="1" customWidth="1"/>
    <col min="8" max="8" width="6.7109375" style="6" bestFit="1" customWidth="1"/>
    <col min="9" max="9" width="21.5703125" bestFit="1" customWidth="1"/>
    <col min="10" max="10" width="12.5703125" bestFit="1" customWidth="1"/>
    <col min="11" max="12" width="25.28515625" bestFit="1" customWidth="1"/>
    <col min="13" max="13" width="6.7109375" bestFit="1" customWidth="1"/>
    <col min="14" max="14" width="25.28515625" bestFit="1" customWidth="1"/>
    <col min="15" max="15" width="21.5703125" bestFit="1" customWidth="1"/>
    <col min="16" max="16" width="15.7109375" bestFit="1" customWidth="1"/>
    <col min="17" max="17" width="25.28515625" bestFit="1" customWidth="1"/>
    <col min="18" max="19" width="21.5703125" bestFit="1" customWidth="1"/>
    <col min="20" max="20" width="12.5703125" bestFit="1" customWidth="1"/>
  </cols>
  <sheetData>
    <row r="1" spans="2:15" ht="21" x14ac:dyDescent="0.35">
      <c r="B1" s="20" t="s">
        <v>4516</v>
      </c>
    </row>
    <row r="3" spans="2:15" x14ac:dyDescent="0.25">
      <c r="B3" s="12" t="s">
        <v>4515</v>
      </c>
      <c r="G3" t="s">
        <v>4517</v>
      </c>
    </row>
    <row r="4" spans="2:15" x14ac:dyDescent="0.25">
      <c r="L4" s="2" t="s">
        <v>24</v>
      </c>
      <c r="M4" t="s">
        <v>4435</v>
      </c>
      <c r="N4" s="2" t="s">
        <v>24</v>
      </c>
      <c r="O4" t="s">
        <v>4435</v>
      </c>
    </row>
    <row r="5" spans="2:15" x14ac:dyDescent="0.25">
      <c r="B5" s="2" t="s">
        <v>24</v>
      </c>
      <c r="C5" t="s">
        <v>4435</v>
      </c>
      <c r="G5" s="2" t="s">
        <v>24</v>
      </c>
      <c r="H5" t="s">
        <v>4435</v>
      </c>
      <c r="L5" s="2" t="s">
        <v>31</v>
      </c>
      <c r="M5" t="s">
        <v>132</v>
      </c>
      <c r="N5" s="2" t="s">
        <v>31</v>
      </c>
      <c r="O5" t="s">
        <v>52</v>
      </c>
    </row>
    <row r="6" spans="2:15" x14ac:dyDescent="0.25">
      <c r="G6" s="2" t="s">
        <v>27</v>
      </c>
      <c r="H6" t="s">
        <v>4436</v>
      </c>
      <c r="L6" s="2" t="s">
        <v>27</v>
      </c>
      <c r="M6" t="s">
        <v>4436</v>
      </c>
      <c r="N6" s="2" t="s">
        <v>27</v>
      </c>
      <c r="O6" t="s">
        <v>4436</v>
      </c>
    </row>
    <row r="7" spans="2:15" x14ac:dyDescent="0.25">
      <c r="B7" s="2" t="s">
        <v>4442</v>
      </c>
      <c r="C7" s="2" t="s">
        <v>31</v>
      </c>
      <c r="H7"/>
    </row>
    <row r="8" spans="2:15" x14ac:dyDescent="0.25">
      <c r="B8" s="2" t="s">
        <v>27</v>
      </c>
      <c r="C8" t="s">
        <v>132</v>
      </c>
      <c r="D8" t="s">
        <v>52</v>
      </c>
      <c r="E8" t="s">
        <v>4433</v>
      </c>
      <c r="G8" s="2" t="s">
        <v>4442</v>
      </c>
      <c r="H8" s="2" t="s">
        <v>31</v>
      </c>
      <c r="L8" s="2" t="s">
        <v>4442</v>
      </c>
      <c r="N8" s="2" t="s">
        <v>4442</v>
      </c>
    </row>
    <row r="9" spans="2:15" x14ac:dyDescent="0.25">
      <c r="B9" t="s">
        <v>57</v>
      </c>
      <c r="C9" s="4">
        <v>54</v>
      </c>
      <c r="D9" s="4">
        <v>22</v>
      </c>
      <c r="E9" s="4">
        <v>76</v>
      </c>
      <c r="G9" s="2" t="s">
        <v>43</v>
      </c>
      <c r="H9" t="s">
        <v>132</v>
      </c>
      <c r="I9" t="s">
        <v>52</v>
      </c>
      <c r="J9" t="s">
        <v>4433</v>
      </c>
      <c r="L9" s="2" t="s">
        <v>26</v>
      </c>
      <c r="M9" t="s">
        <v>4437</v>
      </c>
      <c r="N9" s="2" t="s">
        <v>26</v>
      </c>
      <c r="O9" t="s">
        <v>4437</v>
      </c>
    </row>
    <row r="10" spans="2:15" x14ac:dyDescent="0.25">
      <c r="B10" t="s">
        <v>95</v>
      </c>
      <c r="C10" s="4">
        <v>52</v>
      </c>
      <c r="D10" s="4">
        <v>25</v>
      </c>
      <c r="E10" s="4">
        <v>77</v>
      </c>
      <c r="G10" t="s">
        <v>128</v>
      </c>
      <c r="H10" s="4">
        <v>59</v>
      </c>
      <c r="I10" s="4">
        <v>42</v>
      </c>
      <c r="J10" s="4">
        <v>101</v>
      </c>
      <c r="L10">
        <v>40</v>
      </c>
      <c r="M10" s="4">
        <v>3</v>
      </c>
      <c r="N10">
        <v>49</v>
      </c>
      <c r="O10" s="4">
        <v>6</v>
      </c>
    </row>
    <row r="11" spans="2:15" x14ac:dyDescent="0.25">
      <c r="B11" t="s">
        <v>113</v>
      </c>
      <c r="C11" s="4">
        <v>61</v>
      </c>
      <c r="D11" s="4">
        <v>42</v>
      </c>
      <c r="E11" s="4">
        <v>103</v>
      </c>
      <c r="G11" t="s">
        <v>68</v>
      </c>
      <c r="H11" s="4">
        <v>49</v>
      </c>
      <c r="I11" s="4">
        <v>28</v>
      </c>
      <c r="J11" s="4">
        <v>77</v>
      </c>
      <c r="L11">
        <v>45</v>
      </c>
      <c r="M11" s="4">
        <v>17</v>
      </c>
      <c r="N11">
        <v>55</v>
      </c>
      <c r="O11" s="4">
        <v>10</v>
      </c>
    </row>
    <row r="12" spans="2:15" x14ac:dyDescent="0.25">
      <c r="B12" t="s">
        <v>126</v>
      </c>
      <c r="C12" s="4">
        <v>246</v>
      </c>
      <c r="D12" s="4">
        <v>172</v>
      </c>
      <c r="E12" s="4">
        <v>418</v>
      </c>
      <c r="G12" t="s">
        <v>91</v>
      </c>
      <c r="H12" s="4">
        <v>42</v>
      </c>
      <c r="I12" s="4">
        <v>33</v>
      </c>
      <c r="J12" s="4">
        <v>75</v>
      </c>
      <c r="L12">
        <v>49</v>
      </c>
      <c r="M12" s="4">
        <v>28</v>
      </c>
      <c r="N12">
        <v>61</v>
      </c>
      <c r="O12" s="4">
        <v>23</v>
      </c>
    </row>
    <row r="13" spans="2:15" x14ac:dyDescent="0.25">
      <c r="B13" t="s">
        <v>4433</v>
      </c>
      <c r="C13" s="4">
        <v>413</v>
      </c>
      <c r="D13" s="4">
        <v>261</v>
      </c>
      <c r="E13" s="4">
        <v>674</v>
      </c>
      <c r="G13" t="s">
        <v>140</v>
      </c>
      <c r="H13" s="4">
        <v>44</v>
      </c>
      <c r="I13" s="4">
        <v>23</v>
      </c>
      <c r="J13" s="4">
        <v>67</v>
      </c>
      <c r="L13">
        <v>55</v>
      </c>
      <c r="M13" s="4">
        <v>81</v>
      </c>
      <c r="N13">
        <v>67</v>
      </c>
      <c r="O13" s="4">
        <v>25</v>
      </c>
    </row>
    <row r="14" spans="2:15" x14ac:dyDescent="0.25">
      <c r="G14" t="s">
        <v>170</v>
      </c>
      <c r="H14" s="4">
        <v>30</v>
      </c>
      <c r="I14" s="4">
        <v>28</v>
      </c>
      <c r="J14" s="4">
        <v>58</v>
      </c>
      <c r="L14">
        <v>59</v>
      </c>
      <c r="M14" s="4">
        <v>85</v>
      </c>
      <c r="N14">
        <v>73</v>
      </c>
      <c r="O14" s="4">
        <v>43</v>
      </c>
    </row>
    <row r="15" spans="2:15" x14ac:dyDescent="0.25">
      <c r="G15" t="s">
        <v>54</v>
      </c>
      <c r="H15" s="4">
        <v>35</v>
      </c>
      <c r="I15" s="4">
        <v>18</v>
      </c>
      <c r="J15" s="4">
        <v>53</v>
      </c>
      <c r="L15">
        <v>64</v>
      </c>
      <c r="M15" s="4">
        <v>82</v>
      </c>
      <c r="N15">
        <v>81</v>
      </c>
      <c r="O15" s="4">
        <v>60</v>
      </c>
    </row>
    <row r="16" spans="2:15" x14ac:dyDescent="0.25">
      <c r="G16" t="s">
        <v>72</v>
      </c>
      <c r="H16" s="4">
        <v>25</v>
      </c>
      <c r="I16" s="4">
        <v>20</v>
      </c>
      <c r="J16" s="4">
        <v>45</v>
      </c>
      <c r="L16">
        <v>71</v>
      </c>
      <c r="M16" s="4">
        <v>67</v>
      </c>
      <c r="N16">
        <v>89</v>
      </c>
      <c r="O16" s="4">
        <v>45</v>
      </c>
    </row>
    <row r="17" spans="2:18" x14ac:dyDescent="0.25">
      <c r="G17" t="s">
        <v>173</v>
      </c>
      <c r="H17" s="4">
        <v>29</v>
      </c>
      <c r="I17" s="4">
        <v>12</v>
      </c>
      <c r="J17" s="4">
        <v>41</v>
      </c>
      <c r="L17">
        <v>76</v>
      </c>
      <c r="M17" s="4">
        <v>21</v>
      </c>
      <c r="N17">
        <v>96</v>
      </c>
      <c r="O17" s="4">
        <v>26</v>
      </c>
    </row>
    <row r="18" spans="2:18" x14ac:dyDescent="0.25">
      <c r="G18" t="s">
        <v>133</v>
      </c>
      <c r="H18" s="4">
        <v>24</v>
      </c>
      <c r="I18" s="4">
        <v>14</v>
      </c>
      <c r="J18" s="4">
        <v>38</v>
      </c>
      <c r="L18">
        <v>81</v>
      </c>
      <c r="M18" s="4">
        <v>12</v>
      </c>
      <c r="N18">
        <v>102</v>
      </c>
      <c r="O18" s="4">
        <v>11</v>
      </c>
    </row>
    <row r="19" spans="2:18" x14ac:dyDescent="0.25">
      <c r="G19" t="s">
        <v>145</v>
      </c>
      <c r="H19" s="4">
        <v>28</v>
      </c>
      <c r="I19" s="4">
        <v>9</v>
      </c>
      <c r="J19" s="4">
        <v>37</v>
      </c>
      <c r="L19">
        <v>87</v>
      </c>
      <c r="M19" s="4">
        <v>5</v>
      </c>
      <c r="N19">
        <v>109</v>
      </c>
      <c r="O19" s="4">
        <v>6</v>
      </c>
    </row>
    <row r="20" spans="2:18" x14ac:dyDescent="0.25">
      <c r="G20" t="s">
        <v>177</v>
      </c>
      <c r="H20" s="4">
        <v>17</v>
      </c>
      <c r="I20" s="4">
        <v>8</v>
      </c>
      <c r="J20" s="4">
        <v>25</v>
      </c>
      <c r="L20" s="16" t="s">
        <v>479</v>
      </c>
      <c r="M20" s="4">
        <v>5</v>
      </c>
      <c r="N20" s="16" t="s">
        <v>1010</v>
      </c>
      <c r="O20" s="4">
        <v>2</v>
      </c>
    </row>
    <row r="21" spans="2:18" x14ac:dyDescent="0.25">
      <c r="G21" t="s">
        <v>123</v>
      </c>
      <c r="H21" s="4">
        <v>11</v>
      </c>
      <c r="I21" s="4">
        <v>13</v>
      </c>
      <c r="J21" s="4">
        <v>24</v>
      </c>
      <c r="L21" s="16" t="s">
        <v>135</v>
      </c>
      <c r="M21" s="4">
        <v>7</v>
      </c>
      <c r="N21" s="16" t="s">
        <v>125</v>
      </c>
      <c r="O21" s="4">
        <v>4</v>
      </c>
    </row>
    <row r="22" spans="2:18" x14ac:dyDescent="0.25">
      <c r="G22" t="s">
        <v>303</v>
      </c>
      <c r="H22" s="4">
        <v>17</v>
      </c>
      <c r="I22" s="4">
        <v>7</v>
      </c>
      <c r="J22" s="4">
        <v>24</v>
      </c>
      <c r="L22" t="s">
        <v>4433</v>
      </c>
      <c r="M22" s="4">
        <v>413</v>
      </c>
      <c r="N22" t="s">
        <v>4433</v>
      </c>
      <c r="O22" s="4">
        <v>261</v>
      </c>
    </row>
    <row r="23" spans="2:18" x14ac:dyDescent="0.25">
      <c r="G23" t="s">
        <v>143</v>
      </c>
      <c r="H23" s="4">
        <v>3</v>
      </c>
      <c r="I23" s="4">
        <v>6</v>
      </c>
      <c r="J23" s="4">
        <v>9</v>
      </c>
    </row>
    <row r="24" spans="2:18" x14ac:dyDescent="0.25">
      <c r="G24" t="s">
        <v>4433</v>
      </c>
      <c r="H24" s="4">
        <v>413</v>
      </c>
      <c r="I24" s="4">
        <v>261</v>
      </c>
      <c r="J24" s="4">
        <v>674</v>
      </c>
    </row>
    <row r="26" spans="2:18" s="21" customFormat="1" ht="8.25" customHeight="1" x14ac:dyDescent="0.25">
      <c r="H26" s="22"/>
    </row>
    <row r="27" spans="2:18" x14ac:dyDescent="0.25">
      <c r="P27" s="6"/>
    </row>
    <row r="28" spans="2:18" x14ac:dyDescent="0.25">
      <c r="B28" s="12" t="s">
        <v>4520</v>
      </c>
      <c r="C28" s="12"/>
      <c r="D28" s="12"/>
      <c r="H28"/>
      <c r="J28" s="6"/>
      <c r="L28" s="12" t="s">
        <v>4519</v>
      </c>
      <c r="M28" s="12"/>
      <c r="N28" s="12"/>
      <c r="R28" s="6"/>
    </row>
    <row r="29" spans="2:18" x14ac:dyDescent="0.25">
      <c r="B29" s="5" t="s">
        <v>4509</v>
      </c>
      <c r="G29" s="5" t="s">
        <v>4510</v>
      </c>
      <c r="H29"/>
      <c r="L29" t="s">
        <v>4507</v>
      </c>
      <c r="Q29" t="s">
        <v>4508</v>
      </c>
    </row>
    <row r="30" spans="2:18" x14ac:dyDescent="0.25">
      <c r="B30" s="2" t="s">
        <v>27</v>
      </c>
      <c r="C30" t="s">
        <v>126</v>
      </c>
      <c r="G30" s="2" t="s">
        <v>27</v>
      </c>
      <c r="H30" t="s">
        <v>126</v>
      </c>
      <c r="L30" s="2" t="s">
        <v>27</v>
      </c>
      <c r="M30" t="s">
        <v>4436</v>
      </c>
      <c r="Q30" s="2" t="s">
        <v>27</v>
      </c>
      <c r="R30" t="s">
        <v>4436</v>
      </c>
    </row>
    <row r="31" spans="2:18" x14ac:dyDescent="0.25">
      <c r="B31" s="2" t="s">
        <v>31</v>
      </c>
      <c r="C31" t="s">
        <v>132</v>
      </c>
      <c r="G31" s="2" t="s">
        <v>31</v>
      </c>
      <c r="H31" t="s">
        <v>52</v>
      </c>
      <c r="L31" s="2" t="s">
        <v>31</v>
      </c>
      <c r="M31" t="s">
        <v>132</v>
      </c>
      <c r="Q31" s="2" t="s">
        <v>31</v>
      </c>
      <c r="R31" t="s">
        <v>52</v>
      </c>
    </row>
    <row r="32" spans="2:18" x14ac:dyDescent="0.25">
      <c r="H32"/>
    </row>
    <row r="33" spans="2:21" x14ac:dyDescent="0.25">
      <c r="B33" s="2" t="s">
        <v>4442</v>
      </c>
      <c r="G33" s="2" t="s">
        <v>4442</v>
      </c>
      <c r="H33"/>
      <c r="L33" s="2" t="s">
        <v>4442</v>
      </c>
      <c r="Q33" s="2" t="s">
        <v>4442</v>
      </c>
    </row>
    <row r="34" spans="2:21" x14ac:dyDescent="0.25">
      <c r="B34" s="2" t="s">
        <v>24</v>
      </c>
      <c r="C34" t="s">
        <v>4437</v>
      </c>
      <c r="G34" s="2" t="s">
        <v>24</v>
      </c>
      <c r="H34" t="s">
        <v>4437</v>
      </c>
      <c r="L34" s="2" t="s">
        <v>24</v>
      </c>
      <c r="M34" t="s">
        <v>4437</v>
      </c>
      <c r="Q34" s="2" t="s">
        <v>24</v>
      </c>
      <c r="R34" t="s">
        <v>4437</v>
      </c>
    </row>
    <row r="35" spans="2:21" x14ac:dyDescent="0.25">
      <c r="B35" s="8" t="s">
        <v>98</v>
      </c>
      <c r="C35" s="4">
        <v>7</v>
      </c>
      <c r="D35" s="13">
        <f>GETPIVOTDATA("DateNaissance",$B$33,"Serie",B35)/GETPIVOTDATA("DateNaissance",$B$33)</f>
        <v>2.8455284552845527E-2</v>
      </c>
      <c r="G35" s="8" t="s">
        <v>98</v>
      </c>
      <c r="H35" s="4">
        <v>2</v>
      </c>
      <c r="I35" s="13">
        <f>GETPIVOTDATA("DateNaissance",$G$33,"Serie",G35)/GETPIVOTDATA("DateNaissance",$G$33)</f>
        <v>1.1627906976744186E-2</v>
      </c>
      <c r="L35" s="8" t="s">
        <v>184</v>
      </c>
      <c r="M35" s="4">
        <v>4</v>
      </c>
      <c r="N35" s="13">
        <f>GETPIVOTDATA("DateNaissance",$L$33,"Serie",L35)/GETPIVOTDATA("DateNaissance",$L$33)</f>
        <v>2.3952095808383235E-2</v>
      </c>
      <c r="Q35" s="8" t="s">
        <v>184</v>
      </c>
      <c r="R35" s="4">
        <v>1</v>
      </c>
      <c r="S35" s="13">
        <f>GETPIVOTDATA("DateNaissance",$Q$33,"Serie",Q35)/GETPIVOTDATA("DateNaissance",$Q$33)</f>
        <v>1.1235955056179775E-2</v>
      </c>
    </row>
    <row r="36" spans="2:21" x14ac:dyDescent="0.25">
      <c r="B36" s="8" t="s">
        <v>94</v>
      </c>
      <c r="C36" s="4">
        <v>53</v>
      </c>
      <c r="D36" s="13">
        <f t="shared" ref="D36:D40" si="0">GETPIVOTDATA("DateNaissance",$B$33,"Serie",B36)/GETPIVOTDATA("DateNaissance",$B$33)</f>
        <v>0.21544715447154472</v>
      </c>
      <c r="E36" s="11" t="s">
        <v>4456</v>
      </c>
      <c r="G36" s="8" t="s">
        <v>94</v>
      </c>
      <c r="H36" s="4">
        <v>20</v>
      </c>
      <c r="I36" s="13">
        <f t="shared" ref="I36:I41" si="1">GETPIVOTDATA("DateNaissance",$G$33,"Serie",G36)/GETPIVOTDATA("DateNaissance",$G$33)</f>
        <v>0.11627906976744186</v>
      </c>
      <c r="J36" s="11" t="s">
        <v>4457</v>
      </c>
      <c r="L36" s="8" t="s">
        <v>98</v>
      </c>
      <c r="M36" s="4">
        <v>16</v>
      </c>
      <c r="N36" s="13">
        <f t="shared" ref="N36:N41" si="2">GETPIVOTDATA("DateNaissance",$L$33,"Serie",L36)/GETPIVOTDATA("DateNaissance",$L$33)</f>
        <v>9.580838323353294E-2</v>
      </c>
      <c r="O36" s="11"/>
      <c r="Q36" s="8" t="s">
        <v>98</v>
      </c>
      <c r="R36" s="4">
        <v>6</v>
      </c>
      <c r="S36" s="13">
        <f t="shared" ref="S36:S42" si="3">GETPIVOTDATA("DateNaissance",$Q$33,"Serie",Q36)/GETPIVOTDATA("DateNaissance",$Q$33)</f>
        <v>6.741573033707865E-2</v>
      </c>
    </row>
    <row r="37" spans="2:21" x14ac:dyDescent="0.25">
      <c r="B37" s="12" t="s">
        <v>89</v>
      </c>
      <c r="C37" s="4">
        <v>73</v>
      </c>
      <c r="D37" s="13">
        <f t="shared" si="0"/>
        <v>0.2967479674796748</v>
      </c>
      <c r="G37" s="12" t="s">
        <v>89</v>
      </c>
      <c r="H37" s="4">
        <v>49</v>
      </c>
      <c r="I37" s="13">
        <f t="shared" si="1"/>
        <v>0.28488372093023256</v>
      </c>
      <c r="L37" s="8" t="s">
        <v>94</v>
      </c>
      <c r="M37" s="4">
        <v>43</v>
      </c>
      <c r="N37" s="13">
        <f t="shared" si="2"/>
        <v>0.25748502994011974</v>
      </c>
      <c r="Q37" s="8" t="s">
        <v>94</v>
      </c>
      <c r="R37" s="4">
        <v>14</v>
      </c>
      <c r="S37" s="13">
        <f t="shared" si="3"/>
        <v>0.15730337078651685</v>
      </c>
    </row>
    <row r="38" spans="2:21" x14ac:dyDescent="0.25">
      <c r="B38" t="s">
        <v>93</v>
      </c>
      <c r="C38" s="4">
        <v>83</v>
      </c>
      <c r="D38" s="13">
        <f t="shared" si="0"/>
        <v>0.33739837398373984</v>
      </c>
      <c r="G38" t="s">
        <v>93</v>
      </c>
      <c r="H38" s="4">
        <v>58</v>
      </c>
      <c r="I38" s="13">
        <f t="shared" si="1"/>
        <v>0.33720930232558138</v>
      </c>
      <c r="L38" s="8" t="s">
        <v>89</v>
      </c>
      <c r="M38" s="4">
        <v>49</v>
      </c>
      <c r="N38" s="13">
        <f t="shared" si="2"/>
        <v>0.29341317365269459</v>
      </c>
      <c r="O38" s="14" t="str">
        <f>SUM(M35:M38) &amp; " qualif / 44% sont FED"</f>
        <v>112 qualif / 44% sont FED</v>
      </c>
      <c r="Q38" s="8" t="s">
        <v>89</v>
      </c>
      <c r="R38" s="4">
        <v>36</v>
      </c>
      <c r="S38" s="13">
        <f t="shared" si="3"/>
        <v>0.4044943820224719</v>
      </c>
      <c r="T38" t="str">
        <f>SUM(R35:R38) &amp; " qualif"</f>
        <v>57 qualif</v>
      </c>
      <c r="U38" t="s">
        <v>4506</v>
      </c>
    </row>
    <row r="39" spans="2:21" x14ac:dyDescent="0.25">
      <c r="B39" t="s">
        <v>64</v>
      </c>
      <c r="C39" s="4">
        <v>8</v>
      </c>
      <c r="D39" s="13">
        <f t="shared" si="0"/>
        <v>3.2520325203252036E-2</v>
      </c>
      <c r="G39" t="s">
        <v>64</v>
      </c>
      <c r="H39" s="4">
        <v>20</v>
      </c>
      <c r="I39" s="13">
        <f t="shared" si="1"/>
        <v>0.11627906976744186</v>
      </c>
      <c r="L39" t="s">
        <v>93</v>
      </c>
      <c r="M39" s="4">
        <v>37</v>
      </c>
      <c r="N39" s="13">
        <f t="shared" si="2"/>
        <v>0.22155688622754491</v>
      </c>
      <c r="Q39" t="s">
        <v>93</v>
      </c>
      <c r="R39" s="4">
        <v>20</v>
      </c>
      <c r="S39" s="13">
        <f t="shared" si="3"/>
        <v>0.2247191011235955</v>
      </c>
    </row>
    <row r="40" spans="2:21" x14ac:dyDescent="0.25">
      <c r="B40" t="s">
        <v>49</v>
      </c>
      <c r="C40" s="4">
        <v>22</v>
      </c>
      <c r="D40" s="13">
        <f t="shared" si="0"/>
        <v>8.943089430894309E-2</v>
      </c>
      <c r="E40" t="s">
        <v>4504</v>
      </c>
      <c r="G40" t="s">
        <v>56</v>
      </c>
      <c r="H40" s="4">
        <v>2</v>
      </c>
      <c r="I40" s="13">
        <f t="shared" si="1"/>
        <v>1.1627906976744186E-2</v>
      </c>
      <c r="L40" t="s">
        <v>64</v>
      </c>
      <c r="M40" s="4">
        <v>5</v>
      </c>
      <c r="N40" s="13">
        <f t="shared" si="2"/>
        <v>2.9940119760479042E-2</v>
      </c>
      <c r="Q40" t="s">
        <v>64</v>
      </c>
      <c r="R40" s="4">
        <v>2</v>
      </c>
      <c r="S40" s="13">
        <f t="shared" si="3"/>
        <v>2.247191011235955E-2</v>
      </c>
    </row>
    <row r="41" spans="2:21" x14ac:dyDescent="0.25">
      <c r="B41" t="s">
        <v>4433</v>
      </c>
      <c r="C41" s="4">
        <v>246</v>
      </c>
      <c r="G41" t="s">
        <v>49</v>
      </c>
      <c r="H41" s="4">
        <v>21</v>
      </c>
      <c r="I41" s="13">
        <f t="shared" si="1"/>
        <v>0.12209302325581395</v>
      </c>
      <c r="J41" t="s">
        <v>4505</v>
      </c>
      <c r="L41" t="s">
        <v>49</v>
      </c>
      <c r="M41" s="4">
        <v>13</v>
      </c>
      <c r="N41" s="13">
        <f t="shared" si="2"/>
        <v>7.7844311377245512E-2</v>
      </c>
      <c r="Q41" t="s">
        <v>56</v>
      </c>
      <c r="R41" s="4">
        <v>3</v>
      </c>
      <c r="S41" s="13">
        <f t="shared" si="3"/>
        <v>3.3707865168539325E-2</v>
      </c>
    </row>
    <row r="42" spans="2:21" x14ac:dyDescent="0.25">
      <c r="G42" t="s">
        <v>4433</v>
      </c>
      <c r="H42" s="4">
        <v>172</v>
      </c>
      <c r="L42" t="s">
        <v>4433</v>
      </c>
      <c r="M42" s="4">
        <v>167</v>
      </c>
      <c r="Q42" t="s">
        <v>49</v>
      </c>
      <c r="R42" s="4">
        <v>7</v>
      </c>
      <c r="S42" s="13">
        <f t="shared" si="3"/>
        <v>7.8651685393258425E-2</v>
      </c>
    </row>
    <row r="43" spans="2:21" x14ac:dyDescent="0.25">
      <c r="H43"/>
      <c r="Q43" t="s">
        <v>4433</v>
      </c>
      <c r="R43" s="4">
        <v>89</v>
      </c>
    </row>
    <row r="44" spans="2:21" s="21" customFormat="1" ht="9" customHeight="1" x14ac:dyDescent="0.25"/>
    <row r="45" spans="2:21" x14ac:dyDescent="0.25">
      <c r="H45"/>
    </row>
    <row r="46" spans="2:21" x14ac:dyDescent="0.25">
      <c r="B46" s="12" t="s">
        <v>4514</v>
      </c>
      <c r="C46" s="12"/>
      <c r="D46" s="12"/>
      <c r="H46"/>
    </row>
    <row r="47" spans="2:21" x14ac:dyDescent="0.25">
      <c r="H47"/>
    </row>
    <row r="48" spans="2:21" x14ac:dyDescent="0.25">
      <c r="B48" t="s">
        <v>4443</v>
      </c>
      <c r="G48" t="s">
        <v>4444</v>
      </c>
      <c r="H48"/>
    </row>
    <row r="49" spans="2:13" x14ac:dyDescent="0.25">
      <c r="B49" s="2" t="s">
        <v>31</v>
      </c>
      <c r="C49" t="s">
        <v>4435</v>
      </c>
      <c r="G49" s="2" t="s">
        <v>31</v>
      </c>
      <c r="H49" t="s">
        <v>132</v>
      </c>
      <c r="K49" s="2" t="s">
        <v>31</v>
      </c>
      <c r="L49" t="s">
        <v>52</v>
      </c>
    </row>
    <row r="50" spans="2:13" x14ac:dyDescent="0.25">
      <c r="B50" s="2" t="s">
        <v>24</v>
      </c>
      <c r="C50" t="s">
        <v>4436</v>
      </c>
      <c r="G50" s="2" t="s">
        <v>24</v>
      </c>
      <c r="H50" t="s">
        <v>4436</v>
      </c>
      <c r="K50" s="2" t="s">
        <v>24</v>
      </c>
      <c r="L50" t="s">
        <v>4436</v>
      </c>
    </row>
    <row r="51" spans="2:13" x14ac:dyDescent="0.25">
      <c r="B51" s="2" t="s">
        <v>27</v>
      </c>
      <c r="C51" t="s">
        <v>126</v>
      </c>
      <c r="G51" s="2" t="s">
        <v>27</v>
      </c>
      <c r="H51" t="s">
        <v>126</v>
      </c>
      <c r="K51" s="2" t="s">
        <v>27</v>
      </c>
      <c r="L51" t="s">
        <v>126</v>
      </c>
    </row>
    <row r="52" spans="2:13" x14ac:dyDescent="0.25">
      <c r="H52"/>
    </row>
    <row r="53" spans="2:13" x14ac:dyDescent="0.25">
      <c r="B53" s="2" t="s">
        <v>4442</v>
      </c>
      <c r="G53" s="2" t="s">
        <v>4442</v>
      </c>
      <c r="H53"/>
      <c r="K53" s="2" t="s">
        <v>4442</v>
      </c>
    </row>
    <row r="54" spans="2:13" x14ac:dyDescent="0.25">
      <c r="B54" s="2" t="s">
        <v>43</v>
      </c>
      <c r="C54" t="s">
        <v>4437</v>
      </c>
      <c r="G54" s="2" t="s">
        <v>26</v>
      </c>
      <c r="H54" t="s">
        <v>4437</v>
      </c>
      <c r="K54" s="2" t="s">
        <v>26</v>
      </c>
      <c r="L54" t="s">
        <v>4437</v>
      </c>
    </row>
    <row r="55" spans="2:13" x14ac:dyDescent="0.25">
      <c r="B55" s="14" t="s">
        <v>140</v>
      </c>
      <c r="C55" s="4">
        <v>15</v>
      </c>
      <c r="D55" s="13">
        <f>GETPIVOTDATA("DateNaissance",$B$53,"Ligue",B55)/GETPIVOTDATA("DateNaissance",$B$53)</f>
        <v>0.18292682926829268</v>
      </c>
      <c r="G55">
        <v>45</v>
      </c>
      <c r="H55" s="4">
        <v>2</v>
      </c>
      <c r="I55" s="13"/>
      <c r="K55">
        <v>67</v>
      </c>
      <c r="L55" s="4">
        <v>1</v>
      </c>
      <c r="M55" s="13"/>
    </row>
    <row r="56" spans="2:13" x14ac:dyDescent="0.25">
      <c r="B56" s="14" t="s">
        <v>128</v>
      </c>
      <c r="C56" s="4">
        <v>12</v>
      </c>
      <c r="D56" s="13">
        <f t="shared" ref="D56:D67" si="4">GETPIVOTDATA("DateNaissance",$B$53,"Ligue",B56)/GETPIVOTDATA("DateNaissance",$B$53)</f>
        <v>0.14634146341463414</v>
      </c>
      <c r="G56">
        <v>49</v>
      </c>
      <c r="H56" s="4">
        <v>2</v>
      </c>
      <c r="I56" s="13"/>
      <c r="K56">
        <v>73</v>
      </c>
      <c r="L56" s="4">
        <v>3</v>
      </c>
      <c r="M56" s="13"/>
    </row>
    <row r="57" spans="2:13" x14ac:dyDescent="0.25">
      <c r="B57" s="14" t="s">
        <v>91</v>
      </c>
      <c r="C57" s="4">
        <v>10</v>
      </c>
      <c r="D57" s="13">
        <f t="shared" si="4"/>
        <v>0.12195121951219512</v>
      </c>
      <c r="E57" t="s">
        <v>4447</v>
      </c>
      <c r="G57" s="14">
        <v>55</v>
      </c>
      <c r="H57" s="4">
        <v>13</v>
      </c>
      <c r="I57" s="13"/>
      <c r="K57" s="14">
        <v>81</v>
      </c>
      <c r="L57" s="4">
        <v>7</v>
      </c>
      <c r="M57" s="13"/>
    </row>
    <row r="58" spans="2:13" x14ac:dyDescent="0.25">
      <c r="B58" s="17" t="s">
        <v>54</v>
      </c>
      <c r="C58" s="4">
        <v>7</v>
      </c>
      <c r="D58" s="13">
        <f t="shared" si="4"/>
        <v>8.5365853658536592E-2</v>
      </c>
      <c r="G58" s="14">
        <v>59</v>
      </c>
      <c r="H58" s="4">
        <v>15</v>
      </c>
      <c r="I58" s="15" t="s">
        <v>4454</v>
      </c>
      <c r="K58" s="14">
        <v>89</v>
      </c>
      <c r="L58" s="4">
        <v>5</v>
      </c>
      <c r="M58" t="s">
        <v>4448</v>
      </c>
    </row>
    <row r="59" spans="2:13" x14ac:dyDescent="0.25">
      <c r="B59" t="s">
        <v>145</v>
      </c>
      <c r="C59" s="4">
        <v>7</v>
      </c>
      <c r="D59" s="13">
        <f t="shared" si="4"/>
        <v>8.5365853658536592E-2</v>
      </c>
      <c r="G59" s="14">
        <v>64</v>
      </c>
      <c r="H59" s="4">
        <v>13</v>
      </c>
      <c r="I59" s="13"/>
      <c r="K59">
        <v>96</v>
      </c>
      <c r="L59" s="4">
        <v>3</v>
      </c>
      <c r="M59" s="15"/>
    </row>
    <row r="60" spans="2:13" x14ac:dyDescent="0.25">
      <c r="B60" t="s">
        <v>170</v>
      </c>
      <c r="C60" s="4">
        <v>6</v>
      </c>
      <c r="D60" s="13">
        <f t="shared" si="4"/>
        <v>7.3170731707317069E-2</v>
      </c>
      <c r="G60" s="14">
        <v>71</v>
      </c>
      <c r="H60" s="4">
        <v>10</v>
      </c>
      <c r="I60" s="13"/>
      <c r="K60">
        <v>102</v>
      </c>
      <c r="L60" s="4">
        <v>1</v>
      </c>
      <c r="M60" s="13"/>
    </row>
    <row r="61" spans="2:13" x14ac:dyDescent="0.25">
      <c r="B61" t="s">
        <v>72</v>
      </c>
      <c r="C61" s="4">
        <v>5</v>
      </c>
      <c r="D61" s="13">
        <f t="shared" si="4"/>
        <v>6.097560975609756E-2</v>
      </c>
      <c r="G61">
        <v>76</v>
      </c>
      <c r="H61" s="4">
        <v>3</v>
      </c>
      <c r="I61" s="13"/>
      <c r="K61">
        <v>109</v>
      </c>
      <c r="L61" s="4">
        <v>2</v>
      </c>
      <c r="M61" s="13"/>
    </row>
    <row r="62" spans="2:13" x14ac:dyDescent="0.25">
      <c r="B62" t="s">
        <v>173</v>
      </c>
      <c r="C62" s="4">
        <v>5</v>
      </c>
      <c r="D62" s="13">
        <f t="shared" si="4"/>
        <v>6.097560975609756E-2</v>
      </c>
      <c r="G62">
        <v>81</v>
      </c>
      <c r="H62" s="4">
        <v>2</v>
      </c>
      <c r="I62" s="13"/>
      <c r="K62" t="s">
        <v>4433</v>
      </c>
      <c r="L62" s="4">
        <v>22</v>
      </c>
      <c r="M62" s="13"/>
    </row>
    <row r="63" spans="2:13" x14ac:dyDescent="0.25">
      <c r="B63" t="s">
        <v>133</v>
      </c>
      <c r="C63" s="4">
        <v>4</v>
      </c>
      <c r="D63" s="13">
        <f t="shared" si="4"/>
        <v>4.878048780487805E-2</v>
      </c>
      <c r="G63" t="s">
        <v>4433</v>
      </c>
      <c r="H63" s="4">
        <v>60</v>
      </c>
      <c r="I63" s="13" t="s">
        <v>4446</v>
      </c>
      <c r="M63" s="13"/>
    </row>
    <row r="64" spans="2:13" x14ac:dyDescent="0.25">
      <c r="B64" t="s">
        <v>68</v>
      </c>
      <c r="C64" s="4">
        <v>4</v>
      </c>
      <c r="D64" s="13">
        <f t="shared" si="4"/>
        <v>4.878048780487805E-2</v>
      </c>
      <c r="H64"/>
      <c r="M64" s="13"/>
    </row>
    <row r="65" spans="2:9" x14ac:dyDescent="0.25">
      <c r="B65" t="s">
        <v>303</v>
      </c>
      <c r="C65" s="4">
        <v>3</v>
      </c>
      <c r="D65" s="13">
        <f t="shared" si="4"/>
        <v>3.6585365853658534E-2</v>
      </c>
      <c r="H65"/>
      <c r="I65" s="13"/>
    </row>
    <row r="66" spans="2:9" x14ac:dyDescent="0.25">
      <c r="B66" t="s">
        <v>123</v>
      </c>
      <c r="C66" s="4">
        <v>2</v>
      </c>
      <c r="D66" s="13">
        <f t="shared" si="4"/>
        <v>2.4390243902439025E-2</v>
      </c>
      <c r="H66"/>
      <c r="I66" s="13"/>
    </row>
    <row r="67" spans="2:9" x14ac:dyDescent="0.25">
      <c r="B67" t="s">
        <v>177</v>
      </c>
      <c r="C67" s="4">
        <v>2</v>
      </c>
      <c r="D67" s="13">
        <f t="shared" si="4"/>
        <v>2.4390243902439025E-2</v>
      </c>
      <c r="H67"/>
      <c r="I67" s="13"/>
    </row>
    <row r="68" spans="2:9" x14ac:dyDescent="0.25">
      <c r="B68" t="s">
        <v>4433</v>
      </c>
      <c r="C68" s="4">
        <v>82</v>
      </c>
      <c r="H68"/>
    </row>
    <row r="69" spans="2:9" x14ac:dyDescent="0.25">
      <c r="H69"/>
    </row>
    <row r="70" spans="2:9" x14ac:dyDescent="0.25">
      <c r="H70"/>
    </row>
    <row r="71" spans="2:9" x14ac:dyDescent="0.25">
      <c r="H71"/>
    </row>
    <row r="72" spans="2:9" x14ac:dyDescent="0.25">
      <c r="H72"/>
    </row>
    <row r="73" spans="2:9" x14ac:dyDescent="0.25">
      <c r="H73"/>
    </row>
    <row r="74" spans="2:9" x14ac:dyDescent="0.25">
      <c r="H74"/>
    </row>
    <row r="75" spans="2:9" x14ac:dyDescent="0.25">
      <c r="H75"/>
    </row>
    <row r="76" spans="2:9" x14ac:dyDescent="0.25">
      <c r="H76"/>
    </row>
    <row r="77" spans="2:9" x14ac:dyDescent="0.25">
      <c r="H77"/>
    </row>
    <row r="78" spans="2:9" x14ac:dyDescent="0.25">
      <c r="H78"/>
    </row>
    <row r="79" spans="2:9" x14ac:dyDescent="0.25">
      <c r="H79"/>
    </row>
    <row r="80" spans="2:9" x14ac:dyDescent="0.25">
      <c r="H80"/>
    </row>
    <row r="81" spans="2:14" x14ac:dyDescent="0.25">
      <c r="H81"/>
    </row>
    <row r="82" spans="2:14" x14ac:dyDescent="0.25">
      <c r="H82"/>
    </row>
    <row r="83" spans="2:14" x14ac:dyDescent="0.25">
      <c r="H83"/>
    </row>
    <row r="84" spans="2:14" s="21" customFormat="1" ht="9" customHeight="1" x14ac:dyDescent="0.25"/>
    <row r="85" spans="2:14" x14ac:dyDescent="0.25">
      <c r="H85"/>
    </row>
    <row r="86" spans="2:14" x14ac:dyDescent="0.25">
      <c r="B86" s="12" t="s">
        <v>4521</v>
      </c>
      <c r="C86" s="12"/>
      <c r="D86" s="12"/>
      <c r="H86"/>
    </row>
    <row r="87" spans="2:14" x14ac:dyDescent="0.25">
      <c r="H87"/>
    </row>
    <row r="88" spans="2:14" x14ac:dyDescent="0.25">
      <c r="B88" t="s">
        <v>4443</v>
      </c>
      <c r="G88" t="s">
        <v>4444</v>
      </c>
      <c r="H88"/>
    </row>
    <row r="89" spans="2:14" x14ac:dyDescent="0.25">
      <c r="B89" s="2" t="s">
        <v>31</v>
      </c>
      <c r="C89" t="s">
        <v>4435</v>
      </c>
      <c r="G89" s="2" t="s">
        <v>31</v>
      </c>
      <c r="H89" t="s">
        <v>132</v>
      </c>
      <c r="L89" s="2" t="s">
        <v>31</v>
      </c>
      <c r="M89" t="s">
        <v>52</v>
      </c>
    </row>
    <row r="90" spans="2:14" x14ac:dyDescent="0.25">
      <c r="B90" s="2" t="s">
        <v>24</v>
      </c>
      <c r="C90" t="s">
        <v>89</v>
      </c>
      <c r="G90" s="2" t="s">
        <v>24</v>
      </c>
      <c r="H90" t="s">
        <v>89</v>
      </c>
      <c r="L90" s="2" t="s">
        <v>24</v>
      </c>
      <c r="M90" t="s">
        <v>89</v>
      </c>
    </row>
    <row r="91" spans="2:14" x14ac:dyDescent="0.25">
      <c r="B91" s="2" t="s">
        <v>27</v>
      </c>
      <c r="C91" t="s">
        <v>126</v>
      </c>
      <c r="G91" s="2" t="s">
        <v>27</v>
      </c>
      <c r="H91" t="s">
        <v>126</v>
      </c>
      <c r="L91" s="2" t="s">
        <v>27</v>
      </c>
      <c r="M91" t="s">
        <v>126</v>
      </c>
    </row>
    <row r="92" spans="2:14" x14ac:dyDescent="0.25">
      <c r="H92"/>
    </row>
    <row r="93" spans="2:14" x14ac:dyDescent="0.25">
      <c r="B93" s="2" t="s">
        <v>4442</v>
      </c>
      <c r="G93" s="2" t="s">
        <v>4442</v>
      </c>
      <c r="H93"/>
      <c r="L93" s="2" t="s">
        <v>4442</v>
      </c>
    </row>
    <row r="94" spans="2:14" x14ac:dyDescent="0.25">
      <c r="B94" s="2" t="s">
        <v>43</v>
      </c>
      <c r="C94" t="s">
        <v>4437</v>
      </c>
      <c r="G94" s="2" t="s">
        <v>26</v>
      </c>
      <c r="H94" t="s">
        <v>4437</v>
      </c>
      <c r="L94" s="2" t="s">
        <v>26</v>
      </c>
      <c r="M94" t="s">
        <v>4437</v>
      </c>
    </row>
    <row r="95" spans="2:14" x14ac:dyDescent="0.25">
      <c r="B95" s="14" t="s">
        <v>128</v>
      </c>
      <c r="C95" s="4">
        <v>20</v>
      </c>
      <c r="D95" s="13">
        <f>GETPIVOTDATA("DateNaissance",$B$94,"Ligue",B95)/GETPIVOTDATA("DateNaissance",$B$94)</f>
        <v>0.16393442622950818</v>
      </c>
      <c r="G95">
        <v>45</v>
      </c>
      <c r="H95" s="4">
        <v>1</v>
      </c>
      <c r="I95" s="13"/>
      <c r="L95" s="17">
        <v>55</v>
      </c>
      <c r="M95" s="4">
        <v>1</v>
      </c>
      <c r="N95" s="13"/>
    </row>
    <row r="96" spans="2:14" x14ac:dyDescent="0.25">
      <c r="B96" s="14" t="s">
        <v>91</v>
      </c>
      <c r="C96" s="4">
        <v>17</v>
      </c>
      <c r="D96" s="13">
        <f t="shared" ref="D96:D108" si="5">GETPIVOTDATA("DateNaissance",$B$94,"Ligue",B96)/GETPIVOTDATA("DateNaissance",$B$94)</f>
        <v>0.13934426229508196</v>
      </c>
      <c r="G96">
        <v>49</v>
      </c>
      <c r="H96" s="4">
        <v>5</v>
      </c>
      <c r="I96" s="13"/>
      <c r="L96">
        <v>61</v>
      </c>
      <c r="M96" s="4">
        <v>3</v>
      </c>
      <c r="N96" s="13"/>
    </row>
    <row r="97" spans="2:14" x14ac:dyDescent="0.25">
      <c r="B97" s="14" t="s">
        <v>72</v>
      </c>
      <c r="C97" s="4">
        <v>12</v>
      </c>
      <c r="D97" s="13">
        <f t="shared" si="5"/>
        <v>9.8360655737704916E-2</v>
      </c>
      <c r="E97" t="s">
        <v>4449</v>
      </c>
      <c r="G97" s="14">
        <v>55</v>
      </c>
      <c r="H97" s="4">
        <v>7</v>
      </c>
      <c r="I97" s="13"/>
      <c r="L97">
        <v>67</v>
      </c>
      <c r="M97" s="4">
        <v>2</v>
      </c>
      <c r="N97" s="13"/>
    </row>
    <row r="98" spans="2:14" x14ac:dyDescent="0.25">
      <c r="B98" s="14" t="s">
        <v>140</v>
      </c>
      <c r="C98" s="4">
        <v>12</v>
      </c>
      <c r="D98" s="13">
        <f t="shared" si="5"/>
        <v>9.8360655737704916E-2</v>
      </c>
      <c r="G98" s="14">
        <v>59</v>
      </c>
      <c r="H98" s="4">
        <v>17</v>
      </c>
      <c r="I98" s="15" t="s">
        <v>4445</v>
      </c>
      <c r="L98">
        <v>73</v>
      </c>
      <c r="M98" s="4">
        <v>4</v>
      </c>
    </row>
    <row r="99" spans="2:14" x14ac:dyDescent="0.25">
      <c r="B99" s="17" t="s">
        <v>54</v>
      </c>
      <c r="C99" s="4">
        <v>11</v>
      </c>
      <c r="D99" s="13">
        <f t="shared" si="5"/>
        <v>9.0163934426229511E-2</v>
      </c>
      <c r="G99" s="14">
        <v>64</v>
      </c>
      <c r="H99" s="4">
        <v>21</v>
      </c>
      <c r="I99" s="13" t="s">
        <v>4455</v>
      </c>
      <c r="L99" s="14">
        <v>81</v>
      </c>
      <c r="M99" s="4">
        <v>15</v>
      </c>
      <c r="N99" s="15"/>
    </row>
    <row r="100" spans="2:14" x14ac:dyDescent="0.25">
      <c r="B100" t="s">
        <v>170</v>
      </c>
      <c r="C100" s="4">
        <v>9</v>
      </c>
      <c r="D100" s="13">
        <f t="shared" si="5"/>
        <v>7.3770491803278687E-2</v>
      </c>
      <c r="G100">
        <v>71</v>
      </c>
      <c r="H100" s="4">
        <v>11</v>
      </c>
      <c r="I100" s="18" t="s">
        <v>4511</v>
      </c>
      <c r="L100" s="14">
        <v>89</v>
      </c>
      <c r="M100" s="4">
        <v>8</v>
      </c>
      <c r="N100" t="s">
        <v>4451</v>
      </c>
    </row>
    <row r="101" spans="2:14" x14ac:dyDescent="0.25">
      <c r="B101" t="s">
        <v>145</v>
      </c>
      <c r="C101" s="4">
        <v>8</v>
      </c>
      <c r="D101" s="13">
        <f t="shared" si="5"/>
        <v>6.5573770491803282E-2</v>
      </c>
      <c r="G101">
        <v>76</v>
      </c>
      <c r="H101" s="4">
        <v>8</v>
      </c>
      <c r="I101" s="13"/>
      <c r="L101" s="14">
        <v>96</v>
      </c>
      <c r="M101" s="4">
        <v>8</v>
      </c>
      <c r="N101" s="13" t="s">
        <v>4452</v>
      </c>
    </row>
    <row r="102" spans="2:14" x14ac:dyDescent="0.25">
      <c r="B102" t="s">
        <v>133</v>
      </c>
      <c r="C102" s="4">
        <v>7</v>
      </c>
      <c r="D102" s="13">
        <f t="shared" si="5"/>
        <v>5.737704918032787E-2</v>
      </c>
      <c r="G102">
        <v>87</v>
      </c>
      <c r="H102" s="4">
        <v>1</v>
      </c>
      <c r="I102" s="13"/>
      <c r="L102">
        <v>102</v>
      </c>
      <c r="M102" s="4">
        <v>6</v>
      </c>
      <c r="N102" s="13" t="s">
        <v>4453</v>
      </c>
    </row>
    <row r="103" spans="2:14" x14ac:dyDescent="0.25">
      <c r="B103" t="s">
        <v>68</v>
      </c>
      <c r="C103" s="4">
        <v>7</v>
      </c>
      <c r="D103" s="13">
        <f t="shared" si="5"/>
        <v>5.737704918032787E-2</v>
      </c>
      <c r="G103" t="s">
        <v>135</v>
      </c>
      <c r="H103" s="4">
        <v>2</v>
      </c>
      <c r="I103" s="13"/>
      <c r="L103">
        <v>109</v>
      </c>
      <c r="M103" s="4">
        <v>1</v>
      </c>
      <c r="N103" s="13"/>
    </row>
    <row r="104" spans="2:14" x14ac:dyDescent="0.25">
      <c r="B104" t="s">
        <v>173</v>
      </c>
      <c r="C104" s="4">
        <v>6</v>
      </c>
      <c r="D104" s="13">
        <f t="shared" si="5"/>
        <v>4.9180327868852458E-2</v>
      </c>
      <c r="G104" t="s">
        <v>4433</v>
      </c>
      <c r="H104" s="4">
        <v>73</v>
      </c>
      <c r="I104" t="s">
        <v>4450</v>
      </c>
      <c r="L104" t="s">
        <v>125</v>
      </c>
      <c r="M104" s="4">
        <v>1</v>
      </c>
      <c r="N104" s="13"/>
    </row>
    <row r="105" spans="2:14" x14ac:dyDescent="0.25">
      <c r="B105" t="s">
        <v>303</v>
      </c>
      <c r="C105" s="4">
        <v>5</v>
      </c>
      <c r="D105" s="13">
        <f t="shared" si="5"/>
        <v>4.0983606557377046E-2</v>
      </c>
      <c r="H105"/>
      <c r="I105" s="13"/>
      <c r="L105" t="s">
        <v>4433</v>
      </c>
      <c r="M105" s="4">
        <v>49</v>
      </c>
    </row>
    <row r="106" spans="2:14" x14ac:dyDescent="0.25">
      <c r="B106" t="s">
        <v>177</v>
      </c>
      <c r="C106" s="4">
        <v>4</v>
      </c>
      <c r="D106" s="13">
        <f t="shared" si="5"/>
        <v>3.2786885245901641E-2</v>
      </c>
      <c r="H106"/>
      <c r="I106" s="13"/>
    </row>
    <row r="107" spans="2:14" x14ac:dyDescent="0.25">
      <c r="B107" t="s">
        <v>143</v>
      </c>
      <c r="C107" s="4">
        <v>2</v>
      </c>
      <c r="D107" s="13">
        <f t="shared" si="5"/>
        <v>1.6393442622950821E-2</v>
      </c>
      <c r="G107" t="s">
        <v>4512</v>
      </c>
      <c r="H107"/>
      <c r="I107" s="13"/>
    </row>
    <row r="108" spans="2:14" x14ac:dyDescent="0.25">
      <c r="B108" t="s">
        <v>123</v>
      </c>
      <c r="C108" s="4">
        <v>2</v>
      </c>
      <c r="D108" s="13">
        <f t="shared" si="5"/>
        <v>1.6393442622950821E-2</v>
      </c>
      <c r="H108"/>
    </row>
    <row r="109" spans="2:14" x14ac:dyDescent="0.25">
      <c r="B109" t="s">
        <v>4433</v>
      </c>
      <c r="C109" s="4">
        <v>122</v>
      </c>
      <c r="H109"/>
    </row>
    <row r="110" spans="2:14" x14ac:dyDescent="0.25">
      <c r="H110"/>
    </row>
    <row r="111" spans="2:14" x14ac:dyDescent="0.25">
      <c r="H111"/>
    </row>
    <row r="112" spans="2:14" x14ac:dyDescent="0.25">
      <c r="H112"/>
    </row>
    <row r="113" spans="8:8" x14ac:dyDescent="0.25">
      <c r="H113"/>
    </row>
    <row r="114" spans="8:8" x14ac:dyDescent="0.25">
      <c r="H114"/>
    </row>
    <row r="115" spans="8:8" x14ac:dyDescent="0.25">
      <c r="H115"/>
    </row>
    <row r="116" spans="8:8" x14ac:dyDescent="0.25">
      <c r="H116"/>
    </row>
    <row r="117" spans="8:8" x14ac:dyDescent="0.25">
      <c r="H117"/>
    </row>
    <row r="118" spans="8:8" x14ac:dyDescent="0.25">
      <c r="H118"/>
    </row>
    <row r="119" spans="8:8" x14ac:dyDescent="0.25">
      <c r="H119"/>
    </row>
    <row r="120" spans="8:8" x14ac:dyDescent="0.25">
      <c r="H120"/>
    </row>
    <row r="121" spans="8:8" x14ac:dyDescent="0.25">
      <c r="H121"/>
    </row>
    <row r="122" spans="8:8" x14ac:dyDescent="0.25">
      <c r="H122"/>
    </row>
    <row r="123" spans="8:8" x14ac:dyDescent="0.25">
      <c r="H123"/>
    </row>
    <row r="124" spans="8:8" x14ac:dyDescent="0.25">
      <c r="H124"/>
    </row>
    <row r="125" spans="8:8" x14ac:dyDescent="0.25">
      <c r="H125"/>
    </row>
    <row r="126" spans="8:8" x14ac:dyDescent="0.25">
      <c r="H126"/>
    </row>
    <row r="127" spans="8:8" x14ac:dyDescent="0.25">
      <c r="H127"/>
    </row>
    <row r="128" spans="8:8" x14ac:dyDescent="0.25">
      <c r="H128"/>
    </row>
    <row r="129" spans="2:19" x14ac:dyDescent="0.25">
      <c r="H129"/>
    </row>
    <row r="130" spans="2:19" x14ac:dyDescent="0.25">
      <c r="H130"/>
    </row>
    <row r="131" spans="2:19" x14ac:dyDescent="0.25">
      <c r="B131" s="5" t="s">
        <v>4485</v>
      </c>
      <c r="H131"/>
      <c r="L131" t="s">
        <v>4509</v>
      </c>
    </row>
    <row r="132" spans="2:19" x14ac:dyDescent="0.25">
      <c r="B132" t="s">
        <v>4510</v>
      </c>
      <c r="H132"/>
      <c r="L132" s="2" t="s">
        <v>31</v>
      </c>
      <c r="M132" t="s">
        <v>132</v>
      </c>
    </row>
    <row r="133" spans="2:19" x14ac:dyDescent="0.25">
      <c r="B133" s="2" t="s">
        <v>31</v>
      </c>
      <c r="C133" t="s">
        <v>52</v>
      </c>
      <c r="H133"/>
      <c r="L133" s="2" t="s">
        <v>24</v>
      </c>
      <c r="M133" t="s">
        <v>4436</v>
      </c>
    </row>
    <row r="134" spans="2:19" x14ac:dyDescent="0.25">
      <c r="B134" s="2" t="s">
        <v>24</v>
      </c>
      <c r="C134" t="s">
        <v>4436</v>
      </c>
      <c r="H134"/>
      <c r="L134" s="2" t="s">
        <v>27</v>
      </c>
      <c r="M134" t="s">
        <v>126</v>
      </c>
    </row>
    <row r="135" spans="2:19" x14ac:dyDescent="0.25">
      <c r="B135" s="2" t="s">
        <v>27</v>
      </c>
      <c r="C135" t="s">
        <v>126</v>
      </c>
      <c r="H135"/>
      <c r="S135" s="13"/>
    </row>
    <row r="136" spans="2:19" x14ac:dyDescent="0.25">
      <c r="H136"/>
      <c r="L136" s="2" t="s">
        <v>4442</v>
      </c>
    </row>
    <row r="137" spans="2:19" x14ac:dyDescent="0.25">
      <c r="B137" s="2" t="s">
        <v>4442</v>
      </c>
      <c r="H137"/>
      <c r="L137" s="2" t="s">
        <v>4458</v>
      </c>
      <c r="M137" t="s">
        <v>4437</v>
      </c>
    </row>
    <row r="138" spans="2:19" x14ac:dyDescent="0.25">
      <c r="B138" s="2" t="s">
        <v>4458</v>
      </c>
      <c r="C138" t="s">
        <v>4437</v>
      </c>
      <c r="H138"/>
      <c r="L138" t="s">
        <v>4459</v>
      </c>
      <c r="M138" s="4">
        <v>1</v>
      </c>
    </row>
    <row r="139" spans="2:19" x14ac:dyDescent="0.25">
      <c r="B139" t="s">
        <v>4460</v>
      </c>
      <c r="C139" s="4">
        <v>1</v>
      </c>
      <c r="E139" t="s">
        <v>4483</v>
      </c>
      <c r="H139"/>
      <c r="L139" t="s">
        <v>4460</v>
      </c>
      <c r="M139" s="4">
        <v>1</v>
      </c>
    </row>
    <row r="140" spans="2:19" x14ac:dyDescent="0.25">
      <c r="B140" t="s">
        <v>4462</v>
      </c>
      <c r="C140" s="4">
        <v>1</v>
      </c>
      <c r="E140" s="6" t="s">
        <v>4484</v>
      </c>
      <c r="L140" t="s">
        <v>4461</v>
      </c>
      <c r="M140" s="4">
        <v>1</v>
      </c>
      <c r="O140" t="s">
        <v>4486</v>
      </c>
    </row>
    <row r="141" spans="2:19" x14ac:dyDescent="0.25">
      <c r="B141" t="s">
        <v>4465</v>
      </c>
      <c r="C141" s="4">
        <v>1</v>
      </c>
      <c r="L141" t="s">
        <v>4463</v>
      </c>
      <c r="M141" s="4">
        <v>1</v>
      </c>
      <c r="O141" s="6" t="s">
        <v>4487</v>
      </c>
    </row>
    <row r="142" spans="2:19" x14ac:dyDescent="0.25">
      <c r="B142" t="s">
        <v>4468</v>
      </c>
      <c r="C142" s="4">
        <v>2</v>
      </c>
      <c r="L142" t="s">
        <v>4464</v>
      </c>
      <c r="M142" s="4">
        <v>1</v>
      </c>
      <c r="O142" t="s">
        <v>4488</v>
      </c>
    </row>
    <row r="143" spans="2:19" x14ac:dyDescent="0.25">
      <c r="B143" t="s">
        <v>4469</v>
      </c>
      <c r="C143" s="4">
        <v>5</v>
      </c>
      <c r="H143"/>
      <c r="L143" t="s">
        <v>4466</v>
      </c>
      <c r="M143" s="4">
        <v>2</v>
      </c>
    </row>
    <row r="144" spans="2:19" x14ac:dyDescent="0.25">
      <c r="B144" t="s">
        <v>4470</v>
      </c>
      <c r="C144" s="4">
        <v>4</v>
      </c>
      <c r="H144"/>
      <c r="L144" t="s">
        <v>4467</v>
      </c>
      <c r="M144" s="4">
        <v>6</v>
      </c>
    </row>
    <row r="145" spans="2:13" x14ac:dyDescent="0.25">
      <c r="B145" t="s">
        <v>4471</v>
      </c>
      <c r="C145" s="4">
        <v>2</v>
      </c>
      <c r="H145"/>
      <c r="L145" t="s">
        <v>4468</v>
      </c>
      <c r="M145" s="4">
        <v>5</v>
      </c>
    </row>
    <row r="146" spans="2:13" x14ac:dyDescent="0.25">
      <c r="B146" t="s">
        <v>4472</v>
      </c>
      <c r="C146" s="4">
        <v>5</v>
      </c>
      <c r="H146"/>
      <c r="L146" t="s">
        <v>4469</v>
      </c>
      <c r="M146" s="4">
        <v>5</v>
      </c>
    </row>
    <row r="147" spans="2:13" x14ac:dyDescent="0.25">
      <c r="B147" t="s">
        <v>4473</v>
      </c>
      <c r="C147" s="4">
        <v>7</v>
      </c>
      <c r="H147"/>
      <c r="L147" t="s">
        <v>4470</v>
      </c>
      <c r="M147" s="4">
        <v>4</v>
      </c>
    </row>
    <row r="148" spans="2:13" x14ac:dyDescent="0.25">
      <c r="B148" t="s">
        <v>4474</v>
      </c>
      <c r="C148" s="4">
        <v>6</v>
      </c>
      <c r="H148"/>
      <c r="L148" t="s">
        <v>4471</v>
      </c>
      <c r="M148" s="4">
        <v>13</v>
      </c>
    </row>
    <row r="149" spans="2:13" x14ac:dyDescent="0.25">
      <c r="B149" t="s">
        <v>4475</v>
      </c>
      <c r="C149" s="4">
        <v>5</v>
      </c>
      <c r="H149"/>
      <c r="L149" t="s">
        <v>4472</v>
      </c>
      <c r="M149" s="4">
        <v>3</v>
      </c>
    </row>
    <row r="150" spans="2:13" x14ac:dyDescent="0.25">
      <c r="B150" t="s">
        <v>4476</v>
      </c>
      <c r="C150" s="4">
        <v>6</v>
      </c>
      <c r="H150"/>
      <c r="L150" t="s">
        <v>4473</v>
      </c>
      <c r="M150" s="4">
        <v>7</v>
      </c>
    </row>
    <row r="151" spans="2:13" x14ac:dyDescent="0.25">
      <c r="B151" t="s">
        <v>4477</v>
      </c>
      <c r="C151" s="4">
        <v>3</v>
      </c>
      <c r="H151"/>
      <c r="L151" t="s">
        <v>4474</v>
      </c>
      <c r="M151" s="4">
        <v>5</v>
      </c>
    </row>
    <row r="152" spans="2:13" x14ac:dyDescent="0.25">
      <c r="B152" t="s">
        <v>4478</v>
      </c>
      <c r="C152" s="4">
        <v>5</v>
      </c>
      <c r="H152"/>
      <c r="L152" t="s">
        <v>4475</v>
      </c>
      <c r="M152" s="4">
        <v>11</v>
      </c>
    </row>
    <row r="153" spans="2:13" x14ac:dyDescent="0.25">
      <c r="B153" t="s">
        <v>4479</v>
      </c>
      <c r="C153" s="4">
        <v>7</v>
      </c>
      <c r="H153"/>
      <c r="L153" t="s">
        <v>4476</v>
      </c>
      <c r="M153" s="4">
        <v>14</v>
      </c>
    </row>
    <row r="154" spans="2:13" x14ac:dyDescent="0.25">
      <c r="B154" t="s">
        <v>4480</v>
      </c>
      <c r="C154" s="4">
        <v>4</v>
      </c>
      <c r="H154"/>
      <c r="L154" t="s">
        <v>4477</v>
      </c>
      <c r="M154" s="4">
        <v>8</v>
      </c>
    </row>
    <row r="155" spans="2:13" x14ac:dyDescent="0.25">
      <c r="B155" t="s">
        <v>4481</v>
      </c>
      <c r="C155" s="4">
        <v>2</v>
      </c>
      <c r="H155"/>
      <c r="L155" t="s">
        <v>4478</v>
      </c>
      <c r="M155" s="4">
        <v>9</v>
      </c>
    </row>
    <row r="156" spans="2:13" x14ac:dyDescent="0.25">
      <c r="B156" t="s">
        <v>4482</v>
      </c>
      <c r="C156" s="4">
        <v>5</v>
      </c>
      <c r="H156"/>
      <c r="L156" t="s">
        <v>4479</v>
      </c>
      <c r="M156" s="4">
        <v>7</v>
      </c>
    </row>
    <row r="157" spans="2:13" x14ac:dyDescent="0.25">
      <c r="B157" t="s">
        <v>4433</v>
      </c>
      <c r="C157" s="4">
        <v>71</v>
      </c>
      <c r="H157"/>
      <c r="L157" t="s">
        <v>4480</v>
      </c>
      <c r="M157" s="4">
        <v>12</v>
      </c>
    </row>
    <row r="158" spans="2:13" x14ac:dyDescent="0.25">
      <c r="H158"/>
      <c r="L158" t="s">
        <v>4481</v>
      </c>
      <c r="M158" s="4">
        <v>11</v>
      </c>
    </row>
    <row r="159" spans="2:13" x14ac:dyDescent="0.25">
      <c r="H159"/>
      <c r="L159" t="s">
        <v>4482</v>
      </c>
      <c r="M159" s="4">
        <v>6</v>
      </c>
    </row>
    <row r="160" spans="2:13" x14ac:dyDescent="0.25">
      <c r="H160"/>
      <c r="L160" t="s">
        <v>4433</v>
      </c>
      <c r="M160" s="4">
        <v>133</v>
      </c>
    </row>
    <row r="161" spans="2:17" x14ac:dyDescent="0.25">
      <c r="H161"/>
    </row>
    <row r="162" spans="2:17" x14ac:dyDescent="0.25">
      <c r="H162"/>
    </row>
    <row r="163" spans="2:17" x14ac:dyDescent="0.25">
      <c r="H163"/>
    </row>
    <row r="164" spans="2:17" x14ac:dyDescent="0.25">
      <c r="H164"/>
    </row>
    <row r="165" spans="2:17" x14ac:dyDescent="0.25">
      <c r="H165"/>
    </row>
    <row r="166" spans="2:17" x14ac:dyDescent="0.25">
      <c r="H166"/>
    </row>
    <row r="167" spans="2:17" x14ac:dyDescent="0.25">
      <c r="H167"/>
    </row>
    <row r="168" spans="2:17" x14ac:dyDescent="0.25">
      <c r="B168" s="5" t="s">
        <v>4503</v>
      </c>
      <c r="H168"/>
      <c r="M168" s="5" t="s">
        <v>4518</v>
      </c>
    </row>
    <row r="169" spans="2:17" x14ac:dyDescent="0.25">
      <c r="H169"/>
    </row>
    <row r="170" spans="2:17" x14ac:dyDescent="0.25">
      <c r="H170"/>
    </row>
    <row r="171" spans="2:17" x14ac:dyDescent="0.25">
      <c r="B171" s="2" t="s">
        <v>24</v>
      </c>
      <c r="C171" t="s">
        <v>4435</v>
      </c>
      <c r="H171"/>
      <c r="M171" s="2" t="s">
        <v>24</v>
      </c>
      <c r="N171" t="s">
        <v>4436</v>
      </c>
      <c r="P171" s="2" t="s">
        <v>24</v>
      </c>
      <c r="Q171" t="s">
        <v>4436</v>
      </c>
    </row>
    <row r="172" spans="2:17" x14ac:dyDescent="0.25">
      <c r="B172" s="2" t="s">
        <v>27</v>
      </c>
      <c r="C172" t="s">
        <v>4436</v>
      </c>
      <c r="H172"/>
      <c r="M172" s="2" t="s">
        <v>27</v>
      </c>
      <c r="N172" t="s">
        <v>4436</v>
      </c>
      <c r="P172" s="2" t="s">
        <v>27</v>
      </c>
      <c r="Q172" t="s">
        <v>4436</v>
      </c>
    </row>
    <row r="173" spans="2:17" x14ac:dyDescent="0.25">
      <c r="H173"/>
    </row>
    <row r="174" spans="2:17" x14ac:dyDescent="0.25">
      <c r="B174" s="2" t="s">
        <v>4501</v>
      </c>
      <c r="C174" s="2" t="s">
        <v>31</v>
      </c>
      <c r="H174"/>
      <c r="M174" s="2" t="s">
        <v>4501</v>
      </c>
      <c r="P174" s="2" t="s">
        <v>4501</v>
      </c>
      <c r="Q174" t="s">
        <v>4437</v>
      </c>
    </row>
    <row r="175" spans="2:17" x14ac:dyDescent="0.25">
      <c r="B175" s="2" t="s">
        <v>4458</v>
      </c>
      <c r="C175" t="s">
        <v>52</v>
      </c>
      <c r="D175" t="s">
        <v>132</v>
      </c>
      <c r="E175" t="s">
        <v>4433</v>
      </c>
      <c r="H175"/>
      <c r="M175" s="2" t="s">
        <v>42</v>
      </c>
      <c r="N175" t="s">
        <v>4437</v>
      </c>
      <c r="P175" t="s">
        <v>4437</v>
      </c>
      <c r="Q175" s="4">
        <v>373</v>
      </c>
    </row>
    <row r="176" spans="2:17" x14ac:dyDescent="0.25">
      <c r="B176" t="s">
        <v>4495</v>
      </c>
      <c r="C176" s="4">
        <v>8</v>
      </c>
      <c r="D176" s="4">
        <v>24</v>
      </c>
      <c r="E176" s="4">
        <v>32</v>
      </c>
      <c r="G176" t="s">
        <v>4502</v>
      </c>
      <c r="H176"/>
      <c r="M176" t="s">
        <v>255</v>
      </c>
      <c r="N176" s="4">
        <v>8</v>
      </c>
    </row>
    <row r="177" spans="2:15" x14ac:dyDescent="0.25">
      <c r="B177" t="s">
        <v>4494</v>
      </c>
      <c r="C177" s="4">
        <v>14</v>
      </c>
      <c r="D177" s="4">
        <v>30</v>
      </c>
      <c r="E177" s="4">
        <v>44</v>
      </c>
      <c r="H177"/>
      <c r="M177" t="s">
        <v>400</v>
      </c>
      <c r="N177" s="4">
        <v>8</v>
      </c>
    </row>
    <row r="178" spans="2:15" x14ac:dyDescent="0.25">
      <c r="B178" t="s">
        <v>4493</v>
      </c>
      <c r="C178" s="4">
        <v>14</v>
      </c>
      <c r="D178" s="4">
        <v>26</v>
      </c>
      <c r="E178" s="4">
        <v>40</v>
      </c>
      <c r="H178"/>
      <c r="M178" t="s">
        <v>402</v>
      </c>
      <c r="N178" s="4">
        <v>8</v>
      </c>
    </row>
    <row r="179" spans="2:15" x14ac:dyDescent="0.25">
      <c r="B179" t="s">
        <v>4492</v>
      </c>
      <c r="C179" s="4">
        <v>11</v>
      </c>
      <c r="D179" s="4">
        <v>26</v>
      </c>
      <c r="E179" s="4">
        <v>37</v>
      </c>
      <c r="H179"/>
      <c r="M179" t="s">
        <v>70</v>
      </c>
      <c r="N179" s="4">
        <v>8</v>
      </c>
    </row>
    <row r="180" spans="2:15" x14ac:dyDescent="0.25">
      <c r="B180" t="s">
        <v>4491</v>
      </c>
      <c r="C180" s="4">
        <v>11</v>
      </c>
      <c r="D180" s="4">
        <v>21</v>
      </c>
      <c r="E180" s="4">
        <v>32</v>
      </c>
      <c r="H180"/>
      <c r="M180" t="s">
        <v>120</v>
      </c>
      <c r="N180" s="4">
        <v>8</v>
      </c>
    </row>
    <row r="181" spans="2:15" x14ac:dyDescent="0.25">
      <c r="B181" t="s">
        <v>4490</v>
      </c>
      <c r="C181" s="4">
        <v>11</v>
      </c>
      <c r="D181" s="4">
        <v>16</v>
      </c>
      <c r="E181" s="4">
        <v>27</v>
      </c>
      <c r="H181"/>
      <c r="M181" t="s">
        <v>134</v>
      </c>
      <c r="N181" s="4">
        <v>8</v>
      </c>
    </row>
    <row r="182" spans="2:15" x14ac:dyDescent="0.25">
      <c r="B182" t="s">
        <v>4489</v>
      </c>
      <c r="C182" s="4">
        <v>20</v>
      </c>
      <c r="D182" s="4">
        <v>24</v>
      </c>
      <c r="E182" s="4">
        <v>44</v>
      </c>
      <c r="H182"/>
      <c r="M182" t="s">
        <v>88</v>
      </c>
      <c r="N182" s="4">
        <v>9</v>
      </c>
    </row>
    <row r="183" spans="2:15" x14ac:dyDescent="0.25">
      <c r="B183" t="s">
        <v>4482</v>
      </c>
      <c r="C183" s="4">
        <v>10</v>
      </c>
      <c r="D183" s="4">
        <v>10</v>
      </c>
      <c r="E183" s="4">
        <v>20</v>
      </c>
      <c r="H183"/>
      <c r="M183" t="s">
        <v>1004</v>
      </c>
      <c r="N183" s="4">
        <v>9</v>
      </c>
    </row>
    <row r="184" spans="2:15" x14ac:dyDescent="0.25">
      <c r="B184" t="s">
        <v>4481</v>
      </c>
      <c r="C184" s="4">
        <v>5</v>
      </c>
      <c r="D184" s="4">
        <v>16</v>
      </c>
      <c r="E184" s="4">
        <v>21</v>
      </c>
      <c r="H184"/>
      <c r="M184" t="s">
        <v>490</v>
      </c>
      <c r="N184" s="4">
        <v>10</v>
      </c>
    </row>
    <row r="185" spans="2:15" x14ac:dyDescent="0.25">
      <c r="B185" t="s">
        <v>4480</v>
      </c>
      <c r="C185" s="4">
        <v>8</v>
      </c>
      <c r="D185" s="4">
        <v>15</v>
      </c>
      <c r="E185" s="4">
        <v>23</v>
      </c>
      <c r="H185"/>
      <c r="M185" t="s">
        <v>258</v>
      </c>
      <c r="N185" s="4">
        <v>16</v>
      </c>
    </row>
    <row r="186" spans="2:15" x14ac:dyDescent="0.25">
      <c r="B186" t="s">
        <v>4479</v>
      </c>
      <c r="C186" s="4">
        <v>17</v>
      </c>
      <c r="D186" s="4">
        <v>19</v>
      </c>
      <c r="E186" s="4">
        <v>36</v>
      </c>
      <c r="H186"/>
      <c r="M186" t="s">
        <v>386</v>
      </c>
      <c r="N186" s="4">
        <v>20</v>
      </c>
    </row>
    <row r="187" spans="2:15" x14ac:dyDescent="0.25">
      <c r="B187" t="s">
        <v>4478</v>
      </c>
      <c r="C187" s="4">
        <v>9</v>
      </c>
      <c r="D187" s="4">
        <v>13</v>
      </c>
      <c r="E187" s="4">
        <v>22</v>
      </c>
      <c r="H187"/>
      <c r="M187" t="s">
        <v>4433</v>
      </c>
      <c r="N187" s="4">
        <v>112</v>
      </c>
      <c r="O187" t="s">
        <v>4522</v>
      </c>
    </row>
    <row r="188" spans="2:15" x14ac:dyDescent="0.25">
      <c r="B188" t="s">
        <v>4477</v>
      </c>
      <c r="C188" s="4">
        <v>10</v>
      </c>
      <c r="D188" s="4">
        <v>17</v>
      </c>
      <c r="E188" s="4">
        <v>27</v>
      </c>
      <c r="H188"/>
    </row>
    <row r="189" spans="2:15" x14ac:dyDescent="0.25">
      <c r="B189" t="s">
        <v>4476</v>
      </c>
      <c r="C189" s="4">
        <v>12</v>
      </c>
      <c r="D189" s="4">
        <v>19</v>
      </c>
      <c r="E189" s="4">
        <v>31</v>
      </c>
      <c r="H189"/>
    </row>
    <row r="190" spans="2:15" x14ac:dyDescent="0.25">
      <c r="B190" t="s">
        <v>4475</v>
      </c>
      <c r="C190" s="4">
        <v>9</v>
      </c>
      <c r="D190" s="4">
        <v>17</v>
      </c>
      <c r="E190" s="4">
        <v>26</v>
      </c>
      <c r="H190"/>
    </row>
    <row r="191" spans="2:15" x14ac:dyDescent="0.25">
      <c r="B191" t="s">
        <v>4474</v>
      </c>
      <c r="C191" s="4">
        <v>13</v>
      </c>
      <c r="D191" s="4">
        <v>12</v>
      </c>
      <c r="E191" s="4">
        <v>25</v>
      </c>
      <c r="H191"/>
    </row>
    <row r="192" spans="2:15" x14ac:dyDescent="0.25">
      <c r="B192" t="s">
        <v>4473</v>
      </c>
      <c r="C192" s="4">
        <v>11</v>
      </c>
      <c r="D192" s="4">
        <v>19</v>
      </c>
      <c r="E192" s="4">
        <v>30</v>
      </c>
      <c r="H192"/>
    </row>
    <row r="193" spans="2:8" x14ac:dyDescent="0.25">
      <c r="B193" t="s">
        <v>4472</v>
      </c>
      <c r="C193" s="4">
        <v>9</v>
      </c>
      <c r="D193" s="4">
        <v>11</v>
      </c>
      <c r="E193" s="4">
        <v>20</v>
      </c>
      <c r="H193"/>
    </row>
    <row r="194" spans="2:8" x14ac:dyDescent="0.25">
      <c r="B194" t="s">
        <v>4471</v>
      </c>
      <c r="C194" s="4">
        <v>7</v>
      </c>
      <c r="D194" s="4">
        <v>21</v>
      </c>
      <c r="E194" s="4">
        <v>28</v>
      </c>
      <c r="H194"/>
    </row>
    <row r="195" spans="2:8" x14ac:dyDescent="0.25">
      <c r="B195" t="s">
        <v>4470</v>
      </c>
      <c r="C195" s="4">
        <v>17</v>
      </c>
      <c r="D195" s="4">
        <v>9</v>
      </c>
      <c r="E195" s="4">
        <v>26</v>
      </c>
      <c r="H195"/>
    </row>
    <row r="196" spans="2:8" x14ac:dyDescent="0.25">
      <c r="B196" t="s">
        <v>4469</v>
      </c>
      <c r="C196" s="4">
        <v>8</v>
      </c>
      <c r="D196" s="4">
        <v>8</v>
      </c>
      <c r="E196" s="4">
        <v>16</v>
      </c>
      <c r="H196"/>
    </row>
    <row r="197" spans="2:8" x14ac:dyDescent="0.25">
      <c r="B197" t="s">
        <v>4468</v>
      </c>
      <c r="C197" s="4">
        <v>6</v>
      </c>
      <c r="D197" s="4">
        <v>7</v>
      </c>
      <c r="E197" s="4">
        <v>13</v>
      </c>
      <c r="H197"/>
    </row>
    <row r="198" spans="2:8" x14ac:dyDescent="0.25">
      <c r="B198" t="s">
        <v>4500</v>
      </c>
      <c r="C198" s="4">
        <v>6</v>
      </c>
      <c r="D198" s="4">
        <v>2</v>
      </c>
      <c r="E198" s="4">
        <v>8</v>
      </c>
      <c r="H198"/>
    </row>
    <row r="199" spans="2:8" x14ac:dyDescent="0.25">
      <c r="B199" t="s">
        <v>4467</v>
      </c>
      <c r="C199" s="4">
        <v>2</v>
      </c>
      <c r="D199" s="4">
        <v>9</v>
      </c>
      <c r="E199" s="4">
        <v>11</v>
      </c>
      <c r="H199"/>
    </row>
    <row r="200" spans="2:8" x14ac:dyDescent="0.25">
      <c r="B200" t="s">
        <v>4466</v>
      </c>
      <c r="C200" s="4">
        <v>1</v>
      </c>
      <c r="D200" s="4">
        <v>5</v>
      </c>
      <c r="E200" s="4">
        <v>6</v>
      </c>
      <c r="H200"/>
    </row>
    <row r="201" spans="2:8" x14ac:dyDescent="0.25">
      <c r="B201" t="s">
        <v>4465</v>
      </c>
      <c r="C201" s="4">
        <v>2</v>
      </c>
      <c r="D201" s="4">
        <v>1</v>
      </c>
      <c r="E201" s="4">
        <v>3</v>
      </c>
      <c r="H201"/>
    </row>
    <row r="202" spans="2:8" x14ac:dyDescent="0.25">
      <c r="B202" t="s">
        <v>4464</v>
      </c>
      <c r="C202" s="4">
        <v>2</v>
      </c>
      <c r="D202" s="4">
        <v>2</v>
      </c>
      <c r="E202" s="4">
        <v>4</v>
      </c>
      <c r="H202"/>
    </row>
    <row r="203" spans="2:8" x14ac:dyDescent="0.25">
      <c r="B203" t="s">
        <v>4463</v>
      </c>
      <c r="C203" s="4">
        <v>1</v>
      </c>
      <c r="D203" s="4">
        <v>5</v>
      </c>
      <c r="E203" s="4">
        <v>6</v>
      </c>
      <c r="H203"/>
    </row>
    <row r="204" spans="2:8" x14ac:dyDescent="0.25">
      <c r="B204" t="s">
        <v>4462</v>
      </c>
      <c r="C204" s="4">
        <v>1</v>
      </c>
      <c r="D204" s="4">
        <v>2</v>
      </c>
      <c r="E204" s="4">
        <v>3</v>
      </c>
      <c r="H204"/>
    </row>
    <row r="205" spans="2:8" x14ac:dyDescent="0.25">
      <c r="B205" t="s">
        <v>4461</v>
      </c>
      <c r="C205" s="4">
        <v>3</v>
      </c>
      <c r="D205" s="4">
        <v>1</v>
      </c>
      <c r="E205" s="4">
        <v>4</v>
      </c>
      <c r="H205"/>
    </row>
    <row r="206" spans="2:8" x14ac:dyDescent="0.25">
      <c r="B206" t="s">
        <v>4499</v>
      </c>
      <c r="C206" s="4"/>
      <c r="D206" s="4">
        <v>1</v>
      </c>
      <c r="E206" s="4">
        <v>1</v>
      </c>
      <c r="H206"/>
    </row>
    <row r="207" spans="2:8" x14ac:dyDescent="0.25">
      <c r="B207" t="s">
        <v>4460</v>
      </c>
      <c r="C207" s="4">
        <v>2</v>
      </c>
      <c r="D207" s="4">
        <v>1</v>
      </c>
      <c r="E207" s="4">
        <v>3</v>
      </c>
      <c r="H207"/>
    </row>
    <row r="208" spans="2:8" x14ac:dyDescent="0.25">
      <c r="B208" t="s">
        <v>4459</v>
      </c>
      <c r="C208" s="4">
        <v>1</v>
      </c>
      <c r="D208" s="4">
        <v>1</v>
      </c>
      <c r="E208" s="4">
        <v>2</v>
      </c>
      <c r="H208"/>
    </row>
    <row r="209" spans="2:8" x14ac:dyDescent="0.25">
      <c r="B209" t="s">
        <v>4498</v>
      </c>
      <c r="C209" s="4"/>
      <c r="D209" s="4">
        <v>1</v>
      </c>
      <c r="E209" s="4">
        <v>1</v>
      </c>
      <c r="H209"/>
    </row>
    <row r="210" spans="2:8" x14ac:dyDescent="0.25">
      <c r="B210" t="s">
        <v>4497</v>
      </c>
      <c r="C210" s="4"/>
      <c r="D210" s="4">
        <v>1</v>
      </c>
      <c r="E210" s="4">
        <v>1</v>
      </c>
      <c r="H210"/>
    </row>
    <row r="211" spans="2:8" x14ac:dyDescent="0.25">
      <c r="B211" t="s">
        <v>4496</v>
      </c>
      <c r="C211" s="4"/>
      <c r="D211" s="4">
        <v>1</v>
      </c>
      <c r="E211" s="4">
        <v>1</v>
      </c>
      <c r="H211"/>
    </row>
    <row r="212" spans="2:8" x14ac:dyDescent="0.25">
      <c r="B212" t="s">
        <v>4433</v>
      </c>
      <c r="C212" s="4">
        <v>261</v>
      </c>
      <c r="D212" s="4">
        <v>413</v>
      </c>
      <c r="E212" s="4">
        <v>674</v>
      </c>
      <c r="H212"/>
    </row>
    <row r="213" spans="2:8" x14ac:dyDescent="0.25">
      <c r="H213"/>
    </row>
    <row r="214" spans="2:8" x14ac:dyDescent="0.25">
      <c r="H214"/>
    </row>
    <row r="215" spans="2:8" x14ac:dyDescent="0.25">
      <c r="H215"/>
    </row>
    <row r="216" spans="2:8" x14ac:dyDescent="0.25">
      <c r="H216"/>
    </row>
    <row r="217" spans="2:8" x14ac:dyDescent="0.25">
      <c r="H217"/>
    </row>
    <row r="218" spans="2:8" x14ac:dyDescent="0.25">
      <c r="H218"/>
    </row>
    <row r="219" spans="2:8" x14ac:dyDescent="0.25">
      <c r="H219"/>
    </row>
    <row r="220" spans="2:8" x14ac:dyDescent="0.25">
      <c r="H220"/>
    </row>
    <row r="221" spans="2:8" x14ac:dyDescent="0.25">
      <c r="H221"/>
    </row>
    <row r="222" spans="2:8" x14ac:dyDescent="0.25">
      <c r="H222"/>
    </row>
    <row r="223" spans="2:8" x14ac:dyDescent="0.25">
      <c r="H223"/>
    </row>
    <row r="224" spans="2:8" x14ac:dyDescent="0.25">
      <c r="H224"/>
    </row>
    <row r="225" spans="8:8" x14ac:dyDescent="0.25">
      <c r="H225"/>
    </row>
    <row r="226" spans="8:8" x14ac:dyDescent="0.25">
      <c r="H226"/>
    </row>
    <row r="227" spans="8:8" x14ac:dyDescent="0.25">
      <c r="H227"/>
    </row>
    <row r="228" spans="8:8" x14ac:dyDescent="0.25">
      <c r="H228"/>
    </row>
    <row r="229" spans="8:8" x14ac:dyDescent="0.25">
      <c r="H229"/>
    </row>
    <row r="230" spans="8:8" x14ac:dyDescent="0.25">
      <c r="H230"/>
    </row>
    <row r="231" spans="8:8" x14ac:dyDescent="0.25">
      <c r="H231"/>
    </row>
    <row r="232" spans="8:8" x14ac:dyDescent="0.25">
      <c r="H232"/>
    </row>
    <row r="233" spans="8:8" x14ac:dyDescent="0.25">
      <c r="H233"/>
    </row>
    <row r="234" spans="8:8" x14ac:dyDescent="0.25">
      <c r="H234"/>
    </row>
    <row r="235" spans="8:8" x14ac:dyDescent="0.25">
      <c r="H235"/>
    </row>
    <row r="236" spans="8:8" x14ac:dyDescent="0.25">
      <c r="H236"/>
    </row>
    <row r="237" spans="8:8" x14ac:dyDescent="0.25">
      <c r="H237"/>
    </row>
    <row r="238" spans="8:8" x14ac:dyDescent="0.25">
      <c r="H238"/>
    </row>
    <row r="239" spans="8:8" x14ac:dyDescent="0.25">
      <c r="H239"/>
    </row>
    <row r="240" spans="8:8" x14ac:dyDescent="0.25">
      <c r="H240"/>
    </row>
    <row r="241" spans="8:8" x14ac:dyDescent="0.25">
      <c r="H241"/>
    </row>
    <row r="242" spans="8:8" x14ac:dyDescent="0.25">
      <c r="H242"/>
    </row>
    <row r="243" spans="8:8" x14ac:dyDescent="0.25">
      <c r="H243"/>
    </row>
    <row r="244" spans="8:8" x14ac:dyDescent="0.25">
      <c r="H244"/>
    </row>
    <row r="245" spans="8:8" x14ac:dyDescent="0.25">
      <c r="H245"/>
    </row>
    <row r="246" spans="8:8" x14ac:dyDescent="0.25">
      <c r="H246"/>
    </row>
    <row r="247" spans="8:8" x14ac:dyDescent="0.25">
      <c r="H247"/>
    </row>
    <row r="248" spans="8:8" x14ac:dyDescent="0.25">
      <c r="H248"/>
    </row>
    <row r="249" spans="8:8" x14ac:dyDescent="0.25">
      <c r="H249"/>
    </row>
    <row r="250" spans="8:8" x14ac:dyDescent="0.25">
      <c r="H250"/>
    </row>
    <row r="251" spans="8:8" x14ac:dyDescent="0.25">
      <c r="H251"/>
    </row>
    <row r="252" spans="8:8" x14ac:dyDescent="0.25">
      <c r="H252"/>
    </row>
    <row r="253" spans="8:8" x14ac:dyDescent="0.25">
      <c r="H253"/>
    </row>
    <row r="254" spans="8:8" x14ac:dyDescent="0.25">
      <c r="H254"/>
    </row>
    <row r="255" spans="8:8" x14ac:dyDescent="0.25">
      <c r="H255"/>
    </row>
    <row r="256" spans="8:8" x14ac:dyDescent="0.25">
      <c r="H256"/>
    </row>
    <row r="257" spans="8:8" x14ac:dyDescent="0.25">
      <c r="H257"/>
    </row>
    <row r="258" spans="8:8" x14ac:dyDescent="0.25">
      <c r="H258"/>
    </row>
    <row r="259" spans="8:8" x14ac:dyDescent="0.25">
      <c r="H259"/>
    </row>
    <row r="260" spans="8:8" x14ac:dyDescent="0.25">
      <c r="H260"/>
    </row>
    <row r="261" spans="8:8" x14ac:dyDescent="0.25">
      <c r="H261"/>
    </row>
    <row r="262" spans="8:8" x14ac:dyDescent="0.25">
      <c r="H262"/>
    </row>
    <row r="263" spans="8:8" x14ac:dyDescent="0.25">
      <c r="H263"/>
    </row>
    <row r="264" spans="8:8" x14ac:dyDescent="0.25">
      <c r="H264"/>
    </row>
    <row r="265" spans="8:8" x14ac:dyDescent="0.25">
      <c r="H265"/>
    </row>
    <row r="266" spans="8:8" x14ac:dyDescent="0.25">
      <c r="H266"/>
    </row>
    <row r="267" spans="8:8" x14ac:dyDescent="0.25">
      <c r="H267"/>
    </row>
    <row r="268" spans="8:8" x14ac:dyDescent="0.25">
      <c r="H268"/>
    </row>
    <row r="269" spans="8:8" x14ac:dyDescent="0.25">
      <c r="H269"/>
    </row>
    <row r="270" spans="8:8" x14ac:dyDescent="0.25">
      <c r="H270"/>
    </row>
    <row r="271" spans="8:8" x14ac:dyDescent="0.25">
      <c r="H271"/>
    </row>
    <row r="272" spans="8:8" x14ac:dyDescent="0.25">
      <c r="H272"/>
    </row>
    <row r="273" spans="8:8" x14ac:dyDescent="0.25">
      <c r="H273"/>
    </row>
    <row r="274" spans="8:8" x14ac:dyDescent="0.25">
      <c r="H274"/>
    </row>
    <row r="275" spans="8:8" x14ac:dyDescent="0.25">
      <c r="H275"/>
    </row>
    <row r="276" spans="8:8" x14ac:dyDescent="0.25">
      <c r="H276"/>
    </row>
    <row r="277" spans="8:8" x14ac:dyDescent="0.25">
      <c r="H277"/>
    </row>
    <row r="278" spans="8:8" x14ac:dyDescent="0.25">
      <c r="H278"/>
    </row>
    <row r="279" spans="8:8" x14ac:dyDescent="0.25">
      <c r="H279"/>
    </row>
    <row r="280" spans="8:8" x14ac:dyDescent="0.25">
      <c r="H280"/>
    </row>
    <row r="281" spans="8:8" x14ac:dyDescent="0.25">
      <c r="H281"/>
    </row>
    <row r="282" spans="8:8" x14ac:dyDescent="0.25">
      <c r="H282"/>
    </row>
    <row r="283" spans="8:8" x14ac:dyDescent="0.25">
      <c r="H283"/>
    </row>
    <row r="284" spans="8:8" x14ac:dyDescent="0.25">
      <c r="H284"/>
    </row>
    <row r="285" spans="8:8" x14ac:dyDescent="0.25">
      <c r="H285"/>
    </row>
    <row r="286" spans="8:8" x14ac:dyDescent="0.25">
      <c r="H286"/>
    </row>
    <row r="287" spans="8:8" x14ac:dyDescent="0.25">
      <c r="H287"/>
    </row>
    <row r="288" spans="8:8" x14ac:dyDescent="0.25">
      <c r="H288"/>
    </row>
    <row r="289" spans="8:8" x14ac:dyDescent="0.25">
      <c r="H289"/>
    </row>
    <row r="290" spans="8:8" x14ac:dyDescent="0.25">
      <c r="H290"/>
    </row>
    <row r="291" spans="8:8" x14ac:dyDescent="0.25">
      <c r="H291"/>
    </row>
    <row r="292" spans="8:8" x14ac:dyDescent="0.25">
      <c r="H292"/>
    </row>
    <row r="293" spans="8:8" x14ac:dyDescent="0.25">
      <c r="H293"/>
    </row>
    <row r="294" spans="8:8" x14ac:dyDescent="0.25">
      <c r="H294"/>
    </row>
    <row r="295" spans="8:8" x14ac:dyDescent="0.25">
      <c r="H295"/>
    </row>
    <row r="296" spans="8:8" x14ac:dyDescent="0.25">
      <c r="H296"/>
    </row>
    <row r="297" spans="8:8" x14ac:dyDescent="0.25">
      <c r="H297"/>
    </row>
    <row r="298" spans="8:8" x14ac:dyDescent="0.25">
      <c r="H298"/>
    </row>
    <row r="299" spans="8:8" x14ac:dyDescent="0.25">
      <c r="H299"/>
    </row>
    <row r="300" spans="8:8" x14ac:dyDescent="0.25">
      <c r="H300"/>
    </row>
    <row r="301" spans="8:8" x14ac:dyDescent="0.25">
      <c r="H301"/>
    </row>
    <row r="302" spans="8:8" x14ac:dyDescent="0.25">
      <c r="H302"/>
    </row>
    <row r="303" spans="8:8" x14ac:dyDescent="0.25">
      <c r="H303"/>
    </row>
    <row r="304" spans="8:8" x14ac:dyDescent="0.25">
      <c r="H304"/>
    </row>
    <row r="305" spans="8:8" x14ac:dyDescent="0.25">
      <c r="H305"/>
    </row>
    <row r="306" spans="8:8" x14ac:dyDescent="0.25">
      <c r="H306"/>
    </row>
    <row r="307" spans="8:8" x14ac:dyDescent="0.25">
      <c r="H307"/>
    </row>
    <row r="308" spans="8:8" x14ac:dyDescent="0.25">
      <c r="H308"/>
    </row>
    <row r="309" spans="8:8" x14ac:dyDescent="0.25">
      <c r="H309"/>
    </row>
    <row r="310" spans="8:8" x14ac:dyDescent="0.25">
      <c r="H310"/>
    </row>
    <row r="311" spans="8:8" x14ac:dyDescent="0.25">
      <c r="H311"/>
    </row>
    <row r="312" spans="8:8" x14ac:dyDescent="0.25">
      <c r="H312"/>
    </row>
    <row r="313" spans="8:8" x14ac:dyDescent="0.25">
      <c r="H313"/>
    </row>
    <row r="314" spans="8:8" x14ac:dyDescent="0.25">
      <c r="H314"/>
    </row>
    <row r="315" spans="8:8" x14ac:dyDescent="0.25">
      <c r="H315"/>
    </row>
    <row r="316" spans="8:8" x14ac:dyDescent="0.25">
      <c r="H316"/>
    </row>
    <row r="317" spans="8:8" x14ac:dyDescent="0.25">
      <c r="H317"/>
    </row>
    <row r="318" spans="8:8" x14ac:dyDescent="0.25">
      <c r="H318"/>
    </row>
    <row r="319" spans="8:8" x14ac:dyDescent="0.25">
      <c r="H319"/>
    </row>
    <row r="320" spans="8:8" x14ac:dyDescent="0.25">
      <c r="H320"/>
    </row>
    <row r="321" spans="8:8" x14ac:dyDescent="0.25">
      <c r="H321"/>
    </row>
    <row r="322" spans="8:8" x14ac:dyDescent="0.25">
      <c r="H322"/>
    </row>
    <row r="323" spans="8:8" x14ac:dyDescent="0.25">
      <c r="H323"/>
    </row>
    <row r="324" spans="8:8" x14ac:dyDescent="0.25">
      <c r="H324"/>
    </row>
    <row r="325" spans="8:8" x14ac:dyDescent="0.25">
      <c r="H325"/>
    </row>
    <row r="326" spans="8:8" x14ac:dyDescent="0.25">
      <c r="H326"/>
    </row>
    <row r="327" spans="8:8" x14ac:dyDescent="0.25">
      <c r="H327"/>
    </row>
    <row r="328" spans="8:8" x14ac:dyDescent="0.25">
      <c r="H328"/>
    </row>
    <row r="329" spans="8:8" x14ac:dyDescent="0.25">
      <c r="H329"/>
    </row>
    <row r="330" spans="8:8" x14ac:dyDescent="0.25">
      <c r="H330"/>
    </row>
    <row r="331" spans="8:8" x14ac:dyDescent="0.25">
      <c r="H331"/>
    </row>
    <row r="332" spans="8:8" x14ac:dyDescent="0.25">
      <c r="H332"/>
    </row>
    <row r="333" spans="8:8" x14ac:dyDescent="0.25">
      <c r="H333"/>
    </row>
    <row r="334" spans="8:8" x14ac:dyDescent="0.25">
      <c r="H334"/>
    </row>
    <row r="335" spans="8:8" x14ac:dyDescent="0.25">
      <c r="H335"/>
    </row>
    <row r="336" spans="8:8" x14ac:dyDescent="0.25">
      <c r="H336"/>
    </row>
    <row r="337" spans="8:8" x14ac:dyDescent="0.25">
      <c r="H337"/>
    </row>
    <row r="338" spans="8:8" x14ac:dyDescent="0.25">
      <c r="H338"/>
    </row>
    <row r="339" spans="8:8" x14ac:dyDescent="0.25">
      <c r="H339"/>
    </row>
    <row r="340" spans="8:8" x14ac:dyDescent="0.25">
      <c r="H340"/>
    </row>
    <row r="341" spans="8:8" x14ac:dyDescent="0.25">
      <c r="H341"/>
    </row>
    <row r="342" spans="8:8" x14ac:dyDescent="0.25">
      <c r="H342"/>
    </row>
    <row r="343" spans="8:8" x14ac:dyDescent="0.25">
      <c r="H343"/>
    </row>
    <row r="344" spans="8:8" x14ac:dyDescent="0.25">
      <c r="H344"/>
    </row>
    <row r="345" spans="8:8" x14ac:dyDescent="0.25">
      <c r="H345"/>
    </row>
    <row r="346" spans="8:8" x14ac:dyDescent="0.25">
      <c r="H346"/>
    </row>
    <row r="347" spans="8:8" x14ac:dyDescent="0.25">
      <c r="H347"/>
    </row>
    <row r="348" spans="8:8" x14ac:dyDescent="0.25">
      <c r="H348"/>
    </row>
    <row r="349" spans="8:8" x14ac:dyDescent="0.25">
      <c r="H349"/>
    </row>
    <row r="350" spans="8:8" x14ac:dyDescent="0.25">
      <c r="H350"/>
    </row>
    <row r="351" spans="8:8" x14ac:dyDescent="0.25">
      <c r="H351"/>
    </row>
    <row r="352" spans="8:8" x14ac:dyDescent="0.25">
      <c r="H352"/>
    </row>
    <row r="353" spans="8:8" x14ac:dyDescent="0.25">
      <c r="H353"/>
    </row>
    <row r="354" spans="8:8" x14ac:dyDescent="0.25">
      <c r="H354"/>
    </row>
    <row r="355" spans="8:8" x14ac:dyDescent="0.25">
      <c r="H355"/>
    </row>
    <row r="356" spans="8:8" x14ac:dyDescent="0.25">
      <c r="H356"/>
    </row>
    <row r="357" spans="8:8" x14ac:dyDescent="0.25">
      <c r="H357"/>
    </row>
    <row r="358" spans="8:8" x14ac:dyDescent="0.25">
      <c r="H358"/>
    </row>
    <row r="359" spans="8:8" x14ac:dyDescent="0.25">
      <c r="H359"/>
    </row>
    <row r="360" spans="8:8" x14ac:dyDescent="0.25">
      <c r="H360"/>
    </row>
    <row r="361" spans="8:8" x14ac:dyDescent="0.25">
      <c r="H361"/>
    </row>
    <row r="362" spans="8:8" x14ac:dyDescent="0.25">
      <c r="H362"/>
    </row>
    <row r="363" spans="8:8" x14ac:dyDescent="0.25">
      <c r="H363"/>
    </row>
    <row r="364" spans="8:8" x14ac:dyDescent="0.25">
      <c r="H364"/>
    </row>
    <row r="365" spans="8:8" x14ac:dyDescent="0.25">
      <c r="H365"/>
    </row>
    <row r="366" spans="8:8" x14ac:dyDescent="0.25">
      <c r="H366"/>
    </row>
    <row r="367" spans="8:8" x14ac:dyDescent="0.25">
      <c r="H367"/>
    </row>
    <row r="368" spans="8:8" x14ac:dyDescent="0.25">
      <c r="H368"/>
    </row>
    <row r="369" spans="8:8" x14ac:dyDescent="0.25">
      <c r="H369"/>
    </row>
    <row r="370" spans="8:8" x14ac:dyDescent="0.25">
      <c r="H370"/>
    </row>
    <row r="371" spans="8:8" x14ac:dyDescent="0.25">
      <c r="H371"/>
    </row>
    <row r="372" spans="8:8" x14ac:dyDescent="0.25">
      <c r="H372"/>
    </row>
    <row r="373" spans="8:8" x14ac:dyDescent="0.25">
      <c r="H373"/>
    </row>
    <row r="374" spans="8:8" x14ac:dyDescent="0.25">
      <c r="H374"/>
    </row>
    <row r="375" spans="8:8" x14ac:dyDescent="0.25">
      <c r="H375"/>
    </row>
    <row r="376" spans="8:8" x14ac:dyDescent="0.25">
      <c r="H376"/>
    </row>
    <row r="377" spans="8:8" x14ac:dyDescent="0.25">
      <c r="H377"/>
    </row>
    <row r="378" spans="8:8" x14ac:dyDescent="0.25">
      <c r="H378"/>
    </row>
    <row r="379" spans="8:8" x14ac:dyDescent="0.25">
      <c r="H379"/>
    </row>
    <row r="380" spans="8:8" x14ac:dyDescent="0.25">
      <c r="H380"/>
    </row>
    <row r="381" spans="8:8" x14ac:dyDescent="0.25">
      <c r="H381"/>
    </row>
    <row r="382" spans="8:8" x14ac:dyDescent="0.25">
      <c r="H382"/>
    </row>
    <row r="383" spans="8:8" x14ac:dyDescent="0.25">
      <c r="H383"/>
    </row>
    <row r="384" spans="8:8" x14ac:dyDescent="0.25">
      <c r="H384"/>
    </row>
    <row r="385" spans="8:8" x14ac:dyDescent="0.25">
      <c r="H385"/>
    </row>
    <row r="386" spans="8:8" x14ac:dyDescent="0.25">
      <c r="H386"/>
    </row>
    <row r="387" spans="8:8" x14ac:dyDescent="0.25">
      <c r="H387"/>
    </row>
    <row r="388" spans="8:8" x14ac:dyDescent="0.25">
      <c r="H388"/>
    </row>
    <row r="389" spans="8:8" x14ac:dyDescent="0.25">
      <c r="H389"/>
    </row>
    <row r="390" spans="8:8" x14ac:dyDescent="0.25">
      <c r="H390"/>
    </row>
    <row r="391" spans="8:8" x14ac:dyDescent="0.25">
      <c r="H391"/>
    </row>
    <row r="392" spans="8:8" x14ac:dyDescent="0.25">
      <c r="H392"/>
    </row>
    <row r="393" spans="8:8" x14ac:dyDescent="0.25">
      <c r="H393"/>
    </row>
    <row r="394" spans="8:8" x14ac:dyDescent="0.25">
      <c r="H394"/>
    </row>
    <row r="395" spans="8:8" x14ac:dyDescent="0.25">
      <c r="H395"/>
    </row>
    <row r="396" spans="8:8" x14ac:dyDescent="0.25">
      <c r="H396"/>
    </row>
    <row r="397" spans="8:8" x14ac:dyDescent="0.25">
      <c r="H397"/>
    </row>
    <row r="398" spans="8:8" x14ac:dyDescent="0.25">
      <c r="H398"/>
    </row>
    <row r="399" spans="8:8" x14ac:dyDescent="0.25">
      <c r="H399"/>
    </row>
    <row r="400" spans="8:8" x14ac:dyDescent="0.25">
      <c r="H400"/>
    </row>
    <row r="401" spans="8:8" x14ac:dyDescent="0.25">
      <c r="H401"/>
    </row>
    <row r="402" spans="8:8" x14ac:dyDescent="0.25">
      <c r="H402"/>
    </row>
    <row r="403" spans="8:8" x14ac:dyDescent="0.25">
      <c r="H403"/>
    </row>
    <row r="404" spans="8:8" x14ac:dyDescent="0.25">
      <c r="H404"/>
    </row>
    <row r="405" spans="8:8" x14ac:dyDescent="0.25">
      <c r="H405"/>
    </row>
    <row r="406" spans="8:8" x14ac:dyDescent="0.25">
      <c r="H406"/>
    </row>
    <row r="407" spans="8:8" x14ac:dyDescent="0.25">
      <c r="H407"/>
    </row>
    <row r="408" spans="8:8" x14ac:dyDescent="0.25">
      <c r="H408"/>
    </row>
    <row r="409" spans="8:8" x14ac:dyDescent="0.25">
      <c r="H409"/>
    </row>
    <row r="410" spans="8:8" x14ac:dyDescent="0.25">
      <c r="H410"/>
    </row>
    <row r="411" spans="8:8" x14ac:dyDescent="0.25">
      <c r="H411"/>
    </row>
    <row r="412" spans="8:8" x14ac:dyDescent="0.25">
      <c r="H412"/>
    </row>
    <row r="413" spans="8:8" x14ac:dyDescent="0.25">
      <c r="H413"/>
    </row>
    <row r="414" spans="8:8" x14ac:dyDescent="0.25">
      <c r="H414"/>
    </row>
    <row r="415" spans="8:8" x14ac:dyDescent="0.25">
      <c r="H415"/>
    </row>
    <row r="416" spans="8:8" x14ac:dyDescent="0.25">
      <c r="H416"/>
    </row>
    <row r="417" spans="8:8" x14ac:dyDescent="0.25">
      <c r="H417"/>
    </row>
    <row r="418" spans="8:8" x14ac:dyDescent="0.25">
      <c r="H418"/>
    </row>
    <row r="419" spans="8:8" x14ac:dyDescent="0.25">
      <c r="H419"/>
    </row>
    <row r="420" spans="8:8" x14ac:dyDescent="0.25">
      <c r="H420"/>
    </row>
    <row r="421" spans="8:8" x14ac:dyDescent="0.25">
      <c r="H421"/>
    </row>
    <row r="422" spans="8:8" x14ac:dyDescent="0.25">
      <c r="H422"/>
    </row>
    <row r="423" spans="8:8" x14ac:dyDescent="0.25">
      <c r="H423"/>
    </row>
    <row r="424" spans="8:8" x14ac:dyDescent="0.25">
      <c r="H424"/>
    </row>
    <row r="425" spans="8:8" x14ac:dyDescent="0.25">
      <c r="H425"/>
    </row>
    <row r="426" spans="8:8" x14ac:dyDescent="0.25">
      <c r="H426"/>
    </row>
    <row r="427" spans="8:8" x14ac:dyDescent="0.25">
      <c r="H427"/>
    </row>
    <row r="428" spans="8:8" x14ac:dyDescent="0.25">
      <c r="H428"/>
    </row>
    <row r="429" spans="8:8" x14ac:dyDescent="0.25">
      <c r="H429"/>
    </row>
    <row r="430" spans="8:8" x14ac:dyDescent="0.25">
      <c r="H430"/>
    </row>
    <row r="431" spans="8:8" x14ac:dyDescent="0.25">
      <c r="H431"/>
    </row>
    <row r="432" spans="8:8" x14ac:dyDescent="0.25">
      <c r="H432"/>
    </row>
    <row r="433" spans="8:8" x14ac:dyDescent="0.25">
      <c r="H433"/>
    </row>
    <row r="434" spans="8:8" x14ac:dyDescent="0.25">
      <c r="H434"/>
    </row>
    <row r="435" spans="8:8" x14ac:dyDescent="0.25">
      <c r="H435"/>
    </row>
    <row r="436" spans="8:8" x14ac:dyDescent="0.25">
      <c r="H436"/>
    </row>
    <row r="437" spans="8:8" x14ac:dyDescent="0.25">
      <c r="H437"/>
    </row>
    <row r="438" spans="8:8" x14ac:dyDescent="0.25">
      <c r="H438"/>
    </row>
    <row r="439" spans="8:8" x14ac:dyDescent="0.25">
      <c r="H439"/>
    </row>
    <row r="440" spans="8:8" x14ac:dyDescent="0.25">
      <c r="H440"/>
    </row>
    <row r="441" spans="8:8" x14ac:dyDescent="0.25">
      <c r="H441"/>
    </row>
    <row r="442" spans="8:8" x14ac:dyDescent="0.25">
      <c r="H442"/>
    </row>
    <row r="443" spans="8:8" x14ac:dyDescent="0.25">
      <c r="H443"/>
    </row>
    <row r="444" spans="8:8" x14ac:dyDescent="0.25">
      <c r="H444"/>
    </row>
    <row r="445" spans="8:8" x14ac:dyDescent="0.25">
      <c r="H445"/>
    </row>
    <row r="446" spans="8:8" x14ac:dyDescent="0.25">
      <c r="H446"/>
    </row>
    <row r="447" spans="8:8" x14ac:dyDescent="0.25">
      <c r="H447"/>
    </row>
    <row r="448" spans="8:8" x14ac:dyDescent="0.25">
      <c r="H448"/>
    </row>
    <row r="449" spans="8:8" x14ac:dyDescent="0.25">
      <c r="H449"/>
    </row>
    <row r="450" spans="8:8" x14ac:dyDescent="0.25">
      <c r="H450"/>
    </row>
    <row r="451" spans="8:8" x14ac:dyDescent="0.25">
      <c r="H451"/>
    </row>
    <row r="452" spans="8:8" x14ac:dyDescent="0.25">
      <c r="H452"/>
    </row>
    <row r="453" spans="8:8" x14ac:dyDescent="0.25">
      <c r="H453"/>
    </row>
    <row r="454" spans="8:8" x14ac:dyDescent="0.25">
      <c r="H454"/>
    </row>
    <row r="455" spans="8:8" x14ac:dyDescent="0.25">
      <c r="H455"/>
    </row>
    <row r="456" spans="8:8" x14ac:dyDescent="0.25">
      <c r="H456"/>
    </row>
    <row r="457" spans="8:8" x14ac:dyDescent="0.25">
      <c r="H457"/>
    </row>
    <row r="458" spans="8:8" x14ac:dyDescent="0.25">
      <c r="H458"/>
    </row>
    <row r="459" spans="8:8" x14ac:dyDescent="0.25">
      <c r="H459"/>
    </row>
    <row r="460" spans="8:8" x14ac:dyDescent="0.25">
      <c r="H460"/>
    </row>
    <row r="461" spans="8:8" x14ac:dyDescent="0.25">
      <c r="H461"/>
    </row>
    <row r="462" spans="8:8" x14ac:dyDescent="0.25">
      <c r="H462"/>
    </row>
    <row r="463" spans="8:8" x14ac:dyDescent="0.25">
      <c r="H463"/>
    </row>
    <row r="464" spans="8:8" x14ac:dyDescent="0.25">
      <c r="H464"/>
    </row>
    <row r="465" spans="8:8" x14ac:dyDescent="0.25">
      <c r="H465"/>
    </row>
    <row r="466" spans="8:8" x14ac:dyDescent="0.25">
      <c r="H466"/>
    </row>
    <row r="467" spans="8:8" x14ac:dyDescent="0.25">
      <c r="H467"/>
    </row>
    <row r="468" spans="8:8" x14ac:dyDescent="0.25">
      <c r="H468"/>
    </row>
    <row r="469" spans="8:8" x14ac:dyDescent="0.25">
      <c r="H469"/>
    </row>
    <row r="470" spans="8:8" x14ac:dyDescent="0.25">
      <c r="H470"/>
    </row>
    <row r="471" spans="8:8" x14ac:dyDescent="0.25">
      <c r="H471"/>
    </row>
    <row r="472" spans="8:8" x14ac:dyDescent="0.25">
      <c r="H472"/>
    </row>
    <row r="473" spans="8:8" x14ac:dyDescent="0.25">
      <c r="H473"/>
    </row>
    <row r="474" spans="8:8" x14ac:dyDescent="0.25">
      <c r="H474"/>
    </row>
    <row r="475" spans="8:8" x14ac:dyDescent="0.25">
      <c r="H475"/>
    </row>
    <row r="476" spans="8:8" x14ac:dyDescent="0.25">
      <c r="H476"/>
    </row>
    <row r="477" spans="8:8" x14ac:dyDescent="0.25">
      <c r="H477"/>
    </row>
    <row r="478" spans="8:8" x14ac:dyDescent="0.25">
      <c r="H478"/>
    </row>
    <row r="479" spans="8:8" x14ac:dyDescent="0.25">
      <c r="H479"/>
    </row>
    <row r="480" spans="8:8" x14ac:dyDescent="0.25">
      <c r="H480"/>
    </row>
    <row r="481" spans="8:8" x14ac:dyDescent="0.25">
      <c r="H481"/>
    </row>
    <row r="482" spans="8:8" x14ac:dyDescent="0.25">
      <c r="H482"/>
    </row>
    <row r="483" spans="8:8" x14ac:dyDescent="0.25">
      <c r="H483"/>
    </row>
    <row r="484" spans="8:8" x14ac:dyDescent="0.25">
      <c r="H484"/>
    </row>
    <row r="485" spans="8:8" x14ac:dyDescent="0.25">
      <c r="H485"/>
    </row>
    <row r="486" spans="8:8" x14ac:dyDescent="0.25">
      <c r="H486"/>
    </row>
    <row r="487" spans="8:8" x14ac:dyDescent="0.25">
      <c r="H487"/>
    </row>
    <row r="488" spans="8:8" x14ac:dyDescent="0.25">
      <c r="H488"/>
    </row>
    <row r="489" spans="8:8" x14ac:dyDescent="0.25">
      <c r="H489"/>
    </row>
    <row r="490" spans="8:8" x14ac:dyDescent="0.25">
      <c r="H490"/>
    </row>
    <row r="491" spans="8:8" x14ac:dyDescent="0.25">
      <c r="H491"/>
    </row>
    <row r="492" spans="8:8" x14ac:dyDescent="0.25">
      <c r="H492"/>
    </row>
    <row r="493" spans="8:8" x14ac:dyDescent="0.25">
      <c r="H493"/>
    </row>
    <row r="494" spans="8:8" x14ac:dyDescent="0.25">
      <c r="H494"/>
    </row>
    <row r="495" spans="8:8" x14ac:dyDescent="0.25">
      <c r="H495"/>
    </row>
    <row r="496" spans="8:8" x14ac:dyDescent="0.25">
      <c r="H496"/>
    </row>
    <row r="497" spans="8:8" x14ac:dyDescent="0.25">
      <c r="H497"/>
    </row>
    <row r="498" spans="8:8" x14ac:dyDescent="0.25">
      <c r="H498"/>
    </row>
    <row r="499" spans="8:8" x14ac:dyDescent="0.25">
      <c r="H499"/>
    </row>
    <row r="500" spans="8:8" x14ac:dyDescent="0.25">
      <c r="H500"/>
    </row>
    <row r="501" spans="8:8" x14ac:dyDescent="0.25">
      <c r="H501"/>
    </row>
    <row r="502" spans="8:8" x14ac:dyDescent="0.25">
      <c r="H502"/>
    </row>
    <row r="503" spans="8:8" x14ac:dyDescent="0.25">
      <c r="H503"/>
    </row>
    <row r="504" spans="8:8" x14ac:dyDescent="0.25">
      <c r="H504"/>
    </row>
    <row r="505" spans="8:8" x14ac:dyDescent="0.25">
      <c r="H505"/>
    </row>
    <row r="506" spans="8:8" x14ac:dyDescent="0.25">
      <c r="H506"/>
    </row>
    <row r="507" spans="8:8" x14ac:dyDescent="0.25">
      <c r="H507"/>
    </row>
    <row r="508" spans="8:8" x14ac:dyDescent="0.25">
      <c r="H508"/>
    </row>
    <row r="509" spans="8:8" x14ac:dyDescent="0.25">
      <c r="H509"/>
    </row>
    <row r="510" spans="8:8" x14ac:dyDescent="0.25">
      <c r="H510"/>
    </row>
    <row r="511" spans="8:8" x14ac:dyDescent="0.25">
      <c r="H511"/>
    </row>
    <row r="512" spans="8:8" x14ac:dyDescent="0.25">
      <c r="H512"/>
    </row>
    <row r="513" spans="8:8" x14ac:dyDescent="0.25">
      <c r="H513"/>
    </row>
    <row r="514" spans="8:8" x14ac:dyDescent="0.25">
      <c r="H514"/>
    </row>
    <row r="515" spans="8:8" x14ac:dyDescent="0.25">
      <c r="H515"/>
    </row>
    <row r="516" spans="8:8" x14ac:dyDescent="0.25">
      <c r="H516"/>
    </row>
    <row r="517" spans="8:8" x14ac:dyDescent="0.25">
      <c r="H517"/>
    </row>
    <row r="518" spans="8:8" x14ac:dyDescent="0.25">
      <c r="H518"/>
    </row>
    <row r="519" spans="8:8" x14ac:dyDescent="0.25">
      <c r="H519"/>
    </row>
    <row r="520" spans="8:8" x14ac:dyDescent="0.25">
      <c r="H520"/>
    </row>
    <row r="521" spans="8:8" x14ac:dyDescent="0.25">
      <c r="H521"/>
    </row>
    <row r="522" spans="8:8" x14ac:dyDescent="0.25">
      <c r="H522"/>
    </row>
    <row r="523" spans="8:8" x14ac:dyDescent="0.25">
      <c r="H523"/>
    </row>
    <row r="524" spans="8:8" x14ac:dyDescent="0.25">
      <c r="H524"/>
    </row>
    <row r="525" spans="8:8" x14ac:dyDescent="0.25">
      <c r="H525"/>
    </row>
    <row r="526" spans="8:8" x14ac:dyDescent="0.25">
      <c r="H526"/>
    </row>
    <row r="527" spans="8:8" x14ac:dyDescent="0.25">
      <c r="H527"/>
    </row>
    <row r="528" spans="8:8" x14ac:dyDescent="0.25">
      <c r="H528"/>
    </row>
    <row r="529" spans="8:8" x14ac:dyDescent="0.25">
      <c r="H529"/>
    </row>
    <row r="530" spans="8:8" x14ac:dyDescent="0.25">
      <c r="H530"/>
    </row>
    <row r="531" spans="8:8" x14ac:dyDescent="0.25">
      <c r="H531"/>
    </row>
    <row r="532" spans="8:8" x14ac:dyDescent="0.25">
      <c r="H532"/>
    </row>
    <row r="533" spans="8:8" x14ac:dyDescent="0.25">
      <c r="H533"/>
    </row>
    <row r="534" spans="8:8" x14ac:dyDescent="0.25">
      <c r="H534"/>
    </row>
    <row r="535" spans="8:8" x14ac:dyDescent="0.25">
      <c r="H535"/>
    </row>
    <row r="536" spans="8:8" x14ac:dyDescent="0.25">
      <c r="H536"/>
    </row>
    <row r="537" spans="8:8" x14ac:dyDescent="0.25">
      <c r="H537"/>
    </row>
    <row r="538" spans="8:8" x14ac:dyDescent="0.25">
      <c r="H538"/>
    </row>
    <row r="539" spans="8:8" x14ac:dyDescent="0.25">
      <c r="H539"/>
    </row>
    <row r="540" spans="8:8" x14ac:dyDescent="0.25">
      <c r="H540"/>
    </row>
    <row r="541" spans="8:8" x14ac:dyDescent="0.25">
      <c r="H541"/>
    </row>
    <row r="542" spans="8:8" x14ac:dyDescent="0.25">
      <c r="H542"/>
    </row>
    <row r="543" spans="8:8" x14ac:dyDescent="0.25">
      <c r="H543"/>
    </row>
    <row r="544" spans="8:8" x14ac:dyDescent="0.25">
      <c r="H544"/>
    </row>
    <row r="545" spans="8:8" x14ac:dyDescent="0.25">
      <c r="H545"/>
    </row>
    <row r="546" spans="8:8" x14ac:dyDescent="0.25">
      <c r="H546"/>
    </row>
    <row r="547" spans="8:8" x14ac:dyDescent="0.25">
      <c r="H547"/>
    </row>
    <row r="548" spans="8:8" x14ac:dyDescent="0.25">
      <c r="H548"/>
    </row>
    <row r="549" spans="8:8" x14ac:dyDescent="0.25">
      <c r="H549"/>
    </row>
    <row r="550" spans="8:8" x14ac:dyDescent="0.25">
      <c r="H550"/>
    </row>
    <row r="551" spans="8:8" x14ac:dyDescent="0.25">
      <c r="H551"/>
    </row>
    <row r="552" spans="8:8" x14ac:dyDescent="0.25">
      <c r="H552"/>
    </row>
    <row r="553" spans="8:8" x14ac:dyDescent="0.25">
      <c r="H553"/>
    </row>
    <row r="554" spans="8:8" x14ac:dyDescent="0.25">
      <c r="H554"/>
    </row>
    <row r="555" spans="8:8" x14ac:dyDescent="0.25">
      <c r="H555"/>
    </row>
    <row r="556" spans="8:8" x14ac:dyDescent="0.25">
      <c r="H556"/>
    </row>
    <row r="557" spans="8:8" x14ac:dyDescent="0.25">
      <c r="H557"/>
    </row>
    <row r="558" spans="8:8" x14ac:dyDescent="0.25">
      <c r="H558"/>
    </row>
    <row r="559" spans="8:8" x14ac:dyDescent="0.25">
      <c r="H559"/>
    </row>
    <row r="560" spans="8:8" x14ac:dyDescent="0.25">
      <c r="H560"/>
    </row>
    <row r="561" spans="8:8" x14ac:dyDescent="0.25">
      <c r="H561"/>
    </row>
    <row r="562" spans="8:8" x14ac:dyDescent="0.25">
      <c r="H562"/>
    </row>
    <row r="563" spans="8:8" x14ac:dyDescent="0.25">
      <c r="H563"/>
    </row>
    <row r="564" spans="8:8" x14ac:dyDescent="0.25">
      <c r="H564"/>
    </row>
    <row r="565" spans="8:8" x14ac:dyDescent="0.25">
      <c r="H565"/>
    </row>
    <row r="566" spans="8:8" x14ac:dyDescent="0.25">
      <c r="H566"/>
    </row>
    <row r="567" spans="8:8" x14ac:dyDescent="0.25">
      <c r="H567"/>
    </row>
    <row r="568" spans="8:8" x14ac:dyDescent="0.25">
      <c r="H568"/>
    </row>
    <row r="569" spans="8:8" x14ac:dyDescent="0.25">
      <c r="H569"/>
    </row>
    <row r="570" spans="8:8" x14ac:dyDescent="0.25">
      <c r="H570"/>
    </row>
    <row r="571" spans="8:8" x14ac:dyDescent="0.25">
      <c r="H571"/>
    </row>
    <row r="572" spans="8:8" x14ac:dyDescent="0.25">
      <c r="H572"/>
    </row>
    <row r="573" spans="8:8" x14ac:dyDescent="0.25">
      <c r="H573"/>
    </row>
    <row r="574" spans="8:8" x14ac:dyDescent="0.25">
      <c r="H574"/>
    </row>
    <row r="575" spans="8:8" x14ac:dyDescent="0.25">
      <c r="H575"/>
    </row>
    <row r="576" spans="8:8" x14ac:dyDescent="0.25">
      <c r="H576"/>
    </row>
    <row r="577" spans="8:8" x14ac:dyDescent="0.25">
      <c r="H577"/>
    </row>
    <row r="578" spans="8:8" x14ac:dyDescent="0.25">
      <c r="H578"/>
    </row>
    <row r="579" spans="8:8" x14ac:dyDescent="0.25">
      <c r="H579"/>
    </row>
    <row r="580" spans="8:8" x14ac:dyDescent="0.25">
      <c r="H580"/>
    </row>
    <row r="581" spans="8:8" x14ac:dyDescent="0.25">
      <c r="H581"/>
    </row>
    <row r="582" spans="8:8" x14ac:dyDescent="0.25">
      <c r="H582"/>
    </row>
    <row r="583" spans="8:8" x14ac:dyDescent="0.25">
      <c r="H583"/>
    </row>
    <row r="584" spans="8:8" x14ac:dyDescent="0.25">
      <c r="H584"/>
    </row>
    <row r="585" spans="8:8" x14ac:dyDescent="0.25">
      <c r="H585"/>
    </row>
    <row r="586" spans="8:8" x14ac:dyDescent="0.25">
      <c r="H586"/>
    </row>
    <row r="587" spans="8:8" x14ac:dyDescent="0.25">
      <c r="H587"/>
    </row>
    <row r="588" spans="8:8" x14ac:dyDescent="0.25">
      <c r="H588"/>
    </row>
    <row r="589" spans="8:8" x14ac:dyDescent="0.25">
      <c r="H589"/>
    </row>
    <row r="590" spans="8:8" x14ac:dyDescent="0.25">
      <c r="H590"/>
    </row>
    <row r="591" spans="8:8" x14ac:dyDescent="0.25">
      <c r="H591"/>
    </row>
    <row r="592" spans="8:8" x14ac:dyDescent="0.25">
      <c r="H592"/>
    </row>
    <row r="593" spans="8:8" x14ac:dyDescent="0.25">
      <c r="H593"/>
    </row>
    <row r="594" spans="8:8" x14ac:dyDescent="0.25">
      <c r="H594"/>
    </row>
  </sheetData>
  <pageMargins left="0.7" right="0.7" top="0.75" bottom="0.75" header="0.3" footer="0.3"/>
  <drawing r:id="rId2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4CA9-E320-4FF5-9B0E-4B5F6684428D}">
  <sheetPr>
    <tabColor theme="6" tint="0.39997558519241921"/>
  </sheetPr>
  <dimension ref="A3:J833"/>
  <sheetViews>
    <sheetView workbookViewId="0">
      <selection activeCell="L16" sqref="L16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6" width="12.5703125" bestFit="1" customWidth="1"/>
    <col min="7" max="7" width="18" style="6" bestFit="1" customWidth="1"/>
    <col min="8" max="8" width="17.140625" bestFit="1" customWidth="1"/>
    <col min="9" max="9" width="20.5703125" bestFit="1" customWidth="1"/>
    <col min="10" max="10" width="14.42578125" bestFit="1" customWidth="1"/>
  </cols>
  <sheetData>
    <row r="3" spans="1:10" x14ac:dyDescent="0.25">
      <c r="B3" s="2" t="s">
        <v>31</v>
      </c>
      <c r="C3" t="s">
        <v>132</v>
      </c>
    </row>
    <row r="4" spans="1:10" x14ac:dyDescent="0.25">
      <c r="G4"/>
    </row>
    <row r="5" spans="1:10" x14ac:dyDescent="0.25">
      <c r="G5" s="2" t="s">
        <v>4438</v>
      </c>
    </row>
    <row r="6" spans="1:10" x14ac:dyDescent="0.25">
      <c r="B6" s="2" t="s">
        <v>0</v>
      </c>
      <c r="C6" s="2" t="s">
        <v>42</v>
      </c>
      <c r="D6" s="2" t="s">
        <v>24</v>
      </c>
      <c r="E6" s="2" t="s">
        <v>27</v>
      </c>
      <c r="F6" s="2" t="s">
        <v>26</v>
      </c>
      <c r="G6" t="s">
        <v>4439</v>
      </c>
      <c r="H6" t="s">
        <v>4440</v>
      </c>
      <c r="I6" t="s">
        <v>4441</v>
      </c>
      <c r="J6" t="s">
        <v>4434</v>
      </c>
    </row>
    <row r="7" spans="1:10" x14ac:dyDescent="0.25">
      <c r="A7">
        <v>1</v>
      </c>
      <c r="B7" t="s">
        <v>3395</v>
      </c>
      <c r="C7" t="s">
        <v>147</v>
      </c>
      <c r="D7" t="s">
        <v>184</v>
      </c>
      <c r="E7" t="s">
        <v>95</v>
      </c>
      <c r="F7">
        <v>55</v>
      </c>
      <c r="G7" s="4">
        <v>79</v>
      </c>
      <c r="H7" s="4">
        <v>95</v>
      </c>
      <c r="I7" s="4">
        <v>174</v>
      </c>
      <c r="J7" s="7">
        <v>257.83</v>
      </c>
    </row>
    <row r="8" spans="1:10" x14ac:dyDescent="0.25">
      <c r="A8">
        <v>2</v>
      </c>
      <c r="B8" t="s">
        <v>3432</v>
      </c>
      <c r="C8" t="s">
        <v>402</v>
      </c>
      <c r="D8" t="s">
        <v>98</v>
      </c>
      <c r="E8" t="s">
        <v>126</v>
      </c>
      <c r="F8">
        <v>64</v>
      </c>
      <c r="G8" s="4">
        <v>88</v>
      </c>
      <c r="H8" s="4">
        <v>108</v>
      </c>
      <c r="I8" s="4">
        <v>196</v>
      </c>
      <c r="J8" s="7">
        <v>255.09</v>
      </c>
    </row>
    <row r="9" spans="1:10" x14ac:dyDescent="0.25">
      <c r="A9">
        <v>3</v>
      </c>
      <c r="B9" t="s">
        <v>3267</v>
      </c>
      <c r="C9" t="s">
        <v>396</v>
      </c>
      <c r="D9" t="s">
        <v>98</v>
      </c>
      <c r="E9" t="s">
        <v>126</v>
      </c>
      <c r="F9">
        <v>64</v>
      </c>
      <c r="G9" s="4">
        <v>85</v>
      </c>
      <c r="H9" s="4">
        <v>105</v>
      </c>
      <c r="I9" s="4">
        <v>190</v>
      </c>
      <c r="J9" s="7">
        <v>254.99</v>
      </c>
    </row>
    <row r="10" spans="1:10" x14ac:dyDescent="0.25">
      <c r="A10">
        <v>4</v>
      </c>
      <c r="B10" t="s">
        <v>4021</v>
      </c>
      <c r="C10" t="s">
        <v>221</v>
      </c>
      <c r="D10" t="s">
        <v>98</v>
      </c>
      <c r="E10" t="s">
        <v>126</v>
      </c>
      <c r="F10">
        <v>64</v>
      </c>
      <c r="G10" s="4">
        <v>88</v>
      </c>
      <c r="H10" s="4">
        <v>105</v>
      </c>
      <c r="I10" s="4">
        <v>193</v>
      </c>
      <c r="J10" s="7">
        <v>254.44</v>
      </c>
    </row>
    <row r="11" spans="1:10" x14ac:dyDescent="0.25">
      <c r="A11">
        <v>5</v>
      </c>
      <c r="B11" t="s">
        <v>4049</v>
      </c>
      <c r="C11" t="s">
        <v>1004</v>
      </c>
      <c r="D11" t="s">
        <v>98</v>
      </c>
      <c r="E11" t="s">
        <v>126</v>
      </c>
      <c r="F11">
        <v>64</v>
      </c>
      <c r="G11" s="4">
        <v>84</v>
      </c>
      <c r="H11" s="4">
        <v>109</v>
      </c>
      <c r="I11" s="4">
        <v>193</v>
      </c>
      <c r="J11" s="7">
        <v>252.38</v>
      </c>
    </row>
    <row r="12" spans="1:10" x14ac:dyDescent="0.25">
      <c r="A12">
        <v>6</v>
      </c>
      <c r="B12" t="s">
        <v>2994</v>
      </c>
      <c r="C12" t="s">
        <v>124</v>
      </c>
      <c r="D12" t="s">
        <v>98</v>
      </c>
      <c r="E12" t="s">
        <v>126</v>
      </c>
      <c r="F12">
        <v>71</v>
      </c>
      <c r="G12" s="4">
        <v>85</v>
      </c>
      <c r="H12" s="4">
        <v>110</v>
      </c>
      <c r="I12" s="4">
        <v>195</v>
      </c>
      <c r="J12" s="7">
        <v>249.37</v>
      </c>
    </row>
    <row r="13" spans="1:10" x14ac:dyDescent="0.25">
      <c r="A13">
        <v>7</v>
      </c>
      <c r="B13" t="s">
        <v>2239</v>
      </c>
      <c r="C13" t="s">
        <v>88</v>
      </c>
      <c r="D13" t="s">
        <v>98</v>
      </c>
      <c r="E13" t="s">
        <v>126</v>
      </c>
      <c r="F13">
        <v>59</v>
      </c>
      <c r="G13" s="4">
        <v>79</v>
      </c>
      <c r="H13" s="4">
        <v>96</v>
      </c>
      <c r="I13" s="4">
        <v>175</v>
      </c>
      <c r="J13" s="7">
        <v>240.06</v>
      </c>
    </row>
    <row r="14" spans="1:10" x14ac:dyDescent="0.25">
      <c r="A14">
        <v>8</v>
      </c>
      <c r="B14" t="s">
        <v>4091</v>
      </c>
      <c r="C14" t="s">
        <v>258</v>
      </c>
      <c r="D14" t="s">
        <v>98</v>
      </c>
      <c r="E14" t="s">
        <v>126</v>
      </c>
      <c r="F14">
        <v>55</v>
      </c>
      <c r="G14" s="4">
        <v>70</v>
      </c>
      <c r="H14" s="4">
        <v>95</v>
      </c>
      <c r="I14" s="4">
        <v>165</v>
      </c>
      <c r="J14" s="7">
        <v>237.09</v>
      </c>
    </row>
    <row r="15" spans="1:10" x14ac:dyDescent="0.25">
      <c r="A15">
        <v>9</v>
      </c>
      <c r="B15" t="s">
        <v>3412</v>
      </c>
      <c r="C15" t="s">
        <v>1032</v>
      </c>
      <c r="D15" t="s">
        <v>94</v>
      </c>
      <c r="E15" t="s">
        <v>126</v>
      </c>
      <c r="F15">
        <v>55</v>
      </c>
      <c r="G15" s="4">
        <v>75</v>
      </c>
      <c r="H15" s="4">
        <v>87</v>
      </c>
      <c r="I15" s="4">
        <v>162</v>
      </c>
      <c r="J15" s="7">
        <v>236.21</v>
      </c>
    </row>
    <row r="16" spans="1:10" x14ac:dyDescent="0.25">
      <c r="A16">
        <v>10</v>
      </c>
      <c r="B16" t="s">
        <v>1941</v>
      </c>
      <c r="C16" t="s">
        <v>1004</v>
      </c>
      <c r="D16" t="s">
        <v>94</v>
      </c>
      <c r="E16" t="s">
        <v>126</v>
      </c>
      <c r="F16">
        <v>59</v>
      </c>
      <c r="G16" s="4">
        <v>77</v>
      </c>
      <c r="H16" s="4">
        <v>95</v>
      </c>
      <c r="I16" s="4">
        <v>172</v>
      </c>
      <c r="J16" s="7">
        <v>235.34</v>
      </c>
    </row>
    <row r="17" spans="1:10" x14ac:dyDescent="0.25">
      <c r="A17">
        <v>11</v>
      </c>
      <c r="B17" t="s">
        <v>1422</v>
      </c>
      <c r="C17" t="s">
        <v>513</v>
      </c>
      <c r="D17" t="s">
        <v>94</v>
      </c>
      <c r="E17" t="s">
        <v>126</v>
      </c>
      <c r="F17">
        <v>59</v>
      </c>
      <c r="G17" s="4">
        <v>77</v>
      </c>
      <c r="H17" s="4">
        <v>90</v>
      </c>
      <c r="I17" s="4">
        <v>167</v>
      </c>
      <c r="J17" s="7">
        <v>235.22</v>
      </c>
    </row>
    <row r="18" spans="1:10" x14ac:dyDescent="0.25">
      <c r="A18">
        <v>12</v>
      </c>
      <c r="B18" t="s">
        <v>2260</v>
      </c>
      <c r="C18" t="s">
        <v>687</v>
      </c>
      <c r="D18" t="s">
        <v>184</v>
      </c>
      <c r="E18" t="s">
        <v>95</v>
      </c>
      <c r="F18">
        <v>55</v>
      </c>
      <c r="G18" s="4">
        <v>74</v>
      </c>
      <c r="H18" s="4">
        <v>86</v>
      </c>
      <c r="I18" s="4">
        <v>160</v>
      </c>
      <c r="J18" s="7">
        <v>232.93</v>
      </c>
    </row>
    <row r="19" spans="1:10" x14ac:dyDescent="0.25">
      <c r="A19">
        <v>13</v>
      </c>
      <c r="B19" t="s">
        <v>3661</v>
      </c>
      <c r="C19" t="s">
        <v>538</v>
      </c>
      <c r="D19" t="s">
        <v>94</v>
      </c>
      <c r="E19" t="s">
        <v>126</v>
      </c>
      <c r="F19">
        <v>59</v>
      </c>
      <c r="G19" s="4">
        <v>74</v>
      </c>
      <c r="H19" s="4">
        <v>95</v>
      </c>
      <c r="I19" s="4">
        <v>169</v>
      </c>
      <c r="J19" s="7">
        <v>232.48</v>
      </c>
    </row>
    <row r="20" spans="1:10" x14ac:dyDescent="0.25">
      <c r="A20">
        <v>14</v>
      </c>
      <c r="B20" t="s">
        <v>3344</v>
      </c>
      <c r="C20" t="s">
        <v>396</v>
      </c>
      <c r="D20" t="s">
        <v>94</v>
      </c>
      <c r="E20" t="s">
        <v>126</v>
      </c>
      <c r="F20">
        <v>55</v>
      </c>
      <c r="G20" s="4">
        <v>70</v>
      </c>
      <c r="H20" s="4">
        <v>90</v>
      </c>
      <c r="I20" s="4">
        <v>160</v>
      </c>
      <c r="J20" s="7">
        <v>230.5</v>
      </c>
    </row>
    <row r="21" spans="1:10" x14ac:dyDescent="0.25">
      <c r="A21">
        <v>15</v>
      </c>
      <c r="B21" t="s">
        <v>1639</v>
      </c>
      <c r="C21" t="s">
        <v>615</v>
      </c>
      <c r="D21" t="s">
        <v>94</v>
      </c>
      <c r="E21" t="s">
        <v>126</v>
      </c>
      <c r="F21">
        <v>59</v>
      </c>
      <c r="G21" s="4">
        <v>77</v>
      </c>
      <c r="H21" s="4">
        <v>89</v>
      </c>
      <c r="I21" s="4">
        <v>166</v>
      </c>
      <c r="J21" s="7">
        <v>227.13</v>
      </c>
    </row>
    <row r="22" spans="1:10" x14ac:dyDescent="0.25">
      <c r="A22">
        <v>16</v>
      </c>
      <c r="B22" t="s">
        <v>3859</v>
      </c>
      <c r="C22" t="s">
        <v>134</v>
      </c>
      <c r="D22" t="s">
        <v>94</v>
      </c>
      <c r="E22" t="s">
        <v>126</v>
      </c>
      <c r="F22">
        <v>76</v>
      </c>
      <c r="G22" s="4">
        <v>87</v>
      </c>
      <c r="H22" s="4">
        <v>100</v>
      </c>
      <c r="I22" s="4">
        <v>187</v>
      </c>
      <c r="J22" s="7">
        <v>227</v>
      </c>
    </row>
    <row r="23" spans="1:10" x14ac:dyDescent="0.25">
      <c r="A23">
        <v>17</v>
      </c>
      <c r="B23" t="s">
        <v>2690</v>
      </c>
      <c r="C23" t="s">
        <v>417</v>
      </c>
      <c r="D23" t="s">
        <v>94</v>
      </c>
      <c r="E23" t="s">
        <v>126</v>
      </c>
      <c r="F23">
        <v>59</v>
      </c>
      <c r="G23" s="4">
        <v>75</v>
      </c>
      <c r="H23" s="4">
        <v>88</v>
      </c>
      <c r="I23" s="4">
        <v>163</v>
      </c>
      <c r="J23" s="7">
        <v>226.08</v>
      </c>
    </row>
    <row r="24" spans="1:10" x14ac:dyDescent="0.25">
      <c r="A24">
        <v>18</v>
      </c>
      <c r="B24" t="s">
        <v>2104</v>
      </c>
      <c r="C24" t="s">
        <v>1135</v>
      </c>
      <c r="D24" t="s">
        <v>94</v>
      </c>
      <c r="E24" t="s">
        <v>126</v>
      </c>
      <c r="F24">
        <v>59</v>
      </c>
      <c r="G24" s="4">
        <v>71</v>
      </c>
      <c r="H24" s="4">
        <v>93</v>
      </c>
      <c r="I24" s="4">
        <v>164</v>
      </c>
      <c r="J24" s="7">
        <v>225.4</v>
      </c>
    </row>
    <row r="25" spans="1:10" x14ac:dyDescent="0.25">
      <c r="A25">
        <v>19</v>
      </c>
      <c r="B25" t="s">
        <v>1636</v>
      </c>
      <c r="C25" t="s">
        <v>513</v>
      </c>
      <c r="D25" t="s">
        <v>94</v>
      </c>
      <c r="E25" t="s">
        <v>126</v>
      </c>
      <c r="F25">
        <v>71</v>
      </c>
      <c r="G25" s="4">
        <v>80</v>
      </c>
      <c r="H25" s="4">
        <v>100</v>
      </c>
      <c r="I25" s="4">
        <v>180</v>
      </c>
      <c r="J25" s="7">
        <v>225.24</v>
      </c>
    </row>
    <row r="26" spans="1:10" x14ac:dyDescent="0.25">
      <c r="A26">
        <v>20</v>
      </c>
      <c r="B26" t="s">
        <v>907</v>
      </c>
      <c r="C26" t="s">
        <v>589</v>
      </c>
      <c r="D26" t="s">
        <v>94</v>
      </c>
      <c r="E26" t="s">
        <v>126</v>
      </c>
      <c r="F26">
        <v>59</v>
      </c>
      <c r="G26" s="4">
        <v>72</v>
      </c>
      <c r="H26" s="4">
        <v>91</v>
      </c>
      <c r="I26" s="4">
        <v>163</v>
      </c>
      <c r="J26" s="7">
        <v>225.05</v>
      </c>
    </row>
    <row r="27" spans="1:10" x14ac:dyDescent="0.25">
      <c r="A27">
        <v>21</v>
      </c>
      <c r="B27" t="s">
        <v>1619</v>
      </c>
      <c r="C27" t="s">
        <v>120</v>
      </c>
      <c r="D27" t="s">
        <v>94</v>
      </c>
      <c r="E27" t="s">
        <v>126</v>
      </c>
      <c r="F27">
        <v>71</v>
      </c>
      <c r="G27" s="4">
        <v>80</v>
      </c>
      <c r="H27" s="4">
        <v>95</v>
      </c>
      <c r="I27" s="4">
        <v>175</v>
      </c>
      <c r="J27" s="7">
        <v>224.65</v>
      </c>
    </row>
    <row r="28" spans="1:10" x14ac:dyDescent="0.25">
      <c r="A28">
        <v>22</v>
      </c>
      <c r="B28" t="s">
        <v>2192</v>
      </c>
      <c r="C28" t="s">
        <v>258</v>
      </c>
      <c r="D28" t="s">
        <v>94</v>
      </c>
      <c r="E28" t="s">
        <v>126</v>
      </c>
      <c r="F28">
        <v>64</v>
      </c>
      <c r="G28" s="4">
        <v>73</v>
      </c>
      <c r="H28" s="4">
        <v>96</v>
      </c>
      <c r="I28" s="4">
        <v>169</v>
      </c>
      <c r="J28" s="7">
        <v>224.04</v>
      </c>
    </row>
    <row r="29" spans="1:10" x14ac:dyDescent="0.25">
      <c r="A29">
        <v>23</v>
      </c>
      <c r="B29" t="s">
        <v>603</v>
      </c>
      <c r="C29" t="s">
        <v>606</v>
      </c>
      <c r="D29" t="s">
        <v>94</v>
      </c>
      <c r="E29" t="s">
        <v>126</v>
      </c>
      <c r="F29">
        <v>49</v>
      </c>
      <c r="G29" s="4">
        <v>63</v>
      </c>
      <c r="H29" s="4">
        <v>80</v>
      </c>
      <c r="I29" s="4">
        <v>143</v>
      </c>
      <c r="J29" s="7">
        <v>223.58</v>
      </c>
    </row>
    <row r="30" spans="1:10" x14ac:dyDescent="0.25">
      <c r="A30">
        <v>24</v>
      </c>
      <c r="B30" t="s">
        <v>333</v>
      </c>
      <c r="C30" t="s">
        <v>124</v>
      </c>
      <c r="D30" t="s">
        <v>94</v>
      </c>
      <c r="E30" t="s">
        <v>126</v>
      </c>
      <c r="F30">
        <v>55</v>
      </c>
      <c r="G30" s="4">
        <v>67</v>
      </c>
      <c r="H30" s="4">
        <v>88</v>
      </c>
      <c r="I30" s="4">
        <v>155</v>
      </c>
      <c r="J30" s="7">
        <v>223.58</v>
      </c>
    </row>
    <row r="31" spans="1:10" x14ac:dyDescent="0.25">
      <c r="A31">
        <v>25</v>
      </c>
      <c r="B31" t="s">
        <v>2717</v>
      </c>
      <c r="C31" t="s">
        <v>221</v>
      </c>
      <c r="D31" t="s">
        <v>94</v>
      </c>
      <c r="E31" t="s">
        <v>126</v>
      </c>
      <c r="F31">
        <v>64</v>
      </c>
      <c r="G31" s="4">
        <v>77</v>
      </c>
      <c r="H31" s="4">
        <v>94</v>
      </c>
      <c r="I31" s="4">
        <v>171</v>
      </c>
      <c r="J31" s="7">
        <v>223.52</v>
      </c>
    </row>
    <row r="32" spans="1:10" x14ac:dyDescent="0.25">
      <c r="A32">
        <v>26</v>
      </c>
      <c r="B32" t="s">
        <v>1574</v>
      </c>
      <c r="C32" t="s">
        <v>883</v>
      </c>
      <c r="D32" t="s">
        <v>94</v>
      </c>
      <c r="E32" t="s">
        <v>126</v>
      </c>
      <c r="F32">
        <v>49</v>
      </c>
      <c r="G32" s="4">
        <v>63</v>
      </c>
      <c r="H32" s="4">
        <v>78</v>
      </c>
      <c r="I32" s="4">
        <v>141</v>
      </c>
      <c r="J32" s="7">
        <v>223.48</v>
      </c>
    </row>
    <row r="33" spans="1:10" x14ac:dyDescent="0.25">
      <c r="A33">
        <v>27</v>
      </c>
      <c r="B33" t="s">
        <v>1826</v>
      </c>
      <c r="C33" t="s">
        <v>1489</v>
      </c>
      <c r="D33" t="s">
        <v>94</v>
      </c>
      <c r="E33" t="s">
        <v>126</v>
      </c>
      <c r="F33">
        <v>81</v>
      </c>
      <c r="G33" s="4">
        <v>79</v>
      </c>
      <c r="H33" s="4">
        <v>112</v>
      </c>
      <c r="I33" s="4">
        <v>191</v>
      </c>
      <c r="J33" s="7">
        <v>222.9</v>
      </c>
    </row>
    <row r="34" spans="1:10" x14ac:dyDescent="0.25">
      <c r="A34">
        <v>28</v>
      </c>
      <c r="B34" t="s">
        <v>1455</v>
      </c>
      <c r="C34" t="s">
        <v>672</v>
      </c>
      <c r="D34" t="s">
        <v>94</v>
      </c>
      <c r="E34" t="s">
        <v>126</v>
      </c>
      <c r="F34">
        <v>59</v>
      </c>
      <c r="G34" s="4">
        <v>72</v>
      </c>
      <c r="H34" s="4">
        <v>90</v>
      </c>
      <c r="I34" s="4">
        <v>162</v>
      </c>
      <c r="J34" s="7">
        <v>221.66</v>
      </c>
    </row>
    <row r="35" spans="1:10" x14ac:dyDescent="0.25">
      <c r="A35">
        <v>29</v>
      </c>
      <c r="B35" t="s">
        <v>2861</v>
      </c>
      <c r="C35" t="s">
        <v>386</v>
      </c>
      <c r="D35" t="s">
        <v>98</v>
      </c>
      <c r="E35" t="s">
        <v>113</v>
      </c>
      <c r="F35">
        <v>71</v>
      </c>
      <c r="G35" s="4">
        <v>75</v>
      </c>
      <c r="H35" s="4">
        <v>96</v>
      </c>
      <c r="I35" s="4">
        <v>171</v>
      </c>
      <c r="J35" s="7">
        <v>221.41</v>
      </c>
    </row>
    <row r="36" spans="1:10" x14ac:dyDescent="0.25">
      <c r="A36">
        <v>30</v>
      </c>
      <c r="B36" t="s">
        <v>4119</v>
      </c>
      <c r="C36" t="s">
        <v>417</v>
      </c>
      <c r="D36" t="s">
        <v>94</v>
      </c>
      <c r="E36" t="s">
        <v>126</v>
      </c>
      <c r="F36">
        <v>59</v>
      </c>
      <c r="G36" s="4">
        <v>69</v>
      </c>
      <c r="H36" s="4">
        <v>90</v>
      </c>
      <c r="I36" s="4">
        <v>159</v>
      </c>
      <c r="J36" s="7">
        <v>220.54</v>
      </c>
    </row>
    <row r="37" spans="1:10" x14ac:dyDescent="0.25">
      <c r="A37">
        <v>31</v>
      </c>
      <c r="B37" t="s">
        <v>2137</v>
      </c>
      <c r="C37" t="s">
        <v>566</v>
      </c>
      <c r="D37" t="s">
        <v>94</v>
      </c>
      <c r="E37" t="s">
        <v>126</v>
      </c>
      <c r="F37">
        <v>55</v>
      </c>
      <c r="G37" s="4">
        <v>70</v>
      </c>
      <c r="H37" s="4">
        <v>82</v>
      </c>
      <c r="I37" s="4">
        <v>152</v>
      </c>
      <c r="J37" s="7">
        <v>219.83</v>
      </c>
    </row>
    <row r="38" spans="1:10" x14ac:dyDescent="0.25">
      <c r="A38">
        <v>32</v>
      </c>
      <c r="B38" t="s">
        <v>1430</v>
      </c>
      <c r="C38" t="s">
        <v>713</v>
      </c>
      <c r="D38" t="s">
        <v>94</v>
      </c>
      <c r="E38" t="s">
        <v>126</v>
      </c>
      <c r="F38">
        <v>59</v>
      </c>
      <c r="G38" s="4">
        <v>69</v>
      </c>
      <c r="H38" s="4">
        <v>90</v>
      </c>
      <c r="I38" s="4">
        <v>159</v>
      </c>
      <c r="J38" s="7">
        <v>218.78</v>
      </c>
    </row>
    <row r="39" spans="1:10" x14ac:dyDescent="0.25">
      <c r="A39">
        <v>33</v>
      </c>
      <c r="B39" t="s">
        <v>4309</v>
      </c>
      <c r="C39" t="s">
        <v>312</v>
      </c>
      <c r="D39" t="s">
        <v>94</v>
      </c>
      <c r="E39" t="s">
        <v>126</v>
      </c>
      <c r="F39">
        <v>71</v>
      </c>
      <c r="G39" s="4">
        <v>78</v>
      </c>
      <c r="H39" s="4">
        <v>94</v>
      </c>
      <c r="I39" s="4">
        <v>172</v>
      </c>
      <c r="J39" s="7">
        <v>218.68</v>
      </c>
    </row>
    <row r="40" spans="1:10" x14ac:dyDescent="0.25">
      <c r="A40">
        <v>34</v>
      </c>
      <c r="B40" t="s">
        <v>4132</v>
      </c>
      <c r="C40" t="s">
        <v>147</v>
      </c>
      <c r="D40" t="s">
        <v>94</v>
      </c>
      <c r="E40" t="s">
        <v>126</v>
      </c>
      <c r="F40">
        <v>64</v>
      </c>
      <c r="G40" s="4">
        <v>75</v>
      </c>
      <c r="H40" s="4">
        <v>93</v>
      </c>
      <c r="I40" s="4">
        <v>168</v>
      </c>
      <c r="J40" s="7">
        <v>218.44</v>
      </c>
    </row>
    <row r="41" spans="1:10" x14ac:dyDescent="0.25">
      <c r="A41">
        <v>35</v>
      </c>
      <c r="B41" t="s">
        <v>3058</v>
      </c>
      <c r="C41" t="s">
        <v>180</v>
      </c>
      <c r="D41" t="s">
        <v>94</v>
      </c>
      <c r="E41" t="s">
        <v>126</v>
      </c>
      <c r="F41">
        <v>71</v>
      </c>
      <c r="G41" s="4">
        <v>77</v>
      </c>
      <c r="H41" s="4">
        <v>100</v>
      </c>
      <c r="I41" s="4">
        <v>177</v>
      </c>
      <c r="J41" s="7">
        <v>218.38</v>
      </c>
    </row>
    <row r="42" spans="1:10" x14ac:dyDescent="0.25">
      <c r="A42">
        <v>36</v>
      </c>
      <c r="B42" t="s">
        <v>2530</v>
      </c>
      <c r="C42" t="s">
        <v>329</v>
      </c>
      <c r="D42" t="s">
        <v>94</v>
      </c>
      <c r="E42" t="s">
        <v>126</v>
      </c>
      <c r="F42">
        <v>55</v>
      </c>
      <c r="G42" s="4">
        <v>69</v>
      </c>
      <c r="H42" s="4">
        <v>82</v>
      </c>
      <c r="I42" s="4">
        <v>151</v>
      </c>
      <c r="J42" s="7">
        <v>217.67</v>
      </c>
    </row>
    <row r="43" spans="1:10" x14ac:dyDescent="0.25">
      <c r="A43">
        <v>37</v>
      </c>
      <c r="B43" t="s">
        <v>3889</v>
      </c>
      <c r="C43" t="s">
        <v>400</v>
      </c>
      <c r="D43" t="s">
        <v>94</v>
      </c>
      <c r="E43" t="s">
        <v>126</v>
      </c>
      <c r="F43">
        <v>55</v>
      </c>
      <c r="G43" s="4">
        <v>67</v>
      </c>
      <c r="H43" s="4">
        <v>78</v>
      </c>
      <c r="I43" s="4">
        <v>145</v>
      </c>
      <c r="J43" s="7">
        <v>217.62</v>
      </c>
    </row>
    <row r="44" spans="1:10" x14ac:dyDescent="0.25">
      <c r="A44">
        <v>38</v>
      </c>
      <c r="B44" t="s">
        <v>1182</v>
      </c>
      <c r="C44" t="s">
        <v>598</v>
      </c>
      <c r="D44" t="s">
        <v>94</v>
      </c>
      <c r="E44" t="s">
        <v>126</v>
      </c>
      <c r="F44">
        <v>71</v>
      </c>
      <c r="G44" s="4">
        <v>76</v>
      </c>
      <c r="H44" s="4">
        <v>96</v>
      </c>
      <c r="I44" s="4">
        <v>172</v>
      </c>
      <c r="J44" s="7">
        <v>217.56</v>
      </c>
    </row>
    <row r="45" spans="1:10" x14ac:dyDescent="0.25">
      <c r="A45">
        <v>39</v>
      </c>
      <c r="B45" t="s">
        <v>2058</v>
      </c>
      <c r="C45" t="s">
        <v>88</v>
      </c>
      <c r="D45" t="s">
        <v>94</v>
      </c>
      <c r="E45" t="s">
        <v>126</v>
      </c>
      <c r="F45">
        <v>64</v>
      </c>
      <c r="G45" s="4">
        <v>75</v>
      </c>
      <c r="H45" s="4">
        <v>90</v>
      </c>
      <c r="I45" s="4">
        <v>165</v>
      </c>
      <c r="J45" s="7">
        <v>216.99</v>
      </c>
    </row>
    <row r="46" spans="1:10" x14ac:dyDescent="0.25">
      <c r="A46">
        <v>40</v>
      </c>
      <c r="B46" t="s">
        <v>3078</v>
      </c>
      <c r="C46" t="s">
        <v>258</v>
      </c>
      <c r="D46" t="s">
        <v>94</v>
      </c>
      <c r="E46" t="s">
        <v>126</v>
      </c>
      <c r="F46">
        <v>64</v>
      </c>
      <c r="G46" s="4">
        <v>75</v>
      </c>
      <c r="H46" s="4">
        <v>90</v>
      </c>
      <c r="I46" s="4">
        <v>165</v>
      </c>
      <c r="J46" s="7">
        <v>216.59</v>
      </c>
    </row>
    <row r="47" spans="1:10" x14ac:dyDescent="0.25">
      <c r="A47">
        <v>41</v>
      </c>
      <c r="B47" t="s">
        <v>1672</v>
      </c>
      <c r="C47" t="s">
        <v>1085</v>
      </c>
      <c r="D47" t="s">
        <v>94</v>
      </c>
      <c r="E47" t="s">
        <v>126</v>
      </c>
      <c r="F47">
        <v>64</v>
      </c>
      <c r="G47" s="4">
        <v>70</v>
      </c>
      <c r="H47" s="4">
        <v>96</v>
      </c>
      <c r="I47" s="4">
        <v>166</v>
      </c>
      <c r="J47" s="7">
        <v>216.45</v>
      </c>
    </row>
    <row r="48" spans="1:10" x14ac:dyDescent="0.25">
      <c r="A48">
        <v>42</v>
      </c>
      <c r="B48" t="s">
        <v>2812</v>
      </c>
      <c r="C48" t="s">
        <v>1004</v>
      </c>
      <c r="D48" t="s">
        <v>94</v>
      </c>
      <c r="E48" t="s">
        <v>126</v>
      </c>
      <c r="F48">
        <v>71</v>
      </c>
      <c r="G48" s="4">
        <v>78</v>
      </c>
      <c r="H48" s="4">
        <v>96</v>
      </c>
      <c r="I48" s="4">
        <v>174</v>
      </c>
      <c r="J48" s="7">
        <v>216.35</v>
      </c>
    </row>
    <row r="49" spans="1:10" x14ac:dyDescent="0.25">
      <c r="A49">
        <v>43</v>
      </c>
      <c r="B49" t="s">
        <v>2052</v>
      </c>
      <c r="C49" t="s">
        <v>697</v>
      </c>
      <c r="D49" t="s">
        <v>94</v>
      </c>
      <c r="E49" t="s">
        <v>126</v>
      </c>
      <c r="F49">
        <v>64</v>
      </c>
      <c r="G49" s="4">
        <v>75</v>
      </c>
      <c r="H49" s="4">
        <v>90</v>
      </c>
      <c r="I49" s="4">
        <v>165</v>
      </c>
      <c r="J49" s="7">
        <v>216.18</v>
      </c>
    </row>
    <row r="50" spans="1:10" x14ac:dyDescent="0.25">
      <c r="A50">
        <v>44</v>
      </c>
      <c r="B50" t="s">
        <v>2662</v>
      </c>
      <c r="C50" t="s">
        <v>1489</v>
      </c>
      <c r="D50" t="s">
        <v>94</v>
      </c>
      <c r="E50" t="s">
        <v>126</v>
      </c>
      <c r="F50">
        <v>64</v>
      </c>
      <c r="G50" s="4">
        <v>75</v>
      </c>
      <c r="H50" s="4">
        <v>90</v>
      </c>
      <c r="I50" s="4">
        <v>165</v>
      </c>
      <c r="J50" s="7">
        <v>215.97</v>
      </c>
    </row>
    <row r="51" spans="1:10" x14ac:dyDescent="0.25">
      <c r="A51">
        <v>45</v>
      </c>
      <c r="B51" t="s">
        <v>3838</v>
      </c>
      <c r="C51" t="s">
        <v>783</v>
      </c>
      <c r="D51" t="s">
        <v>94</v>
      </c>
      <c r="E51" t="s">
        <v>126</v>
      </c>
      <c r="F51">
        <v>59</v>
      </c>
      <c r="G51" s="4">
        <v>65</v>
      </c>
      <c r="H51" s="4">
        <v>90</v>
      </c>
      <c r="I51" s="4">
        <v>155</v>
      </c>
      <c r="J51" s="7">
        <v>215.84</v>
      </c>
    </row>
    <row r="52" spans="1:10" x14ac:dyDescent="0.25">
      <c r="A52">
        <v>46</v>
      </c>
      <c r="B52" t="s">
        <v>2165</v>
      </c>
      <c r="C52" t="s">
        <v>66</v>
      </c>
      <c r="D52" t="s">
        <v>94</v>
      </c>
      <c r="E52" t="s">
        <v>126</v>
      </c>
      <c r="F52">
        <v>59</v>
      </c>
      <c r="G52" s="4">
        <v>73</v>
      </c>
      <c r="H52" s="4">
        <v>82</v>
      </c>
      <c r="I52" s="4">
        <v>155</v>
      </c>
      <c r="J52" s="7">
        <v>215.19</v>
      </c>
    </row>
    <row r="53" spans="1:10" x14ac:dyDescent="0.25">
      <c r="A53">
        <v>47</v>
      </c>
      <c r="B53" t="s">
        <v>3759</v>
      </c>
      <c r="C53" t="s">
        <v>490</v>
      </c>
      <c r="D53" t="s">
        <v>94</v>
      </c>
      <c r="E53" t="s">
        <v>126</v>
      </c>
      <c r="F53">
        <v>64</v>
      </c>
      <c r="G53" s="4">
        <v>75</v>
      </c>
      <c r="H53" s="4">
        <v>90</v>
      </c>
      <c r="I53" s="4">
        <v>165</v>
      </c>
      <c r="J53" s="7">
        <v>215.05</v>
      </c>
    </row>
    <row r="54" spans="1:10" x14ac:dyDescent="0.25">
      <c r="A54">
        <v>48</v>
      </c>
      <c r="B54" t="s">
        <v>986</v>
      </c>
      <c r="C54" t="s">
        <v>268</v>
      </c>
      <c r="D54" t="s">
        <v>94</v>
      </c>
      <c r="E54" t="s">
        <v>126</v>
      </c>
      <c r="F54">
        <v>55</v>
      </c>
      <c r="G54" s="4">
        <v>67</v>
      </c>
      <c r="H54" s="4">
        <v>82</v>
      </c>
      <c r="I54" s="4">
        <v>149</v>
      </c>
      <c r="J54" s="7">
        <v>214.65</v>
      </c>
    </row>
    <row r="55" spans="1:10" x14ac:dyDescent="0.25">
      <c r="A55">
        <v>49</v>
      </c>
      <c r="B55" t="s">
        <v>1563</v>
      </c>
      <c r="C55" t="s">
        <v>634</v>
      </c>
      <c r="D55" t="s">
        <v>94</v>
      </c>
      <c r="E55" t="s">
        <v>126</v>
      </c>
      <c r="F55">
        <v>71</v>
      </c>
      <c r="G55" s="4">
        <v>75</v>
      </c>
      <c r="H55" s="4">
        <v>97</v>
      </c>
      <c r="I55" s="4">
        <v>172</v>
      </c>
      <c r="J55" s="7">
        <v>214.37</v>
      </c>
    </row>
    <row r="56" spans="1:10" x14ac:dyDescent="0.25">
      <c r="A56">
        <v>50</v>
      </c>
      <c r="B56" t="s">
        <v>1292</v>
      </c>
      <c r="C56" t="s">
        <v>386</v>
      </c>
      <c r="D56" t="s">
        <v>94</v>
      </c>
      <c r="E56" t="s">
        <v>126</v>
      </c>
      <c r="F56">
        <v>81</v>
      </c>
      <c r="G56" s="4">
        <v>84</v>
      </c>
      <c r="H56" s="4">
        <v>102</v>
      </c>
      <c r="I56" s="4">
        <v>186</v>
      </c>
      <c r="J56" s="7">
        <v>214.15</v>
      </c>
    </row>
    <row r="57" spans="1:10" x14ac:dyDescent="0.25">
      <c r="A57">
        <v>51</v>
      </c>
      <c r="B57" t="s">
        <v>2041</v>
      </c>
      <c r="C57" t="s">
        <v>713</v>
      </c>
      <c r="D57" t="s">
        <v>98</v>
      </c>
      <c r="E57" t="s">
        <v>113</v>
      </c>
      <c r="F57">
        <v>76</v>
      </c>
      <c r="G57" s="4">
        <v>80</v>
      </c>
      <c r="H57" s="4">
        <v>96</v>
      </c>
      <c r="I57" s="4">
        <v>176</v>
      </c>
      <c r="J57" s="7">
        <v>213.8</v>
      </c>
    </row>
    <row r="58" spans="1:10" x14ac:dyDescent="0.25">
      <c r="A58">
        <v>52</v>
      </c>
      <c r="B58" t="s">
        <v>2097</v>
      </c>
      <c r="C58" t="s">
        <v>660</v>
      </c>
      <c r="D58" t="s">
        <v>94</v>
      </c>
      <c r="E58" t="s">
        <v>126</v>
      </c>
      <c r="F58">
        <v>59</v>
      </c>
      <c r="G58" s="4">
        <v>68</v>
      </c>
      <c r="H58" s="4">
        <v>87</v>
      </c>
      <c r="I58" s="4">
        <v>155</v>
      </c>
      <c r="J58" s="7">
        <v>213.13</v>
      </c>
    </row>
    <row r="59" spans="1:10" x14ac:dyDescent="0.25">
      <c r="A59">
        <v>53</v>
      </c>
      <c r="B59" t="s">
        <v>3105</v>
      </c>
      <c r="C59" t="s">
        <v>1004</v>
      </c>
      <c r="D59" t="s">
        <v>94</v>
      </c>
      <c r="E59" t="s">
        <v>126</v>
      </c>
      <c r="F59">
        <v>71</v>
      </c>
      <c r="G59" s="4">
        <v>74</v>
      </c>
      <c r="H59" s="4">
        <v>98</v>
      </c>
      <c r="I59" s="4">
        <v>172</v>
      </c>
      <c r="J59" s="7">
        <v>212.53</v>
      </c>
    </row>
    <row r="60" spans="1:10" x14ac:dyDescent="0.25">
      <c r="A60">
        <v>54</v>
      </c>
      <c r="B60" t="s">
        <v>4190</v>
      </c>
      <c r="C60" t="s">
        <v>168</v>
      </c>
      <c r="D60" t="s">
        <v>98</v>
      </c>
      <c r="E60" t="s">
        <v>113</v>
      </c>
      <c r="F60">
        <v>71</v>
      </c>
      <c r="G60" s="4">
        <v>80</v>
      </c>
      <c r="H60" s="4">
        <v>90</v>
      </c>
      <c r="I60" s="4">
        <v>170</v>
      </c>
      <c r="J60" s="7">
        <v>212.39</v>
      </c>
    </row>
    <row r="61" spans="1:10" x14ac:dyDescent="0.25">
      <c r="A61">
        <v>55</v>
      </c>
      <c r="B61" t="s">
        <v>1990</v>
      </c>
      <c r="C61" t="s">
        <v>88</v>
      </c>
      <c r="D61" t="s">
        <v>94</v>
      </c>
      <c r="E61" t="s">
        <v>126</v>
      </c>
      <c r="F61">
        <v>55</v>
      </c>
      <c r="G61" s="4">
        <v>67</v>
      </c>
      <c r="H61" s="4">
        <v>81</v>
      </c>
      <c r="I61" s="4">
        <v>148</v>
      </c>
      <c r="J61" s="7">
        <v>212.39</v>
      </c>
    </row>
    <row r="62" spans="1:10" x14ac:dyDescent="0.25">
      <c r="A62">
        <v>56</v>
      </c>
      <c r="B62" t="s">
        <v>622</v>
      </c>
      <c r="C62" t="s">
        <v>566</v>
      </c>
      <c r="D62" t="s">
        <v>94</v>
      </c>
      <c r="E62" t="s">
        <v>126</v>
      </c>
      <c r="F62">
        <v>55</v>
      </c>
      <c r="G62" s="4">
        <v>65</v>
      </c>
      <c r="H62" s="4">
        <v>80</v>
      </c>
      <c r="I62" s="4">
        <v>145</v>
      </c>
      <c r="J62" s="7">
        <v>212.22</v>
      </c>
    </row>
    <row r="63" spans="1:10" x14ac:dyDescent="0.25">
      <c r="A63">
        <v>57</v>
      </c>
      <c r="B63" t="s">
        <v>2584</v>
      </c>
      <c r="C63" t="s">
        <v>221</v>
      </c>
      <c r="D63" t="s">
        <v>89</v>
      </c>
      <c r="E63" t="s">
        <v>126</v>
      </c>
      <c r="F63">
        <v>55</v>
      </c>
      <c r="G63" s="4">
        <v>62</v>
      </c>
      <c r="H63" s="4">
        <v>77</v>
      </c>
      <c r="I63" s="4">
        <v>139</v>
      </c>
      <c r="J63" s="7">
        <v>212.17</v>
      </c>
    </row>
    <row r="64" spans="1:10" x14ac:dyDescent="0.25">
      <c r="A64">
        <v>58</v>
      </c>
      <c r="B64" t="s">
        <v>1365</v>
      </c>
      <c r="C64" t="s">
        <v>660</v>
      </c>
      <c r="D64" t="s">
        <v>94</v>
      </c>
      <c r="E64" t="s">
        <v>126</v>
      </c>
      <c r="F64">
        <v>59</v>
      </c>
      <c r="G64" s="4">
        <v>70</v>
      </c>
      <c r="H64" s="4">
        <v>85</v>
      </c>
      <c r="I64" s="4">
        <v>155</v>
      </c>
      <c r="J64" s="7">
        <v>212.11</v>
      </c>
    </row>
    <row r="65" spans="1:10" x14ac:dyDescent="0.25">
      <c r="A65">
        <v>59</v>
      </c>
      <c r="B65" t="s">
        <v>4405</v>
      </c>
      <c r="C65" t="s">
        <v>402</v>
      </c>
      <c r="D65" t="s">
        <v>94</v>
      </c>
      <c r="E65" t="s">
        <v>126</v>
      </c>
      <c r="F65">
        <v>71</v>
      </c>
      <c r="G65" s="4">
        <v>77</v>
      </c>
      <c r="H65" s="4">
        <v>95</v>
      </c>
      <c r="I65" s="4">
        <v>172</v>
      </c>
      <c r="J65" s="7">
        <v>211.89</v>
      </c>
    </row>
    <row r="66" spans="1:10" x14ac:dyDescent="0.25">
      <c r="A66">
        <v>60</v>
      </c>
      <c r="B66" t="s">
        <v>3743</v>
      </c>
      <c r="C66" t="s">
        <v>1489</v>
      </c>
      <c r="D66" t="s">
        <v>89</v>
      </c>
      <c r="E66" t="s">
        <v>126</v>
      </c>
      <c r="F66">
        <v>64</v>
      </c>
      <c r="G66" s="4">
        <v>75</v>
      </c>
      <c r="H66" s="4">
        <v>85</v>
      </c>
      <c r="I66" s="4">
        <v>160</v>
      </c>
      <c r="J66" s="7">
        <v>210.64</v>
      </c>
    </row>
    <row r="67" spans="1:10" x14ac:dyDescent="0.25">
      <c r="A67">
        <v>61</v>
      </c>
      <c r="B67" t="s">
        <v>2205</v>
      </c>
      <c r="C67" t="s">
        <v>1202</v>
      </c>
      <c r="D67" t="s">
        <v>89</v>
      </c>
      <c r="E67" t="s">
        <v>126</v>
      </c>
      <c r="F67">
        <v>64</v>
      </c>
      <c r="G67" s="4">
        <v>70</v>
      </c>
      <c r="H67" s="4">
        <v>91</v>
      </c>
      <c r="I67" s="4">
        <v>161</v>
      </c>
      <c r="J67" s="7">
        <v>210.63</v>
      </c>
    </row>
    <row r="68" spans="1:10" x14ac:dyDescent="0.25">
      <c r="A68">
        <v>62</v>
      </c>
      <c r="B68" t="s">
        <v>1949</v>
      </c>
      <c r="C68" t="s">
        <v>513</v>
      </c>
      <c r="D68" t="s">
        <v>89</v>
      </c>
      <c r="E68" t="s">
        <v>126</v>
      </c>
      <c r="F68">
        <v>59</v>
      </c>
      <c r="G68" s="4">
        <v>67</v>
      </c>
      <c r="H68" s="4">
        <v>85</v>
      </c>
      <c r="I68" s="4">
        <v>152</v>
      </c>
      <c r="J68" s="7">
        <v>210.34</v>
      </c>
    </row>
    <row r="69" spans="1:10" x14ac:dyDescent="0.25">
      <c r="A69">
        <v>63</v>
      </c>
      <c r="B69" t="s">
        <v>4037</v>
      </c>
      <c r="C69" t="s">
        <v>634</v>
      </c>
      <c r="D69" t="s">
        <v>94</v>
      </c>
      <c r="E69" t="s">
        <v>126</v>
      </c>
      <c r="F69">
        <v>55</v>
      </c>
      <c r="G69" s="4">
        <v>65</v>
      </c>
      <c r="H69" s="4">
        <v>80</v>
      </c>
      <c r="I69" s="4">
        <v>145</v>
      </c>
      <c r="J69" s="7">
        <v>210.25</v>
      </c>
    </row>
    <row r="70" spans="1:10" x14ac:dyDescent="0.25">
      <c r="A70">
        <v>64</v>
      </c>
      <c r="B70" t="s">
        <v>4126</v>
      </c>
      <c r="C70" t="s">
        <v>506</v>
      </c>
      <c r="D70" t="s">
        <v>94</v>
      </c>
      <c r="E70" t="s">
        <v>126</v>
      </c>
      <c r="F70">
        <v>76</v>
      </c>
      <c r="G70" s="4">
        <v>86</v>
      </c>
      <c r="H70" s="4">
        <v>90</v>
      </c>
      <c r="I70" s="4">
        <v>176</v>
      </c>
      <c r="J70" s="7">
        <v>210.17</v>
      </c>
    </row>
    <row r="71" spans="1:10" x14ac:dyDescent="0.25">
      <c r="A71">
        <v>65</v>
      </c>
      <c r="B71" t="s">
        <v>1123</v>
      </c>
      <c r="C71" t="s">
        <v>124</v>
      </c>
      <c r="D71" t="s">
        <v>94</v>
      </c>
      <c r="E71" t="s">
        <v>126</v>
      </c>
      <c r="F71">
        <v>76</v>
      </c>
      <c r="G71" s="4">
        <v>76</v>
      </c>
      <c r="H71" s="4">
        <v>100</v>
      </c>
      <c r="I71" s="4">
        <v>176</v>
      </c>
      <c r="J71" s="7">
        <v>209.48</v>
      </c>
    </row>
    <row r="72" spans="1:10" x14ac:dyDescent="0.25">
      <c r="A72">
        <v>66</v>
      </c>
      <c r="B72" t="s">
        <v>2196</v>
      </c>
      <c r="C72" t="s">
        <v>937</v>
      </c>
      <c r="D72" t="s">
        <v>94</v>
      </c>
      <c r="E72" t="s">
        <v>126</v>
      </c>
      <c r="F72">
        <v>55</v>
      </c>
      <c r="G72" s="4">
        <v>62</v>
      </c>
      <c r="H72" s="4">
        <v>83</v>
      </c>
      <c r="I72" s="4">
        <v>145</v>
      </c>
      <c r="J72" s="7">
        <v>209.43</v>
      </c>
    </row>
    <row r="73" spans="1:10" x14ac:dyDescent="0.25">
      <c r="A73">
        <v>67</v>
      </c>
      <c r="B73" t="s">
        <v>3439</v>
      </c>
      <c r="C73" t="s">
        <v>400</v>
      </c>
      <c r="D73" t="s">
        <v>89</v>
      </c>
      <c r="E73" t="s">
        <v>126</v>
      </c>
      <c r="F73">
        <v>59</v>
      </c>
      <c r="G73" s="4">
        <v>69</v>
      </c>
      <c r="H73" s="4">
        <v>82</v>
      </c>
      <c r="I73" s="4">
        <v>151</v>
      </c>
      <c r="J73" s="7">
        <v>209.2</v>
      </c>
    </row>
    <row r="74" spans="1:10" x14ac:dyDescent="0.25">
      <c r="A74">
        <v>68</v>
      </c>
      <c r="B74" t="s">
        <v>3853</v>
      </c>
      <c r="C74" t="s">
        <v>1236</v>
      </c>
      <c r="D74" t="s">
        <v>94</v>
      </c>
      <c r="E74" t="s">
        <v>126</v>
      </c>
      <c r="F74">
        <v>55</v>
      </c>
      <c r="G74" s="4">
        <v>65</v>
      </c>
      <c r="H74" s="4">
        <v>80</v>
      </c>
      <c r="I74" s="4">
        <v>145</v>
      </c>
      <c r="J74" s="7">
        <v>208.89</v>
      </c>
    </row>
    <row r="75" spans="1:10" x14ac:dyDescent="0.25">
      <c r="A75">
        <v>69</v>
      </c>
      <c r="B75" t="s">
        <v>1715</v>
      </c>
      <c r="C75" t="s">
        <v>413</v>
      </c>
      <c r="D75" t="s">
        <v>98</v>
      </c>
      <c r="E75" t="s">
        <v>113</v>
      </c>
      <c r="F75">
        <v>55</v>
      </c>
      <c r="G75" s="4">
        <v>66</v>
      </c>
      <c r="H75" s="4">
        <v>79</v>
      </c>
      <c r="I75" s="4">
        <v>145</v>
      </c>
      <c r="J75" s="7">
        <v>208.16</v>
      </c>
    </row>
    <row r="76" spans="1:10" x14ac:dyDescent="0.25">
      <c r="A76">
        <v>70</v>
      </c>
      <c r="B76" t="s">
        <v>2675</v>
      </c>
      <c r="C76" t="s">
        <v>478</v>
      </c>
      <c r="D76" t="s">
        <v>98</v>
      </c>
      <c r="E76" t="s">
        <v>113</v>
      </c>
      <c r="F76">
        <v>55</v>
      </c>
      <c r="G76" s="4">
        <v>65</v>
      </c>
      <c r="H76" s="4">
        <v>80</v>
      </c>
      <c r="I76" s="4">
        <v>145</v>
      </c>
      <c r="J76" s="7">
        <v>208.08</v>
      </c>
    </row>
    <row r="77" spans="1:10" x14ac:dyDescent="0.25">
      <c r="A77">
        <v>71</v>
      </c>
      <c r="B77" t="s">
        <v>4413</v>
      </c>
      <c r="C77" t="s">
        <v>544</v>
      </c>
      <c r="D77" t="s">
        <v>98</v>
      </c>
      <c r="E77" t="s">
        <v>113</v>
      </c>
      <c r="F77">
        <v>81</v>
      </c>
      <c r="G77" s="4">
        <v>85</v>
      </c>
      <c r="H77" s="4">
        <v>95</v>
      </c>
      <c r="I77" s="4">
        <v>180</v>
      </c>
      <c r="J77" s="7">
        <v>208.04</v>
      </c>
    </row>
    <row r="78" spans="1:10" x14ac:dyDescent="0.25">
      <c r="A78">
        <v>72</v>
      </c>
      <c r="B78" t="s">
        <v>3463</v>
      </c>
      <c r="C78" t="s">
        <v>134</v>
      </c>
      <c r="D78" t="s">
        <v>89</v>
      </c>
      <c r="E78" t="s">
        <v>126</v>
      </c>
      <c r="F78">
        <v>64</v>
      </c>
      <c r="G78" s="4">
        <v>72</v>
      </c>
      <c r="H78" s="4">
        <v>86</v>
      </c>
      <c r="I78" s="4">
        <v>158</v>
      </c>
      <c r="J78" s="7">
        <v>206.49</v>
      </c>
    </row>
    <row r="79" spans="1:10" x14ac:dyDescent="0.25">
      <c r="A79">
        <v>73</v>
      </c>
      <c r="B79" t="s">
        <v>2942</v>
      </c>
      <c r="C79" t="s">
        <v>687</v>
      </c>
      <c r="D79" t="s">
        <v>94</v>
      </c>
      <c r="E79" t="s">
        <v>113</v>
      </c>
      <c r="F79">
        <v>59</v>
      </c>
      <c r="G79" s="4">
        <v>66</v>
      </c>
      <c r="H79" s="4">
        <v>83</v>
      </c>
      <c r="I79" s="4">
        <v>149</v>
      </c>
      <c r="J79" s="7">
        <v>206.19</v>
      </c>
    </row>
    <row r="80" spans="1:10" x14ac:dyDescent="0.25">
      <c r="A80">
        <v>74</v>
      </c>
      <c r="B80" t="s">
        <v>2852</v>
      </c>
      <c r="C80" t="s">
        <v>1894</v>
      </c>
      <c r="D80" t="s">
        <v>89</v>
      </c>
      <c r="E80" t="s">
        <v>126</v>
      </c>
      <c r="F80">
        <v>76</v>
      </c>
      <c r="G80" s="4">
        <v>76</v>
      </c>
      <c r="H80" s="4">
        <v>95</v>
      </c>
      <c r="I80" s="4">
        <v>171</v>
      </c>
      <c r="J80" s="7">
        <v>206.13</v>
      </c>
    </row>
    <row r="81" spans="1:10" x14ac:dyDescent="0.25">
      <c r="A81">
        <v>75</v>
      </c>
      <c r="B81" t="s">
        <v>1447</v>
      </c>
      <c r="C81" t="s">
        <v>88</v>
      </c>
      <c r="D81" t="s">
        <v>89</v>
      </c>
      <c r="E81" t="s">
        <v>126</v>
      </c>
      <c r="F81">
        <v>76</v>
      </c>
      <c r="G81" s="4">
        <v>73</v>
      </c>
      <c r="H81" s="4">
        <v>100</v>
      </c>
      <c r="I81" s="4">
        <v>173</v>
      </c>
      <c r="J81" s="7">
        <v>205.52</v>
      </c>
    </row>
    <row r="82" spans="1:10" x14ac:dyDescent="0.25">
      <c r="A82">
        <v>76</v>
      </c>
      <c r="B82" t="s">
        <v>4233</v>
      </c>
      <c r="C82" t="s">
        <v>134</v>
      </c>
      <c r="D82" t="s">
        <v>94</v>
      </c>
      <c r="E82" t="s">
        <v>113</v>
      </c>
      <c r="F82">
        <v>71</v>
      </c>
      <c r="G82" s="4">
        <v>72</v>
      </c>
      <c r="H82" s="4">
        <v>87</v>
      </c>
      <c r="I82" s="4">
        <v>159</v>
      </c>
      <c r="J82" s="7">
        <v>205.07</v>
      </c>
    </row>
    <row r="83" spans="1:10" x14ac:dyDescent="0.25">
      <c r="A83">
        <v>77</v>
      </c>
      <c r="B83" t="s">
        <v>1155</v>
      </c>
      <c r="C83" t="s">
        <v>556</v>
      </c>
      <c r="D83" t="s">
        <v>184</v>
      </c>
      <c r="E83" t="s">
        <v>95</v>
      </c>
      <c r="F83">
        <v>55</v>
      </c>
      <c r="G83" s="4">
        <v>62</v>
      </c>
      <c r="H83" s="4">
        <v>78</v>
      </c>
      <c r="I83" s="4">
        <v>140</v>
      </c>
      <c r="J83" s="7">
        <v>203.94</v>
      </c>
    </row>
    <row r="84" spans="1:10" x14ac:dyDescent="0.25">
      <c r="A84">
        <v>78</v>
      </c>
      <c r="B84" t="s">
        <v>2937</v>
      </c>
      <c r="C84" t="s">
        <v>70</v>
      </c>
      <c r="D84" t="s">
        <v>94</v>
      </c>
      <c r="E84" t="s">
        <v>113</v>
      </c>
      <c r="F84">
        <v>55</v>
      </c>
      <c r="G84" s="4">
        <v>63</v>
      </c>
      <c r="H84" s="4">
        <v>78</v>
      </c>
      <c r="I84" s="4">
        <v>141</v>
      </c>
      <c r="J84" s="7">
        <v>203.92</v>
      </c>
    </row>
    <row r="85" spans="1:10" x14ac:dyDescent="0.25">
      <c r="A85">
        <v>79</v>
      </c>
      <c r="B85" t="s">
        <v>1531</v>
      </c>
      <c r="C85" t="s">
        <v>536</v>
      </c>
      <c r="D85" t="s">
        <v>89</v>
      </c>
      <c r="E85" t="s">
        <v>126</v>
      </c>
      <c r="F85">
        <v>59</v>
      </c>
      <c r="G85" s="4">
        <v>64</v>
      </c>
      <c r="H85" s="4">
        <v>84</v>
      </c>
      <c r="I85" s="4">
        <v>148</v>
      </c>
      <c r="J85" s="7">
        <v>202.5</v>
      </c>
    </row>
    <row r="86" spans="1:10" x14ac:dyDescent="0.25">
      <c r="A86">
        <v>80</v>
      </c>
      <c r="B86" t="s">
        <v>3471</v>
      </c>
      <c r="C86" t="s">
        <v>386</v>
      </c>
      <c r="D86" t="s">
        <v>89</v>
      </c>
      <c r="E86" t="s">
        <v>126</v>
      </c>
      <c r="F86">
        <v>64</v>
      </c>
      <c r="G86" s="4">
        <v>70</v>
      </c>
      <c r="H86" s="4">
        <v>85</v>
      </c>
      <c r="I86" s="4">
        <v>155</v>
      </c>
      <c r="J86" s="7">
        <v>202.49</v>
      </c>
    </row>
    <row r="87" spans="1:10" x14ac:dyDescent="0.25">
      <c r="A87">
        <v>81</v>
      </c>
      <c r="B87" t="s">
        <v>4423</v>
      </c>
      <c r="C87" t="s">
        <v>660</v>
      </c>
      <c r="D87" t="s">
        <v>94</v>
      </c>
      <c r="E87" t="s">
        <v>126</v>
      </c>
      <c r="F87">
        <v>45</v>
      </c>
      <c r="G87" s="4">
        <v>52</v>
      </c>
      <c r="H87" s="4">
        <v>65</v>
      </c>
      <c r="I87" s="4">
        <v>117</v>
      </c>
      <c r="J87" s="7">
        <v>202.35</v>
      </c>
    </row>
    <row r="88" spans="1:10" x14ac:dyDescent="0.25">
      <c r="A88">
        <v>82</v>
      </c>
      <c r="B88" t="s">
        <v>1891</v>
      </c>
      <c r="C88" t="s">
        <v>1894</v>
      </c>
      <c r="D88" t="s">
        <v>89</v>
      </c>
      <c r="E88" t="s">
        <v>126</v>
      </c>
      <c r="F88">
        <v>59</v>
      </c>
      <c r="G88" s="4">
        <v>61</v>
      </c>
      <c r="H88" s="4">
        <v>84</v>
      </c>
      <c r="I88" s="4">
        <v>145</v>
      </c>
      <c r="J88" s="7">
        <v>202.29</v>
      </c>
    </row>
    <row r="89" spans="1:10" x14ac:dyDescent="0.25">
      <c r="A89">
        <v>83</v>
      </c>
      <c r="B89" t="s">
        <v>1666</v>
      </c>
      <c r="C89" t="s">
        <v>402</v>
      </c>
      <c r="D89" t="s">
        <v>94</v>
      </c>
      <c r="E89" t="s">
        <v>113</v>
      </c>
      <c r="F89">
        <v>59</v>
      </c>
      <c r="G89" s="4">
        <v>66</v>
      </c>
      <c r="H89" s="4">
        <v>81</v>
      </c>
      <c r="I89" s="4">
        <v>147</v>
      </c>
      <c r="J89" s="7">
        <v>202.27</v>
      </c>
    </row>
    <row r="90" spans="1:10" x14ac:dyDescent="0.25">
      <c r="A90">
        <v>84</v>
      </c>
      <c r="B90" t="s">
        <v>2063</v>
      </c>
      <c r="C90" t="s">
        <v>165</v>
      </c>
      <c r="D90" t="s">
        <v>94</v>
      </c>
      <c r="E90" t="s">
        <v>126</v>
      </c>
      <c r="F90">
        <v>45</v>
      </c>
      <c r="G90" s="4">
        <v>54</v>
      </c>
      <c r="H90" s="4">
        <v>66</v>
      </c>
      <c r="I90" s="4">
        <v>120</v>
      </c>
      <c r="J90" s="7">
        <v>202.17</v>
      </c>
    </row>
    <row r="91" spans="1:10" x14ac:dyDescent="0.25">
      <c r="A91">
        <v>85</v>
      </c>
      <c r="B91" t="s">
        <v>4115</v>
      </c>
      <c r="C91" t="s">
        <v>88</v>
      </c>
      <c r="D91" t="s">
        <v>89</v>
      </c>
      <c r="E91" t="s">
        <v>126</v>
      </c>
      <c r="F91">
        <v>64</v>
      </c>
      <c r="G91" s="4">
        <v>69</v>
      </c>
      <c r="H91" s="4">
        <v>85</v>
      </c>
      <c r="I91" s="4">
        <v>154</v>
      </c>
      <c r="J91" s="7">
        <v>201.38</v>
      </c>
    </row>
    <row r="92" spans="1:10" x14ac:dyDescent="0.25">
      <c r="A92">
        <v>86</v>
      </c>
      <c r="B92" t="s">
        <v>3047</v>
      </c>
      <c r="C92" t="s">
        <v>396</v>
      </c>
      <c r="D92" t="s">
        <v>89</v>
      </c>
      <c r="E92" t="s">
        <v>126</v>
      </c>
      <c r="F92">
        <v>64</v>
      </c>
      <c r="G92" s="4">
        <v>65</v>
      </c>
      <c r="H92" s="4">
        <v>87</v>
      </c>
      <c r="I92" s="4">
        <v>152</v>
      </c>
      <c r="J92" s="7">
        <v>201.3</v>
      </c>
    </row>
    <row r="93" spans="1:10" x14ac:dyDescent="0.25">
      <c r="A93">
        <v>87</v>
      </c>
      <c r="B93" t="s">
        <v>1538</v>
      </c>
      <c r="C93" t="s">
        <v>513</v>
      </c>
      <c r="D93" t="s">
        <v>89</v>
      </c>
      <c r="E93" t="s">
        <v>126</v>
      </c>
      <c r="F93">
        <v>59</v>
      </c>
      <c r="G93" s="4">
        <v>64</v>
      </c>
      <c r="H93" s="4">
        <v>80</v>
      </c>
      <c r="I93" s="4">
        <v>144</v>
      </c>
      <c r="J93" s="7">
        <v>201.14</v>
      </c>
    </row>
    <row r="94" spans="1:10" x14ac:dyDescent="0.25">
      <c r="A94">
        <v>88</v>
      </c>
      <c r="B94" t="s">
        <v>3505</v>
      </c>
      <c r="C94" t="s">
        <v>258</v>
      </c>
      <c r="D94" t="s">
        <v>89</v>
      </c>
      <c r="E94" t="s">
        <v>126</v>
      </c>
      <c r="F94">
        <v>64</v>
      </c>
      <c r="G94" s="4">
        <v>67</v>
      </c>
      <c r="H94" s="4">
        <v>87</v>
      </c>
      <c r="I94" s="4">
        <v>154</v>
      </c>
      <c r="J94" s="7">
        <v>200.99</v>
      </c>
    </row>
    <row r="95" spans="1:10" x14ac:dyDescent="0.25">
      <c r="A95">
        <v>89</v>
      </c>
      <c r="B95" t="s">
        <v>3326</v>
      </c>
      <c r="C95" t="s">
        <v>490</v>
      </c>
      <c r="D95" t="s">
        <v>89</v>
      </c>
      <c r="E95" t="s">
        <v>126</v>
      </c>
      <c r="F95">
        <v>55</v>
      </c>
      <c r="G95" s="4">
        <v>60</v>
      </c>
      <c r="H95" s="4">
        <v>80</v>
      </c>
      <c r="I95" s="4">
        <v>140</v>
      </c>
      <c r="J95" s="7">
        <v>200.91</v>
      </c>
    </row>
    <row r="96" spans="1:10" x14ac:dyDescent="0.25">
      <c r="A96">
        <v>90</v>
      </c>
      <c r="B96" t="s">
        <v>3872</v>
      </c>
      <c r="C96" t="s">
        <v>1032</v>
      </c>
      <c r="D96" t="s">
        <v>89</v>
      </c>
      <c r="E96" t="s">
        <v>126</v>
      </c>
      <c r="F96">
        <v>59</v>
      </c>
      <c r="G96" s="4">
        <v>62</v>
      </c>
      <c r="H96" s="4">
        <v>83</v>
      </c>
      <c r="I96" s="4">
        <v>145</v>
      </c>
      <c r="J96" s="7">
        <v>200.84</v>
      </c>
    </row>
    <row r="97" spans="1:10" x14ac:dyDescent="0.25">
      <c r="A97">
        <v>91</v>
      </c>
      <c r="B97" t="s">
        <v>2011</v>
      </c>
      <c r="C97" t="s">
        <v>416</v>
      </c>
      <c r="D97" t="s">
        <v>89</v>
      </c>
      <c r="E97" t="s">
        <v>126</v>
      </c>
      <c r="F97">
        <v>55</v>
      </c>
      <c r="G97" s="4">
        <v>62</v>
      </c>
      <c r="H97" s="4">
        <v>76</v>
      </c>
      <c r="I97" s="4">
        <v>138</v>
      </c>
      <c r="J97" s="7">
        <v>200.76</v>
      </c>
    </row>
    <row r="98" spans="1:10" x14ac:dyDescent="0.25">
      <c r="A98">
        <v>92</v>
      </c>
      <c r="B98" t="s">
        <v>1485</v>
      </c>
      <c r="C98" t="s">
        <v>697</v>
      </c>
      <c r="D98" t="s">
        <v>89</v>
      </c>
      <c r="E98" t="s">
        <v>126</v>
      </c>
      <c r="F98">
        <v>71</v>
      </c>
      <c r="G98" s="4">
        <v>73</v>
      </c>
      <c r="H98" s="4">
        <v>87</v>
      </c>
      <c r="I98" s="4">
        <v>160</v>
      </c>
      <c r="J98" s="7">
        <v>199.1</v>
      </c>
    </row>
    <row r="99" spans="1:10" x14ac:dyDescent="0.25">
      <c r="A99">
        <v>93</v>
      </c>
      <c r="B99" t="s">
        <v>3467</v>
      </c>
      <c r="C99" t="s">
        <v>165</v>
      </c>
      <c r="D99" t="s">
        <v>89</v>
      </c>
      <c r="E99" t="s">
        <v>126</v>
      </c>
      <c r="F99">
        <v>64</v>
      </c>
      <c r="G99" s="4">
        <v>68</v>
      </c>
      <c r="H99" s="4">
        <v>85</v>
      </c>
      <c r="I99" s="4">
        <v>153</v>
      </c>
      <c r="J99" s="7">
        <v>199.03</v>
      </c>
    </row>
    <row r="100" spans="1:10" x14ac:dyDescent="0.25">
      <c r="A100">
        <v>94</v>
      </c>
      <c r="B100" t="s">
        <v>3932</v>
      </c>
      <c r="C100" t="s">
        <v>621</v>
      </c>
      <c r="D100" t="s">
        <v>89</v>
      </c>
      <c r="E100" t="s">
        <v>126</v>
      </c>
      <c r="F100">
        <v>55</v>
      </c>
      <c r="G100" s="4">
        <v>65</v>
      </c>
      <c r="H100" s="4">
        <v>72</v>
      </c>
      <c r="I100" s="4">
        <v>137</v>
      </c>
      <c r="J100" s="7">
        <v>198.52</v>
      </c>
    </row>
    <row r="101" spans="1:10" x14ac:dyDescent="0.25">
      <c r="A101">
        <v>95</v>
      </c>
      <c r="B101" t="s">
        <v>3827</v>
      </c>
      <c r="C101" t="s">
        <v>417</v>
      </c>
      <c r="D101" t="s">
        <v>89</v>
      </c>
      <c r="E101" t="s">
        <v>126</v>
      </c>
      <c r="F101">
        <v>64</v>
      </c>
      <c r="G101" s="4">
        <v>66</v>
      </c>
      <c r="H101" s="4">
        <v>84</v>
      </c>
      <c r="I101" s="4">
        <v>150</v>
      </c>
      <c r="J101" s="7">
        <v>198.45</v>
      </c>
    </row>
    <row r="102" spans="1:10" x14ac:dyDescent="0.25">
      <c r="A102">
        <v>96</v>
      </c>
      <c r="B102" t="s">
        <v>2793</v>
      </c>
      <c r="C102" t="s">
        <v>1046</v>
      </c>
      <c r="D102" t="s">
        <v>94</v>
      </c>
      <c r="E102" t="s">
        <v>113</v>
      </c>
      <c r="F102">
        <v>55</v>
      </c>
      <c r="G102" s="4">
        <v>60</v>
      </c>
      <c r="H102" s="4">
        <v>78</v>
      </c>
      <c r="I102" s="4">
        <v>138</v>
      </c>
      <c r="J102" s="7">
        <v>198.04</v>
      </c>
    </row>
    <row r="103" spans="1:10" x14ac:dyDescent="0.25">
      <c r="A103">
        <v>97</v>
      </c>
      <c r="B103" t="s">
        <v>2990</v>
      </c>
      <c r="C103" t="s">
        <v>594</v>
      </c>
      <c r="D103" t="s">
        <v>184</v>
      </c>
      <c r="E103" t="s">
        <v>57</v>
      </c>
      <c r="F103">
        <v>76</v>
      </c>
      <c r="G103" s="4">
        <v>75</v>
      </c>
      <c r="H103" s="4">
        <v>92</v>
      </c>
      <c r="I103" s="4">
        <v>167</v>
      </c>
      <c r="J103" s="7">
        <v>197.88</v>
      </c>
    </row>
    <row r="104" spans="1:10" x14ac:dyDescent="0.25">
      <c r="A104">
        <v>98</v>
      </c>
      <c r="B104" t="s">
        <v>1206</v>
      </c>
      <c r="C104" t="s">
        <v>84</v>
      </c>
      <c r="D104" t="s">
        <v>89</v>
      </c>
      <c r="E104" t="s">
        <v>126</v>
      </c>
      <c r="F104">
        <v>76</v>
      </c>
      <c r="G104" s="4">
        <v>72</v>
      </c>
      <c r="H104" s="4">
        <v>91</v>
      </c>
      <c r="I104" s="4">
        <v>163</v>
      </c>
      <c r="J104" s="7">
        <v>197.76</v>
      </c>
    </row>
    <row r="105" spans="1:10" x14ac:dyDescent="0.25">
      <c r="A105">
        <v>99</v>
      </c>
      <c r="B105" t="s">
        <v>2264</v>
      </c>
      <c r="C105" t="s">
        <v>258</v>
      </c>
      <c r="D105" t="s">
        <v>89</v>
      </c>
      <c r="E105" t="s">
        <v>126</v>
      </c>
      <c r="F105">
        <v>59</v>
      </c>
      <c r="G105" s="4">
        <v>62</v>
      </c>
      <c r="H105" s="4">
        <v>81</v>
      </c>
      <c r="I105" s="4">
        <v>143</v>
      </c>
      <c r="J105" s="7">
        <v>197.43</v>
      </c>
    </row>
    <row r="106" spans="1:10" x14ac:dyDescent="0.25">
      <c r="A106">
        <v>100</v>
      </c>
      <c r="B106" t="s">
        <v>2686</v>
      </c>
      <c r="C106" t="s">
        <v>1894</v>
      </c>
      <c r="D106" t="s">
        <v>89</v>
      </c>
      <c r="E106" t="s">
        <v>126</v>
      </c>
      <c r="F106">
        <v>71</v>
      </c>
      <c r="G106" s="4">
        <v>67</v>
      </c>
      <c r="H106" s="4">
        <v>90</v>
      </c>
      <c r="I106" s="4">
        <v>157</v>
      </c>
      <c r="J106" s="7">
        <v>197.27</v>
      </c>
    </row>
    <row r="107" spans="1:10" x14ac:dyDescent="0.25">
      <c r="A107">
        <v>101</v>
      </c>
      <c r="B107" t="s">
        <v>2551</v>
      </c>
      <c r="C107" t="s">
        <v>221</v>
      </c>
      <c r="D107" t="s">
        <v>89</v>
      </c>
      <c r="E107" t="s">
        <v>126</v>
      </c>
      <c r="F107">
        <v>64</v>
      </c>
      <c r="G107" s="4">
        <v>65</v>
      </c>
      <c r="H107" s="4">
        <v>85</v>
      </c>
      <c r="I107" s="4">
        <v>150</v>
      </c>
      <c r="J107" s="7">
        <v>197.27</v>
      </c>
    </row>
    <row r="108" spans="1:10" x14ac:dyDescent="0.25">
      <c r="A108">
        <v>102</v>
      </c>
      <c r="B108" t="s">
        <v>4017</v>
      </c>
      <c r="C108" t="s">
        <v>124</v>
      </c>
      <c r="D108" t="s">
        <v>94</v>
      </c>
      <c r="E108" t="s">
        <v>113</v>
      </c>
      <c r="F108">
        <v>64</v>
      </c>
      <c r="G108" s="4">
        <v>70</v>
      </c>
      <c r="H108" s="4">
        <v>80</v>
      </c>
      <c r="I108" s="4">
        <v>150</v>
      </c>
      <c r="J108" s="7">
        <v>196.33</v>
      </c>
    </row>
    <row r="109" spans="1:10" x14ac:dyDescent="0.25">
      <c r="A109">
        <v>103</v>
      </c>
      <c r="B109" t="s">
        <v>798</v>
      </c>
      <c r="C109" t="s">
        <v>589</v>
      </c>
      <c r="D109" t="s">
        <v>89</v>
      </c>
      <c r="E109" t="s">
        <v>126</v>
      </c>
      <c r="F109">
        <v>59</v>
      </c>
      <c r="G109" s="4">
        <v>60</v>
      </c>
      <c r="H109" s="4">
        <v>82</v>
      </c>
      <c r="I109" s="4">
        <v>142</v>
      </c>
      <c r="J109" s="7">
        <v>196.16</v>
      </c>
    </row>
    <row r="110" spans="1:10" x14ac:dyDescent="0.25">
      <c r="A110">
        <v>104</v>
      </c>
      <c r="B110" t="s">
        <v>4088</v>
      </c>
      <c r="C110" t="s">
        <v>490</v>
      </c>
      <c r="D110" t="s">
        <v>89</v>
      </c>
      <c r="E110" t="s">
        <v>126</v>
      </c>
      <c r="F110">
        <v>59</v>
      </c>
      <c r="G110" s="4">
        <v>63</v>
      </c>
      <c r="H110" s="4">
        <v>80</v>
      </c>
      <c r="I110" s="4">
        <v>143</v>
      </c>
      <c r="J110" s="7">
        <v>196.1</v>
      </c>
    </row>
    <row r="111" spans="1:10" x14ac:dyDescent="0.25">
      <c r="A111">
        <v>105</v>
      </c>
      <c r="B111" t="s">
        <v>946</v>
      </c>
      <c r="C111" t="s">
        <v>129</v>
      </c>
      <c r="D111" t="s">
        <v>89</v>
      </c>
      <c r="E111" t="s">
        <v>126</v>
      </c>
      <c r="F111">
        <v>59</v>
      </c>
      <c r="G111" s="4">
        <v>62</v>
      </c>
      <c r="H111" s="4">
        <v>80</v>
      </c>
      <c r="I111" s="4">
        <v>142</v>
      </c>
      <c r="J111" s="7">
        <v>196.05</v>
      </c>
    </row>
    <row r="112" spans="1:10" x14ac:dyDescent="0.25">
      <c r="A112">
        <v>106</v>
      </c>
      <c r="B112" t="s">
        <v>3792</v>
      </c>
      <c r="C112" t="s">
        <v>1489</v>
      </c>
      <c r="D112" t="s">
        <v>89</v>
      </c>
      <c r="E112" t="s">
        <v>126</v>
      </c>
      <c r="F112">
        <v>59</v>
      </c>
      <c r="G112" s="4">
        <v>60</v>
      </c>
      <c r="H112" s="4">
        <v>80</v>
      </c>
      <c r="I112" s="4">
        <v>140</v>
      </c>
      <c r="J112" s="7">
        <v>195.55</v>
      </c>
    </row>
    <row r="113" spans="1:10" x14ac:dyDescent="0.25">
      <c r="A113">
        <v>107</v>
      </c>
      <c r="B113" t="s">
        <v>4393</v>
      </c>
      <c r="C113" t="s">
        <v>329</v>
      </c>
      <c r="D113" t="s">
        <v>94</v>
      </c>
      <c r="E113" t="s">
        <v>113</v>
      </c>
      <c r="F113">
        <v>59</v>
      </c>
      <c r="G113" s="4">
        <v>62</v>
      </c>
      <c r="H113" s="4">
        <v>75</v>
      </c>
      <c r="I113" s="4">
        <v>137</v>
      </c>
      <c r="J113" s="7">
        <v>195.24</v>
      </c>
    </row>
    <row r="114" spans="1:10" x14ac:dyDescent="0.25">
      <c r="A114">
        <v>108</v>
      </c>
      <c r="B114" t="s">
        <v>223</v>
      </c>
      <c r="C114" t="s">
        <v>161</v>
      </c>
      <c r="D114" t="s">
        <v>89</v>
      </c>
      <c r="E114" t="s">
        <v>126</v>
      </c>
      <c r="F114">
        <v>71</v>
      </c>
      <c r="G114" s="4">
        <v>67</v>
      </c>
      <c r="H114" s="4">
        <v>89</v>
      </c>
      <c r="I114" s="4">
        <v>156</v>
      </c>
      <c r="J114" s="7">
        <v>195.05</v>
      </c>
    </row>
    <row r="115" spans="1:10" x14ac:dyDescent="0.25">
      <c r="A115">
        <v>109</v>
      </c>
      <c r="B115" t="s">
        <v>3868</v>
      </c>
      <c r="C115" t="s">
        <v>335</v>
      </c>
      <c r="D115" t="s">
        <v>89</v>
      </c>
      <c r="E115" t="s">
        <v>126</v>
      </c>
      <c r="F115">
        <v>71</v>
      </c>
      <c r="G115" s="4">
        <v>70</v>
      </c>
      <c r="H115" s="4">
        <v>82</v>
      </c>
      <c r="I115" s="4">
        <v>152</v>
      </c>
      <c r="J115" s="7">
        <v>194.95</v>
      </c>
    </row>
    <row r="116" spans="1:10" x14ac:dyDescent="0.25">
      <c r="A116">
        <v>110</v>
      </c>
      <c r="B116" t="s">
        <v>3747</v>
      </c>
      <c r="C116" t="s">
        <v>417</v>
      </c>
      <c r="D116" t="s">
        <v>89</v>
      </c>
      <c r="E116" t="s">
        <v>126</v>
      </c>
      <c r="F116">
        <v>64</v>
      </c>
      <c r="G116" s="4">
        <v>65</v>
      </c>
      <c r="H116" s="4">
        <v>82</v>
      </c>
      <c r="I116" s="4">
        <v>147</v>
      </c>
      <c r="J116" s="7">
        <v>194.87</v>
      </c>
    </row>
    <row r="117" spans="1:10" x14ac:dyDescent="0.25">
      <c r="A117">
        <v>111</v>
      </c>
      <c r="B117" t="s">
        <v>3803</v>
      </c>
      <c r="C117" t="s">
        <v>258</v>
      </c>
      <c r="D117" t="s">
        <v>89</v>
      </c>
      <c r="E117" t="s">
        <v>126</v>
      </c>
      <c r="F117">
        <v>64</v>
      </c>
      <c r="G117" s="4">
        <v>62</v>
      </c>
      <c r="H117" s="4">
        <v>85</v>
      </c>
      <c r="I117" s="4">
        <v>147</v>
      </c>
      <c r="J117" s="7">
        <v>194.6</v>
      </c>
    </row>
    <row r="118" spans="1:10" x14ac:dyDescent="0.25">
      <c r="A118">
        <v>112</v>
      </c>
      <c r="B118" t="s">
        <v>3155</v>
      </c>
      <c r="C118" t="s">
        <v>348</v>
      </c>
      <c r="D118" t="s">
        <v>89</v>
      </c>
      <c r="E118" t="s">
        <v>126</v>
      </c>
      <c r="F118">
        <v>64</v>
      </c>
      <c r="G118" s="4">
        <v>64</v>
      </c>
      <c r="H118" s="4">
        <v>83</v>
      </c>
      <c r="I118" s="4">
        <v>147</v>
      </c>
      <c r="J118" s="7">
        <v>194.14</v>
      </c>
    </row>
    <row r="119" spans="1:10" x14ac:dyDescent="0.25">
      <c r="A119">
        <v>113</v>
      </c>
      <c r="B119" t="s">
        <v>3349</v>
      </c>
      <c r="C119" t="s">
        <v>400</v>
      </c>
      <c r="D119" t="s">
        <v>89</v>
      </c>
      <c r="E119" t="s">
        <v>126</v>
      </c>
      <c r="F119">
        <v>64</v>
      </c>
      <c r="G119" s="4">
        <v>65</v>
      </c>
      <c r="H119" s="4">
        <v>82</v>
      </c>
      <c r="I119" s="4">
        <v>147</v>
      </c>
      <c r="J119" s="7">
        <v>193.72</v>
      </c>
    </row>
    <row r="120" spans="1:10" x14ac:dyDescent="0.25">
      <c r="A120">
        <v>114</v>
      </c>
      <c r="B120" t="s">
        <v>1754</v>
      </c>
      <c r="C120" t="s">
        <v>1285</v>
      </c>
      <c r="D120" t="s">
        <v>93</v>
      </c>
      <c r="E120" t="s">
        <v>126</v>
      </c>
      <c r="F120">
        <v>71</v>
      </c>
      <c r="G120" s="4">
        <v>67</v>
      </c>
      <c r="H120" s="4">
        <v>83</v>
      </c>
      <c r="I120" s="4">
        <v>150</v>
      </c>
      <c r="J120" s="7">
        <v>193.42</v>
      </c>
    </row>
    <row r="121" spans="1:10" x14ac:dyDescent="0.25">
      <c r="A121">
        <v>115</v>
      </c>
      <c r="B121" t="s">
        <v>920</v>
      </c>
      <c r="C121" t="s">
        <v>88</v>
      </c>
      <c r="D121" t="s">
        <v>89</v>
      </c>
      <c r="E121" t="s">
        <v>126</v>
      </c>
      <c r="F121">
        <v>59</v>
      </c>
      <c r="G121" s="4">
        <v>64</v>
      </c>
      <c r="H121" s="4">
        <v>76</v>
      </c>
      <c r="I121" s="4">
        <v>140</v>
      </c>
      <c r="J121" s="7">
        <v>193.42</v>
      </c>
    </row>
    <row r="122" spans="1:10" x14ac:dyDescent="0.25">
      <c r="A122">
        <v>116</v>
      </c>
      <c r="B122" t="s">
        <v>1297</v>
      </c>
      <c r="C122" t="s">
        <v>394</v>
      </c>
      <c r="D122" t="s">
        <v>89</v>
      </c>
      <c r="E122" t="s">
        <v>126</v>
      </c>
      <c r="F122">
        <v>49</v>
      </c>
      <c r="G122" s="4">
        <v>54</v>
      </c>
      <c r="H122" s="4">
        <v>69</v>
      </c>
      <c r="I122" s="4">
        <v>123</v>
      </c>
      <c r="J122" s="7">
        <v>193.4</v>
      </c>
    </row>
    <row r="123" spans="1:10" x14ac:dyDescent="0.25">
      <c r="A123">
        <v>117</v>
      </c>
      <c r="B123" t="s">
        <v>1679</v>
      </c>
      <c r="C123" t="s">
        <v>538</v>
      </c>
      <c r="D123" t="s">
        <v>89</v>
      </c>
      <c r="E123" t="s">
        <v>126</v>
      </c>
      <c r="F123">
        <v>76</v>
      </c>
      <c r="G123" s="4">
        <v>73</v>
      </c>
      <c r="H123" s="4">
        <v>90</v>
      </c>
      <c r="I123" s="4">
        <v>163</v>
      </c>
      <c r="J123" s="7">
        <v>193.4</v>
      </c>
    </row>
    <row r="124" spans="1:10" x14ac:dyDescent="0.25">
      <c r="A124">
        <v>118</v>
      </c>
      <c r="B124" t="s">
        <v>1781</v>
      </c>
      <c r="C124" t="s">
        <v>538</v>
      </c>
      <c r="D124" t="s">
        <v>89</v>
      </c>
      <c r="E124" t="s">
        <v>126</v>
      </c>
      <c r="F124">
        <v>59</v>
      </c>
      <c r="G124" s="4">
        <v>60</v>
      </c>
      <c r="H124" s="4">
        <v>80</v>
      </c>
      <c r="I124" s="4">
        <v>140</v>
      </c>
      <c r="J124" s="7">
        <v>193.29</v>
      </c>
    </row>
    <row r="125" spans="1:10" x14ac:dyDescent="0.25">
      <c r="A125">
        <v>119</v>
      </c>
      <c r="B125" t="s">
        <v>2068</v>
      </c>
      <c r="C125" t="s">
        <v>713</v>
      </c>
      <c r="D125" t="s">
        <v>89</v>
      </c>
      <c r="E125" t="s">
        <v>126</v>
      </c>
      <c r="F125">
        <v>55</v>
      </c>
      <c r="G125" s="4">
        <v>60</v>
      </c>
      <c r="H125" s="4">
        <v>73</v>
      </c>
      <c r="I125" s="4">
        <v>133</v>
      </c>
      <c r="J125" s="7">
        <v>193.11</v>
      </c>
    </row>
    <row r="126" spans="1:10" x14ac:dyDescent="0.25">
      <c r="A126">
        <v>120</v>
      </c>
      <c r="B126" t="s">
        <v>2987</v>
      </c>
      <c r="C126" t="s">
        <v>438</v>
      </c>
      <c r="D126" t="s">
        <v>89</v>
      </c>
      <c r="E126" t="s">
        <v>126</v>
      </c>
      <c r="F126">
        <v>64</v>
      </c>
      <c r="G126" s="4">
        <v>66</v>
      </c>
      <c r="H126" s="4">
        <v>81</v>
      </c>
      <c r="I126" s="4">
        <v>147</v>
      </c>
      <c r="J126" s="7">
        <v>192.96</v>
      </c>
    </row>
    <row r="127" spans="1:10" x14ac:dyDescent="0.25">
      <c r="A127">
        <v>121</v>
      </c>
      <c r="B127" t="s">
        <v>2978</v>
      </c>
      <c r="C127" t="s">
        <v>1014</v>
      </c>
      <c r="D127" t="s">
        <v>89</v>
      </c>
      <c r="E127" t="s">
        <v>126</v>
      </c>
      <c r="F127">
        <v>59</v>
      </c>
      <c r="G127" s="4">
        <v>65</v>
      </c>
      <c r="H127" s="4">
        <v>75</v>
      </c>
      <c r="I127" s="4">
        <v>140</v>
      </c>
      <c r="J127" s="7">
        <v>192.85</v>
      </c>
    </row>
    <row r="128" spans="1:10" x14ac:dyDescent="0.25">
      <c r="A128">
        <v>122</v>
      </c>
      <c r="B128" t="s">
        <v>1971</v>
      </c>
      <c r="C128" t="s">
        <v>589</v>
      </c>
      <c r="D128" t="s">
        <v>89</v>
      </c>
      <c r="E128" t="s">
        <v>126</v>
      </c>
      <c r="F128">
        <v>59</v>
      </c>
      <c r="G128" s="4">
        <v>59</v>
      </c>
      <c r="H128" s="4">
        <v>81</v>
      </c>
      <c r="I128" s="4">
        <v>140</v>
      </c>
      <c r="J128" s="7">
        <v>192.83</v>
      </c>
    </row>
    <row r="129" spans="1:10" x14ac:dyDescent="0.25">
      <c r="A129">
        <v>123</v>
      </c>
      <c r="B129" t="s">
        <v>2981</v>
      </c>
      <c r="C129" t="s">
        <v>1033</v>
      </c>
      <c r="D129" t="s">
        <v>89</v>
      </c>
      <c r="E129" t="s">
        <v>126</v>
      </c>
      <c r="F129">
        <v>64</v>
      </c>
      <c r="G129" s="4">
        <v>70</v>
      </c>
      <c r="H129" s="4">
        <v>78</v>
      </c>
      <c r="I129" s="4">
        <v>148</v>
      </c>
      <c r="J129" s="7">
        <v>192.8</v>
      </c>
    </row>
    <row r="130" spans="1:10" x14ac:dyDescent="0.25">
      <c r="A130">
        <v>124</v>
      </c>
      <c r="B130" t="s">
        <v>2438</v>
      </c>
      <c r="C130" t="s">
        <v>312</v>
      </c>
      <c r="D130" t="s">
        <v>89</v>
      </c>
      <c r="E130" t="s">
        <v>126</v>
      </c>
      <c r="F130">
        <v>64</v>
      </c>
      <c r="G130" s="4">
        <v>65</v>
      </c>
      <c r="H130" s="4">
        <v>82</v>
      </c>
      <c r="I130" s="4">
        <v>147</v>
      </c>
      <c r="J130" s="7">
        <v>192.78</v>
      </c>
    </row>
    <row r="131" spans="1:10" x14ac:dyDescent="0.25">
      <c r="A131">
        <v>125</v>
      </c>
      <c r="B131" t="s">
        <v>2282</v>
      </c>
      <c r="C131" t="s">
        <v>697</v>
      </c>
      <c r="D131" t="s">
        <v>89</v>
      </c>
      <c r="E131" t="s">
        <v>126</v>
      </c>
      <c r="F131">
        <v>64</v>
      </c>
      <c r="G131" s="4">
        <v>67</v>
      </c>
      <c r="H131" s="4">
        <v>80</v>
      </c>
      <c r="I131" s="4">
        <v>147</v>
      </c>
      <c r="J131" s="7">
        <v>192.59</v>
      </c>
    </row>
    <row r="132" spans="1:10" x14ac:dyDescent="0.25">
      <c r="A132">
        <v>126</v>
      </c>
      <c r="B132" t="s">
        <v>2146</v>
      </c>
      <c r="C132" t="s">
        <v>413</v>
      </c>
      <c r="D132" t="s">
        <v>98</v>
      </c>
      <c r="E132" t="s">
        <v>95</v>
      </c>
      <c r="F132">
        <v>49</v>
      </c>
      <c r="G132" s="4">
        <v>56</v>
      </c>
      <c r="H132" s="4">
        <v>67</v>
      </c>
      <c r="I132" s="4">
        <v>123</v>
      </c>
      <c r="J132" s="7">
        <v>192.56</v>
      </c>
    </row>
    <row r="133" spans="1:10" x14ac:dyDescent="0.25">
      <c r="A133">
        <v>127</v>
      </c>
      <c r="B133" t="s">
        <v>1507</v>
      </c>
      <c r="C133" t="s">
        <v>1004</v>
      </c>
      <c r="D133" t="s">
        <v>89</v>
      </c>
      <c r="E133" t="s">
        <v>126</v>
      </c>
      <c r="F133">
        <v>76</v>
      </c>
      <c r="G133" s="4">
        <v>70</v>
      </c>
      <c r="H133" s="4">
        <v>90</v>
      </c>
      <c r="I133" s="4">
        <v>160</v>
      </c>
      <c r="J133" s="7">
        <v>192.48</v>
      </c>
    </row>
    <row r="134" spans="1:10" x14ac:dyDescent="0.25">
      <c r="A134">
        <v>128</v>
      </c>
      <c r="B134" t="s">
        <v>3265</v>
      </c>
      <c r="C134" t="s">
        <v>427</v>
      </c>
      <c r="D134" t="s">
        <v>89</v>
      </c>
      <c r="E134" t="s">
        <v>126</v>
      </c>
      <c r="F134">
        <v>71</v>
      </c>
      <c r="G134" s="4">
        <v>70</v>
      </c>
      <c r="H134" s="4">
        <v>82</v>
      </c>
      <c r="I134" s="4">
        <v>152</v>
      </c>
      <c r="J134" s="7">
        <v>192.26</v>
      </c>
    </row>
    <row r="135" spans="1:10" x14ac:dyDescent="0.25">
      <c r="A135">
        <v>129</v>
      </c>
      <c r="B135" t="s">
        <v>436</v>
      </c>
      <c r="C135" t="s">
        <v>417</v>
      </c>
      <c r="D135" t="s">
        <v>89</v>
      </c>
      <c r="E135" t="s">
        <v>126</v>
      </c>
      <c r="F135">
        <v>59</v>
      </c>
      <c r="G135" s="4">
        <v>59</v>
      </c>
      <c r="H135" s="4">
        <v>81</v>
      </c>
      <c r="I135" s="4">
        <v>140</v>
      </c>
      <c r="J135" s="7">
        <v>191.99</v>
      </c>
    </row>
    <row r="136" spans="1:10" x14ac:dyDescent="0.25">
      <c r="A136">
        <v>130</v>
      </c>
      <c r="B136" t="s">
        <v>3570</v>
      </c>
      <c r="C136" t="s">
        <v>674</v>
      </c>
      <c r="D136" t="s">
        <v>89</v>
      </c>
      <c r="E136" t="s">
        <v>126</v>
      </c>
      <c r="F136">
        <v>64</v>
      </c>
      <c r="G136" s="4">
        <v>65</v>
      </c>
      <c r="H136" s="4">
        <v>82</v>
      </c>
      <c r="I136" s="4">
        <v>147</v>
      </c>
      <c r="J136" s="7">
        <v>191.86</v>
      </c>
    </row>
    <row r="137" spans="1:10" x14ac:dyDescent="0.25">
      <c r="A137">
        <v>131</v>
      </c>
      <c r="B137" t="s">
        <v>2897</v>
      </c>
      <c r="C137" t="s">
        <v>478</v>
      </c>
      <c r="D137" t="s">
        <v>94</v>
      </c>
      <c r="E137" t="s">
        <v>113</v>
      </c>
      <c r="F137">
        <v>55</v>
      </c>
      <c r="G137" s="4">
        <v>56</v>
      </c>
      <c r="H137" s="4">
        <v>75</v>
      </c>
      <c r="I137" s="4">
        <v>131</v>
      </c>
      <c r="J137" s="7">
        <v>191.83</v>
      </c>
    </row>
    <row r="138" spans="1:10" x14ac:dyDescent="0.25">
      <c r="A138">
        <v>132</v>
      </c>
      <c r="B138" t="s">
        <v>854</v>
      </c>
      <c r="C138" t="s">
        <v>120</v>
      </c>
      <c r="D138" t="s">
        <v>89</v>
      </c>
      <c r="E138" t="s">
        <v>126</v>
      </c>
      <c r="F138">
        <v>55</v>
      </c>
      <c r="G138" s="4">
        <v>58</v>
      </c>
      <c r="H138" s="4">
        <v>75</v>
      </c>
      <c r="I138" s="4">
        <v>133</v>
      </c>
      <c r="J138" s="7">
        <v>191.6</v>
      </c>
    </row>
    <row r="139" spans="1:10" x14ac:dyDescent="0.25">
      <c r="A139">
        <v>133</v>
      </c>
      <c r="B139" t="s">
        <v>4391</v>
      </c>
      <c r="C139" t="s">
        <v>536</v>
      </c>
      <c r="D139" t="s">
        <v>89</v>
      </c>
      <c r="E139" t="s">
        <v>126</v>
      </c>
      <c r="F139">
        <v>59</v>
      </c>
      <c r="G139" s="4">
        <v>60</v>
      </c>
      <c r="H139" s="4">
        <v>80</v>
      </c>
      <c r="I139" s="4">
        <v>140</v>
      </c>
      <c r="J139" s="7">
        <v>191.56</v>
      </c>
    </row>
    <row r="140" spans="1:10" x14ac:dyDescent="0.25">
      <c r="A140">
        <v>134</v>
      </c>
      <c r="B140" t="s">
        <v>4167</v>
      </c>
      <c r="C140" t="s">
        <v>258</v>
      </c>
      <c r="D140" t="s">
        <v>89</v>
      </c>
      <c r="E140" t="s">
        <v>126</v>
      </c>
      <c r="F140">
        <v>64</v>
      </c>
      <c r="G140" s="4">
        <v>65</v>
      </c>
      <c r="H140" s="4">
        <v>82</v>
      </c>
      <c r="I140" s="4">
        <v>147</v>
      </c>
      <c r="J140" s="7">
        <v>191.31</v>
      </c>
    </row>
    <row r="141" spans="1:10" x14ac:dyDescent="0.25">
      <c r="A141">
        <v>135</v>
      </c>
      <c r="B141" t="s">
        <v>4313</v>
      </c>
      <c r="C141" t="s">
        <v>161</v>
      </c>
      <c r="D141" t="s">
        <v>89</v>
      </c>
      <c r="E141" t="s">
        <v>126</v>
      </c>
      <c r="F141">
        <v>71</v>
      </c>
      <c r="G141" s="4">
        <v>67</v>
      </c>
      <c r="H141" s="4">
        <v>88</v>
      </c>
      <c r="I141" s="4">
        <v>155</v>
      </c>
      <c r="J141" s="7">
        <v>191.23</v>
      </c>
    </row>
    <row r="142" spans="1:10" x14ac:dyDescent="0.25">
      <c r="A142">
        <v>136</v>
      </c>
      <c r="B142" t="s">
        <v>2535</v>
      </c>
      <c r="C142" t="s">
        <v>1552</v>
      </c>
      <c r="D142" t="s">
        <v>89</v>
      </c>
      <c r="E142" t="s">
        <v>126</v>
      </c>
      <c r="F142">
        <v>64</v>
      </c>
      <c r="G142" s="4">
        <v>66</v>
      </c>
      <c r="H142" s="4">
        <v>81</v>
      </c>
      <c r="I142" s="4">
        <v>147</v>
      </c>
      <c r="J142" s="7">
        <v>191.14</v>
      </c>
    </row>
    <row r="143" spans="1:10" x14ac:dyDescent="0.25">
      <c r="A143">
        <v>137</v>
      </c>
      <c r="B143" t="s">
        <v>935</v>
      </c>
      <c r="C143" t="s">
        <v>937</v>
      </c>
      <c r="D143" t="s">
        <v>89</v>
      </c>
      <c r="E143" t="s">
        <v>126</v>
      </c>
      <c r="F143">
        <v>49</v>
      </c>
      <c r="G143" s="4">
        <v>52</v>
      </c>
      <c r="H143" s="4">
        <v>67</v>
      </c>
      <c r="I143" s="4">
        <v>119</v>
      </c>
      <c r="J143" s="7">
        <v>191.02</v>
      </c>
    </row>
    <row r="144" spans="1:10" x14ac:dyDescent="0.25">
      <c r="A144">
        <v>138</v>
      </c>
      <c r="B144" t="s">
        <v>1495</v>
      </c>
      <c r="C144" t="s">
        <v>548</v>
      </c>
      <c r="D144" t="s">
        <v>89</v>
      </c>
      <c r="E144" t="s">
        <v>126</v>
      </c>
      <c r="F144">
        <v>71</v>
      </c>
      <c r="G144" s="4">
        <v>67</v>
      </c>
      <c r="H144" s="4">
        <v>85</v>
      </c>
      <c r="I144" s="4">
        <v>152</v>
      </c>
      <c r="J144" s="7">
        <v>190.05</v>
      </c>
    </row>
    <row r="145" spans="1:10" x14ac:dyDescent="0.25">
      <c r="A145">
        <v>139</v>
      </c>
      <c r="B145" t="s">
        <v>3081</v>
      </c>
      <c r="C145" t="s">
        <v>544</v>
      </c>
      <c r="D145" t="s">
        <v>98</v>
      </c>
      <c r="E145" t="s">
        <v>57</v>
      </c>
      <c r="F145">
        <v>49</v>
      </c>
      <c r="G145" s="4">
        <v>53</v>
      </c>
      <c r="H145" s="4">
        <v>63</v>
      </c>
      <c r="I145" s="4">
        <v>116</v>
      </c>
      <c r="J145" s="7">
        <v>189.79</v>
      </c>
    </row>
    <row r="146" spans="1:10" x14ac:dyDescent="0.25">
      <c r="A146">
        <v>140</v>
      </c>
      <c r="B146" t="s">
        <v>1170</v>
      </c>
      <c r="C146" t="s">
        <v>660</v>
      </c>
      <c r="D146" t="s">
        <v>93</v>
      </c>
      <c r="E146" t="s">
        <v>126</v>
      </c>
      <c r="F146">
        <v>59</v>
      </c>
      <c r="G146" s="4">
        <v>60</v>
      </c>
      <c r="H146" s="4">
        <v>76</v>
      </c>
      <c r="I146" s="4">
        <v>136</v>
      </c>
      <c r="J146" s="7">
        <v>188.44</v>
      </c>
    </row>
    <row r="147" spans="1:10" x14ac:dyDescent="0.25">
      <c r="A147">
        <v>141</v>
      </c>
      <c r="B147" t="s">
        <v>1475</v>
      </c>
      <c r="C147" t="s">
        <v>792</v>
      </c>
      <c r="D147" t="s">
        <v>93</v>
      </c>
      <c r="E147" t="s">
        <v>126</v>
      </c>
      <c r="F147">
        <v>59</v>
      </c>
      <c r="G147" s="4">
        <v>65</v>
      </c>
      <c r="H147" s="4">
        <v>70</v>
      </c>
      <c r="I147" s="4">
        <v>135</v>
      </c>
      <c r="J147" s="7">
        <v>188.41</v>
      </c>
    </row>
    <row r="148" spans="1:10" x14ac:dyDescent="0.25">
      <c r="A148">
        <v>142</v>
      </c>
      <c r="B148" t="s">
        <v>1977</v>
      </c>
      <c r="C148" t="s">
        <v>901</v>
      </c>
      <c r="D148" t="s">
        <v>94</v>
      </c>
      <c r="E148" t="s">
        <v>113</v>
      </c>
      <c r="F148">
        <v>71</v>
      </c>
      <c r="G148" s="4">
        <v>70</v>
      </c>
      <c r="H148" s="4">
        <v>78</v>
      </c>
      <c r="I148" s="4">
        <v>148</v>
      </c>
      <c r="J148" s="7">
        <v>188.32</v>
      </c>
    </row>
    <row r="149" spans="1:10" x14ac:dyDescent="0.25">
      <c r="A149">
        <v>143</v>
      </c>
      <c r="B149" t="s">
        <v>1436</v>
      </c>
      <c r="C149" t="s">
        <v>154</v>
      </c>
      <c r="D149" t="s">
        <v>89</v>
      </c>
      <c r="E149" t="s">
        <v>126</v>
      </c>
      <c r="F149">
        <v>71</v>
      </c>
      <c r="G149" s="4">
        <v>68</v>
      </c>
      <c r="H149" s="4">
        <v>84</v>
      </c>
      <c r="I149" s="4">
        <v>152</v>
      </c>
      <c r="J149" s="7">
        <v>188.11</v>
      </c>
    </row>
    <row r="150" spans="1:10" x14ac:dyDescent="0.25">
      <c r="A150">
        <v>144</v>
      </c>
      <c r="B150" t="s">
        <v>794</v>
      </c>
      <c r="C150" t="s">
        <v>315</v>
      </c>
      <c r="D150" t="s">
        <v>93</v>
      </c>
      <c r="E150" t="s">
        <v>126</v>
      </c>
      <c r="F150">
        <v>64</v>
      </c>
      <c r="G150" s="4">
        <v>62</v>
      </c>
      <c r="H150" s="4">
        <v>80</v>
      </c>
      <c r="I150" s="4">
        <v>142</v>
      </c>
      <c r="J150" s="7">
        <v>187.87</v>
      </c>
    </row>
    <row r="151" spans="1:10" x14ac:dyDescent="0.25">
      <c r="A151">
        <v>145</v>
      </c>
      <c r="B151" t="s">
        <v>1857</v>
      </c>
      <c r="C151" t="s">
        <v>147</v>
      </c>
      <c r="D151" t="s">
        <v>94</v>
      </c>
      <c r="E151" t="s">
        <v>113</v>
      </c>
      <c r="F151">
        <v>55</v>
      </c>
      <c r="G151" s="4">
        <v>58</v>
      </c>
      <c r="H151" s="4">
        <v>72</v>
      </c>
      <c r="I151" s="4">
        <v>130</v>
      </c>
      <c r="J151" s="7">
        <v>187.76</v>
      </c>
    </row>
    <row r="152" spans="1:10" x14ac:dyDescent="0.25">
      <c r="A152">
        <v>146</v>
      </c>
      <c r="B152" t="s">
        <v>3387</v>
      </c>
      <c r="C152" t="s">
        <v>653</v>
      </c>
      <c r="D152" t="s">
        <v>89</v>
      </c>
      <c r="E152" t="s">
        <v>126</v>
      </c>
      <c r="F152" t="s">
        <v>135</v>
      </c>
      <c r="G152" s="4">
        <v>70</v>
      </c>
      <c r="H152" s="4">
        <v>100</v>
      </c>
      <c r="I152" s="4">
        <v>170</v>
      </c>
      <c r="J152" s="7">
        <v>187.55</v>
      </c>
    </row>
    <row r="153" spans="1:10" x14ac:dyDescent="0.25">
      <c r="A153">
        <v>147</v>
      </c>
      <c r="B153" t="s">
        <v>3430</v>
      </c>
      <c r="C153" t="s">
        <v>258</v>
      </c>
      <c r="D153" t="s">
        <v>89</v>
      </c>
      <c r="E153" t="s">
        <v>126</v>
      </c>
      <c r="F153">
        <v>71</v>
      </c>
      <c r="G153" s="4">
        <v>66</v>
      </c>
      <c r="H153" s="4">
        <v>86</v>
      </c>
      <c r="I153" s="4">
        <v>152</v>
      </c>
      <c r="J153" s="7">
        <v>187.25</v>
      </c>
    </row>
    <row r="154" spans="1:10" x14ac:dyDescent="0.25">
      <c r="A154">
        <v>148</v>
      </c>
      <c r="B154" t="s">
        <v>4141</v>
      </c>
      <c r="C154" t="s">
        <v>606</v>
      </c>
      <c r="D154" t="s">
        <v>93</v>
      </c>
      <c r="E154" t="s">
        <v>126</v>
      </c>
      <c r="F154">
        <v>64</v>
      </c>
      <c r="G154" s="4">
        <v>67</v>
      </c>
      <c r="H154" s="4">
        <v>75</v>
      </c>
      <c r="I154" s="4">
        <v>142</v>
      </c>
      <c r="J154" s="7">
        <v>187.13</v>
      </c>
    </row>
    <row r="155" spans="1:10" x14ac:dyDescent="0.25">
      <c r="A155">
        <v>149</v>
      </c>
      <c r="B155" t="s">
        <v>2483</v>
      </c>
      <c r="C155" t="s">
        <v>1057</v>
      </c>
      <c r="D155" t="s">
        <v>93</v>
      </c>
      <c r="E155" t="s">
        <v>126</v>
      </c>
      <c r="F155">
        <v>55</v>
      </c>
      <c r="G155" s="4">
        <v>57</v>
      </c>
      <c r="H155" s="4">
        <v>70</v>
      </c>
      <c r="I155" s="4">
        <v>127</v>
      </c>
      <c r="J155" s="7">
        <v>187.02</v>
      </c>
    </row>
    <row r="156" spans="1:10" x14ac:dyDescent="0.25">
      <c r="A156">
        <v>150</v>
      </c>
      <c r="B156" t="s">
        <v>1015</v>
      </c>
      <c r="C156" t="s">
        <v>419</v>
      </c>
      <c r="D156" t="s">
        <v>89</v>
      </c>
      <c r="E156" t="s">
        <v>126</v>
      </c>
      <c r="F156">
        <v>71</v>
      </c>
      <c r="G156" s="4">
        <v>66</v>
      </c>
      <c r="H156" s="4">
        <v>86</v>
      </c>
      <c r="I156" s="4">
        <v>152</v>
      </c>
      <c r="J156" s="7">
        <v>186.84</v>
      </c>
    </row>
    <row r="157" spans="1:10" x14ac:dyDescent="0.25">
      <c r="A157">
        <v>151</v>
      </c>
      <c r="B157" t="s">
        <v>1885</v>
      </c>
      <c r="C157" t="s">
        <v>535</v>
      </c>
      <c r="D157" t="s">
        <v>93</v>
      </c>
      <c r="E157" t="s">
        <v>126</v>
      </c>
      <c r="F157">
        <v>64</v>
      </c>
      <c r="G157" s="4">
        <v>67</v>
      </c>
      <c r="H157" s="4">
        <v>76</v>
      </c>
      <c r="I157" s="4">
        <v>143</v>
      </c>
      <c r="J157" s="7">
        <v>186.81</v>
      </c>
    </row>
    <row r="158" spans="1:10" x14ac:dyDescent="0.25">
      <c r="A158">
        <v>152</v>
      </c>
      <c r="B158" t="s">
        <v>4135</v>
      </c>
      <c r="C158" t="s">
        <v>1004</v>
      </c>
      <c r="D158" t="s">
        <v>89</v>
      </c>
      <c r="E158" t="s">
        <v>126</v>
      </c>
      <c r="F158">
        <v>55</v>
      </c>
      <c r="G158" s="4">
        <v>58</v>
      </c>
      <c r="H158" s="4">
        <v>72</v>
      </c>
      <c r="I158" s="4">
        <v>130</v>
      </c>
      <c r="J158" s="7">
        <v>186.56</v>
      </c>
    </row>
    <row r="159" spans="1:10" x14ac:dyDescent="0.25">
      <c r="A159">
        <v>153</v>
      </c>
      <c r="B159" t="s">
        <v>2016</v>
      </c>
      <c r="C159" t="s">
        <v>386</v>
      </c>
      <c r="D159" t="s">
        <v>89</v>
      </c>
      <c r="E159" t="s">
        <v>126</v>
      </c>
      <c r="F159">
        <v>71</v>
      </c>
      <c r="G159" s="4">
        <v>70</v>
      </c>
      <c r="H159" s="4">
        <v>82</v>
      </c>
      <c r="I159" s="4">
        <v>152</v>
      </c>
      <c r="J159" s="7">
        <v>186.54</v>
      </c>
    </row>
    <row r="160" spans="1:10" x14ac:dyDescent="0.25">
      <c r="A160">
        <v>154</v>
      </c>
      <c r="B160" t="s">
        <v>3043</v>
      </c>
      <c r="C160" t="s">
        <v>316</v>
      </c>
      <c r="D160" t="s">
        <v>94</v>
      </c>
      <c r="E160" t="s">
        <v>113</v>
      </c>
      <c r="F160">
        <v>64</v>
      </c>
      <c r="G160" s="4">
        <v>66</v>
      </c>
      <c r="H160" s="4">
        <v>77</v>
      </c>
      <c r="I160" s="4">
        <v>143</v>
      </c>
      <c r="J160" s="7">
        <v>186.46</v>
      </c>
    </row>
    <row r="161" spans="1:10" x14ac:dyDescent="0.25">
      <c r="A161">
        <v>155</v>
      </c>
      <c r="B161" t="s">
        <v>1347</v>
      </c>
      <c r="C161" t="s">
        <v>490</v>
      </c>
      <c r="D161" t="s">
        <v>89</v>
      </c>
      <c r="E161" t="s">
        <v>126</v>
      </c>
      <c r="F161">
        <v>49</v>
      </c>
      <c r="G161" s="4">
        <v>52</v>
      </c>
      <c r="H161" s="4">
        <v>63</v>
      </c>
      <c r="I161" s="4">
        <v>115</v>
      </c>
      <c r="J161" s="7">
        <v>185.87</v>
      </c>
    </row>
    <row r="162" spans="1:10" x14ac:dyDescent="0.25">
      <c r="A162">
        <v>156</v>
      </c>
      <c r="B162" t="s">
        <v>3311</v>
      </c>
      <c r="C162" t="s">
        <v>402</v>
      </c>
      <c r="D162" t="s">
        <v>94</v>
      </c>
      <c r="E162" t="s">
        <v>113</v>
      </c>
      <c r="F162">
        <v>64</v>
      </c>
      <c r="G162" s="4">
        <v>64</v>
      </c>
      <c r="H162" s="4">
        <v>76</v>
      </c>
      <c r="I162" s="4">
        <v>140</v>
      </c>
      <c r="J162" s="7">
        <v>185.78</v>
      </c>
    </row>
    <row r="163" spans="1:10" x14ac:dyDescent="0.25">
      <c r="A163">
        <v>157</v>
      </c>
      <c r="B163" t="s">
        <v>1023</v>
      </c>
      <c r="C163" t="s">
        <v>482</v>
      </c>
      <c r="D163" t="s">
        <v>89</v>
      </c>
      <c r="E163" t="s">
        <v>126</v>
      </c>
      <c r="F163">
        <v>76</v>
      </c>
      <c r="G163" s="4">
        <v>67</v>
      </c>
      <c r="H163" s="4">
        <v>88</v>
      </c>
      <c r="I163" s="4">
        <v>155</v>
      </c>
      <c r="J163" s="7">
        <v>185.34</v>
      </c>
    </row>
    <row r="164" spans="1:10" x14ac:dyDescent="0.25">
      <c r="A164">
        <v>158</v>
      </c>
      <c r="B164" t="s">
        <v>1569</v>
      </c>
      <c r="C164" t="s">
        <v>386</v>
      </c>
      <c r="D164" t="s">
        <v>89</v>
      </c>
      <c r="E164" t="s">
        <v>126</v>
      </c>
      <c r="F164">
        <v>76</v>
      </c>
      <c r="G164" s="4">
        <v>69</v>
      </c>
      <c r="H164" s="4">
        <v>86</v>
      </c>
      <c r="I164" s="4">
        <v>155</v>
      </c>
      <c r="J164" s="7">
        <v>185.34</v>
      </c>
    </row>
    <row r="165" spans="1:10" x14ac:dyDescent="0.25">
      <c r="A165">
        <v>159</v>
      </c>
      <c r="B165" t="s">
        <v>2170</v>
      </c>
      <c r="C165" t="s">
        <v>124</v>
      </c>
      <c r="D165" t="s">
        <v>89</v>
      </c>
      <c r="E165" t="s">
        <v>126</v>
      </c>
      <c r="F165">
        <v>76</v>
      </c>
      <c r="G165" s="4">
        <v>65</v>
      </c>
      <c r="H165" s="4">
        <v>90</v>
      </c>
      <c r="I165" s="4">
        <v>155</v>
      </c>
      <c r="J165" s="7">
        <v>184.97</v>
      </c>
    </row>
    <row r="166" spans="1:10" x14ac:dyDescent="0.25">
      <c r="A166">
        <v>160</v>
      </c>
      <c r="B166" t="s">
        <v>1468</v>
      </c>
      <c r="C166" t="s">
        <v>1046</v>
      </c>
      <c r="D166" t="s">
        <v>89</v>
      </c>
      <c r="E166" t="s">
        <v>126</v>
      </c>
      <c r="F166">
        <v>87</v>
      </c>
      <c r="G166" s="4">
        <v>70</v>
      </c>
      <c r="H166" s="4">
        <v>94</v>
      </c>
      <c r="I166" s="4">
        <v>164</v>
      </c>
      <c r="J166" s="7">
        <v>184.74</v>
      </c>
    </row>
    <row r="167" spans="1:10" x14ac:dyDescent="0.25">
      <c r="A167">
        <v>161</v>
      </c>
      <c r="B167" t="s">
        <v>1584</v>
      </c>
      <c r="C167" t="s">
        <v>544</v>
      </c>
      <c r="D167" t="s">
        <v>89</v>
      </c>
      <c r="E167" t="s">
        <v>126</v>
      </c>
      <c r="F167">
        <v>49</v>
      </c>
      <c r="G167" s="4">
        <v>55</v>
      </c>
      <c r="H167" s="4">
        <v>63</v>
      </c>
      <c r="I167" s="4">
        <v>118</v>
      </c>
      <c r="J167" s="7">
        <v>184.5</v>
      </c>
    </row>
    <row r="168" spans="1:10" x14ac:dyDescent="0.25">
      <c r="A168">
        <v>162</v>
      </c>
      <c r="B168" t="s">
        <v>3606</v>
      </c>
      <c r="C168" t="s">
        <v>171</v>
      </c>
      <c r="D168" t="s">
        <v>98</v>
      </c>
      <c r="E168" t="s">
        <v>95</v>
      </c>
      <c r="F168">
        <v>76</v>
      </c>
      <c r="G168" s="4">
        <v>73</v>
      </c>
      <c r="H168" s="4">
        <v>81</v>
      </c>
      <c r="I168" s="4">
        <v>154</v>
      </c>
      <c r="J168" s="7">
        <v>183.72</v>
      </c>
    </row>
    <row r="169" spans="1:10" x14ac:dyDescent="0.25">
      <c r="A169">
        <v>163</v>
      </c>
      <c r="B169" t="s">
        <v>3563</v>
      </c>
      <c r="C169" t="s">
        <v>901</v>
      </c>
      <c r="D169" t="s">
        <v>93</v>
      </c>
      <c r="E169" t="s">
        <v>126</v>
      </c>
      <c r="F169">
        <v>55</v>
      </c>
      <c r="G169" s="4">
        <v>58</v>
      </c>
      <c r="H169" s="4">
        <v>70</v>
      </c>
      <c r="I169" s="4">
        <v>128</v>
      </c>
      <c r="J169" s="7">
        <v>183.69</v>
      </c>
    </row>
    <row r="170" spans="1:10" x14ac:dyDescent="0.25">
      <c r="A170">
        <v>164</v>
      </c>
      <c r="B170" t="s">
        <v>689</v>
      </c>
      <c r="C170" t="s">
        <v>691</v>
      </c>
      <c r="D170" t="s">
        <v>93</v>
      </c>
      <c r="E170" t="s">
        <v>126</v>
      </c>
      <c r="F170">
        <v>71</v>
      </c>
      <c r="G170" s="4">
        <v>60</v>
      </c>
      <c r="H170" s="4">
        <v>87</v>
      </c>
      <c r="I170" s="4">
        <v>147</v>
      </c>
      <c r="J170" s="7">
        <v>183.36</v>
      </c>
    </row>
    <row r="171" spans="1:10" x14ac:dyDescent="0.25">
      <c r="A171">
        <v>165</v>
      </c>
      <c r="B171" t="s">
        <v>1499</v>
      </c>
      <c r="C171" t="s">
        <v>255</v>
      </c>
      <c r="D171" t="s">
        <v>93</v>
      </c>
      <c r="E171" t="s">
        <v>126</v>
      </c>
      <c r="F171">
        <v>71</v>
      </c>
      <c r="G171" s="4">
        <v>65</v>
      </c>
      <c r="H171" s="4">
        <v>83</v>
      </c>
      <c r="I171" s="4">
        <v>148</v>
      </c>
      <c r="J171" s="7">
        <v>183.24</v>
      </c>
    </row>
    <row r="172" spans="1:10" x14ac:dyDescent="0.25">
      <c r="A172">
        <v>166</v>
      </c>
      <c r="B172" t="s">
        <v>4430</v>
      </c>
      <c r="C172" t="s">
        <v>621</v>
      </c>
      <c r="D172" t="s">
        <v>93</v>
      </c>
      <c r="E172" t="s">
        <v>126</v>
      </c>
      <c r="F172">
        <v>64</v>
      </c>
      <c r="G172" s="4">
        <v>63</v>
      </c>
      <c r="H172" s="4">
        <v>75</v>
      </c>
      <c r="I172" s="4">
        <v>138</v>
      </c>
      <c r="J172" s="7">
        <v>182.94</v>
      </c>
    </row>
    <row r="173" spans="1:10" x14ac:dyDescent="0.25">
      <c r="A173">
        <v>167</v>
      </c>
      <c r="B173" t="s">
        <v>2805</v>
      </c>
      <c r="C173" t="s">
        <v>449</v>
      </c>
      <c r="D173" t="s">
        <v>94</v>
      </c>
      <c r="E173" t="s">
        <v>95</v>
      </c>
      <c r="F173">
        <v>55</v>
      </c>
      <c r="G173" s="4">
        <v>51</v>
      </c>
      <c r="H173" s="4">
        <v>72</v>
      </c>
      <c r="I173" s="4">
        <v>123</v>
      </c>
      <c r="J173" s="7">
        <v>182.79</v>
      </c>
    </row>
    <row r="174" spans="1:10" x14ac:dyDescent="0.25">
      <c r="A174">
        <v>168</v>
      </c>
      <c r="B174" t="s">
        <v>950</v>
      </c>
      <c r="C174" t="s">
        <v>329</v>
      </c>
      <c r="D174" t="s">
        <v>94</v>
      </c>
      <c r="E174" t="s">
        <v>113</v>
      </c>
      <c r="F174">
        <v>59</v>
      </c>
      <c r="G174" s="4">
        <v>57</v>
      </c>
      <c r="H174" s="4">
        <v>74</v>
      </c>
      <c r="I174" s="4">
        <v>131</v>
      </c>
      <c r="J174" s="7">
        <v>182.68</v>
      </c>
    </row>
    <row r="175" spans="1:10" x14ac:dyDescent="0.25">
      <c r="A175">
        <v>169</v>
      </c>
      <c r="B175" t="s">
        <v>1953</v>
      </c>
      <c r="C175" t="s">
        <v>417</v>
      </c>
      <c r="D175" t="s">
        <v>93</v>
      </c>
      <c r="E175" t="s">
        <v>126</v>
      </c>
      <c r="F175">
        <v>55</v>
      </c>
      <c r="G175" s="4">
        <v>56</v>
      </c>
      <c r="H175" s="4">
        <v>70</v>
      </c>
      <c r="I175" s="4">
        <v>126</v>
      </c>
      <c r="J175" s="7">
        <v>182.22</v>
      </c>
    </row>
    <row r="176" spans="1:10" x14ac:dyDescent="0.25">
      <c r="A176">
        <v>170</v>
      </c>
      <c r="B176" t="s">
        <v>1113</v>
      </c>
      <c r="C176" t="s">
        <v>429</v>
      </c>
      <c r="D176" t="s">
        <v>94</v>
      </c>
      <c r="E176" t="s">
        <v>113</v>
      </c>
      <c r="F176">
        <v>55</v>
      </c>
      <c r="G176" s="4">
        <v>57</v>
      </c>
      <c r="H176" s="4">
        <v>68</v>
      </c>
      <c r="I176" s="4">
        <v>125</v>
      </c>
      <c r="J176" s="7">
        <v>182.21</v>
      </c>
    </row>
    <row r="177" spans="1:10" x14ac:dyDescent="0.25">
      <c r="A177">
        <v>171</v>
      </c>
      <c r="B177" t="s">
        <v>1480</v>
      </c>
      <c r="C177" t="s">
        <v>88</v>
      </c>
      <c r="D177" t="s">
        <v>94</v>
      </c>
      <c r="E177" t="s">
        <v>113</v>
      </c>
      <c r="F177">
        <v>59</v>
      </c>
      <c r="G177" s="4">
        <v>62</v>
      </c>
      <c r="H177" s="4">
        <v>71</v>
      </c>
      <c r="I177" s="4">
        <v>133</v>
      </c>
      <c r="J177" s="7">
        <v>181.98</v>
      </c>
    </row>
    <row r="178" spans="1:10" x14ac:dyDescent="0.25">
      <c r="A178">
        <v>172</v>
      </c>
      <c r="B178" t="s">
        <v>4175</v>
      </c>
      <c r="C178" t="s">
        <v>792</v>
      </c>
      <c r="D178" t="s">
        <v>93</v>
      </c>
      <c r="E178" t="s">
        <v>126</v>
      </c>
      <c r="F178">
        <v>71</v>
      </c>
      <c r="G178" s="4">
        <v>65</v>
      </c>
      <c r="H178" s="4">
        <v>81</v>
      </c>
      <c r="I178" s="4">
        <v>146</v>
      </c>
      <c r="J178" s="7">
        <v>181.5</v>
      </c>
    </row>
    <row r="179" spans="1:10" x14ac:dyDescent="0.25">
      <c r="A179">
        <v>173</v>
      </c>
      <c r="B179" t="s">
        <v>889</v>
      </c>
      <c r="C179" t="s">
        <v>506</v>
      </c>
      <c r="D179" t="s">
        <v>93</v>
      </c>
      <c r="E179" t="s">
        <v>126</v>
      </c>
      <c r="F179">
        <v>64</v>
      </c>
      <c r="G179" s="4">
        <v>60</v>
      </c>
      <c r="H179" s="4">
        <v>74</v>
      </c>
      <c r="I179" s="4">
        <v>134</v>
      </c>
      <c r="J179" s="7">
        <v>181.46</v>
      </c>
    </row>
    <row r="180" spans="1:10" x14ac:dyDescent="0.25">
      <c r="A180">
        <v>174</v>
      </c>
      <c r="B180" t="s">
        <v>3923</v>
      </c>
      <c r="C180" t="s">
        <v>1285</v>
      </c>
      <c r="D180" t="s">
        <v>93</v>
      </c>
      <c r="E180" t="s">
        <v>126</v>
      </c>
      <c r="F180">
        <v>64</v>
      </c>
      <c r="G180" s="4">
        <v>60</v>
      </c>
      <c r="H180" s="4">
        <v>76</v>
      </c>
      <c r="I180" s="4">
        <v>136</v>
      </c>
      <c r="J180" s="7">
        <v>181.2</v>
      </c>
    </row>
    <row r="181" spans="1:10" x14ac:dyDescent="0.25">
      <c r="A181">
        <v>175</v>
      </c>
      <c r="B181" t="s">
        <v>1984</v>
      </c>
      <c r="C181" t="s">
        <v>606</v>
      </c>
      <c r="D181" t="s">
        <v>93</v>
      </c>
      <c r="E181" t="s">
        <v>126</v>
      </c>
      <c r="F181">
        <v>71</v>
      </c>
      <c r="G181" s="4">
        <v>64</v>
      </c>
      <c r="H181" s="4">
        <v>80</v>
      </c>
      <c r="I181" s="4">
        <v>144</v>
      </c>
      <c r="J181" s="7">
        <v>180.49</v>
      </c>
    </row>
    <row r="182" spans="1:10" x14ac:dyDescent="0.25">
      <c r="A182">
        <v>176</v>
      </c>
      <c r="B182" t="s">
        <v>2449</v>
      </c>
      <c r="C182" t="s">
        <v>883</v>
      </c>
      <c r="D182" t="s">
        <v>98</v>
      </c>
      <c r="E182" t="s">
        <v>95</v>
      </c>
      <c r="F182">
        <v>71</v>
      </c>
      <c r="G182" s="4">
        <v>66</v>
      </c>
      <c r="H182" s="4">
        <v>80</v>
      </c>
      <c r="I182" s="4">
        <v>146</v>
      </c>
      <c r="J182" s="7">
        <v>180.1</v>
      </c>
    </row>
    <row r="183" spans="1:10" x14ac:dyDescent="0.25">
      <c r="A183">
        <v>177</v>
      </c>
      <c r="B183" t="s">
        <v>4427</v>
      </c>
      <c r="C183" t="s">
        <v>684</v>
      </c>
      <c r="D183" t="s">
        <v>89</v>
      </c>
      <c r="E183" t="s">
        <v>126</v>
      </c>
      <c r="F183">
        <v>49</v>
      </c>
      <c r="G183" s="4">
        <v>51</v>
      </c>
      <c r="H183" s="4">
        <v>64</v>
      </c>
      <c r="I183" s="4">
        <v>115</v>
      </c>
      <c r="J183" s="7">
        <v>180.09</v>
      </c>
    </row>
    <row r="184" spans="1:10" x14ac:dyDescent="0.25">
      <c r="A184">
        <v>178</v>
      </c>
      <c r="B184" t="s">
        <v>2218</v>
      </c>
      <c r="C184" t="s">
        <v>312</v>
      </c>
      <c r="D184" t="s">
        <v>93</v>
      </c>
      <c r="E184" t="s">
        <v>126</v>
      </c>
      <c r="F184">
        <v>59</v>
      </c>
      <c r="G184" s="4">
        <v>62</v>
      </c>
      <c r="H184" s="4">
        <v>68</v>
      </c>
      <c r="I184" s="4">
        <v>130</v>
      </c>
      <c r="J184" s="7">
        <v>179.9</v>
      </c>
    </row>
    <row r="185" spans="1:10" x14ac:dyDescent="0.25">
      <c r="A185">
        <v>179</v>
      </c>
      <c r="B185" t="s">
        <v>1101</v>
      </c>
      <c r="C185" t="s">
        <v>400</v>
      </c>
      <c r="D185" t="s">
        <v>93</v>
      </c>
      <c r="E185" t="s">
        <v>126</v>
      </c>
      <c r="F185">
        <v>59</v>
      </c>
      <c r="G185" s="4">
        <v>58</v>
      </c>
      <c r="H185" s="4">
        <v>72</v>
      </c>
      <c r="I185" s="4">
        <v>130</v>
      </c>
      <c r="J185" s="7">
        <v>179.9</v>
      </c>
    </row>
    <row r="186" spans="1:10" x14ac:dyDescent="0.25">
      <c r="A186">
        <v>180</v>
      </c>
      <c r="B186" t="s">
        <v>1676</v>
      </c>
      <c r="C186" t="s">
        <v>684</v>
      </c>
      <c r="D186" t="s">
        <v>93</v>
      </c>
      <c r="E186" t="s">
        <v>126</v>
      </c>
      <c r="F186">
        <v>71</v>
      </c>
      <c r="G186" s="4">
        <v>62</v>
      </c>
      <c r="H186" s="4">
        <v>80</v>
      </c>
      <c r="I186" s="4">
        <v>142</v>
      </c>
      <c r="J186" s="7">
        <v>179.76</v>
      </c>
    </row>
    <row r="187" spans="1:10" x14ac:dyDescent="0.25">
      <c r="A187">
        <v>181</v>
      </c>
      <c r="B187" t="s">
        <v>3418</v>
      </c>
      <c r="C187" t="s">
        <v>469</v>
      </c>
      <c r="D187" t="s">
        <v>93</v>
      </c>
      <c r="E187" t="s">
        <v>126</v>
      </c>
      <c r="F187">
        <v>64</v>
      </c>
      <c r="G187" s="4">
        <v>62</v>
      </c>
      <c r="H187" s="4">
        <v>72</v>
      </c>
      <c r="I187" s="4">
        <v>134</v>
      </c>
      <c r="J187" s="7">
        <v>179.55</v>
      </c>
    </row>
    <row r="188" spans="1:10" x14ac:dyDescent="0.25">
      <c r="A188">
        <v>182</v>
      </c>
      <c r="B188" t="s">
        <v>1616</v>
      </c>
      <c r="C188" t="s">
        <v>598</v>
      </c>
      <c r="D188" t="s">
        <v>93</v>
      </c>
      <c r="E188" t="s">
        <v>126</v>
      </c>
      <c r="F188">
        <v>64</v>
      </c>
      <c r="G188" s="4">
        <v>63</v>
      </c>
      <c r="H188" s="4">
        <v>75</v>
      </c>
      <c r="I188" s="4">
        <v>138</v>
      </c>
      <c r="J188" s="7">
        <v>179.43</v>
      </c>
    </row>
    <row r="189" spans="1:10" x14ac:dyDescent="0.25">
      <c r="A189">
        <v>183</v>
      </c>
      <c r="B189" t="s">
        <v>1441</v>
      </c>
      <c r="C189" t="s">
        <v>501</v>
      </c>
      <c r="D189" t="s">
        <v>93</v>
      </c>
      <c r="E189" t="s">
        <v>126</v>
      </c>
      <c r="F189">
        <v>81</v>
      </c>
      <c r="G189" s="4">
        <v>64</v>
      </c>
      <c r="H189" s="4">
        <v>88</v>
      </c>
      <c r="I189" s="4">
        <v>152</v>
      </c>
      <c r="J189" s="7">
        <v>178.92</v>
      </c>
    </row>
    <row r="190" spans="1:10" x14ac:dyDescent="0.25">
      <c r="A190">
        <v>184</v>
      </c>
      <c r="B190" t="s">
        <v>2245</v>
      </c>
      <c r="C190" t="s">
        <v>883</v>
      </c>
      <c r="D190" t="s">
        <v>98</v>
      </c>
      <c r="E190" t="s">
        <v>57</v>
      </c>
      <c r="F190">
        <v>59</v>
      </c>
      <c r="G190" s="4">
        <v>55</v>
      </c>
      <c r="H190" s="4">
        <v>70</v>
      </c>
      <c r="I190" s="4">
        <v>125</v>
      </c>
      <c r="J190" s="7">
        <v>178.65</v>
      </c>
    </row>
    <row r="191" spans="1:10" x14ac:dyDescent="0.25">
      <c r="A191">
        <v>185</v>
      </c>
      <c r="B191" t="s">
        <v>3566</v>
      </c>
      <c r="C191" t="s">
        <v>1627</v>
      </c>
      <c r="D191" t="s">
        <v>93</v>
      </c>
      <c r="E191" t="s">
        <v>126</v>
      </c>
      <c r="F191">
        <v>71</v>
      </c>
      <c r="G191" s="4">
        <v>65</v>
      </c>
      <c r="H191" s="4">
        <v>80</v>
      </c>
      <c r="I191" s="4">
        <v>145</v>
      </c>
      <c r="J191" s="7">
        <v>178.22</v>
      </c>
    </row>
    <row r="192" spans="1:10" x14ac:dyDescent="0.25">
      <c r="A192">
        <v>186</v>
      </c>
      <c r="B192" t="s">
        <v>2825</v>
      </c>
      <c r="C192" t="s">
        <v>1004</v>
      </c>
      <c r="D192" t="s">
        <v>89</v>
      </c>
      <c r="E192" t="s">
        <v>126</v>
      </c>
      <c r="F192">
        <v>45</v>
      </c>
      <c r="G192" s="4">
        <v>44</v>
      </c>
      <c r="H192" s="4">
        <v>58</v>
      </c>
      <c r="I192" s="4">
        <v>102</v>
      </c>
      <c r="J192" s="7">
        <v>178.02</v>
      </c>
    </row>
    <row r="193" spans="1:10" x14ac:dyDescent="0.25">
      <c r="A193">
        <v>187</v>
      </c>
      <c r="B193" t="s">
        <v>3022</v>
      </c>
      <c r="C193" t="s">
        <v>2051</v>
      </c>
      <c r="D193" t="s">
        <v>94</v>
      </c>
      <c r="E193" t="s">
        <v>113</v>
      </c>
      <c r="F193">
        <v>59</v>
      </c>
      <c r="G193" s="4">
        <v>60</v>
      </c>
      <c r="H193" s="4">
        <v>70</v>
      </c>
      <c r="I193" s="4">
        <v>130</v>
      </c>
      <c r="J193" s="7">
        <v>178.01</v>
      </c>
    </row>
    <row r="194" spans="1:10" x14ac:dyDescent="0.25">
      <c r="A194">
        <v>188</v>
      </c>
      <c r="B194" t="s">
        <v>2226</v>
      </c>
      <c r="C194" t="s">
        <v>315</v>
      </c>
      <c r="D194" t="s">
        <v>93</v>
      </c>
      <c r="E194" t="s">
        <v>126</v>
      </c>
      <c r="F194">
        <v>81</v>
      </c>
      <c r="G194" s="4">
        <v>66</v>
      </c>
      <c r="H194" s="4">
        <v>88</v>
      </c>
      <c r="I194" s="4">
        <v>154</v>
      </c>
      <c r="J194" s="7">
        <v>177.99</v>
      </c>
    </row>
    <row r="195" spans="1:10" x14ac:dyDescent="0.25">
      <c r="A195">
        <v>189</v>
      </c>
      <c r="B195" t="s">
        <v>3780</v>
      </c>
      <c r="C195" t="s">
        <v>154</v>
      </c>
      <c r="D195" t="s">
        <v>93</v>
      </c>
      <c r="E195" t="s">
        <v>126</v>
      </c>
      <c r="F195">
        <v>55</v>
      </c>
      <c r="G195" s="4">
        <v>57</v>
      </c>
      <c r="H195" s="4">
        <v>67</v>
      </c>
      <c r="I195" s="4">
        <v>124</v>
      </c>
      <c r="J195" s="7">
        <v>177.95</v>
      </c>
    </row>
    <row r="196" spans="1:10" x14ac:dyDescent="0.25">
      <c r="A196">
        <v>190</v>
      </c>
      <c r="B196" t="s">
        <v>2877</v>
      </c>
      <c r="C196" t="s">
        <v>1032</v>
      </c>
      <c r="D196" t="s">
        <v>93</v>
      </c>
      <c r="E196" t="s">
        <v>126</v>
      </c>
      <c r="F196">
        <v>55</v>
      </c>
      <c r="G196" s="4">
        <v>52</v>
      </c>
      <c r="H196" s="4">
        <v>67</v>
      </c>
      <c r="I196" s="4">
        <v>119</v>
      </c>
      <c r="J196" s="7">
        <v>177.88</v>
      </c>
    </row>
    <row r="197" spans="1:10" x14ac:dyDescent="0.25">
      <c r="A197">
        <v>191</v>
      </c>
      <c r="B197" t="s">
        <v>1797</v>
      </c>
      <c r="C197" t="s">
        <v>168</v>
      </c>
      <c r="D197" t="s">
        <v>89</v>
      </c>
      <c r="E197" t="s">
        <v>113</v>
      </c>
      <c r="F197">
        <v>64</v>
      </c>
      <c r="G197" s="4">
        <v>58</v>
      </c>
      <c r="H197" s="4">
        <v>77</v>
      </c>
      <c r="I197" s="4">
        <v>135</v>
      </c>
      <c r="J197" s="7">
        <v>177.13</v>
      </c>
    </row>
    <row r="198" spans="1:10" x14ac:dyDescent="0.25">
      <c r="A198">
        <v>192</v>
      </c>
      <c r="B198" t="s">
        <v>1602</v>
      </c>
      <c r="C198" t="s">
        <v>70</v>
      </c>
      <c r="D198" t="s">
        <v>89</v>
      </c>
      <c r="E198" t="s">
        <v>113</v>
      </c>
      <c r="F198">
        <v>55</v>
      </c>
      <c r="G198" s="4">
        <v>55</v>
      </c>
      <c r="H198" s="4">
        <v>64</v>
      </c>
      <c r="I198" s="4">
        <v>119</v>
      </c>
      <c r="J198" s="7">
        <v>177.07</v>
      </c>
    </row>
    <row r="199" spans="1:10" x14ac:dyDescent="0.25">
      <c r="A199">
        <v>193</v>
      </c>
      <c r="B199" t="s">
        <v>2681</v>
      </c>
      <c r="C199" t="s">
        <v>672</v>
      </c>
      <c r="D199" t="s">
        <v>93</v>
      </c>
      <c r="E199" t="s">
        <v>126</v>
      </c>
      <c r="F199">
        <v>71</v>
      </c>
      <c r="G199" s="4">
        <v>64</v>
      </c>
      <c r="H199" s="4">
        <v>77</v>
      </c>
      <c r="I199" s="4">
        <v>141</v>
      </c>
      <c r="J199" s="7">
        <v>176.99</v>
      </c>
    </row>
    <row r="200" spans="1:10" x14ac:dyDescent="0.25">
      <c r="A200">
        <v>194</v>
      </c>
      <c r="B200" t="s">
        <v>3810</v>
      </c>
      <c r="C200" t="s">
        <v>416</v>
      </c>
      <c r="D200" t="s">
        <v>93</v>
      </c>
      <c r="E200" t="s">
        <v>126</v>
      </c>
      <c r="F200">
        <v>64</v>
      </c>
      <c r="G200" s="4">
        <v>60</v>
      </c>
      <c r="H200" s="4">
        <v>70</v>
      </c>
      <c r="I200" s="4">
        <v>130</v>
      </c>
      <c r="J200" s="7">
        <v>176.75</v>
      </c>
    </row>
    <row r="201" spans="1:10" x14ac:dyDescent="0.25">
      <c r="A201">
        <v>195</v>
      </c>
      <c r="B201" t="s">
        <v>3829</v>
      </c>
      <c r="C201" t="s">
        <v>66</v>
      </c>
      <c r="D201" t="s">
        <v>93</v>
      </c>
      <c r="E201" t="s">
        <v>126</v>
      </c>
      <c r="F201">
        <v>81</v>
      </c>
      <c r="G201" s="4">
        <v>67</v>
      </c>
      <c r="H201" s="4">
        <v>85</v>
      </c>
      <c r="I201" s="4">
        <v>152</v>
      </c>
      <c r="J201" s="7">
        <v>176.63</v>
      </c>
    </row>
    <row r="202" spans="1:10" x14ac:dyDescent="0.25">
      <c r="A202">
        <v>196</v>
      </c>
      <c r="B202" t="s">
        <v>4072</v>
      </c>
      <c r="C202" t="s">
        <v>883</v>
      </c>
      <c r="D202" t="s">
        <v>98</v>
      </c>
      <c r="E202" t="s">
        <v>57</v>
      </c>
      <c r="F202">
        <v>45</v>
      </c>
      <c r="G202" s="4">
        <v>43</v>
      </c>
      <c r="H202" s="4">
        <v>53</v>
      </c>
      <c r="I202" s="4">
        <v>96</v>
      </c>
      <c r="J202" s="7">
        <v>176.54</v>
      </c>
    </row>
    <row r="203" spans="1:10" x14ac:dyDescent="0.25">
      <c r="A203">
        <v>197</v>
      </c>
      <c r="B203" t="s">
        <v>2726</v>
      </c>
      <c r="C203" t="s">
        <v>329</v>
      </c>
      <c r="D203" t="s">
        <v>93</v>
      </c>
      <c r="E203" t="s">
        <v>126</v>
      </c>
      <c r="F203">
        <v>71</v>
      </c>
      <c r="G203" s="4">
        <v>60</v>
      </c>
      <c r="H203" s="4">
        <v>77</v>
      </c>
      <c r="I203" s="4">
        <v>137</v>
      </c>
      <c r="J203" s="7">
        <v>176.39</v>
      </c>
    </row>
    <row r="204" spans="1:10" x14ac:dyDescent="0.25">
      <c r="A204">
        <v>198</v>
      </c>
      <c r="B204" t="s">
        <v>1961</v>
      </c>
      <c r="C204" t="s">
        <v>556</v>
      </c>
      <c r="D204" t="s">
        <v>93</v>
      </c>
      <c r="E204" t="s">
        <v>126</v>
      </c>
      <c r="F204">
        <v>55</v>
      </c>
      <c r="G204" s="4">
        <v>53</v>
      </c>
      <c r="H204" s="4">
        <v>67</v>
      </c>
      <c r="I204" s="4">
        <v>120</v>
      </c>
      <c r="J204" s="7">
        <v>175.63</v>
      </c>
    </row>
    <row r="205" spans="1:10" x14ac:dyDescent="0.25">
      <c r="A205">
        <v>199</v>
      </c>
      <c r="B205" t="s">
        <v>767</v>
      </c>
      <c r="C205" t="s">
        <v>395</v>
      </c>
      <c r="D205" t="s">
        <v>94</v>
      </c>
      <c r="E205" t="s">
        <v>95</v>
      </c>
      <c r="F205">
        <v>64</v>
      </c>
      <c r="G205" s="4">
        <v>58</v>
      </c>
      <c r="H205" s="4">
        <v>73</v>
      </c>
      <c r="I205" s="4">
        <v>131</v>
      </c>
      <c r="J205" s="7">
        <v>175.44</v>
      </c>
    </row>
    <row r="206" spans="1:10" x14ac:dyDescent="0.25">
      <c r="A206">
        <v>200</v>
      </c>
      <c r="B206" t="s">
        <v>3376</v>
      </c>
      <c r="C206" t="s">
        <v>1004</v>
      </c>
      <c r="D206" t="s">
        <v>93</v>
      </c>
      <c r="E206" t="s">
        <v>126</v>
      </c>
      <c r="F206">
        <v>64</v>
      </c>
      <c r="G206" s="4">
        <v>58</v>
      </c>
      <c r="H206" s="4">
        <v>73</v>
      </c>
      <c r="I206" s="4">
        <v>131</v>
      </c>
      <c r="J206" s="7">
        <v>174.54</v>
      </c>
    </row>
    <row r="207" spans="1:10" x14ac:dyDescent="0.25">
      <c r="A207">
        <v>201</v>
      </c>
      <c r="B207" t="s">
        <v>1416</v>
      </c>
      <c r="C207" t="s">
        <v>328</v>
      </c>
      <c r="D207" t="s">
        <v>93</v>
      </c>
      <c r="E207" t="s">
        <v>126</v>
      </c>
      <c r="F207">
        <v>55</v>
      </c>
      <c r="G207" s="4">
        <v>50</v>
      </c>
      <c r="H207" s="4">
        <v>70</v>
      </c>
      <c r="I207" s="4">
        <v>120</v>
      </c>
      <c r="J207" s="7">
        <v>174.23</v>
      </c>
    </row>
    <row r="208" spans="1:10" x14ac:dyDescent="0.25">
      <c r="A208">
        <v>202</v>
      </c>
      <c r="B208" t="s">
        <v>1306</v>
      </c>
      <c r="C208" t="s">
        <v>374</v>
      </c>
      <c r="D208" t="s">
        <v>93</v>
      </c>
      <c r="E208" t="s">
        <v>126</v>
      </c>
      <c r="F208">
        <v>64</v>
      </c>
      <c r="G208" s="4">
        <v>61</v>
      </c>
      <c r="H208" s="4">
        <v>73</v>
      </c>
      <c r="I208" s="4">
        <v>134</v>
      </c>
      <c r="J208" s="7">
        <v>174.23</v>
      </c>
    </row>
    <row r="209" spans="1:10" x14ac:dyDescent="0.25">
      <c r="A209">
        <v>203</v>
      </c>
      <c r="B209" t="s">
        <v>4237</v>
      </c>
      <c r="C209" t="s">
        <v>165</v>
      </c>
      <c r="D209" t="s">
        <v>98</v>
      </c>
      <c r="E209" t="s">
        <v>57</v>
      </c>
      <c r="F209">
        <v>55</v>
      </c>
      <c r="G209" s="4">
        <v>53</v>
      </c>
      <c r="H209" s="4">
        <v>66</v>
      </c>
      <c r="I209" s="4">
        <v>119</v>
      </c>
      <c r="J209" s="7">
        <v>174.17</v>
      </c>
    </row>
    <row r="210" spans="1:10" x14ac:dyDescent="0.25">
      <c r="A210">
        <v>204</v>
      </c>
      <c r="B210" t="s">
        <v>3511</v>
      </c>
      <c r="C210" t="s">
        <v>386</v>
      </c>
      <c r="D210" t="s">
        <v>93</v>
      </c>
      <c r="E210" t="s">
        <v>126</v>
      </c>
      <c r="F210">
        <v>71</v>
      </c>
      <c r="G210" s="4">
        <v>58</v>
      </c>
      <c r="H210" s="4">
        <v>80</v>
      </c>
      <c r="I210" s="4">
        <v>138</v>
      </c>
      <c r="J210" s="7">
        <v>174.11</v>
      </c>
    </row>
    <row r="211" spans="1:10" x14ac:dyDescent="0.25">
      <c r="A211">
        <v>205</v>
      </c>
      <c r="B211" t="s">
        <v>3815</v>
      </c>
      <c r="C211" t="s">
        <v>427</v>
      </c>
      <c r="D211" t="s">
        <v>93</v>
      </c>
      <c r="E211" t="s">
        <v>126</v>
      </c>
      <c r="F211">
        <v>81</v>
      </c>
      <c r="G211" s="4">
        <v>68</v>
      </c>
      <c r="H211" s="4">
        <v>83</v>
      </c>
      <c r="I211" s="4">
        <v>151</v>
      </c>
      <c r="J211" s="7">
        <v>173.99</v>
      </c>
    </row>
    <row r="212" spans="1:10" x14ac:dyDescent="0.25">
      <c r="A212">
        <v>206</v>
      </c>
      <c r="B212" t="s">
        <v>515</v>
      </c>
      <c r="C212" t="s">
        <v>519</v>
      </c>
      <c r="D212" t="s">
        <v>94</v>
      </c>
      <c r="E212" t="s">
        <v>95</v>
      </c>
      <c r="F212">
        <v>55</v>
      </c>
      <c r="G212" s="4">
        <v>50</v>
      </c>
      <c r="H212" s="4">
        <v>71</v>
      </c>
      <c r="I212" s="4">
        <v>121</v>
      </c>
      <c r="J212" s="7">
        <v>173.75</v>
      </c>
    </row>
    <row r="213" spans="1:10" x14ac:dyDescent="0.25">
      <c r="A213">
        <v>207</v>
      </c>
      <c r="B213" t="s">
        <v>3335</v>
      </c>
      <c r="C213" t="s">
        <v>258</v>
      </c>
      <c r="D213" t="s">
        <v>93</v>
      </c>
      <c r="E213" t="s">
        <v>126</v>
      </c>
      <c r="F213">
        <v>49</v>
      </c>
      <c r="G213" s="4">
        <v>50</v>
      </c>
      <c r="H213" s="4">
        <v>60</v>
      </c>
      <c r="I213" s="4">
        <v>110</v>
      </c>
      <c r="J213" s="7">
        <v>173.66</v>
      </c>
    </row>
    <row r="214" spans="1:10" x14ac:dyDescent="0.25">
      <c r="A214">
        <v>208</v>
      </c>
      <c r="B214" t="s">
        <v>3399</v>
      </c>
      <c r="C214" t="s">
        <v>1004</v>
      </c>
      <c r="D214" t="s">
        <v>98</v>
      </c>
      <c r="E214" t="s">
        <v>57</v>
      </c>
      <c r="F214">
        <v>71</v>
      </c>
      <c r="G214" s="4">
        <v>63</v>
      </c>
      <c r="H214" s="4">
        <v>75</v>
      </c>
      <c r="I214" s="4">
        <v>138</v>
      </c>
      <c r="J214" s="7">
        <v>173.54</v>
      </c>
    </row>
    <row r="215" spans="1:10" x14ac:dyDescent="0.25">
      <c r="A215">
        <v>209</v>
      </c>
      <c r="B215" t="s">
        <v>1645</v>
      </c>
      <c r="C215" t="s">
        <v>937</v>
      </c>
      <c r="D215" t="s">
        <v>89</v>
      </c>
      <c r="E215" t="s">
        <v>113</v>
      </c>
      <c r="F215">
        <v>59</v>
      </c>
      <c r="G215" s="4">
        <v>55</v>
      </c>
      <c r="H215" s="4">
        <v>70</v>
      </c>
      <c r="I215" s="4">
        <v>125</v>
      </c>
      <c r="J215" s="7">
        <v>173.38</v>
      </c>
    </row>
    <row r="216" spans="1:10" x14ac:dyDescent="0.25">
      <c r="A216">
        <v>210</v>
      </c>
      <c r="B216" t="s">
        <v>1697</v>
      </c>
      <c r="C216" t="s">
        <v>419</v>
      </c>
      <c r="D216" t="s">
        <v>93</v>
      </c>
      <c r="E216" t="s">
        <v>126</v>
      </c>
      <c r="F216">
        <v>64</v>
      </c>
      <c r="G216" s="4">
        <v>53</v>
      </c>
      <c r="H216" s="4">
        <v>76</v>
      </c>
      <c r="I216" s="4">
        <v>129</v>
      </c>
      <c r="J216" s="7">
        <v>173.27</v>
      </c>
    </row>
    <row r="217" spans="1:10" x14ac:dyDescent="0.25">
      <c r="A217">
        <v>211</v>
      </c>
      <c r="B217" t="s">
        <v>3236</v>
      </c>
      <c r="C217" t="s">
        <v>684</v>
      </c>
      <c r="D217" t="s">
        <v>89</v>
      </c>
      <c r="E217" t="s">
        <v>113</v>
      </c>
      <c r="F217">
        <v>81</v>
      </c>
      <c r="G217" s="4">
        <v>70</v>
      </c>
      <c r="H217" s="4">
        <v>80</v>
      </c>
      <c r="I217" s="4">
        <v>150</v>
      </c>
      <c r="J217" s="7">
        <v>173.08</v>
      </c>
    </row>
    <row r="218" spans="1:10" x14ac:dyDescent="0.25">
      <c r="A218">
        <v>212</v>
      </c>
      <c r="B218" t="s">
        <v>1810</v>
      </c>
      <c r="C218" t="s">
        <v>78</v>
      </c>
      <c r="D218" t="s">
        <v>93</v>
      </c>
      <c r="E218" t="s">
        <v>126</v>
      </c>
      <c r="F218">
        <v>49</v>
      </c>
      <c r="G218" s="4">
        <v>47</v>
      </c>
      <c r="H218" s="4">
        <v>57</v>
      </c>
      <c r="I218" s="4">
        <v>104</v>
      </c>
      <c r="J218" s="7">
        <v>172.94</v>
      </c>
    </row>
    <row r="219" spans="1:10" x14ac:dyDescent="0.25">
      <c r="A219">
        <v>213</v>
      </c>
      <c r="B219" t="s">
        <v>898</v>
      </c>
      <c r="C219" t="s">
        <v>901</v>
      </c>
      <c r="D219" t="s">
        <v>93</v>
      </c>
      <c r="E219" t="s">
        <v>126</v>
      </c>
      <c r="F219">
        <v>59</v>
      </c>
      <c r="G219" s="4">
        <v>53</v>
      </c>
      <c r="H219" s="4">
        <v>69</v>
      </c>
      <c r="I219" s="4">
        <v>122</v>
      </c>
      <c r="J219" s="7">
        <v>172.89</v>
      </c>
    </row>
    <row r="220" spans="1:10" x14ac:dyDescent="0.25">
      <c r="A220">
        <v>214</v>
      </c>
      <c r="B220" t="s">
        <v>2957</v>
      </c>
      <c r="C220" t="s">
        <v>746</v>
      </c>
      <c r="D220" t="s">
        <v>94</v>
      </c>
      <c r="E220" t="s">
        <v>95</v>
      </c>
      <c r="F220">
        <v>55</v>
      </c>
      <c r="G220" s="4">
        <v>53</v>
      </c>
      <c r="H220" s="4">
        <v>67</v>
      </c>
      <c r="I220" s="4">
        <v>120</v>
      </c>
      <c r="J220" s="7">
        <v>172.87</v>
      </c>
    </row>
    <row r="221" spans="1:10" x14ac:dyDescent="0.25">
      <c r="A221">
        <v>215</v>
      </c>
      <c r="B221" t="s">
        <v>3523</v>
      </c>
      <c r="C221" t="s">
        <v>691</v>
      </c>
      <c r="D221" t="s">
        <v>93</v>
      </c>
      <c r="E221" t="s">
        <v>126</v>
      </c>
      <c r="F221">
        <v>71</v>
      </c>
      <c r="G221" s="4">
        <v>61</v>
      </c>
      <c r="H221" s="4">
        <v>74</v>
      </c>
      <c r="I221" s="4">
        <v>135</v>
      </c>
      <c r="J221" s="7">
        <v>172.53</v>
      </c>
    </row>
    <row r="222" spans="1:10" x14ac:dyDescent="0.25">
      <c r="A222">
        <v>216</v>
      </c>
      <c r="B222" t="s">
        <v>2081</v>
      </c>
      <c r="C222" t="s">
        <v>1202</v>
      </c>
      <c r="D222" t="s">
        <v>93</v>
      </c>
      <c r="E222" t="s">
        <v>126</v>
      </c>
      <c r="F222">
        <v>87</v>
      </c>
      <c r="G222" s="4">
        <v>67</v>
      </c>
      <c r="H222" s="4">
        <v>84</v>
      </c>
      <c r="I222" s="4">
        <v>151</v>
      </c>
      <c r="J222" s="7">
        <v>172.21</v>
      </c>
    </row>
    <row r="223" spans="1:10" x14ac:dyDescent="0.25">
      <c r="A223">
        <v>217</v>
      </c>
      <c r="B223" t="s">
        <v>1534</v>
      </c>
      <c r="C223" t="s">
        <v>606</v>
      </c>
      <c r="D223" t="s">
        <v>93</v>
      </c>
      <c r="E223" t="s">
        <v>126</v>
      </c>
      <c r="F223">
        <v>55</v>
      </c>
      <c r="G223" s="4">
        <v>49</v>
      </c>
      <c r="H223" s="4">
        <v>70</v>
      </c>
      <c r="I223" s="4">
        <v>119</v>
      </c>
      <c r="J223" s="7">
        <v>172.1</v>
      </c>
    </row>
    <row r="224" spans="1:10" x14ac:dyDescent="0.25">
      <c r="A224">
        <v>218</v>
      </c>
      <c r="B224" t="s">
        <v>3501</v>
      </c>
      <c r="C224" t="s">
        <v>394</v>
      </c>
      <c r="D224" t="s">
        <v>93</v>
      </c>
      <c r="E224" t="s">
        <v>126</v>
      </c>
      <c r="F224">
        <v>71</v>
      </c>
      <c r="G224" s="4">
        <v>63</v>
      </c>
      <c r="H224" s="4">
        <v>72</v>
      </c>
      <c r="I224" s="4">
        <v>135</v>
      </c>
      <c r="J224" s="7">
        <v>172.08</v>
      </c>
    </row>
    <row r="225" spans="1:10" x14ac:dyDescent="0.25">
      <c r="A225">
        <v>219</v>
      </c>
      <c r="B225" t="s">
        <v>3069</v>
      </c>
      <c r="C225" t="s">
        <v>251</v>
      </c>
      <c r="D225" t="s">
        <v>93</v>
      </c>
      <c r="E225" t="s">
        <v>126</v>
      </c>
      <c r="F225">
        <v>71</v>
      </c>
      <c r="G225" s="4">
        <v>61</v>
      </c>
      <c r="H225" s="4">
        <v>72</v>
      </c>
      <c r="I225" s="4">
        <v>133</v>
      </c>
      <c r="J225" s="7">
        <v>171.97</v>
      </c>
    </row>
    <row r="226" spans="1:10" x14ac:dyDescent="0.25">
      <c r="A226">
        <v>220</v>
      </c>
      <c r="B226" t="s">
        <v>3750</v>
      </c>
      <c r="C226" t="s">
        <v>296</v>
      </c>
      <c r="D226" t="s">
        <v>89</v>
      </c>
      <c r="E226" t="s">
        <v>113</v>
      </c>
      <c r="F226">
        <v>55</v>
      </c>
      <c r="G226" s="4">
        <v>51</v>
      </c>
      <c r="H226" s="4">
        <v>64</v>
      </c>
      <c r="I226" s="4">
        <v>115</v>
      </c>
      <c r="J226" s="7">
        <v>171.78</v>
      </c>
    </row>
    <row r="227" spans="1:10" x14ac:dyDescent="0.25">
      <c r="A227">
        <v>221</v>
      </c>
      <c r="B227" t="s">
        <v>2836</v>
      </c>
      <c r="C227" t="s">
        <v>251</v>
      </c>
      <c r="D227" t="s">
        <v>93</v>
      </c>
      <c r="E227" t="s">
        <v>126</v>
      </c>
      <c r="F227">
        <v>64</v>
      </c>
      <c r="G227" s="4">
        <v>58</v>
      </c>
      <c r="H227" s="4">
        <v>69</v>
      </c>
      <c r="I227" s="4">
        <v>127</v>
      </c>
      <c r="J227" s="7">
        <v>171.7</v>
      </c>
    </row>
    <row r="228" spans="1:10" x14ac:dyDescent="0.25">
      <c r="A228">
        <v>222</v>
      </c>
      <c r="B228" t="s">
        <v>1521</v>
      </c>
      <c r="C228" t="s">
        <v>556</v>
      </c>
      <c r="D228" t="s">
        <v>93</v>
      </c>
      <c r="E228" t="s">
        <v>126</v>
      </c>
      <c r="F228">
        <v>59</v>
      </c>
      <c r="G228" s="4">
        <v>53</v>
      </c>
      <c r="H228" s="4">
        <v>68</v>
      </c>
      <c r="I228" s="4">
        <v>121</v>
      </c>
      <c r="J228" s="7">
        <v>171.48</v>
      </c>
    </row>
    <row r="229" spans="1:10" x14ac:dyDescent="0.25">
      <c r="A229">
        <v>223</v>
      </c>
      <c r="B229" t="s">
        <v>1160</v>
      </c>
      <c r="C229" t="s">
        <v>691</v>
      </c>
      <c r="D229" t="s">
        <v>98</v>
      </c>
      <c r="E229" t="s">
        <v>57</v>
      </c>
      <c r="F229">
        <v>59</v>
      </c>
      <c r="G229" s="4">
        <v>55</v>
      </c>
      <c r="H229" s="4">
        <v>68</v>
      </c>
      <c r="I229" s="4">
        <v>123</v>
      </c>
      <c r="J229" s="7">
        <v>171.4</v>
      </c>
    </row>
    <row r="230" spans="1:10" x14ac:dyDescent="0.25">
      <c r="A230">
        <v>224</v>
      </c>
      <c r="B230" t="s">
        <v>2831</v>
      </c>
      <c r="C230" t="s">
        <v>513</v>
      </c>
      <c r="D230" t="s">
        <v>93</v>
      </c>
      <c r="E230" t="s">
        <v>126</v>
      </c>
      <c r="F230">
        <v>64</v>
      </c>
      <c r="G230" s="4">
        <v>58</v>
      </c>
      <c r="H230" s="4">
        <v>71</v>
      </c>
      <c r="I230" s="4">
        <v>129</v>
      </c>
      <c r="J230" s="7">
        <v>170.67</v>
      </c>
    </row>
    <row r="231" spans="1:10" x14ac:dyDescent="0.25">
      <c r="A231">
        <v>225</v>
      </c>
      <c r="B231" t="s">
        <v>2223</v>
      </c>
      <c r="C231" t="s">
        <v>532</v>
      </c>
      <c r="D231" t="s">
        <v>93</v>
      </c>
      <c r="E231" t="s">
        <v>126</v>
      </c>
      <c r="F231">
        <v>59</v>
      </c>
      <c r="G231" s="4">
        <v>54</v>
      </c>
      <c r="H231" s="4">
        <v>69</v>
      </c>
      <c r="I231" s="4">
        <v>123</v>
      </c>
      <c r="J231" s="7">
        <v>170.4</v>
      </c>
    </row>
    <row r="232" spans="1:10" x14ac:dyDescent="0.25">
      <c r="A232">
        <v>226</v>
      </c>
      <c r="B232" t="s">
        <v>3798</v>
      </c>
      <c r="C232" t="s">
        <v>513</v>
      </c>
      <c r="D232" t="s">
        <v>93</v>
      </c>
      <c r="E232" t="s">
        <v>126</v>
      </c>
      <c r="F232">
        <v>55</v>
      </c>
      <c r="G232" s="4">
        <v>53</v>
      </c>
      <c r="H232" s="4">
        <v>65</v>
      </c>
      <c r="I232" s="4">
        <v>118</v>
      </c>
      <c r="J232" s="7">
        <v>170.21</v>
      </c>
    </row>
    <row r="233" spans="1:10" x14ac:dyDescent="0.25">
      <c r="A233">
        <v>227</v>
      </c>
      <c r="B233" t="s">
        <v>4305</v>
      </c>
      <c r="C233" t="s">
        <v>490</v>
      </c>
      <c r="D233" t="s">
        <v>89</v>
      </c>
      <c r="E233" t="s">
        <v>126</v>
      </c>
      <c r="F233" t="s">
        <v>135</v>
      </c>
      <c r="G233" s="4">
        <v>67</v>
      </c>
      <c r="H233" s="4">
        <v>95</v>
      </c>
      <c r="I233" s="4">
        <v>162</v>
      </c>
      <c r="J233" s="7">
        <v>170.17</v>
      </c>
    </row>
    <row r="234" spans="1:10" x14ac:dyDescent="0.25">
      <c r="A234">
        <v>228</v>
      </c>
      <c r="B234" t="s">
        <v>4122</v>
      </c>
      <c r="C234" t="s">
        <v>419</v>
      </c>
      <c r="D234" t="s">
        <v>93</v>
      </c>
      <c r="E234" t="s">
        <v>126</v>
      </c>
      <c r="F234">
        <v>71</v>
      </c>
      <c r="G234" s="4">
        <v>61</v>
      </c>
      <c r="H234" s="4">
        <v>76</v>
      </c>
      <c r="I234" s="4">
        <v>137</v>
      </c>
      <c r="J234" s="7">
        <v>169.77</v>
      </c>
    </row>
    <row r="235" spans="1:10" x14ac:dyDescent="0.25">
      <c r="A235">
        <v>229</v>
      </c>
      <c r="B235" t="s">
        <v>1387</v>
      </c>
      <c r="C235" t="s">
        <v>449</v>
      </c>
      <c r="D235" t="s">
        <v>93</v>
      </c>
      <c r="E235" t="s">
        <v>126</v>
      </c>
      <c r="F235">
        <v>59</v>
      </c>
      <c r="G235" s="4">
        <v>55</v>
      </c>
      <c r="H235" s="4">
        <v>68</v>
      </c>
      <c r="I235" s="4">
        <v>123</v>
      </c>
      <c r="J235" s="7">
        <v>169.59</v>
      </c>
    </row>
    <row r="236" spans="1:10" x14ac:dyDescent="0.25">
      <c r="A236">
        <v>230</v>
      </c>
      <c r="B236" t="s">
        <v>4062</v>
      </c>
      <c r="C236" t="s">
        <v>427</v>
      </c>
      <c r="D236" t="s">
        <v>93</v>
      </c>
      <c r="E236" t="s">
        <v>126</v>
      </c>
      <c r="F236">
        <v>59</v>
      </c>
      <c r="G236" s="4">
        <v>55</v>
      </c>
      <c r="H236" s="4">
        <v>68</v>
      </c>
      <c r="I236" s="4">
        <v>123</v>
      </c>
      <c r="J236" s="7">
        <v>169.24</v>
      </c>
    </row>
    <row r="237" spans="1:10" x14ac:dyDescent="0.25">
      <c r="A237">
        <v>231</v>
      </c>
      <c r="B237" t="s">
        <v>2379</v>
      </c>
      <c r="C237" t="s">
        <v>606</v>
      </c>
      <c r="D237" t="s">
        <v>93</v>
      </c>
      <c r="E237" t="s">
        <v>126</v>
      </c>
      <c r="F237">
        <v>55</v>
      </c>
      <c r="G237" s="4">
        <v>52</v>
      </c>
      <c r="H237" s="4">
        <v>65</v>
      </c>
      <c r="I237" s="4">
        <v>117</v>
      </c>
      <c r="J237" s="7">
        <v>169.21</v>
      </c>
    </row>
    <row r="238" spans="1:10" x14ac:dyDescent="0.25">
      <c r="A238">
        <v>232</v>
      </c>
      <c r="B238" t="s">
        <v>2723</v>
      </c>
      <c r="C238" t="s">
        <v>147</v>
      </c>
      <c r="D238" t="s">
        <v>93</v>
      </c>
      <c r="E238" t="s">
        <v>126</v>
      </c>
      <c r="F238">
        <v>59</v>
      </c>
      <c r="G238" s="4">
        <v>54</v>
      </c>
      <c r="H238" s="4">
        <v>67</v>
      </c>
      <c r="I238" s="4">
        <v>121</v>
      </c>
      <c r="J238" s="7">
        <v>169.21</v>
      </c>
    </row>
    <row r="239" spans="1:10" x14ac:dyDescent="0.25">
      <c r="A239">
        <v>233</v>
      </c>
      <c r="B239" t="s">
        <v>3314</v>
      </c>
      <c r="C239" t="s">
        <v>1033</v>
      </c>
      <c r="D239" t="s">
        <v>93</v>
      </c>
      <c r="E239" t="s">
        <v>126</v>
      </c>
      <c r="F239">
        <v>64</v>
      </c>
      <c r="G239" s="4">
        <v>56</v>
      </c>
      <c r="H239" s="4">
        <v>72</v>
      </c>
      <c r="I239" s="4">
        <v>128</v>
      </c>
      <c r="J239" s="7">
        <v>169.09</v>
      </c>
    </row>
    <row r="240" spans="1:10" x14ac:dyDescent="0.25">
      <c r="A240">
        <v>234</v>
      </c>
      <c r="B240" t="s">
        <v>3454</v>
      </c>
      <c r="C240" t="s">
        <v>400</v>
      </c>
      <c r="D240" t="s">
        <v>93</v>
      </c>
      <c r="E240" t="s">
        <v>126</v>
      </c>
      <c r="F240">
        <v>64</v>
      </c>
      <c r="G240" s="4">
        <v>54</v>
      </c>
      <c r="H240" s="4">
        <v>75</v>
      </c>
      <c r="I240" s="4">
        <v>129</v>
      </c>
      <c r="J240" s="7">
        <v>169.01</v>
      </c>
    </row>
    <row r="241" spans="1:10" x14ac:dyDescent="0.25">
      <c r="A241">
        <v>235</v>
      </c>
      <c r="B241" t="s">
        <v>3834</v>
      </c>
      <c r="C241" t="s">
        <v>937</v>
      </c>
      <c r="D241" t="s">
        <v>94</v>
      </c>
      <c r="E241" t="s">
        <v>95</v>
      </c>
      <c r="F241">
        <v>55</v>
      </c>
      <c r="G241" s="4">
        <v>51</v>
      </c>
      <c r="H241" s="4">
        <v>65</v>
      </c>
      <c r="I241" s="4">
        <v>116</v>
      </c>
      <c r="J241" s="7">
        <v>169</v>
      </c>
    </row>
    <row r="242" spans="1:10" x14ac:dyDescent="0.25">
      <c r="A242">
        <v>236</v>
      </c>
      <c r="B242" t="s">
        <v>2337</v>
      </c>
      <c r="C242" t="s">
        <v>2286</v>
      </c>
      <c r="D242" t="s">
        <v>93</v>
      </c>
      <c r="E242" t="s">
        <v>126</v>
      </c>
      <c r="F242">
        <v>71</v>
      </c>
      <c r="G242" s="4">
        <v>58</v>
      </c>
      <c r="H242" s="4">
        <v>73</v>
      </c>
      <c r="I242" s="4">
        <v>131</v>
      </c>
      <c r="J242" s="7">
        <v>168.47</v>
      </c>
    </row>
    <row r="243" spans="1:10" x14ac:dyDescent="0.25">
      <c r="A243">
        <v>237</v>
      </c>
      <c r="B243" t="s">
        <v>2180</v>
      </c>
      <c r="C243" t="s">
        <v>400</v>
      </c>
      <c r="D243" t="s">
        <v>94</v>
      </c>
      <c r="E243" t="s">
        <v>95</v>
      </c>
      <c r="F243">
        <v>64</v>
      </c>
      <c r="G243" s="4">
        <v>55</v>
      </c>
      <c r="H243" s="4">
        <v>70</v>
      </c>
      <c r="I243" s="4">
        <v>125</v>
      </c>
      <c r="J243" s="7">
        <v>168.46</v>
      </c>
    </row>
    <row r="244" spans="1:10" x14ac:dyDescent="0.25">
      <c r="A244">
        <v>238</v>
      </c>
      <c r="B244" t="s">
        <v>2004</v>
      </c>
      <c r="C244" t="s">
        <v>639</v>
      </c>
      <c r="D244" t="s">
        <v>89</v>
      </c>
      <c r="E244" t="s">
        <v>113</v>
      </c>
      <c r="F244">
        <v>71</v>
      </c>
      <c r="G244" s="4">
        <v>59</v>
      </c>
      <c r="H244" s="4">
        <v>75</v>
      </c>
      <c r="I244" s="4">
        <v>134</v>
      </c>
      <c r="J244" s="7">
        <v>168.44</v>
      </c>
    </row>
    <row r="245" spans="1:10" x14ac:dyDescent="0.25">
      <c r="A245">
        <v>239</v>
      </c>
      <c r="B245" t="s">
        <v>4170</v>
      </c>
      <c r="C245" t="s">
        <v>120</v>
      </c>
      <c r="D245" t="s">
        <v>93</v>
      </c>
      <c r="E245" t="s">
        <v>126</v>
      </c>
      <c r="F245" t="s">
        <v>135</v>
      </c>
      <c r="G245" s="4">
        <v>65</v>
      </c>
      <c r="H245" s="4">
        <v>90</v>
      </c>
      <c r="I245" s="4">
        <v>155</v>
      </c>
      <c r="J245" s="7">
        <v>168.37</v>
      </c>
    </row>
    <row r="246" spans="1:10" x14ac:dyDescent="0.25">
      <c r="A246">
        <v>240</v>
      </c>
      <c r="B246" t="s">
        <v>3778</v>
      </c>
      <c r="C246" t="s">
        <v>396</v>
      </c>
      <c r="D246" t="s">
        <v>93</v>
      </c>
      <c r="E246" t="s">
        <v>126</v>
      </c>
      <c r="F246">
        <v>59</v>
      </c>
      <c r="G246" s="4">
        <v>51</v>
      </c>
      <c r="H246" s="4">
        <v>72</v>
      </c>
      <c r="I246" s="4">
        <v>123</v>
      </c>
      <c r="J246" s="7">
        <v>168.3</v>
      </c>
    </row>
    <row r="247" spans="1:10" x14ac:dyDescent="0.25">
      <c r="A247">
        <v>241</v>
      </c>
      <c r="B247" t="s">
        <v>3110</v>
      </c>
      <c r="C247" t="s">
        <v>312</v>
      </c>
      <c r="D247" t="s">
        <v>89</v>
      </c>
      <c r="E247" t="s">
        <v>113</v>
      </c>
      <c r="F247">
        <v>64</v>
      </c>
      <c r="G247" s="4">
        <v>52</v>
      </c>
      <c r="H247" s="4">
        <v>73</v>
      </c>
      <c r="I247" s="4">
        <v>125</v>
      </c>
      <c r="J247" s="7">
        <v>167.93</v>
      </c>
    </row>
    <row r="248" spans="1:10" x14ac:dyDescent="0.25">
      <c r="A248">
        <v>242</v>
      </c>
      <c r="B248" t="s">
        <v>3407</v>
      </c>
      <c r="C248" t="s">
        <v>538</v>
      </c>
      <c r="D248" t="s">
        <v>93</v>
      </c>
      <c r="E248" t="s">
        <v>126</v>
      </c>
      <c r="F248">
        <v>59</v>
      </c>
      <c r="G248" s="4">
        <v>57</v>
      </c>
      <c r="H248" s="4">
        <v>63</v>
      </c>
      <c r="I248" s="4">
        <v>120</v>
      </c>
      <c r="J248" s="7">
        <v>167.93</v>
      </c>
    </row>
    <row r="249" spans="1:10" x14ac:dyDescent="0.25">
      <c r="A249">
        <v>243</v>
      </c>
      <c r="B249" t="s">
        <v>3474</v>
      </c>
      <c r="C249" t="s">
        <v>134</v>
      </c>
      <c r="D249" t="s">
        <v>93</v>
      </c>
      <c r="E249" t="s">
        <v>126</v>
      </c>
      <c r="F249">
        <v>64</v>
      </c>
      <c r="G249" s="4">
        <v>53</v>
      </c>
      <c r="H249" s="4">
        <v>73</v>
      </c>
      <c r="I249" s="4">
        <v>126</v>
      </c>
      <c r="J249" s="7">
        <v>167.88</v>
      </c>
    </row>
    <row r="250" spans="1:10" x14ac:dyDescent="0.25">
      <c r="A250">
        <v>244</v>
      </c>
      <c r="B250" t="s">
        <v>2569</v>
      </c>
      <c r="C250" t="s">
        <v>142</v>
      </c>
      <c r="D250" t="s">
        <v>93</v>
      </c>
      <c r="E250" t="s">
        <v>126</v>
      </c>
      <c r="F250">
        <v>71</v>
      </c>
      <c r="G250" s="4">
        <v>57</v>
      </c>
      <c r="H250" s="4">
        <v>76</v>
      </c>
      <c r="I250" s="4">
        <v>133</v>
      </c>
      <c r="J250" s="7">
        <v>167.8</v>
      </c>
    </row>
    <row r="251" spans="1:10" x14ac:dyDescent="0.25">
      <c r="A251">
        <v>245</v>
      </c>
      <c r="B251" t="s">
        <v>1525</v>
      </c>
      <c r="C251" t="s">
        <v>47</v>
      </c>
      <c r="D251" t="s">
        <v>94</v>
      </c>
      <c r="E251" t="s">
        <v>95</v>
      </c>
      <c r="F251">
        <v>55</v>
      </c>
      <c r="G251" s="4">
        <v>50</v>
      </c>
      <c r="H251" s="4">
        <v>65</v>
      </c>
      <c r="I251" s="4">
        <v>115</v>
      </c>
      <c r="J251" s="7">
        <v>167.41</v>
      </c>
    </row>
    <row r="252" spans="1:10" x14ac:dyDescent="0.25">
      <c r="A252">
        <v>246</v>
      </c>
      <c r="B252" t="s">
        <v>3896</v>
      </c>
      <c r="C252" t="s">
        <v>395</v>
      </c>
      <c r="D252" t="s">
        <v>89</v>
      </c>
      <c r="E252" t="s">
        <v>113</v>
      </c>
      <c r="F252">
        <v>71</v>
      </c>
      <c r="G252" s="4">
        <v>58</v>
      </c>
      <c r="H252" s="4">
        <v>77</v>
      </c>
      <c r="I252" s="4">
        <v>135</v>
      </c>
      <c r="J252" s="7">
        <v>167.33</v>
      </c>
    </row>
    <row r="253" spans="1:10" x14ac:dyDescent="0.25">
      <c r="A253">
        <v>247</v>
      </c>
      <c r="B253" t="s">
        <v>3379</v>
      </c>
      <c r="C253" t="s">
        <v>727</v>
      </c>
      <c r="D253" t="s">
        <v>93</v>
      </c>
      <c r="E253" t="s">
        <v>126</v>
      </c>
      <c r="F253">
        <v>64</v>
      </c>
      <c r="G253" s="4">
        <v>58</v>
      </c>
      <c r="H253" s="4">
        <v>70</v>
      </c>
      <c r="I253" s="4">
        <v>128</v>
      </c>
      <c r="J253" s="7">
        <v>167.31</v>
      </c>
    </row>
    <row r="254" spans="1:10" x14ac:dyDescent="0.25">
      <c r="A254">
        <v>248</v>
      </c>
      <c r="B254" t="s">
        <v>3063</v>
      </c>
      <c r="C254" t="s">
        <v>419</v>
      </c>
      <c r="D254" t="s">
        <v>89</v>
      </c>
      <c r="E254" t="s">
        <v>113</v>
      </c>
      <c r="F254" t="s">
        <v>135</v>
      </c>
      <c r="G254" s="4">
        <v>68</v>
      </c>
      <c r="H254" s="4">
        <v>85</v>
      </c>
      <c r="I254" s="4">
        <v>153</v>
      </c>
      <c r="J254" s="7">
        <v>167.31</v>
      </c>
    </row>
    <row r="255" spans="1:10" x14ac:dyDescent="0.25">
      <c r="A255">
        <v>249</v>
      </c>
      <c r="B255" t="s">
        <v>3697</v>
      </c>
      <c r="C255" t="s">
        <v>47</v>
      </c>
      <c r="D255" t="s">
        <v>94</v>
      </c>
      <c r="E255" t="s">
        <v>95</v>
      </c>
      <c r="F255">
        <v>64</v>
      </c>
      <c r="G255" s="4">
        <v>57</v>
      </c>
      <c r="H255" s="4">
        <v>70</v>
      </c>
      <c r="I255" s="4">
        <v>127</v>
      </c>
      <c r="J255" s="7">
        <v>167.2</v>
      </c>
    </row>
    <row r="256" spans="1:10" x14ac:dyDescent="0.25">
      <c r="A256">
        <v>250</v>
      </c>
      <c r="B256" t="s">
        <v>2730</v>
      </c>
      <c r="C256" t="s">
        <v>413</v>
      </c>
      <c r="D256" t="s">
        <v>94</v>
      </c>
      <c r="E256" t="s">
        <v>95</v>
      </c>
      <c r="F256">
        <v>64</v>
      </c>
      <c r="G256" s="4">
        <v>57</v>
      </c>
      <c r="H256" s="4">
        <v>70</v>
      </c>
      <c r="I256" s="4">
        <v>127</v>
      </c>
      <c r="J256" s="7">
        <v>167.07</v>
      </c>
    </row>
    <row r="257" spans="1:10" x14ac:dyDescent="0.25">
      <c r="A257">
        <v>251</v>
      </c>
      <c r="B257" t="s">
        <v>2574</v>
      </c>
      <c r="C257" t="s">
        <v>1004</v>
      </c>
      <c r="D257" t="s">
        <v>93</v>
      </c>
      <c r="E257" t="s">
        <v>126</v>
      </c>
      <c r="F257">
        <v>71</v>
      </c>
      <c r="G257" s="4">
        <v>63</v>
      </c>
      <c r="H257" s="4">
        <v>70</v>
      </c>
      <c r="I257" s="4">
        <v>133</v>
      </c>
      <c r="J257" s="7">
        <v>166.97</v>
      </c>
    </row>
    <row r="258" spans="1:10" x14ac:dyDescent="0.25">
      <c r="A258">
        <v>252</v>
      </c>
      <c r="B258" t="s">
        <v>1118</v>
      </c>
      <c r="C258" t="s">
        <v>766</v>
      </c>
      <c r="D258" t="s">
        <v>93</v>
      </c>
      <c r="E258" t="s">
        <v>126</v>
      </c>
      <c r="F258">
        <v>76</v>
      </c>
      <c r="G258" s="4">
        <v>60</v>
      </c>
      <c r="H258" s="4">
        <v>80</v>
      </c>
      <c r="I258" s="4">
        <v>140</v>
      </c>
      <c r="J258" s="7">
        <v>166.96</v>
      </c>
    </row>
    <row r="259" spans="1:10" x14ac:dyDescent="0.25">
      <c r="A259">
        <v>253</v>
      </c>
      <c r="B259" t="s">
        <v>2495</v>
      </c>
      <c r="C259" t="s">
        <v>120</v>
      </c>
      <c r="D259" t="s">
        <v>89</v>
      </c>
      <c r="E259" t="s">
        <v>113</v>
      </c>
      <c r="F259">
        <v>81</v>
      </c>
      <c r="G259" s="4">
        <v>65</v>
      </c>
      <c r="H259" s="4">
        <v>80</v>
      </c>
      <c r="I259" s="4">
        <v>145</v>
      </c>
      <c r="J259" s="7">
        <v>166.85</v>
      </c>
    </row>
    <row r="260" spans="1:10" x14ac:dyDescent="0.25">
      <c r="A260">
        <v>254</v>
      </c>
      <c r="B260" t="s">
        <v>2174</v>
      </c>
      <c r="C260" t="s">
        <v>161</v>
      </c>
      <c r="D260" t="s">
        <v>93</v>
      </c>
      <c r="E260" t="s">
        <v>126</v>
      </c>
      <c r="F260">
        <v>59</v>
      </c>
      <c r="G260" s="4">
        <v>55</v>
      </c>
      <c r="H260" s="4">
        <v>65</v>
      </c>
      <c r="I260" s="4">
        <v>120</v>
      </c>
      <c r="J260" s="7">
        <v>166.06</v>
      </c>
    </row>
    <row r="261" spans="1:10" x14ac:dyDescent="0.25">
      <c r="A261">
        <v>255</v>
      </c>
      <c r="B261" t="s">
        <v>2665</v>
      </c>
      <c r="C261" t="s">
        <v>394</v>
      </c>
      <c r="D261" t="s">
        <v>93</v>
      </c>
      <c r="E261" t="s">
        <v>126</v>
      </c>
      <c r="F261">
        <v>59</v>
      </c>
      <c r="G261" s="4">
        <v>53</v>
      </c>
      <c r="H261" s="4">
        <v>68</v>
      </c>
      <c r="I261" s="4">
        <v>121</v>
      </c>
      <c r="J261" s="7">
        <v>165.74</v>
      </c>
    </row>
    <row r="262" spans="1:10" x14ac:dyDescent="0.25">
      <c r="A262">
        <v>256</v>
      </c>
      <c r="B262" t="s">
        <v>3686</v>
      </c>
      <c r="C262" t="s">
        <v>120</v>
      </c>
      <c r="D262" t="s">
        <v>93</v>
      </c>
      <c r="E262" t="s">
        <v>126</v>
      </c>
      <c r="F262">
        <v>64</v>
      </c>
      <c r="G262" s="4">
        <v>55</v>
      </c>
      <c r="H262" s="4">
        <v>72</v>
      </c>
      <c r="I262" s="4">
        <v>127</v>
      </c>
      <c r="J262" s="7">
        <v>165.44</v>
      </c>
    </row>
    <row r="263" spans="1:10" x14ac:dyDescent="0.25">
      <c r="A263">
        <v>257</v>
      </c>
      <c r="B263" t="s">
        <v>2701</v>
      </c>
      <c r="C263" t="s">
        <v>478</v>
      </c>
      <c r="D263" t="s">
        <v>89</v>
      </c>
      <c r="E263" t="s">
        <v>113</v>
      </c>
      <c r="F263">
        <v>49</v>
      </c>
      <c r="G263" s="4">
        <v>45</v>
      </c>
      <c r="H263" s="4">
        <v>60</v>
      </c>
      <c r="I263" s="4">
        <v>105</v>
      </c>
      <c r="J263" s="7">
        <v>165.28</v>
      </c>
    </row>
    <row r="264" spans="1:10" x14ac:dyDescent="0.25">
      <c r="A264">
        <v>258</v>
      </c>
      <c r="B264" t="s">
        <v>2974</v>
      </c>
      <c r="C264" t="s">
        <v>787</v>
      </c>
      <c r="D264" t="s">
        <v>93</v>
      </c>
      <c r="E264" t="s">
        <v>126</v>
      </c>
      <c r="F264">
        <v>59</v>
      </c>
      <c r="G264" s="4">
        <v>53</v>
      </c>
      <c r="H264" s="4">
        <v>65</v>
      </c>
      <c r="I264" s="4">
        <v>118</v>
      </c>
      <c r="J264" s="7">
        <v>165.21</v>
      </c>
    </row>
    <row r="265" spans="1:10" x14ac:dyDescent="0.25">
      <c r="A265">
        <v>259</v>
      </c>
      <c r="B265" t="s">
        <v>1792</v>
      </c>
      <c r="C265" t="s">
        <v>194</v>
      </c>
      <c r="D265" t="s">
        <v>93</v>
      </c>
      <c r="E265" t="s">
        <v>126</v>
      </c>
      <c r="F265">
        <v>55</v>
      </c>
      <c r="G265" s="4">
        <v>50</v>
      </c>
      <c r="H265" s="4">
        <v>63</v>
      </c>
      <c r="I265" s="4">
        <v>113</v>
      </c>
      <c r="J265" s="7">
        <v>165.16</v>
      </c>
    </row>
    <row r="266" spans="1:10" x14ac:dyDescent="0.25">
      <c r="A266">
        <v>260</v>
      </c>
      <c r="B266" t="s">
        <v>192</v>
      </c>
      <c r="C266" t="s">
        <v>194</v>
      </c>
      <c r="D266" t="s">
        <v>93</v>
      </c>
      <c r="E266" t="s">
        <v>126</v>
      </c>
      <c r="F266">
        <v>59</v>
      </c>
      <c r="G266" s="4">
        <v>53</v>
      </c>
      <c r="H266" s="4">
        <v>66</v>
      </c>
      <c r="I266" s="4">
        <v>119</v>
      </c>
      <c r="J266" s="7">
        <v>164.86</v>
      </c>
    </row>
    <row r="267" spans="1:10" x14ac:dyDescent="0.25">
      <c r="A267">
        <v>261</v>
      </c>
      <c r="B267" t="s">
        <v>2960</v>
      </c>
      <c r="C267" t="s">
        <v>312</v>
      </c>
      <c r="D267" t="s">
        <v>94</v>
      </c>
      <c r="E267" t="s">
        <v>95</v>
      </c>
      <c r="F267">
        <v>59</v>
      </c>
      <c r="G267" s="4">
        <v>53</v>
      </c>
      <c r="H267" s="4">
        <v>64</v>
      </c>
      <c r="I267" s="4">
        <v>117</v>
      </c>
      <c r="J267" s="7">
        <v>164.4</v>
      </c>
    </row>
    <row r="268" spans="1:10" x14ac:dyDescent="0.25">
      <c r="A268">
        <v>262</v>
      </c>
      <c r="B268" t="s">
        <v>885</v>
      </c>
      <c r="C268" t="s">
        <v>400</v>
      </c>
      <c r="D268" t="s">
        <v>94</v>
      </c>
      <c r="E268" t="s">
        <v>95</v>
      </c>
      <c r="F268">
        <v>55</v>
      </c>
      <c r="G268" s="4">
        <v>52</v>
      </c>
      <c r="H268" s="4">
        <v>58</v>
      </c>
      <c r="I268" s="4">
        <v>110</v>
      </c>
      <c r="J268" s="7">
        <v>164.38</v>
      </c>
    </row>
    <row r="269" spans="1:10" x14ac:dyDescent="0.25">
      <c r="A269">
        <v>263</v>
      </c>
      <c r="B269" t="s">
        <v>3204</v>
      </c>
      <c r="C269" t="s">
        <v>78</v>
      </c>
      <c r="D269" t="s">
        <v>89</v>
      </c>
      <c r="E269" t="s">
        <v>113</v>
      </c>
      <c r="F269">
        <v>76</v>
      </c>
      <c r="G269" s="4">
        <v>60</v>
      </c>
      <c r="H269" s="4">
        <v>77</v>
      </c>
      <c r="I269" s="4">
        <v>137</v>
      </c>
      <c r="J269" s="7">
        <v>164.38</v>
      </c>
    </row>
    <row r="270" spans="1:10" x14ac:dyDescent="0.25">
      <c r="A270">
        <v>264</v>
      </c>
      <c r="B270" t="s">
        <v>1559</v>
      </c>
      <c r="C270" t="s">
        <v>300</v>
      </c>
      <c r="D270" t="s">
        <v>98</v>
      </c>
      <c r="E270" t="s">
        <v>57</v>
      </c>
      <c r="F270">
        <v>59</v>
      </c>
      <c r="G270" s="4">
        <v>56</v>
      </c>
      <c r="H270" s="4">
        <v>64</v>
      </c>
      <c r="I270" s="4">
        <v>120</v>
      </c>
      <c r="J270" s="7">
        <v>164.19</v>
      </c>
    </row>
    <row r="271" spans="1:10" x14ac:dyDescent="0.25">
      <c r="A271">
        <v>265</v>
      </c>
      <c r="B271" t="s">
        <v>1831</v>
      </c>
      <c r="C271" t="s">
        <v>394</v>
      </c>
      <c r="D271" t="s">
        <v>64</v>
      </c>
      <c r="E271" t="s">
        <v>126</v>
      </c>
      <c r="F271">
        <v>64</v>
      </c>
      <c r="G271" s="4">
        <v>55</v>
      </c>
      <c r="H271" s="4">
        <v>66</v>
      </c>
      <c r="I271" s="4">
        <v>121</v>
      </c>
      <c r="J271" s="7">
        <v>164.12</v>
      </c>
    </row>
    <row r="272" spans="1:10" x14ac:dyDescent="0.25">
      <c r="A272">
        <v>266</v>
      </c>
      <c r="B272" t="s">
        <v>1490</v>
      </c>
      <c r="C272" t="s">
        <v>161</v>
      </c>
      <c r="D272" t="s">
        <v>93</v>
      </c>
      <c r="E272" t="s">
        <v>126</v>
      </c>
      <c r="F272">
        <v>55</v>
      </c>
      <c r="G272" s="4">
        <v>50</v>
      </c>
      <c r="H272" s="4">
        <v>63</v>
      </c>
      <c r="I272" s="4">
        <v>113</v>
      </c>
      <c r="J272" s="7">
        <v>163.63999999999999</v>
      </c>
    </row>
    <row r="273" spans="1:10" x14ac:dyDescent="0.25">
      <c r="A273">
        <v>267</v>
      </c>
      <c r="B273" t="s">
        <v>4076</v>
      </c>
      <c r="C273" t="s">
        <v>386</v>
      </c>
      <c r="D273" t="s">
        <v>94</v>
      </c>
      <c r="E273" t="s">
        <v>95</v>
      </c>
      <c r="F273">
        <v>55</v>
      </c>
      <c r="G273" s="4">
        <v>49</v>
      </c>
      <c r="H273" s="4">
        <v>64</v>
      </c>
      <c r="I273" s="4">
        <v>113</v>
      </c>
      <c r="J273" s="7">
        <v>163.63999999999999</v>
      </c>
    </row>
    <row r="274" spans="1:10" x14ac:dyDescent="0.25">
      <c r="A274">
        <v>268</v>
      </c>
      <c r="B274" t="s">
        <v>2589</v>
      </c>
      <c r="C274" t="s">
        <v>120</v>
      </c>
      <c r="D274" t="s">
        <v>93</v>
      </c>
      <c r="E274" t="s">
        <v>126</v>
      </c>
      <c r="F274">
        <v>71</v>
      </c>
      <c r="G274" s="4">
        <v>58</v>
      </c>
      <c r="H274" s="4">
        <v>75</v>
      </c>
      <c r="I274" s="4">
        <v>133</v>
      </c>
      <c r="J274" s="7">
        <v>163.47</v>
      </c>
    </row>
    <row r="275" spans="1:10" x14ac:dyDescent="0.25">
      <c r="A275">
        <v>269</v>
      </c>
      <c r="B275" t="s">
        <v>3800</v>
      </c>
      <c r="C275" t="s">
        <v>691</v>
      </c>
      <c r="D275" t="s">
        <v>89</v>
      </c>
      <c r="E275" t="s">
        <v>113</v>
      </c>
      <c r="F275">
        <v>64</v>
      </c>
      <c r="G275" s="4">
        <v>53</v>
      </c>
      <c r="H275" s="4">
        <v>70</v>
      </c>
      <c r="I275" s="4">
        <v>123</v>
      </c>
      <c r="J275" s="7">
        <v>162.41</v>
      </c>
    </row>
    <row r="276" spans="1:10" x14ac:dyDescent="0.25">
      <c r="A276">
        <v>270</v>
      </c>
      <c r="B276" t="s">
        <v>3795</v>
      </c>
      <c r="C276" t="s">
        <v>639</v>
      </c>
      <c r="D276" t="s">
        <v>89</v>
      </c>
      <c r="E276" t="s">
        <v>113</v>
      </c>
      <c r="F276">
        <v>64</v>
      </c>
      <c r="G276" s="4">
        <v>59</v>
      </c>
      <c r="H276" s="4">
        <v>65</v>
      </c>
      <c r="I276" s="4">
        <v>124</v>
      </c>
      <c r="J276" s="7">
        <v>161.84</v>
      </c>
    </row>
    <row r="277" spans="1:10" x14ac:dyDescent="0.25">
      <c r="A277">
        <v>271</v>
      </c>
      <c r="B277" t="s">
        <v>3291</v>
      </c>
      <c r="C277" t="s">
        <v>449</v>
      </c>
      <c r="D277" t="s">
        <v>94</v>
      </c>
      <c r="E277" t="s">
        <v>57</v>
      </c>
      <c r="F277">
        <v>49</v>
      </c>
      <c r="G277" s="4">
        <v>43</v>
      </c>
      <c r="H277" s="4">
        <v>60</v>
      </c>
      <c r="I277" s="4">
        <v>103</v>
      </c>
      <c r="J277" s="7">
        <v>161.79</v>
      </c>
    </row>
    <row r="278" spans="1:10" x14ac:dyDescent="0.25">
      <c r="A278">
        <v>272</v>
      </c>
      <c r="B278" t="s">
        <v>3442</v>
      </c>
      <c r="C278" t="s">
        <v>478</v>
      </c>
      <c r="D278" t="s">
        <v>93</v>
      </c>
      <c r="E278" t="s">
        <v>126</v>
      </c>
      <c r="F278">
        <v>59</v>
      </c>
      <c r="G278" s="4">
        <v>47</v>
      </c>
      <c r="H278" s="4">
        <v>70</v>
      </c>
      <c r="I278" s="4">
        <v>117</v>
      </c>
      <c r="J278" s="7">
        <v>161.38999999999999</v>
      </c>
    </row>
    <row r="279" spans="1:10" x14ac:dyDescent="0.25">
      <c r="A279">
        <v>273</v>
      </c>
      <c r="B279" t="s">
        <v>3448</v>
      </c>
      <c r="C279" t="s">
        <v>327</v>
      </c>
      <c r="D279" t="s">
        <v>93</v>
      </c>
      <c r="E279" t="s">
        <v>126</v>
      </c>
      <c r="F279">
        <v>55</v>
      </c>
      <c r="G279" s="4">
        <v>50</v>
      </c>
      <c r="H279" s="4">
        <v>61</v>
      </c>
      <c r="I279" s="4">
        <v>111</v>
      </c>
      <c r="J279" s="7">
        <v>161.13999999999999</v>
      </c>
    </row>
    <row r="280" spans="1:10" x14ac:dyDescent="0.25">
      <c r="A280">
        <v>274</v>
      </c>
      <c r="B280" t="s">
        <v>2634</v>
      </c>
      <c r="C280" t="s">
        <v>271</v>
      </c>
      <c r="D280" t="s">
        <v>93</v>
      </c>
      <c r="E280" t="s">
        <v>126</v>
      </c>
      <c r="F280">
        <v>71</v>
      </c>
      <c r="G280" s="4">
        <v>57</v>
      </c>
      <c r="H280" s="4">
        <v>73</v>
      </c>
      <c r="I280" s="4">
        <v>130</v>
      </c>
      <c r="J280" s="7">
        <v>161.01</v>
      </c>
    </row>
    <row r="281" spans="1:10" x14ac:dyDescent="0.25">
      <c r="A281">
        <v>275</v>
      </c>
      <c r="B281" t="s">
        <v>447</v>
      </c>
      <c r="C281" t="s">
        <v>449</v>
      </c>
      <c r="D281" t="s">
        <v>94</v>
      </c>
      <c r="E281" t="s">
        <v>57</v>
      </c>
      <c r="F281">
        <v>45</v>
      </c>
      <c r="G281" s="4">
        <v>40</v>
      </c>
      <c r="H281" s="4">
        <v>53</v>
      </c>
      <c r="I281" s="4">
        <v>93</v>
      </c>
      <c r="J281" s="7">
        <v>160.91</v>
      </c>
    </row>
    <row r="282" spans="1:10" x14ac:dyDescent="0.25">
      <c r="A282">
        <v>276</v>
      </c>
      <c r="B282" t="s">
        <v>2818</v>
      </c>
      <c r="C282" t="s">
        <v>335</v>
      </c>
      <c r="D282" t="s">
        <v>93</v>
      </c>
      <c r="E282" t="s">
        <v>126</v>
      </c>
      <c r="F282">
        <v>55</v>
      </c>
      <c r="G282" s="4">
        <v>45</v>
      </c>
      <c r="H282" s="4">
        <v>65</v>
      </c>
      <c r="I282" s="4">
        <v>110</v>
      </c>
      <c r="J282" s="7">
        <v>159.91999999999999</v>
      </c>
    </row>
    <row r="283" spans="1:10" x14ac:dyDescent="0.25">
      <c r="A283">
        <v>277</v>
      </c>
      <c r="B283" t="s">
        <v>2351</v>
      </c>
      <c r="C283" t="s">
        <v>937</v>
      </c>
      <c r="D283" t="s">
        <v>94</v>
      </c>
      <c r="E283" t="s">
        <v>95</v>
      </c>
      <c r="F283">
        <v>59</v>
      </c>
      <c r="G283" s="4">
        <v>48</v>
      </c>
      <c r="H283" s="4">
        <v>67</v>
      </c>
      <c r="I283" s="4">
        <v>115</v>
      </c>
      <c r="J283" s="7">
        <v>159.91</v>
      </c>
    </row>
    <row r="284" spans="1:10" x14ac:dyDescent="0.25">
      <c r="A284">
        <v>278</v>
      </c>
      <c r="B284" t="s">
        <v>2487</v>
      </c>
      <c r="C284" t="s">
        <v>134</v>
      </c>
      <c r="D284" t="s">
        <v>94</v>
      </c>
      <c r="E284" t="s">
        <v>95</v>
      </c>
      <c r="F284">
        <v>64</v>
      </c>
      <c r="G284" s="4">
        <v>58</v>
      </c>
      <c r="H284" s="4">
        <v>62</v>
      </c>
      <c r="I284" s="4">
        <v>120</v>
      </c>
      <c r="J284" s="7">
        <v>159.75</v>
      </c>
    </row>
    <row r="285" spans="1:10" x14ac:dyDescent="0.25">
      <c r="A285">
        <v>279</v>
      </c>
      <c r="B285" t="s">
        <v>2183</v>
      </c>
      <c r="C285" t="s">
        <v>427</v>
      </c>
      <c r="D285" t="s">
        <v>93</v>
      </c>
      <c r="E285" t="s">
        <v>126</v>
      </c>
      <c r="F285" t="s">
        <v>135</v>
      </c>
      <c r="G285" s="4">
        <v>63</v>
      </c>
      <c r="H285" s="4">
        <v>85</v>
      </c>
      <c r="I285" s="4">
        <v>148</v>
      </c>
      <c r="J285" s="7">
        <v>159.65</v>
      </c>
    </row>
    <row r="286" spans="1:10" x14ac:dyDescent="0.25">
      <c r="A286">
        <v>280</v>
      </c>
      <c r="B286" t="s">
        <v>2845</v>
      </c>
      <c r="C286" t="s">
        <v>335</v>
      </c>
      <c r="D286" t="s">
        <v>64</v>
      </c>
      <c r="E286" t="s">
        <v>126</v>
      </c>
      <c r="F286">
        <v>64</v>
      </c>
      <c r="G286" s="4">
        <v>52</v>
      </c>
      <c r="H286" s="4">
        <v>66</v>
      </c>
      <c r="I286" s="4">
        <v>118</v>
      </c>
      <c r="J286" s="7">
        <v>159.36000000000001</v>
      </c>
    </row>
    <row r="287" spans="1:10" x14ac:dyDescent="0.25">
      <c r="A287">
        <v>281</v>
      </c>
      <c r="B287" t="s">
        <v>1512</v>
      </c>
      <c r="C287" t="s">
        <v>289</v>
      </c>
      <c r="D287" t="s">
        <v>94</v>
      </c>
      <c r="E287" t="s">
        <v>57</v>
      </c>
      <c r="F287">
        <v>55</v>
      </c>
      <c r="G287" s="4">
        <v>48</v>
      </c>
      <c r="H287" s="4">
        <v>56</v>
      </c>
      <c r="I287" s="4">
        <v>104</v>
      </c>
      <c r="J287" s="7">
        <v>159.22999999999999</v>
      </c>
    </row>
    <row r="288" spans="1:10" x14ac:dyDescent="0.25">
      <c r="A288">
        <v>282</v>
      </c>
      <c r="B288" t="s">
        <v>3384</v>
      </c>
      <c r="C288" t="s">
        <v>386</v>
      </c>
      <c r="D288" t="s">
        <v>93</v>
      </c>
      <c r="E288" t="s">
        <v>126</v>
      </c>
      <c r="F288">
        <v>64</v>
      </c>
      <c r="G288" s="4">
        <v>50</v>
      </c>
      <c r="H288" s="4">
        <v>72</v>
      </c>
      <c r="I288" s="4">
        <v>122</v>
      </c>
      <c r="J288" s="7">
        <v>158.93</v>
      </c>
    </row>
    <row r="289" spans="1:10" x14ac:dyDescent="0.25">
      <c r="A289">
        <v>283</v>
      </c>
      <c r="B289" t="s">
        <v>2867</v>
      </c>
      <c r="C289" t="s">
        <v>331</v>
      </c>
      <c r="D289" t="s">
        <v>64</v>
      </c>
      <c r="E289" t="s">
        <v>126</v>
      </c>
      <c r="F289">
        <v>71</v>
      </c>
      <c r="G289" s="4">
        <v>58</v>
      </c>
      <c r="H289" s="4">
        <v>65</v>
      </c>
      <c r="I289" s="4">
        <v>123</v>
      </c>
      <c r="J289" s="7">
        <v>158.9</v>
      </c>
    </row>
    <row r="290" spans="1:10" x14ac:dyDescent="0.25">
      <c r="A290">
        <v>284</v>
      </c>
      <c r="B290" t="s">
        <v>2468</v>
      </c>
      <c r="C290" t="s">
        <v>449</v>
      </c>
      <c r="D290" t="s">
        <v>94</v>
      </c>
      <c r="E290" t="s">
        <v>95</v>
      </c>
      <c r="F290">
        <v>76</v>
      </c>
      <c r="G290" s="4">
        <v>60</v>
      </c>
      <c r="H290" s="4">
        <v>73</v>
      </c>
      <c r="I290" s="4">
        <v>133</v>
      </c>
      <c r="J290" s="7">
        <v>158.52000000000001</v>
      </c>
    </row>
    <row r="291" spans="1:10" x14ac:dyDescent="0.25">
      <c r="A291">
        <v>285</v>
      </c>
      <c r="B291" t="s">
        <v>1411</v>
      </c>
      <c r="C291" t="s">
        <v>419</v>
      </c>
      <c r="D291" t="s">
        <v>93</v>
      </c>
      <c r="E291" t="s">
        <v>113</v>
      </c>
      <c r="F291">
        <v>59</v>
      </c>
      <c r="G291" s="4">
        <v>50</v>
      </c>
      <c r="H291" s="4">
        <v>63</v>
      </c>
      <c r="I291" s="4">
        <v>113</v>
      </c>
      <c r="J291" s="7">
        <v>157.5</v>
      </c>
    </row>
    <row r="292" spans="1:10" x14ac:dyDescent="0.25">
      <c r="A292">
        <v>286</v>
      </c>
      <c r="B292" t="s">
        <v>612</v>
      </c>
      <c r="C292" t="s">
        <v>615</v>
      </c>
      <c r="D292" t="s">
        <v>93</v>
      </c>
      <c r="E292" t="s">
        <v>126</v>
      </c>
      <c r="F292">
        <v>59</v>
      </c>
      <c r="G292" s="4">
        <v>50</v>
      </c>
      <c r="H292" s="4">
        <v>62</v>
      </c>
      <c r="I292" s="4">
        <v>112</v>
      </c>
      <c r="J292" s="7">
        <v>156.81</v>
      </c>
    </row>
    <row r="293" spans="1:10" x14ac:dyDescent="0.25">
      <c r="A293">
        <v>287</v>
      </c>
      <c r="B293" t="s">
        <v>2442</v>
      </c>
      <c r="C293" t="s">
        <v>478</v>
      </c>
      <c r="D293" t="s">
        <v>89</v>
      </c>
      <c r="E293" t="s">
        <v>113</v>
      </c>
      <c r="F293">
        <v>87</v>
      </c>
      <c r="G293" s="4">
        <v>65</v>
      </c>
      <c r="H293" s="4">
        <v>75</v>
      </c>
      <c r="I293" s="4">
        <v>140</v>
      </c>
      <c r="J293" s="7">
        <v>156.56</v>
      </c>
    </row>
    <row r="294" spans="1:10" x14ac:dyDescent="0.25">
      <c r="A294">
        <v>288</v>
      </c>
      <c r="B294" t="s">
        <v>2963</v>
      </c>
      <c r="C294" t="s">
        <v>544</v>
      </c>
      <c r="D294" t="s">
        <v>94</v>
      </c>
      <c r="E294" t="s">
        <v>57</v>
      </c>
      <c r="F294">
        <v>45</v>
      </c>
      <c r="G294" s="4">
        <v>41</v>
      </c>
      <c r="H294" s="4">
        <v>47</v>
      </c>
      <c r="I294" s="4">
        <v>88</v>
      </c>
      <c r="J294" s="7">
        <v>156.15</v>
      </c>
    </row>
    <row r="295" spans="1:10" x14ac:dyDescent="0.25">
      <c r="A295">
        <v>289</v>
      </c>
      <c r="B295" t="s">
        <v>1005</v>
      </c>
      <c r="C295" t="s">
        <v>482</v>
      </c>
      <c r="D295" t="s">
        <v>93</v>
      </c>
      <c r="E295" t="s">
        <v>126</v>
      </c>
      <c r="F295">
        <v>59</v>
      </c>
      <c r="G295" s="4">
        <v>50</v>
      </c>
      <c r="H295" s="4">
        <v>64</v>
      </c>
      <c r="I295" s="4">
        <v>114</v>
      </c>
      <c r="J295" s="7">
        <v>155.97999999999999</v>
      </c>
    </row>
    <row r="296" spans="1:10" x14ac:dyDescent="0.25">
      <c r="A296">
        <v>290</v>
      </c>
      <c r="B296" t="s">
        <v>3159</v>
      </c>
      <c r="C296" t="s">
        <v>2051</v>
      </c>
      <c r="D296" t="s">
        <v>89</v>
      </c>
      <c r="E296" t="s">
        <v>113</v>
      </c>
      <c r="F296">
        <v>55</v>
      </c>
      <c r="G296" s="4">
        <v>52</v>
      </c>
      <c r="H296" s="4">
        <v>56</v>
      </c>
      <c r="I296" s="4">
        <v>108</v>
      </c>
      <c r="J296" s="7">
        <v>155.28</v>
      </c>
    </row>
    <row r="297" spans="1:10" x14ac:dyDescent="0.25">
      <c r="A297">
        <v>291</v>
      </c>
      <c r="B297" t="s">
        <v>1706</v>
      </c>
      <c r="C297" t="s">
        <v>134</v>
      </c>
      <c r="D297" t="s">
        <v>93</v>
      </c>
      <c r="E297" t="s">
        <v>113</v>
      </c>
      <c r="F297">
        <v>55</v>
      </c>
      <c r="G297" s="4">
        <v>46</v>
      </c>
      <c r="H297" s="4">
        <v>54</v>
      </c>
      <c r="I297" s="4">
        <v>100</v>
      </c>
      <c r="J297" s="7">
        <v>154.11000000000001</v>
      </c>
    </row>
    <row r="298" spans="1:10" x14ac:dyDescent="0.25">
      <c r="A298">
        <v>292</v>
      </c>
      <c r="B298" t="s">
        <v>4111</v>
      </c>
      <c r="C298" t="s">
        <v>416</v>
      </c>
      <c r="D298" t="s">
        <v>89</v>
      </c>
      <c r="E298" t="s">
        <v>95</v>
      </c>
      <c r="F298">
        <v>55</v>
      </c>
      <c r="G298" s="4">
        <v>49</v>
      </c>
      <c r="H298" s="4">
        <v>56</v>
      </c>
      <c r="I298" s="4">
        <v>105</v>
      </c>
      <c r="J298" s="7">
        <v>154.05000000000001</v>
      </c>
    </row>
    <row r="299" spans="1:10" x14ac:dyDescent="0.25">
      <c r="A299">
        <v>293</v>
      </c>
      <c r="B299" t="s">
        <v>4080</v>
      </c>
      <c r="C299" t="s">
        <v>255</v>
      </c>
      <c r="D299" t="s">
        <v>94</v>
      </c>
      <c r="E299" t="s">
        <v>57</v>
      </c>
      <c r="F299">
        <v>55</v>
      </c>
      <c r="G299" s="4">
        <v>46</v>
      </c>
      <c r="H299" s="4">
        <v>58</v>
      </c>
      <c r="I299" s="4">
        <v>104</v>
      </c>
      <c r="J299" s="7">
        <v>153.85</v>
      </c>
    </row>
    <row r="300" spans="1:10" x14ac:dyDescent="0.25">
      <c r="A300">
        <v>294</v>
      </c>
      <c r="B300" t="s">
        <v>3721</v>
      </c>
      <c r="C300" t="s">
        <v>606</v>
      </c>
      <c r="D300" t="s">
        <v>64</v>
      </c>
      <c r="E300" t="s">
        <v>126</v>
      </c>
      <c r="F300">
        <v>71</v>
      </c>
      <c r="G300" s="4">
        <v>50</v>
      </c>
      <c r="H300" s="4">
        <v>70</v>
      </c>
      <c r="I300" s="4">
        <v>120</v>
      </c>
      <c r="J300" s="7">
        <v>153.5</v>
      </c>
    </row>
    <row r="301" spans="1:10" x14ac:dyDescent="0.25">
      <c r="A301">
        <v>295</v>
      </c>
      <c r="B301" t="s">
        <v>2511</v>
      </c>
      <c r="C301" t="s">
        <v>687</v>
      </c>
      <c r="D301" t="s">
        <v>94</v>
      </c>
      <c r="E301" t="s">
        <v>57</v>
      </c>
      <c r="F301">
        <v>45</v>
      </c>
      <c r="G301" s="4">
        <v>40</v>
      </c>
      <c r="H301" s="4">
        <v>50</v>
      </c>
      <c r="I301" s="4">
        <v>90</v>
      </c>
      <c r="J301" s="7">
        <v>153.38</v>
      </c>
    </row>
    <row r="302" spans="1:10" x14ac:dyDescent="0.25">
      <c r="A302">
        <v>296</v>
      </c>
      <c r="B302" t="s">
        <v>3272</v>
      </c>
      <c r="C302" t="s">
        <v>386</v>
      </c>
      <c r="D302" t="s">
        <v>89</v>
      </c>
      <c r="E302" t="s">
        <v>95</v>
      </c>
      <c r="F302">
        <v>49</v>
      </c>
      <c r="G302" s="4">
        <v>43</v>
      </c>
      <c r="H302" s="4">
        <v>54</v>
      </c>
      <c r="I302" s="4">
        <v>97</v>
      </c>
      <c r="J302" s="7">
        <v>153.01</v>
      </c>
    </row>
    <row r="303" spans="1:10" x14ac:dyDescent="0.25">
      <c r="A303">
        <v>297</v>
      </c>
      <c r="B303" t="s">
        <v>2298</v>
      </c>
      <c r="C303" t="s">
        <v>2051</v>
      </c>
      <c r="D303" t="s">
        <v>89</v>
      </c>
      <c r="E303" t="s">
        <v>95</v>
      </c>
      <c r="F303">
        <v>64</v>
      </c>
      <c r="G303" s="4">
        <v>51</v>
      </c>
      <c r="H303" s="4">
        <v>66</v>
      </c>
      <c r="I303" s="4">
        <v>117</v>
      </c>
      <c r="J303" s="7">
        <v>152.66999999999999</v>
      </c>
    </row>
    <row r="304" spans="1:10" x14ac:dyDescent="0.25">
      <c r="A304">
        <v>298</v>
      </c>
      <c r="B304" t="s">
        <v>3626</v>
      </c>
      <c r="C304" t="s">
        <v>258</v>
      </c>
      <c r="D304" t="s">
        <v>64</v>
      </c>
      <c r="E304" t="s">
        <v>126</v>
      </c>
      <c r="F304">
        <v>71</v>
      </c>
      <c r="G304" s="4">
        <v>57</v>
      </c>
      <c r="H304" s="4">
        <v>67</v>
      </c>
      <c r="I304" s="4">
        <v>124</v>
      </c>
      <c r="J304" s="7">
        <v>152.52000000000001</v>
      </c>
    </row>
    <row r="305" spans="1:10" x14ac:dyDescent="0.25">
      <c r="A305">
        <v>299</v>
      </c>
      <c r="B305" t="s">
        <v>4179</v>
      </c>
      <c r="C305" t="s">
        <v>544</v>
      </c>
      <c r="D305" t="s">
        <v>94</v>
      </c>
      <c r="E305" t="s">
        <v>57</v>
      </c>
      <c r="F305">
        <v>45</v>
      </c>
      <c r="G305" s="4">
        <v>42</v>
      </c>
      <c r="H305" s="4">
        <v>48</v>
      </c>
      <c r="I305" s="4">
        <v>90</v>
      </c>
      <c r="J305" s="7">
        <v>152.49</v>
      </c>
    </row>
    <row r="306" spans="1:10" x14ac:dyDescent="0.25">
      <c r="A306">
        <v>300</v>
      </c>
      <c r="B306" t="s">
        <v>3621</v>
      </c>
      <c r="C306" t="s">
        <v>427</v>
      </c>
      <c r="D306" t="s">
        <v>64</v>
      </c>
      <c r="E306" t="s">
        <v>126</v>
      </c>
      <c r="F306">
        <v>59</v>
      </c>
      <c r="G306" s="4">
        <v>50</v>
      </c>
      <c r="H306" s="4">
        <v>60</v>
      </c>
      <c r="I306" s="4">
        <v>110</v>
      </c>
      <c r="J306" s="7">
        <v>151.87</v>
      </c>
    </row>
    <row r="307" spans="1:10" x14ac:dyDescent="0.25">
      <c r="A307">
        <v>301</v>
      </c>
      <c r="B307" t="s">
        <v>4355</v>
      </c>
      <c r="C307" t="s">
        <v>161</v>
      </c>
      <c r="D307" t="s">
        <v>93</v>
      </c>
      <c r="E307" t="s">
        <v>113</v>
      </c>
      <c r="F307">
        <v>64</v>
      </c>
      <c r="G307" s="4">
        <v>50</v>
      </c>
      <c r="H307" s="4">
        <v>66</v>
      </c>
      <c r="I307" s="4">
        <v>116</v>
      </c>
      <c r="J307" s="7">
        <v>151.54</v>
      </c>
    </row>
    <row r="308" spans="1:10" x14ac:dyDescent="0.25">
      <c r="A308">
        <v>302</v>
      </c>
      <c r="B308" t="s">
        <v>3425</v>
      </c>
      <c r="C308" t="s">
        <v>168</v>
      </c>
      <c r="D308" t="s">
        <v>93</v>
      </c>
      <c r="E308" t="s">
        <v>113</v>
      </c>
      <c r="F308">
        <v>59</v>
      </c>
      <c r="G308" s="4">
        <v>50</v>
      </c>
      <c r="H308" s="4">
        <v>60</v>
      </c>
      <c r="I308" s="4">
        <v>110</v>
      </c>
      <c r="J308" s="7">
        <v>151.27000000000001</v>
      </c>
    </row>
    <row r="309" spans="1:10" x14ac:dyDescent="0.25">
      <c r="A309">
        <v>303</v>
      </c>
      <c r="B309" t="s">
        <v>3577</v>
      </c>
      <c r="C309" t="s">
        <v>88</v>
      </c>
      <c r="D309" t="s">
        <v>93</v>
      </c>
      <c r="E309" t="s">
        <v>126</v>
      </c>
      <c r="F309">
        <v>49</v>
      </c>
      <c r="G309" s="4">
        <v>42</v>
      </c>
      <c r="H309" s="4">
        <v>53</v>
      </c>
      <c r="I309" s="4">
        <v>95</v>
      </c>
      <c r="J309" s="7">
        <v>150.72</v>
      </c>
    </row>
    <row r="310" spans="1:10" x14ac:dyDescent="0.25">
      <c r="A310">
        <v>304</v>
      </c>
      <c r="B310" t="s">
        <v>1817</v>
      </c>
      <c r="C310" t="s">
        <v>917</v>
      </c>
      <c r="D310" t="s">
        <v>89</v>
      </c>
      <c r="E310" t="s">
        <v>95</v>
      </c>
      <c r="F310">
        <v>71</v>
      </c>
      <c r="G310" s="4">
        <v>53</v>
      </c>
      <c r="H310" s="4">
        <v>65</v>
      </c>
      <c r="I310" s="4">
        <v>118</v>
      </c>
      <c r="J310" s="7">
        <v>150.52000000000001</v>
      </c>
    </row>
    <row r="311" spans="1:10" x14ac:dyDescent="0.25">
      <c r="A311">
        <v>305</v>
      </c>
      <c r="B311" t="s">
        <v>3017</v>
      </c>
      <c r="C311" t="s">
        <v>1848</v>
      </c>
      <c r="D311" t="s">
        <v>89</v>
      </c>
      <c r="E311" t="s">
        <v>95</v>
      </c>
      <c r="F311">
        <v>59</v>
      </c>
      <c r="G311" s="4">
        <v>50</v>
      </c>
      <c r="H311" s="4">
        <v>57</v>
      </c>
      <c r="I311" s="4">
        <v>107</v>
      </c>
      <c r="J311" s="7">
        <v>150.28</v>
      </c>
    </row>
    <row r="312" spans="1:10" x14ac:dyDescent="0.25">
      <c r="A312">
        <v>306</v>
      </c>
      <c r="B312" t="s">
        <v>1777</v>
      </c>
      <c r="C312" t="s">
        <v>327</v>
      </c>
      <c r="D312" t="s">
        <v>93</v>
      </c>
      <c r="E312" t="s">
        <v>113</v>
      </c>
      <c r="F312">
        <v>71</v>
      </c>
      <c r="G312" s="4">
        <v>50</v>
      </c>
      <c r="H312" s="4">
        <v>70</v>
      </c>
      <c r="I312" s="4">
        <v>120</v>
      </c>
      <c r="J312" s="7">
        <v>150.28</v>
      </c>
    </row>
    <row r="313" spans="1:10" x14ac:dyDescent="0.25">
      <c r="A313">
        <v>307</v>
      </c>
      <c r="B313" t="s">
        <v>3288</v>
      </c>
      <c r="C313" t="s">
        <v>386</v>
      </c>
      <c r="D313" t="s">
        <v>89</v>
      </c>
      <c r="E313" t="s">
        <v>95</v>
      </c>
      <c r="F313">
        <v>59</v>
      </c>
      <c r="G313" s="4">
        <v>47</v>
      </c>
      <c r="H313" s="4">
        <v>58</v>
      </c>
      <c r="I313" s="4">
        <v>105</v>
      </c>
      <c r="J313" s="7">
        <v>150.11000000000001</v>
      </c>
    </row>
    <row r="314" spans="1:10" x14ac:dyDescent="0.25">
      <c r="A314">
        <v>308</v>
      </c>
      <c r="B314" t="s">
        <v>2658</v>
      </c>
      <c r="C314" t="s">
        <v>47</v>
      </c>
      <c r="D314" t="s">
        <v>94</v>
      </c>
      <c r="E314" t="s">
        <v>57</v>
      </c>
      <c r="F314">
        <v>45</v>
      </c>
      <c r="G314" s="4">
        <v>38</v>
      </c>
      <c r="H314" s="4">
        <v>48</v>
      </c>
      <c r="I314" s="4">
        <v>86</v>
      </c>
      <c r="J314" s="7">
        <v>150.09</v>
      </c>
    </row>
    <row r="315" spans="1:10" x14ac:dyDescent="0.25">
      <c r="A315">
        <v>309</v>
      </c>
      <c r="B315" t="s">
        <v>1145</v>
      </c>
      <c r="C315" t="s">
        <v>536</v>
      </c>
      <c r="D315" t="s">
        <v>94</v>
      </c>
      <c r="E315" t="s">
        <v>57</v>
      </c>
      <c r="F315">
        <v>59</v>
      </c>
      <c r="G315" s="4">
        <v>53</v>
      </c>
      <c r="H315" s="4">
        <v>52</v>
      </c>
      <c r="I315" s="4">
        <v>105</v>
      </c>
      <c r="J315" s="7">
        <v>148.80000000000001</v>
      </c>
    </row>
    <row r="316" spans="1:10" x14ac:dyDescent="0.25">
      <c r="A316">
        <v>310</v>
      </c>
      <c r="B316" t="s">
        <v>523</v>
      </c>
      <c r="C316" t="s">
        <v>255</v>
      </c>
      <c r="D316" t="s">
        <v>89</v>
      </c>
      <c r="E316" t="s">
        <v>95</v>
      </c>
      <c r="F316">
        <v>64</v>
      </c>
      <c r="G316" s="4">
        <v>50</v>
      </c>
      <c r="H316" s="4">
        <v>60</v>
      </c>
      <c r="I316" s="4">
        <v>110</v>
      </c>
      <c r="J316" s="7">
        <v>148.56</v>
      </c>
    </row>
    <row r="317" spans="1:10" x14ac:dyDescent="0.25">
      <c r="A317">
        <v>311</v>
      </c>
      <c r="B317" t="s">
        <v>3331</v>
      </c>
      <c r="C317" t="s">
        <v>296</v>
      </c>
      <c r="D317" t="s">
        <v>94</v>
      </c>
      <c r="E317" t="s">
        <v>95</v>
      </c>
      <c r="F317" t="s">
        <v>479</v>
      </c>
      <c r="G317" s="4">
        <v>60</v>
      </c>
      <c r="H317" s="4">
        <v>80</v>
      </c>
      <c r="I317" s="4">
        <v>140</v>
      </c>
      <c r="J317" s="7">
        <v>148.33000000000001</v>
      </c>
    </row>
    <row r="318" spans="1:10" x14ac:dyDescent="0.25">
      <c r="A318">
        <v>312</v>
      </c>
      <c r="B318" t="s">
        <v>3519</v>
      </c>
      <c r="C318" t="s">
        <v>328</v>
      </c>
      <c r="D318" t="s">
        <v>64</v>
      </c>
      <c r="E318" t="s">
        <v>126</v>
      </c>
      <c r="F318">
        <v>55</v>
      </c>
      <c r="G318" s="4">
        <v>46</v>
      </c>
      <c r="H318" s="4">
        <v>55</v>
      </c>
      <c r="I318" s="4">
        <v>101</v>
      </c>
      <c r="J318" s="7">
        <v>148.22</v>
      </c>
    </row>
    <row r="319" spans="1:10" x14ac:dyDescent="0.25">
      <c r="A319">
        <v>313</v>
      </c>
      <c r="B319" t="s">
        <v>3806</v>
      </c>
      <c r="C319" t="s">
        <v>1032</v>
      </c>
      <c r="D319" t="s">
        <v>93</v>
      </c>
      <c r="E319" t="s">
        <v>113</v>
      </c>
      <c r="F319">
        <v>64</v>
      </c>
      <c r="G319" s="4">
        <v>47</v>
      </c>
      <c r="H319" s="4">
        <v>65</v>
      </c>
      <c r="I319" s="4">
        <v>112</v>
      </c>
      <c r="J319" s="7">
        <v>148.15</v>
      </c>
    </row>
    <row r="320" spans="1:10" x14ac:dyDescent="0.25">
      <c r="A320">
        <v>314</v>
      </c>
      <c r="B320" t="s">
        <v>2840</v>
      </c>
      <c r="C320" t="s">
        <v>66</v>
      </c>
      <c r="D320" t="s">
        <v>89</v>
      </c>
      <c r="E320" t="s">
        <v>95</v>
      </c>
      <c r="F320">
        <v>71</v>
      </c>
      <c r="G320" s="4">
        <v>53</v>
      </c>
      <c r="H320" s="4">
        <v>65</v>
      </c>
      <c r="I320" s="4">
        <v>118</v>
      </c>
      <c r="J320" s="7">
        <v>147.99</v>
      </c>
    </row>
    <row r="321" spans="1:10" x14ac:dyDescent="0.25">
      <c r="A321">
        <v>315</v>
      </c>
      <c r="B321" t="s">
        <v>3423</v>
      </c>
      <c r="C321" t="s">
        <v>383</v>
      </c>
      <c r="D321" t="s">
        <v>89</v>
      </c>
      <c r="E321" t="s">
        <v>95</v>
      </c>
      <c r="F321">
        <v>71</v>
      </c>
      <c r="G321" s="4">
        <v>50</v>
      </c>
      <c r="H321" s="4">
        <v>70</v>
      </c>
      <c r="I321" s="4">
        <v>120</v>
      </c>
      <c r="J321" s="7">
        <v>147.94</v>
      </c>
    </row>
    <row r="322" spans="1:10" x14ac:dyDescent="0.25">
      <c r="A322">
        <v>316</v>
      </c>
      <c r="B322" t="s">
        <v>3284</v>
      </c>
      <c r="C322" t="s">
        <v>506</v>
      </c>
      <c r="D322" t="s">
        <v>89</v>
      </c>
      <c r="E322" t="s">
        <v>95</v>
      </c>
      <c r="F322">
        <v>49</v>
      </c>
      <c r="G322" s="4">
        <v>38</v>
      </c>
      <c r="H322" s="4">
        <v>55</v>
      </c>
      <c r="I322" s="4">
        <v>93</v>
      </c>
      <c r="J322" s="7">
        <v>146.22999999999999</v>
      </c>
    </row>
    <row r="323" spans="1:10" x14ac:dyDescent="0.25">
      <c r="A323">
        <v>317</v>
      </c>
      <c r="B323" t="s">
        <v>2479</v>
      </c>
      <c r="C323" t="s">
        <v>396</v>
      </c>
      <c r="D323" t="s">
        <v>89</v>
      </c>
      <c r="E323" t="s">
        <v>57</v>
      </c>
      <c r="F323">
        <v>55</v>
      </c>
      <c r="G323" s="4">
        <v>40</v>
      </c>
      <c r="H323" s="4">
        <v>57</v>
      </c>
      <c r="I323" s="4">
        <v>97</v>
      </c>
      <c r="J323" s="7">
        <v>145.26</v>
      </c>
    </row>
    <row r="324" spans="1:10" x14ac:dyDescent="0.25">
      <c r="A324">
        <v>318</v>
      </c>
      <c r="B324" t="s">
        <v>3035</v>
      </c>
      <c r="C324" t="s">
        <v>2910</v>
      </c>
      <c r="D324" t="s">
        <v>93</v>
      </c>
      <c r="E324" t="s">
        <v>113</v>
      </c>
      <c r="F324">
        <v>71</v>
      </c>
      <c r="G324" s="4">
        <v>54</v>
      </c>
      <c r="H324" s="4">
        <v>64</v>
      </c>
      <c r="I324" s="4">
        <v>118</v>
      </c>
      <c r="J324" s="7">
        <v>144.82</v>
      </c>
    </row>
    <row r="325" spans="1:10" x14ac:dyDescent="0.25">
      <c r="A325">
        <v>319</v>
      </c>
      <c r="B325" t="s">
        <v>3906</v>
      </c>
      <c r="C325" t="s">
        <v>933</v>
      </c>
      <c r="D325" t="s">
        <v>89</v>
      </c>
      <c r="E325" t="s">
        <v>57</v>
      </c>
      <c r="F325">
        <v>55</v>
      </c>
      <c r="G325" s="4">
        <v>41</v>
      </c>
      <c r="H325" s="4">
        <v>55</v>
      </c>
      <c r="I325" s="4">
        <v>96</v>
      </c>
      <c r="J325" s="7">
        <v>143.87</v>
      </c>
    </row>
    <row r="326" spans="1:10" x14ac:dyDescent="0.25">
      <c r="A326">
        <v>320</v>
      </c>
      <c r="B326" t="s">
        <v>2871</v>
      </c>
      <c r="C326" t="s">
        <v>883</v>
      </c>
      <c r="D326" t="s">
        <v>93</v>
      </c>
      <c r="E326" t="s">
        <v>113</v>
      </c>
      <c r="F326">
        <v>71</v>
      </c>
      <c r="G326" s="4">
        <v>47</v>
      </c>
      <c r="H326" s="4">
        <v>65</v>
      </c>
      <c r="I326" s="4">
        <v>112</v>
      </c>
      <c r="J326" s="7">
        <v>142.63999999999999</v>
      </c>
    </row>
    <row r="327" spans="1:10" x14ac:dyDescent="0.25">
      <c r="A327">
        <v>321</v>
      </c>
      <c r="B327" t="s">
        <v>3675</v>
      </c>
      <c r="C327" t="s">
        <v>2051</v>
      </c>
      <c r="D327" t="s">
        <v>94</v>
      </c>
      <c r="E327" t="s">
        <v>57</v>
      </c>
      <c r="F327">
        <v>45</v>
      </c>
      <c r="G327" s="4">
        <v>36</v>
      </c>
      <c r="H327" s="4">
        <v>46</v>
      </c>
      <c r="I327" s="4">
        <v>82</v>
      </c>
      <c r="J327" s="7">
        <v>142.47</v>
      </c>
    </row>
    <row r="328" spans="1:10" x14ac:dyDescent="0.25">
      <c r="A328">
        <v>322</v>
      </c>
      <c r="B328" t="s">
        <v>2505</v>
      </c>
      <c r="C328" t="s">
        <v>258</v>
      </c>
      <c r="D328" t="s">
        <v>89</v>
      </c>
      <c r="E328" t="s">
        <v>95</v>
      </c>
      <c r="F328">
        <v>55</v>
      </c>
      <c r="G328" s="4">
        <v>47</v>
      </c>
      <c r="H328" s="4">
        <v>50</v>
      </c>
      <c r="I328" s="4">
        <v>97</v>
      </c>
      <c r="J328" s="7">
        <v>141.97</v>
      </c>
    </row>
    <row r="329" spans="1:10" x14ac:dyDescent="0.25">
      <c r="A329">
        <v>323</v>
      </c>
      <c r="B329" t="s">
        <v>2086</v>
      </c>
      <c r="C329" t="s">
        <v>70</v>
      </c>
      <c r="D329" t="s">
        <v>94</v>
      </c>
      <c r="E329" t="s">
        <v>57</v>
      </c>
      <c r="F329">
        <v>49</v>
      </c>
      <c r="G329" s="4">
        <v>39</v>
      </c>
      <c r="H329" s="4">
        <v>51</v>
      </c>
      <c r="I329" s="4">
        <v>90</v>
      </c>
      <c r="J329" s="7">
        <v>141.62</v>
      </c>
    </row>
    <row r="330" spans="1:10" x14ac:dyDescent="0.25">
      <c r="A330">
        <v>324</v>
      </c>
      <c r="B330" t="s">
        <v>2881</v>
      </c>
      <c r="C330" t="s">
        <v>66</v>
      </c>
      <c r="D330" t="s">
        <v>89</v>
      </c>
      <c r="E330" t="s">
        <v>95</v>
      </c>
      <c r="F330">
        <v>71</v>
      </c>
      <c r="G330" s="4">
        <v>53</v>
      </c>
      <c r="H330" s="4">
        <v>60</v>
      </c>
      <c r="I330" s="4">
        <v>113</v>
      </c>
      <c r="J330" s="7">
        <v>140.66999999999999</v>
      </c>
    </row>
    <row r="331" spans="1:10" x14ac:dyDescent="0.25">
      <c r="A331">
        <v>325</v>
      </c>
      <c r="B331" t="s">
        <v>3100</v>
      </c>
      <c r="C331" t="s">
        <v>589</v>
      </c>
      <c r="D331" t="s">
        <v>93</v>
      </c>
      <c r="E331" t="s">
        <v>95</v>
      </c>
      <c r="F331">
        <v>55</v>
      </c>
      <c r="G331" s="4">
        <v>40</v>
      </c>
      <c r="H331" s="4">
        <v>55</v>
      </c>
      <c r="I331" s="4">
        <v>95</v>
      </c>
      <c r="J331" s="7">
        <v>140.05000000000001</v>
      </c>
    </row>
    <row r="332" spans="1:10" x14ac:dyDescent="0.25">
      <c r="A332">
        <v>326</v>
      </c>
      <c r="B332" t="s">
        <v>1380</v>
      </c>
      <c r="C332" t="s">
        <v>744</v>
      </c>
      <c r="D332" t="s">
        <v>89</v>
      </c>
      <c r="E332" t="s">
        <v>57</v>
      </c>
      <c r="F332">
        <v>55</v>
      </c>
      <c r="G332" s="4">
        <v>44</v>
      </c>
      <c r="H332" s="4">
        <v>53</v>
      </c>
      <c r="I332" s="4">
        <v>97</v>
      </c>
      <c r="J332" s="7">
        <v>139.69999999999999</v>
      </c>
    </row>
    <row r="333" spans="1:10" x14ac:dyDescent="0.25">
      <c r="A333">
        <v>327</v>
      </c>
      <c r="B333" t="s">
        <v>3756</v>
      </c>
      <c r="C333" t="s">
        <v>168</v>
      </c>
      <c r="D333" t="s">
        <v>89</v>
      </c>
      <c r="E333" t="s">
        <v>57</v>
      </c>
      <c r="F333">
        <v>55</v>
      </c>
      <c r="G333" s="4">
        <v>42</v>
      </c>
      <c r="H333" s="4">
        <v>54</v>
      </c>
      <c r="I333" s="4">
        <v>96</v>
      </c>
      <c r="J333" s="7">
        <v>139.02000000000001</v>
      </c>
    </row>
    <row r="334" spans="1:10" x14ac:dyDescent="0.25">
      <c r="A334">
        <v>328</v>
      </c>
      <c r="B334" t="s">
        <v>1957</v>
      </c>
      <c r="C334" t="s">
        <v>386</v>
      </c>
      <c r="D334" t="s">
        <v>93</v>
      </c>
      <c r="E334" t="s">
        <v>95</v>
      </c>
      <c r="F334">
        <v>55</v>
      </c>
      <c r="G334" s="4">
        <v>40</v>
      </c>
      <c r="H334" s="4">
        <v>54</v>
      </c>
      <c r="I334" s="4">
        <v>94</v>
      </c>
      <c r="J334" s="7">
        <v>138.99</v>
      </c>
    </row>
    <row r="335" spans="1:10" x14ac:dyDescent="0.25">
      <c r="A335">
        <v>329</v>
      </c>
      <c r="B335" t="s">
        <v>3261</v>
      </c>
      <c r="C335" t="s">
        <v>120</v>
      </c>
      <c r="D335" t="s">
        <v>93</v>
      </c>
      <c r="E335" t="s">
        <v>113</v>
      </c>
      <c r="F335">
        <v>76</v>
      </c>
      <c r="G335" s="4">
        <v>50</v>
      </c>
      <c r="H335" s="4">
        <v>65</v>
      </c>
      <c r="I335" s="4">
        <v>115</v>
      </c>
      <c r="J335" s="7">
        <v>138.82</v>
      </c>
    </row>
    <row r="336" spans="1:10" x14ac:dyDescent="0.25">
      <c r="A336">
        <v>330</v>
      </c>
      <c r="B336" t="s">
        <v>1218</v>
      </c>
      <c r="C336" t="s">
        <v>258</v>
      </c>
      <c r="D336" t="s">
        <v>93</v>
      </c>
      <c r="E336" t="s">
        <v>113</v>
      </c>
      <c r="F336">
        <v>81</v>
      </c>
      <c r="G336" s="4">
        <v>49</v>
      </c>
      <c r="H336" s="4">
        <v>71</v>
      </c>
      <c r="I336" s="4">
        <v>120</v>
      </c>
      <c r="J336" s="7">
        <v>138.46</v>
      </c>
    </row>
    <row r="337" spans="1:10" x14ac:dyDescent="0.25">
      <c r="A337">
        <v>331</v>
      </c>
      <c r="B337" t="s">
        <v>870</v>
      </c>
      <c r="C337" t="s">
        <v>134</v>
      </c>
      <c r="D337" t="s">
        <v>89</v>
      </c>
      <c r="E337" t="s">
        <v>95</v>
      </c>
      <c r="F337" t="s">
        <v>479</v>
      </c>
      <c r="G337" s="4">
        <v>56</v>
      </c>
      <c r="H337" s="4">
        <v>67</v>
      </c>
      <c r="I337" s="4">
        <v>123</v>
      </c>
      <c r="J337" s="7">
        <v>137.19</v>
      </c>
    </row>
    <row r="338" spans="1:10" x14ac:dyDescent="0.25">
      <c r="A338">
        <v>332</v>
      </c>
      <c r="B338" t="s">
        <v>1588</v>
      </c>
      <c r="C338" t="s">
        <v>66</v>
      </c>
      <c r="D338" t="s">
        <v>89</v>
      </c>
      <c r="E338" t="s">
        <v>57</v>
      </c>
      <c r="F338">
        <v>76</v>
      </c>
      <c r="G338" s="4">
        <v>47</v>
      </c>
      <c r="H338" s="4">
        <v>67</v>
      </c>
      <c r="I338" s="4">
        <v>114</v>
      </c>
      <c r="J338" s="7">
        <v>137.12</v>
      </c>
    </row>
    <row r="339" spans="1:10" x14ac:dyDescent="0.25">
      <c r="A339">
        <v>333</v>
      </c>
      <c r="B339" t="s">
        <v>3910</v>
      </c>
      <c r="C339" t="s">
        <v>602</v>
      </c>
      <c r="D339" t="s">
        <v>93</v>
      </c>
      <c r="E339" t="s">
        <v>113</v>
      </c>
      <c r="F339">
        <v>49</v>
      </c>
      <c r="G339" s="4">
        <v>35</v>
      </c>
      <c r="H339" s="4">
        <v>48</v>
      </c>
      <c r="I339" s="4">
        <v>83</v>
      </c>
      <c r="J339" s="7">
        <v>137.04</v>
      </c>
    </row>
    <row r="340" spans="1:10" x14ac:dyDescent="0.25">
      <c r="A340">
        <v>334</v>
      </c>
      <c r="B340" t="s">
        <v>2649</v>
      </c>
      <c r="C340" t="s">
        <v>501</v>
      </c>
      <c r="D340" t="s">
        <v>64</v>
      </c>
      <c r="E340" t="s">
        <v>113</v>
      </c>
      <c r="F340">
        <v>64</v>
      </c>
      <c r="G340" s="4">
        <v>46</v>
      </c>
      <c r="H340" s="4">
        <v>57</v>
      </c>
      <c r="I340" s="4">
        <v>103</v>
      </c>
      <c r="J340" s="7">
        <v>136.43</v>
      </c>
    </row>
    <row r="341" spans="1:10" x14ac:dyDescent="0.25">
      <c r="A341">
        <v>335</v>
      </c>
      <c r="B341" t="s">
        <v>1749</v>
      </c>
      <c r="C341" t="s">
        <v>1004</v>
      </c>
      <c r="D341" t="s">
        <v>64</v>
      </c>
      <c r="E341" t="s">
        <v>126</v>
      </c>
      <c r="F341">
        <v>59</v>
      </c>
      <c r="G341" s="4">
        <v>43</v>
      </c>
      <c r="H341" s="4">
        <v>54</v>
      </c>
      <c r="I341" s="4">
        <v>97</v>
      </c>
      <c r="J341" s="7">
        <v>135.01</v>
      </c>
    </row>
    <row r="342" spans="1:10" x14ac:dyDescent="0.25">
      <c r="A342">
        <v>336</v>
      </c>
      <c r="B342" t="s">
        <v>2908</v>
      </c>
      <c r="C342" t="s">
        <v>2910</v>
      </c>
      <c r="D342" t="s">
        <v>64</v>
      </c>
      <c r="E342" t="s">
        <v>113</v>
      </c>
      <c r="F342">
        <v>71</v>
      </c>
      <c r="G342" s="4">
        <v>50</v>
      </c>
      <c r="H342" s="4">
        <v>58</v>
      </c>
      <c r="I342" s="4">
        <v>108</v>
      </c>
      <c r="J342" s="7">
        <v>134.5</v>
      </c>
    </row>
    <row r="343" spans="1:10" x14ac:dyDescent="0.25">
      <c r="A343">
        <v>337</v>
      </c>
      <c r="B343" t="s">
        <v>3039</v>
      </c>
      <c r="C343" t="s">
        <v>271</v>
      </c>
      <c r="D343" t="s">
        <v>89</v>
      </c>
      <c r="E343" t="s">
        <v>57</v>
      </c>
      <c r="F343">
        <v>55</v>
      </c>
      <c r="G343" s="4">
        <v>40</v>
      </c>
      <c r="H343" s="4">
        <v>48</v>
      </c>
      <c r="I343" s="4">
        <v>88</v>
      </c>
      <c r="J343" s="7">
        <v>134.02000000000001</v>
      </c>
    </row>
    <row r="344" spans="1:10" x14ac:dyDescent="0.25">
      <c r="A344">
        <v>338</v>
      </c>
      <c r="B344" t="s">
        <v>2199</v>
      </c>
      <c r="C344" t="s">
        <v>744</v>
      </c>
      <c r="D344" t="s">
        <v>89</v>
      </c>
      <c r="E344" t="s">
        <v>95</v>
      </c>
      <c r="F344" t="s">
        <v>479</v>
      </c>
      <c r="G344" s="4">
        <v>55</v>
      </c>
      <c r="H344" s="4">
        <v>70</v>
      </c>
      <c r="I344" s="4">
        <v>125</v>
      </c>
      <c r="J344" s="7">
        <v>133.38</v>
      </c>
    </row>
    <row r="345" spans="1:10" x14ac:dyDescent="0.25">
      <c r="A345">
        <v>339</v>
      </c>
      <c r="B345" t="s">
        <v>1609</v>
      </c>
      <c r="C345" t="s">
        <v>1489</v>
      </c>
      <c r="D345" t="s">
        <v>93</v>
      </c>
      <c r="E345" t="s">
        <v>95</v>
      </c>
      <c r="F345">
        <v>49</v>
      </c>
      <c r="G345" s="4">
        <v>37</v>
      </c>
      <c r="H345" s="4">
        <v>46</v>
      </c>
      <c r="I345" s="4">
        <v>83</v>
      </c>
      <c r="J345" s="7">
        <v>132.88999999999999</v>
      </c>
    </row>
    <row r="346" spans="1:10" x14ac:dyDescent="0.25">
      <c r="A346">
        <v>340</v>
      </c>
      <c r="B346" t="s">
        <v>2856</v>
      </c>
      <c r="C346" t="s">
        <v>258</v>
      </c>
      <c r="D346" t="s">
        <v>89</v>
      </c>
      <c r="E346" t="s">
        <v>57</v>
      </c>
      <c r="F346">
        <v>45</v>
      </c>
      <c r="G346" s="4">
        <v>34</v>
      </c>
      <c r="H346" s="4">
        <v>43</v>
      </c>
      <c r="I346" s="4">
        <v>77</v>
      </c>
      <c r="J346" s="7">
        <v>131.99</v>
      </c>
    </row>
    <row r="347" spans="1:10" x14ac:dyDescent="0.25">
      <c r="A347">
        <v>341</v>
      </c>
      <c r="B347" t="s">
        <v>1517</v>
      </c>
      <c r="C347" t="s">
        <v>258</v>
      </c>
      <c r="D347" t="s">
        <v>93</v>
      </c>
      <c r="E347" t="s">
        <v>95</v>
      </c>
      <c r="F347">
        <v>55</v>
      </c>
      <c r="G347" s="4">
        <v>38</v>
      </c>
      <c r="H347" s="4">
        <v>49</v>
      </c>
      <c r="I347" s="4">
        <v>87</v>
      </c>
      <c r="J347" s="7">
        <v>131.13999999999999</v>
      </c>
    </row>
    <row r="348" spans="1:10" x14ac:dyDescent="0.25">
      <c r="A348">
        <v>342</v>
      </c>
      <c r="B348" t="s">
        <v>3990</v>
      </c>
      <c r="C348" t="s">
        <v>968</v>
      </c>
      <c r="D348" t="s">
        <v>89</v>
      </c>
      <c r="E348" t="s">
        <v>95</v>
      </c>
      <c r="F348">
        <v>40</v>
      </c>
      <c r="G348" s="4">
        <v>29</v>
      </c>
      <c r="H348" s="4">
        <v>41</v>
      </c>
      <c r="I348" s="4">
        <v>70</v>
      </c>
      <c r="J348" s="7">
        <v>130.08000000000001</v>
      </c>
    </row>
    <row r="349" spans="1:10" x14ac:dyDescent="0.25">
      <c r="A349">
        <v>343</v>
      </c>
      <c r="B349" t="s">
        <v>2673</v>
      </c>
      <c r="C349" t="s">
        <v>544</v>
      </c>
      <c r="D349" t="s">
        <v>89</v>
      </c>
      <c r="E349" t="s">
        <v>57</v>
      </c>
      <c r="F349">
        <v>55</v>
      </c>
      <c r="G349" s="4">
        <v>40</v>
      </c>
      <c r="H349" s="4">
        <v>50</v>
      </c>
      <c r="I349" s="4">
        <v>90</v>
      </c>
      <c r="J349" s="7">
        <v>129.99</v>
      </c>
    </row>
    <row r="350" spans="1:10" x14ac:dyDescent="0.25">
      <c r="A350">
        <v>344</v>
      </c>
      <c r="B350" t="s">
        <v>3217</v>
      </c>
      <c r="C350" t="s">
        <v>419</v>
      </c>
      <c r="D350" t="s">
        <v>89</v>
      </c>
      <c r="E350" t="s">
        <v>57</v>
      </c>
      <c r="F350">
        <v>49</v>
      </c>
      <c r="G350" s="4">
        <v>37</v>
      </c>
      <c r="H350" s="4">
        <v>43</v>
      </c>
      <c r="I350" s="4">
        <v>80</v>
      </c>
      <c r="J350" s="7">
        <v>129.59</v>
      </c>
    </row>
    <row r="351" spans="1:10" x14ac:dyDescent="0.25">
      <c r="A351">
        <v>345</v>
      </c>
      <c r="B351" t="s">
        <v>568</v>
      </c>
      <c r="C351" t="s">
        <v>255</v>
      </c>
      <c r="D351" t="s">
        <v>93</v>
      </c>
      <c r="E351" t="s">
        <v>95</v>
      </c>
      <c r="F351">
        <v>64</v>
      </c>
      <c r="G351" s="4">
        <v>43</v>
      </c>
      <c r="H351" s="4">
        <v>55</v>
      </c>
      <c r="I351" s="4">
        <v>98</v>
      </c>
      <c r="J351" s="7">
        <v>129.31</v>
      </c>
    </row>
    <row r="352" spans="1:10" x14ac:dyDescent="0.25">
      <c r="A352">
        <v>346</v>
      </c>
      <c r="B352" t="s">
        <v>1375</v>
      </c>
      <c r="C352" t="s">
        <v>519</v>
      </c>
      <c r="D352" t="s">
        <v>89</v>
      </c>
      <c r="E352" t="s">
        <v>57</v>
      </c>
      <c r="F352">
        <v>49</v>
      </c>
      <c r="G352" s="4">
        <v>33</v>
      </c>
      <c r="H352" s="4">
        <v>48</v>
      </c>
      <c r="I352" s="4">
        <v>81</v>
      </c>
      <c r="J352" s="7">
        <v>129.26</v>
      </c>
    </row>
    <row r="353" spans="1:10" x14ac:dyDescent="0.25">
      <c r="A353">
        <v>347</v>
      </c>
      <c r="B353" t="s">
        <v>3614</v>
      </c>
      <c r="C353" t="s">
        <v>120</v>
      </c>
      <c r="D353" t="s">
        <v>93</v>
      </c>
      <c r="E353" t="s">
        <v>95</v>
      </c>
      <c r="F353">
        <v>55</v>
      </c>
      <c r="G353" s="4">
        <v>40</v>
      </c>
      <c r="H353" s="4">
        <v>50</v>
      </c>
      <c r="I353" s="4">
        <v>90</v>
      </c>
      <c r="J353" s="7">
        <v>129.15</v>
      </c>
    </row>
    <row r="354" spans="1:10" x14ac:dyDescent="0.25">
      <c r="A354">
        <v>348</v>
      </c>
      <c r="B354" t="s">
        <v>4045</v>
      </c>
      <c r="C354" t="s">
        <v>289</v>
      </c>
      <c r="D354" t="s">
        <v>93</v>
      </c>
      <c r="E354" t="s">
        <v>95</v>
      </c>
      <c r="F354">
        <v>71</v>
      </c>
      <c r="G354" s="4">
        <v>45</v>
      </c>
      <c r="H354" s="4">
        <v>58</v>
      </c>
      <c r="I354" s="4">
        <v>103</v>
      </c>
      <c r="J354" s="7">
        <v>127.97</v>
      </c>
    </row>
    <row r="355" spans="1:10" x14ac:dyDescent="0.25">
      <c r="A355">
        <v>349</v>
      </c>
      <c r="B355" t="s">
        <v>2391</v>
      </c>
      <c r="C355" t="s">
        <v>883</v>
      </c>
      <c r="D355" t="s">
        <v>64</v>
      </c>
      <c r="E355" t="s">
        <v>113</v>
      </c>
      <c r="F355" t="s">
        <v>135</v>
      </c>
      <c r="G355" s="4">
        <v>50</v>
      </c>
      <c r="H355" s="4">
        <v>67</v>
      </c>
      <c r="I355" s="4">
        <v>117</v>
      </c>
      <c r="J355" s="7">
        <v>126.34</v>
      </c>
    </row>
    <row r="356" spans="1:10" x14ac:dyDescent="0.25">
      <c r="A356">
        <v>350</v>
      </c>
      <c r="B356" t="s">
        <v>2933</v>
      </c>
      <c r="C356" t="s">
        <v>883</v>
      </c>
      <c r="D356" t="s">
        <v>89</v>
      </c>
      <c r="E356" t="s">
        <v>57</v>
      </c>
      <c r="F356">
        <v>55</v>
      </c>
      <c r="G356" s="4">
        <v>39</v>
      </c>
      <c r="H356" s="4">
        <v>46</v>
      </c>
      <c r="I356" s="4">
        <v>85</v>
      </c>
      <c r="J356" s="7">
        <v>126.3</v>
      </c>
    </row>
    <row r="357" spans="1:10" x14ac:dyDescent="0.25">
      <c r="A357">
        <v>351</v>
      </c>
      <c r="B357" t="s">
        <v>1658</v>
      </c>
      <c r="C357" t="s">
        <v>749</v>
      </c>
      <c r="D357" t="s">
        <v>89</v>
      </c>
      <c r="E357" t="s">
        <v>57</v>
      </c>
      <c r="F357">
        <v>59</v>
      </c>
      <c r="G357" s="4">
        <v>42</v>
      </c>
      <c r="H357" s="4">
        <v>48</v>
      </c>
      <c r="I357" s="4">
        <v>90</v>
      </c>
      <c r="J357" s="7">
        <v>125.56</v>
      </c>
    </row>
    <row r="358" spans="1:10" x14ac:dyDescent="0.25">
      <c r="A358">
        <v>352</v>
      </c>
      <c r="B358" t="s">
        <v>2458</v>
      </c>
      <c r="C358" t="s">
        <v>329</v>
      </c>
      <c r="D358" t="s">
        <v>89</v>
      </c>
      <c r="E358" t="s">
        <v>57</v>
      </c>
      <c r="F358">
        <v>59</v>
      </c>
      <c r="G358" s="4">
        <v>42</v>
      </c>
      <c r="H358" s="4">
        <v>48</v>
      </c>
      <c r="I358" s="4">
        <v>90</v>
      </c>
      <c r="J358" s="7">
        <v>125.31</v>
      </c>
    </row>
    <row r="359" spans="1:10" x14ac:dyDescent="0.25">
      <c r="A359">
        <v>353</v>
      </c>
      <c r="B359" t="s">
        <v>814</v>
      </c>
      <c r="C359" t="s">
        <v>296</v>
      </c>
      <c r="D359" t="s">
        <v>93</v>
      </c>
      <c r="E359" t="s">
        <v>57</v>
      </c>
      <c r="F359">
        <v>55</v>
      </c>
      <c r="G359" s="4">
        <v>37</v>
      </c>
      <c r="H359" s="4">
        <v>44</v>
      </c>
      <c r="I359" s="4">
        <v>81</v>
      </c>
      <c r="J359" s="7">
        <v>124.81</v>
      </c>
    </row>
    <row r="360" spans="1:10" x14ac:dyDescent="0.25">
      <c r="A360">
        <v>354</v>
      </c>
      <c r="B360" t="s">
        <v>3053</v>
      </c>
      <c r="C360" t="s">
        <v>386</v>
      </c>
      <c r="D360" t="s">
        <v>93</v>
      </c>
      <c r="E360" t="s">
        <v>95</v>
      </c>
      <c r="F360" t="s">
        <v>479</v>
      </c>
      <c r="G360" s="4">
        <v>50</v>
      </c>
      <c r="H360" s="4">
        <v>62</v>
      </c>
      <c r="I360" s="4">
        <v>112</v>
      </c>
      <c r="J360" s="7">
        <v>124.74</v>
      </c>
    </row>
    <row r="361" spans="1:10" x14ac:dyDescent="0.25">
      <c r="A361">
        <v>355</v>
      </c>
      <c r="B361" t="s">
        <v>1660</v>
      </c>
      <c r="C361" t="s">
        <v>386</v>
      </c>
      <c r="D361" t="s">
        <v>89</v>
      </c>
      <c r="E361" t="s">
        <v>57</v>
      </c>
      <c r="F361">
        <v>59</v>
      </c>
      <c r="G361" s="4">
        <v>40</v>
      </c>
      <c r="H361" s="4">
        <v>50</v>
      </c>
      <c r="I361" s="4">
        <v>90</v>
      </c>
      <c r="J361" s="7">
        <v>124.61</v>
      </c>
    </row>
    <row r="362" spans="1:10" x14ac:dyDescent="0.25">
      <c r="A362">
        <v>356</v>
      </c>
      <c r="B362" t="s">
        <v>3823</v>
      </c>
      <c r="C362" t="s">
        <v>506</v>
      </c>
      <c r="D362" t="s">
        <v>93</v>
      </c>
      <c r="E362" t="s">
        <v>95</v>
      </c>
      <c r="F362">
        <v>55</v>
      </c>
      <c r="G362" s="4">
        <v>35</v>
      </c>
      <c r="H362" s="4">
        <v>46</v>
      </c>
      <c r="I362" s="4">
        <v>81</v>
      </c>
      <c r="J362" s="7">
        <v>124.58</v>
      </c>
    </row>
    <row r="363" spans="1:10" x14ac:dyDescent="0.25">
      <c r="A363">
        <v>357</v>
      </c>
      <c r="B363" t="s">
        <v>204</v>
      </c>
      <c r="C363" t="s">
        <v>70</v>
      </c>
      <c r="D363" t="s">
        <v>89</v>
      </c>
      <c r="E363" t="s">
        <v>57</v>
      </c>
      <c r="F363">
        <v>55</v>
      </c>
      <c r="G363" s="4">
        <v>37</v>
      </c>
      <c r="H363" s="4">
        <v>48</v>
      </c>
      <c r="I363" s="4">
        <v>85</v>
      </c>
      <c r="J363" s="7">
        <v>124.4</v>
      </c>
    </row>
    <row r="364" spans="1:10" x14ac:dyDescent="0.25">
      <c r="A364">
        <v>358</v>
      </c>
      <c r="B364" t="s">
        <v>2033</v>
      </c>
      <c r="C364" t="s">
        <v>255</v>
      </c>
      <c r="D364" t="s">
        <v>89</v>
      </c>
      <c r="E364" t="s">
        <v>57</v>
      </c>
      <c r="F364">
        <v>64</v>
      </c>
      <c r="G364" s="4">
        <v>42</v>
      </c>
      <c r="H364" s="4">
        <v>53</v>
      </c>
      <c r="I364" s="4">
        <v>95</v>
      </c>
      <c r="J364" s="7">
        <v>123.99</v>
      </c>
    </row>
    <row r="365" spans="1:10" x14ac:dyDescent="0.25">
      <c r="A365">
        <v>359</v>
      </c>
      <c r="B365" t="s">
        <v>2944</v>
      </c>
      <c r="C365" t="s">
        <v>606</v>
      </c>
      <c r="D365" t="s">
        <v>93</v>
      </c>
      <c r="E365" t="s">
        <v>95</v>
      </c>
      <c r="F365">
        <v>49</v>
      </c>
      <c r="G365" s="4">
        <v>36</v>
      </c>
      <c r="H365" s="4">
        <v>43</v>
      </c>
      <c r="I365" s="4">
        <v>79</v>
      </c>
      <c r="J365" s="7">
        <v>123.52</v>
      </c>
    </row>
    <row r="366" spans="1:10" x14ac:dyDescent="0.25">
      <c r="A366">
        <v>360</v>
      </c>
      <c r="B366" t="s">
        <v>3886</v>
      </c>
      <c r="C366" t="s">
        <v>418</v>
      </c>
      <c r="D366" t="s">
        <v>93</v>
      </c>
      <c r="E366" t="s">
        <v>95</v>
      </c>
      <c r="F366">
        <v>64</v>
      </c>
      <c r="G366" s="4">
        <v>43</v>
      </c>
      <c r="H366" s="4">
        <v>50</v>
      </c>
      <c r="I366" s="4">
        <v>93</v>
      </c>
      <c r="J366" s="7">
        <v>122.8</v>
      </c>
    </row>
    <row r="367" spans="1:10" x14ac:dyDescent="0.25">
      <c r="A367">
        <v>361</v>
      </c>
      <c r="B367" t="s">
        <v>3258</v>
      </c>
      <c r="C367" t="s">
        <v>335</v>
      </c>
      <c r="D367" t="s">
        <v>64</v>
      </c>
      <c r="E367" t="s">
        <v>113</v>
      </c>
      <c r="F367">
        <v>87</v>
      </c>
      <c r="G367" s="4">
        <v>50</v>
      </c>
      <c r="H367" s="4">
        <v>58</v>
      </c>
      <c r="I367" s="4">
        <v>108</v>
      </c>
      <c r="J367" s="7">
        <v>121.49</v>
      </c>
    </row>
    <row r="368" spans="1:10" x14ac:dyDescent="0.25">
      <c r="A368">
        <v>362</v>
      </c>
      <c r="B368" t="s">
        <v>3246</v>
      </c>
      <c r="C368" t="s">
        <v>348</v>
      </c>
      <c r="D368" t="s">
        <v>93</v>
      </c>
      <c r="E368" t="s">
        <v>95</v>
      </c>
      <c r="F368">
        <v>81</v>
      </c>
      <c r="G368" s="4">
        <v>46</v>
      </c>
      <c r="H368" s="4">
        <v>57</v>
      </c>
      <c r="I368" s="4">
        <v>103</v>
      </c>
      <c r="J368" s="7">
        <v>121.14</v>
      </c>
    </row>
    <row r="369" spans="1:10" x14ac:dyDescent="0.25">
      <c r="A369">
        <v>363</v>
      </c>
      <c r="B369" t="s">
        <v>2189</v>
      </c>
      <c r="C369" t="s">
        <v>258</v>
      </c>
      <c r="D369" t="s">
        <v>93</v>
      </c>
      <c r="E369" t="s">
        <v>95</v>
      </c>
      <c r="F369">
        <v>55</v>
      </c>
      <c r="G369" s="4">
        <v>37</v>
      </c>
      <c r="H369" s="4">
        <v>47</v>
      </c>
      <c r="I369" s="4">
        <v>84</v>
      </c>
      <c r="J369" s="7">
        <v>120.54</v>
      </c>
    </row>
    <row r="370" spans="1:10" x14ac:dyDescent="0.25">
      <c r="A370">
        <v>364</v>
      </c>
      <c r="B370" t="s">
        <v>4409</v>
      </c>
      <c r="C370" t="s">
        <v>70</v>
      </c>
      <c r="D370" t="s">
        <v>89</v>
      </c>
      <c r="E370" t="s">
        <v>57</v>
      </c>
      <c r="F370">
        <v>49</v>
      </c>
      <c r="G370" s="4">
        <v>31</v>
      </c>
      <c r="H370" s="4">
        <v>44</v>
      </c>
      <c r="I370" s="4">
        <v>75</v>
      </c>
      <c r="J370" s="7">
        <v>119.78</v>
      </c>
    </row>
    <row r="371" spans="1:10" x14ac:dyDescent="0.25">
      <c r="A371">
        <v>365</v>
      </c>
      <c r="B371" t="s">
        <v>2787</v>
      </c>
      <c r="C371" t="s">
        <v>883</v>
      </c>
      <c r="D371" t="s">
        <v>89</v>
      </c>
      <c r="E371" t="s">
        <v>57</v>
      </c>
      <c r="F371">
        <v>45</v>
      </c>
      <c r="G371" s="4">
        <v>29</v>
      </c>
      <c r="H371" s="4">
        <v>38</v>
      </c>
      <c r="I371" s="4">
        <v>67</v>
      </c>
      <c r="J371" s="7">
        <v>117.99</v>
      </c>
    </row>
    <row r="372" spans="1:10" x14ac:dyDescent="0.25">
      <c r="A372">
        <v>366</v>
      </c>
      <c r="B372" t="s">
        <v>3227</v>
      </c>
      <c r="C372" t="s">
        <v>535</v>
      </c>
      <c r="D372" t="s">
        <v>93</v>
      </c>
      <c r="E372" t="s">
        <v>57</v>
      </c>
      <c r="F372">
        <v>55</v>
      </c>
      <c r="G372" s="4">
        <v>33</v>
      </c>
      <c r="H372" s="4">
        <v>44</v>
      </c>
      <c r="I372" s="4">
        <v>77</v>
      </c>
      <c r="J372" s="7">
        <v>117.09</v>
      </c>
    </row>
    <row r="373" spans="1:10" x14ac:dyDescent="0.25">
      <c r="A373">
        <v>367</v>
      </c>
      <c r="B373" t="s">
        <v>2983</v>
      </c>
      <c r="C373" t="s">
        <v>749</v>
      </c>
      <c r="D373" t="s">
        <v>93</v>
      </c>
      <c r="E373" t="s">
        <v>57</v>
      </c>
      <c r="F373">
        <v>45</v>
      </c>
      <c r="G373" s="4">
        <v>26</v>
      </c>
      <c r="H373" s="4">
        <v>37</v>
      </c>
      <c r="I373" s="4">
        <v>63</v>
      </c>
      <c r="J373" s="7">
        <v>114.21</v>
      </c>
    </row>
    <row r="374" spans="1:10" x14ac:dyDescent="0.25">
      <c r="A374">
        <v>368</v>
      </c>
      <c r="B374" t="s">
        <v>3210</v>
      </c>
      <c r="C374" t="s">
        <v>419</v>
      </c>
      <c r="D374" t="s">
        <v>93</v>
      </c>
      <c r="E374" t="s">
        <v>57</v>
      </c>
      <c r="F374">
        <v>71</v>
      </c>
      <c r="G374" s="4">
        <v>40</v>
      </c>
      <c r="H374" s="4">
        <v>51</v>
      </c>
      <c r="I374" s="4">
        <v>91</v>
      </c>
      <c r="J374" s="7">
        <v>111.6</v>
      </c>
    </row>
    <row r="375" spans="1:10" x14ac:dyDescent="0.25">
      <c r="A375">
        <v>369</v>
      </c>
      <c r="B375" t="s">
        <v>1685</v>
      </c>
      <c r="C375" t="s">
        <v>78</v>
      </c>
      <c r="D375" t="s">
        <v>93</v>
      </c>
      <c r="E375" t="s">
        <v>57</v>
      </c>
      <c r="F375">
        <v>59</v>
      </c>
      <c r="G375" s="4">
        <v>32</v>
      </c>
      <c r="H375" s="4">
        <v>46</v>
      </c>
      <c r="I375" s="4">
        <v>78</v>
      </c>
      <c r="J375" s="7">
        <v>109.73</v>
      </c>
    </row>
    <row r="376" spans="1:10" x14ac:dyDescent="0.25">
      <c r="A376">
        <v>370</v>
      </c>
      <c r="B376" t="s">
        <v>1343</v>
      </c>
      <c r="C376" t="s">
        <v>255</v>
      </c>
      <c r="D376" t="s">
        <v>93</v>
      </c>
      <c r="E376" t="s">
        <v>57</v>
      </c>
      <c r="F376">
        <v>59</v>
      </c>
      <c r="G376" s="4">
        <v>34</v>
      </c>
      <c r="H376" s="4">
        <v>45</v>
      </c>
      <c r="I376" s="4">
        <v>79</v>
      </c>
      <c r="J376" s="7">
        <v>108.88</v>
      </c>
    </row>
    <row r="377" spans="1:10" x14ac:dyDescent="0.25">
      <c r="A377">
        <v>371</v>
      </c>
      <c r="B377" t="s">
        <v>1689</v>
      </c>
      <c r="C377" t="s">
        <v>240</v>
      </c>
      <c r="D377" t="s">
        <v>93</v>
      </c>
      <c r="E377" t="s">
        <v>57</v>
      </c>
      <c r="F377">
        <v>55</v>
      </c>
      <c r="G377" s="4">
        <v>33</v>
      </c>
      <c r="H377" s="4">
        <v>41</v>
      </c>
      <c r="I377" s="4">
        <v>74</v>
      </c>
      <c r="J377" s="7">
        <v>108.42</v>
      </c>
    </row>
    <row r="378" spans="1:10" x14ac:dyDescent="0.25">
      <c r="A378">
        <v>372</v>
      </c>
      <c r="B378" t="s">
        <v>1093</v>
      </c>
      <c r="C378" t="s">
        <v>329</v>
      </c>
      <c r="D378" t="s">
        <v>93</v>
      </c>
      <c r="E378" t="s">
        <v>57</v>
      </c>
      <c r="F378">
        <v>71</v>
      </c>
      <c r="G378" s="4">
        <v>36</v>
      </c>
      <c r="H378" s="4">
        <v>51</v>
      </c>
      <c r="I378" s="4">
        <v>87</v>
      </c>
      <c r="J378" s="7">
        <v>107.24</v>
      </c>
    </row>
    <row r="379" spans="1:10" x14ac:dyDescent="0.25">
      <c r="A379">
        <v>373</v>
      </c>
      <c r="B379" t="s">
        <v>1190</v>
      </c>
      <c r="C379" t="s">
        <v>120</v>
      </c>
      <c r="D379" t="s">
        <v>93</v>
      </c>
      <c r="E379" t="s">
        <v>57</v>
      </c>
      <c r="F379">
        <v>59</v>
      </c>
      <c r="G379" s="4">
        <v>33</v>
      </c>
      <c r="H379" s="4">
        <v>44</v>
      </c>
      <c r="I379" s="4">
        <v>77</v>
      </c>
      <c r="J379" s="7">
        <v>105.59</v>
      </c>
    </row>
    <row r="380" spans="1:10" x14ac:dyDescent="0.25">
      <c r="A380">
        <v>374</v>
      </c>
      <c r="B380" t="s">
        <v>1244</v>
      </c>
      <c r="C380" t="s">
        <v>329</v>
      </c>
      <c r="D380" t="s">
        <v>93</v>
      </c>
      <c r="E380" t="s">
        <v>57</v>
      </c>
      <c r="F380" t="s">
        <v>479</v>
      </c>
      <c r="G380" s="4">
        <v>43</v>
      </c>
      <c r="H380" s="4">
        <v>59</v>
      </c>
      <c r="I380" s="4">
        <v>102</v>
      </c>
      <c r="J380" s="7">
        <v>103.53</v>
      </c>
    </row>
    <row r="381" spans="1:10" x14ac:dyDescent="0.25">
      <c r="A381">
        <v>375</v>
      </c>
      <c r="B381" t="s">
        <v>1764</v>
      </c>
      <c r="C381" t="s">
        <v>120</v>
      </c>
      <c r="D381" t="s">
        <v>64</v>
      </c>
      <c r="E381" t="s">
        <v>57</v>
      </c>
      <c r="F381">
        <v>59</v>
      </c>
      <c r="G381" s="4">
        <v>32</v>
      </c>
      <c r="H381" s="4">
        <v>42</v>
      </c>
      <c r="I381" s="4">
        <v>74</v>
      </c>
      <c r="J381" s="7">
        <v>102.4</v>
      </c>
    </row>
    <row r="382" spans="1:10" x14ac:dyDescent="0.25">
      <c r="A382">
        <v>376</v>
      </c>
      <c r="B382" t="s">
        <v>1710</v>
      </c>
      <c r="C382" t="s">
        <v>1169</v>
      </c>
      <c r="D382" t="s">
        <v>93</v>
      </c>
      <c r="E382" t="s">
        <v>57</v>
      </c>
      <c r="F382">
        <v>40</v>
      </c>
      <c r="G382" s="4">
        <v>22</v>
      </c>
      <c r="H382" s="4">
        <v>29</v>
      </c>
      <c r="I382" s="4">
        <v>51</v>
      </c>
      <c r="J382" s="7">
        <v>97.07</v>
      </c>
    </row>
    <row r="383" spans="1:10" x14ac:dyDescent="0.25">
      <c r="A383">
        <v>377</v>
      </c>
      <c r="B383" t="s">
        <v>2712</v>
      </c>
      <c r="C383" t="s">
        <v>335</v>
      </c>
      <c r="D383" t="s">
        <v>93</v>
      </c>
      <c r="E383" t="s">
        <v>57</v>
      </c>
      <c r="F383">
        <v>45</v>
      </c>
      <c r="G383" s="4">
        <v>23</v>
      </c>
      <c r="H383" s="4">
        <v>33</v>
      </c>
      <c r="I383" s="4">
        <v>56</v>
      </c>
      <c r="J383" s="7">
        <v>95.25</v>
      </c>
    </row>
    <row r="384" spans="1:10" x14ac:dyDescent="0.25">
      <c r="A384">
        <v>378</v>
      </c>
      <c r="B384" t="s">
        <v>775</v>
      </c>
      <c r="C384" t="s">
        <v>469</v>
      </c>
      <c r="D384" t="s">
        <v>93</v>
      </c>
      <c r="E384" t="s">
        <v>57</v>
      </c>
      <c r="F384">
        <v>40</v>
      </c>
      <c r="G384" s="4">
        <v>18</v>
      </c>
      <c r="H384" s="4">
        <v>27</v>
      </c>
      <c r="I384" s="4">
        <v>45</v>
      </c>
      <c r="J384" s="7">
        <v>86.28</v>
      </c>
    </row>
    <row r="385" spans="1:10" x14ac:dyDescent="0.25">
      <c r="A385">
        <v>379</v>
      </c>
      <c r="B385" t="s">
        <v>1597</v>
      </c>
      <c r="C385" t="s">
        <v>501</v>
      </c>
      <c r="D385" t="s">
        <v>49</v>
      </c>
      <c r="E385" t="s">
        <v>126</v>
      </c>
      <c r="F385">
        <v>71</v>
      </c>
      <c r="G385" s="4">
        <v>60</v>
      </c>
      <c r="H385" s="4">
        <v>0</v>
      </c>
      <c r="I385" s="4">
        <v>60</v>
      </c>
      <c r="J385" s="7">
        <v>0</v>
      </c>
    </row>
    <row r="386" spans="1:10" x14ac:dyDescent="0.25">
      <c r="A386">
        <v>380</v>
      </c>
      <c r="B386" t="s">
        <v>4276</v>
      </c>
      <c r="C386" t="s">
        <v>598</v>
      </c>
      <c r="D386" t="s">
        <v>49</v>
      </c>
      <c r="E386" t="s">
        <v>126</v>
      </c>
      <c r="F386">
        <v>59</v>
      </c>
      <c r="G386" s="4">
        <v>63</v>
      </c>
      <c r="H386" s="4">
        <v>0</v>
      </c>
      <c r="I386" s="4">
        <v>63</v>
      </c>
      <c r="J386" s="7">
        <v>0</v>
      </c>
    </row>
    <row r="387" spans="1:10" x14ac:dyDescent="0.25">
      <c r="A387">
        <v>381</v>
      </c>
      <c r="B387" t="s">
        <v>3014</v>
      </c>
      <c r="C387" t="s">
        <v>660</v>
      </c>
      <c r="D387" t="s">
        <v>49</v>
      </c>
      <c r="E387" t="s">
        <v>57</v>
      </c>
      <c r="F387">
        <v>45</v>
      </c>
      <c r="G387" s="4">
        <v>27</v>
      </c>
      <c r="H387" s="4">
        <v>0</v>
      </c>
      <c r="I387" s="4">
        <v>27</v>
      </c>
      <c r="J387" s="7">
        <v>0</v>
      </c>
    </row>
    <row r="388" spans="1:10" x14ac:dyDescent="0.25">
      <c r="A388">
        <v>382</v>
      </c>
      <c r="B388" t="s">
        <v>4053</v>
      </c>
      <c r="C388" t="s">
        <v>271</v>
      </c>
      <c r="D388" t="s">
        <v>49</v>
      </c>
      <c r="E388" t="s">
        <v>113</v>
      </c>
      <c r="F388">
        <v>76</v>
      </c>
      <c r="G388" s="4">
        <v>82</v>
      </c>
      <c r="H388" s="4">
        <v>0</v>
      </c>
      <c r="I388" s="4">
        <v>82</v>
      </c>
      <c r="J388" s="7">
        <v>0</v>
      </c>
    </row>
    <row r="389" spans="1:10" x14ac:dyDescent="0.25">
      <c r="A389">
        <v>383</v>
      </c>
      <c r="B389" t="s">
        <v>346</v>
      </c>
      <c r="C389" t="s">
        <v>348</v>
      </c>
      <c r="D389" t="s">
        <v>49</v>
      </c>
      <c r="E389" t="s">
        <v>113</v>
      </c>
      <c r="F389">
        <v>64</v>
      </c>
      <c r="G389" s="4">
        <v>0</v>
      </c>
      <c r="H389" s="4">
        <v>79</v>
      </c>
      <c r="I389" s="4">
        <v>79</v>
      </c>
      <c r="J389" s="7">
        <v>0</v>
      </c>
    </row>
    <row r="390" spans="1:10" x14ac:dyDescent="0.25">
      <c r="A390">
        <v>384</v>
      </c>
      <c r="B390" t="s">
        <v>3223</v>
      </c>
      <c r="C390" t="s">
        <v>161</v>
      </c>
      <c r="D390" t="s">
        <v>49</v>
      </c>
      <c r="E390" t="s">
        <v>126</v>
      </c>
      <c r="F390">
        <v>55</v>
      </c>
      <c r="G390" s="4">
        <v>0</v>
      </c>
      <c r="H390" s="4">
        <v>80</v>
      </c>
      <c r="I390" s="4">
        <v>80</v>
      </c>
      <c r="J390" s="7">
        <v>0</v>
      </c>
    </row>
    <row r="391" spans="1:10" x14ac:dyDescent="0.25">
      <c r="A391">
        <v>385</v>
      </c>
      <c r="B391" t="s">
        <v>841</v>
      </c>
      <c r="C391" t="s">
        <v>395</v>
      </c>
      <c r="D391" t="s">
        <v>49</v>
      </c>
      <c r="E391" t="s">
        <v>126</v>
      </c>
      <c r="F391">
        <v>59</v>
      </c>
      <c r="G391" s="4">
        <v>68</v>
      </c>
      <c r="H391" s="4">
        <v>0</v>
      </c>
      <c r="I391" s="4">
        <v>68</v>
      </c>
      <c r="J391" s="7">
        <v>0</v>
      </c>
    </row>
    <row r="392" spans="1:10" x14ac:dyDescent="0.25">
      <c r="A392">
        <v>386</v>
      </c>
      <c r="B392" t="s">
        <v>785</v>
      </c>
      <c r="C392" t="s">
        <v>787</v>
      </c>
      <c r="D392" t="s">
        <v>49</v>
      </c>
      <c r="E392" t="s">
        <v>126</v>
      </c>
      <c r="F392">
        <v>71</v>
      </c>
      <c r="G392" s="4">
        <v>65</v>
      </c>
      <c r="H392" s="4">
        <v>0</v>
      </c>
      <c r="I392" s="4">
        <v>65</v>
      </c>
      <c r="J392" s="7">
        <v>0</v>
      </c>
    </row>
    <row r="393" spans="1:10" x14ac:dyDescent="0.25">
      <c r="A393">
        <v>387</v>
      </c>
      <c r="B393" t="s">
        <v>2771</v>
      </c>
      <c r="C393" t="s">
        <v>835</v>
      </c>
      <c r="D393" t="s">
        <v>49</v>
      </c>
      <c r="E393" t="s">
        <v>57</v>
      </c>
      <c r="F393">
        <v>59</v>
      </c>
      <c r="G393" s="4">
        <v>0</v>
      </c>
      <c r="H393" s="4">
        <v>0</v>
      </c>
      <c r="I393" s="4">
        <v>0</v>
      </c>
      <c r="J393" s="7">
        <v>0</v>
      </c>
    </row>
    <row r="394" spans="1:10" x14ac:dyDescent="0.25">
      <c r="A394">
        <v>388</v>
      </c>
      <c r="B394" t="s">
        <v>3921</v>
      </c>
      <c r="C394" t="s">
        <v>271</v>
      </c>
      <c r="D394" t="s">
        <v>49</v>
      </c>
      <c r="E394" t="s">
        <v>126</v>
      </c>
      <c r="F394">
        <v>71</v>
      </c>
      <c r="G394" s="4">
        <v>0</v>
      </c>
      <c r="H394" s="4">
        <v>0</v>
      </c>
      <c r="I394" s="4">
        <v>0</v>
      </c>
      <c r="J394" s="7">
        <v>0</v>
      </c>
    </row>
    <row r="395" spans="1:10" x14ac:dyDescent="0.25">
      <c r="A395">
        <v>389</v>
      </c>
      <c r="B395" t="s">
        <v>4334</v>
      </c>
      <c r="C395" t="s">
        <v>124</v>
      </c>
      <c r="D395" t="s">
        <v>49</v>
      </c>
      <c r="E395" t="s">
        <v>113</v>
      </c>
      <c r="F395">
        <v>59</v>
      </c>
      <c r="G395" s="4">
        <v>48</v>
      </c>
      <c r="H395" s="4">
        <v>0</v>
      </c>
      <c r="I395" s="4">
        <v>48</v>
      </c>
      <c r="J395" s="7">
        <v>0</v>
      </c>
    </row>
    <row r="396" spans="1:10" x14ac:dyDescent="0.25">
      <c r="A396">
        <v>390</v>
      </c>
      <c r="B396" t="s">
        <v>3403</v>
      </c>
      <c r="C396" t="s">
        <v>161</v>
      </c>
      <c r="D396" t="s">
        <v>49</v>
      </c>
      <c r="E396" t="s">
        <v>126</v>
      </c>
      <c r="F396">
        <v>59</v>
      </c>
      <c r="G396" s="4">
        <v>58</v>
      </c>
      <c r="H396" s="4">
        <v>0</v>
      </c>
      <c r="I396" s="4">
        <v>58</v>
      </c>
      <c r="J396" s="7">
        <v>0</v>
      </c>
    </row>
    <row r="397" spans="1:10" x14ac:dyDescent="0.25">
      <c r="A397">
        <v>391</v>
      </c>
      <c r="B397" t="s">
        <v>1822</v>
      </c>
      <c r="C397" t="s">
        <v>917</v>
      </c>
      <c r="D397" t="s">
        <v>49</v>
      </c>
      <c r="E397" t="s">
        <v>113</v>
      </c>
      <c r="F397">
        <v>49</v>
      </c>
      <c r="G397" s="4">
        <v>33</v>
      </c>
      <c r="H397" s="4">
        <v>0</v>
      </c>
      <c r="I397" s="4">
        <v>33</v>
      </c>
      <c r="J397" s="7">
        <v>0</v>
      </c>
    </row>
    <row r="398" spans="1:10" x14ac:dyDescent="0.25">
      <c r="A398">
        <v>392</v>
      </c>
      <c r="B398" t="s">
        <v>3339</v>
      </c>
      <c r="C398" t="s">
        <v>396</v>
      </c>
      <c r="D398" t="s">
        <v>49</v>
      </c>
      <c r="E398" t="s">
        <v>126</v>
      </c>
      <c r="F398">
        <v>76</v>
      </c>
      <c r="G398" s="4">
        <v>63</v>
      </c>
      <c r="H398" s="4">
        <v>0</v>
      </c>
      <c r="I398" s="4">
        <v>63</v>
      </c>
      <c r="J398" s="7">
        <v>0</v>
      </c>
    </row>
    <row r="399" spans="1:10" x14ac:dyDescent="0.25">
      <c r="A399">
        <v>393</v>
      </c>
      <c r="B399" t="s">
        <v>698</v>
      </c>
      <c r="C399" t="s">
        <v>672</v>
      </c>
      <c r="D399" t="s">
        <v>49</v>
      </c>
      <c r="E399" t="s">
        <v>113</v>
      </c>
      <c r="F399">
        <v>45</v>
      </c>
      <c r="G399" s="4">
        <v>54</v>
      </c>
      <c r="H399" s="4">
        <v>0</v>
      </c>
      <c r="I399" s="4">
        <v>54</v>
      </c>
      <c r="J399" s="7">
        <v>0</v>
      </c>
    </row>
    <row r="400" spans="1:10" x14ac:dyDescent="0.25">
      <c r="A400">
        <v>394</v>
      </c>
      <c r="B400" t="s">
        <v>1652</v>
      </c>
      <c r="C400" t="s">
        <v>386</v>
      </c>
      <c r="D400" t="s">
        <v>49</v>
      </c>
      <c r="E400" t="s">
        <v>126</v>
      </c>
      <c r="F400">
        <v>87</v>
      </c>
      <c r="G400" s="4">
        <v>71</v>
      </c>
      <c r="H400" s="4">
        <v>0</v>
      </c>
      <c r="I400" s="4">
        <v>71</v>
      </c>
      <c r="J400" s="7">
        <v>0</v>
      </c>
    </row>
    <row r="401" spans="1:10" x14ac:dyDescent="0.25">
      <c r="A401">
        <v>395</v>
      </c>
      <c r="B401" t="s">
        <v>2001</v>
      </c>
      <c r="C401" t="s">
        <v>548</v>
      </c>
      <c r="D401" t="s">
        <v>49</v>
      </c>
      <c r="E401" t="s">
        <v>126</v>
      </c>
      <c r="F401">
        <v>59</v>
      </c>
      <c r="G401" s="4">
        <v>0</v>
      </c>
      <c r="H401" s="4">
        <v>0</v>
      </c>
      <c r="I401" s="4">
        <v>0</v>
      </c>
      <c r="J401" s="7">
        <v>0</v>
      </c>
    </row>
    <row r="402" spans="1:10" x14ac:dyDescent="0.25">
      <c r="A402">
        <v>396</v>
      </c>
      <c r="B402" t="s">
        <v>1214</v>
      </c>
      <c r="C402" t="s">
        <v>154</v>
      </c>
      <c r="D402" t="s">
        <v>49</v>
      </c>
      <c r="E402" t="s">
        <v>126</v>
      </c>
      <c r="F402">
        <v>59</v>
      </c>
      <c r="G402" s="4">
        <v>0</v>
      </c>
      <c r="H402" s="4">
        <v>65</v>
      </c>
      <c r="I402" s="4">
        <v>65</v>
      </c>
      <c r="J402" s="7">
        <v>0</v>
      </c>
    </row>
    <row r="403" spans="1:10" x14ac:dyDescent="0.25">
      <c r="A403">
        <v>397</v>
      </c>
      <c r="B403" t="s">
        <v>2948</v>
      </c>
      <c r="C403" t="s">
        <v>161</v>
      </c>
      <c r="D403" t="s">
        <v>49</v>
      </c>
      <c r="E403" t="s">
        <v>126</v>
      </c>
      <c r="F403">
        <v>64</v>
      </c>
      <c r="G403" s="4">
        <v>58</v>
      </c>
      <c r="H403" s="4">
        <v>0</v>
      </c>
      <c r="I403" s="4">
        <v>58</v>
      </c>
      <c r="J403" s="7">
        <v>0</v>
      </c>
    </row>
    <row r="404" spans="1:10" x14ac:dyDescent="0.25">
      <c r="A404">
        <v>398</v>
      </c>
      <c r="B404" t="s">
        <v>3458</v>
      </c>
      <c r="C404" t="s">
        <v>506</v>
      </c>
      <c r="D404" t="s">
        <v>49</v>
      </c>
      <c r="E404" t="s">
        <v>126</v>
      </c>
      <c r="F404">
        <v>64</v>
      </c>
      <c r="G404" s="4">
        <v>63</v>
      </c>
      <c r="H404" s="4">
        <v>0</v>
      </c>
      <c r="I404" s="4">
        <v>63</v>
      </c>
      <c r="J404" s="7">
        <v>0</v>
      </c>
    </row>
    <row r="405" spans="1:10" x14ac:dyDescent="0.25">
      <c r="A405">
        <v>399</v>
      </c>
      <c r="B405" t="s">
        <v>3984</v>
      </c>
      <c r="C405" t="s">
        <v>413</v>
      </c>
      <c r="D405" t="s">
        <v>49</v>
      </c>
      <c r="E405" t="s">
        <v>95</v>
      </c>
      <c r="F405">
        <v>64</v>
      </c>
      <c r="G405" s="4">
        <v>44</v>
      </c>
      <c r="H405" s="4">
        <v>0</v>
      </c>
      <c r="I405" s="4">
        <v>44</v>
      </c>
      <c r="J405" s="7">
        <v>0</v>
      </c>
    </row>
    <row r="406" spans="1:10" x14ac:dyDescent="0.25">
      <c r="A406">
        <v>400</v>
      </c>
      <c r="B406" t="s">
        <v>4292</v>
      </c>
      <c r="C406" t="s">
        <v>901</v>
      </c>
      <c r="D406" t="s">
        <v>49</v>
      </c>
      <c r="E406" t="s">
        <v>126</v>
      </c>
      <c r="F406">
        <v>71</v>
      </c>
      <c r="G406" s="4">
        <v>0</v>
      </c>
      <c r="H406" s="4">
        <v>0</v>
      </c>
      <c r="I406" s="4">
        <v>0</v>
      </c>
      <c r="J406" s="7">
        <v>0</v>
      </c>
    </row>
    <row r="407" spans="1:10" x14ac:dyDescent="0.25">
      <c r="A407">
        <v>401</v>
      </c>
      <c r="B407" t="s">
        <v>4040</v>
      </c>
      <c r="C407" t="s">
        <v>674</v>
      </c>
      <c r="D407" t="s">
        <v>49</v>
      </c>
      <c r="E407" t="s">
        <v>113</v>
      </c>
      <c r="F407">
        <v>55</v>
      </c>
      <c r="G407" s="4">
        <v>0</v>
      </c>
      <c r="H407" s="4">
        <v>62</v>
      </c>
      <c r="I407" s="4">
        <v>62</v>
      </c>
      <c r="J407" s="7">
        <v>0</v>
      </c>
    </row>
    <row r="408" spans="1:10" x14ac:dyDescent="0.25">
      <c r="A408">
        <v>402</v>
      </c>
      <c r="B408" t="s">
        <v>2020</v>
      </c>
      <c r="C408" t="s">
        <v>147</v>
      </c>
      <c r="D408" t="s">
        <v>49</v>
      </c>
      <c r="E408" t="s">
        <v>113</v>
      </c>
      <c r="F408">
        <v>55</v>
      </c>
      <c r="G408" s="4">
        <v>48</v>
      </c>
      <c r="H408" s="4">
        <v>0</v>
      </c>
      <c r="I408" s="4">
        <v>48</v>
      </c>
      <c r="J408" s="7">
        <v>0</v>
      </c>
    </row>
    <row r="409" spans="1:10" x14ac:dyDescent="0.25">
      <c r="A409">
        <v>403</v>
      </c>
      <c r="B409" t="s">
        <v>3927</v>
      </c>
      <c r="C409" t="s">
        <v>255</v>
      </c>
      <c r="D409" t="s">
        <v>49</v>
      </c>
      <c r="E409" t="s">
        <v>113</v>
      </c>
      <c r="F409">
        <v>81</v>
      </c>
      <c r="G409" s="4">
        <v>80</v>
      </c>
      <c r="H409" s="4">
        <v>0</v>
      </c>
      <c r="I409" s="4">
        <v>80</v>
      </c>
      <c r="J409" s="7">
        <v>0</v>
      </c>
    </row>
    <row r="410" spans="1:10" x14ac:dyDescent="0.25">
      <c r="A410">
        <v>404</v>
      </c>
      <c r="B410" t="s">
        <v>3221</v>
      </c>
      <c r="C410" t="s">
        <v>124</v>
      </c>
      <c r="D410" t="s">
        <v>49</v>
      </c>
      <c r="E410" t="s">
        <v>126</v>
      </c>
      <c r="F410">
        <v>49</v>
      </c>
      <c r="G410" s="4">
        <v>54</v>
      </c>
      <c r="H410" s="4">
        <v>0</v>
      </c>
      <c r="I410" s="4">
        <v>54</v>
      </c>
      <c r="J410" s="7">
        <v>0</v>
      </c>
    </row>
    <row r="411" spans="1:10" x14ac:dyDescent="0.25">
      <c r="A411">
        <v>405</v>
      </c>
      <c r="B411" t="s">
        <v>980</v>
      </c>
      <c r="C411" t="s">
        <v>255</v>
      </c>
      <c r="D411" t="s">
        <v>49</v>
      </c>
      <c r="E411" t="s">
        <v>95</v>
      </c>
      <c r="F411">
        <v>64</v>
      </c>
      <c r="G411" s="4">
        <v>0</v>
      </c>
      <c r="H411" s="4">
        <v>0</v>
      </c>
      <c r="I411" s="4">
        <v>0</v>
      </c>
      <c r="J411" s="7">
        <v>0</v>
      </c>
    </row>
    <row r="412" spans="1:10" x14ac:dyDescent="0.25">
      <c r="A412">
        <v>406</v>
      </c>
      <c r="B412" t="s">
        <v>3354</v>
      </c>
      <c r="C412" t="s">
        <v>1489</v>
      </c>
      <c r="D412" t="s">
        <v>49</v>
      </c>
      <c r="E412" t="s">
        <v>126</v>
      </c>
      <c r="F412">
        <v>64</v>
      </c>
      <c r="G412" s="4">
        <v>56</v>
      </c>
      <c r="H412" s="4">
        <v>0</v>
      </c>
      <c r="I412" s="4">
        <v>56</v>
      </c>
      <c r="J412" s="7">
        <v>0</v>
      </c>
    </row>
    <row r="413" spans="1:10" x14ac:dyDescent="0.25">
      <c r="A413">
        <v>407</v>
      </c>
      <c r="B413" t="s">
        <v>3987</v>
      </c>
      <c r="C413" t="s">
        <v>606</v>
      </c>
      <c r="D413" t="s">
        <v>49</v>
      </c>
      <c r="E413" t="s">
        <v>126</v>
      </c>
      <c r="F413">
        <v>59</v>
      </c>
      <c r="G413" s="4">
        <v>0</v>
      </c>
      <c r="H413" s="4">
        <v>70</v>
      </c>
      <c r="I413" s="4">
        <v>70</v>
      </c>
      <c r="J413" s="7">
        <v>0</v>
      </c>
    </row>
    <row r="414" spans="1:10" x14ac:dyDescent="0.25">
      <c r="A414">
        <v>408</v>
      </c>
      <c r="B414" t="s">
        <v>3893</v>
      </c>
      <c r="C414" t="s">
        <v>532</v>
      </c>
      <c r="D414" t="s">
        <v>49</v>
      </c>
      <c r="E414" t="s">
        <v>126</v>
      </c>
      <c r="F414">
        <v>71</v>
      </c>
      <c r="G414" s="4">
        <v>0</v>
      </c>
      <c r="H414" s="4">
        <v>0</v>
      </c>
      <c r="I414" s="4">
        <v>0</v>
      </c>
      <c r="J414" s="7">
        <v>0</v>
      </c>
    </row>
    <row r="415" spans="1:10" x14ac:dyDescent="0.25">
      <c r="A415">
        <v>409</v>
      </c>
      <c r="B415" t="s">
        <v>1452</v>
      </c>
      <c r="C415" t="s">
        <v>400</v>
      </c>
      <c r="D415" t="s">
        <v>49</v>
      </c>
      <c r="E415" t="s">
        <v>57</v>
      </c>
      <c r="F415">
        <v>49</v>
      </c>
      <c r="G415" s="4">
        <v>0</v>
      </c>
      <c r="H415" s="4">
        <v>0</v>
      </c>
      <c r="I415" s="4">
        <v>0</v>
      </c>
      <c r="J415" s="7">
        <v>0</v>
      </c>
    </row>
    <row r="416" spans="1:10" x14ac:dyDescent="0.25">
      <c r="A416">
        <v>410</v>
      </c>
      <c r="B416" t="s">
        <v>2670</v>
      </c>
      <c r="C416" t="s">
        <v>787</v>
      </c>
      <c r="D416" t="s">
        <v>49</v>
      </c>
      <c r="E416" t="s">
        <v>126</v>
      </c>
      <c r="F416">
        <v>45</v>
      </c>
      <c r="G416" s="4">
        <v>0</v>
      </c>
      <c r="H416" s="4">
        <v>58</v>
      </c>
      <c r="I416" s="4">
        <v>58</v>
      </c>
      <c r="J416" s="7">
        <v>0</v>
      </c>
    </row>
    <row r="417" spans="1:10" x14ac:dyDescent="0.25">
      <c r="A417">
        <v>411</v>
      </c>
      <c r="B417" t="s">
        <v>2092</v>
      </c>
      <c r="C417" t="s">
        <v>714</v>
      </c>
      <c r="D417" t="s">
        <v>49</v>
      </c>
      <c r="E417" t="s">
        <v>126</v>
      </c>
      <c r="F417">
        <v>49</v>
      </c>
      <c r="G417" s="4">
        <v>50</v>
      </c>
      <c r="H417" s="4">
        <v>0</v>
      </c>
      <c r="I417" s="4">
        <v>50</v>
      </c>
      <c r="J417" s="7">
        <v>0</v>
      </c>
    </row>
    <row r="418" spans="1:10" x14ac:dyDescent="0.25">
      <c r="A418">
        <v>412</v>
      </c>
      <c r="B418" t="s">
        <v>2474</v>
      </c>
      <c r="C418" t="s">
        <v>404</v>
      </c>
      <c r="D418" t="s">
        <v>49</v>
      </c>
      <c r="E418" t="s">
        <v>126</v>
      </c>
      <c r="F418" t="s">
        <v>135</v>
      </c>
      <c r="G418" s="4">
        <v>0</v>
      </c>
      <c r="H418" s="4">
        <v>0</v>
      </c>
      <c r="I418" s="4">
        <v>0</v>
      </c>
      <c r="J418" s="7">
        <v>0</v>
      </c>
    </row>
    <row r="419" spans="1:10" x14ac:dyDescent="0.25">
      <c r="A419">
        <v>413</v>
      </c>
      <c r="B419" t="s">
        <v>2888</v>
      </c>
      <c r="C419" t="s">
        <v>413</v>
      </c>
      <c r="D419" t="s">
        <v>49</v>
      </c>
      <c r="E419" t="s">
        <v>126</v>
      </c>
      <c r="F419">
        <v>49</v>
      </c>
      <c r="G419" s="4">
        <v>0</v>
      </c>
      <c r="H419" s="4">
        <v>0</v>
      </c>
      <c r="I419" s="4">
        <v>0</v>
      </c>
      <c r="J419" s="7">
        <v>0</v>
      </c>
    </row>
    <row r="420" spans="1:10" x14ac:dyDescent="0.25">
      <c r="A420">
        <v>414</v>
      </c>
      <c r="B420" t="s">
        <v>4433</v>
      </c>
      <c r="G420" s="4">
        <v>23158</v>
      </c>
      <c r="H420" s="4">
        <v>27989</v>
      </c>
      <c r="I420" s="4">
        <v>51147</v>
      </c>
      <c r="J420" s="7">
        <v>66992.049999999945</v>
      </c>
    </row>
    <row r="421" spans="1:10" x14ac:dyDescent="0.25">
      <c r="G421"/>
    </row>
    <row r="422" spans="1:10" x14ac:dyDescent="0.25">
      <c r="G422"/>
    </row>
    <row r="423" spans="1:10" x14ac:dyDescent="0.25">
      <c r="G423"/>
    </row>
    <row r="424" spans="1:10" x14ac:dyDescent="0.25">
      <c r="G424"/>
    </row>
    <row r="425" spans="1:10" x14ac:dyDescent="0.25">
      <c r="G425"/>
    </row>
    <row r="426" spans="1:10" x14ac:dyDescent="0.25">
      <c r="G426"/>
    </row>
    <row r="427" spans="1:10" x14ac:dyDescent="0.25">
      <c r="G427"/>
    </row>
    <row r="428" spans="1:10" x14ac:dyDescent="0.25">
      <c r="G428"/>
    </row>
    <row r="429" spans="1:10" x14ac:dyDescent="0.25">
      <c r="G429"/>
    </row>
    <row r="430" spans="1:10" x14ac:dyDescent="0.25">
      <c r="G430"/>
    </row>
    <row r="431" spans="1:10" x14ac:dyDescent="0.25">
      <c r="G431"/>
    </row>
    <row r="432" spans="1:10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60256-CF5F-446C-B1A2-2D0EAC6E5101}">
  <sheetPr>
    <tabColor theme="6" tint="0.39997558519241921"/>
  </sheetPr>
  <dimension ref="A3:J529"/>
  <sheetViews>
    <sheetView workbookViewId="0">
      <selection activeCell="E8" sqref="E8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6" width="12.5703125" bestFit="1" customWidth="1"/>
    <col min="7" max="7" width="18" style="6" bestFit="1" customWidth="1"/>
    <col min="8" max="8" width="17.140625" bestFit="1" customWidth="1"/>
    <col min="9" max="9" width="20.5703125" bestFit="1" customWidth="1"/>
    <col min="10" max="10" width="14.42578125" bestFit="1" customWidth="1"/>
  </cols>
  <sheetData>
    <row r="3" spans="1:10" x14ac:dyDescent="0.25">
      <c r="B3" s="2" t="s">
        <v>31</v>
      </c>
      <c r="C3" t="s">
        <v>52</v>
      </c>
    </row>
    <row r="4" spans="1:10" x14ac:dyDescent="0.25">
      <c r="G4"/>
    </row>
    <row r="5" spans="1:10" x14ac:dyDescent="0.25">
      <c r="G5" s="2" t="s">
        <v>4438</v>
      </c>
    </row>
    <row r="6" spans="1:10" x14ac:dyDescent="0.25">
      <c r="B6" s="2" t="s">
        <v>0</v>
      </c>
      <c r="C6" s="2" t="s">
        <v>42</v>
      </c>
      <c r="D6" s="2" t="s">
        <v>24</v>
      </c>
      <c r="E6" s="2" t="s">
        <v>27</v>
      </c>
      <c r="F6" s="2" t="s">
        <v>26</v>
      </c>
      <c r="G6" t="s">
        <v>4439</v>
      </c>
      <c r="H6" t="s">
        <v>4440</v>
      </c>
      <c r="I6" t="s">
        <v>4441</v>
      </c>
      <c r="J6" t="s">
        <v>4434</v>
      </c>
    </row>
    <row r="7" spans="1:10" x14ac:dyDescent="0.25">
      <c r="A7">
        <v>1</v>
      </c>
      <c r="B7" t="s">
        <v>1260</v>
      </c>
      <c r="C7" t="s">
        <v>386</v>
      </c>
      <c r="D7" t="s">
        <v>98</v>
      </c>
      <c r="E7" t="s">
        <v>126</v>
      </c>
      <c r="F7">
        <v>109</v>
      </c>
      <c r="G7" s="4">
        <v>154</v>
      </c>
      <c r="H7" s="4">
        <v>200</v>
      </c>
      <c r="I7" s="4">
        <v>354</v>
      </c>
      <c r="J7" s="7">
        <v>393.03</v>
      </c>
    </row>
    <row r="8" spans="1:10" x14ac:dyDescent="0.25">
      <c r="A8">
        <v>2</v>
      </c>
      <c r="B8" t="s">
        <v>4364</v>
      </c>
      <c r="C8" t="s">
        <v>535</v>
      </c>
      <c r="D8" t="s">
        <v>98</v>
      </c>
      <c r="E8" t="s">
        <v>126</v>
      </c>
      <c r="F8">
        <v>102</v>
      </c>
      <c r="G8" s="4">
        <v>161</v>
      </c>
      <c r="H8" s="4">
        <v>180</v>
      </c>
      <c r="I8" s="4">
        <v>341</v>
      </c>
      <c r="J8" s="7">
        <v>388.84</v>
      </c>
    </row>
    <row r="9" spans="1:10" x14ac:dyDescent="0.25">
      <c r="A9">
        <v>3</v>
      </c>
      <c r="B9" t="s">
        <v>2075</v>
      </c>
      <c r="C9" t="s">
        <v>386</v>
      </c>
      <c r="D9" t="s">
        <v>94</v>
      </c>
      <c r="E9" t="s">
        <v>126</v>
      </c>
      <c r="F9">
        <v>81</v>
      </c>
      <c r="G9" s="4">
        <v>125</v>
      </c>
      <c r="H9" s="4">
        <v>161</v>
      </c>
      <c r="I9" s="4">
        <v>286</v>
      </c>
      <c r="J9" s="7">
        <v>370.57</v>
      </c>
    </row>
    <row r="10" spans="1:10" x14ac:dyDescent="0.25">
      <c r="A10">
        <v>4</v>
      </c>
      <c r="B10" t="s">
        <v>3176</v>
      </c>
      <c r="C10" t="s">
        <v>258</v>
      </c>
      <c r="D10" t="s">
        <v>94</v>
      </c>
      <c r="E10" t="s">
        <v>126</v>
      </c>
      <c r="F10">
        <v>81</v>
      </c>
      <c r="G10" s="4">
        <v>130</v>
      </c>
      <c r="H10" s="4">
        <v>160</v>
      </c>
      <c r="I10" s="4">
        <v>290</v>
      </c>
      <c r="J10" s="7">
        <v>369.3</v>
      </c>
    </row>
    <row r="11" spans="1:10" x14ac:dyDescent="0.25">
      <c r="A11">
        <v>5</v>
      </c>
      <c r="B11" t="s">
        <v>4382</v>
      </c>
      <c r="C11" t="s">
        <v>400</v>
      </c>
      <c r="D11" t="s">
        <v>94</v>
      </c>
      <c r="E11" t="s">
        <v>126</v>
      </c>
      <c r="F11">
        <v>81</v>
      </c>
      <c r="G11" s="4">
        <v>127</v>
      </c>
      <c r="H11" s="4">
        <v>161</v>
      </c>
      <c r="I11" s="4">
        <v>288</v>
      </c>
      <c r="J11" s="7">
        <v>368.02</v>
      </c>
    </row>
    <row r="12" spans="1:10" x14ac:dyDescent="0.25">
      <c r="A12">
        <v>6</v>
      </c>
      <c r="B12" t="s">
        <v>2314</v>
      </c>
      <c r="C12" t="s">
        <v>271</v>
      </c>
      <c r="D12" t="s">
        <v>94</v>
      </c>
      <c r="E12" t="s">
        <v>126</v>
      </c>
      <c r="F12">
        <v>81</v>
      </c>
      <c r="G12" s="4">
        <v>130</v>
      </c>
      <c r="H12" s="4">
        <v>145</v>
      </c>
      <c r="I12" s="4">
        <v>275</v>
      </c>
      <c r="J12" s="7">
        <v>365.28</v>
      </c>
    </row>
    <row r="13" spans="1:10" x14ac:dyDescent="0.25">
      <c r="A13">
        <v>7</v>
      </c>
      <c r="B13" t="s">
        <v>4298</v>
      </c>
      <c r="C13" t="s">
        <v>134</v>
      </c>
      <c r="D13" t="s">
        <v>94</v>
      </c>
      <c r="E13" t="s">
        <v>126</v>
      </c>
      <c r="F13">
        <v>73</v>
      </c>
      <c r="G13" s="4">
        <v>125</v>
      </c>
      <c r="H13" s="4">
        <v>145</v>
      </c>
      <c r="I13" s="4">
        <v>270</v>
      </c>
      <c r="J13" s="7">
        <v>363.96</v>
      </c>
    </row>
    <row r="14" spans="1:10" x14ac:dyDescent="0.25">
      <c r="A14">
        <v>8</v>
      </c>
      <c r="B14" t="s">
        <v>1251</v>
      </c>
      <c r="C14" t="s">
        <v>70</v>
      </c>
      <c r="D14" t="s">
        <v>94</v>
      </c>
      <c r="E14" t="s">
        <v>126</v>
      </c>
      <c r="F14">
        <v>96</v>
      </c>
      <c r="G14" s="4">
        <v>138</v>
      </c>
      <c r="H14" s="4">
        <v>166</v>
      </c>
      <c r="I14" s="4">
        <v>304</v>
      </c>
      <c r="J14" s="7">
        <v>359.7</v>
      </c>
    </row>
    <row r="15" spans="1:10" x14ac:dyDescent="0.25">
      <c r="A15">
        <v>9</v>
      </c>
      <c r="B15" t="s">
        <v>2555</v>
      </c>
      <c r="C15" t="s">
        <v>506</v>
      </c>
      <c r="D15" t="s">
        <v>94</v>
      </c>
      <c r="E15" t="s">
        <v>126</v>
      </c>
      <c r="F15">
        <v>89</v>
      </c>
      <c r="G15" s="4">
        <v>136</v>
      </c>
      <c r="H15" s="4">
        <v>161</v>
      </c>
      <c r="I15" s="4">
        <v>297</v>
      </c>
      <c r="J15" s="7">
        <v>359.2</v>
      </c>
    </row>
    <row r="16" spans="1:10" x14ac:dyDescent="0.25">
      <c r="A16">
        <v>10</v>
      </c>
      <c r="B16" t="s">
        <v>1320</v>
      </c>
      <c r="C16" t="s">
        <v>47</v>
      </c>
      <c r="D16" t="s">
        <v>94</v>
      </c>
      <c r="E16" t="s">
        <v>126</v>
      </c>
      <c r="F16">
        <v>109</v>
      </c>
      <c r="G16" s="4">
        <v>137</v>
      </c>
      <c r="H16" s="4">
        <v>180</v>
      </c>
      <c r="I16" s="4">
        <v>317</v>
      </c>
      <c r="J16" s="7">
        <v>356.79</v>
      </c>
    </row>
    <row r="17" spans="1:10" x14ac:dyDescent="0.25">
      <c r="A17">
        <v>11</v>
      </c>
      <c r="B17" t="s">
        <v>2560</v>
      </c>
      <c r="C17" t="s">
        <v>124</v>
      </c>
      <c r="D17" t="s">
        <v>94</v>
      </c>
      <c r="E17" t="s">
        <v>126</v>
      </c>
      <c r="F17">
        <v>73</v>
      </c>
      <c r="G17" s="4">
        <v>115</v>
      </c>
      <c r="H17" s="4">
        <v>147</v>
      </c>
      <c r="I17" s="4">
        <v>262</v>
      </c>
      <c r="J17" s="7">
        <v>356.5</v>
      </c>
    </row>
    <row r="18" spans="1:10" x14ac:dyDescent="0.25">
      <c r="A18">
        <v>12</v>
      </c>
      <c r="B18" t="s">
        <v>3967</v>
      </c>
      <c r="C18" t="s">
        <v>402</v>
      </c>
      <c r="D18" t="s">
        <v>98</v>
      </c>
      <c r="E18" t="s">
        <v>113</v>
      </c>
      <c r="F18">
        <v>81</v>
      </c>
      <c r="G18" s="4">
        <v>125</v>
      </c>
      <c r="H18" s="4">
        <v>154</v>
      </c>
      <c r="I18" s="4">
        <v>279</v>
      </c>
      <c r="J18" s="7">
        <v>354.33</v>
      </c>
    </row>
    <row r="19" spans="1:10" x14ac:dyDescent="0.25">
      <c r="A19">
        <v>13</v>
      </c>
      <c r="B19" t="s">
        <v>4012</v>
      </c>
      <c r="C19" t="s">
        <v>386</v>
      </c>
      <c r="D19" t="s">
        <v>94</v>
      </c>
      <c r="E19" t="s">
        <v>126</v>
      </c>
      <c r="F19">
        <v>96</v>
      </c>
      <c r="G19" s="4">
        <v>135</v>
      </c>
      <c r="H19" s="4">
        <v>160</v>
      </c>
      <c r="I19" s="4">
        <v>295</v>
      </c>
      <c r="J19" s="7">
        <v>351.43</v>
      </c>
    </row>
    <row r="20" spans="1:10" x14ac:dyDescent="0.25">
      <c r="A20">
        <v>14</v>
      </c>
      <c r="B20" t="s">
        <v>3531</v>
      </c>
      <c r="C20" t="s">
        <v>383</v>
      </c>
      <c r="D20" t="s">
        <v>94</v>
      </c>
      <c r="E20" t="s">
        <v>126</v>
      </c>
      <c r="F20">
        <v>89</v>
      </c>
      <c r="G20" s="4">
        <v>132</v>
      </c>
      <c r="H20" s="4">
        <v>155</v>
      </c>
      <c r="I20" s="4">
        <v>287</v>
      </c>
      <c r="J20" s="7">
        <v>351.24</v>
      </c>
    </row>
    <row r="21" spans="1:10" x14ac:dyDescent="0.25">
      <c r="A21">
        <v>15</v>
      </c>
      <c r="B21" t="s">
        <v>1397</v>
      </c>
      <c r="C21" t="s">
        <v>536</v>
      </c>
      <c r="D21" t="s">
        <v>94</v>
      </c>
      <c r="E21" t="s">
        <v>126</v>
      </c>
      <c r="F21">
        <v>73</v>
      </c>
      <c r="G21" s="4">
        <v>120</v>
      </c>
      <c r="H21" s="4">
        <v>140</v>
      </c>
      <c r="I21" s="4">
        <v>260</v>
      </c>
      <c r="J21" s="7">
        <v>350.77</v>
      </c>
    </row>
    <row r="22" spans="1:10" x14ac:dyDescent="0.25">
      <c r="A22">
        <v>16</v>
      </c>
      <c r="B22" t="s">
        <v>1088</v>
      </c>
      <c r="C22" t="s">
        <v>402</v>
      </c>
      <c r="D22" t="s">
        <v>94</v>
      </c>
      <c r="E22" t="s">
        <v>126</v>
      </c>
      <c r="F22">
        <v>67</v>
      </c>
      <c r="G22" s="4">
        <v>108</v>
      </c>
      <c r="H22" s="4">
        <v>137</v>
      </c>
      <c r="I22" s="4">
        <v>245</v>
      </c>
      <c r="J22" s="7">
        <v>350.62</v>
      </c>
    </row>
    <row r="23" spans="1:10" x14ac:dyDescent="0.25">
      <c r="A23">
        <v>17</v>
      </c>
      <c r="B23" t="s">
        <v>4268</v>
      </c>
      <c r="C23" t="s">
        <v>697</v>
      </c>
      <c r="D23" t="s">
        <v>94</v>
      </c>
      <c r="E23" t="s">
        <v>126</v>
      </c>
      <c r="F23">
        <v>89</v>
      </c>
      <c r="G23" s="4">
        <v>130</v>
      </c>
      <c r="H23" s="4">
        <v>157</v>
      </c>
      <c r="I23" s="4">
        <v>287</v>
      </c>
      <c r="J23" s="7">
        <v>350.23</v>
      </c>
    </row>
    <row r="24" spans="1:10" x14ac:dyDescent="0.25">
      <c r="A24">
        <v>18</v>
      </c>
      <c r="B24" t="s">
        <v>256</v>
      </c>
      <c r="C24" t="s">
        <v>258</v>
      </c>
      <c r="D24" t="s">
        <v>94</v>
      </c>
      <c r="E24" t="s">
        <v>126</v>
      </c>
      <c r="F24">
        <v>81</v>
      </c>
      <c r="G24" s="4">
        <v>130</v>
      </c>
      <c r="H24" s="4">
        <v>145</v>
      </c>
      <c r="I24" s="4">
        <v>275</v>
      </c>
      <c r="J24" s="7">
        <v>350.2</v>
      </c>
    </row>
    <row r="25" spans="1:10" x14ac:dyDescent="0.25">
      <c r="A25">
        <v>19</v>
      </c>
      <c r="B25" t="s">
        <v>4195</v>
      </c>
      <c r="C25" t="s">
        <v>419</v>
      </c>
      <c r="D25" t="s">
        <v>94</v>
      </c>
      <c r="E25" t="s">
        <v>126</v>
      </c>
      <c r="F25">
        <v>89</v>
      </c>
      <c r="G25" s="4">
        <v>130</v>
      </c>
      <c r="H25" s="4">
        <v>157</v>
      </c>
      <c r="I25" s="4">
        <v>287</v>
      </c>
      <c r="J25" s="7">
        <v>349.93</v>
      </c>
    </row>
    <row r="26" spans="1:10" x14ac:dyDescent="0.25">
      <c r="A26">
        <v>20</v>
      </c>
      <c r="B26" t="s">
        <v>2403</v>
      </c>
      <c r="C26" t="s">
        <v>660</v>
      </c>
      <c r="D26" t="s">
        <v>94</v>
      </c>
      <c r="E26" t="s">
        <v>126</v>
      </c>
      <c r="F26">
        <v>81</v>
      </c>
      <c r="G26" s="4">
        <v>123</v>
      </c>
      <c r="H26" s="4">
        <v>152</v>
      </c>
      <c r="I26" s="4">
        <v>275</v>
      </c>
      <c r="J26" s="7">
        <v>349.72</v>
      </c>
    </row>
    <row r="27" spans="1:10" x14ac:dyDescent="0.25">
      <c r="A27">
        <v>21</v>
      </c>
      <c r="B27" t="s">
        <v>4362</v>
      </c>
      <c r="C27" t="s">
        <v>120</v>
      </c>
      <c r="D27" t="s">
        <v>94</v>
      </c>
      <c r="E27" t="s">
        <v>126</v>
      </c>
      <c r="F27">
        <v>81</v>
      </c>
      <c r="G27" s="4">
        <v>115</v>
      </c>
      <c r="H27" s="4">
        <v>160</v>
      </c>
      <c r="I27" s="4">
        <v>275</v>
      </c>
      <c r="J27" s="7">
        <v>349.01</v>
      </c>
    </row>
    <row r="28" spans="1:10" x14ac:dyDescent="0.25">
      <c r="A28">
        <v>22</v>
      </c>
      <c r="B28" t="s">
        <v>4219</v>
      </c>
      <c r="C28" t="s">
        <v>258</v>
      </c>
      <c r="D28" t="s">
        <v>94</v>
      </c>
      <c r="E28" t="s">
        <v>126</v>
      </c>
      <c r="F28">
        <v>89</v>
      </c>
      <c r="G28" s="4">
        <v>130</v>
      </c>
      <c r="H28" s="4">
        <v>157</v>
      </c>
      <c r="I28" s="4">
        <v>287</v>
      </c>
      <c r="J28" s="7">
        <v>347.87</v>
      </c>
    </row>
    <row r="29" spans="1:10" x14ac:dyDescent="0.25">
      <c r="A29">
        <v>23</v>
      </c>
      <c r="B29" t="s">
        <v>4155</v>
      </c>
      <c r="C29" t="s">
        <v>417</v>
      </c>
      <c r="D29" t="s">
        <v>89</v>
      </c>
      <c r="E29" t="s">
        <v>126</v>
      </c>
      <c r="F29">
        <v>81</v>
      </c>
      <c r="G29" s="4">
        <v>123</v>
      </c>
      <c r="H29" s="4">
        <v>147</v>
      </c>
      <c r="I29" s="4">
        <v>270</v>
      </c>
      <c r="J29" s="7">
        <v>347.2</v>
      </c>
    </row>
    <row r="30" spans="1:10" x14ac:dyDescent="0.25">
      <c r="A30">
        <v>24</v>
      </c>
      <c r="B30" t="s">
        <v>4152</v>
      </c>
      <c r="C30" t="s">
        <v>394</v>
      </c>
      <c r="D30" t="s">
        <v>89</v>
      </c>
      <c r="E30" t="s">
        <v>126</v>
      </c>
      <c r="F30">
        <v>81</v>
      </c>
      <c r="G30" s="4">
        <v>115</v>
      </c>
      <c r="H30" s="4">
        <v>145</v>
      </c>
      <c r="I30" s="4">
        <v>260</v>
      </c>
      <c r="J30" s="7">
        <v>345.63</v>
      </c>
    </row>
    <row r="31" spans="1:10" x14ac:dyDescent="0.25">
      <c r="A31">
        <v>25</v>
      </c>
      <c r="B31" t="s">
        <v>1926</v>
      </c>
      <c r="C31" t="s">
        <v>535</v>
      </c>
      <c r="D31" t="s">
        <v>94</v>
      </c>
      <c r="E31" t="s">
        <v>126</v>
      </c>
      <c r="F31">
        <v>96</v>
      </c>
      <c r="G31" s="4">
        <v>135</v>
      </c>
      <c r="H31" s="4">
        <v>160</v>
      </c>
      <c r="I31" s="4">
        <v>295</v>
      </c>
      <c r="J31" s="7">
        <v>345.06</v>
      </c>
    </row>
    <row r="32" spans="1:10" x14ac:dyDescent="0.25">
      <c r="A32">
        <v>26</v>
      </c>
      <c r="B32" t="s">
        <v>3172</v>
      </c>
      <c r="C32" t="s">
        <v>404</v>
      </c>
      <c r="D32" t="s">
        <v>89</v>
      </c>
      <c r="E32" t="s">
        <v>126</v>
      </c>
      <c r="F32">
        <v>81</v>
      </c>
      <c r="G32" s="4">
        <v>115</v>
      </c>
      <c r="H32" s="4">
        <v>155</v>
      </c>
      <c r="I32" s="4">
        <v>270</v>
      </c>
      <c r="J32" s="7">
        <v>344.54</v>
      </c>
    </row>
    <row r="33" spans="1:10" x14ac:dyDescent="0.25">
      <c r="A33">
        <v>27</v>
      </c>
      <c r="B33" t="s">
        <v>2126</v>
      </c>
      <c r="C33" t="s">
        <v>402</v>
      </c>
      <c r="D33" t="s">
        <v>89</v>
      </c>
      <c r="E33" t="s">
        <v>126</v>
      </c>
      <c r="F33">
        <v>96</v>
      </c>
      <c r="G33" s="4">
        <v>135</v>
      </c>
      <c r="H33" s="4">
        <v>154</v>
      </c>
      <c r="I33" s="4">
        <v>289</v>
      </c>
      <c r="J33" s="7">
        <v>344.37</v>
      </c>
    </row>
    <row r="34" spans="1:10" x14ac:dyDescent="0.25">
      <c r="A34">
        <v>28</v>
      </c>
      <c r="B34" t="s">
        <v>2607</v>
      </c>
      <c r="C34" t="s">
        <v>402</v>
      </c>
      <c r="D34" t="s">
        <v>89</v>
      </c>
      <c r="E34" t="s">
        <v>126</v>
      </c>
      <c r="F34">
        <v>89</v>
      </c>
      <c r="G34" s="4">
        <v>123</v>
      </c>
      <c r="H34" s="4">
        <v>154</v>
      </c>
      <c r="I34" s="4">
        <v>277</v>
      </c>
      <c r="J34" s="7">
        <v>344.34</v>
      </c>
    </row>
    <row r="35" spans="1:10" x14ac:dyDescent="0.25">
      <c r="A35">
        <v>29</v>
      </c>
      <c r="B35" t="s">
        <v>2696</v>
      </c>
      <c r="C35" t="s">
        <v>538</v>
      </c>
      <c r="D35" t="s">
        <v>89</v>
      </c>
      <c r="E35" t="s">
        <v>126</v>
      </c>
      <c r="F35">
        <v>73</v>
      </c>
      <c r="G35" s="4">
        <v>111</v>
      </c>
      <c r="H35" s="4">
        <v>142</v>
      </c>
      <c r="I35" s="4">
        <v>253</v>
      </c>
      <c r="J35" s="7">
        <v>344.25</v>
      </c>
    </row>
    <row r="36" spans="1:10" x14ac:dyDescent="0.25">
      <c r="A36">
        <v>30</v>
      </c>
      <c r="B36" t="s">
        <v>2542</v>
      </c>
      <c r="C36" t="s">
        <v>469</v>
      </c>
      <c r="D36" t="s">
        <v>89</v>
      </c>
      <c r="E36" t="s">
        <v>126</v>
      </c>
      <c r="F36">
        <v>81</v>
      </c>
      <c r="G36" s="4">
        <v>125</v>
      </c>
      <c r="H36" s="4">
        <v>142</v>
      </c>
      <c r="I36" s="4">
        <v>267</v>
      </c>
      <c r="J36" s="7">
        <v>341.18</v>
      </c>
    </row>
    <row r="37" spans="1:10" x14ac:dyDescent="0.25">
      <c r="A37">
        <v>31</v>
      </c>
      <c r="B37" t="s">
        <v>4258</v>
      </c>
      <c r="C37" t="s">
        <v>147</v>
      </c>
      <c r="D37" t="s">
        <v>89</v>
      </c>
      <c r="E37" t="s">
        <v>126</v>
      </c>
      <c r="F37">
        <v>81</v>
      </c>
      <c r="G37" s="4">
        <v>120</v>
      </c>
      <c r="H37" s="4">
        <v>147</v>
      </c>
      <c r="I37" s="4">
        <v>267</v>
      </c>
      <c r="J37" s="7">
        <v>339.78</v>
      </c>
    </row>
    <row r="38" spans="1:10" x14ac:dyDescent="0.25">
      <c r="A38">
        <v>32</v>
      </c>
      <c r="B38" t="s">
        <v>1843</v>
      </c>
      <c r="C38" t="s">
        <v>161</v>
      </c>
      <c r="D38" t="s">
        <v>89</v>
      </c>
      <c r="E38" t="s">
        <v>126</v>
      </c>
      <c r="F38">
        <v>109</v>
      </c>
      <c r="G38" s="4">
        <v>136</v>
      </c>
      <c r="H38" s="4">
        <v>168</v>
      </c>
      <c r="I38" s="4">
        <v>304</v>
      </c>
      <c r="J38" s="7">
        <v>339.71</v>
      </c>
    </row>
    <row r="39" spans="1:10" x14ac:dyDescent="0.25">
      <c r="A39">
        <v>33</v>
      </c>
      <c r="B39" t="s">
        <v>2603</v>
      </c>
      <c r="C39" t="s">
        <v>386</v>
      </c>
      <c r="D39" t="s">
        <v>89</v>
      </c>
      <c r="E39" t="s">
        <v>126</v>
      </c>
      <c r="F39">
        <v>81</v>
      </c>
      <c r="G39" s="4">
        <v>112</v>
      </c>
      <c r="H39" s="4">
        <v>154</v>
      </c>
      <c r="I39" s="4">
        <v>266</v>
      </c>
      <c r="J39" s="7">
        <v>338.62</v>
      </c>
    </row>
    <row r="40" spans="1:10" x14ac:dyDescent="0.25">
      <c r="A40">
        <v>34</v>
      </c>
      <c r="B40" t="s">
        <v>645</v>
      </c>
      <c r="C40" t="s">
        <v>394</v>
      </c>
      <c r="D40" t="s">
        <v>89</v>
      </c>
      <c r="E40" t="s">
        <v>126</v>
      </c>
      <c r="F40">
        <v>89</v>
      </c>
      <c r="G40" s="4">
        <v>125</v>
      </c>
      <c r="H40" s="4">
        <v>152</v>
      </c>
      <c r="I40" s="4">
        <v>277</v>
      </c>
      <c r="J40" s="7">
        <v>338.61</v>
      </c>
    </row>
    <row r="41" spans="1:10" x14ac:dyDescent="0.25">
      <c r="A41">
        <v>35</v>
      </c>
      <c r="B41" t="s">
        <v>1049</v>
      </c>
      <c r="C41" t="s">
        <v>328</v>
      </c>
      <c r="D41" t="s">
        <v>89</v>
      </c>
      <c r="E41" t="s">
        <v>126</v>
      </c>
      <c r="F41">
        <v>102</v>
      </c>
      <c r="G41" s="4">
        <v>130</v>
      </c>
      <c r="H41" s="4">
        <v>166</v>
      </c>
      <c r="I41" s="4">
        <v>296</v>
      </c>
      <c r="J41" s="7">
        <v>338.48</v>
      </c>
    </row>
    <row r="42" spans="1:10" x14ac:dyDescent="0.25">
      <c r="A42">
        <v>36</v>
      </c>
      <c r="B42" t="s">
        <v>4159</v>
      </c>
      <c r="C42" t="s">
        <v>335</v>
      </c>
      <c r="D42" t="s">
        <v>89</v>
      </c>
      <c r="E42" t="s">
        <v>126</v>
      </c>
      <c r="F42">
        <v>96</v>
      </c>
      <c r="G42" s="4">
        <v>125</v>
      </c>
      <c r="H42" s="4">
        <v>163</v>
      </c>
      <c r="I42" s="4">
        <v>288</v>
      </c>
      <c r="J42" s="7">
        <v>338.3</v>
      </c>
    </row>
    <row r="43" spans="1:10" x14ac:dyDescent="0.25">
      <c r="A43">
        <v>37</v>
      </c>
      <c r="B43" t="s">
        <v>3591</v>
      </c>
      <c r="C43" t="s">
        <v>400</v>
      </c>
      <c r="D43" t="s">
        <v>89</v>
      </c>
      <c r="E43" t="s">
        <v>126</v>
      </c>
      <c r="F43">
        <v>96</v>
      </c>
      <c r="G43" s="4">
        <v>133</v>
      </c>
      <c r="H43" s="4">
        <v>155</v>
      </c>
      <c r="I43" s="4">
        <v>288</v>
      </c>
      <c r="J43" s="7">
        <v>337.51</v>
      </c>
    </row>
    <row r="44" spans="1:10" x14ac:dyDescent="0.25">
      <c r="A44">
        <v>38</v>
      </c>
      <c r="B44" t="s">
        <v>269</v>
      </c>
      <c r="C44" t="s">
        <v>271</v>
      </c>
      <c r="D44" t="s">
        <v>94</v>
      </c>
      <c r="E44" t="s">
        <v>113</v>
      </c>
      <c r="F44">
        <v>73</v>
      </c>
      <c r="G44" s="4">
        <v>114</v>
      </c>
      <c r="H44" s="4">
        <v>133</v>
      </c>
      <c r="I44" s="4">
        <v>247</v>
      </c>
      <c r="J44" s="7">
        <v>336.67</v>
      </c>
    </row>
    <row r="45" spans="1:10" x14ac:dyDescent="0.25">
      <c r="A45">
        <v>39</v>
      </c>
      <c r="B45" t="s">
        <v>3876</v>
      </c>
      <c r="C45" t="s">
        <v>1085</v>
      </c>
      <c r="D45" t="s">
        <v>89</v>
      </c>
      <c r="E45" t="s">
        <v>126</v>
      </c>
      <c r="F45">
        <v>96</v>
      </c>
      <c r="G45" s="4">
        <v>125</v>
      </c>
      <c r="H45" s="4">
        <v>163</v>
      </c>
      <c r="I45" s="4">
        <v>288</v>
      </c>
      <c r="J45" s="7">
        <v>336.1</v>
      </c>
    </row>
    <row r="46" spans="1:10" x14ac:dyDescent="0.25">
      <c r="A46">
        <v>40</v>
      </c>
      <c r="B46" t="s">
        <v>629</v>
      </c>
      <c r="C46" t="s">
        <v>634</v>
      </c>
      <c r="D46" t="s">
        <v>89</v>
      </c>
      <c r="E46" t="s">
        <v>126</v>
      </c>
      <c r="F46">
        <v>89</v>
      </c>
      <c r="G46" s="4">
        <v>121</v>
      </c>
      <c r="H46" s="4">
        <v>155</v>
      </c>
      <c r="I46" s="4">
        <v>276</v>
      </c>
      <c r="J46" s="7">
        <v>335.47</v>
      </c>
    </row>
    <row r="47" spans="1:10" x14ac:dyDescent="0.25">
      <c r="A47">
        <v>41</v>
      </c>
      <c r="B47" t="s">
        <v>1903</v>
      </c>
      <c r="C47" t="s">
        <v>490</v>
      </c>
      <c r="D47" t="s">
        <v>89</v>
      </c>
      <c r="E47" t="s">
        <v>126</v>
      </c>
      <c r="F47">
        <v>73</v>
      </c>
      <c r="G47" s="4">
        <v>109</v>
      </c>
      <c r="H47" s="4">
        <v>138</v>
      </c>
      <c r="I47" s="4">
        <v>247</v>
      </c>
      <c r="J47" s="7">
        <v>333.23</v>
      </c>
    </row>
    <row r="48" spans="1:10" x14ac:dyDescent="0.25">
      <c r="A48">
        <v>42</v>
      </c>
      <c r="B48" t="s">
        <v>2594</v>
      </c>
      <c r="C48" t="s">
        <v>161</v>
      </c>
      <c r="D48" t="s">
        <v>89</v>
      </c>
      <c r="E48" t="s">
        <v>126</v>
      </c>
      <c r="F48">
        <v>81</v>
      </c>
      <c r="G48" s="4">
        <v>120</v>
      </c>
      <c r="H48" s="4">
        <v>140</v>
      </c>
      <c r="I48" s="4">
        <v>260</v>
      </c>
      <c r="J48" s="7">
        <v>332.01</v>
      </c>
    </row>
    <row r="49" spans="1:10" x14ac:dyDescent="0.25">
      <c r="A49">
        <v>43</v>
      </c>
      <c r="B49" t="s">
        <v>1919</v>
      </c>
      <c r="C49" t="s">
        <v>88</v>
      </c>
      <c r="D49" t="s">
        <v>89</v>
      </c>
      <c r="E49" t="s">
        <v>126</v>
      </c>
      <c r="F49">
        <v>89</v>
      </c>
      <c r="G49" s="4">
        <v>118</v>
      </c>
      <c r="H49" s="4">
        <v>145</v>
      </c>
      <c r="I49" s="4">
        <v>263</v>
      </c>
      <c r="J49" s="7">
        <v>331.56</v>
      </c>
    </row>
    <row r="50" spans="1:10" x14ac:dyDescent="0.25">
      <c r="A50">
        <v>44</v>
      </c>
      <c r="B50" t="s">
        <v>3739</v>
      </c>
      <c r="C50" t="s">
        <v>386</v>
      </c>
      <c r="D50" t="s">
        <v>89</v>
      </c>
      <c r="E50" t="s">
        <v>126</v>
      </c>
      <c r="F50">
        <v>96</v>
      </c>
      <c r="G50" s="4">
        <v>125</v>
      </c>
      <c r="H50" s="4">
        <v>150</v>
      </c>
      <c r="I50" s="4">
        <v>275</v>
      </c>
      <c r="J50" s="7">
        <v>329.39</v>
      </c>
    </row>
    <row r="51" spans="1:10" x14ac:dyDescent="0.25">
      <c r="A51">
        <v>45</v>
      </c>
      <c r="B51" t="s">
        <v>2775</v>
      </c>
      <c r="C51" t="s">
        <v>536</v>
      </c>
      <c r="D51" t="s">
        <v>89</v>
      </c>
      <c r="E51" t="s">
        <v>126</v>
      </c>
      <c r="F51">
        <v>81</v>
      </c>
      <c r="G51" s="4">
        <v>113</v>
      </c>
      <c r="H51" s="4">
        <v>137</v>
      </c>
      <c r="I51" s="4">
        <v>250</v>
      </c>
      <c r="J51" s="7">
        <v>328.7</v>
      </c>
    </row>
    <row r="52" spans="1:10" x14ac:dyDescent="0.25">
      <c r="A52">
        <v>46</v>
      </c>
      <c r="B52" t="s">
        <v>1897</v>
      </c>
      <c r="C52" t="s">
        <v>147</v>
      </c>
      <c r="D52" t="s">
        <v>89</v>
      </c>
      <c r="E52" t="s">
        <v>126</v>
      </c>
      <c r="F52">
        <v>89</v>
      </c>
      <c r="G52" s="4">
        <v>120</v>
      </c>
      <c r="H52" s="4">
        <v>150</v>
      </c>
      <c r="I52" s="4">
        <v>270</v>
      </c>
      <c r="J52" s="7">
        <v>326.36</v>
      </c>
    </row>
    <row r="53" spans="1:10" x14ac:dyDescent="0.25">
      <c r="A53">
        <v>47</v>
      </c>
      <c r="B53" t="s">
        <v>995</v>
      </c>
      <c r="C53" t="s">
        <v>134</v>
      </c>
      <c r="D53" t="s">
        <v>89</v>
      </c>
      <c r="E53" t="s">
        <v>126</v>
      </c>
      <c r="F53">
        <v>73</v>
      </c>
      <c r="G53" s="4">
        <v>107</v>
      </c>
      <c r="H53" s="4">
        <v>133</v>
      </c>
      <c r="I53" s="4">
        <v>240</v>
      </c>
      <c r="J53" s="7">
        <v>326</v>
      </c>
    </row>
    <row r="54" spans="1:10" x14ac:dyDescent="0.25">
      <c r="A54">
        <v>48</v>
      </c>
      <c r="B54" t="s">
        <v>3322</v>
      </c>
      <c r="C54" t="s">
        <v>120</v>
      </c>
      <c r="D54" t="s">
        <v>94</v>
      </c>
      <c r="E54" t="s">
        <v>113</v>
      </c>
      <c r="F54">
        <v>89</v>
      </c>
      <c r="G54" s="4">
        <v>124</v>
      </c>
      <c r="H54" s="4">
        <v>145</v>
      </c>
      <c r="I54" s="4">
        <v>269</v>
      </c>
      <c r="J54" s="7">
        <v>325.14999999999998</v>
      </c>
    </row>
    <row r="55" spans="1:10" x14ac:dyDescent="0.25">
      <c r="A55">
        <v>49</v>
      </c>
      <c r="B55" t="s">
        <v>4328</v>
      </c>
      <c r="C55" t="s">
        <v>66</v>
      </c>
      <c r="D55" t="s">
        <v>89</v>
      </c>
      <c r="E55" t="s">
        <v>126</v>
      </c>
      <c r="F55">
        <v>96</v>
      </c>
      <c r="G55" s="4">
        <v>120</v>
      </c>
      <c r="H55" s="4">
        <v>156</v>
      </c>
      <c r="I55" s="4">
        <v>276</v>
      </c>
      <c r="J55" s="7">
        <v>325.14</v>
      </c>
    </row>
    <row r="56" spans="1:10" x14ac:dyDescent="0.25">
      <c r="A56">
        <v>50</v>
      </c>
      <c r="B56" t="s">
        <v>4317</v>
      </c>
      <c r="C56" t="s">
        <v>396</v>
      </c>
      <c r="D56" t="s">
        <v>89</v>
      </c>
      <c r="E56" t="s">
        <v>126</v>
      </c>
      <c r="F56">
        <v>73</v>
      </c>
      <c r="G56" s="4">
        <v>105</v>
      </c>
      <c r="H56" s="4">
        <v>135</v>
      </c>
      <c r="I56" s="4">
        <v>240</v>
      </c>
      <c r="J56" s="7">
        <v>324.89</v>
      </c>
    </row>
    <row r="57" spans="1:10" x14ac:dyDescent="0.25">
      <c r="A57">
        <v>51</v>
      </c>
      <c r="B57" t="s">
        <v>1877</v>
      </c>
      <c r="C57" t="s">
        <v>134</v>
      </c>
      <c r="D57" t="s">
        <v>89</v>
      </c>
      <c r="E57" t="s">
        <v>126</v>
      </c>
      <c r="F57">
        <v>61</v>
      </c>
      <c r="G57" s="4">
        <v>95</v>
      </c>
      <c r="H57" s="4">
        <v>116</v>
      </c>
      <c r="I57" s="4">
        <v>211</v>
      </c>
      <c r="J57" s="7">
        <v>324.52999999999997</v>
      </c>
    </row>
    <row r="58" spans="1:10" x14ac:dyDescent="0.25">
      <c r="A58">
        <v>52</v>
      </c>
      <c r="B58" t="s">
        <v>586</v>
      </c>
      <c r="C58" t="s">
        <v>589</v>
      </c>
      <c r="D58" t="s">
        <v>89</v>
      </c>
      <c r="E58" t="s">
        <v>126</v>
      </c>
      <c r="F58">
        <v>81</v>
      </c>
      <c r="G58" s="4">
        <v>110</v>
      </c>
      <c r="H58" s="4">
        <v>140</v>
      </c>
      <c r="I58" s="4">
        <v>250</v>
      </c>
      <c r="J58" s="7">
        <v>324.05</v>
      </c>
    </row>
    <row r="59" spans="1:10" x14ac:dyDescent="0.25">
      <c r="A59">
        <v>53</v>
      </c>
      <c r="B59" t="s">
        <v>2611</v>
      </c>
      <c r="C59" t="s">
        <v>419</v>
      </c>
      <c r="D59" t="s">
        <v>89</v>
      </c>
      <c r="E59" t="s">
        <v>126</v>
      </c>
      <c r="F59">
        <v>81</v>
      </c>
      <c r="G59" s="4">
        <v>110</v>
      </c>
      <c r="H59" s="4">
        <v>140</v>
      </c>
      <c r="I59" s="4">
        <v>250</v>
      </c>
      <c r="J59" s="7">
        <v>323.38</v>
      </c>
    </row>
    <row r="60" spans="1:10" x14ac:dyDescent="0.25">
      <c r="A60">
        <v>54</v>
      </c>
      <c r="B60" t="s">
        <v>3367</v>
      </c>
      <c r="C60" t="s">
        <v>1951</v>
      </c>
      <c r="D60" t="s">
        <v>89</v>
      </c>
      <c r="E60" t="s">
        <v>126</v>
      </c>
      <c r="F60">
        <v>81</v>
      </c>
      <c r="G60" s="4">
        <v>107</v>
      </c>
      <c r="H60" s="4">
        <v>143</v>
      </c>
      <c r="I60" s="4">
        <v>250</v>
      </c>
      <c r="J60" s="7">
        <v>321.70999999999998</v>
      </c>
    </row>
    <row r="61" spans="1:10" x14ac:dyDescent="0.25">
      <c r="A61">
        <v>55</v>
      </c>
      <c r="B61" t="s">
        <v>825</v>
      </c>
      <c r="C61" t="s">
        <v>639</v>
      </c>
      <c r="D61" t="s">
        <v>93</v>
      </c>
      <c r="E61" t="s">
        <v>126</v>
      </c>
      <c r="F61">
        <v>67</v>
      </c>
      <c r="G61" s="4">
        <v>100</v>
      </c>
      <c r="H61" s="4">
        <v>116</v>
      </c>
      <c r="I61" s="4">
        <v>216</v>
      </c>
      <c r="J61" s="7">
        <v>321.19</v>
      </c>
    </row>
    <row r="62" spans="1:10" x14ac:dyDescent="0.25">
      <c r="A62">
        <v>56</v>
      </c>
      <c r="B62" t="s">
        <v>4186</v>
      </c>
      <c r="C62" t="s">
        <v>120</v>
      </c>
      <c r="D62" t="s">
        <v>94</v>
      </c>
      <c r="E62" t="s">
        <v>113</v>
      </c>
      <c r="F62">
        <v>81</v>
      </c>
      <c r="G62" s="4">
        <v>115</v>
      </c>
      <c r="H62" s="4">
        <v>138</v>
      </c>
      <c r="I62" s="4">
        <v>253</v>
      </c>
      <c r="J62" s="7">
        <v>321.08999999999997</v>
      </c>
    </row>
    <row r="63" spans="1:10" x14ac:dyDescent="0.25">
      <c r="A63">
        <v>57</v>
      </c>
      <c r="B63" t="s">
        <v>4163</v>
      </c>
      <c r="C63" t="s">
        <v>386</v>
      </c>
      <c r="D63" t="s">
        <v>89</v>
      </c>
      <c r="E63" t="s">
        <v>126</v>
      </c>
      <c r="F63">
        <v>67</v>
      </c>
      <c r="G63" s="4">
        <v>105</v>
      </c>
      <c r="H63" s="4">
        <v>120</v>
      </c>
      <c r="I63" s="4">
        <v>225</v>
      </c>
      <c r="J63" s="7">
        <v>320.55</v>
      </c>
    </row>
    <row r="64" spans="1:10" x14ac:dyDescent="0.25">
      <c r="A64">
        <v>58</v>
      </c>
      <c r="B64" t="s">
        <v>1034</v>
      </c>
      <c r="C64" t="s">
        <v>684</v>
      </c>
      <c r="D64" t="s">
        <v>89</v>
      </c>
      <c r="E64" t="s">
        <v>126</v>
      </c>
      <c r="F64">
        <v>67</v>
      </c>
      <c r="G64" s="4">
        <v>100</v>
      </c>
      <c r="H64" s="4">
        <v>125</v>
      </c>
      <c r="I64" s="4">
        <v>225</v>
      </c>
      <c r="J64" s="7">
        <v>320.39</v>
      </c>
    </row>
    <row r="65" spans="1:10" x14ac:dyDescent="0.25">
      <c r="A65">
        <v>59</v>
      </c>
      <c r="B65" t="s">
        <v>4100</v>
      </c>
      <c r="C65" t="s">
        <v>1004</v>
      </c>
      <c r="D65" t="s">
        <v>89</v>
      </c>
      <c r="E65" t="s">
        <v>126</v>
      </c>
      <c r="F65">
        <v>81</v>
      </c>
      <c r="G65" s="4">
        <v>109</v>
      </c>
      <c r="H65" s="4">
        <v>141</v>
      </c>
      <c r="I65" s="4">
        <v>250</v>
      </c>
      <c r="J65" s="7">
        <v>320.13</v>
      </c>
    </row>
    <row r="66" spans="1:10" x14ac:dyDescent="0.25">
      <c r="A66">
        <v>60</v>
      </c>
      <c r="B66" t="s">
        <v>2360</v>
      </c>
      <c r="C66" t="s">
        <v>124</v>
      </c>
      <c r="D66" t="s">
        <v>89</v>
      </c>
      <c r="E66" t="s">
        <v>126</v>
      </c>
      <c r="F66">
        <v>81</v>
      </c>
      <c r="G66" s="4">
        <v>116</v>
      </c>
      <c r="H66" s="4">
        <v>135</v>
      </c>
      <c r="I66" s="4">
        <v>251</v>
      </c>
      <c r="J66" s="7">
        <v>318.77</v>
      </c>
    </row>
    <row r="67" spans="1:10" x14ac:dyDescent="0.25">
      <c r="A67">
        <v>61</v>
      </c>
      <c r="B67" t="s">
        <v>4096</v>
      </c>
      <c r="C67" t="s">
        <v>417</v>
      </c>
      <c r="D67" t="s">
        <v>89</v>
      </c>
      <c r="E67" t="s">
        <v>126</v>
      </c>
      <c r="F67">
        <v>89</v>
      </c>
      <c r="G67" s="4">
        <v>110</v>
      </c>
      <c r="H67" s="4">
        <v>150</v>
      </c>
      <c r="I67" s="4">
        <v>260</v>
      </c>
      <c r="J67" s="7">
        <v>318.76</v>
      </c>
    </row>
    <row r="68" spans="1:10" x14ac:dyDescent="0.25">
      <c r="A68">
        <v>62</v>
      </c>
      <c r="B68" t="s">
        <v>4285</v>
      </c>
      <c r="C68" t="s">
        <v>258</v>
      </c>
      <c r="D68" t="s">
        <v>89</v>
      </c>
      <c r="E68" t="s">
        <v>126</v>
      </c>
      <c r="F68">
        <v>81</v>
      </c>
      <c r="G68" s="4">
        <v>112</v>
      </c>
      <c r="H68" s="4">
        <v>139</v>
      </c>
      <c r="I68" s="4">
        <v>251</v>
      </c>
      <c r="J68" s="7">
        <v>318.55</v>
      </c>
    </row>
    <row r="69" spans="1:10" x14ac:dyDescent="0.25">
      <c r="A69">
        <v>63</v>
      </c>
      <c r="B69" t="s">
        <v>707</v>
      </c>
      <c r="C69" t="s">
        <v>258</v>
      </c>
      <c r="D69" t="s">
        <v>89</v>
      </c>
      <c r="E69" t="s">
        <v>126</v>
      </c>
      <c r="F69">
        <v>81</v>
      </c>
      <c r="G69" s="4">
        <v>116</v>
      </c>
      <c r="H69" s="4">
        <v>134</v>
      </c>
      <c r="I69" s="4">
        <v>250</v>
      </c>
      <c r="J69" s="7">
        <v>318.14</v>
      </c>
    </row>
    <row r="70" spans="1:10" x14ac:dyDescent="0.25">
      <c r="A70">
        <v>64</v>
      </c>
      <c r="B70" t="s">
        <v>1104</v>
      </c>
      <c r="C70" t="s">
        <v>697</v>
      </c>
      <c r="D70" t="s">
        <v>89</v>
      </c>
      <c r="E70" t="s">
        <v>126</v>
      </c>
      <c r="F70">
        <v>96</v>
      </c>
      <c r="G70" s="4">
        <v>115</v>
      </c>
      <c r="H70" s="4">
        <v>155</v>
      </c>
      <c r="I70" s="4">
        <v>270</v>
      </c>
      <c r="J70" s="7">
        <v>318.07</v>
      </c>
    </row>
    <row r="71" spans="1:10" x14ac:dyDescent="0.25">
      <c r="A71">
        <v>65</v>
      </c>
      <c r="B71" t="s">
        <v>3587</v>
      </c>
      <c r="C71" t="s">
        <v>271</v>
      </c>
      <c r="D71" t="s">
        <v>89</v>
      </c>
      <c r="E71" t="s">
        <v>126</v>
      </c>
      <c r="F71">
        <v>89</v>
      </c>
      <c r="G71" s="4">
        <v>120</v>
      </c>
      <c r="H71" s="4">
        <v>140</v>
      </c>
      <c r="I71" s="4">
        <v>260</v>
      </c>
      <c r="J71" s="7">
        <v>317.83</v>
      </c>
    </row>
    <row r="72" spans="1:10" x14ac:dyDescent="0.25">
      <c r="A72">
        <v>66</v>
      </c>
      <c r="B72" t="s">
        <v>1272</v>
      </c>
      <c r="C72" t="s">
        <v>78</v>
      </c>
      <c r="D72" t="s">
        <v>93</v>
      </c>
      <c r="E72" t="s">
        <v>126</v>
      </c>
      <c r="F72">
        <v>67</v>
      </c>
      <c r="G72" s="4">
        <v>100</v>
      </c>
      <c r="H72" s="4">
        <v>120</v>
      </c>
      <c r="I72" s="4">
        <v>220</v>
      </c>
      <c r="J72" s="7">
        <v>317.69</v>
      </c>
    </row>
    <row r="73" spans="1:10" x14ac:dyDescent="0.25">
      <c r="A73">
        <v>67</v>
      </c>
      <c r="B73" t="s">
        <v>2784</v>
      </c>
      <c r="C73" t="s">
        <v>161</v>
      </c>
      <c r="D73" t="s">
        <v>93</v>
      </c>
      <c r="E73" t="s">
        <v>126</v>
      </c>
      <c r="F73">
        <v>81</v>
      </c>
      <c r="G73" s="4">
        <v>110</v>
      </c>
      <c r="H73" s="4">
        <v>133</v>
      </c>
      <c r="I73" s="4">
        <v>243</v>
      </c>
      <c r="J73" s="7">
        <v>317.08</v>
      </c>
    </row>
    <row r="74" spans="1:10" x14ac:dyDescent="0.25">
      <c r="A74">
        <v>68</v>
      </c>
      <c r="B74" t="s">
        <v>662</v>
      </c>
      <c r="C74" t="s">
        <v>665</v>
      </c>
      <c r="D74" t="s">
        <v>93</v>
      </c>
      <c r="E74" t="s">
        <v>126</v>
      </c>
      <c r="F74">
        <v>73</v>
      </c>
      <c r="G74" s="4">
        <v>100</v>
      </c>
      <c r="H74" s="4">
        <v>132</v>
      </c>
      <c r="I74" s="4">
        <v>232</v>
      </c>
      <c r="J74" s="7">
        <v>315.95</v>
      </c>
    </row>
    <row r="75" spans="1:10" x14ac:dyDescent="0.25">
      <c r="A75">
        <v>69</v>
      </c>
      <c r="B75" t="s">
        <v>2375</v>
      </c>
      <c r="C75" t="s">
        <v>589</v>
      </c>
      <c r="D75" t="s">
        <v>89</v>
      </c>
      <c r="E75" t="s">
        <v>113</v>
      </c>
      <c r="F75">
        <v>73</v>
      </c>
      <c r="G75" s="4">
        <v>99</v>
      </c>
      <c r="H75" s="4">
        <v>127</v>
      </c>
      <c r="I75" s="4">
        <v>226</v>
      </c>
      <c r="J75" s="7">
        <v>315.64999999999998</v>
      </c>
    </row>
    <row r="76" spans="1:10" x14ac:dyDescent="0.25">
      <c r="A76">
        <v>70</v>
      </c>
      <c r="B76" t="s">
        <v>2523</v>
      </c>
      <c r="C76" t="s">
        <v>1489</v>
      </c>
      <c r="D76" t="s">
        <v>89</v>
      </c>
      <c r="E76" t="s">
        <v>126</v>
      </c>
      <c r="F76">
        <v>89</v>
      </c>
      <c r="G76" s="4">
        <v>110</v>
      </c>
      <c r="H76" s="4">
        <v>150</v>
      </c>
      <c r="I76" s="4">
        <v>260</v>
      </c>
      <c r="J76" s="7">
        <v>314.62</v>
      </c>
    </row>
    <row r="77" spans="1:10" x14ac:dyDescent="0.25">
      <c r="A77">
        <v>71</v>
      </c>
      <c r="B77" t="s">
        <v>1079</v>
      </c>
      <c r="C77" t="s">
        <v>386</v>
      </c>
      <c r="D77" t="s">
        <v>94</v>
      </c>
      <c r="E77" t="s">
        <v>113</v>
      </c>
      <c r="F77">
        <v>81</v>
      </c>
      <c r="G77" s="4">
        <v>118</v>
      </c>
      <c r="H77" s="4">
        <v>127</v>
      </c>
      <c r="I77" s="4">
        <v>245</v>
      </c>
      <c r="J77" s="7">
        <v>314.39</v>
      </c>
    </row>
    <row r="78" spans="1:10" x14ac:dyDescent="0.25">
      <c r="A78">
        <v>72</v>
      </c>
      <c r="B78" t="s">
        <v>3724</v>
      </c>
      <c r="C78" t="s">
        <v>1085</v>
      </c>
      <c r="D78" t="s">
        <v>89</v>
      </c>
      <c r="E78" t="s">
        <v>126</v>
      </c>
      <c r="F78">
        <v>102</v>
      </c>
      <c r="G78" s="4">
        <v>123</v>
      </c>
      <c r="H78" s="4">
        <v>150</v>
      </c>
      <c r="I78" s="4">
        <v>273</v>
      </c>
      <c r="J78" s="7">
        <v>314.07</v>
      </c>
    </row>
    <row r="79" spans="1:10" x14ac:dyDescent="0.25">
      <c r="A79">
        <v>73</v>
      </c>
      <c r="B79" t="s">
        <v>3183</v>
      </c>
      <c r="C79" t="s">
        <v>556</v>
      </c>
      <c r="D79" t="s">
        <v>94</v>
      </c>
      <c r="E79" t="s">
        <v>113</v>
      </c>
      <c r="F79">
        <v>61</v>
      </c>
      <c r="G79" s="4">
        <v>85</v>
      </c>
      <c r="H79" s="4">
        <v>108</v>
      </c>
      <c r="I79" s="4">
        <v>193</v>
      </c>
      <c r="J79" s="7">
        <v>313.93</v>
      </c>
    </row>
    <row r="80" spans="1:10" x14ac:dyDescent="0.25">
      <c r="A80">
        <v>74</v>
      </c>
      <c r="B80" t="s">
        <v>4008</v>
      </c>
      <c r="C80" t="s">
        <v>469</v>
      </c>
      <c r="D80" t="s">
        <v>93</v>
      </c>
      <c r="E80" t="s">
        <v>126</v>
      </c>
      <c r="F80">
        <v>81</v>
      </c>
      <c r="G80" s="4">
        <v>107</v>
      </c>
      <c r="H80" s="4">
        <v>136</v>
      </c>
      <c r="I80" s="4">
        <v>243</v>
      </c>
      <c r="J80" s="7">
        <v>313.72000000000003</v>
      </c>
    </row>
    <row r="81" spans="1:10" x14ac:dyDescent="0.25">
      <c r="A81">
        <v>75</v>
      </c>
      <c r="B81" t="s">
        <v>4346</v>
      </c>
      <c r="C81" t="s">
        <v>589</v>
      </c>
      <c r="D81" t="s">
        <v>89</v>
      </c>
      <c r="E81" t="s">
        <v>126</v>
      </c>
      <c r="F81">
        <v>102</v>
      </c>
      <c r="G81" s="4">
        <v>120</v>
      </c>
      <c r="H81" s="4">
        <v>150</v>
      </c>
      <c r="I81" s="4">
        <v>270</v>
      </c>
      <c r="J81" s="7">
        <v>313.11</v>
      </c>
    </row>
    <row r="82" spans="1:10" x14ac:dyDescent="0.25">
      <c r="A82">
        <v>76</v>
      </c>
      <c r="B82" t="s">
        <v>2578</v>
      </c>
      <c r="C82" t="s">
        <v>329</v>
      </c>
      <c r="D82" t="s">
        <v>89</v>
      </c>
      <c r="E82" t="s">
        <v>126</v>
      </c>
      <c r="F82">
        <v>96</v>
      </c>
      <c r="G82" s="4">
        <v>114</v>
      </c>
      <c r="H82" s="4">
        <v>151</v>
      </c>
      <c r="I82" s="4">
        <v>265</v>
      </c>
      <c r="J82" s="7">
        <v>311.85000000000002</v>
      </c>
    </row>
    <row r="83" spans="1:10" x14ac:dyDescent="0.25">
      <c r="A83">
        <v>77</v>
      </c>
      <c r="B83" t="s">
        <v>3945</v>
      </c>
      <c r="C83" t="s">
        <v>400</v>
      </c>
      <c r="D83" t="s">
        <v>94</v>
      </c>
      <c r="E83" t="s">
        <v>113</v>
      </c>
      <c r="F83">
        <v>81</v>
      </c>
      <c r="G83" s="4">
        <v>110</v>
      </c>
      <c r="H83" s="4">
        <v>135</v>
      </c>
      <c r="I83" s="4">
        <v>245</v>
      </c>
      <c r="J83" s="7">
        <v>311.36</v>
      </c>
    </row>
    <row r="84" spans="1:10" x14ac:dyDescent="0.25">
      <c r="A84">
        <v>78</v>
      </c>
      <c r="B84" t="s">
        <v>3936</v>
      </c>
      <c r="C84" t="s">
        <v>124</v>
      </c>
      <c r="D84" t="s">
        <v>93</v>
      </c>
      <c r="E84" t="s">
        <v>126</v>
      </c>
      <c r="F84">
        <v>81</v>
      </c>
      <c r="G84" s="4">
        <v>107</v>
      </c>
      <c r="H84" s="4">
        <v>130</v>
      </c>
      <c r="I84" s="4">
        <v>237</v>
      </c>
      <c r="J84" s="7">
        <v>310.66000000000003</v>
      </c>
    </row>
    <row r="85" spans="1:10" x14ac:dyDescent="0.25">
      <c r="A85">
        <v>79</v>
      </c>
      <c r="B85" t="s">
        <v>542</v>
      </c>
      <c r="C85" t="s">
        <v>548</v>
      </c>
      <c r="D85" t="s">
        <v>89</v>
      </c>
      <c r="E85" t="s">
        <v>126</v>
      </c>
      <c r="F85">
        <v>61</v>
      </c>
      <c r="G85" s="4">
        <v>85</v>
      </c>
      <c r="H85" s="4">
        <v>114</v>
      </c>
      <c r="I85" s="4">
        <v>199</v>
      </c>
      <c r="J85" s="7">
        <v>310.38</v>
      </c>
    </row>
    <row r="86" spans="1:10" x14ac:dyDescent="0.25">
      <c r="A86">
        <v>80</v>
      </c>
      <c r="B86" t="s">
        <v>1734</v>
      </c>
      <c r="C86" t="s">
        <v>329</v>
      </c>
      <c r="D86" t="s">
        <v>89</v>
      </c>
      <c r="E86" t="s">
        <v>126</v>
      </c>
      <c r="F86">
        <v>61</v>
      </c>
      <c r="G86" s="4">
        <v>89</v>
      </c>
      <c r="H86" s="4">
        <v>106</v>
      </c>
      <c r="I86" s="4">
        <v>195</v>
      </c>
      <c r="J86" s="7">
        <v>309.58999999999997</v>
      </c>
    </row>
    <row r="87" spans="1:10" x14ac:dyDescent="0.25">
      <c r="A87">
        <v>81</v>
      </c>
      <c r="B87" t="s">
        <v>1730</v>
      </c>
      <c r="C87" t="s">
        <v>70</v>
      </c>
      <c r="D87" t="s">
        <v>89</v>
      </c>
      <c r="E87" t="s">
        <v>126</v>
      </c>
      <c r="F87">
        <v>102</v>
      </c>
      <c r="G87" s="4">
        <v>126</v>
      </c>
      <c r="H87" s="4">
        <v>144</v>
      </c>
      <c r="I87" s="4">
        <v>270</v>
      </c>
      <c r="J87" s="7">
        <v>309.39</v>
      </c>
    </row>
    <row r="88" spans="1:10" x14ac:dyDescent="0.25">
      <c r="A88">
        <v>82</v>
      </c>
      <c r="B88" t="s">
        <v>3556</v>
      </c>
      <c r="C88" t="s">
        <v>417</v>
      </c>
      <c r="D88" t="s">
        <v>93</v>
      </c>
      <c r="E88" t="s">
        <v>126</v>
      </c>
      <c r="F88">
        <v>89</v>
      </c>
      <c r="G88" s="4">
        <v>112</v>
      </c>
      <c r="H88" s="4">
        <v>140</v>
      </c>
      <c r="I88" s="4">
        <v>252</v>
      </c>
      <c r="J88" s="7">
        <v>308.95</v>
      </c>
    </row>
    <row r="89" spans="1:10" x14ac:dyDescent="0.25">
      <c r="A89">
        <v>83</v>
      </c>
      <c r="B89" t="s">
        <v>2545</v>
      </c>
      <c r="C89" t="s">
        <v>660</v>
      </c>
      <c r="D89" t="s">
        <v>89</v>
      </c>
      <c r="E89" t="s">
        <v>126</v>
      </c>
      <c r="F89">
        <v>102</v>
      </c>
      <c r="G89" s="4">
        <v>116</v>
      </c>
      <c r="H89" s="4">
        <v>154</v>
      </c>
      <c r="I89" s="4">
        <v>270</v>
      </c>
      <c r="J89" s="7">
        <v>308.63</v>
      </c>
    </row>
    <row r="90" spans="1:10" x14ac:dyDescent="0.25">
      <c r="A90">
        <v>84</v>
      </c>
      <c r="B90" t="s">
        <v>4211</v>
      </c>
      <c r="C90" t="s">
        <v>490</v>
      </c>
      <c r="D90" t="s">
        <v>93</v>
      </c>
      <c r="E90" t="s">
        <v>126</v>
      </c>
      <c r="F90">
        <v>73</v>
      </c>
      <c r="G90" s="4">
        <v>100</v>
      </c>
      <c r="H90" s="4">
        <v>127</v>
      </c>
      <c r="I90" s="4">
        <v>227</v>
      </c>
      <c r="J90" s="7">
        <v>308.61</v>
      </c>
    </row>
    <row r="91" spans="1:10" x14ac:dyDescent="0.25">
      <c r="A91">
        <v>85</v>
      </c>
      <c r="B91" t="s">
        <v>2419</v>
      </c>
      <c r="C91" t="s">
        <v>513</v>
      </c>
      <c r="D91" t="s">
        <v>93</v>
      </c>
      <c r="E91" t="s">
        <v>126</v>
      </c>
      <c r="F91">
        <v>67</v>
      </c>
      <c r="G91" s="4">
        <v>92</v>
      </c>
      <c r="H91" s="4">
        <v>120</v>
      </c>
      <c r="I91" s="4">
        <v>212</v>
      </c>
      <c r="J91" s="7">
        <v>308.45</v>
      </c>
    </row>
    <row r="92" spans="1:10" x14ac:dyDescent="0.25">
      <c r="A92">
        <v>86</v>
      </c>
      <c r="B92" t="s">
        <v>4224</v>
      </c>
      <c r="C92" t="s">
        <v>88</v>
      </c>
      <c r="D92" t="s">
        <v>93</v>
      </c>
      <c r="E92" t="s">
        <v>126</v>
      </c>
      <c r="F92">
        <v>89</v>
      </c>
      <c r="G92" s="4">
        <v>115</v>
      </c>
      <c r="H92" s="4">
        <v>140</v>
      </c>
      <c r="I92" s="4">
        <v>255</v>
      </c>
      <c r="J92" s="7">
        <v>308.39999999999998</v>
      </c>
    </row>
    <row r="93" spans="1:10" x14ac:dyDescent="0.25">
      <c r="A93">
        <v>87</v>
      </c>
      <c r="B93" t="s">
        <v>4339</v>
      </c>
      <c r="C93" t="s">
        <v>766</v>
      </c>
      <c r="D93" t="s">
        <v>89</v>
      </c>
      <c r="E93" t="s">
        <v>126</v>
      </c>
      <c r="F93">
        <v>102</v>
      </c>
      <c r="G93" s="4">
        <v>120</v>
      </c>
      <c r="H93" s="4">
        <v>150</v>
      </c>
      <c r="I93" s="4">
        <v>270</v>
      </c>
      <c r="J93" s="7">
        <v>307.76</v>
      </c>
    </row>
    <row r="94" spans="1:10" x14ac:dyDescent="0.25">
      <c r="A94">
        <v>88</v>
      </c>
      <c r="B94" t="s">
        <v>1141</v>
      </c>
      <c r="C94" t="s">
        <v>766</v>
      </c>
      <c r="D94" t="s">
        <v>93</v>
      </c>
      <c r="E94" t="s">
        <v>126</v>
      </c>
      <c r="F94">
        <v>81</v>
      </c>
      <c r="G94" s="4">
        <v>100</v>
      </c>
      <c r="H94" s="4">
        <v>130</v>
      </c>
      <c r="I94" s="4">
        <v>230</v>
      </c>
      <c r="J94" s="7">
        <v>307.48</v>
      </c>
    </row>
    <row r="95" spans="1:10" x14ac:dyDescent="0.25">
      <c r="A95">
        <v>89</v>
      </c>
      <c r="B95" t="s">
        <v>2429</v>
      </c>
      <c r="C95" t="s">
        <v>404</v>
      </c>
      <c r="D95" t="s">
        <v>89</v>
      </c>
      <c r="E95" t="s">
        <v>113</v>
      </c>
      <c r="F95">
        <v>81</v>
      </c>
      <c r="G95" s="4">
        <v>100</v>
      </c>
      <c r="H95" s="4">
        <v>130</v>
      </c>
      <c r="I95" s="4">
        <v>230</v>
      </c>
      <c r="J95" s="7">
        <v>306.73</v>
      </c>
    </row>
    <row r="96" spans="1:10" x14ac:dyDescent="0.25">
      <c r="A96">
        <v>90</v>
      </c>
      <c r="B96" t="s">
        <v>1040</v>
      </c>
      <c r="C96" t="s">
        <v>490</v>
      </c>
      <c r="D96" t="s">
        <v>89</v>
      </c>
      <c r="E96" t="s">
        <v>126</v>
      </c>
      <c r="F96" t="s">
        <v>125</v>
      </c>
      <c r="G96" s="4">
        <v>130</v>
      </c>
      <c r="H96" s="4">
        <v>155</v>
      </c>
      <c r="I96" s="4">
        <v>285</v>
      </c>
      <c r="J96" s="7">
        <v>306.68</v>
      </c>
    </row>
    <row r="97" spans="1:10" x14ac:dyDescent="0.25">
      <c r="A97">
        <v>91</v>
      </c>
      <c r="B97" t="s">
        <v>4035</v>
      </c>
      <c r="C97" t="s">
        <v>713</v>
      </c>
      <c r="D97" t="s">
        <v>93</v>
      </c>
      <c r="E97" t="s">
        <v>126</v>
      </c>
      <c r="F97">
        <v>89</v>
      </c>
      <c r="G97" s="4">
        <v>115</v>
      </c>
      <c r="H97" s="4">
        <v>137</v>
      </c>
      <c r="I97" s="4">
        <v>252</v>
      </c>
      <c r="J97" s="7">
        <v>306.64999999999998</v>
      </c>
    </row>
    <row r="98" spans="1:10" x14ac:dyDescent="0.25">
      <c r="A98">
        <v>92</v>
      </c>
      <c r="B98" t="s">
        <v>2627</v>
      </c>
      <c r="C98" t="s">
        <v>2003</v>
      </c>
      <c r="D98" t="s">
        <v>93</v>
      </c>
      <c r="E98" t="s">
        <v>126</v>
      </c>
      <c r="F98">
        <v>89</v>
      </c>
      <c r="G98" s="4">
        <v>118</v>
      </c>
      <c r="H98" s="4">
        <v>135</v>
      </c>
      <c r="I98" s="4">
        <v>253</v>
      </c>
      <c r="J98" s="7">
        <v>306.57</v>
      </c>
    </row>
    <row r="99" spans="1:10" x14ac:dyDescent="0.25">
      <c r="A99">
        <v>93</v>
      </c>
      <c r="B99" t="s">
        <v>1149</v>
      </c>
      <c r="C99" t="s">
        <v>386</v>
      </c>
      <c r="D99" t="s">
        <v>93</v>
      </c>
      <c r="E99" t="s">
        <v>126</v>
      </c>
      <c r="F99">
        <v>96</v>
      </c>
      <c r="G99" s="4">
        <v>112</v>
      </c>
      <c r="H99" s="4">
        <v>145</v>
      </c>
      <c r="I99" s="4">
        <v>257</v>
      </c>
      <c r="J99" s="7">
        <v>306</v>
      </c>
    </row>
    <row r="100" spans="1:10" x14ac:dyDescent="0.25">
      <c r="A100">
        <v>94</v>
      </c>
      <c r="B100" t="s">
        <v>1197</v>
      </c>
      <c r="C100" t="s">
        <v>417</v>
      </c>
      <c r="D100" t="s">
        <v>93</v>
      </c>
      <c r="E100" t="s">
        <v>126</v>
      </c>
      <c r="F100">
        <v>67</v>
      </c>
      <c r="G100" s="4">
        <v>94</v>
      </c>
      <c r="H100" s="4">
        <v>120</v>
      </c>
      <c r="I100" s="4">
        <v>214</v>
      </c>
      <c r="J100" s="7">
        <v>305.64</v>
      </c>
    </row>
    <row r="101" spans="1:10" x14ac:dyDescent="0.25">
      <c r="A101">
        <v>95</v>
      </c>
      <c r="B101" t="s">
        <v>3847</v>
      </c>
      <c r="C101" t="s">
        <v>937</v>
      </c>
      <c r="D101" t="s">
        <v>93</v>
      </c>
      <c r="E101" t="s">
        <v>126</v>
      </c>
      <c r="F101">
        <v>73</v>
      </c>
      <c r="G101" s="4">
        <v>95</v>
      </c>
      <c r="H101" s="4">
        <v>130</v>
      </c>
      <c r="I101" s="4">
        <v>225</v>
      </c>
      <c r="J101" s="7">
        <v>304.94</v>
      </c>
    </row>
    <row r="102" spans="1:10" x14ac:dyDescent="0.25">
      <c r="A102">
        <v>96</v>
      </c>
      <c r="B102" t="s">
        <v>2160</v>
      </c>
      <c r="C102" t="s">
        <v>449</v>
      </c>
      <c r="D102" t="s">
        <v>89</v>
      </c>
      <c r="E102" t="s">
        <v>126</v>
      </c>
      <c r="F102">
        <v>55</v>
      </c>
      <c r="G102" s="4">
        <v>85</v>
      </c>
      <c r="H102" s="4">
        <v>98</v>
      </c>
      <c r="I102" s="4">
        <v>183</v>
      </c>
      <c r="J102" s="7">
        <v>303.62</v>
      </c>
    </row>
    <row r="103" spans="1:10" x14ac:dyDescent="0.25">
      <c r="A103">
        <v>97</v>
      </c>
      <c r="B103" t="s">
        <v>2750</v>
      </c>
      <c r="C103" t="s">
        <v>329</v>
      </c>
      <c r="D103" t="s">
        <v>93</v>
      </c>
      <c r="E103" t="s">
        <v>126</v>
      </c>
      <c r="F103">
        <v>73</v>
      </c>
      <c r="G103" s="4">
        <v>100</v>
      </c>
      <c r="H103" s="4">
        <v>120</v>
      </c>
      <c r="I103" s="4">
        <v>220</v>
      </c>
      <c r="J103" s="7">
        <v>303.07</v>
      </c>
    </row>
    <row r="104" spans="1:10" x14ac:dyDescent="0.25">
      <c r="A104">
        <v>98</v>
      </c>
      <c r="B104" t="s">
        <v>2232</v>
      </c>
      <c r="C104" t="s">
        <v>2091</v>
      </c>
      <c r="D104" t="s">
        <v>93</v>
      </c>
      <c r="E104" t="s">
        <v>126</v>
      </c>
      <c r="F104">
        <v>89</v>
      </c>
      <c r="G104" s="4">
        <v>120</v>
      </c>
      <c r="H104" s="4">
        <v>130</v>
      </c>
      <c r="I104" s="4">
        <v>250</v>
      </c>
      <c r="J104" s="7">
        <v>303.02</v>
      </c>
    </row>
    <row r="105" spans="1:10" x14ac:dyDescent="0.25">
      <c r="A105">
        <v>99</v>
      </c>
      <c r="B105" t="s">
        <v>3143</v>
      </c>
      <c r="C105" t="s">
        <v>1552</v>
      </c>
      <c r="D105" t="s">
        <v>93</v>
      </c>
      <c r="E105" t="s">
        <v>126</v>
      </c>
      <c r="F105">
        <v>89</v>
      </c>
      <c r="G105" s="4">
        <v>110</v>
      </c>
      <c r="H105" s="4">
        <v>140</v>
      </c>
      <c r="I105" s="4">
        <v>250</v>
      </c>
      <c r="J105" s="7">
        <v>302.97000000000003</v>
      </c>
    </row>
    <row r="106" spans="1:10" x14ac:dyDescent="0.25">
      <c r="A106">
        <v>100</v>
      </c>
      <c r="B106" t="s">
        <v>487</v>
      </c>
      <c r="C106" t="s">
        <v>490</v>
      </c>
      <c r="D106" t="s">
        <v>98</v>
      </c>
      <c r="E106" t="s">
        <v>95</v>
      </c>
      <c r="F106">
        <v>81</v>
      </c>
      <c r="G106" s="4">
        <v>107</v>
      </c>
      <c r="H106" s="4">
        <v>128</v>
      </c>
      <c r="I106" s="4">
        <v>235</v>
      </c>
      <c r="J106" s="7">
        <v>302.63</v>
      </c>
    </row>
    <row r="107" spans="1:10" x14ac:dyDescent="0.25">
      <c r="A107">
        <v>101</v>
      </c>
      <c r="B107" t="s">
        <v>2367</v>
      </c>
      <c r="C107" t="s">
        <v>1046</v>
      </c>
      <c r="D107" t="s">
        <v>93</v>
      </c>
      <c r="E107" t="s">
        <v>126</v>
      </c>
      <c r="F107">
        <v>73</v>
      </c>
      <c r="G107" s="4">
        <v>95</v>
      </c>
      <c r="H107" s="4">
        <v>127</v>
      </c>
      <c r="I107" s="4">
        <v>222</v>
      </c>
      <c r="J107" s="7">
        <v>300.77999999999997</v>
      </c>
    </row>
    <row r="108" spans="1:10" x14ac:dyDescent="0.25">
      <c r="A108">
        <v>102</v>
      </c>
      <c r="B108" t="s">
        <v>554</v>
      </c>
      <c r="C108" t="s">
        <v>556</v>
      </c>
      <c r="D108" t="s">
        <v>93</v>
      </c>
      <c r="E108" t="s">
        <v>126</v>
      </c>
      <c r="F108">
        <v>73</v>
      </c>
      <c r="G108" s="4">
        <v>106</v>
      </c>
      <c r="H108" s="4">
        <v>117</v>
      </c>
      <c r="I108" s="4">
        <v>223</v>
      </c>
      <c r="J108" s="7">
        <v>300.60000000000002</v>
      </c>
    </row>
    <row r="109" spans="1:10" x14ac:dyDescent="0.25">
      <c r="A109">
        <v>103</v>
      </c>
      <c r="B109" t="s">
        <v>3646</v>
      </c>
      <c r="C109" t="s">
        <v>124</v>
      </c>
      <c r="D109" t="s">
        <v>93</v>
      </c>
      <c r="E109" t="s">
        <v>126</v>
      </c>
      <c r="F109">
        <v>81</v>
      </c>
      <c r="G109" s="4">
        <v>100</v>
      </c>
      <c r="H109" s="4">
        <v>130</v>
      </c>
      <c r="I109" s="4">
        <v>230</v>
      </c>
      <c r="J109" s="7">
        <v>300.57</v>
      </c>
    </row>
    <row r="110" spans="1:10" x14ac:dyDescent="0.25">
      <c r="A110">
        <v>104</v>
      </c>
      <c r="B110" t="s">
        <v>1334</v>
      </c>
      <c r="C110" t="s">
        <v>416</v>
      </c>
      <c r="D110" t="s">
        <v>93</v>
      </c>
      <c r="E110" t="s">
        <v>126</v>
      </c>
      <c r="F110">
        <v>89</v>
      </c>
      <c r="G110" s="4">
        <v>111</v>
      </c>
      <c r="H110" s="4">
        <v>135</v>
      </c>
      <c r="I110" s="4">
        <v>246</v>
      </c>
      <c r="J110" s="7">
        <v>300.29000000000002</v>
      </c>
    </row>
    <row r="111" spans="1:10" x14ac:dyDescent="0.25">
      <c r="A111">
        <v>105</v>
      </c>
      <c r="B111" t="s">
        <v>3783</v>
      </c>
      <c r="C111" t="s">
        <v>255</v>
      </c>
      <c r="D111" t="s">
        <v>98</v>
      </c>
      <c r="E111" t="s">
        <v>95</v>
      </c>
      <c r="F111">
        <v>89</v>
      </c>
      <c r="G111" s="4">
        <v>112</v>
      </c>
      <c r="H111" s="4">
        <v>135</v>
      </c>
      <c r="I111" s="4">
        <v>247</v>
      </c>
      <c r="J111" s="7">
        <v>300.16000000000003</v>
      </c>
    </row>
    <row r="112" spans="1:10" x14ac:dyDescent="0.25">
      <c r="A112">
        <v>106</v>
      </c>
      <c r="B112" t="s">
        <v>3964</v>
      </c>
      <c r="C112" t="s">
        <v>660</v>
      </c>
      <c r="D112" t="s">
        <v>93</v>
      </c>
      <c r="E112" t="s">
        <v>126</v>
      </c>
      <c r="F112">
        <v>89</v>
      </c>
      <c r="G112" s="4">
        <v>107</v>
      </c>
      <c r="H112" s="4">
        <v>138</v>
      </c>
      <c r="I112" s="4">
        <v>245</v>
      </c>
      <c r="J112" s="7">
        <v>299.83999999999997</v>
      </c>
    </row>
    <row r="113" spans="1:10" x14ac:dyDescent="0.25">
      <c r="A113">
        <v>107</v>
      </c>
      <c r="B113" t="s">
        <v>4320</v>
      </c>
      <c r="C113" t="s">
        <v>129</v>
      </c>
      <c r="D113" t="s">
        <v>93</v>
      </c>
      <c r="E113" t="s">
        <v>126</v>
      </c>
      <c r="F113">
        <v>73</v>
      </c>
      <c r="G113" s="4">
        <v>95</v>
      </c>
      <c r="H113" s="4">
        <v>122</v>
      </c>
      <c r="I113" s="4">
        <v>217</v>
      </c>
      <c r="J113" s="7">
        <v>299.33999999999997</v>
      </c>
    </row>
    <row r="114" spans="1:10" x14ac:dyDescent="0.25">
      <c r="A114">
        <v>108</v>
      </c>
      <c r="B114" t="s">
        <v>3497</v>
      </c>
      <c r="C114" t="s">
        <v>901</v>
      </c>
      <c r="D114" t="s">
        <v>93</v>
      </c>
      <c r="E114" t="s">
        <v>126</v>
      </c>
      <c r="F114">
        <v>96</v>
      </c>
      <c r="G114" s="4">
        <v>110</v>
      </c>
      <c r="H114" s="4">
        <v>140</v>
      </c>
      <c r="I114" s="4">
        <v>250</v>
      </c>
      <c r="J114" s="7">
        <v>299.29000000000002</v>
      </c>
    </row>
    <row r="115" spans="1:10" x14ac:dyDescent="0.25">
      <c r="A115">
        <v>109</v>
      </c>
      <c r="B115" t="s">
        <v>4227</v>
      </c>
      <c r="C115" t="s">
        <v>419</v>
      </c>
      <c r="D115" t="s">
        <v>89</v>
      </c>
      <c r="E115" t="s">
        <v>113</v>
      </c>
      <c r="F115">
        <v>89</v>
      </c>
      <c r="G115" s="4">
        <v>107</v>
      </c>
      <c r="H115" s="4">
        <v>133</v>
      </c>
      <c r="I115" s="4">
        <v>240</v>
      </c>
      <c r="J115" s="7">
        <v>298.83</v>
      </c>
    </row>
    <row r="116" spans="1:10" x14ac:dyDescent="0.25">
      <c r="A116">
        <v>110</v>
      </c>
      <c r="B116" t="s">
        <v>2046</v>
      </c>
      <c r="C116" t="s">
        <v>883</v>
      </c>
      <c r="D116" t="s">
        <v>93</v>
      </c>
      <c r="E116" t="s">
        <v>126</v>
      </c>
      <c r="F116">
        <v>89</v>
      </c>
      <c r="G116" s="4">
        <v>111</v>
      </c>
      <c r="H116" s="4">
        <v>135</v>
      </c>
      <c r="I116" s="4">
        <v>246</v>
      </c>
      <c r="J116" s="7">
        <v>298.81</v>
      </c>
    </row>
    <row r="117" spans="1:10" x14ac:dyDescent="0.25">
      <c r="A117">
        <v>111</v>
      </c>
      <c r="B117" t="s">
        <v>1063</v>
      </c>
      <c r="C117" t="s">
        <v>335</v>
      </c>
      <c r="D117" t="s">
        <v>93</v>
      </c>
      <c r="E117" t="s">
        <v>126</v>
      </c>
      <c r="F117">
        <v>73</v>
      </c>
      <c r="G117" s="4">
        <v>95</v>
      </c>
      <c r="H117" s="4">
        <v>125</v>
      </c>
      <c r="I117" s="4">
        <v>220</v>
      </c>
      <c r="J117" s="7">
        <v>296.81</v>
      </c>
    </row>
    <row r="118" spans="1:10" x14ac:dyDescent="0.25">
      <c r="A118">
        <v>112</v>
      </c>
      <c r="B118" t="s">
        <v>2847</v>
      </c>
      <c r="C118" t="s">
        <v>66</v>
      </c>
      <c r="D118" t="s">
        <v>93</v>
      </c>
      <c r="E118" t="s">
        <v>126</v>
      </c>
      <c r="F118">
        <v>81</v>
      </c>
      <c r="G118" s="4">
        <v>100</v>
      </c>
      <c r="H118" s="4">
        <v>125</v>
      </c>
      <c r="I118" s="4">
        <v>225</v>
      </c>
      <c r="J118" s="7">
        <v>296.06</v>
      </c>
    </row>
    <row r="119" spans="1:10" x14ac:dyDescent="0.25">
      <c r="A119">
        <v>113</v>
      </c>
      <c r="B119" t="s">
        <v>1225</v>
      </c>
      <c r="C119" t="s">
        <v>937</v>
      </c>
      <c r="D119" t="s">
        <v>94</v>
      </c>
      <c r="E119" t="s">
        <v>95</v>
      </c>
      <c r="F119">
        <v>73</v>
      </c>
      <c r="G119" s="4">
        <v>93</v>
      </c>
      <c r="H119" s="4">
        <v>121</v>
      </c>
      <c r="I119" s="4">
        <v>214</v>
      </c>
      <c r="J119" s="7">
        <v>295.76</v>
      </c>
    </row>
    <row r="120" spans="1:10" x14ac:dyDescent="0.25">
      <c r="A120">
        <v>114</v>
      </c>
      <c r="B120" t="s">
        <v>2396</v>
      </c>
      <c r="C120" t="s">
        <v>120</v>
      </c>
      <c r="D120" t="s">
        <v>89</v>
      </c>
      <c r="E120" t="s">
        <v>113</v>
      </c>
      <c r="F120">
        <v>102</v>
      </c>
      <c r="G120" s="4">
        <v>115</v>
      </c>
      <c r="H120" s="4">
        <v>140</v>
      </c>
      <c r="I120" s="4">
        <v>255</v>
      </c>
      <c r="J120" s="7">
        <v>294.94</v>
      </c>
    </row>
    <row r="121" spans="1:10" x14ac:dyDescent="0.25">
      <c r="A121">
        <v>115</v>
      </c>
      <c r="B121" t="s">
        <v>2346</v>
      </c>
      <c r="C121" t="s">
        <v>404</v>
      </c>
      <c r="D121" t="s">
        <v>93</v>
      </c>
      <c r="E121" t="s">
        <v>126</v>
      </c>
      <c r="F121">
        <v>73</v>
      </c>
      <c r="G121" s="4">
        <v>98</v>
      </c>
      <c r="H121" s="4">
        <v>118</v>
      </c>
      <c r="I121" s="4">
        <v>216</v>
      </c>
      <c r="J121" s="7">
        <v>294.67</v>
      </c>
    </row>
    <row r="122" spans="1:10" x14ac:dyDescent="0.25">
      <c r="A122">
        <v>116</v>
      </c>
      <c r="B122" t="s">
        <v>1873</v>
      </c>
      <c r="C122" t="s">
        <v>153</v>
      </c>
      <c r="D122" t="s">
        <v>93</v>
      </c>
      <c r="E122" t="s">
        <v>126</v>
      </c>
      <c r="F122">
        <v>73</v>
      </c>
      <c r="G122" s="4">
        <v>98</v>
      </c>
      <c r="H122" s="4">
        <v>119</v>
      </c>
      <c r="I122" s="4">
        <v>217</v>
      </c>
      <c r="J122" s="7">
        <v>294.5</v>
      </c>
    </row>
    <row r="123" spans="1:10" x14ac:dyDescent="0.25">
      <c r="A123">
        <v>117</v>
      </c>
      <c r="B123" t="s">
        <v>3485</v>
      </c>
      <c r="C123" t="s">
        <v>255</v>
      </c>
      <c r="D123" t="s">
        <v>93</v>
      </c>
      <c r="E123" t="s">
        <v>126</v>
      </c>
      <c r="F123">
        <v>67</v>
      </c>
      <c r="G123" s="4">
        <v>95</v>
      </c>
      <c r="H123" s="4">
        <v>105</v>
      </c>
      <c r="I123" s="4">
        <v>200</v>
      </c>
      <c r="J123" s="7">
        <v>294.29000000000002</v>
      </c>
    </row>
    <row r="124" spans="1:10" x14ac:dyDescent="0.25">
      <c r="A124">
        <v>118</v>
      </c>
      <c r="B124" t="s">
        <v>1231</v>
      </c>
      <c r="C124" t="s">
        <v>335</v>
      </c>
      <c r="D124" t="s">
        <v>93</v>
      </c>
      <c r="E124" t="s">
        <v>126</v>
      </c>
      <c r="F124">
        <v>67</v>
      </c>
      <c r="G124" s="4">
        <v>90</v>
      </c>
      <c r="H124" s="4">
        <v>105</v>
      </c>
      <c r="I124" s="4">
        <v>195</v>
      </c>
      <c r="J124" s="7">
        <v>293.97000000000003</v>
      </c>
    </row>
    <row r="125" spans="1:10" x14ac:dyDescent="0.25">
      <c r="A125">
        <v>119</v>
      </c>
      <c r="B125" t="s">
        <v>1907</v>
      </c>
      <c r="C125" t="s">
        <v>374</v>
      </c>
      <c r="D125" t="s">
        <v>89</v>
      </c>
      <c r="E125" t="s">
        <v>113</v>
      </c>
      <c r="F125">
        <v>73</v>
      </c>
      <c r="G125" s="4">
        <v>95</v>
      </c>
      <c r="H125" s="4">
        <v>121</v>
      </c>
      <c r="I125" s="4">
        <v>216</v>
      </c>
      <c r="J125" s="7">
        <v>293.14999999999998</v>
      </c>
    </row>
    <row r="126" spans="1:10" x14ac:dyDescent="0.25">
      <c r="A126">
        <v>120</v>
      </c>
      <c r="B126" t="s">
        <v>1282</v>
      </c>
      <c r="C126" t="s">
        <v>1285</v>
      </c>
      <c r="D126" t="s">
        <v>93</v>
      </c>
      <c r="E126" t="s">
        <v>126</v>
      </c>
      <c r="F126">
        <v>96</v>
      </c>
      <c r="G126" s="4">
        <v>112</v>
      </c>
      <c r="H126" s="4">
        <v>138</v>
      </c>
      <c r="I126" s="4">
        <v>250</v>
      </c>
      <c r="J126" s="7">
        <v>293.11</v>
      </c>
    </row>
    <row r="127" spans="1:10" x14ac:dyDescent="0.25">
      <c r="A127">
        <v>121</v>
      </c>
      <c r="B127" t="s">
        <v>3710</v>
      </c>
      <c r="C127" t="s">
        <v>335</v>
      </c>
      <c r="D127" t="s">
        <v>94</v>
      </c>
      <c r="E127" t="s">
        <v>95</v>
      </c>
      <c r="F127">
        <v>73</v>
      </c>
      <c r="G127" s="4">
        <v>95</v>
      </c>
      <c r="H127" s="4">
        <v>121</v>
      </c>
      <c r="I127" s="4">
        <v>216</v>
      </c>
      <c r="J127" s="7">
        <v>292.64999999999998</v>
      </c>
    </row>
    <row r="128" spans="1:10" x14ac:dyDescent="0.25">
      <c r="A128">
        <v>122</v>
      </c>
      <c r="B128" t="s">
        <v>2326</v>
      </c>
      <c r="C128" t="s">
        <v>1627</v>
      </c>
      <c r="D128" t="s">
        <v>93</v>
      </c>
      <c r="E128" t="s">
        <v>126</v>
      </c>
      <c r="F128">
        <v>89</v>
      </c>
      <c r="G128" s="4">
        <v>108</v>
      </c>
      <c r="H128" s="4">
        <v>133</v>
      </c>
      <c r="I128" s="4">
        <v>241</v>
      </c>
      <c r="J128" s="7">
        <v>292.64</v>
      </c>
    </row>
    <row r="129" spans="1:10" x14ac:dyDescent="0.25">
      <c r="A129">
        <v>123</v>
      </c>
      <c r="B129" t="s">
        <v>1278</v>
      </c>
      <c r="C129" t="s">
        <v>328</v>
      </c>
      <c r="D129" t="s">
        <v>89</v>
      </c>
      <c r="E129" t="s">
        <v>113</v>
      </c>
      <c r="F129">
        <v>67</v>
      </c>
      <c r="G129" s="4">
        <v>89</v>
      </c>
      <c r="H129" s="4">
        <v>112</v>
      </c>
      <c r="I129" s="4">
        <v>201</v>
      </c>
      <c r="J129" s="7">
        <v>291.83</v>
      </c>
    </row>
    <row r="130" spans="1:10" x14ac:dyDescent="0.25">
      <c r="A130">
        <v>124</v>
      </c>
      <c r="B130" t="s">
        <v>1850</v>
      </c>
      <c r="C130" t="s">
        <v>416</v>
      </c>
      <c r="D130" t="s">
        <v>93</v>
      </c>
      <c r="E130" t="s">
        <v>126</v>
      </c>
      <c r="F130">
        <v>89</v>
      </c>
      <c r="G130" s="4">
        <v>106</v>
      </c>
      <c r="H130" s="4">
        <v>130</v>
      </c>
      <c r="I130" s="4">
        <v>236</v>
      </c>
      <c r="J130" s="7">
        <v>290.7</v>
      </c>
    </row>
    <row r="131" spans="1:10" x14ac:dyDescent="0.25">
      <c r="A131">
        <v>125</v>
      </c>
      <c r="B131" t="s">
        <v>3729</v>
      </c>
      <c r="C131" t="s">
        <v>258</v>
      </c>
      <c r="D131" t="s">
        <v>93</v>
      </c>
      <c r="E131" t="s">
        <v>126</v>
      </c>
      <c r="F131">
        <v>73</v>
      </c>
      <c r="G131" s="4">
        <v>95</v>
      </c>
      <c r="H131" s="4">
        <v>118</v>
      </c>
      <c r="I131" s="4">
        <v>213</v>
      </c>
      <c r="J131" s="7">
        <v>290.58</v>
      </c>
    </row>
    <row r="132" spans="1:10" x14ac:dyDescent="0.25">
      <c r="A132">
        <v>126</v>
      </c>
      <c r="B132" t="s">
        <v>2780</v>
      </c>
      <c r="C132" t="s">
        <v>2091</v>
      </c>
      <c r="D132" t="s">
        <v>93</v>
      </c>
      <c r="E132" t="s">
        <v>126</v>
      </c>
      <c r="F132">
        <v>81</v>
      </c>
      <c r="G132" s="4">
        <v>100</v>
      </c>
      <c r="H132" s="4">
        <v>125</v>
      </c>
      <c r="I132" s="4">
        <v>225</v>
      </c>
      <c r="J132" s="7">
        <v>288.93</v>
      </c>
    </row>
    <row r="133" spans="1:10" x14ac:dyDescent="0.25">
      <c r="A133">
        <v>127</v>
      </c>
      <c r="B133" t="s">
        <v>1237</v>
      </c>
      <c r="C133" t="s">
        <v>422</v>
      </c>
      <c r="D133" t="s">
        <v>89</v>
      </c>
      <c r="E133" t="s">
        <v>113</v>
      </c>
      <c r="F133">
        <v>89</v>
      </c>
      <c r="G133" s="4">
        <v>100</v>
      </c>
      <c r="H133" s="4">
        <v>130</v>
      </c>
      <c r="I133" s="4">
        <v>230</v>
      </c>
      <c r="J133" s="7">
        <v>287.73</v>
      </c>
    </row>
    <row r="134" spans="1:10" x14ac:dyDescent="0.25">
      <c r="A134">
        <v>128</v>
      </c>
      <c r="B134" t="s">
        <v>3087</v>
      </c>
      <c r="C134" t="s">
        <v>606</v>
      </c>
      <c r="D134" t="s">
        <v>89</v>
      </c>
      <c r="E134" t="s">
        <v>113</v>
      </c>
      <c r="F134">
        <v>73</v>
      </c>
      <c r="G134" s="4">
        <v>95</v>
      </c>
      <c r="H134" s="4">
        <v>115</v>
      </c>
      <c r="I134" s="4">
        <v>210</v>
      </c>
      <c r="J134" s="7">
        <v>287.24</v>
      </c>
    </row>
    <row r="135" spans="1:10" x14ac:dyDescent="0.25">
      <c r="A135">
        <v>129</v>
      </c>
      <c r="B135" t="s">
        <v>4265</v>
      </c>
      <c r="C135" t="s">
        <v>47</v>
      </c>
      <c r="D135" t="s">
        <v>94</v>
      </c>
      <c r="E135" t="s">
        <v>95</v>
      </c>
      <c r="F135">
        <v>73</v>
      </c>
      <c r="G135" s="4">
        <v>95</v>
      </c>
      <c r="H135" s="4">
        <v>115</v>
      </c>
      <c r="I135" s="4">
        <v>210</v>
      </c>
      <c r="J135" s="7">
        <v>287.24</v>
      </c>
    </row>
    <row r="136" spans="1:10" x14ac:dyDescent="0.25">
      <c r="A136">
        <v>130</v>
      </c>
      <c r="B136" t="s">
        <v>2745</v>
      </c>
      <c r="C136" t="s">
        <v>464</v>
      </c>
      <c r="D136" t="s">
        <v>93</v>
      </c>
      <c r="E136" t="s">
        <v>126</v>
      </c>
      <c r="F136">
        <v>81</v>
      </c>
      <c r="G136" s="4">
        <v>100</v>
      </c>
      <c r="H136" s="4">
        <v>123</v>
      </c>
      <c r="I136" s="4">
        <v>223</v>
      </c>
      <c r="J136" s="7">
        <v>286.04000000000002</v>
      </c>
    </row>
    <row r="137" spans="1:10" x14ac:dyDescent="0.25">
      <c r="A137">
        <v>131</v>
      </c>
      <c r="B137" t="s">
        <v>3573</v>
      </c>
      <c r="C137" t="s">
        <v>653</v>
      </c>
      <c r="D137" t="s">
        <v>98</v>
      </c>
      <c r="E137" t="s">
        <v>57</v>
      </c>
      <c r="F137">
        <v>67</v>
      </c>
      <c r="G137" s="4">
        <v>88</v>
      </c>
      <c r="H137" s="4">
        <v>110</v>
      </c>
      <c r="I137" s="4">
        <v>198</v>
      </c>
      <c r="J137" s="7">
        <v>285.5</v>
      </c>
    </row>
    <row r="138" spans="1:10" x14ac:dyDescent="0.25">
      <c r="A138">
        <v>132</v>
      </c>
      <c r="B138" t="s">
        <v>3004</v>
      </c>
      <c r="C138" t="s">
        <v>1627</v>
      </c>
      <c r="D138" t="s">
        <v>93</v>
      </c>
      <c r="E138" t="s">
        <v>126</v>
      </c>
      <c r="F138">
        <v>81</v>
      </c>
      <c r="G138" s="4">
        <v>97</v>
      </c>
      <c r="H138" s="4">
        <v>125</v>
      </c>
      <c r="I138" s="4">
        <v>222</v>
      </c>
      <c r="J138" s="7">
        <v>285.38</v>
      </c>
    </row>
    <row r="139" spans="1:10" x14ac:dyDescent="0.25">
      <c r="A139">
        <v>133</v>
      </c>
      <c r="B139" t="s">
        <v>4369</v>
      </c>
      <c r="C139" t="s">
        <v>548</v>
      </c>
      <c r="D139" t="s">
        <v>93</v>
      </c>
      <c r="E139" t="s">
        <v>126</v>
      </c>
      <c r="F139">
        <v>61</v>
      </c>
      <c r="G139" s="4">
        <v>85</v>
      </c>
      <c r="H139" s="4">
        <v>100</v>
      </c>
      <c r="I139" s="4">
        <v>185</v>
      </c>
      <c r="J139" s="7">
        <v>285.31</v>
      </c>
    </row>
    <row r="140" spans="1:10" x14ac:dyDescent="0.25">
      <c r="A140">
        <v>134</v>
      </c>
      <c r="B140" t="s">
        <v>3719</v>
      </c>
      <c r="C140" t="s">
        <v>120</v>
      </c>
      <c r="D140" t="s">
        <v>93</v>
      </c>
      <c r="E140" t="s">
        <v>126</v>
      </c>
      <c r="F140">
        <v>81</v>
      </c>
      <c r="G140" s="4">
        <v>100</v>
      </c>
      <c r="H140" s="4">
        <v>120</v>
      </c>
      <c r="I140" s="4">
        <v>220</v>
      </c>
      <c r="J140" s="7">
        <v>284.12</v>
      </c>
    </row>
    <row r="141" spans="1:10" x14ac:dyDescent="0.25">
      <c r="A141">
        <v>135</v>
      </c>
      <c r="B141" t="s">
        <v>2408</v>
      </c>
      <c r="C141" t="s">
        <v>255</v>
      </c>
      <c r="D141" t="s">
        <v>89</v>
      </c>
      <c r="E141" t="s">
        <v>113</v>
      </c>
      <c r="F141">
        <v>73</v>
      </c>
      <c r="G141" s="4">
        <v>95</v>
      </c>
      <c r="H141" s="4">
        <v>110</v>
      </c>
      <c r="I141" s="4">
        <v>205</v>
      </c>
      <c r="J141" s="7">
        <v>283.95</v>
      </c>
    </row>
    <row r="142" spans="1:10" x14ac:dyDescent="0.25">
      <c r="A142">
        <v>136</v>
      </c>
      <c r="B142" t="s">
        <v>3954</v>
      </c>
      <c r="C142" t="s">
        <v>404</v>
      </c>
      <c r="D142" t="s">
        <v>93</v>
      </c>
      <c r="E142" t="s">
        <v>126</v>
      </c>
      <c r="F142">
        <v>89</v>
      </c>
      <c r="G142" s="4">
        <v>100</v>
      </c>
      <c r="H142" s="4">
        <v>130</v>
      </c>
      <c r="I142" s="4">
        <v>230</v>
      </c>
      <c r="J142" s="7">
        <v>283.64999999999998</v>
      </c>
    </row>
    <row r="143" spans="1:10" x14ac:dyDescent="0.25">
      <c r="A143">
        <v>137</v>
      </c>
      <c r="B143" t="s">
        <v>806</v>
      </c>
      <c r="C143" t="s">
        <v>621</v>
      </c>
      <c r="D143" t="s">
        <v>93</v>
      </c>
      <c r="E143" t="s">
        <v>126</v>
      </c>
      <c r="F143">
        <v>61</v>
      </c>
      <c r="G143" s="4">
        <v>81</v>
      </c>
      <c r="H143" s="4">
        <v>105</v>
      </c>
      <c r="I143" s="4">
        <v>186</v>
      </c>
      <c r="J143" s="7">
        <v>283.22000000000003</v>
      </c>
    </row>
    <row r="144" spans="1:10" x14ac:dyDescent="0.25">
      <c r="A144">
        <v>138</v>
      </c>
      <c r="B144" t="s">
        <v>3666</v>
      </c>
      <c r="C144" t="s">
        <v>606</v>
      </c>
      <c r="D144" t="s">
        <v>93</v>
      </c>
      <c r="E144" t="s">
        <v>126</v>
      </c>
      <c r="F144">
        <v>81</v>
      </c>
      <c r="G144" s="4">
        <v>100</v>
      </c>
      <c r="H144" s="4">
        <v>123</v>
      </c>
      <c r="I144" s="4">
        <v>223</v>
      </c>
      <c r="J144" s="7">
        <v>283.01</v>
      </c>
    </row>
    <row r="145" spans="1:10" x14ac:dyDescent="0.25">
      <c r="A145">
        <v>139</v>
      </c>
      <c r="B145" t="s">
        <v>3123</v>
      </c>
      <c r="C145" t="s">
        <v>419</v>
      </c>
      <c r="D145" t="s">
        <v>184</v>
      </c>
      <c r="E145" t="s">
        <v>57</v>
      </c>
      <c r="F145">
        <v>55</v>
      </c>
      <c r="G145" s="4">
        <v>76</v>
      </c>
      <c r="H145" s="4">
        <v>94</v>
      </c>
      <c r="I145" s="4">
        <v>170</v>
      </c>
      <c r="J145" s="7">
        <v>282.70999999999998</v>
      </c>
    </row>
    <row r="146" spans="1:10" x14ac:dyDescent="0.25">
      <c r="A146">
        <v>140</v>
      </c>
      <c r="B146" t="s">
        <v>3254</v>
      </c>
      <c r="C146" t="s">
        <v>394</v>
      </c>
      <c r="D146" t="s">
        <v>89</v>
      </c>
      <c r="E146" t="s">
        <v>113</v>
      </c>
      <c r="F146">
        <v>61</v>
      </c>
      <c r="G146" s="4">
        <v>80</v>
      </c>
      <c r="H146" s="4">
        <v>101</v>
      </c>
      <c r="I146" s="4">
        <v>181</v>
      </c>
      <c r="J146" s="7">
        <v>282.66000000000003</v>
      </c>
    </row>
    <row r="147" spans="1:10" x14ac:dyDescent="0.25">
      <c r="A147">
        <v>141</v>
      </c>
      <c r="B147" t="s">
        <v>1931</v>
      </c>
      <c r="C147" t="s">
        <v>134</v>
      </c>
      <c r="D147" t="s">
        <v>64</v>
      </c>
      <c r="E147" t="s">
        <v>126</v>
      </c>
      <c r="F147">
        <v>73</v>
      </c>
      <c r="G147" s="4">
        <v>90</v>
      </c>
      <c r="H147" s="4">
        <v>118</v>
      </c>
      <c r="I147" s="4">
        <v>208</v>
      </c>
      <c r="J147" s="7">
        <v>282.52999999999997</v>
      </c>
    </row>
    <row r="148" spans="1:10" x14ac:dyDescent="0.25">
      <c r="A148">
        <v>142</v>
      </c>
      <c r="B148" t="s">
        <v>3595</v>
      </c>
      <c r="C148" t="s">
        <v>697</v>
      </c>
      <c r="D148" t="s">
        <v>93</v>
      </c>
      <c r="E148" t="s">
        <v>126</v>
      </c>
      <c r="F148">
        <v>102</v>
      </c>
      <c r="G148" s="4">
        <v>108</v>
      </c>
      <c r="H148" s="4">
        <v>138</v>
      </c>
      <c r="I148" s="4">
        <v>246</v>
      </c>
      <c r="J148" s="7">
        <v>282.23</v>
      </c>
    </row>
    <row r="149" spans="1:10" x14ac:dyDescent="0.25">
      <c r="A149">
        <v>143</v>
      </c>
      <c r="B149" t="s">
        <v>1912</v>
      </c>
      <c r="C149" t="s">
        <v>660</v>
      </c>
      <c r="D149" t="s">
        <v>93</v>
      </c>
      <c r="E149" t="s">
        <v>126</v>
      </c>
      <c r="F149">
        <v>89</v>
      </c>
      <c r="G149" s="4">
        <v>110</v>
      </c>
      <c r="H149" s="4">
        <v>120</v>
      </c>
      <c r="I149" s="4">
        <v>230</v>
      </c>
      <c r="J149" s="7">
        <v>281.64999999999998</v>
      </c>
    </row>
    <row r="150" spans="1:10" x14ac:dyDescent="0.25">
      <c r="A150">
        <v>144</v>
      </c>
      <c r="B150" t="s">
        <v>3976</v>
      </c>
      <c r="C150" t="s">
        <v>548</v>
      </c>
      <c r="D150" t="s">
        <v>93</v>
      </c>
      <c r="E150" t="s">
        <v>126</v>
      </c>
      <c r="F150">
        <v>96</v>
      </c>
      <c r="G150" s="4">
        <v>105</v>
      </c>
      <c r="H150" s="4">
        <v>135</v>
      </c>
      <c r="I150" s="4">
        <v>240</v>
      </c>
      <c r="J150" s="7">
        <v>281.52</v>
      </c>
    </row>
    <row r="151" spans="1:10" x14ac:dyDescent="0.25">
      <c r="A151">
        <v>145</v>
      </c>
      <c r="B151" t="s">
        <v>4386</v>
      </c>
      <c r="C151" t="s">
        <v>400</v>
      </c>
      <c r="D151" t="s">
        <v>64</v>
      </c>
      <c r="E151" t="s">
        <v>126</v>
      </c>
      <c r="F151">
        <v>81</v>
      </c>
      <c r="G151" s="4">
        <v>100</v>
      </c>
      <c r="H151" s="4">
        <v>112</v>
      </c>
      <c r="I151" s="4">
        <v>212</v>
      </c>
      <c r="J151" s="7">
        <v>280.92</v>
      </c>
    </row>
    <row r="152" spans="1:10" x14ac:dyDescent="0.25">
      <c r="A152">
        <v>146</v>
      </c>
      <c r="B152" t="s">
        <v>4183</v>
      </c>
      <c r="C152" t="s">
        <v>766</v>
      </c>
      <c r="D152" t="s">
        <v>93</v>
      </c>
      <c r="E152" t="s">
        <v>126</v>
      </c>
      <c r="F152">
        <v>89</v>
      </c>
      <c r="G152" s="4">
        <v>102</v>
      </c>
      <c r="H152" s="4">
        <v>130</v>
      </c>
      <c r="I152" s="4">
        <v>232</v>
      </c>
      <c r="J152" s="7">
        <v>280.89</v>
      </c>
    </row>
    <row r="153" spans="1:10" x14ac:dyDescent="0.25">
      <c r="A153">
        <v>147</v>
      </c>
      <c r="B153" t="s">
        <v>3583</v>
      </c>
      <c r="C153" t="s">
        <v>124</v>
      </c>
      <c r="D153" t="s">
        <v>93</v>
      </c>
      <c r="E153" t="s">
        <v>126</v>
      </c>
      <c r="F153">
        <v>96</v>
      </c>
      <c r="G153" s="4">
        <v>105</v>
      </c>
      <c r="H153" s="4">
        <v>135</v>
      </c>
      <c r="I153" s="4">
        <v>240</v>
      </c>
      <c r="J153" s="7">
        <v>280.08</v>
      </c>
    </row>
    <row r="154" spans="1:10" x14ac:dyDescent="0.25">
      <c r="A154">
        <v>148</v>
      </c>
      <c r="B154" t="s">
        <v>3581</v>
      </c>
      <c r="C154" t="s">
        <v>255</v>
      </c>
      <c r="D154" t="s">
        <v>89</v>
      </c>
      <c r="E154" t="s">
        <v>113</v>
      </c>
      <c r="F154">
        <v>73</v>
      </c>
      <c r="G154" s="4">
        <v>90</v>
      </c>
      <c r="H154" s="4">
        <v>115</v>
      </c>
      <c r="I154" s="4">
        <v>205</v>
      </c>
      <c r="J154" s="7">
        <v>279.91000000000003</v>
      </c>
    </row>
    <row r="155" spans="1:10" x14ac:dyDescent="0.25">
      <c r="A155">
        <v>149</v>
      </c>
      <c r="B155" t="s">
        <v>3973</v>
      </c>
      <c r="C155" t="s">
        <v>513</v>
      </c>
      <c r="D155" t="s">
        <v>64</v>
      </c>
      <c r="E155" t="s">
        <v>126</v>
      </c>
      <c r="F155">
        <v>73</v>
      </c>
      <c r="G155" s="4">
        <v>90</v>
      </c>
      <c r="H155" s="4">
        <v>115</v>
      </c>
      <c r="I155" s="4">
        <v>205</v>
      </c>
      <c r="J155" s="7">
        <v>279.42</v>
      </c>
    </row>
    <row r="156" spans="1:10" x14ac:dyDescent="0.25">
      <c r="A156">
        <v>150</v>
      </c>
      <c r="B156" t="s">
        <v>2413</v>
      </c>
      <c r="C156" t="s">
        <v>386</v>
      </c>
      <c r="D156" t="s">
        <v>93</v>
      </c>
      <c r="E156" t="s">
        <v>126</v>
      </c>
      <c r="F156">
        <v>81</v>
      </c>
      <c r="G156" s="4">
        <v>100</v>
      </c>
      <c r="H156" s="4">
        <v>120</v>
      </c>
      <c r="I156" s="4">
        <v>220</v>
      </c>
      <c r="J156" s="7">
        <v>279.3</v>
      </c>
    </row>
    <row r="157" spans="1:10" x14ac:dyDescent="0.25">
      <c r="A157">
        <v>151</v>
      </c>
      <c r="B157" t="s">
        <v>2756</v>
      </c>
      <c r="C157" t="s">
        <v>783</v>
      </c>
      <c r="D157" t="s">
        <v>93</v>
      </c>
      <c r="E157" t="s">
        <v>126</v>
      </c>
      <c r="F157">
        <v>109</v>
      </c>
      <c r="G157" s="4">
        <v>115</v>
      </c>
      <c r="H157" s="4">
        <v>135</v>
      </c>
      <c r="I157" s="4">
        <v>250</v>
      </c>
      <c r="J157" s="7">
        <v>279.01</v>
      </c>
    </row>
    <row r="158" spans="1:10" x14ac:dyDescent="0.25">
      <c r="A158">
        <v>152</v>
      </c>
      <c r="B158" t="s">
        <v>3135</v>
      </c>
      <c r="C158" t="s">
        <v>88</v>
      </c>
      <c r="D158" t="s">
        <v>94</v>
      </c>
      <c r="E158" t="s">
        <v>95</v>
      </c>
      <c r="F158">
        <v>67</v>
      </c>
      <c r="G158" s="4">
        <v>85</v>
      </c>
      <c r="H158" s="4">
        <v>105</v>
      </c>
      <c r="I158" s="4">
        <v>190</v>
      </c>
      <c r="J158" s="7">
        <v>278.82</v>
      </c>
    </row>
    <row r="159" spans="1:10" x14ac:dyDescent="0.25">
      <c r="A159">
        <v>153</v>
      </c>
      <c r="B159" t="s">
        <v>4301</v>
      </c>
      <c r="C159" t="s">
        <v>917</v>
      </c>
      <c r="D159" t="s">
        <v>64</v>
      </c>
      <c r="E159" t="s">
        <v>126</v>
      </c>
      <c r="F159">
        <v>67</v>
      </c>
      <c r="G159" s="4">
        <v>93</v>
      </c>
      <c r="H159" s="4">
        <v>100</v>
      </c>
      <c r="I159" s="4">
        <v>193</v>
      </c>
      <c r="J159" s="7">
        <v>278.75</v>
      </c>
    </row>
    <row r="160" spans="1:10" x14ac:dyDescent="0.25">
      <c r="A160">
        <v>154</v>
      </c>
      <c r="B160" t="s">
        <v>724</v>
      </c>
      <c r="C160" t="s">
        <v>727</v>
      </c>
      <c r="D160" t="s">
        <v>93</v>
      </c>
      <c r="E160" t="s">
        <v>126</v>
      </c>
      <c r="F160">
        <v>67</v>
      </c>
      <c r="G160" s="4">
        <v>90</v>
      </c>
      <c r="H160" s="4">
        <v>105</v>
      </c>
      <c r="I160" s="4">
        <v>195</v>
      </c>
      <c r="J160" s="7">
        <v>278.17</v>
      </c>
    </row>
    <row r="161" spans="1:10" x14ac:dyDescent="0.25">
      <c r="A161">
        <v>155</v>
      </c>
      <c r="B161" t="s">
        <v>3653</v>
      </c>
      <c r="C161" t="s">
        <v>168</v>
      </c>
      <c r="D161" t="s">
        <v>93</v>
      </c>
      <c r="E161" t="s">
        <v>126</v>
      </c>
      <c r="F161">
        <v>89</v>
      </c>
      <c r="G161" s="4">
        <v>100</v>
      </c>
      <c r="H161" s="4">
        <v>130</v>
      </c>
      <c r="I161" s="4">
        <v>230</v>
      </c>
      <c r="J161" s="7">
        <v>278.01</v>
      </c>
    </row>
    <row r="162" spans="1:10" x14ac:dyDescent="0.25">
      <c r="A162">
        <v>156</v>
      </c>
      <c r="B162" t="s">
        <v>2623</v>
      </c>
      <c r="C162" t="s">
        <v>713</v>
      </c>
      <c r="D162" t="s">
        <v>93</v>
      </c>
      <c r="E162" t="s">
        <v>126</v>
      </c>
      <c r="F162">
        <v>109</v>
      </c>
      <c r="G162" s="4">
        <v>110</v>
      </c>
      <c r="H162" s="4">
        <v>137</v>
      </c>
      <c r="I162" s="4">
        <v>247</v>
      </c>
      <c r="J162" s="7">
        <v>277.39</v>
      </c>
    </row>
    <row r="163" spans="1:10" x14ac:dyDescent="0.25">
      <c r="A163">
        <v>157</v>
      </c>
      <c r="B163" t="s">
        <v>2492</v>
      </c>
      <c r="C163" t="s">
        <v>271</v>
      </c>
      <c r="D163" t="s">
        <v>94</v>
      </c>
      <c r="E163" t="s">
        <v>57</v>
      </c>
      <c r="F163">
        <v>67</v>
      </c>
      <c r="G163" s="4">
        <v>85</v>
      </c>
      <c r="H163" s="4">
        <v>100</v>
      </c>
      <c r="I163" s="4">
        <v>185</v>
      </c>
      <c r="J163" s="7">
        <v>276.97000000000003</v>
      </c>
    </row>
    <row r="164" spans="1:10" x14ac:dyDescent="0.25">
      <c r="A164">
        <v>158</v>
      </c>
      <c r="B164" t="s">
        <v>4149</v>
      </c>
      <c r="C164" t="s">
        <v>1202</v>
      </c>
      <c r="D164" t="s">
        <v>93</v>
      </c>
      <c r="E164" t="s">
        <v>126</v>
      </c>
      <c r="F164">
        <v>61</v>
      </c>
      <c r="G164" s="4">
        <v>77</v>
      </c>
      <c r="H164" s="4">
        <v>104</v>
      </c>
      <c r="I164" s="4">
        <v>181</v>
      </c>
      <c r="J164" s="7">
        <v>276.77</v>
      </c>
    </row>
    <row r="165" spans="1:10" x14ac:dyDescent="0.25">
      <c r="A165">
        <v>159</v>
      </c>
      <c r="B165" t="s">
        <v>676</v>
      </c>
      <c r="C165" t="s">
        <v>673</v>
      </c>
      <c r="D165" t="s">
        <v>94</v>
      </c>
      <c r="E165" t="s">
        <v>95</v>
      </c>
      <c r="F165">
        <v>73</v>
      </c>
      <c r="G165" s="4">
        <v>88</v>
      </c>
      <c r="H165" s="4">
        <v>115</v>
      </c>
      <c r="I165" s="4">
        <v>203</v>
      </c>
      <c r="J165" s="7">
        <v>276.22000000000003</v>
      </c>
    </row>
    <row r="166" spans="1:10" x14ac:dyDescent="0.25">
      <c r="A166">
        <v>160</v>
      </c>
      <c r="B166" t="s">
        <v>3010</v>
      </c>
      <c r="C166" t="s">
        <v>749</v>
      </c>
      <c r="D166" t="s">
        <v>64</v>
      </c>
      <c r="E166" t="s">
        <v>126</v>
      </c>
      <c r="F166">
        <v>81</v>
      </c>
      <c r="G166" s="4">
        <v>99</v>
      </c>
      <c r="H166" s="4">
        <v>117</v>
      </c>
      <c r="I166" s="4">
        <v>216</v>
      </c>
      <c r="J166" s="7">
        <v>276.20999999999998</v>
      </c>
    </row>
    <row r="167" spans="1:10" x14ac:dyDescent="0.25">
      <c r="A167">
        <v>161</v>
      </c>
      <c r="B167" t="s">
        <v>4103</v>
      </c>
      <c r="C167" t="s">
        <v>792</v>
      </c>
      <c r="D167" t="s">
        <v>89</v>
      </c>
      <c r="E167" t="s">
        <v>113</v>
      </c>
      <c r="F167">
        <v>89</v>
      </c>
      <c r="G167" s="4">
        <v>100</v>
      </c>
      <c r="H167" s="4">
        <v>125</v>
      </c>
      <c r="I167" s="4">
        <v>225</v>
      </c>
      <c r="J167" s="7">
        <v>274.81</v>
      </c>
    </row>
    <row r="168" spans="1:10" x14ac:dyDescent="0.25">
      <c r="A168">
        <v>162</v>
      </c>
      <c r="B168" t="s">
        <v>4203</v>
      </c>
      <c r="C168" t="s">
        <v>611</v>
      </c>
      <c r="D168" t="s">
        <v>64</v>
      </c>
      <c r="E168" t="s">
        <v>126</v>
      </c>
      <c r="F168">
        <v>73</v>
      </c>
      <c r="G168" s="4">
        <v>90</v>
      </c>
      <c r="H168" s="4">
        <v>110</v>
      </c>
      <c r="I168" s="4">
        <v>200</v>
      </c>
      <c r="J168" s="7">
        <v>274.52999999999997</v>
      </c>
    </row>
    <row r="169" spans="1:10" x14ac:dyDescent="0.25">
      <c r="A169">
        <v>163</v>
      </c>
      <c r="B169" t="s">
        <v>1074</v>
      </c>
      <c r="C169" t="s">
        <v>414</v>
      </c>
      <c r="D169" t="s">
        <v>64</v>
      </c>
      <c r="E169" t="s">
        <v>126</v>
      </c>
      <c r="F169">
        <v>89</v>
      </c>
      <c r="G169" s="4">
        <v>105</v>
      </c>
      <c r="H169" s="4">
        <v>120</v>
      </c>
      <c r="I169" s="4">
        <v>225</v>
      </c>
      <c r="J169" s="7">
        <v>273.48</v>
      </c>
    </row>
    <row r="170" spans="1:10" x14ac:dyDescent="0.25">
      <c r="A170">
        <v>164</v>
      </c>
      <c r="B170" t="s">
        <v>4294</v>
      </c>
      <c r="C170" t="s">
        <v>386</v>
      </c>
      <c r="D170" t="s">
        <v>64</v>
      </c>
      <c r="E170" t="s">
        <v>126</v>
      </c>
      <c r="F170">
        <v>89</v>
      </c>
      <c r="G170" s="4">
        <v>100</v>
      </c>
      <c r="H170" s="4">
        <v>125</v>
      </c>
      <c r="I170" s="4">
        <v>225</v>
      </c>
      <c r="J170" s="7">
        <v>273.02</v>
      </c>
    </row>
    <row r="171" spans="1:10" x14ac:dyDescent="0.25">
      <c r="A171">
        <v>165</v>
      </c>
      <c r="B171" t="s">
        <v>4144</v>
      </c>
      <c r="C171" t="s">
        <v>386</v>
      </c>
      <c r="D171" t="s">
        <v>64</v>
      </c>
      <c r="E171" t="s">
        <v>126</v>
      </c>
      <c r="F171">
        <v>81</v>
      </c>
      <c r="G171" s="4">
        <v>100</v>
      </c>
      <c r="H171" s="4">
        <v>115</v>
      </c>
      <c r="I171" s="4">
        <v>215</v>
      </c>
      <c r="J171" s="7">
        <v>272.95</v>
      </c>
    </row>
    <row r="172" spans="1:10" x14ac:dyDescent="0.25">
      <c r="A172">
        <v>166</v>
      </c>
      <c r="B172" t="s">
        <v>3000</v>
      </c>
      <c r="C172" t="s">
        <v>404</v>
      </c>
      <c r="D172" t="s">
        <v>64</v>
      </c>
      <c r="E172" t="s">
        <v>126</v>
      </c>
      <c r="F172">
        <v>89</v>
      </c>
      <c r="G172" s="4">
        <v>100</v>
      </c>
      <c r="H172" s="4">
        <v>125</v>
      </c>
      <c r="I172" s="4">
        <v>225</v>
      </c>
      <c r="J172" s="7">
        <v>272.87</v>
      </c>
    </row>
    <row r="173" spans="1:10" x14ac:dyDescent="0.25">
      <c r="A173">
        <v>167</v>
      </c>
      <c r="B173" t="s">
        <v>3776</v>
      </c>
      <c r="C173" t="s">
        <v>606</v>
      </c>
      <c r="D173" t="s">
        <v>89</v>
      </c>
      <c r="E173" t="s">
        <v>113</v>
      </c>
      <c r="F173">
        <v>81</v>
      </c>
      <c r="G173" s="4">
        <v>98</v>
      </c>
      <c r="H173" s="4">
        <v>117</v>
      </c>
      <c r="I173" s="4">
        <v>215</v>
      </c>
      <c r="J173" s="7">
        <v>272.86</v>
      </c>
    </row>
    <row r="174" spans="1:10" x14ac:dyDescent="0.25">
      <c r="A174">
        <v>168</v>
      </c>
      <c r="B174" t="s">
        <v>717</v>
      </c>
      <c r="C174" t="s">
        <v>490</v>
      </c>
      <c r="D174" t="s">
        <v>89</v>
      </c>
      <c r="E174" t="s">
        <v>113</v>
      </c>
      <c r="F174">
        <v>67</v>
      </c>
      <c r="G174" s="4">
        <v>87</v>
      </c>
      <c r="H174" s="4">
        <v>103</v>
      </c>
      <c r="I174" s="4">
        <v>190</v>
      </c>
      <c r="J174" s="7">
        <v>271.36</v>
      </c>
    </row>
    <row r="175" spans="1:10" x14ac:dyDescent="0.25">
      <c r="A175">
        <v>169</v>
      </c>
      <c r="B175" t="s">
        <v>578</v>
      </c>
      <c r="C175" t="s">
        <v>386</v>
      </c>
      <c r="D175" t="s">
        <v>64</v>
      </c>
      <c r="E175" t="s">
        <v>126</v>
      </c>
      <c r="F175">
        <v>89</v>
      </c>
      <c r="G175" s="4">
        <v>104</v>
      </c>
      <c r="H175" s="4">
        <v>115</v>
      </c>
      <c r="I175" s="4">
        <v>219</v>
      </c>
      <c r="J175" s="7">
        <v>271.23</v>
      </c>
    </row>
    <row r="176" spans="1:10" x14ac:dyDescent="0.25">
      <c r="A176">
        <v>170</v>
      </c>
      <c r="B176" t="s">
        <v>2565</v>
      </c>
      <c r="C176" t="s">
        <v>2286</v>
      </c>
      <c r="D176" t="s">
        <v>64</v>
      </c>
      <c r="E176" t="s">
        <v>126</v>
      </c>
      <c r="F176">
        <v>73</v>
      </c>
      <c r="G176" s="4">
        <v>90</v>
      </c>
      <c r="H176" s="4">
        <v>110</v>
      </c>
      <c r="I176" s="4">
        <v>200</v>
      </c>
      <c r="J176" s="7">
        <v>270.97000000000003</v>
      </c>
    </row>
    <row r="177" spans="1:10" x14ac:dyDescent="0.25">
      <c r="A177">
        <v>171</v>
      </c>
      <c r="B177" t="s">
        <v>3540</v>
      </c>
      <c r="C177" t="s">
        <v>386</v>
      </c>
      <c r="D177" t="s">
        <v>89</v>
      </c>
      <c r="E177" t="s">
        <v>113</v>
      </c>
      <c r="F177">
        <v>67</v>
      </c>
      <c r="G177" s="4">
        <v>87</v>
      </c>
      <c r="H177" s="4">
        <v>103</v>
      </c>
      <c r="I177" s="4">
        <v>190</v>
      </c>
      <c r="J177" s="7">
        <v>270.82</v>
      </c>
    </row>
    <row r="178" spans="1:10" x14ac:dyDescent="0.25">
      <c r="A178">
        <v>172</v>
      </c>
      <c r="B178" t="s">
        <v>4372</v>
      </c>
      <c r="C178" t="s">
        <v>134</v>
      </c>
      <c r="D178" t="s">
        <v>64</v>
      </c>
      <c r="E178" t="s">
        <v>126</v>
      </c>
      <c r="F178">
        <v>96</v>
      </c>
      <c r="G178" s="4">
        <v>102</v>
      </c>
      <c r="H178" s="4">
        <v>128</v>
      </c>
      <c r="I178" s="4">
        <v>230</v>
      </c>
      <c r="J178" s="7">
        <v>270.3</v>
      </c>
    </row>
    <row r="179" spans="1:10" x14ac:dyDescent="0.25">
      <c r="A179">
        <v>173</v>
      </c>
      <c r="B179" t="s">
        <v>3362</v>
      </c>
      <c r="C179" t="s">
        <v>1236</v>
      </c>
      <c r="D179" t="s">
        <v>93</v>
      </c>
      <c r="E179" t="s">
        <v>113</v>
      </c>
      <c r="F179">
        <v>73</v>
      </c>
      <c r="G179" s="4">
        <v>93</v>
      </c>
      <c r="H179" s="4">
        <v>100</v>
      </c>
      <c r="I179" s="4">
        <v>193</v>
      </c>
      <c r="J179" s="7">
        <v>269.56</v>
      </c>
    </row>
    <row r="180" spans="1:10" x14ac:dyDescent="0.25">
      <c r="A180">
        <v>174</v>
      </c>
      <c r="B180" t="s">
        <v>4352</v>
      </c>
      <c r="C180" t="s">
        <v>687</v>
      </c>
      <c r="D180" t="s">
        <v>98</v>
      </c>
      <c r="E180" t="s">
        <v>95</v>
      </c>
      <c r="F180">
        <v>49</v>
      </c>
      <c r="G180" s="4">
        <v>64</v>
      </c>
      <c r="H180" s="4">
        <v>82</v>
      </c>
      <c r="I180" s="4">
        <v>146</v>
      </c>
      <c r="J180" s="7">
        <v>269.33</v>
      </c>
    </row>
    <row r="181" spans="1:10" x14ac:dyDescent="0.25">
      <c r="A181">
        <v>175</v>
      </c>
      <c r="B181" t="s">
        <v>3901</v>
      </c>
      <c r="C181" t="s">
        <v>1004</v>
      </c>
      <c r="D181" t="s">
        <v>64</v>
      </c>
      <c r="E181" t="s">
        <v>126</v>
      </c>
      <c r="F181">
        <v>109</v>
      </c>
      <c r="G181" s="4">
        <v>105</v>
      </c>
      <c r="H181" s="4">
        <v>135</v>
      </c>
      <c r="I181" s="4">
        <v>240</v>
      </c>
      <c r="J181" s="7">
        <v>268.38</v>
      </c>
    </row>
    <row r="182" spans="1:10" x14ac:dyDescent="0.25">
      <c r="A182">
        <v>176</v>
      </c>
      <c r="B182" t="s">
        <v>2370</v>
      </c>
      <c r="C182" t="s">
        <v>120</v>
      </c>
      <c r="D182" t="s">
        <v>93</v>
      </c>
      <c r="E182" t="s">
        <v>113</v>
      </c>
      <c r="F182">
        <v>81</v>
      </c>
      <c r="G182" s="4">
        <v>95</v>
      </c>
      <c r="H182" s="4">
        <v>115</v>
      </c>
      <c r="I182" s="4">
        <v>210</v>
      </c>
      <c r="J182" s="7">
        <v>268.35000000000002</v>
      </c>
    </row>
    <row r="183" spans="1:10" x14ac:dyDescent="0.25">
      <c r="A183">
        <v>177</v>
      </c>
      <c r="B183" t="s">
        <v>2319</v>
      </c>
      <c r="C183" t="s">
        <v>386</v>
      </c>
      <c r="D183" t="s">
        <v>89</v>
      </c>
      <c r="E183" t="s">
        <v>113</v>
      </c>
      <c r="F183" t="s">
        <v>125</v>
      </c>
      <c r="G183" s="4">
        <v>112</v>
      </c>
      <c r="H183" s="4">
        <v>138</v>
      </c>
      <c r="I183" s="4">
        <v>250</v>
      </c>
      <c r="J183" s="7">
        <v>267.75</v>
      </c>
    </row>
    <row r="184" spans="1:10" x14ac:dyDescent="0.25">
      <c r="A184">
        <v>178</v>
      </c>
      <c r="B184" t="s">
        <v>4032</v>
      </c>
      <c r="C184" t="s">
        <v>386</v>
      </c>
      <c r="D184" t="s">
        <v>89</v>
      </c>
      <c r="E184" t="s">
        <v>95</v>
      </c>
      <c r="F184">
        <v>61</v>
      </c>
      <c r="G184" s="4">
        <v>77</v>
      </c>
      <c r="H184" s="4">
        <v>92</v>
      </c>
      <c r="I184" s="4">
        <v>169</v>
      </c>
      <c r="J184" s="7">
        <v>267.35000000000002</v>
      </c>
    </row>
    <row r="185" spans="1:10" x14ac:dyDescent="0.25">
      <c r="A185">
        <v>179</v>
      </c>
      <c r="B185" t="s">
        <v>3117</v>
      </c>
      <c r="C185" t="s">
        <v>386</v>
      </c>
      <c r="D185" t="s">
        <v>94</v>
      </c>
      <c r="E185" t="s">
        <v>95</v>
      </c>
      <c r="F185" t="s">
        <v>1010</v>
      </c>
      <c r="G185" s="4">
        <v>107</v>
      </c>
      <c r="H185" s="4">
        <v>136</v>
      </c>
      <c r="I185" s="4">
        <v>243</v>
      </c>
      <c r="J185" s="7">
        <v>266.87</v>
      </c>
    </row>
    <row r="186" spans="1:10" x14ac:dyDescent="0.25">
      <c r="A186">
        <v>180</v>
      </c>
      <c r="B186" t="s">
        <v>1804</v>
      </c>
      <c r="C186" t="s">
        <v>490</v>
      </c>
      <c r="D186" t="s">
        <v>89</v>
      </c>
      <c r="E186" t="s">
        <v>113</v>
      </c>
      <c r="F186">
        <v>61</v>
      </c>
      <c r="G186" s="4">
        <v>78</v>
      </c>
      <c r="H186" s="4">
        <v>92</v>
      </c>
      <c r="I186" s="4">
        <v>170</v>
      </c>
      <c r="J186" s="7">
        <v>266.85000000000002</v>
      </c>
    </row>
    <row r="187" spans="1:10" x14ac:dyDescent="0.25">
      <c r="A187">
        <v>181</v>
      </c>
      <c r="B187" t="s">
        <v>4324</v>
      </c>
      <c r="C187" t="s">
        <v>536</v>
      </c>
      <c r="D187" t="s">
        <v>64</v>
      </c>
      <c r="E187" t="s">
        <v>126</v>
      </c>
      <c r="F187">
        <v>96</v>
      </c>
      <c r="G187" s="4">
        <v>103</v>
      </c>
      <c r="H187" s="4">
        <v>125</v>
      </c>
      <c r="I187" s="4">
        <v>228</v>
      </c>
      <c r="J187" s="7">
        <v>266.69</v>
      </c>
    </row>
    <row r="188" spans="1:10" x14ac:dyDescent="0.25">
      <c r="A188">
        <v>182</v>
      </c>
      <c r="B188" t="s">
        <v>1068</v>
      </c>
      <c r="C188" t="s">
        <v>255</v>
      </c>
      <c r="D188" t="s">
        <v>89</v>
      </c>
      <c r="E188" t="s">
        <v>113</v>
      </c>
      <c r="F188">
        <v>61</v>
      </c>
      <c r="G188" s="4">
        <v>74</v>
      </c>
      <c r="H188" s="4">
        <v>96</v>
      </c>
      <c r="I188" s="4">
        <v>170</v>
      </c>
      <c r="J188" s="7">
        <v>263.48</v>
      </c>
    </row>
    <row r="189" spans="1:10" x14ac:dyDescent="0.25">
      <c r="A189">
        <v>183</v>
      </c>
      <c r="B189" t="s">
        <v>2798</v>
      </c>
      <c r="C189" t="s">
        <v>315</v>
      </c>
      <c r="D189" t="s">
        <v>93</v>
      </c>
      <c r="E189" t="s">
        <v>126</v>
      </c>
      <c r="F189" t="s">
        <v>125</v>
      </c>
      <c r="G189" s="4">
        <v>115</v>
      </c>
      <c r="H189" s="4">
        <v>138</v>
      </c>
      <c r="I189" s="4">
        <v>253</v>
      </c>
      <c r="J189" s="7">
        <v>263.31</v>
      </c>
    </row>
    <row r="190" spans="1:10" x14ac:dyDescent="0.25">
      <c r="A190">
        <v>184</v>
      </c>
      <c r="B190" t="s">
        <v>3701</v>
      </c>
      <c r="C190" t="s">
        <v>419</v>
      </c>
      <c r="D190" t="s">
        <v>93</v>
      </c>
      <c r="E190" t="s">
        <v>113</v>
      </c>
      <c r="F190">
        <v>73</v>
      </c>
      <c r="G190" s="4">
        <v>90</v>
      </c>
      <c r="H190" s="4">
        <v>105</v>
      </c>
      <c r="I190" s="4">
        <v>195</v>
      </c>
      <c r="J190" s="7">
        <v>262.97000000000003</v>
      </c>
    </row>
    <row r="191" spans="1:10" x14ac:dyDescent="0.25">
      <c r="A191">
        <v>185</v>
      </c>
      <c r="B191" t="s">
        <v>2424</v>
      </c>
      <c r="C191" t="s">
        <v>328</v>
      </c>
      <c r="D191" t="s">
        <v>93</v>
      </c>
      <c r="E191" t="s">
        <v>113</v>
      </c>
      <c r="F191">
        <v>61</v>
      </c>
      <c r="G191" s="4">
        <v>73</v>
      </c>
      <c r="H191" s="4">
        <v>91</v>
      </c>
      <c r="I191" s="4">
        <v>164</v>
      </c>
      <c r="J191" s="7">
        <v>262.93</v>
      </c>
    </row>
    <row r="192" spans="1:10" x14ac:dyDescent="0.25">
      <c r="A192">
        <v>186</v>
      </c>
      <c r="B192" t="s">
        <v>4026</v>
      </c>
      <c r="C192" t="s">
        <v>766</v>
      </c>
      <c r="D192" t="s">
        <v>64</v>
      </c>
      <c r="E192" t="s">
        <v>126</v>
      </c>
      <c r="F192">
        <v>102</v>
      </c>
      <c r="G192" s="4">
        <v>100</v>
      </c>
      <c r="H192" s="4">
        <v>130</v>
      </c>
      <c r="I192" s="4">
        <v>230</v>
      </c>
      <c r="J192" s="7">
        <v>262.06</v>
      </c>
    </row>
    <row r="193" spans="1:10" x14ac:dyDescent="0.25">
      <c r="A193">
        <v>187</v>
      </c>
      <c r="B193" t="s">
        <v>3918</v>
      </c>
      <c r="C193" t="s">
        <v>2286</v>
      </c>
      <c r="D193" t="s">
        <v>64</v>
      </c>
      <c r="E193" t="s">
        <v>126</v>
      </c>
      <c r="F193">
        <v>81</v>
      </c>
      <c r="G193" s="4">
        <v>90</v>
      </c>
      <c r="H193" s="4">
        <v>115</v>
      </c>
      <c r="I193" s="4">
        <v>205</v>
      </c>
      <c r="J193" s="7">
        <v>261.24</v>
      </c>
    </row>
    <row r="194" spans="1:10" x14ac:dyDescent="0.25">
      <c r="A194">
        <v>188</v>
      </c>
      <c r="B194" t="s">
        <v>2235</v>
      </c>
      <c r="C194" t="s">
        <v>594</v>
      </c>
      <c r="D194" t="s">
        <v>64</v>
      </c>
      <c r="E194" t="s">
        <v>126</v>
      </c>
      <c r="F194">
        <v>81</v>
      </c>
      <c r="G194" s="4">
        <v>95</v>
      </c>
      <c r="H194" s="4">
        <v>110</v>
      </c>
      <c r="I194" s="4">
        <v>205</v>
      </c>
      <c r="J194" s="7">
        <v>260.52</v>
      </c>
    </row>
    <row r="195" spans="1:10" x14ac:dyDescent="0.25">
      <c r="A195">
        <v>189</v>
      </c>
      <c r="B195" t="s">
        <v>3916</v>
      </c>
      <c r="C195" t="s">
        <v>255</v>
      </c>
      <c r="D195" t="s">
        <v>93</v>
      </c>
      <c r="E195" t="s">
        <v>113</v>
      </c>
      <c r="F195">
        <v>81</v>
      </c>
      <c r="G195" s="4">
        <v>95</v>
      </c>
      <c r="H195" s="4">
        <v>110</v>
      </c>
      <c r="I195" s="4">
        <v>205</v>
      </c>
      <c r="J195" s="7">
        <v>260.17</v>
      </c>
    </row>
    <row r="196" spans="1:10" x14ac:dyDescent="0.25">
      <c r="A196">
        <v>190</v>
      </c>
      <c r="B196" t="s">
        <v>4199</v>
      </c>
      <c r="C196" t="s">
        <v>66</v>
      </c>
      <c r="D196" t="s">
        <v>93</v>
      </c>
      <c r="E196" t="s">
        <v>126</v>
      </c>
      <c r="F196">
        <v>61</v>
      </c>
      <c r="G196" s="4">
        <v>75</v>
      </c>
      <c r="H196" s="4">
        <v>95</v>
      </c>
      <c r="I196" s="4">
        <v>170</v>
      </c>
      <c r="J196" s="7">
        <v>259.54000000000002</v>
      </c>
    </row>
    <row r="197" spans="1:10" x14ac:dyDescent="0.25">
      <c r="A197">
        <v>191</v>
      </c>
      <c r="B197" t="s">
        <v>2639</v>
      </c>
      <c r="C197" t="s">
        <v>691</v>
      </c>
      <c r="D197" t="s">
        <v>93</v>
      </c>
      <c r="E197" t="s">
        <v>113</v>
      </c>
      <c r="F197">
        <v>81</v>
      </c>
      <c r="G197" s="4">
        <v>93</v>
      </c>
      <c r="H197" s="4">
        <v>106</v>
      </c>
      <c r="I197" s="4">
        <v>199</v>
      </c>
      <c r="J197" s="7">
        <v>259.08</v>
      </c>
    </row>
    <row r="198" spans="1:10" x14ac:dyDescent="0.25">
      <c r="A198">
        <v>192</v>
      </c>
      <c r="B198" t="s">
        <v>3127</v>
      </c>
      <c r="C198" t="s">
        <v>300</v>
      </c>
      <c r="D198" t="s">
        <v>89</v>
      </c>
      <c r="E198" t="s">
        <v>95</v>
      </c>
      <c r="F198">
        <v>73</v>
      </c>
      <c r="G198" s="4">
        <v>87</v>
      </c>
      <c r="H198" s="4">
        <v>100</v>
      </c>
      <c r="I198" s="4">
        <v>187</v>
      </c>
      <c r="J198" s="7">
        <v>258.77999999999997</v>
      </c>
    </row>
    <row r="199" spans="1:10" x14ac:dyDescent="0.25">
      <c r="A199">
        <v>193</v>
      </c>
      <c r="B199" t="s">
        <v>2916</v>
      </c>
      <c r="C199" t="s">
        <v>639</v>
      </c>
      <c r="D199" t="s">
        <v>89</v>
      </c>
      <c r="E199" t="s">
        <v>113</v>
      </c>
      <c r="F199">
        <v>61</v>
      </c>
      <c r="G199" s="4">
        <v>75</v>
      </c>
      <c r="H199" s="4">
        <v>95</v>
      </c>
      <c r="I199" s="4">
        <v>170</v>
      </c>
      <c r="J199" s="7">
        <v>258.7</v>
      </c>
    </row>
    <row r="200" spans="1:10" x14ac:dyDescent="0.25">
      <c r="A200">
        <v>194</v>
      </c>
      <c r="B200" t="s">
        <v>1109</v>
      </c>
      <c r="C200" t="s">
        <v>396</v>
      </c>
      <c r="D200" t="s">
        <v>93</v>
      </c>
      <c r="E200" t="s">
        <v>113</v>
      </c>
      <c r="F200">
        <v>81</v>
      </c>
      <c r="G200" s="4">
        <v>94</v>
      </c>
      <c r="H200" s="4">
        <v>108</v>
      </c>
      <c r="I200" s="4">
        <v>202</v>
      </c>
      <c r="J200" s="7">
        <v>257.06</v>
      </c>
    </row>
    <row r="201" spans="1:10" x14ac:dyDescent="0.25">
      <c r="A201">
        <v>195</v>
      </c>
      <c r="B201" t="s">
        <v>1628</v>
      </c>
      <c r="C201" t="s">
        <v>120</v>
      </c>
      <c r="D201" t="s">
        <v>64</v>
      </c>
      <c r="E201" t="s">
        <v>126</v>
      </c>
      <c r="F201" t="s">
        <v>125</v>
      </c>
      <c r="G201" s="4">
        <v>105</v>
      </c>
      <c r="H201" s="4">
        <v>135</v>
      </c>
      <c r="I201" s="4">
        <v>240</v>
      </c>
      <c r="J201" s="7">
        <v>256.92</v>
      </c>
    </row>
    <row r="202" spans="1:10" x14ac:dyDescent="0.25">
      <c r="A202">
        <v>196</v>
      </c>
      <c r="B202" t="s">
        <v>2761</v>
      </c>
      <c r="C202" t="s">
        <v>783</v>
      </c>
      <c r="D202" t="s">
        <v>64</v>
      </c>
      <c r="E202" t="s">
        <v>126</v>
      </c>
      <c r="F202">
        <v>81</v>
      </c>
      <c r="G202" s="4">
        <v>90</v>
      </c>
      <c r="H202" s="4">
        <v>110</v>
      </c>
      <c r="I202" s="4">
        <v>200</v>
      </c>
      <c r="J202" s="7">
        <v>256.20999999999998</v>
      </c>
    </row>
    <row r="203" spans="1:10" x14ac:dyDescent="0.25">
      <c r="A203">
        <v>197</v>
      </c>
      <c r="B203" t="s">
        <v>929</v>
      </c>
      <c r="C203" t="s">
        <v>258</v>
      </c>
      <c r="D203" t="s">
        <v>89</v>
      </c>
      <c r="E203" t="s">
        <v>95</v>
      </c>
      <c r="F203">
        <v>81</v>
      </c>
      <c r="G203" s="4">
        <v>92</v>
      </c>
      <c r="H203" s="4">
        <v>108</v>
      </c>
      <c r="I203" s="4">
        <v>200</v>
      </c>
      <c r="J203" s="7">
        <v>255.75</v>
      </c>
    </row>
    <row r="204" spans="1:10" x14ac:dyDescent="0.25">
      <c r="A204">
        <v>198</v>
      </c>
      <c r="B204" t="s">
        <v>2131</v>
      </c>
      <c r="C204" t="s">
        <v>329</v>
      </c>
      <c r="D204" t="s">
        <v>89</v>
      </c>
      <c r="E204" t="s">
        <v>95</v>
      </c>
      <c r="F204">
        <v>73</v>
      </c>
      <c r="G204" s="4">
        <v>88</v>
      </c>
      <c r="H204" s="4">
        <v>97</v>
      </c>
      <c r="I204" s="4">
        <v>185</v>
      </c>
      <c r="J204" s="7">
        <v>255.54</v>
      </c>
    </row>
    <row r="205" spans="1:10" x14ac:dyDescent="0.25">
      <c r="A205">
        <v>199</v>
      </c>
      <c r="B205" t="s">
        <v>2256</v>
      </c>
      <c r="C205" t="s">
        <v>374</v>
      </c>
      <c r="D205" t="s">
        <v>93</v>
      </c>
      <c r="E205" t="s">
        <v>113</v>
      </c>
      <c r="F205">
        <v>61</v>
      </c>
      <c r="G205" s="4">
        <v>65</v>
      </c>
      <c r="H205" s="4">
        <v>90</v>
      </c>
      <c r="I205" s="4">
        <v>155</v>
      </c>
      <c r="J205" s="7">
        <v>250.9</v>
      </c>
    </row>
    <row r="206" spans="1:10" x14ac:dyDescent="0.25">
      <c r="A206">
        <v>200</v>
      </c>
      <c r="B206" t="s">
        <v>3232</v>
      </c>
      <c r="C206" t="s">
        <v>47</v>
      </c>
      <c r="D206" t="s">
        <v>89</v>
      </c>
      <c r="E206" t="s">
        <v>95</v>
      </c>
      <c r="F206">
        <v>67</v>
      </c>
      <c r="G206" s="4">
        <v>75</v>
      </c>
      <c r="H206" s="4">
        <v>95</v>
      </c>
      <c r="I206" s="4">
        <v>170</v>
      </c>
      <c r="J206" s="7">
        <v>250.56</v>
      </c>
    </row>
    <row r="207" spans="1:10" x14ac:dyDescent="0.25">
      <c r="A207">
        <v>201</v>
      </c>
      <c r="B207" t="s">
        <v>3610</v>
      </c>
      <c r="C207" t="s">
        <v>120</v>
      </c>
      <c r="D207" t="s">
        <v>89</v>
      </c>
      <c r="E207" t="s">
        <v>95</v>
      </c>
      <c r="F207">
        <v>67</v>
      </c>
      <c r="G207" s="4">
        <v>75</v>
      </c>
      <c r="H207" s="4">
        <v>100</v>
      </c>
      <c r="I207" s="4">
        <v>175</v>
      </c>
      <c r="J207" s="7">
        <v>250.44</v>
      </c>
    </row>
    <row r="208" spans="1:10" x14ac:dyDescent="0.25">
      <c r="A208">
        <v>202</v>
      </c>
      <c r="B208" t="s">
        <v>4215</v>
      </c>
      <c r="C208" t="s">
        <v>687</v>
      </c>
      <c r="D208" t="s">
        <v>98</v>
      </c>
      <c r="E208" t="s">
        <v>57</v>
      </c>
      <c r="F208">
        <v>55</v>
      </c>
      <c r="G208" s="4">
        <v>65</v>
      </c>
      <c r="H208" s="4">
        <v>85</v>
      </c>
      <c r="I208" s="4">
        <v>150</v>
      </c>
      <c r="J208" s="7">
        <v>248.03</v>
      </c>
    </row>
    <row r="209" spans="1:10" x14ac:dyDescent="0.25">
      <c r="A209">
        <v>203</v>
      </c>
      <c r="B209" t="s">
        <v>4289</v>
      </c>
      <c r="C209" t="s">
        <v>478</v>
      </c>
      <c r="D209" t="s">
        <v>93</v>
      </c>
      <c r="E209" t="s">
        <v>113</v>
      </c>
      <c r="F209">
        <v>73</v>
      </c>
      <c r="G209" s="4">
        <v>80</v>
      </c>
      <c r="H209" s="4">
        <v>100</v>
      </c>
      <c r="I209" s="4">
        <v>180</v>
      </c>
      <c r="J209" s="7">
        <v>246.21</v>
      </c>
    </row>
    <row r="210" spans="1:10" x14ac:dyDescent="0.25">
      <c r="A210">
        <v>204</v>
      </c>
      <c r="B210" t="s">
        <v>1727</v>
      </c>
      <c r="C210" t="s">
        <v>394</v>
      </c>
      <c r="D210" t="s">
        <v>56</v>
      </c>
      <c r="E210" t="s">
        <v>126</v>
      </c>
      <c r="F210">
        <v>73</v>
      </c>
      <c r="G210" s="4">
        <v>73</v>
      </c>
      <c r="H210" s="4">
        <v>102</v>
      </c>
      <c r="I210" s="4">
        <v>175</v>
      </c>
      <c r="J210" s="7">
        <v>244.65</v>
      </c>
    </row>
    <row r="211" spans="1:10" x14ac:dyDescent="0.25">
      <c r="A211">
        <v>205</v>
      </c>
      <c r="B211" t="s">
        <v>3096</v>
      </c>
      <c r="C211" t="s">
        <v>638</v>
      </c>
      <c r="D211" t="s">
        <v>94</v>
      </c>
      <c r="E211" t="s">
        <v>57</v>
      </c>
      <c r="F211">
        <v>55</v>
      </c>
      <c r="G211" s="4">
        <v>60</v>
      </c>
      <c r="H211" s="4">
        <v>80</v>
      </c>
      <c r="I211" s="4">
        <v>140</v>
      </c>
      <c r="J211" s="7">
        <v>241.21</v>
      </c>
    </row>
    <row r="212" spans="1:10" x14ac:dyDescent="0.25">
      <c r="A212">
        <v>206</v>
      </c>
      <c r="B212" t="s">
        <v>3980</v>
      </c>
      <c r="C212" t="s">
        <v>738</v>
      </c>
      <c r="D212" t="s">
        <v>89</v>
      </c>
      <c r="E212" t="s">
        <v>95</v>
      </c>
      <c r="F212">
        <v>96</v>
      </c>
      <c r="G212" s="4">
        <v>90</v>
      </c>
      <c r="H212" s="4">
        <v>115</v>
      </c>
      <c r="I212" s="4">
        <v>205</v>
      </c>
      <c r="J212" s="7">
        <v>239.9</v>
      </c>
    </row>
    <row r="213" spans="1:10" x14ac:dyDescent="0.25">
      <c r="A213">
        <v>207</v>
      </c>
      <c r="B213" t="s">
        <v>3819</v>
      </c>
      <c r="C213" t="s">
        <v>449</v>
      </c>
      <c r="D213" t="s">
        <v>56</v>
      </c>
      <c r="E213" t="s">
        <v>126</v>
      </c>
      <c r="F213">
        <v>73</v>
      </c>
      <c r="G213" s="4">
        <v>77</v>
      </c>
      <c r="H213" s="4">
        <v>97</v>
      </c>
      <c r="I213" s="4">
        <v>174</v>
      </c>
      <c r="J213" s="7">
        <v>239.05</v>
      </c>
    </row>
    <row r="214" spans="1:10" x14ac:dyDescent="0.25">
      <c r="A214">
        <v>208</v>
      </c>
      <c r="B214" t="s">
        <v>1773</v>
      </c>
      <c r="C214" t="s">
        <v>687</v>
      </c>
      <c r="D214" t="s">
        <v>89</v>
      </c>
      <c r="E214" t="s">
        <v>95</v>
      </c>
      <c r="F214">
        <v>55</v>
      </c>
      <c r="G214" s="4">
        <v>65</v>
      </c>
      <c r="H214" s="4">
        <v>77</v>
      </c>
      <c r="I214" s="4">
        <v>142</v>
      </c>
      <c r="J214" s="7">
        <v>238.66</v>
      </c>
    </row>
    <row r="215" spans="1:10" x14ac:dyDescent="0.25">
      <c r="A215">
        <v>209</v>
      </c>
      <c r="B215" t="s">
        <v>3131</v>
      </c>
      <c r="C215" t="s">
        <v>469</v>
      </c>
      <c r="D215" t="s">
        <v>89</v>
      </c>
      <c r="E215" t="s">
        <v>57</v>
      </c>
      <c r="F215">
        <v>89</v>
      </c>
      <c r="G215" s="4">
        <v>88</v>
      </c>
      <c r="H215" s="4">
        <v>106</v>
      </c>
      <c r="I215" s="4">
        <v>194</v>
      </c>
      <c r="J215" s="7">
        <v>237.29</v>
      </c>
    </row>
    <row r="216" spans="1:10" x14ac:dyDescent="0.25">
      <c r="A216">
        <v>210</v>
      </c>
      <c r="B216" t="s">
        <v>384</v>
      </c>
      <c r="C216" t="s">
        <v>386</v>
      </c>
      <c r="D216" t="s">
        <v>93</v>
      </c>
      <c r="E216" t="s">
        <v>95</v>
      </c>
      <c r="F216">
        <v>67</v>
      </c>
      <c r="G216" s="4">
        <v>70</v>
      </c>
      <c r="H216" s="4">
        <v>90</v>
      </c>
      <c r="I216" s="4">
        <v>160</v>
      </c>
      <c r="J216" s="7">
        <v>231.57</v>
      </c>
    </row>
    <row r="217" spans="1:10" x14ac:dyDescent="0.25">
      <c r="A217">
        <v>211</v>
      </c>
      <c r="B217" t="s">
        <v>2500</v>
      </c>
      <c r="C217" t="s">
        <v>386</v>
      </c>
      <c r="D217" t="s">
        <v>93</v>
      </c>
      <c r="E217" t="s">
        <v>95</v>
      </c>
      <c r="F217">
        <v>89</v>
      </c>
      <c r="G217" s="4">
        <v>86</v>
      </c>
      <c r="H217" s="4">
        <v>104</v>
      </c>
      <c r="I217" s="4">
        <v>190</v>
      </c>
      <c r="J217" s="7">
        <v>231.46</v>
      </c>
    </row>
    <row r="218" spans="1:10" x14ac:dyDescent="0.25">
      <c r="A218">
        <v>212</v>
      </c>
      <c r="B218" t="s">
        <v>4343</v>
      </c>
      <c r="C218" t="s">
        <v>394</v>
      </c>
      <c r="D218" t="s">
        <v>64</v>
      </c>
      <c r="E218" t="s">
        <v>113</v>
      </c>
      <c r="F218">
        <v>81</v>
      </c>
      <c r="G218" s="4">
        <v>75</v>
      </c>
      <c r="H218" s="4">
        <v>100</v>
      </c>
      <c r="I218" s="4">
        <v>175</v>
      </c>
      <c r="J218" s="7">
        <v>230.27</v>
      </c>
    </row>
    <row r="219" spans="1:10" x14ac:dyDescent="0.25">
      <c r="A219">
        <v>213</v>
      </c>
      <c r="B219" t="s">
        <v>1130</v>
      </c>
      <c r="C219" t="s">
        <v>255</v>
      </c>
      <c r="D219" t="s">
        <v>93</v>
      </c>
      <c r="E219" t="s">
        <v>95</v>
      </c>
      <c r="F219">
        <v>73</v>
      </c>
      <c r="G219" s="4">
        <v>70</v>
      </c>
      <c r="H219" s="4">
        <v>95</v>
      </c>
      <c r="I219" s="4">
        <v>165</v>
      </c>
      <c r="J219" s="7">
        <v>229.81</v>
      </c>
    </row>
    <row r="220" spans="1:10" x14ac:dyDescent="0.25">
      <c r="A220">
        <v>214</v>
      </c>
      <c r="B220" t="s">
        <v>3163</v>
      </c>
      <c r="C220" t="s">
        <v>787</v>
      </c>
      <c r="D220" t="s">
        <v>89</v>
      </c>
      <c r="E220" t="s">
        <v>57</v>
      </c>
      <c r="F220">
        <v>67</v>
      </c>
      <c r="G220" s="4">
        <v>66</v>
      </c>
      <c r="H220" s="4">
        <v>92</v>
      </c>
      <c r="I220" s="4">
        <v>158</v>
      </c>
      <c r="J220" s="7">
        <v>226.96</v>
      </c>
    </row>
    <row r="221" spans="1:10" x14ac:dyDescent="0.25">
      <c r="A221">
        <v>215</v>
      </c>
      <c r="B221" t="s">
        <v>3527</v>
      </c>
      <c r="C221" t="s">
        <v>2025</v>
      </c>
      <c r="D221" t="s">
        <v>93</v>
      </c>
      <c r="E221" t="s">
        <v>95</v>
      </c>
      <c r="F221">
        <v>61</v>
      </c>
      <c r="G221" s="4">
        <v>65</v>
      </c>
      <c r="H221" s="4">
        <v>77</v>
      </c>
      <c r="I221" s="4">
        <v>142</v>
      </c>
      <c r="J221" s="7">
        <v>222.64</v>
      </c>
    </row>
    <row r="222" spans="1:10" x14ac:dyDescent="0.25">
      <c r="A222">
        <v>216</v>
      </c>
      <c r="B222" t="s">
        <v>3318</v>
      </c>
      <c r="C222" t="s">
        <v>70</v>
      </c>
      <c r="D222" t="s">
        <v>89</v>
      </c>
      <c r="E222" t="s">
        <v>57</v>
      </c>
      <c r="F222">
        <v>61</v>
      </c>
      <c r="G222" s="4">
        <v>65</v>
      </c>
      <c r="H222" s="4">
        <v>81</v>
      </c>
      <c r="I222" s="4">
        <v>146</v>
      </c>
      <c r="J222" s="7">
        <v>222.45</v>
      </c>
    </row>
    <row r="223" spans="1:10" x14ac:dyDescent="0.25">
      <c r="A223">
        <v>217</v>
      </c>
      <c r="B223" t="s">
        <v>2802</v>
      </c>
      <c r="C223" t="s">
        <v>258</v>
      </c>
      <c r="D223" t="s">
        <v>93</v>
      </c>
      <c r="E223" t="s">
        <v>95</v>
      </c>
      <c r="F223">
        <v>67</v>
      </c>
      <c r="G223" s="4">
        <v>70</v>
      </c>
      <c r="H223" s="4">
        <v>82</v>
      </c>
      <c r="I223" s="4">
        <v>152</v>
      </c>
      <c r="J223" s="7">
        <v>218.63</v>
      </c>
    </row>
    <row r="224" spans="1:10" x14ac:dyDescent="0.25">
      <c r="A224">
        <v>218</v>
      </c>
      <c r="B224" t="s">
        <v>1059</v>
      </c>
      <c r="C224" t="s">
        <v>161</v>
      </c>
      <c r="D224" t="s">
        <v>56</v>
      </c>
      <c r="E224" t="s">
        <v>113</v>
      </c>
      <c r="F224">
        <v>81</v>
      </c>
      <c r="G224" s="4">
        <v>73</v>
      </c>
      <c r="H224" s="4">
        <v>88</v>
      </c>
      <c r="I224" s="4">
        <v>161</v>
      </c>
      <c r="J224" s="7">
        <v>214.71</v>
      </c>
    </row>
    <row r="225" spans="1:10" x14ac:dyDescent="0.25">
      <c r="A225">
        <v>219</v>
      </c>
      <c r="B225" t="s">
        <v>2309</v>
      </c>
      <c r="C225" t="s">
        <v>482</v>
      </c>
      <c r="D225" t="s">
        <v>89</v>
      </c>
      <c r="E225" t="s">
        <v>95</v>
      </c>
      <c r="F225">
        <v>55</v>
      </c>
      <c r="G225" s="4">
        <v>58</v>
      </c>
      <c r="H225" s="4">
        <v>72</v>
      </c>
      <c r="I225" s="4">
        <v>130</v>
      </c>
      <c r="J225" s="7">
        <v>214.34</v>
      </c>
    </row>
    <row r="226" spans="1:10" x14ac:dyDescent="0.25">
      <c r="A226">
        <v>220</v>
      </c>
      <c r="B226" t="s">
        <v>2115</v>
      </c>
      <c r="C226" t="s">
        <v>255</v>
      </c>
      <c r="D226" t="s">
        <v>89</v>
      </c>
      <c r="E226" t="s">
        <v>57</v>
      </c>
      <c r="F226">
        <v>61</v>
      </c>
      <c r="G226" s="4">
        <v>64</v>
      </c>
      <c r="H226" s="4">
        <v>74</v>
      </c>
      <c r="I226" s="4">
        <v>138</v>
      </c>
      <c r="J226" s="7">
        <v>213.09</v>
      </c>
    </row>
    <row r="227" spans="1:10" x14ac:dyDescent="0.25">
      <c r="A227">
        <v>221</v>
      </c>
      <c r="B227" t="s">
        <v>2599</v>
      </c>
      <c r="C227" t="s">
        <v>1258</v>
      </c>
      <c r="D227" t="s">
        <v>89</v>
      </c>
      <c r="E227" t="s">
        <v>57</v>
      </c>
      <c r="F227">
        <v>61</v>
      </c>
      <c r="G227" s="4">
        <v>61</v>
      </c>
      <c r="H227" s="4">
        <v>69</v>
      </c>
      <c r="I227" s="4">
        <v>130</v>
      </c>
      <c r="J227" s="7">
        <v>199.26</v>
      </c>
    </row>
    <row r="228" spans="1:10" x14ac:dyDescent="0.25">
      <c r="A228">
        <v>222</v>
      </c>
      <c r="B228" t="s">
        <v>2251</v>
      </c>
      <c r="C228" t="s">
        <v>161</v>
      </c>
      <c r="D228" t="s">
        <v>93</v>
      </c>
      <c r="E228" t="s">
        <v>57</v>
      </c>
      <c r="F228">
        <v>73</v>
      </c>
      <c r="G228" s="4">
        <v>60</v>
      </c>
      <c r="H228" s="4">
        <v>82</v>
      </c>
      <c r="I228" s="4">
        <v>142</v>
      </c>
      <c r="J228" s="7">
        <v>197.77</v>
      </c>
    </row>
    <row r="229" spans="1:10" x14ac:dyDescent="0.25">
      <c r="A229">
        <v>223</v>
      </c>
      <c r="B229" t="s">
        <v>3250</v>
      </c>
      <c r="C229" t="s">
        <v>541</v>
      </c>
      <c r="D229" t="s">
        <v>89</v>
      </c>
      <c r="E229" t="s">
        <v>57</v>
      </c>
      <c r="F229">
        <v>55</v>
      </c>
      <c r="G229" s="4">
        <v>50</v>
      </c>
      <c r="H229" s="4">
        <v>65</v>
      </c>
      <c r="I229" s="4">
        <v>115</v>
      </c>
      <c r="J229" s="7">
        <v>191.98</v>
      </c>
    </row>
    <row r="230" spans="1:10" x14ac:dyDescent="0.25">
      <c r="A230">
        <v>224</v>
      </c>
      <c r="B230" t="s">
        <v>4397</v>
      </c>
      <c r="C230" t="s">
        <v>469</v>
      </c>
      <c r="D230" t="s">
        <v>89</v>
      </c>
      <c r="E230" t="s">
        <v>57</v>
      </c>
      <c r="F230">
        <v>55</v>
      </c>
      <c r="G230" s="4">
        <v>50</v>
      </c>
      <c r="H230" s="4">
        <v>65</v>
      </c>
      <c r="I230" s="4">
        <v>115</v>
      </c>
      <c r="J230" s="7">
        <v>191.27</v>
      </c>
    </row>
    <row r="231" spans="1:10" x14ac:dyDescent="0.25">
      <c r="A231">
        <v>225</v>
      </c>
      <c r="B231" t="s">
        <v>2278</v>
      </c>
      <c r="C231" t="s">
        <v>120</v>
      </c>
      <c r="D231" t="s">
        <v>64</v>
      </c>
      <c r="E231" t="s">
        <v>95</v>
      </c>
      <c r="F231">
        <v>61</v>
      </c>
      <c r="G231" s="4">
        <v>50</v>
      </c>
      <c r="H231" s="4">
        <v>75</v>
      </c>
      <c r="I231" s="4">
        <v>125</v>
      </c>
      <c r="J231" s="7">
        <v>190.45</v>
      </c>
    </row>
    <row r="232" spans="1:10" x14ac:dyDescent="0.25">
      <c r="A232">
        <v>226</v>
      </c>
      <c r="B232" t="s">
        <v>3842</v>
      </c>
      <c r="C232" t="s">
        <v>47</v>
      </c>
      <c r="D232" t="s">
        <v>93</v>
      </c>
      <c r="E232" t="s">
        <v>57</v>
      </c>
      <c r="F232">
        <v>49</v>
      </c>
      <c r="G232" s="4">
        <v>38</v>
      </c>
      <c r="H232" s="4">
        <v>50</v>
      </c>
      <c r="I232" s="4">
        <v>88</v>
      </c>
      <c r="J232" s="7">
        <v>186.15</v>
      </c>
    </row>
    <row r="233" spans="1:10" x14ac:dyDescent="0.25">
      <c r="A233">
        <v>227</v>
      </c>
      <c r="B233" t="s">
        <v>2156</v>
      </c>
      <c r="C233" t="s">
        <v>639</v>
      </c>
      <c r="D233" t="s">
        <v>89</v>
      </c>
      <c r="E233" t="s">
        <v>57</v>
      </c>
      <c r="F233">
        <v>49</v>
      </c>
      <c r="G233" s="4">
        <v>45</v>
      </c>
      <c r="H233" s="4">
        <v>55</v>
      </c>
      <c r="I233" s="4">
        <v>100</v>
      </c>
      <c r="J233" s="7">
        <v>182.64</v>
      </c>
    </row>
    <row r="234" spans="1:10" x14ac:dyDescent="0.25">
      <c r="A234">
        <v>228</v>
      </c>
      <c r="B234" t="s">
        <v>4358</v>
      </c>
      <c r="C234" t="s">
        <v>258</v>
      </c>
      <c r="D234" t="s">
        <v>93</v>
      </c>
      <c r="E234" t="s">
        <v>57</v>
      </c>
      <c r="F234">
        <v>61</v>
      </c>
      <c r="G234" s="4">
        <v>56</v>
      </c>
      <c r="H234" s="4">
        <v>60</v>
      </c>
      <c r="I234" s="4">
        <v>116</v>
      </c>
      <c r="J234" s="7">
        <v>180.92</v>
      </c>
    </row>
    <row r="235" spans="1:10" x14ac:dyDescent="0.25">
      <c r="A235">
        <v>229</v>
      </c>
      <c r="B235" t="s">
        <v>4240</v>
      </c>
      <c r="C235" t="s">
        <v>329</v>
      </c>
      <c r="D235" t="s">
        <v>93</v>
      </c>
      <c r="E235" t="s">
        <v>57</v>
      </c>
      <c r="F235">
        <v>61</v>
      </c>
      <c r="G235" s="4">
        <v>55</v>
      </c>
      <c r="H235" s="4">
        <v>62</v>
      </c>
      <c r="I235" s="4">
        <v>117</v>
      </c>
      <c r="J235" s="7">
        <v>178.73</v>
      </c>
    </row>
    <row r="236" spans="1:10" x14ac:dyDescent="0.25">
      <c r="A236">
        <v>230</v>
      </c>
      <c r="B236" t="s">
        <v>2644</v>
      </c>
      <c r="C236" t="s">
        <v>47</v>
      </c>
      <c r="D236" t="s">
        <v>93</v>
      </c>
      <c r="E236" t="s">
        <v>57</v>
      </c>
      <c r="F236">
        <v>49</v>
      </c>
      <c r="G236" s="4">
        <v>41</v>
      </c>
      <c r="H236" s="4">
        <v>55</v>
      </c>
      <c r="I236" s="4">
        <v>96</v>
      </c>
      <c r="J236" s="7">
        <v>173.63</v>
      </c>
    </row>
    <row r="237" spans="1:10" x14ac:dyDescent="0.25">
      <c r="A237">
        <v>231</v>
      </c>
      <c r="B237" t="s">
        <v>3601</v>
      </c>
      <c r="C237" t="s">
        <v>602</v>
      </c>
      <c r="D237" t="s">
        <v>93</v>
      </c>
      <c r="E237" t="s">
        <v>57</v>
      </c>
      <c r="F237">
        <v>49</v>
      </c>
      <c r="G237" s="4">
        <v>38</v>
      </c>
      <c r="H237" s="4">
        <v>50</v>
      </c>
      <c r="I237" s="4">
        <v>88</v>
      </c>
      <c r="J237" s="7">
        <v>169.62</v>
      </c>
    </row>
    <row r="238" spans="1:10" x14ac:dyDescent="0.25">
      <c r="A238">
        <v>232</v>
      </c>
      <c r="B238" t="s">
        <v>4272</v>
      </c>
      <c r="C238" t="s">
        <v>2910</v>
      </c>
      <c r="D238" t="s">
        <v>56</v>
      </c>
      <c r="E238" t="s">
        <v>57</v>
      </c>
      <c r="F238">
        <v>55</v>
      </c>
      <c r="G238" s="4">
        <v>37</v>
      </c>
      <c r="H238" s="4">
        <v>46</v>
      </c>
      <c r="I238" s="4">
        <v>83</v>
      </c>
      <c r="J238" s="7">
        <v>142.1</v>
      </c>
    </row>
    <row r="239" spans="1:10" x14ac:dyDescent="0.25">
      <c r="A239">
        <v>233</v>
      </c>
      <c r="B239" t="s">
        <v>3855</v>
      </c>
      <c r="C239" t="s">
        <v>602</v>
      </c>
      <c r="D239" t="s">
        <v>56</v>
      </c>
      <c r="E239" t="s">
        <v>57</v>
      </c>
      <c r="F239">
        <v>49</v>
      </c>
      <c r="G239" s="4">
        <v>28</v>
      </c>
      <c r="H239" s="4">
        <v>34</v>
      </c>
      <c r="I239" s="4">
        <v>62</v>
      </c>
      <c r="J239" s="7">
        <v>120.47</v>
      </c>
    </row>
    <row r="240" spans="1:10" x14ac:dyDescent="0.25">
      <c r="A240">
        <v>234</v>
      </c>
      <c r="B240" t="s">
        <v>3303</v>
      </c>
      <c r="C240" t="s">
        <v>2910</v>
      </c>
      <c r="D240" t="s">
        <v>49</v>
      </c>
      <c r="E240" t="s">
        <v>57</v>
      </c>
      <c r="F240">
        <v>73</v>
      </c>
      <c r="G240" s="4">
        <v>28</v>
      </c>
      <c r="H240" s="4">
        <v>35</v>
      </c>
      <c r="I240" s="4">
        <v>63</v>
      </c>
      <c r="J240" s="7">
        <v>88.49</v>
      </c>
    </row>
    <row r="241" spans="1:10" x14ac:dyDescent="0.25">
      <c r="A241">
        <v>235</v>
      </c>
      <c r="B241" t="s">
        <v>3995</v>
      </c>
      <c r="C241" t="s">
        <v>413</v>
      </c>
      <c r="D241" t="s">
        <v>49</v>
      </c>
      <c r="E241" t="s">
        <v>95</v>
      </c>
      <c r="F241" t="s">
        <v>1010</v>
      </c>
      <c r="G241" s="4">
        <v>0</v>
      </c>
      <c r="H241" s="4">
        <v>110</v>
      </c>
      <c r="I241" s="4">
        <v>110</v>
      </c>
      <c r="J241" s="7">
        <v>0</v>
      </c>
    </row>
    <row r="242" spans="1:10" x14ac:dyDescent="0.25">
      <c r="A242">
        <v>236</v>
      </c>
      <c r="B242" t="s">
        <v>86</v>
      </c>
      <c r="C242" t="s">
        <v>88</v>
      </c>
      <c r="D242" t="s">
        <v>49</v>
      </c>
      <c r="E242" t="s">
        <v>113</v>
      </c>
      <c r="F242">
        <v>67</v>
      </c>
      <c r="G242" s="4">
        <v>101</v>
      </c>
      <c r="H242" s="4">
        <v>0</v>
      </c>
      <c r="I242" s="4">
        <v>101</v>
      </c>
      <c r="J242" s="7">
        <v>0</v>
      </c>
    </row>
    <row r="243" spans="1:10" x14ac:dyDescent="0.25">
      <c r="A243">
        <v>237</v>
      </c>
      <c r="B243" t="s">
        <v>3641</v>
      </c>
      <c r="C243" t="s">
        <v>335</v>
      </c>
      <c r="D243" t="s">
        <v>49</v>
      </c>
      <c r="E243" t="s">
        <v>126</v>
      </c>
      <c r="F243">
        <v>89</v>
      </c>
      <c r="G243" s="4">
        <v>107</v>
      </c>
      <c r="H243" s="4">
        <v>0</v>
      </c>
      <c r="I243" s="4">
        <v>107</v>
      </c>
      <c r="J243" s="7">
        <v>0</v>
      </c>
    </row>
    <row r="244" spans="1:10" x14ac:dyDescent="0.25">
      <c r="A244">
        <v>238</v>
      </c>
      <c r="B244" t="s">
        <v>2383</v>
      </c>
      <c r="C244" t="s">
        <v>134</v>
      </c>
      <c r="D244" t="s">
        <v>49</v>
      </c>
      <c r="E244" t="s">
        <v>126</v>
      </c>
      <c r="F244">
        <v>102</v>
      </c>
      <c r="G244" s="4">
        <v>115</v>
      </c>
      <c r="H244" s="4">
        <v>0</v>
      </c>
      <c r="I244" s="4">
        <v>115</v>
      </c>
      <c r="J244" s="7">
        <v>0</v>
      </c>
    </row>
    <row r="245" spans="1:10" x14ac:dyDescent="0.25">
      <c r="A245">
        <v>239</v>
      </c>
      <c r="B245" t="s">
        <v>2342</v>
      </c>
      <c r="C245" t="s">
        <v>536</v>
      </c>
      <c r="D245" t="s">
        <v>49</v>
      </c>
      <c r="E245" t="s">
        <v>126</v>
      </c>
      <c r="F245">
        <v>96</v>
      </c>
      <c r="G245" s="4">
        <v>0</v>
      </c>
      <c r="H245" s="4">
        <v>0</v>
      </c>
      <c r="I245" s="4">
        <v>0</v>
      </c>
      <c r="J245" s="7">
        <v>0</v>
      </c>
    </row>
    <row r="246" spans="1:10" x14ac:dyDescent="0.25">
      <c r="A246">
        <v>240</v>
      </c>
      <c r="B246" t="s">
        <v>1312</v>
      </c>
      <c r="C246" t="s">
        <v>438</v>
      </c>
      <c r="D246" t="s">
        <v>49</v>
      </c>
      <c r="E246" t="s">
        <v>126</v>
      </c>
      <c r="F246">
        <v>96</v>
      </c>
      <c r="G246" s="4">
        <v>115</v>
      </c>
      <c r="H246" s="4">
        <v>0</v>
      </c>
      <c r="I246" s="4">
        <v>115</v>
      </c>
      <c r="J246" s="7">
        <v>0</v>
      </c>
    </row>
    <row r="247" spans="1:10" x14ac:dyDescent="0.25">
      <c r="A247">
        <v>241</v>
      </c>
      <c r="B247" t="s">
        <v>3618</v>
      </c>
      <c r="C247" t="s">
        <v>589</v>
      </c>
      <c r="D247" t="s">
        <v>49</v>
      </c>
      <c r="E247" t="s">
        <v>126</v>
      </c>
      <c r="F247">
        <v>81</v>
      </c>
      <c r="G247" s="4">
        <v>0</v>
      </c>
      <c r="H247" s="4">
        <v>0</v>
      </c>
      <c r="I247" s="4">
        <v>0</v>
      </c>
      <c r="J247" s="7">
        <v>0</v>
      </c>
    </row>
    <row r="248" spans="1:10" x14ac:dyDescent="0.25">
      <c r="A248">
        <v>242</v>
      </c>
      <c r="B248" t="s">
        <v>2304</v>
      </c>
      <c r="C248" t="s">
        <v>161</v>
      </c>
      <c r="D248" t="s">
        <v>49</v>
      </c>
      <c r="E248" t="s">
        <v>113</v>
      </c>
      <c r="F248">
        <v>73</v>
      </c>
      <c r="G248" s="4">
        <v>105</v>
      </c>
      <c r="H248" s="4">
        <v>0</v>
      </c>
      <c r="I248" s="4">
        <v>105</v>
      </c>
      <c r="J248" s="7">
        <v>0</v>
      </c>
    </row>
    <row r="249" spans="1:10" x14ac:dyDescent="0.25">
      <c r="A249">
        <v>243</v>
      </c>
      <c r="B249" t="s">
        <v>3490</v>
      </c>
      <c r="C249" t="s">
        <v>901</v>
      </c>
      <c r="D249" t="s">
        <v>49</v>
      </c>
      <c r="E249" t="s">
        <v>126</v>
      </c>
      <c r="F249">
        <v>96</v>
      </c>
      <c r="G249" s="4">
        <v>115</v>
      </c>
      <c r="H249" s="4">
        <v>0</v>
      </c>
      <c r="I249" s="4">
        <v>115</v>
      </c>
      <c r="J249" s="7">
        <v>0</v>
      </c>
    </row>
    <row r="250" spans="1:10" x14ac:dyDescent="0.25">
      <c r="A250">
        <v>244</v>
      </c>
      <c r="B250" t="s">
        <v>3733</v>
      </c>
      <c r="C250" t="s">
        <v>684</v>
      </c>
      <c r="D250" t="s">
        <v>49</v>
      </c>
      <c r="E250" t="s">
        <v>126</v>
      </c>
      <c r="F250">
        <v>81</v>
      </c>
      <c r="G250" s="4">
        <v>119</v>
      </c>
      <c r="H250" s="4">
        <v>0</v>
      </c>
      <c r="I250" s="4">
        <v>119</v>
      </c>
      <c r="J250" s="7">
        <v>0</v>
      </c>
    </row>
    <row r="251" spans="1:10" x14ac:dyDescent="0.25">
      <c r="A251">
        <v>245</v>
      </c>
      <c r="B251" t="s">
        <v>1867</v>
      </c>
      <c r="C251" t="s">
        <v>478</v>
      </c>
      <c r="D251" t="s">
        <v>49</v>
      </c>
      <c r="E251" t="s">
        <v>126</v>
      </c>
      <c r="F251">
        <v>96</v>
      </c>
      <c r="G251" s="4">
        <v>115</v>
      </c>
      <c r="H251" s="4">
        <v>0</v>
      </c>
      <c r="I251" s="4">
        <v>115</v>
      </c>
      <c r="J251" s="7">
        <v>0</v>
      </c>
    </row>
    <row r="252" spans="1:10" x14ac:dyDescent="0.25">
      <c r="A252">
        <v>246</v>
      </c>
      <c r="B252" t="s">
        <v>3941</v>
      </c>
      <c r="C252" t="s">
        <v>417</v>
      </c>
      <c r="D252" t="s">
        <v>49</v>
      </c>
      <c r="E252" t="s">
        <v>126</v>
      </c>
      <c r="F252">
        <v>89</v>
      </c>
      <c r="G252" s="4">
        <v>117</v>
      </c>
      <c r="H252" s="4">
        <v>0</v>
      </c>
      <c r="I252" s="4">
        <v>117</v>
      </c>
      <c r="J252" s="7">
        <v>0</v>
      </c>
    </row>
    <row r="253" spans="1:10" x14ac:dyDescent="0.25">
      <c r="A253">
        <v>247</v>
      </c>
      <c r="B253" t="s">
        <v>4400</v>
      </c>
      <c r="C253" t="s">
        <v>258</v>
      </c>
      <c r="D253" t="s">
        <v>49</v>
      </c>
      <c r="E253" t="s">
        <v>126</v>
      </c>
      <c r="F253">
        <v>96</v>
      </c>
      <c r="G253" s="4">
        <v>110</v>
      </c>
      <c r="H253" s="4">
        <v>0</v>
      </c>
      <c r="I253" s="4">
        <v>110</v>
      </c>
      <c r="J253" s="7">
        <v>0</v>
      </c>
    </row>
    <row r="254" spans="1:10" x14ac:dyDescent="0.25">
      <c r="A254">
        <v>248</v>
      </c>
      <c r="B254" t="s">
        <v>3880</v>
      </c>
      <c r="C254" t="s">
        <v>606</v>
      </c>
      <c r="D254" t="s">
        <v>49</v>
      </c>
      <c r="E254" t="s">
        <v>126</v>
      </c>
      <c r="F254">
        <v>96</v>
      </c>
      <c r="G254" s="4">
        <v>123</v>
      </c>
      <c r="H254" s="4">
        <v>0</v>
      </c>
      <c r="I254" s="4">
        <v>123</v>
      </c>
      <c r="J254" s="7">
        <v>0</v>
      </c>
    </row>
    <row r="255" spans="1:10" x14ac:dyDescent="0.25">
      <c r="A255">
        <v>249</v>
      </c>
      <c r="B255" t="s">
        <v>1837</v>
      </c>
      <c r="C255" t="s">
        <v>536</v>
      </c>
      <c r="D255" t="s">
        <v>49</v>
      </c>
      <c r="E255" t="s">
        <v>126</v>
      </c>
      <c r="F255">
        <v>89</v>
      </c>
      <c r="G255" s="4">
        <v>127</v>
      </c>
      <c r="H255" s="4">
        <v>0</v>
      </c>
      <c r="I255" s="4">
        <v>127</v>
      </c>
      <c r="J255" s="7">
        <v>0</v>
      </c>
    </row>
    <row r="256" spans="1:10" x14ac:dyDescent="0.25">
      <c r="A256">
        <v>250</v>
      </c>
      <c r="B256" t="s">
        <v>2952</v>
      </c>
      <c r="C256" t="s">
        <v>566</v>
      </c>
      <c r="D256" t="s">
        <v>49</v>
      </c>
      <c r="E256" t="s">
        <v>126</v>
      </c>
      <c r="F256">
        <v>81</v>
      </c>
      <c r="G256" s="4">
        <v>110</v>
      </c>
      <c r="H256" s="4">
        <v>0</v>
      </c>
      <c r="I256" s="4">
        <v>110</v>
      </c>
      <c r="J256" s="7">
        <v>0</v>
      </c>
    </row>
    <row r="257" spans="1:10" x14ac:dyDescent="0.25">
      <c r="A257">
        <v>251</v>
      </c>
      <c r="B257" t="s">
        <v>2268</v>
      </c>
      <c r="C257" t="s">
        <v>413</v>
      </c>
      <c r="D257" t="s">
        <v>49</v>
      </c>
      <c r="E257" t="s">
        <v>113</v>
      </c>
      <c r="F257">
        <v>55</v>
      </c>
      <c r="G257" s="4">
        <v>63</v>
      </c>
      <c r="H257" s="4">
        <v>0</v>
      </c>
      <c r="I257" s="4">
        <v>63</v>
      </c>
      <c r="J257" s="7">
        <v>0</v>
      </c>
    </row>
    <row r="258" spans="1:10" x14ac:dyDescent="0.25">
      <c r="A258">
        <v>252</v>
      </c>
      <c r="B258" t="s">
        <v>1966</v>
      </c>
      <c r="C258" t="s">
        <v>124</v>
      </c>
      <c r="D258" t="s">
        <v>49</v>
      </c>
      <c r="E258" t="s">
        <v>126</v>
      </c>
      <c r="F258">
        <v>81</v>
      </c>
      <c r="G258" s="4">
        <v>95</v>
      </c>
      <c r="H258" s="4">
        <v>0</v>
      </c>
      <c r="I258" s="4">
        <v>95</v>
      </c>
      <c r="J258" s="7">
        <v>0</v>
      </c>
    </row>
    <row r="259" spans="1:10" x14ac:dyDescent="0.25">
      <c r="A259">
        <v>253</v>
      </c>
      <c r="B259" t="s">
        <v>2273</v>
      </c>
      <c r="C259" t="s">
        <v>1202</v>
      </c>
      <c r="D259" t="s">
        <v>49</v>
      </c>
      <c r="E259" t="s">
        <v>126</v>
      </c>
      <c r="F259">
        <v>89</v>
      </c>
      <c r="G259" s="4">
        <v>110</v>
      </c>
      <c r="H259" s="4">
        <v>0</v>
      </c>
      <c r="I259" s="4">
        <v>110</v>
      </c>
      <c r="J259" s="7">
        <v>0</v>
      </c>
    </row>
    <row r="260" spans="1:10" x14ac:dyDescent="0.25">
      <c r="A260">
        <v>254</v>
      </c>
      <c r="B260" t="s">
        <v>1166</v>
      </c>
      <c r="C260" t="s">
        <v>66</v>
      </c>
      <c r="D260" t="s">
        <v>49</v>
      </c>
      <c r="E260" t="s">
        <v>113</v>
      </c>
      <c r="F260">
        <v>67</v>
      </c>
      <c r="G260" s="4">
        <v>0</v>
      </c>
      <c r="H260" s="4">
        <v>0</v>
      </c>
      <c r="I260" s="4">
        <v>0</v>
      </c>
      <c r="J260" s="7">
        <v>0</v>
      </c>
    </row>
    <row r="261" spans="1:10" x14ac:dyDescent="0.25">
      <c r="A261">
        <v>255</v>
      </c>
      <c r="B261" t="s">
        <v>2356</v>
      </c>
      <c r="C261" t="s">
        <v>674</v>
      </c>
      <c r="D261" t="s">
        <v>49</v>
      </c>
      <c r="E261" t="s">
        <v>126</v>
      </c>
      <c r="F261">
        <v>89</v>
      </c>
      <c r="G261" s="4">
        <v>0</v>
      </c>
      <c r="H261" s="4">
        <v>145</v>
      </c>
      <c r="I261" s="4">
        <v>145</v>
      </c>
      <c r="J261" s="7">
        <v>0</v>
      </c>
    </row>
    <row r="262" spans="1:10" x14ac:dyDescent="0.25">
      <c r="A262">
        <v>256</v>
      </c>
      <c r="B262" t="s">
        <v>3241</v>
      </c>
      <c r="C262" t="s">
        <v>513</v>
      </c>
      <c r="D262" t="s">
        <v>49</v>
      </c>
      <c r="E262" t="s">
        <v>126</v>
      </c>
      <c r="F262">
        <v>89</v>
      </c>
      <c r="G262" s="4">
        <v>122</v>
      </c>
      <c r="H262" s="4">
        <v>0</v>
      </c>
      <c r="I262" s="4">
        <v>122</v>
      </c>
      <c r="J262" s="7">
        <v>0</v>
      </c>
    </row>
    <row r="263" spans="1:10" x14ac:dyDescent="0.25">
      <c r="A263">
        <v>257</v>
      </c>
      <c r="B263" t="s">
        <v>2619</v>
      </c>
      <c r="C263" t="s">
        <v>490</v>
      </c>
      <c r="D263" t="s">
        <v>49</v>
      </c>
      <c r="E263" t="s">
        <v>126</v>
      </c>
      <c r="F263">
        <v>81</v>
      </c>
      <c r="G263" s="4">
        <v>0</v>
      </c>
      <c r="H263" s="4">
        <v>0</v>
      </c>
      <c r="I263" s="4">
        <v>0</v>
      </c>
      <c r="J263" s="7">
        <v>0</v>
      </c>
    </row>
    <row r="264" spans="1:10" x14ac:dyDescent="0.25">
      <c r="A264">
        <v>258</v>
      </c>
      <c r="B264" t="s">
        <v>1769</v>
      </c>
      <c r="C264" t="s">
        <v>1046</v>
      </c>
      <c r="D264" t="s">
        <v>49</v>
      </c>
      <c r="E264" t="s">
        <v>126</v>
      </c>
      <c r="F264">
        <v>96</v>
      </c>
      <c r="G264" s="4">
        <v>112</v>
      </c>
      <c r="H264" s="4">
        <v>0</v>
      </c>
      <c r="I264" s="4">
        <v>112</v>
      </c>
      <c r="J264" s="7">
        <v>0</v>
      </c>
    </row>
    <row r="265" spans="1:10" x14ac:dyDescent="0.25">
      <c r="A265">
        <v>259</v>
      </c>
      <c r="B265" t="s">
        <v>4137</v>
      </c>
      <c r="C265" t="s">
        <v>427</v>
      </c>
      <c r="D265" t="s">
        <v>49</v>
      </c>
      <c r="E265" t="s">
        <v>126</v>
      </c>
      <c r="F265">
        <v>61</v>
      </c>
      <c r="G265" s="4">
        <v>0</v>
      </c>
      <c r="H265" s="4">
        <v>0</v>
      </c>
      <c r="I265" s="4">
        <v>0</v>
      </c>
      <c r="J265" s="7">
        <v>0</v>
      </c>
    </row>
    <row r="266" spans="1:10" x14ac:dyDescent="0.25">
      <c r="A266">
        <v>260</v>
      </c>
      <c r="B266" t="s">
        <v>3551</v>
      </c>
      <c r="C266" t="s">
        <v>417</v>
      </c>
      <c r="D266" t="s">
        <v>49</v>
      </c>
      <c r="E266" t="s">
        <v>113</v>
      </c>
      <c r="F266">
        <v>67</v>
      </c>
      <c r="G266" s="4">
        <v>82</v>
      </c>
      <c r="H266" s="4">
        <v>0</v>
      </c>
      <c r="I266" s="4">
        <v>82</v>
      </c>
      <c r="J266" s="7">
        <v>0</v>
      </c>
    </row>
    <row r="267" spans="1:10" x14ac:dyDescent="0.25">
      <c r="A267">
        <v>261</v>
      </c>
      <c r="B267" t="s">
        <v>3371</v>
      </c>
      <c r="C267" t="s">
        <v>194</v>
      </c>
      <c r="D267" t="s">
        <v>49</v>
      </c>
      <c r="E267" t="s">
        <v>126</v>
      </c>
      <c r="F267">
        <v>81</v>
      </c>
      <c r="G267" s="4">
        <v>0</v>
      </c>
      <c r="H267" s="4">
        <v>135</v>
      </c>
      <c r="I267" s="4">
        <v>135</v>
      </c>
      <c r="J267" s="7">
        <v>0</v>
      </c>
    </row>
    <row r="268" spans="1:10" x14ac:dyDescent="0.25">
      <c r="A268">
        <v>262</v>
      </c>
      <c r="B268" t="s">
        <v>4433</v>
      </c>
      <c r="G268" s="4">
        <v>25299</v>
      </c>
      <c r="H268" s="4">
        <v>29048</v>
      </c>
      <c r="I268" s="4">
        <v>54347</v>
      </c>
      <c r="J268" s="7">
        <v>67858.700000000012</v>
      </c>
    </row>
    <row r="269" spans="1:10" x14ac:dyDescent="0.25">
      <c r="G269"/>
    </row>
    <row r="270" spans="1:10" x14ac:dyDescent="0.25">
      <c r="G270"/>
    </row>
    <row r="271" spans="1:10" x14ac:dyDescent="0.25">
      <c r="G271"/>
    </row>
    <row r="272" spans="1:10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323E1-1B04-4CA6-9A3C-58157A7E7195}">
  <sheetPr>
    <tabColor theme="6"/>
  </sheetPr>
  <dimension ref="A2:I529"/>
  <sheetViews>
    <sheetView workbookViewId="0">
      <selection activeCell="C36" sqref="C36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5" width="12.5703125" bestFit="1" customWidth="1"/>
    <col min="6" max="6" width="18" bestFit="1" customWidth="1"/>
    <col min="7" max="7" width="17.140625" style="6" bestFit="1" customWidth="1"/>
    <col min="8" max="8" width="20.5703125" bestFit="1" customWidth="1"/>
    <col min="9" max="9" width="14.42578125" bestFit="1" customWidth="1"/>
  </cols>
  <sheetData>
    <row r="2" spans="1:9" x14ac:dyDescent="0.25">
      <c r="B2" s="2" t="s">
        <v>27</v>
      </c>
      <c r="C2" t="s">
        <v>113</v>
      </c>
    </row>
    <row r="3" spans="1:9" x14ac:dyDescent="0.25">
      <c r="B3" s="2" t="s">
        <v>31</v>
      </c>
      <c r="C3" t="s">
        <v>132</v>
      </c>
    </row>
    <row r="4" spans="1:9" x14ac:dyDescent="0.25">
      <c r="B4" s="8" t="s">
        <v>4513</v>
      </c>
      <c r="G4"/>
    </row>
    <row r="5" spans="1:9" x14ac:dyDescent="0.25">
      <c r="F5" s="2" t="s">
        <v>4438</v>
      </c>
      <c r="G5"/>
    </row>
    <row r="6" spans="1:9" x14ac:dyDescent="0.25">
      <c r="B6" s="2" t="s">
        <v>0</v>
      </c>
      <c r="C6" s="2" t="s">
        <v>42</v>
      </c>
      <c r="D6" s="2" t="s">
        <v>24</v>
      </c>
      <c r="E6" s="2" t="s">
        <v>26</v>
      </c>
      <c r="F6" t="s">
        <v>4439</v>
      </c>
      <c r="G6" t="s">
        <v>4440</v>
      </c>
      <c r="H6" t="s">
        <v>4441</v>
      </c>
      <c r="I6" t="s">
        <v>4434</v>
      </c>
    </row>
    <row r="7" spans="1:9" x14ac:dyDescent="0.25">
      <c r="A7">
        <v>1</v>
      </c>
      <c r="B7" t="s">
        <v>2861</v>
      </c>
      <c r="C7" t="s">
        <v>386</v>
      </c>
      <c r="D7" s="19" t="s">
        <v>98</v>
      </c>
      <c r="E7">
        <v>71</v>
      </c>
      <c r="F7" s="4">
        <v>75</v>
      </c>
      <c r="G7" s="4">
        <v>96</v>
      </c>
      <c r="H7" s="4">
        <v>171</v>
      </c>
      <c r="I7" s="7">
        <v>221.41</v>
      </c>
    </row>
    <row r="8" spans="1:9" x14ac:dyDescent="0.25">
      <c r="A8">
        <v>2</v>
      </c>
      <c r="B8" s="8" t="s">
        <v>2041</v>
      </c>
      <c r="C8" s="8" t="s">
        <v>713</v>
      </c>
      <c r="D8" t="s">
        <v>98</v>
      </c>
      <c r="E8" s="8">
        <v>76</v>
      </c>
      <c r="F8" s="9">
        <v>80</v>
      </c>
      <c r="G8" s="9">
        <v>96</v>
      </c>
      <c r="H8" s="9">
        <v>176</v>
      </c>
      <c r="I8" s="10">
        <v>213.8</v>
      </c>
    </row>
    <row r="9" spans="1:9" x14ac:dyDescent="0.25">
      <c r="A9">
        <v>3</v>
      </c>
      <c r="B9" t="s">
        <v>4190</v>
      </c>
      <c r="C9" t="s">
        <v>168</v>
      </c>
      <c r="D9" t="s">
        <v>98</v>
      </c>
      <c r="E9">
        <v>71</v>
      </c>
      <c r="F9" s="4">
        <v>80</v>
      </c>
      <c r="G9" s="4">
        <v>90</v>
      </c>
      <c r="H9" s="4">
        <v>170</v>
      </c>
      <c r="I9" s="7">
        <v>212.39</v>
      </c>
    </row>
    <row r="10" spans="1:9" x14ac:dyDescent="0.25">
      <c r="A10">
        <v>4</v>
      </c>
      <c r="B10" s="8" t="s">
        <v>1715</v>
      </c>
      <c r="C10" s="8" t="s">
        <v>413</v>
      </c>
      <c r="D10" t="s">
        <v>98</v>
      </c>
      <c r="E10" s="8">
        <v>55</v>
      </c>
      <c r="F10" s="9">
        <v>66</v>
      </c>
      <c r="G10" s="9">
        <v>79</v>
      </c>
      <c r="H10" s="9">
        <v>145</v>
      </c>
      <c r="I10" s="10">
        <v>208.16</v>
      </c>
    </row>
    <row r="11" spans="1:9" x14ac:dyDescent="0.25">
      <c r="A11">
        <v>5</v>
      </c>
      <c r="B11" s="8" t="s">
        <v>2675</v>
      </c>
      <c r="C11" s="8" t="s">
        <v>478</v>
      </c>
      <c r="D11" t="s">
        <v>98</v>
      </c>
      <c r="E11" s="8">
        <v>55</v>
      </c>
      <c r="F11" s="9">
        <v>65</v>
      </c>
      <c r="G11" s="9">
        <v>80</v>
      </c>
      <c r="H11" s="9">
        <v>145</v>
      </c>
      <c r="I11" s="10">
        <v>208.08</v>
      </c>
    </row>
    <row r="12" spans="1:9" x14ac:dyDescent="0.25">
      <c r="A12">
        <v>6</v>
      </c>
      <c r="B12" s="8" t="s">
        <v>4413</v>
      </c>
      <c r="C12" s="8" t="s">
        <v>544</v>
      </c>
      <c r="D12" t="s">
        <v>98</v>
      </c>
      <c r="E12" s="8">
        <v>81</v>
      </c>
      <c r="F12" s="9">
        <v>85</v>
      </c>
      <c r="G12" s="9">
        <v>95</v>
      </c>
      <c r="H12" s="9">
        <v>180</v>
      </c>
      <c r="I12" s="10">
        <v>208.04</v>
      </c>
    </row>
    <row r="13" spans="1:9" x14ac:dyDescent="0.25">
      <c r="A13">
        <v>7</v>
      </c>
      <c r="B13" t="s">
        <v>2942</v>
      </c>
      <c r="C13" t="s">
        <v>687</v>
      </c>
      <c r="D13" t="s">
        <v>94</v>
      </c>
      <c r="E13">
        <v>59</v>
      </c>
      <c r="F13" s="4">
        <v>66</v>
      </c>
      <c r="G13" s="4">
        <v>83</v>
      </c>
      <c r="H13" s="4">
        <v>149</v>
      </c>
      <c r="I13" s="7">
        <v>206.19</v>
      </c>
    </row>
    <row r="14" spans="1:9" x14ac:dyDescent="0.25">
      <c r="A14">
        <v>8</v>
      </c>
      <c r="B14" t="s">
        <v>4233</v>
      </c>
      <c r="C14" t="s">
        <v>134</v>
      </c>
      <c r="D14" t="s">
        <v>94</v>
      </c>
      <c r="E14">
        <v>71</v>
      </c>
      <c r="F14" s="4">
        <v>72</v>
      </c>
      <c r="G14" s="4">
        <v>87</v>
      </c>
      <c r="H14" s="4">
        <v>159</v>
      </c>
      <c r="I14" s="7">
        <v>205.07</v>
      </c>
    </row>
    <row r="15" spans="1:9" x14ac:dyDescent="0.25">
      <c r="A15">
        <v>9</v>
      </c>
      <c r="B15" t="s">
        <v>2937</v>
      </c>
      <c r="C15" t="s">
        <v>70</v>
      </c>
      <c r="D15" t="s">
        <v>94</v>
      </c>
      <c r="E15">
        <v>55</v>
      </c>
      <c r="F15" s="4">
        <v>63</v>
      </c>
      <c r="G15" s="4">
        <v>78</v>
      </c>
      <c r="H15" s="4">
        <v>141</v>
      </c>
      <c r="I15" s="7">
        <v>203.92</v>
      </c>
    </row>
    <row r="16" spans="1:9" x14ac:dyDescent="0.25">
      <c r="A16">
        <v>10</v>
      </c>
      <c r="B16" t="s">
        <v>1666</v>
      </c>
      <c r="C16" t="s">
        <v>402</v>
      </c>
      <c r="D16" t="s">
        <v>94</v>
      </c>
      <c r="E16">
        <v>59</v>
      </c>
      <c r="F16" s="4">
        <v>66</v>
      </c>
      <c r="G16" s="4">
        <v>81</v>
      </c>
      <c r="H16" s="4">
        <v>147</v>
      </c>
      <c r="I16" s="7">
        <v>202.27</v>
      </c>
    </row>
    <row r="17" spans="1:9" x14ac:dyDescent="0.25">
      <c r="A17">
        <v>11</v>
      </c>
      <c r="B17" t="s">
        <v>2793</v>
      </c>
      <c r="C17" t="s">
        <v>1046</v>
      </c>
      <c r="D17" t="s">
        <v>94</v>
      </c>
      <c r="E17">
        <v>55</v>
      </c>
      <c r="F17" s="4">
        <v>60</v>
      </c>
      <c r="G17" s="4">
        <v>78</v>
      </c>
      <c r="H17" s="4">
        <v>138</v>
      </c>
      <c r="I17" s="7">
        <v>198.04</v>
      </c>
    </row>
    <row r="18" spans="1:9" x14ac:dyDescent="0.25">
      <c r="A18">
        <v>12</v>
      </c>
      <c r="B18" t="s">
        <v>4017</v>
      </c>
      <c r="C18" t="s">
        <v>124</v>
      </c>
      <c r="D18" t="s">
        <v>94</v>
      </c>
      <c r="E18">
        <v>64</v>
      </c>
      <c r="F18" s="4">
        <v>70</v>
      </c>
      <c r="G18" s="4">
        <v>80</v>
      </c>
      <c r="H18" s="4">
        <v>150</v>
      </c>
      <c r="I18" s="7">
        <v>196.33</v>
      </c>
    </row>
    <row r="19" spans="1:9" x14ac:dyDescent="0.25">
      <c r="A19">
        <v>13</v>
      </c>
      <c r="B19" t="s">
        <v>4393</v>
      </c>
      <c r="C19" t="s">
        <v>329</v>
      </c>
      <c r="D19" t="s">
        <v>94</v>
      </c>
      <c r="E19">
        <v>59</v>
      </c>
      <c r="F19" s="4">
        <v>62</v>
      </c>
      <c r="G19" s="4">
        <v>75</v>
      </c>
      <c r="H19" s="4">
        <v>137</v>
      </c>
      <c r="I19" s="7">
        <v>195.24</v>
      </c>
    </row>
    <row r="20" spans="1:9" x14ac:dyDescent="0.25">
      <c r="A20">
        <v>14</v>
      </c>
      <c r="B20" t="s">
        <v>2897</v>
      </c>
      <c r="C20" t="s">
        <v>478</v>
      </c>
      <c r="D20" t="s">
        <v>94</v>
      </c>
      <c r="E20">
        <v>55</v>
      </c>
      <c r="F20" s="4">
        <v>56</v>
      </c>
      <c r="G20" s="4">
        <v>75</v>
      </c>
      <c r="H20" s="4">
        <v>131</v>
      </c>
      <c r="I20" s="7">
        <v>191.83</v>
      </c>
    </row>
    <row r="21" spans="1:9" x14ac:dyDescent="0.25">
      <c r="A21">
        <v>15</v>
      </c>
      <c r="B21" t="s">
        <v>1977</v>
      </c>
      <c r="C21" t="s">
        <v>901</v>
      </c>
      <c r="D21" t="s">
        <v>94</v>
      </c>
      <c r="E21">
        <v>71</v>
      </c>
      <c r="F21" s="4">
        <v>70</v>
      </c>
      <c r="G21" s="4">
        <v>78</v>
      </c>
      <c r="H21" s="4">
        <v>148</v>
      </c>
      <c r="I21" s="7">
        <v>188.32</v>
      </c>
    </row>
    <row r="22" spans="1:9" x14ac:dyDescent="0.25">
      <c r="A22">
        <v>16</v>
      </c>
      <c r="B22" t="s">
        <v>1857</v>
      </c>
      <c r="C22" t="s">
        <v>147</v>
      </c>
      <c r="D22" t="s">
        <v>94</v>
      </c>
      <c r="E22">
        <v>55</v>
      </c>
      <c r="F22" s="4">
        <v>58</v>
      </c>
      <c r="G22" s="4">
        <v>72</v>
      </c>
      <c r="H22" s="4">
        <v>130</v>
      </c>
      <c r="I22" s="7">
        <v>187.76</v>
      </c>
    </row>
    <row r="23" spans="1:9" x14ac:dyDescent="0.25">
      <c r="A23">
        <v>17</v>
      </c>
      <c r="B23" t="s">
        <v>3043</v>
      </c>
      <c r="C23" t="s">
        <v>316</v>
      </c>
      <c r="D23" t="s">
        <v>94</v>
      </c>
      <c r="E23">
        <v>64</v>
      </c>
      <c r="F23" s="4">
        <v>66</v>
      </c>
      <c r="G23" s="4">
        <v>77</v>
      </c>
      <c r="H23" s="4">
        <v>143</v>
      </c>
      <c r="I23" s="7">
        <v>186.46</v>
      </c>
    </row>
    <row r="24" spans="1:9" x14ac:dyDescent="0.25">
      <c r="A24">
        <v>18</v>
      </c>
      <c r="B24" t="s">
        <v>3311</v>
      </c>
      <c r="C24" t="s">
        <v>402</v>
      </c>
      <c r="D24" t="s">
        <v>94</v>
      </c>
      <c r="E24">
        <v>64</v>
      </c>
      <c r="F24" s="4">
        <v>64</v>
      </c>
      <c r="G24" s="4">
        <v>76</v>
      </c>
      <c r="H24" s="4">
        <v>140</v>
      </c>
      <c r="I24" s="7">
        <v>185.78</v>
      </c>
    </row>
    <row r="25" spans="1:9" x14ac:dyDescent="0.25">
      <c r="A25">
        <v>19</v>
      </c>
      <c r="B25" t="s">
        <v>950</v>
      </c>
      <c r="C25" t="s">
        <v>329</v>
      </c>
      <c r="D25" t="s">
        <v>94</v>
      </c>
      <c r="E25">
        <v>59</v>
      </c>
      <c r="F25" s="4">
        <v>57</v>
      </c>
      <c r="G25" s="4">
        <v>74</v>
      </c>
      <c r="H25" s="4">
        <v>131</v>
      </c>
      <c r="I25" s="7">
        <v>182.68</v>
      </c>
    </row>
    <row r="26" spans="1:9" x14ac:dyDescent="0.25">
      <c r="A26">
        <v>20</v>
      </c>
      <c r="B26" t="s">
        <v>1113</v>
      </c>
      <c r="C26" t="s">
        <v>429</v>
      </c>
      <c r="D26" t="s">
        <v>94</v>
      </c>
      <c r="E26">
        <v>55</v>
      </c>
      <c r="F26" s="4">
        <v>57</v>
      </c>
      <c r="G26" s="4">
        <v>68</v>
      </c>
      <c r="H26" s="4">
        <v>125</v>
      </c>
      <c r="I26" s="7">
        <v>182.21</v>
      </c>
    </row>
    <row r="27" spans="1:9" x14ac:dyDescent="0.25">
      <c r="A27">
        <v>21</v>
      </c>
      <c r="B27" t="s">
        <v>1480</v>
      </c>
      <c r="C27" t="s">
        <v>88</v>
      </c>
      <c r="D27" t="s">
        <v>94</v>
      </c>
      <c r="E27">
        <v>59</v>
      </c>
      <c r="F27" s="4">
        <v>62</v>
      </c>
      <c r="G27" s="4">
        <v>71</v>
      </c>
      <c r="H27" s="4">
        <v>133</v>
      </c>
      <c r="I27" s="7">
        <v>181.98</v>
      </c>
    </row>
    <row r="28" spans="1:9" x14ac:dyDescent="0.25">
      <c r="A28">
        <v>22</v>
      </c>
      <c r="B28" t="s">
        <v>3022</v>
      </c>
      <c r="C28" t="s">
        <v>2051</v>
      </c>
      <c r="D28" t="s">
        <v>94</v>
      </c>
      <c r="E28">
        <v>59</v>
      </c>
      <c r="F28" s="4">
        <v>60</v>
      </c>
      <c r="G28" s="4">
        <v>70</v>
      </c>
      <c r="H28" s="4">
        <v>130</v>
      </c>
      <c r="I28" s="7">
        <v>178.01</v>
      </c>
    </row>
    <row r="29" spans="1:9" x14ac:dyDescent="0.25">
      <c r="A29">
        <v>23</v>
      </c>
      <c r="B29" t="s">
        <v>1797</v>
      </c>
      <c r="C29" t="s">
        <v>168</v>
      </c>
      <c r="D29" t="s">
        <v>89</v>
      </c>
      <c r="E29">
        <v>64</v>
      </c>
      <c r="F29" s="4">
        <v>58</v>
      </c>
      <c r="G29" s="4">
        <v>77</v>
      </c>
      <c r="H29" s="4">
        <v>135</v>
      </c>
      <c r="I29" s="7">
        <v>177.13</v>
      </c>
    </row>
    <row r="30" spans="1:9" x14ac:dyDescent="0.25">
      <c r="A30">
        <v>24</v>
      </c>
      <c r="B30" t="s">
        <v>1602</v>
      </c>
      <c r="C30" t="s">
        <v>70</v>
      </c>
      <c r="D30" t="s">
        <v>89</v>
      </c>
      <c r="E30">
        <v>55</v>
      </c>
      <c r="F30" s="4">
        <v>55</v>
      </c>
      <c r="G30" s="4">
        <v>64</v>
      </c>
      <c r="H30" s="4">
        <v>119</v>
      </c>
      <c r="I30" s="7">
        <v>177.07</v>
      </c>
    </row>
    <row r="31" spans="1:9" x14ac:dyDescent="0.25">
      <c r="A31">
        <v>25</v>
      </c>
      <c r="B31" t="s">
        <v>1645</v>
      </c>
      <c r="C31" t="s">
        <v>937</v>
      </c>
      <c r="D31" t="s">
        <v>89</v>
      </c>
      <c r="E31">
        <v>59</v>
      </c>
      <c r="F31" s="4">
        <v>55</v>
      </c>
      <c r="G31" s="4">
        <v>70</v>
      </c>
      <c r="H31" s="4">
        <v>125</v>
      </c>
      <c r="I31" s="7">
        <v>173.38</v>
      </c>
    </row>
    <row r="32" spans="1:9" x14ac:dyDescent="0.25">
      <c r="A32">
        <v>26</v>
      </c>
      <c r="B32" t="s">
        <v>3236</v>
      </c>
      <c r="C32" t="s">
        <v>684</v>
      </c>
      <c r="D32" t="s">
        <v>89</v>
      </c>
      <c r="E32">
        <v>81</v>
      </c>
      <c r="F32" s="4">
        <v>70</v>
      </c>
      <c r="G32" s="4">
        <v>80</v>
      </c>
      <c r="H32" s="4">
        <v>150</v>
      </c>
      <c r="I32" s="7">
        <v>173.08</v>
      </c>
    </row>
    <row r="33" spans="1:9" x14ac:dyDescent="0.25">
      <c r="A33">
        <v>27</v>
      </c>
      <c r="B33" t="s">
        <v>3750</v>
      </c>
      <c r="C33" t="s">
        <v>296</v>
      </c>
      <c r="D33" t="s">
        <v>89</v>
      </c>
      <c r="E33">
        <v>55</v>
      </c>
      <c r="F33" s="4">
        <v>51</v>
      </c>
      <c r="G33" s="4">
        <v>64</v>
      </c>
      <c r="H33" s="4">
        <v>115</v>
      </c>
      <c r="I33" s="7">
        <v>171.78</v>
      </c>
    </row>
    <row r="34" spans="1:9" x14ac:dyDescent="0.25">
      <c r="A34">
        <v>28</v>
      </c>
      <c r="B34" t="s">
        <v>2004</v>
      </c>
      <c r="C34" t="s">
        <v>639</v>
      </c>
      <c r="D34" t="s">
        <v>89</v>
      </c>
      <c r="E34">
        <v>71</v>
      </c>
      <c r="F34" s="4">
        <v>59</v>
      </c>
      <c r="G34" s="4">
        <v>75</v>
      </c>
      <c r="H34" s="4">
        <v>134</v>
      </c>
      <c r="I34" s="7">
        <v>168.44</v>
      </c>
    </row>
    <row r="35" spans="1:9" x14ac:dyDescent="0.25">
      <c r="A35">
        <v>29</v>
      </c>
      <c r="B35" t="s">
        <v>3110</v>
      </c>
      <c r="C35" t="s">
        <v>312</v>
      </c>
      <c r="D35" t="s">
        <v>89</v>
      </c>
      <c r="E35">
        <v>64</v>
      </c>
      <c r="F35" s="4">
        <v>52</v>
      </c>
      <c r="G35" s="4">
        <v>73</v>
      </c>
      <c r="H35" s="4">
        <v>125</v>
      </c>
      <c r="I35" s="7">
        <v>167.93</v>
      </c>
    </row>
    <row r="36" spans="1:9" x14ac:dyDescent="0.25">
      <c r="A36">
        <v>30</v>
      </c>
      <c r="B36" t="s">
        <v>3896</v>
      </c>
      <c r="C36" t="s">
        <v>395</v>
      </c>
      <c r="D36" t="s">
        <v>89</v>
      </c>
      <c r="E36">
        <v>71</v>
      </c>
      <c r="F36" s="4">
        <v>58</v>
      </c>
      <c r="G36" s="4">
        <v>77</v>
      </c>
      <c r="H36" s="4">
        <v>135</v>
      </c>
      <c r="I36" s="7">
        <v>167.33</v>
      </c>
    </row>
    <row r="37" spans="1:9" x14ac:dyDescent="0.25">
      <c r="A37">
        <v>31</v>
      </c>
      <c r="B37" t="s">
        <v>3063</v>
      </c>
      <c r="C37" t="s">
        <v>419</v>
      </c>
      <c r="D37" t="s">
        <v>89</v>
      </c>
      <c r="E37" t="s">
        <v>135</v>
      </c>
      <c r="F37" s="4">
        <v>68</v>
      </c>
      <c r="G37" s="4">
        <v>85</v>
      </c>
      <c r="H37" s="4">
        <v>153</v>
      </c>
      <c r="I37" s="7">
        <v>167.31</v>
      </c>
    </row>
    <row r="38" spans="1:9" x14ac:dyDescent="0.25">
      <c r="A38">
        <v>32</v>
      </c>
      <c r="B38" t="s">
        <v>2495</v>
      </c>
      <c r="C38" t="s">
        <v>120</v>
      </c>
      <c r="D38" t="s">
        <v>89</v>
      </c>
      <c r="E38">
        <v>81</v>
      </c>
      <c r="F38" s="4">
        <v>65</v>
      </c>
      <c r="G38" s="4">
        <v>80</v>
      </c>
      <c r="H38" s="4">
        <v>145</v>
      </c>
      <c r="I38" s="7">
        <v>166.85</v>
      </c>
    </row>
    <row r="39" spans="1:9" x14ac:dyDescent="0.25">
      <c r="A39">
        <v>33</v>
      </c>
      <c r="B39" t="s">
        <v>2701</v>
      </c>
      <c r="C39" t="s">
        <v>478</v>
      </c>
      <c r="D39" t="s">
        <v>89</v>
      </c>
      <c r="E39">
        <v>49</v>
      </c>
      <c r="F39" s="4">
        <v>45</v>
      </c>
      <c r="G39" s="4">
        <v>60</v>
      </c>
      <c r="H39" s="4">
        <v>105</v>
      </c>
      <c r="I39" s="7">
        <v>165.28</v>
      </c>
    </row>
    <row r="40" spans="1:9" x14ac:dyDescent="0.25">
      <c r="A40">
        <v>34</v>
      </c>
      <c r="B40" t="s">
        <v>3204</v>
      </c>
      <c r="C40" t="s">
        <v>78</v>
      </c>
      <c r="D40" t="s">
        <v>89</v>
      </c>
      <c r="E40">
        <v>76</v>
      </c>
      <c r="F40" s="4">
        <v>60</v>
      </c>
      <c r="G40" s="4">
        <v>77</v>
      </c>
      <c r="H40" s="4">
        <v>137</v>
      </c>
      <c r="I40" s="7">
        <v>164.38</v>
      </c>
    </row>
    <row r="41" spans="1:9" x14ac:dyDescent="0.25">
      <c r="A41">
        <v>35</v>
      </c>
      <c r="B41" t="s">
        <v>3800</v>
      </c>
      <c r="C41" t="s">
        <v>691</v>
      </c>
      <c r="D41" t="s">
        <v>89</v>
      </c>
      <c r="E41">
        <v>64</v>
      </c>
      <c r="F41" s="4">
        <v>53</v>
      </c>
      <c r="G41" s="4">
        <v>70</v>
      </c>
      <c r="H41" s="4">
        <v>123</v>
      </c>
      <c r="I41" s="7">
        <v>162.41</v>
      </c>
    </row>
    <row r="42" spans="1:9" x14ac:dyDescent="0.25">
      <c r="A42">
        <v>36</v>
      </c>
      <c r="B42" t="s">
        <v>3795</v>
      </c>
      <c r="C42" t="s">
        <v>639</v>
      </c>
      <c r="D42" t="s">
        <v>89</v>
      </c>
      <c r="E42">
        <v>64</v>
      </c>
      <c r="F42" s="4">
        <v>59</v>
      </c>
      <c r="G42" s="4">
        <v>65</v>
      </c>
      <c r="H42" s="4">
        <v>124</v>
      </c>
      <c r="I42" s="7">
        <v>161.84</v>
      </c>
    </row>
    <row r="43" spans="1:9" x14ac:dyDescent="0.25">
      <c r="A43">
        <v>37</v>
      </c>
      <c r="B43" t="s">
        <v>1411</v>
      </c>
      <c r="C43" t="s">
        <v>419</v>
      </c>
      <c r="D43" t="s">
        <v>93</v>
      </c>
      <c r="E43">
        <v>59</v>
      </c>
      <c r="F43" s="4">
        <v>50</v>
      </c>
      <c r="G43" s="4">
        <v>63</v>
      </c>
      <c r="H43" s="4">
        <v>113</v>
      </c>
      <c r="I43" s="7">
        <v>157.5</v>
      </c>
    </row>
    <row r="44" spans="1:9" x14ac:dyDescent="0.25">
      <c r="A44">
        <v>38</v>
      </c>
      <c r="B44" t="s">
        <v>2442</v>
      </c>
      <c r="C44" t="s">
        <v>478</v>
      </c>
      <c r="D44" t="s">
        <v>89</v>
      </c>
      <c r="E44">
        <v>87</v>
      </c>
      <c r="F44" s="4">
        <v>65</v>
      </c>
      <c r="G44" s="4">
        <v>75</v>
      </c>
      <c r="H44" s="4">
        <v>140</v>
      </c>
      <c r="I44" s="7">
        <v>156.56</v>
      </c>
    </row>
    <row r="45" spans="1:9" x14ac:dyDescent="0.25">
      <c r="A45">
        <v>39</v>
      </c>
      <c r="B45" t="s">
        <v>3159</v>
      </c>
      <c r="C45" t="s">
        <v>2051</v>
      </c>
      <c r="D45" t="s">
        <v>89</v>
      </c>
      <c r="E45">
        <v>55</v>
      </c>
      <c r="F45" s="4">
        <v>52</v>
      </c>
      <c r="G45" s="4">
        <v>56</v>
      </c>
      <c r="H45" s="4">
        <v>108</v>
      </c>
      <c r="I45" s="7">
        <v>155.28</v>
      </c>
    </row>
    <row r="46" spans="1:9" x14ac:dyDescent="0.25">
      <c r="A46">
        <v>40</v>
      </c>
      <c r="B46" t="s">
        <v>1706</v>
      </c>
      <c r="C46" t="s">
        <v>134</v>
      </c>
      <c r="D46" t="s">
        <v>93</v>
      </c>
      <c r="E46">
        <v>55</v>
      </c>
      <c r="F46" s="4">
        <v>46</v>
      </c>
      <c r="G46" s="4">
        <v>54</v>
      </c>
      <c r="H46" s="4">
        <v>100</v>
      </c>
      <c r="I46" s="7">
        <v>154.11000000000001</v>
      </c>
    </row>
    <row r="47" spans="1:9" x14ac:dyDescent="0.25">
      <c r="A47">
        <v>41</v>
      </c>
      <c r="B47" t="s">
        <v>4355</v>
      </c>
      <c r="C47" t="s">
        <v>161</v>
      </c>
      <c r="D47" t="s">
        <v>93</v>
      </c>
      <c r="E47">
        <v>64</v>
      </c>
      <c r="F47" s="4">
        <v>50</v>
      </c>
      <c r="G47" s="4">
        <v>66</v>
      </c>
      <c r="H47" s="4">
        <v>116</v>
      </c>
      <c r="I47" s="7">
        <v>151.54</v>
      </c>
    </row>
    <row r="48" spans="1:9" x14ac:dyDescent="0.25">
      <c r="A48">
        <v>42</v>
      </c>
      <c r="B48" t="s">
        <v>3425</v>
      </c>
      <c r="C48" t="s">
        <v>168</v>
      </c>
      <c r="D48" t="s">
        <v>93</v>
      </c>
      <c r="E48">
        <v>59</v>
      </c>
      <c r="F48" s="4">
        <v>50</v>
      </c>
      <c r="G48" s="4">
        <v>60</v>
      </c>
      <c r="H48" s="4">
        <v>110</v>
      </c>
      <c r="I48" s="7">
        <v>151.27000000000001</v>
      </c>
    </row>
    <row r="49" spans="1:9" x14ac:dyDescent="0.25">
      <c r="A49">
        <v>43</v>
      </c>
      <c r="B49" t="s">
        <v>1777</v>
      </c>
      <c r="C49" t="s">
        <v>327</v>
      </c>
      <c r="D49" t="s">
        <v>93</v>
      </c>
      <c r="E49">
        <v>71</v>
      </c>
      <c r="F49" s="4">
        <v>50</v>
      </c>
      <c r="G49" s="4">
        <v>70</v>
      </c>
      <c r="H49" s="4">
        <v>120</v>
      </c>
      <c r="I49" s="7">
        <v>150.28</v>
      </c>
    </row>
    <row r="50" spans="1:9" x14ac:dyDescent="0.25">
      <c r="A50">
        <v>44</v>
      </c>
      <c r="B50" t="s">
        <v>3806</v>
      </c>
      <c r="C50" t="s">
        <v>1032</v>
      </c>
      <c r="D50" t="s">
        <v>93</v>
      </c>
      <c r="E50">
        <v>64</v>
      </c>
      <c r="F50" s="4">
        <v>47</v>
      </c>
      <c r="G50" s="4">
        <v>65</v>
      </c>
      <c r="H50" s="4">
        <v>112</v>
      </c>
      <c r="I50" s="7">
        <v>148.15</v>
      </c>
    </row>
    <row r="51" spans="1:9" x14ac:dyDescent="0.25">
      <c r="A51">
        <v>45</v>
      </c>
      <c r="B51" t="s">
        <v>3035</v>
      </c>
      <c r="C51" t="s">
        <v>2910</v>
      </c>
      <c r="D51" t="s">
        <v>93</v>
      </c>
      <c r="E51">
        <v>71</v>
      </c>
      <c r="F51" s="4">
        <v>54</v>
      </c>
      <c r="G51" s="4">
        <v>64</v>
      </c>
      <c r="H51" s="4">
        <v>118</v>
      </c>
      <c r="I51" s="7">
        <v>144.82</v>
      </c>
    </row>
    <row r="52" spans="1:9" x14ac:dyDescent="0.25">
      <c r="A52">
        <v>46</v>
      </c>
      <c r="B52" t="s">
        <v>2871</v>
      </c>
      <c r="C52" t="s">
        <v>883</v>
      </c>
      <c r="D52" t="s">
        <v>93</v>
      </c>
      <c r="E52">
        <v>71</v>
      </c>
      <c r="F52" s="4">
        <v>47</v>
      </c>
      <c r="G52" s="4">
        <v>65</v>
      </c>
      <c r="H52" s="4">
        <v>112</v>
      </c>
      <c r="I52" s="7">
        <v>142.63999999999999</v>
      </c>
    </row>
    <row r="53" spans="1:9" x14ac:dyDescent="0.25">
      <c r="A53">
        <v>47</v>
      </c>
      <c r="B53" t="s">
        <v>3261</v>
      </c>
      <c r="C53" t="s">
        <v>120</v>
      </c>
      <c r="D53" t="s">
        <v>93</v>
      </c>
      <c r="E53">
        <v>76</v>
      </c>
      <c r="F53" s="4">
        <v>50</v>
      </c>
      <c r="G53" s="4">
        <v>65</v>
      </c>
      <c r="H53" s="4">
        <v>115</v>
      </c>
      <c r="I53" s="7">
        <v>138.82</v>
      </c>
    </row>
    <row r="54" spans="1:9" x14ac:dyDescent="0.25">
      <c r="A54">
        <v>48</v>
      </c>
      <c r="B54" t="s">
        <v>1218</v>
      </c>
      <c r="C54" t="s">
        <v>258</v>
      </c>
      <c r="D54" t="s">
        <v>93</v>
      </c>
      <c r="E54">
        <v>81</v>
      </c>
      <c r="F54" s="4">
        <v>49</v>
      </c>
      <c r="G54" s="4">
        <v>71</v>
      </c>
      <c r="H54" s="4">
        <v>120</v>
      </c>
      <c r="I54" s="7">
        <v>138.46</v>
      </c>
    </row>
    <row r="55" spans="1:9" x14ac:dyDescent="0.25">
      <c r="A55">
        <v>49</v>
      </c>
      <c r="B55" t="s">
        <v>3910</v>
      </c>
      <c r="C55" t="s">
        <v>602</v>
      </c>
      <c r="D55" t="s">
        <v>93</v>
      </c>
      <c r="E55">
        <v>49</v>
      </c>
      <c r="F55" s="4">
        <v>35</v>
      </c>
      <c r="G55" s="4">
        <v>48</v>
      </c>
      <c r="H55" s="4">
        <v>83</v>
      </c>
      <c r="I55" s="7">
        <v>137.04</v>
      </c>
    </row>
    <row r="56" spans="1:9" x14ac:dyDescent="0.25">
      <c r="A56">
        <v>50</v>
      </c>
      <c r="B56" t="s">
        <v>2649</v>
      </c>
      <c r="C56" t="s">
        <v>501</v>
      </c>
      <c r="D56" t="s">
        <v>64</v>
      </c>
      <c r="E56">
        <v>64</v>
      </c>
      <c r="F56" s="4">
        <v>46</v>
      </c>
      <c r="G56" s="4">
        <v>57</v>
      </c>
      <c r="H56" s="4">
        <v>103</v>
      </c>
      <c r="I56" s="7">
        <v>136.43</v>
      </c>
    </row>
    <row r="57" spans="1:9" x14ac:dyDescent="0.25">
      <c r="A57">
        <v>51</v>
      </c>
      <c r="B57" t="s">
        <v>2908</v>
      </c>
      <c r="C57" t="s">
        <v>2910</v>
      </c>
      <c r="D57" t="s">
        <v>64</v>
      </c>
      <c r="E57">
        <v>71</v>
      </c>
      <c r="F57" s="4">
        <v>50</v>
      </c>
      <c r="G57" s="4">
        <v>58</v>
      </c>
      <c r="H57" s="4">
        <v>108</v>
      </c>
      <c r="I57" s="7">
        <v>134.5</v>
      </c>
    </row>
    <row r="58" spans="1:9" x14ac:dyDescent="0.25">
      <c r="A58">
        <v>52</v>
      </c>
      <c r="B58" t="s">
        <v>2391</v>
      </c>
      <c r="C58" t="s">
        <v>883</v>
      </c>
      <c r="D58" t="s">
        <v>64</v>
      </c>
      <c r="E58" t="s">
        <v>135</v>
      </c>
      <c r="F58" s="4">
        <v>50</v>
      </c>
      <c r="G58" s="4">
        <v>67</v>
      </c>
      <c r="H58" s="4">
        <v>117</v>
      </c>
      <c r="I58" s="7">
        <v>126.34</v>
      </c>
    </row>
    <row r="59" spans="1:9" x14ac:dyDescent="0.25">
      <c r="A59">
        <v>53</v>
      </c>
      <c r="B59" t="s">
        <v>3258</v>
      </c>
      <c r="C59" t="s">
        <v>335</v>
      </c>
      <c r="D59" t="s">
        <v>64</v>
      </c>
      <c r="E59">
        <v>87</v>
      </c>
      <c r="F59" s="4">
        <v>50</v>
      </c>
      <c r="G59" s="4">
        <v>58</v>
      </c>
      <c r="H59" s="4">
        <v>108</v>
      </c>
      <c r="I59" s="7">
        <v>121.49</v>
      </c>
    </row>
    <row r="60" spans="1:9" x14ac:dyDescent="0.25">
      <c r="A60">
        <v>54</v>
      </c>
      <c r="B60" t="s">
        <v>2020</v>
      </c>
      <c r="C60" t="s">
        <v>147</v>
      </c>
      <c r="D60" t="s">
        <v>49</v>
      </c>
      <c r="E60">
        <v>55</v>
      </c>
      <c r="F60" s="4">
        <v>48</v>
      </c>
      <c r="G60" s="4">
        <v>0</v>
      </c>
      <c r="H60" s="4">
        <v>48</v>
      </c>
      <c r="I60" s="7">
        <v>0</v>
      </c>
    </row>
    <row r="61" spans="1:9" x14ac:dyDescent="0.25">
      <c r="A61">
        <v>55</v>
      </c>
      <c r="B61" t="s">
        <v>1822</v>
      </c>
      <c r="C61" t="s">
        <v>917</v>
      </c>
      <c r="D61" t="s">
        <v>49</v>
      </c>
      <c r="E61">
        <v>49</v>
      </c>
      <c r="F61" s="4">
        <v>33</v>
      </c>
      <c r="G61" s="4">
        <v>0</v>
      </c>
      <c r="H61" s="4">
        <v>33</v>
      </c>
      <c r="I61" s="7">
        <v>0</v>
      </c>
    </row>
    <row r="62" spans="1:9" x14ac:dyDescent="0.25">
      <c r="A62">
        <v>56</v>
      </c>
      <c r="B62" t="s">
        <v>4334</v>
      </c>
      <c r="C62" t="s">
        <v>124</v>
      </c>
      <c r="D62" t="s">
        <v>49</v>
      </c>
      <c r="E62">
        <v>59</v>
      </c>
      <c r="F62" s="4">
        <v>48</v>
      </c>
      <c r="G62" s="4">
        <v>0</v>
      </c>
      <c r="H62" s="4">
        <v>48</v>
      </c>
      <c r="I62" s="7">
        <v>0</v>
      </c>
    </row>
    <row r="63" spans="1:9" x14ac:dyDescent="0.25">
      <c r="A63">
        <v>57</v>
      </c>
      <c r="B63" t="s">
        <v>4053</v>
      </c>
      <c r="C63" t="s">
        <v>271</v>
      </c>
      <c r="D63" t="s">
        <v>49</v>
      </c>
      <c r="E63">
        <v>76</v>
      </c>
      <c r="F63" s="4">
        <v>82</v>
      </c>
      <c r="G63" s="4">
        <v>0</v>
      </c>
      <c r="H63" s="4">
        <v>82</v>
      </c>
      <c r="I63" s="7">
        <v>0</v>
      </c>
    </row>
    <row r="64" spans="1:9" x14ac:dyDescent="0.25">
      <c r="A64">
        <v>58</v>
      </c>
      <c r="B64" t="s">
        <v>698</v>
      </c>
      <c r="C64" t="s">
        <v>672</v>
      </c>
      <c r="D64" t="s">
        <v>49</v>
      </c>
      <c r="E64">
        <v>45</v>
      </c>
      <c r="F64" s="4">
        <v>54</v>
      </c>
      <c r="G64" s="4">
        <v>0</v>
      </c>
      <c r="H64" s="4">
        <v>54</v>
      </c>
      <c r="I64" s="7">
        <v>0</v>
      </c>
    </row>
    <row r="65" spans="1:9" x14ac:dyDescent="0.25">
      <c r="A65">
        <v>59</v>
      </c>
      <c r="B65" t="s">
        <v>4040</v>
      </c>
      <c r="C65" t="s">
        <v>674</v>
      </c>
      <c r="D65" t="s">
        <v>49</v>
      </c>
      <c r="E65">
        <v>55</v>
      </c>
      <c r="F65" s="4">
        <v>0</v>
      </c>
      <c r="G65" s="4">
        <v>62</v>
      </c>
      <c r="H65" s="4">
        <v>62</v>
      </c>
      <c r="I65" s="7">
        <v>0</v>
      </c>
    </row>
    <row r="66" spans="1:9" x14ac:dyDescent="0.25">
      <c r="A66">
        <v>60</v>
      </c>
      <c r="B66" t="s">
        <v>3927</v>
      </c>
      <c r="C66" t="s">
        <v>255</v>
      </c>
      <c r="D66" t="s">
        <v>49</v>
      </c>
      <c r="E66">
        <v>81</v>
      </c>
      <c r="F66" s="4">
        <v>80</v>
      </c>
      <c r="G66" s="4">
        <v>0</v>
      </c>
      <c r="H66" s="4">
        <v>80</v>
      </c>
      <c r="I66" s="7">
        <v>0</v>
      </c>
    </row>
    <row r="67" spans="1:9" x14ac:dyDescent="0.25">
      <c r="A67">
        <v>61</v>
      </c>
      <c r="B67" t="s">
        <v>346</v>
      </c>
      <c r="C67" t="s">
        <v>348</v>
      </c>
      <c r="D67" t="s">
        <v>49</v>
      </c>
      <c r="E67">
        <v>64</v>
      </c>
      <c r="F67" s="4">
        <v>0</v>
      </c>
      <c r="G67" s="4">
        <v>79</v>
      </c>
      <c r="H67" s="4">
        <v>79</v>
      </c>
      <c r="I67" s="7">
        <v>0</v>
      </c>
    </row>
    <row r="68" spans="1:9" x14ac:dyDescent="0.25">
      <c r="A68">
        <v>62</v>
      </c>
      <c r="B68" t="s">
        <v>4433</v>
      </c>
      <c r="F68" s="4">
        <v>3454</v>
      </c>
      <c r="G68" s="4">
        <v>3979</v>
      </c>
      <c r="H68" s="4">
        <v>7433</v>
      </c>
      <c r="I68" s="7">
        <v>9153.4100000000017</v>
      </c>
    </row>
    <row r="69" spans="1:9" x14ac:dyDescent="0.25">
      <c r="A69">
        <v>63</v>
      </c>
      <c r="G69"/>
    </row>
    <row r="70" spans="1:9" x14ac:dyDescent="0.25">
      <c r="A70">
        <v>64</v>
      </c>
      <c r="G70"/>
    </row>
    <row r="71" spans="1:9" x14ac:dyDescent="0.25">
      <c r="A71">
        <v>65</v>
      </c>
      <c r="G71"/>
    </row>
    <row r="72" spans="1:9" x14ac:dyDescent="0.25">
      <c r="A72">
        <v>66</v>
      </c>
      <c r="G72"/>
    </row>
    <row r="73" spans="1:9" x14ac:dyDescent="0.25">
      <c r="A73">
        <v>67</v>
      </c>
      <c r="G73"/>
    </row>
    <row r="74" spans="1:9" x14ac:dyDescent="0.25">
      <c r="A74">
        <v>68</v>
      </c>
      <c r="G74"/>
    </row>
    <row r="75" spans="1:9" x14ac:dyDescent="0.25">
      <c r="A75">
        <v>69</v>
      </c>
      <c r="G75"/>
    </row>
    <row r="76" spans="1:9" x14ac:dyDescent="0.25">
      <c r="A76">
        <v>70</v>
      </c>
      <c r="G76"/>
    </row>
    <row r="77" spans="1:9" x14ac:dyDescent="0.25">
      <c r="A77">
        <v>71</v>
      </c>
      <c r="G77"/>
    </row>
    <row r="78" spans="1:9" x14ac:dyDescent="0.25">
      <c r="A78">
        <v>72</v>
      </c>
      <c r="G78"/>
    </row>
    <row r="79" spans="1:9" x14ac:dyDescent="0.25">
      <c r="A79">
        <v>73</v>
      </c>
      <c r="G79"/>
    </row>
    <row r="80" spans="1:9" x14ac:dyDescent="0.25">
      <c r="A80">
        <v>74</v>
      </c>
      <c r="G80"/>
    </row>
    <row r="81" spans="1:7" x14ac:dyDescent="0.25">
      <c r="A81">
        <v>75</v>
      </c>
      <c r="G81"/>
    </row>
    <row r="82" spans="1:7" x14ac:dyDescent="0.25">
      <c r="A82">
        <v>76</v>
      </c>
      <c r="G82"/>
    </row>
    <row r="83" spans="1:7" x14ac:dyDescent="0.25">
      <c r="A83">
        <v>77</v>
      </c>
      <c r="G83"/>
    </row>
    <row r="84" spans="1:7" x14ac:dyDescent="0.25">
      <c r="A84">
        <v>78</v>
      </c>
      <c r="G84"/>
    </row>
    <row r="85" spans="1:7" x14ac:dyDescent="0.25">
      <c r="A85">
        <v>79</v>
      </c>
      <c r="G85"/>
    </row>
    <row r="86" spans="1:7" x14ac:dyDescent="0.25">
      <c r="A86">
        <v>80</v>
      </c>
      <c r="G86"/>
    </row>
    <row r="87" spans="1:7" x14ac:dyDescent="0.25">
      <c r="A87">
        <v>81</v>
      </c>
      <c r="G87"/>
    </row>
    <row r="88" spans="1:7" x14ac:dyDescent="0.25">
      <c r="A88">
        <v>82</v>
      </c>
      <c r="G88"/>
    </row>
    <row r="89" spans="1:7" x14ac:dyDescent="0.25">
      <c r="A89">
        <v>83</v>
      </c>
      <c r="G89"/>
    </row>
    <row r="90" spans="1:7" x14ac:dyDescent="0.25">
      <c r="A90">
        <v>84</v>
      </c>
      <c r="G90"/>
    </row>
    <row r="91" spans="1:7" x14ac:dyDescent="0.25">
      <c r="A91">
        <v>85</v>
      </c>
      <c r="G91"/>
    </row>
    <row r="92" spans="1:7" x14ac:dyDescent="0.25">
      <c r="A92">
        <v>86</v>
      </c>
      <c r="G92"/>
    </row>
    <row r="93" spans="1:7" x14ac:dyDescent="0.25">
      <c r="A93">
        <v>87</v>
      </c>
      <c r="G93"/>
    </row>
    <row r="94" spans="1:7" x14ac:dyDescent="0.25">
      <c r="A94">
        <v>88</v>
      </c>
      <c r="G94"/>
    </row>
    <row r="95" spans="1:7" x14ac:dyDescent="0.25">
      <c r="A95">
        <v>89</v>
      </c>
      <c r="G95"/>
    </row>
    <row r="96" spans="1:7" x14ac:dyDescent="0.25">
      <c r="A96">
        <v>90</v>
      </c>
      <c r="G96"/>
    </row>
    <row r="97" spans="1:7" x14ac:dyDescent="0.25">
      <c r="A97">
        <v>91</v>
      </c>
      <c r="G97"/>
    </row>
    <row r="98" spans="1:7" x14ac:dyDescent="0.25">
      <c r="A98">
        <v>92</v>
      </c>
      <c r="G98"/>
    </row>
    <row r="99" spans="1:7" x14ac:dyDescent="0.25">
      <c r="A99">
        <v>93</v>
      </c>
      <c r="G99"/>
    </row>
    <row r="100" spans="1:7" x14ac:dyDescent="0.25">
      <c r="A100">
        <v>94</v>
      </c>
      <c r="G100"/>
    </row>
    <row r="101" spans="1:7" x14ac:dyDescent="0.25">
      <c r="A101">
        <v>95</v>
      </c>
      <c r="G101"/>
    </row>
    <row r="102" spans="1:7" x14ac:dyDescent="0.25">
      <c r="A102">
        <v>96</v>
      </c>
      <c r="G102"/>
    </row>
    <row r="103" spans="1:7" x14ac:dyDescent="0.25">
      <c r="A103">
        <v>97</v>
      </c>
      <c r="G103"/>
    </row>
    <row r="104" spans="1:7" x14ac:dyDescent="0.25">
      <c r="A104">
        <v>98</v>
      </c>
      <c r="G104"/>
    </row>
    <row r="105" spans="1:7" x14ac:dyDescent="0.25">
      <c r="A105">
        <v>99</v>
      </c>
      <c r="G105"/>
    </row>
    <row r="106" spans="1:7" x14ac:dyDescent="0.25">
      <c r="A106">
        <v>100</v>
      </c>
      <c r="G106"/>
    </row>
    <row r="107" spans="1:7" x14ac:dyDescent="0.25">
      <c r="A107">
        <v>101</v>
      </c>
      <c r="G107"/>
    </row>
    <row r="108" spans="1:7" x14ac:dyDescent="0.25">
      <c r="A108">
        <v>102</v>
      </c>
      <c r="G108"/>
    </row>
    <row r="109" spans="1:7" x14ac:dyDescent="0.25">
      <c r="A109">
        <v>103</v>
      </c>
      <c r="G109"/>
    </row>
    <row r="110" spans="1:7" x14ac:dyDescent="0.25">
      <c r="A110">
        <v>104</v>
      </c>
      <c r="G110"/>
    </row>
    <row r="111" spans="1:7" x14ac:dyDescent="0.25">
      <c r="A111">
        <v>105</v>
      </c>
      <c r="G111"/>
    </row>
    <row r="112" spans="1:7" x14ac:dyDescent="0.25">
      <c r="A112">
        <v>106</v>
      </c>
      <c r="G112"/>
    </row>
    <row r="113" spans="1:7" x14ac:dyDescent="0.25">
      <c r="A113">
        <v>107</v>
      </c>
      <c r="G113"/>
    </row>
    <row r="114" spans="1:7" x14ac:dyDescent="0.25">
      <c r="A114">
        <v>108</v>
      </c>
      <c r="G114"/>
    </row>
    <row r="115" spans="1:7" x14ac:dyDescent="0.25">
      <c r="A115">
        <v>109</v>
      </c>
      <c r="G115"/>
    </row>
    <row r="116" spans="1:7" x14ac:dyDescent="0.25">
      <c r="A116">
        <v>110</v>
      </c>
      <c r="G116"/>
    </row>
    <row r="117" spans="1:7" x14ac:dyDescent="0.25">
      <c r="A117">
        <v>111</v>
      </c>
      <c r="G117"/>
    </row>
    <row r="118" spans="1:7" x14ac:dyDescent="0.25">
      <c r="A118">
        <v>112</v>
      </c>
      <c r="G118"/>
    </row>
    <row r="119" spans="1:7" x14ac:dyDescent="0.25">
      <c r="A119">
        <v>113</v>
      </c>
      <c r="G119"/>
    </row>
    <row r="120" spans="1:7" x14ac:dyDescent="0.25">
      <c r="A120">
        <v>114</v>
      </c>
      <c r="G120"/>
    </row>
    <row r="121" spans="1:7" x14ac:dyDescent="0.25">
      <c r="A121">
        <v>115</v>
      </c>
      <c r="G121"/>
    </row>
    <row r="122" spans="1:7" x14ac:dyDescent="0.25">
      <c r="A122">
        <v>116</v>
      </c>
      <c r="G122"/>
    </row>
    <row r="123" spans="1:7" x14ac:dyDescent="0.25">
      <c r="A123">
        <v>117</v>
      </c>
      <c r="G123"/>
    </row>
    <row r="124" spans="1:7" x14ac:dyDescent="0.25">
      <c r="A124">
        <v>118</v>
      </c>
      <c r="G124"/>
    </row>
    <row r="125" spans="1:7" x14ac:dyDescent="0.25">
      <c r="A125">
        <v>119</v>
      </c>
      <c r="G125"/>
    </row>
    <row r="126" spans="1:7" x14ac:dyDescent="0.25">
      <c r="A126">
        <v>120</v>
      </c>
      <c r="G126"/>
    </row>
    <row r="127" spans="1:7" x14ac:dyDescent="0.25">
      <c r="A127">
        <v>121</v>
      </c>
      <c r="G127"/>
    </row>
    <row r="128" spans="1:7" x14ac:dyDescent="0.25">
      <c r="A128">
        <v>122</v>
      </c>
      <c r="G128"/>
    </row>
    <row r="129" spans="1:7" x14ac:dyDescent="0.25">
      <c r="A129">
        <v>123</v>
      </c>
      <c r="G129"/>
    </row>
    <row r="130" spans="1:7" x14ac:dyDescent="0.25">
      <c r="A130">
        <v>124</v>
      </c>
      <c r="G130"/>
    </row>
    <row r="131" spans="1:7" x14ac:dyDescent="0.25">
      <c r="A131">
        <v>125</v>
      </c>
      <c r="G131"/>
    </row>
    <row r="132" spans="1:7" x14ac:dyDescent="0.25">
      <c r="A132">
        <v>126</v>
      </c>
      <c r="G132"/>
    </row>
    <row r="133" spans="1:7" x14ac:dyDescent="0.25">
      <c r="A133">
        <v>127</v>
      </c>
      <c r="G133"/>
    </row>
    <row r="134" spans="1:7" x14ac:dyDescent="0.25">
      <c r="A134">
        <v>128</v>
      </c>
      <c r="G134"/>
    </row>
    <row r="135" spans="1:7" x14ac:dyDescent="0.25">
      <c r="A135">
        <v>129</v>
      </c>
      <c r="G135"/>
    </row>
    <row r="136" spans="1:7" x14ac:dyDescent="0.25">
      <c r="A136">
        <v>130</v>
      </c>
      <c r="G136"/>
    </row>
    <row r="137" spans="1:7" x14ac:dyDescent="0.25">
      <c r="A137">
        <v>131</v>
      </c>
      <c r="G137"/>
    </row>
    <row r="138" spans="1:7" x14ac:dyDescent="0.25">
      <c r="A138">
        <v>132</v>
      </c>
      <c r="G138"/>
    </row>
    <row r="139" spans="1:7" x14ac:dyDescent="0.25">
      <c r="A139">
        <v>133</v>
      </c>
      <c r="G139"/>
    </row>
    <row r="140" spans="1:7" x14ac:dyDescent="0.25">
      <c r="A140">
        <v>134</v>
      </c>
      <c r="G140"/>
    </row>
    <row r="141" spans="1:7" x14ac:dyDescent="0.25">
      <c r="A141">
        <v>135</v>
      </c>
      <c r="G141"/>
    </row>
    <row r="142" spans="1:7" x14ac:dyDescent="0.25">
      <c r="A142">
        <v>136</v>
      </c>
      <c r="G142"/>
    </row>
    <row r="143" spans="1:7" x14ac:dyDescent="0.25">
      <c r="A143">
        <v>137</v>
      </c>
      <c r="G143"/>
    </row>
    <row r="144" spans="1:7" x14ac:dyDescent="0.25">
      <c r="A144">
        <v>138</v>
      </c>
      <c r="G144"/>
    </row>
    <row r="145" spans="1:7" x14ac:dyDescent="0.25">
      <c r="A145">
        <v>139</v>
      </c>
      <c r="G145"/>
    </row>
    <row r="146" spans="1:7" x14ac:dyDescent="0.25">
      <c r="A146">
        <v>140</v>
      </c>
      <c r="G146"/>
    </row>
    <row r="147" spans="1:7" x14ac:dyDescent="0.25">
      <c r="A147">
        <v>141</v>
      </c>
      <c r="G147"/>
    </row>
    <row r="148" spans="1:7" x14ac:dyDescent="0.25">
      <c r="A148">
        <v>142</v>
      </c>
      <c r="G148"/>
    </row>
    <row r="149" spans="1:7" x14ac:dyDescent="0.25">
      <c r="A149">
        <v>143</v>
      </c>
      <c r="G149"/>
    </row>
    <row r="150" spans="1:7" x14ac:dyDescent="0.25">
      <c r="A150">
        <v>144</v>
      </c>
      <c r="G150"/>
    </row>
    <row r="151" spans="1:7" x14ac:dyDescent="0.25">
      <c r="A151">
        <v>145</v>
      </c>
      <c r="G151"/>
    </row>
    <row r="152" spans="1:7" x14ac:dyDescent="0.25">
      <c r="A152">
        <v>146</v>
      </c>
      <c r="G152"/>
    </row>
    <row r="153" spans="1:7" x14ac:dyDescent="0.25">
      <c r="A153">
        <v>147</v>
      </c>
      <c r="G153"/>
    </row>
    <row r="154" spans="1:7" x14ac:dyDescent="0.25">
      <c r="A154">
        <v>148</v>
      </c>
      <c r="G154"/>
    </row>
    <row r="155" spans="1:7" x14ac:dyDescent="0.25">
      <c r="A155">
        <v>149</v>
      </c>
      <c r="G155"/>
    </row>
    <row r="156" spans="1:7" x14ac:dyDescent="0.25">
      <c r="A156">
        <v>150</v>
      </c>
      <c r="G156"/>
    </row>
    <row r="157" spans="1:7" x14ac:dyDescent="0.25">
      <c r="A157">
        <v>151</v>
      </c>
      <c r="G157"/>
    </row>
    <row r="158" spans="1:7" x14ac:dyDescent="0.25">
      <c r="A158">
        <v>152</v>
      </c>
      <c r="G158"/>
    </row>
    <row r="159" spans="1:7" x14ac:dyDescent="0.25">
      <c r="A159">
        <v>153</v>
      </c>
      <c r="G159"/>
    </row>
    <row r="160" spans="1:7" x14ac:dyDescent="0.25">
      <c r="A160">
        <v>154</v>
      </c>
      <c r="G160"/>
    </row>
    <row r="161" spans="1:7" x14ac:dyDescent="0.25">
      <c r="A161">
        <v>155</v>
      </c>
      <c r="G161"/>
    </row>
    <row r="162" spans="1:7" x14ac:dyDescent="0.25">
      <c r="A162">
        <v>156</v>
      </c>
      <c r="G162"/>
    </row>
    <row r="163" spans="1:7" x14ac:dyDescent="0.25">
      <c r="A163">
        <v>157</v>
      </c>
      <c r="G163"/>
    </row>
    <row r="164" spans="1:7" x14ac:dyDescent="0.25">
      <c r="A164">
        <v>158</v>
      </c>
      <c r="G164"/>
    </row>
    <row r="165" spans="1:7" x14ac:dyDescent="0.25">
      <c r="A165">
        <v>159</v>
      </c>
      <c r="G165"/>
    </row>
    <row r="166" spans="1:7" x14ac:dyDescent="0.25">
      <c r="A166">
        <v>160</v>
      </c>
      <c r="G166"/>
    </row>
    <row r="167" spans="1:7" x14ac:dyDescent="0.25">
      <c r="A167">
        <v>161</v>
      </c>
      <c r="G167"/>
    </row>
    <row r="168" spans="1:7" x14ac:dyDescent="0.25">
      <c r="A168">
        <v>162</v>
      </c>
      <c r="G168"/>
    </row>
    <row r="169" spans="1:7" x14ac:dyDescent="0.25">
      <c r="A169">
        <v>163</v>
      </c>
      <c r="G169"/>
    </row>
    <row r="170" spans="1:7" x14ac:dyDescent="0.25">
      <c r="A170">
        <v>164</v>
      </c>
      <c r="G170"/>
    </row>
    <row r="171" spans="1:7" x14ac:dyDescent="0.25">
      <c r="A171">
        <v>165</v>
      </c>
      <c r="G171"/>
    </row>
    <row r="172" spans="1:7" x14ac:dyDescent="0.25">
      <c r="A172">
        <v>166</v>
      </c>
      <c r="G172"/>
    </row>
    <row r="173" spans="1:7" x14ac:dyDescent="0.25">
      <c r="A173">
        <v>167</v>
      </c>
      <c r="G173"/>
    </row>
    <row r="174" spans="1:7" x14ac:dyDescent="0.25">
      <c r="A174">
        <v>168</v>
      </c>
      <c r="G174"/>
    </row>
    <row r="175" spans="1:7" x14ac:dyDescent="0.25">
      <c r="A175">
        <v>169</v>
      </c>
      <c r="G175"/>
    </row>
    <row r="176" spans="1:7" x14ac:dyDescent="0.25">
      <c r="A176">
        <v>170</v>
      </c>
      <c r="G176"/>
    </row>
    <row r="177" spans="1:7" x14ac:dyDescent="0.25">
      <c r="A177">
        <v>171</v>
      </c>
      <c r="G177"/>
    </row>
    <row r="178" spans="1:7" x14ac:dyDescent="0.25">
      <c r="A178">
        <v>172</v>
      </c>
      <c r="G178"/>
    </row>
    <row r="179" spans="1:7" x14ac:dyDescent="0.25">
      <c r="A179">
        <v>173</v>
      </c>
      <c r="G179"/>
    </row>
    <row r="180" spans="1:7" x14ac:dyDescent="0.25">
      <c r="A180">
        <v>174</v>
      </c>
      <c r="G180"/>
    </row>
    <row r="181" spans="1:7" x14ac:dyDescent="0.25">
      <c r="A181">
        <v>175</v>
      </c>
      <c r="G181"/>
    </row>
    <row r="182" spans="1:7" x14ac:dyDescent="0.25">
      <c r="A182">
        <v>176</v>
      </c>
      <c r="G182"/>
    </row>
    <row r="183" spans="1:7" x14ac:dyDescent="0.25">
      <c r="A183">
        <v>177</v>
      </c>
      <c r="G183"/>
    </row>
    <row r="184" spans="1:7" x14ac:dyDescent="0.25">
      <c r="A184">
        <v>178</v>
      </c>
      <c r="G184"/>
    </row>
    <row r="185" spans="1:7" x14ac:dyDescent="0.25">
      <c r="A185">
        <v>179</v>
      </c>
      <c r="G185"/>
    </row>
    <row r="186" spans="1:7" x14ac:dyDescent="0.25">
      <c r="A186">
        <v>180</v>
      </c>
      <c r="G186"/>
    </row>
    <row r="187" spans="1:7" x14ac:dyDescent="0.25">
      <c r="A187">
        <v>181</v>
      </c>
      <c r="G187"/>
    </row>
    <row r="188" spans="1:7" x14ac:dyDescent="0.25">
      <c r="A188">
        <v>182</v>
      </c>
      <c r="G188"/>
    </row>
    <row r="189" spans="1:7" x14ac:dyDescent="0.25">
      <c r="A189">
        <v>183</v>
      </c>
      <c r="G189"/>
    </row>
    <row r="190" spans="1:7" x14ac:dyDescent="0.25">
      <c r="A190">
        <v>184</v>
      </c>
      <c r="G190"/>
    </row>
    <row r="191" spans="1:7" x14ac:dyDescent="0.25">
      <c r="A191">
        <v>185</v>
      </c>
      <c r="G191"/>
    </row>
    <row r="192" spans="1:7" x14ac:dyDescent="0.25">
      <c r="A192">
        <v>186</v>
      </c>
      <c r="G192"/>
    </row>
    <row r="193" spans="1:7" x14ac:dyDescent="0.25">
      <c r="A193">
        <v>187</v>
      </c>
      <c r="G193"/>
    </row>
    <row r="194" spans="1:7" x14ac:dyDescent="0.25">
      <c r="A194">
        <v>188</v>
      </c>
      <c r="G194"/>
    </row>
    <row r="195" spans="1:7" x14ac:dyDescent="0.25">
      <c r="A195">
        <v>189</v>
      </c>
      <c r="G195"/>
    </row>
    <row r="196" spans="1:7" x14ac:dyDescent="0.25">
      <c r="A196">
        <v>190</v>
      </c>
      <c r="G196"/>
    </row>
    <row r="197" spans="1:7" x14ac:dyDescent="0.25">
      <c r="A197">
        <v>191</v>
      </c>
      <c r="G197"/>
    </row>
    <row r="198" spans="1:7" x14ac:dyDescent="0.25">
      <c r="A198">
        <v>192</v>
      </c>
      <c r="G198"/>
    </row>
    <row r="199" spans="1:7" x14ac:dyDescent="0.25">
      <c r="A199">
        <v>193</v>
      </c>
      <c r="G199"/>
    </row>
    <row r="200" spans="1:7" x14ac:dyDescent="0.25">
      <c r="A200">
        <v>194</v>
      </c>
      <c r="G200"/>
    </row>
    <row r="201" spans="1:7" x14ac:dyDescent="0.25">
      <c r="A201">
        <v>195</v>
      </c>
      <c r="G201"/>
    </row>
    <row r="202" spans="1:7" x14ac:dyDescent="0.25">
      <c r="A202">
        <v>196</v>
      </c>
      <c r="G202"/>
    </row>
    <row r="203" spans="1:7" x14ac:dyDescent="0.25">
      <c r="A203">
        <v>197</v>
      </c>
      <c r="G203"/>
    </row>
    <row r="204" spans="1:7" x14ac:dyDescent="0.25">
      <c r="A204">
        <v>198</v>
      </c>
      <c r="G204"/>
    </row>
    <row r="205" spans="1:7" x14ac:dyDescent="0.25">
      <c r="A205">
        <v>199</v>
      </c>
      <c r="G205"/>
    </row>
    <row r="206" spans="1:7" x14ac:dyDescent="0.25">
      <c r="A206">
        <v>200</v>
      </c>
      <c r="G206"/>
    </row>
    <row r="207" spans="1:7" x14ac:dyDescent="0.25">
      <c r="A207">
        <v>201</v>
      </c>
      <c r="G207"/>
    </row>
    <row r="208" spans="1:7" x14ac:dyDescent="0.25">
      <c r="A208">
        <v>202</v>
      </c>
      <c r="G208"/>
    </row>
    <row r="209" spans="1:7" x14ac:dyDescent="0.25">
      <c r="A209">
        <v>203</v>
      </c>
      <c r="G209"/>
    </row>
    <row r="210" spans="1:7" x14ac:dyDescent="0.25">
      <c r="A210">
        <v>204</v>
      </c>
      <c r="G210"/>
    </row>
    <row r="211" spans="1:7" x14ac:dyDescent="0.25">
      <c r="A211">
        <v>205</v>
      </c>
      <c r="G211"/>
    </row>
    <row r="212" spans="1:7" x14ac:dyDescent="0.25">
      <c r="A212">
        <v>206</v>
      </c>
      <c r="G212"/>
    </row>
    <row r="213" spans="1:7" x14ac:dyDescent="0.25">
      <c r="A213">
        <v>207</v>
      </c>
      <c r="G213"/>
    </row>
    <row r="214" spans="1:7" x14ac:dyDescent="0.25">
      <c r="A214">
        <v>208</v>
      </c>
      <c r="G214"/>
    </row>
    <row r="215" spans="1:7" x14ac:dyDescent="0.25">
      <c r="A215">
        <v>209</v>
      </c>
      <c r="G215"/>
    </row>
    <row r="216" spans="1:7" x14ac:dyDescent="0.25">
      <c r="A216">
        <v>210</v>
      </c>
      <c r="G216"/>
    </row>
    <row r="217" spans="1:7" x14ac:dyDescent="0.25">
      <c r="A217">
        <v>211</v>
      </c>
      <c r="G217"/>
    </row>
    <row r="218" spans="1:7" x14ac:dyDescent="0.25">
      <c r="A218">
        <v>212</v>
      </c>
      <c r="G218"/>
    </row>
    <row r="219" spans="1:7" x14ac:dyDescent="0.25">
      <c r="A219">
        <v>213</v>
      </c>
      <c r="G219"/>
    </row>
    <row r="220" spans="1:7" x14ac:dyDescent="0.25">
      <c r="A220">
        <v>214</v>
      </c>
      <c r="G220"/>
    </row>
    <row r="221" spans="1:7" x14ac:dyDescent="0.25">
      <c r="A221">
        <v>215</v>
      </c>
      <c r="G221"/>
    </row>
    <row r="222" spans="1:7" x14ac:dyDescent="0.25">
      <c r="A222">
        <v>216</v>
      </c>
      <c r="G222"/>
    </row>
    <row r="223" spans="1:7" x14ac:dyDescent="0.25">
      <c r="A223">
        <v>217</v>
      </c>
      <c r="G223"/>
    </row>
    <row r="224" spans="1:7" x14ac:dyDescent="0.25">
      <c r="A224">
        <v>218</v>
      </c>
      <c r="G224"/>
    </row>
    <row r="225" spans="1:7" x14ac:dyDescent="0.25">
      <c r="A225">
        <v>219</v>
      </c>
      <c r="G225"/>
    </row>
    <row r="226" spans="1:7" x14ac:dyDescent="0.25">
      <c r="A226">
        <v>220</v>
      </c>
      <c r="G226"/>
    </row>
    <row r="227" spans="1:7" x14ac:dyDescent="0.25">
      <c r="A227">
        <v>221</v>
      </c>
      <c r="G227"/>
    </row>
    <row r="228" spans="1:7" x14ac:dyDescent="0.25">
      <c r="A228">
        <v>222</v>
      </c>
      <c r="G228"/>
    </row>
    <row r="229" spans="1:7" x14ac:dyDescent="0.25">
      <c r="A229">
        <v>223</v>
      </c>
      <c r="G229"/>
    </row>
    <row r="230" spans="1:7" x14ac:dyDescent="0.25">
      <c r="A230">
        <v>224</v>
      </c>
      <c r="G230"/>
    </row>
    <row r="231" spans="1:7" x14ac:dyDescent="0.25">
      <c r="A231">
        <v>225</v>
      </c>
      <c r="G231"/>
    </row>
    <row r="232" spans="1:7" x14ac:dyDescent="0.25">
      <c r="A232">
        <v>226</v>
      </c>
      <c r="G232"/>
    </row>
    <row r="233" spans="1:7" x14ac:dyDescent="0.25">
      <c r="A233">
        <v>227</v>
      </c>
      <c r="G233"/>
    </row>
    <row r="234" spans="1:7" x14ac:dyDescent="0.25">
      <c r="A234">
        <v>228</v>
      </c>
      <c r="G234"/>
    </row>
    <row r="235" spans="1:7" x14ac:dyDescent="0.25">
      <c r="A235">
        <v>229</v>
      </c>
      <c r="G235"/>
    </row>
    <row r="236" spans="1:7" x14ac:dyDescent="0.25">
      <c r="A236">
        <v>230</v>
      </c>
      <c r="G236"/>
    </row>
    <row r="237" spans="1:7" x14ac:dyDescent="0.25">
      <c r="A237">
        <v>231</v>
      </c>
      <c r="G237"/>
    </row>
    <row r="238" spans="1:7" x14ac:dyDescent="0.25">
      <c r="A238">
        <v>232</v>
      </c>
      <c r="G238"/>
    </row>
    <row r="239" spans="1:7" x14ac:dyDescent="0.25">
      <c r="A239">
        <v>233</v>
      </c>
      <c r="G239"/>
    </row>
    <row r="240" spans="1:7" x14ac:dyDescent="0.25">
      <c r="A240">
        <v>234</v>
      </c>
      <c r="G240"/>
    </row>
    <row r="241" spans="1:7" x14ac:dyDescent="0.25">
      <c r="A241">
        <v>235</v>
      </c>
      <c r="G241"/>
    </row>
    <row r="242" spans="1:7" x14ac:dyDescent="0.25">
      <c r="A242">
        <v>236</v>
      </c>
      <c r="G242"/>
    </row>
    <row r="243" spans="1:7" x14ac:dyDescent="0.25">
      <c r="A243">
        <v>237</v>
      </c>
      <c r="G243"/>
    </row>
    <row r="244" spans="1:7" x14ac:dyDescent="0.25">
      <c r="A244">
        <v>238</v>
      </c>
      <c r="G244"/>
    </row>
    <row r="245" spans="1:7" x14ac:dyDescent="0.25">
      <c r="A245">
        <v>239</v>
      </c>
      <c r="G245"/>
    </row>
    <row r="246" spans="1:7" x14ac:dyDescent="0.25">
      <c r="A246">
        <v>240</v>
      </c>
      <c r="G246"/>
    </row>
    <row r="247" spans="1:7" x14ac:dyDescent="0.25">
      <c r="A247">
        <v>241</v>
      </c>
      <c r="G247"/>
    </row>
    <row r="248" spans="1:7" x14ac:dyDescent="0.25">
      <c r="A248">
        <v>242</v>
      </c>
      <c r="G248"/>
    </row>
    <row r="249" spans="1:7" x14ac:dyDescent="0.25">
      <c r="A249">
        <v>243</v>
      </c>
      <c r="G249"/>
    </row>
    <row r="250" spans="1:7" x14ac:dyDescent="0.25">
      <c r="A250">
        <v>244</v>
      </c>
      <c r="G250"/>
    </row>
    <row r="251" spans="1:7" x14ac:dyDescent="0.25">
      <c r="A251">
        <v>245</v>
      </c>
      <c r="G251"/>
    </row>
    <row r="252" spans="1:7" x14ac:dyDescent="0.25">
      <c r="A252">
        <v>246</v>
      </c>
      <c r="G252"/>
    </row>
    <row r="253" spans="1:7" x14ac:dyDescent="0.25">
      <c r="A253">
        <v>247</v>
      </c>
      <c r="G253"/>
    </row>
    <row r="254" spans="1:7" x14ac:dyDescent="0.25">
      <c r="A254">
        <v>248</v>
      </c>
      <c r="G254"/>
    </row>
    <row r="255" spans="1:7" x14ac:dyDescent="0.25">
      <c r="A255">
        <v>249</v>
      </c>
      <c r="G255"/>
    </row>
    <row r="256" spans="1:7" x14ac:dyDescent="0.25">
      <c r="A256">
        <v>250</v>
      </c>
      <c r="G256"/>
    </row>
    <row r="257" spans="1:7" x14ac:dyDescent="0.25">
      <c r="A257">
        <v>251</v>
      </c>
      <c r="G257"/>
    </row>
    <row r="258" spans="1:7" x14ac:dyDescent="0.25">
      <c r="A258">
        <v>252</v>
      </c>
      <c r="G258"/>
    </row>
    <row r="259" spans="1:7" x14ac:dyDescent="0.25">
      <c r="A259">
        <v>253</v>
      </c>
      <c r="G259"/>
    </row>
    <row r="260" spans="1:7" x14ac:dyDescent="0.25">
      <c r="A260">
        <v>254</v>
      </c>
      <c r="G260"/>
    </row>
    <row r="261" spans="1:7" x14ac:dyDescent="0.25">
      <c r="A261">
        <v>255</v>
      </c>
      <c r="G261"/>
    </row>
    <row r="262" spans="1:7" x14ac:dyDescent="0.25">
      <c r="A262">
        <v>256</v>
      </c>
      <c r="G262"/>
    </row>
    <row r="263" spans="1:7" x14ac:dyDescent="0.25">
      <c r="A263">
        <v>257</v>
      </c>
      <c r="G263"/>
    </row>
    <row r="264" spans="1:7" x14ac:dyDescent="0.25">
      <c r="A264">
        <v>258</v>
      </c>
      <c r="G264"/>
    </row>
    <row r="265" spans="1:7" x14ac:dyDescent="0.25">
      <c r="A265">
        <v>259</v>
      </c>
      <c r="G265"/>
    </row>
    <row r="266" spans="1:7" x14ac:dyDescent="0.25">
      <c r="A266">
        <v>260</v>
      </c>
      <c r="G266"/>
    </row>
    <row r="267" spans="1:7" x14ac:dyDescent="0.25">
      <c r="A267">
        <v>261</v>
      </c>
      <c r="G267"/>
    </row>
    <row r="268" spans="1:7" x14ac:dyDescent="0.25">
      <c r="A268">
        <v>262</v>
      </c>
      <c r="G268"/>
    </row>
    <row r="269" spans="1:7" x14ac:dyDescent="0.25">
      <c r="A269">
        <v>263</v>
      </c>
      <c r="G269"/>
    </row>
    <row r="270" spans="1:7" x14ac:dyDescent="0.25">
      <c r="A270">
        <v>264</v>
      </c>
      <c r="G270"/>
    </row>
    <row r="271" spans="1:7" x14ac:dyDescent="0.25">
      <c r="A271">
        <v>265</v>
      </c>
      <c r="G271"/>
    </row>
    <row r="272" spans="1:7" x14ac:dyDescent="0.25">
      <c r="A272">
        <v>266</v>
      </c>
      <c r="G272"/>
    </row>
    <row r="273" spans="1:7" x14ac:dyDescent="0.25">
      <c r="A273">
        <v>267</v>
      </c>
      <c r="G273"/>
    </row>
    <row r="274" spans="1:7" x14ac:dyDescent="0.25">
      <c r="A274">
        <v>268</v>
      </c>
      <c r="G274"/>
    </row>
    <row r="275" spans="1:7" x14ac:dyDescent="0.25">
      <c r="A275">
        <v>269</v>
      </c>
      <c r="G275"/>
    </row>
    <row r="276" spans="1:7" x14ac:dyDescent="0.25">
      <c r="A276">
        <v>270</v>
      </c>
      <c r="G276"/>
    </row>
    <row r="277" spans="1:7" x14ac:dyDescent="0.25">
      <c r="A277">
        <v>271</v>
      </c>
      <c r="G277"/>
    </row>
    <row r="278" spans="1:7" x14ac:dyDescent="0.25">
      <c r="A278">
        <v>272</v>
      </c>
      <c r="G278"/>
    </row>
    <row r="279" spans="1:7" x14ac:dyDescent="0.25">
      <c r="A279">
        <v>273</v>
      </c>
      <c r="G279"/>
    </row>
    <row r="280" spans="1:7" x14ac:dyDescent="0.25">
      <c r="A280">
        <v>274</v>
      </c>
      <c r="G280"/>
    </row>
    <row r="281" spans="1:7" x14ac:dyDescent="0.25">
      <c r="A281">
        <v>275</v>
      </c>
      <c r="G281"/>
    </row>
    <row r="282" spans="1:7" x14ac:dyDescent="0.25">
      <c r="A282">
        <v>276</v>
      </c>
      <c r="G282"/>
    </row>
    <row r="283" spans="1:7" x14ac:dyDescent="0.25">
      <c r="A283">
        <v>277</v>
      </c>
      <c r="G283"/>
    </row>
    <row r="284" spans="1:7" x14ac:dyDescent="0.25">
      <c r="A284">
        <v>278</v>
      </c>
      <c r="G284"/>
    </row>
    <row r="285" spans="1:7" x14ac:dyDescent="0.25">
      <c r="A285">
        <v>279</v>
      </c>
      <c r="G285"/>
    </row>
    <row r="286" spans="1:7" x14ac:dyDescent="0.25">
      <c r="A286">
        <v>280</v>
      </c>
      <c r="G286"/>
    </row>
    <row r="287" spans="1:7" x14ac:dyDescent="0.25">
      <c r="A287">
        <v>281</v>
      </c>
      <c r="G287"/>
    </row>
    <row r="288" spans="1:7" x14ac:dyDescent="0.25">
      <c r="A288">
        <v>282</v>
      </c>
      <c r="G288"/>
    </row>
    <row r="289" spans="1:7" x14ac:dyDescent="0.25">
      <c r="A289">
        <v>283</v>
      </c>
      <c r="G289"/>
    </row>
    <row r="290" spans="1:7" x14ac:dyDescent="0.25">
      <c r="A290">
        <v>284</v>
      </c>
      <c r="G290"/>
    </row>
    <row r="291" spans="1:7" x14ac:dyDescent="0.25">
      <c r="A291">
        <v>285</v>
      </c>
      <c r="G291"/>
    </row>
    <row r="292" spans="1:7" x14ac:dyDescent="0.25">
      <c r="A292">
        <v>286</v>
      </c>
      <c r="G292"/>
    </row>
    <row r="293" spans="1:7" x14ac:dyDescent="0.25">
      <c r="A293">
        <v>287</v>
      </c>
      <c r="G293"/>
    </row>
    <row r="294" spans="1:7" x14ac:dyDescent="0.25">
      <c r="A294">
        <v>288</v>
      </c>
      <c r="G294"/>
    </row>
    <row r="295" spans="1:7" x14ac:dyDescent="0.25">
      <c r="A295">
        <v>289</v>
      </c>
      <c r="G295"/>
    </row>
    <row r="296" spans="1:7" x14ac:dyDescent="0.25">
      <c r="A296">
        <v>290</v>
      </c>
      <c r="G296"/>
    </row>
    <row r="297" spans="1:7" x14ac:dyDescent="0.25">
      <c r="A297">
        <v>291</v>
      </c>
      <c r="G297"/>
    </row>
    <row r="298" spans="1:7" x14ac:dyDescent="0.25">
      <c r="A298">
        <v>292</v>
      </c>
      <c r="G298"/>
    </row>
    <row r="299" spans="1:7" x14ac:dyDescent="0.25">
      <c r="A299">
        <v>293</v>
      </c>
      <c r="G299"/>
    </row>
    <row r="300" spans="1:7" x14ac:dyDescent="0.25">
      <c r="A300">
        <v>294</v>
      </c>
      <c r="G300"/>
    </row>
    <row r="301" spans="1:7" x14ac:dyDescent="0.25">
      <c r="A301">
        <v>295</v>
      </c>
      <c r="G301"/>
    </row>
    <row r="302" spans="1:7" x14ac:dyDescent="0.25">
      <c r="A302">
        <v>296</v>
      </c>
      <c r="G302"/>
    </row>
    <row r="303" spans="1:7" x14ac:dyDescent="0.25">
      <c r="A303">
        <v>297</v>
      </c>
      <c r="G303"/>
    </row>
    <row r="304" spans="1:7" x14ac:dyDescent="0.25">
      <c r="A304">
        <v>298</v>
      </c>
      <c r="G304"/>
    </row>
    <row r="305" spans="1:7" x14ac:dyDescent="0.25">
      <c r="A305">
        <v>299</v>
      </c>
      <c r="G305"/>
    </row>
    <row r="306" spans="1:7" x14ac:dyDescent="0.25">
      <c r="A306">
        <v>300</v>
      </c>
      <c r="G306"/>
    </row>
    <row r="307" spans="1:7" x14ac:dyDescent="0.25">
      <c r="A307">
        <v>301</v>
      </c>
      <c r="G307"/>
    </row>
    <row r="308" spans="1:7" x14ac:dyDescent="0.25">
      <c r="A308">
        <v>302</v>
      </c>
      <c r="G308"/>
    </row>
    <row r="309" spans="1:7" x14ac:dyDescent="0.25">
      <c r="A309">
        <v>303</v>
      </c>
      <c r="G309"/>
    </row>
    <row r="310" spans="1:7" x14ac:dyDescent="0.25">
      <c r="A310">
        <v>304</v>
      </c>
      <c r="G310"/>
    </row>
    <row r="311" spans="1:7" x14ac:dyDescent="0.25">
      <c r="A311">
        <v>305</v>
      </c>
      <c r="G311"/>
    </row>
    <row r="312" spans="1:7" x14ac:dyDescent="0.25">
      <c r="A312">
        <v>306</v>
      </c>
      <c r="G312"/>
    </row>
    <row r="313" spans="1:7" x14ac:dyDescent="0.25">
      <c r="A313">
        <v>307</v>
      </c>
      <c r="G313"/>
    </row>
    <row r="314" spans="1:7" x14ac:dyDescent="0.25">
      <c r="A314">
        <v>308</v>
      </c>
      <c r="G314"/>
    </row>
    <row r="315" spans="1:7" x14ac:dyDescent="0.25">
      <c r="A315">
        <v>309</v>
      </c>
      <c r="G315"/>
    </row>
    <row r="316" spans="1:7" x14ac:dyDescent="0.25">
      <c r="A316">
        <v>310</v>
      </c>
      <c r="G316"/>
    </row>
    <row r="317" spans="1:7" x14ac:dyDescent="0.25">
      <c r="A317">
        <v>311</v>
      </c>
      <c r="G317"/>
    </row>
    <row r="318" spans="1:7" x14ac:dyDescent="0.25">
      <c r="A318">
        <v>312</v>
      </c>
      <c r="G318"/>
    </row>
    <row r="319" spans="1:7" x14ac:dyDescent="0.25">
      <c r="A319">
        <v>313</v>
      </c>
      <c r="G319"/>
    </row>
    <row r="320" spans="1:7" x14ac:dyDescent="0.25">
      <c r="A320">
        <v>314</v>
      </c>
      <c r="G320"/>
    </row>
    <row r="321" spans="1:7" x14ac:dyDescent="0.25">
      <c r="A321">
        <v>315</v>
      </c>
      <c r="G321"/>
    </row>
    <row r="322" spans="1:7" x14ac:dyDescent="0.25">
      <c r="A322">
        <v>316</v>
      </c>
      <c r="G322"/>
    </row>
    <row r="323" spans="1:7" x14ac:dyDescent="0.25">
      <c r="A323">
        <v>317</v>
      </c>
      <c r="G323"/>
    </row>
    <row r="324" spans="1:7" x14ac:dyDescent="0.25">
      <c r="A324">
        <v>318</v>
      </c>
      <c r="G324"/>
    </row>
    <row r="325" spans="1:7" x14ac:dyDescent="0.25">
      <c r="A325">
        <v>319</v>
      </c>
      <c r="G325"/>
    </row>
    <row r="326" spans="1:7" x14ac:dyDescent="0.25">
      <c r="A326">
        <v>320</v>
      </c>
      <c r="G326"/>
    </row>
    <row r="327" spans="1:7" x14ac:dyDescent="0.25">
      <c r="A327">
        <v>321</v>
      </c>
      <c r="G327"/>
    </row>
    <row r="328" spans="1:7" x14ac:dyDescent="0.25">
      <c r="A328">
        <v>322</v>
      </c>
      <c r="G328"/>
    </row>
    <row r="329" spans="1:7" x14ac:dyDescent="0.25">
      <c r="A329">
        <v>323</v>
      </c>
      <c r="G329"/>
    </row>
    <row r="330" spans="1:7" x14ac:dyDescent="0.25">
      <c r="A330">
        <v>324</v>
      </c>
      <c r="G330"/>
    </row>
    <row r="331" spans="1:7" x14ac:dyDescent="0.25">
      <c r="A331">
        <v>325</v>
      </c>
      <c r="G331"/>
    </row>
    <row r="332" spans="1:7" x14ac:dyDescent="0.25">
      <c r="A332">
        <v>326</v>
      </c>
      <c r="G332"/>
    </row>
    <row r="333" spans="1:7" x14ac:dyDescent="0.25">
      <c r="A333">
        <v>327</v>
      </c>
      <c r="G333"/>
    </row>
    <row r="334" spans="1:7" x14ac:dyDescent="0.25">
      <c r="A334">
        <v>328</v>
      </c>
      <c r="G334"/>
    </row>
    <row r="335" spans="1:7" x14ac:dyDescent="0.25">
      <c r="A335">
        <v>329</v>
      </c>
      <c r="G335"/>
    </row>
    <row r="336" spans="1:7" x14ac:dyDescent="0.25">
      <c r="A336">
        <v>330</v>
      </c>
      <c r="G336"/>
    </row>
    <row r="337" spans="1:7" x14ac:dyDescent="0.25">
      <c r="A337">
        <v>331</v>
      </c>
      <c r="G337"/>
    </row>
    <row r="338" spans="1:7" x14ac:dyDescent="0.25">
      <c r="A338">
        <v>332</v>
      </c>
      <c r="G338"/>
    </row>
    <row r="339" spans="1:7" x14ac:dyDescent="0.25">
      <c r="A339">
        <v>333</v>
      </c>
      <c r="G339"/>
    </row>
    <row r="340" spans="1:7" x14ac:dyDescent="0.25">
      <c r="A340">
        <v>334</v>
      </c>
      <c r="G340"/>
    </row>
    <row r="341" spans="1:7" x14ac:dyDescent="0.25">
      <c r="A341">
        <v>335</v>
      </c>
      <c r="G341"/>
    </row>
    <row r="342" spans="1:7" x14ac:dyDescent="0.25">
      <c r="A342">
        <v>336</v>
      </c>
      <c r="G342"/>
    </row>
    <row r="343" spans="1:7" x14ac:dyDescent="0.25">
      <c r="A343">
        <v>337</v>
      </c>
      <c r="G343"/>
    </row>
    <row r="344" spans="1:7" x14ac:dyDescent="0.25">
      <c r="A344">
        <v>338</v>
      </c>
      <c r="G344"/>
    </row>
    <row r="345" spans="1:7" x14ac:dyDescent="0.25">
      <c r="A345">
        <v>339</v>
      </c>
      <c r="G345"/>
    </row>
    <row r="346" spans="1:7" x14ac:dyDescent="0.25">
      <c r="A346">
        <v>340</v>
      </c>
      <c r="G346"/>
    </row>
    <row r="347" spans="1:7" x14ac:dyDescent="0.25">
      <c r="A347">
        <v>341</v>
      </c>
      <c r="G347"/>
    </row>
    <row r="348" spans="1:7" x14ac:dyDescent="0.25">
      <c r="A348">
        <v>342</v>
      </c>
      <c r="G348"/>
    </row>
    <row r="349" spans="1:7" x14ac:dyDescent="0.25">
      <c r="A349">
        <v>343</v>
      </c>
      <c r="G349"/>
    </row>
    <row r="350" spans="1:7" x14ac:dyDescent="0.25">
      <c r="A350">
        <v>344</v>
      </c>
      <c r="G350"/>
    </row>
    <row r="351" spans="1:7" x14ac:dyDescent="0.25">
      <c r="A351">
        <v>345</v>
      </c>
      <c r="G351"/>
    </row>
    <row r="352" spans="1:7" x14ac:dyDescent="0.25">
      <c r="A352">
        <v>346</v>
      </c>
      <c r="G352"/>
    </row>
    <row r="353" spans="1:7" x14ac:dyDescent="0.25">
      <c r="A353">
        <v>347</v>
      </c>
      <c r="G353"/>
    </row>
    <row r="354" spans="1:7" x14ac:dyDescent="0.25">
      <c r="A354">
        <v>348</v>
      </c>
      <c r="G354"/>
    </row>
    <row r="355" spans="1:7" x14ac:dyDescent="0.25">
      <c r="A355">
        <v>349</v>
      </c>
      <c r="G355"/>
    </row>
    <row r="356" spans="1:7" x14ac:dyDescent="0.25">
      <c r="A356">
        <v>350</v>
      </c>
      <c r="G356"/>
    </row>
    <row r="357" spans="1:7" x14ac:dyDescent="0.25">
      <c r="A357">
        <v>351</v>
      </c>
      <c r="G357"/>
    </row>
    <row r="358" spans="1:7" x14ac:dyDescent="0.25">
      <c r="A358">
        <v>352</v>
      </c>
      <c r="G358"/>
    </row>
    <row r="359" spans="1:7" x14ac:dyDescent="0.25">
      <c r="A359">
        <v>353</v>
      </c>
      <c r="G359"/>
    </row>
    <row r="360" spans="1:7" x14ac:dyDescent="0.25">
      <c r="A360">
        <v>354</v>
      </c>
      <c r="G360"/>
    </row>
    <row r="361" spans="1:7" x14ac:dyDescent="0.25">
      <c r="A361">
        <v>355</v>
      </c>
      <c r="G361"/>
    </row>
    <row r="362" spans="1:7" x14ac:dyDescent="0.25">
      <c r="A362">
        <v>356</v>
      </c>
      <c r="G362"/>
    </row>
    <row r="363" spans="1:7" x14ac:dyDescent="0.25">
      <c r="A363">
        <v>357</v>
      </c>
      <c r="G363"/>
    </row>
    <row r="364" spans="1:7" x14ac:dyDescent="0.25">
      <c r="A364">
        <v>358</v>
      </c>
      <c r="G364"/>
    </row>
    <row r="365" spans="1:7" x14ac:dyDescent="0.25">
      <c r="A365">
        <v>359</v>
      </c>
      <c r="G365"/>
    </row>
    <row r="366" spans="1:7" x14ac:dyDescent="0.25">
      <c r="A366">
        <v>360</v>
      </c>
      <c r="G366"/>
    </row>
    <row r="367" spans="1:7" x14ac:dyDescent="0.25">
      <c r="A367">
        <v>361</v>
      </c>
      <c r="G367"/>
    </row>
    <row r="368" spans="1:7" x14ac:dyDescent="0.25">
      <c r="A368">
        <v>362</v>
      </c>
      <c r="G368"/>
    </row>
    <row r="369" spans="1:7" x14ac:dyDescent="0.25">
      <c r="A369">
        <v>363</v>
      </c>
      <c r="G369"/>
    </row>
    <row r="370" spans="1:7" x14ac:dyDescent="0.25">
      <c r="A370">
        <v>364</v>
      </c>
      <c r="G370"/>
    </row>
    <row r="371" spans="1:7" x14ac:dyDescent="0.25">
      <c r="A371">
        <v>365</v>
      </c>
      <c r="G371"/>
    </row>
    <row r="372" spans="1:7" x14ac:dyDescent="0.25">
      <c r="A372">
        <v>366</v>
      </c>
      <c r="G372"/>
    </row>
    <row r="373" spans="1:7" x14ac:dyDescent="0.25">
      <c r="A373">
        <v>367</v>
      </c>
      <c r="G373"/>
    </row>
    <row r="374" spans="1:7" x14ac:dyDescent="0.25">
      <c r="A374">
        <v>368</v>
      </c>
      <c r="G374"/>
    </row>
    <row r="375" spans="1:7" x14ac:dyDescent="0.25">
      <c r="A375">
        <v>369</v>
      </c>
      <c r="G375"/>
    </row>
    <row r="376" spans="1:7" x14ac:dyDescent="0.25">
      <c r="A376">
        <v>370</v>
      </c>
      <c r="G376"/>
    </row>
    <row r="377" spans="1:7" x14ac:dyDescent="0.25">
      <c r="A377">
        <v>371</v>
      </c>
      <c r="G377"/>
    </row>
    <row r="378" spans="1:7" x14ac:dyDescent="0.25">
      <c r="A378">
        <v>372</v>
      </c>
      <c r="G378"/>
    </row>
    <row r="379" spans="1:7" x14ac:dyDescent="0.25">
      <c r="A379">
        <v>373</v>
      </c>
      <c r="G379"/>
    </row>
    <row r="380" spans="1:7" x14ac:dyDescent="0.25">
      <c r="A380">
        <v>374</v>
      </c>
      <c r="G380"/>
    </row>
    <row r="381" spans="1:7" x14ac:dyDescent="0.25">
      <c r="A381">
        <v>375</v>
      </c>
      <c r="G381"/>
    </row>
    <row r="382" spans="1:7" x14ac:dyDescent="0.25">
      <c r="A382">
        <v>376</v>
      </c>
      <c r="G382"/>
    </row>
    <row r="383" spans="1:7" x14ac:dyDescent="0.25">
      <c r="A383">
        <v>377</v>
      </c>
      <c r="G383"/>
    </row>
    <row r="384" spans="1:7" x14ac:dyDescent="0.25">
      <c r="A384">
        <v>378</v>
      </c>
      <c r="G384"/>
    </row>
    <row r="385" spans="1:7" x14ac:dyDescent="0.25">
      <c r="A385">
        <v>379</v>
      </c>
      <c r="G385"/>
    </row>
    <row r="386" spans="1:7" x14ac:dyDescent="0.25">
      <c r="A386">
        <v>380</v>
      </c>
      <c r="G386"/>
    </row>
    <row r="387" spans="1:7" x14ac:dyDescent="0.25">
      <c r="A387">
        <v>381</v>
      </c>
      <c r="G387"/>
    </row>
    <row r="388" spans="1:7" x14ac:dyDescent="0.25">
      <c r="A388">
        <v>382</v>
      </c>
      <c r="G388"/>
    </row>
    <row r="389" spans="1:7" x14ac:dyDescent="0.25">
      <c r="A389">
        <v>383</v>
      </c>
      <c r="G389"/>
    </row>
    <row r="390" spans="1:7" x14ac:dyDescent="0.25">
      <c r="A390">
        <v>384</v>
      </c>
      <c r="G390"/>
    </row>
    <row r="391" spans="1:7" x14ac:dyDescent="0.25">
      <c r="A391">
        <v>385</v>
      </c>
      <c r="G391"/>
    </row>
    <row r="392" spans="1:7" x14ac:dyDescent="0.25">
      <c r="A392">
        <v>386</v>
      </c>
      <c r="G392"/>
    </row>
    <row r="393" spans="1:7" x14ac:dyDescent="0.25">
      <c r="A393">
        <v>387</v>
      </c>
      <c r="G393"/>
    </row>
    <row r="394" spans="1:7" x14ac:dyDescent="0.25">
      <c r="A394">
        <v>388</v>
      </c>
      <c r="G394"/>
    </row>
    <row r="395" spans="1:7" x14ac:dyDescent="0.25">
      <c r="A395">
        <v>389</v>
      </c>
      <c r="G395"/>
    </row>
    <row r="396" spans="1:7" x14ac:dyDescent="0.25">
      <c r="A396">
        <v>390</v>
      </c>
      <c r="G396"/>
    </row>
    <row r="397" spans="1:7" x14ac:dyDescent="0.25">
      <c r="A397">
        <v>391</v>
      </c>
      <c r="G397"/>
    </row>
    <row r="398" spans="1:7" x14ac:dyDescent="0.25">
      <c r="A398">
        <v>392</v>
      </c>
      <c r="G398"/>
    </row>
    <row r="399" spans="1:7" x14ac:dyDescent="0.25">
      <c r="A399">
        <v>393</v>
      </c>
      <c r="G399"/>
    </row>
    <row r="400" spans="1:7" x14ac:dyDescent="0.25">
      <c r="A400">
        <v>394</v>
      </c>
      <c r="G400"/>
    </row>
    <row r="401" spans="1:7" x14ac:dyDescent="0.25">
      <c r="A401">
        <v>395</v>
      </c>
      <c r="G401"/>
    </row>
    <row r="402" spans="1:7" x14ac:dyDescent="0.25">
      <c r="A402">
        <v>396</v>
      </c>
      <c r="G402"/>
    </row>
    <row r="403" spans="1:7" x14ac:dyDescent="0.25">
      <c r="A403">
        <v>397</v>
      </c>
      <c r="G403"/>
    </row>
    <row r="404" spans="1:7" x14ac:dyDescent="0.25">
      <c r="A404">
        <v>398</v>
      </c>
      <c r="G404"/>
    </row>
    <row r="405" spans="1:7" x14ac:dyDescent="0.25">
      <c r="A405">
        <v>399</v>
      </c>
      <c r="G405"/>
    </row>
    <row r="406" spans="1:7" x14ac:dyDescent="0.25">
      <c r="A406">
        <v>400</v>
      </c>
      <c r="G406"/>
    </row>
    <row r="407" spans="1:7" x14ac:dyDescent="0.25">
      <c r="A407">
        <v>401</v>
      </c>
      <c r="G407"/>
    </row>
    <row r="408" spans="1:7" x14ac:dyDescent="0.25">
      <c r="A408">
        <v>402</v>
      </c>
      <c r="G408"/>
    </row>
    <row r="409" spans="1:7" x14ac:dyDescent="0.25">
      <c r="A409">
        <v>403</v>
      </c>
      <c r="G409"/>
    </row>
    <row r="410" spans="1:7" x14ac:dyDescent="0.25">
      <c r="A410">
        <v>404</v>
      </c>
      <c r="G410"/>
    </row>
    <row r="411" spans="1:7" x14ac:dyDescent="0.25">
      <c r="A411">
        <v>405</v>
      </c>
      <c r="G411"/>
    </row>
    <row r="412" spans="1:7" x14ac:dyDescent="0.25">
      <c r="A412">
        <v>406</v>
      </c>
      <c r="G412"/>
    </row>
    <row r="413" spans="1:7" x14ac:dyDescent="0.25">
      <c r="A413">
        <v>407</v>
      </c>
      <c r="G413"/>
    </row>
    <row r="414" spans="1:7" x14ac:dyDescent="0.25">
      <c r="A414">
        <v>408</v>
      </c>
      <c r="G414"/>
    </row>
    <row r="415" spans="1:7" x14ac:dyDescent="0.25">
      <c r="A415">
        <v>409</v>
      </c>
      <c r="G415"/>
    </row>
    <row r="416" spans="1:7" x14ac:dyDescent="0.25">
      <c r="A416">
        <v>410</v>
      </c>
      <c r="G416"/>
    </row>
    <row r="417" spans="1:7" x14ac:dyDescent="0.25">
      <c r="A417">
        <v>411</v>
      </c>
      <c r="G417"/>
    </row>
    <row r="418" spans="1:7" x14ac:dyDescent="0.25">
      <c r="A418">
        <v>412</v>
      </c>
      <c r="G418"/>
    </row>
    <row r="419" spans="1:7" x14ac:dyDescent="0.25">
      <c r="A419">
        <v>413</v>
      </c>
      <c r="G419"/>
    </row>
    <row r="420" spans="1:7" x14ac:dyDescent="0.25">
      <c r="A420">
        <v>414</v>
      </c>
      <c r="G420"/>
    </row>
    <row r="421" spans="1:7" x14ac:dyDescent="0.25">
      <c r="G421"/>
    </row>
    <row r="422" spans="1:7" x14ac:dyDescent="0.25">
      <c r="G422"/>
    </row>
    <row r="423" spans="1:7" x14ac:dyDescent="0.25">
      <c r="G423"/>
    </row>
    <row r="424" spans="1:7" x14ac:dyDescent="0.25">
      <c r="G424"/>
    </row>
    <row r="425" spans="1:7" x14ac:dyDescent="0.25">
      <c r="G425"/>
    </row>
    <row r="426" spans="1:7" x14ac:dyDescent="0.25">
      <c r="G426"/>
    </row>
    <row r="427" spans="1:7" x14ac:dyDescent="0.25">
      <c r="G427"/>
    </row>
    <row r="428" spans="1:7" x14ac:dyDescent="0.25">
      <c r="G428"/>
    </row>
    <row r="429" spans="1:7" x14ac:dyDescent="0.25">
      <c r="G429"/>
    </row>
    <row r="430" spans="1:7" x14ac:dyDescent="0.25">
      <c r="G430"/>
    </row>
    <row r="431" spans="1:7" x14ac:dyDescent="0.25">
      <c r="G431"/>
    </row>
    <row r="432" spans="1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7C0AF-F4C4-47C9-901D-FC28D26DF7C3}">
  <sheetPr>
    <tabColor theme="6"/>
  </sheetPr>
  <dimension ref="A2:I529"/>
  <sheetViews>
    <sheetView workbookViewId="0">
      <selection activeCell="C36" sqref="C36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5" width="12.5703125" bestFit="1" customWidth="1"/>
    <col min="6" max="6" width="18" bestFit="1" customWidth="1"/>
    <col min="7" max="7" width="17.140625" style="6" bestFit="1" customWidth="1"/>
    <col min="8" max="8" width="20.5703125" bestFit="1" customWidth="1"/>
    <col min="9" max="9" width="14.42578125" bestFit="1" customWidth="1"/>
  </cols>
  <sheetData>
    <row r="2" spans="1:9" x14ac:dyDescent="0.25">
      <c r="B2" s="2" t="s">
        <v>27</v>
      </c>
      <c r="C2" t="s">
        <v>113</v>
      </c>
    </row>
    <row r="3" spans="1:9" x14ac:dyDescent="0.25">
      <c r="B3" s="2" t="s">
        <v>31</v>
      </c>
      <c r="C3" t="s">
        <v>52</v>
      </c>
    </row>
    <row r="4" spans="1:9" x14ac:dyDescent="0.25">
      <c r="B4" s="8" t="s">
        <v>4513</v>
      </c>
      <c r="G4"/>
    </row>
    <row r="5" spans="1:9" x14ac:dyDescent="0.25">
      <c r="F5" s="2" t="s">
        <v>4438</v>
      </c>
      <c r="G5"/>
    </row>
    <row r="6" spans="1:9" x14ac:dyDescent="0.25">
      <c r="B6" s="2" t="s">
        <v>0</v>
      </c>
      <c r="C6" s="2" t="s">
        <v>42</v>
      </c>
      <c r="D6" s="2" t="s">
        <v>24</v>
      </c>
      <c r="E6" s="2" t="s">
        <v>26</v>
      </c>
      <c r="F6" t="s">
        <v>4439</v>
      </c>
      <c r="G6" t="s">
        <v>4440</v>
      </c>
      <c r="H6" t="s">
        <v>4441</v>
      </c>
      <c r="I6" t="s">
        <v>4434</v>
      </c>
    </row>
    <row r="7" spans="1:9" x14ac:dyDescent="0.25">
      <c r="A7">
        <v>1</v>
      </c>
      <c r="B7" s="8" t="s">
        <v>3967</v>
      </c>
      <c r="C7" s="8" t="s">
        <v>402</v>
      </c>
      <c r="D7" s="8" t="s">
        <v>98</v>
      </c>
      <c r="E7" s="8">
        <v>81</v>
      </c>
      <c r="F7" s="9">
        <v>125</v>
      </c>
      <c r="G7" s="9">
        <v>154</v>
      </c>
      <c r="H7" s="9">
        <v>279</v>
      </c>
      <c r="I7" s="10">
        <v>354.33</v>
      </c>
    </row>
    <row r="8" spans="1:9" x14ac:dyDescent="0.25">
      <c r="A8">
        <v>2</v>
      </c>
      <c r="B8" t="s">
        <v>269</v>
      </c>
      <c r="C8" t="s">
        <v>271</v>
      </c>
      <c r="D8" t="s">
        <v>94</v>
      </c>
      <c r="E8">
        <v>73</v>
      </c>
      <c r="F8" s="4">
        <v>114</v>
      </c>
      <c r="G8" s="4">
        <v>133</v>
      </c>
      <c r="H8" s="4">
        <v>247</v>
      </c>
      <c r="I8" s="7">
        <v>336.67</v>
      </c>
    </row>
    <row r="9" spans="1:9" x14ac:dyDescent="0.25">
      <c r="A9">
        <v>3</v>
      </c>
      <c r="B9" t="s">
        <v>3322</v>
      </c>
      <c r="C9" t="s">
        <v>120</v>
      </c>
      <c r="D9" t="s">
        <v>94</v>
      </c>
      <c r="E9">
        <v>89</v>
      </c>
      <c r="F9" s="4">
        <v>124</v>
      </c>
      <c r="G9" s="4">
        <v>145</v>
      </c>
      <c r="H9" s="4">
        <v>269</v>
      </c>
      <c r="I9" s="7">
        <v>325.14999999999998</v>
      </c>
    </row>
    <row r="10" spans="1:9" x14ac:dyDescent="0.25">
      <c r="A10">
        <v>4</v>
      </c>
      <c r="B10" t="s">
        <v>4186</v>
      </c>
      <c r="C10" t="s">
        <v>120</v>
      </c>
      <c r="D10" t="s">
        <v>94</v>
      </c>
      <c r="E10">
        <v>81</v>
      </c>
      <c r="F10" s="4">
        <v>115</v>
      </c>
      <c r="G10" s="4">
        <v>138</v>
      </c>
      <c r="H10" s="4">
        <v>253</v>
      </c>
      <c r="I10" s="7">
        <v>321.08999999999997</v>
      </c>
    </row>
    <row r="11" spans="1:9" x14ac:dyDescent="0.25">
      <c r="A11">
        <v>5</v>
      </c>
      <c r="B11" t="s">
        <v>2375</v>
      </c>
      <c r="C11" t="s">
        <v>589</v>
      </c>
      <c r="D11" t="s">
        <v>89</v>
      </c>
      <c r="E11">
        <v>73</v>
      </c>
      <c r="F11" s="4">
        <v>99</v>
      </c>
      <c r="G11" s="4">
        <v>127</v>
      </c>
      <c r="H11" s="4">
        <v>226</v>
      </c>
      <c r="I11" s="7">
        <v>315.64999999999998</v>
      </c>
    </row>
    <row r="12" spans="1:9" x14ac:dyDescent="0.25">
      <c r="A12">
        <v>6</v>
      </c>
      <c r="B12" t="s">
        <v>1079</v>
      </c>
      <c r="C12" t="s">
        <v>386</v>
      </c>
      <c r="D12" t="s">
        <v>94</v>
      </c>
      <c r="E12">
        <v>81</v>
      </c>
      <c r="F12" s="4">
        <v>118</v>
      </c>
      <c r="G12" s="4">
        <v>127</v>
      </c>
      <c r="H12" s="4">
        <v>245</v>
      </c>
      <c r="I12" s="7">
        <v>314.39</v>
      </c>
    </row>
    <row r="13" spans="1:9" x14ac:dyDescent="0.25">
      <c r="A13">
        <v>7</v>
      </c>
      <c r="B13" t="s">
        <v>3183</v>
      </c>
      <c r="C13" t="s">
        <v>556</v>
      </c>
      <c r="D13" t="s">
        <v>94</v>
      </c>
      <c r="E13">
        <v>61</v>
      </c>
      <c r="F13" s="4">
        <v>85</v>
      </c>
      <c r="G13" s="4">
        <v>108</v>
      </c>
      <c r="H13" s="4">
        <v>193</v>
      </c>
      <c r="I13" s="7">
        <v>313.93</v>
      </c>
    </row>
    <row r="14" spans="1:9" x14ac:dyDescent="0.25">
      <c r="A14">
        <v>8</v>
      </c>
      <c r="B14" t="s">
        <v>3945</v>
      </c>
      <c r="C14" t="s">
        <v>400</v>
      </c>
      <c r="D14" t="s">
        <v>94</v>
      </c>
      <c r="E14">
        <v>81</v>
      </c>
      <c r="F14" s="4">
        <v>110</v>
      </c>
      <c r="G14" s="4">
        <v>135</v>
      </c>
      <c r="H14" s="4">
        <v>245</v>
      </c>
      <c r="I14" s="7">
        <v>311.36</v>
      </c>
    </row>
    <row r="15" spans="1:9" x14ac:dyDescent="0.25">
      <c r="A15">
        <v>9</v>
      </c>
      <c r="B15" t="s">
        <v>2429</v>
      </c>
      <c r="C15" t="s">
        <v>404</v>
      </c>
      <c r="D15" t="s">
        <v>89</v>
      </c>
      <c r="E15">
        <v>81</v>
      </c>
      <c r="F15" s="4">
        <v>100</v>
      </c>
      <c r="G15" s="4">
        <v>130</v>
      </c>
      <c r="H15" s="4">
        <v>230</v>
      </c>
      <c r="I15" s="7">
        <v>306.73</v>
      </c>
    </row>
    <row r="16" spans="1:9" x14ac:dyDescent="0.25">
      <c r="A16">
        <v>10</v>
      </c>
      <c r="B16" t="s">
        <v>4227</v>
      </c>
      <c r="C16" t="s">
        <v>419</v>
      </c>
      <c r="D16" t="s">
        <v>89</v>
      </c>
      <c r="E16">
        <v>89</v>
      </c>
      <c r="F16" s="4">
        <v>107</v>
      </c>
      <c r="G16" s="4">
        <v>133</v>
      </c>
      <c r="H16" s="4">
        <v>240</v>
      </c>
      <c r="I16" s="7">
        <v>298.83</v>
      </c>
    </row>
    <row r="17" spans="1:9" x14ac:dyDescent="0.25">
      <c r="A17">
        <v>11</v>
      </c>
      <c r="B17" t="s">
        <v>2396</v>
      </c>
      <c r="C17" t="s">
        <v>120</v>
      </c>
      <c r="D17" t="s">
        <v>89</v>
      </c>
      <c r="E17">
        <v>102</v>
      </c>
      <c r="F17" s="4">
        <v>115</v>
      </c>
      <c r="G17" s="4">
        <v>140</v>
      </c>
      <c r="H17" s="4">
        <v>255</v>
      </c>
      <c r="I17" s="7">
        <v>294.94</v>
      </c>
    </row>
    <row r="18" spans="1:9" x14ac:dyDescent="0.25">
      <c r="A18">
        <v>12</v>
      </c>
      <c r="B18" t="s">
        <v>1907</v>
      </c>
      <c r="C18" t="s">
        <v>374</v>
      </c>
      <c r="D18" t="s">
        <v>89</v>
      </c>
      <c r="E18">
        <v>73</v>
      </c>
      <c r="F18" s="4">
        <v>95</v>
      </c>
      <c r="G18" s="4">
        <v>121</v>
      </c>
      <c r="H18" s="4">
        <v>216</v>
      </c>
      <c r="I18" s="7">
        <v>293.14999999999998</v>
      </c>
    </row>
    <row r="19" spans="1:9" x14ac:dyDescent="0.25">
      <c r="A19">
        <v>13</v>
      </c>
      <c r="B19" t="s">
        <v>1278</v>
      </c>
      <c r="C19" t="s">
        <v>328</v>
      </c>
      <c r="D19" t="s">
        <v>89</v>
      </c>
      <c r="E19">
        <v>67</v>
      </c>
      <c r="F19" s="4">
        <v>89</v>
      </c>
      <c r="G19" s="4">
        <v>112</v>
      </c>
      <c r="H19" s="4">
        <v>201</v>
      </c>
      <c r="I19" s="7">
        <v>291.83</v>
      </c>
    </row>
    <row r="20" spans="1:9" x14ac:dyDescent="0.25">
      <c r="A20">
        <v>14</v>
      </c>
      <c r="B20" t="s">
        <v>1237</v>
      </c>
      <c r="C20" t="s">
        <v>422</v>
      </c>
      <c r="D20" t="s">
        <v>89</v>
      </c>
      <c r="E20">
        <v>89</v>
      </c>
      <c r="F20" s="4">
        <v>100</v>
      </c>
      <c r="G20" s="4">
        <v>130</v>
      </c>
      <c r="H20" s="4">
        <v>230</v>
      </c>
      <c r="I20" s="7">
        <v>287.73</v>
      </c>
    </row>
    <row r="21" spans="1:9" x14ac:dyDescent="0.25">
      <c r="A21">
        <v>15</v>
      </c>
      <c r="B21" t="s">
        <v>3087</v>
      </c>
      <c r="C21" t="s">
        <v>606</v>
      </c>
      <c r="D21" t="s">
        <v>89</v>
      </c>
      <c r="E21">
        <v>73</v>
      </c>
      <c r="F21" s="4">
        <v>95</v>
      </c>
      <c r="G21" s="4">
        <v>115</v>
      </c>
      <c r="H21" s="4">
        <v>210</v>
      </c>
      <c r="I21" s="7">
        <v>287.24</v>
      </c>
    </row>
    <row r="22" spans="1:9" x14ac:dyDescent="0.25">
      <c r="A22">
        <v>16</v>
      </c>
      <c r="B22" t="s">
        <v>2408</v>
      </c>
      <c r="C22" t="s">
        <v>255</v>
      </c>
      <c r="D22" t="s">
        <v>89</v>
      </c>
      <c r="E22">
        <v>73</v>
      </c>
      <c r="F22" s="4">
        <v>95</v>
      </c>
      <c r="G22" s="4">
        <v>110</v>
      </c>
      <c r="H22" s="4">
        <v>205</v>
      </c>
      <c r="I22" s="7">
        <v>283.95</v>
      </c>
    </row>
    <row r="23" spans="1:9" x14ac:dyDescent="0.25">
      <c r="A23">
        <v>17</v>
      </c>
      <c r="B23" t="s">
        <v>3254</v>
      </c>
      <c r="C23" t="s">
        <v>394</v>
      </c>
      <c r="D23" t="s">
        <v>89</v>
      </c>
      <c r="E23">
        <v>61</v>
      </c>
      <c r="F23" s="4">
        <v>80</v>
      </c>
      <c r="G23" s="4">
        <v>101</v>
      </c>
      <c r="H23" s="4">
        <v>181</v>
      </c>
      <c r="I23" s="7">
        <v>282.66000000000003</v>
      </c>
    </row>
    <row r="24" spans="1:9" x14ac:dyDescent="0.25">
      <c r="A24">
        <v>18</v>
      </c>
      <c r="B24" t="s">
        <v>3581</v>
      </c>
      <c r="C24" t="s">
        <v>255</v>
      </c>
      <c r="D24" t="s">
        <v>89</v>
      </c>
      <c r="E24">
        <v>73</v>
      </c>
      <c r="F24" s="4">
        <v>90</v>
      </c>
      <c r="G24" s="4">
        <v>115</v>
      </c>
      <c r="H24" s="4">
        <v>205</v>
      </c>
      <c r="I24" s="7">
        <v>279.91000000000003</v>
      </c>
    </row>
    <row r="25" spans="1:9" x14ac:dyDescent="0.25">
      <c r="A25">
        <v>19</v>
      </c>
      <c r="B25" t="s">
        <v>4103</v>
      </c>
      <c r="C25" t="s">
        <v>792</v>
      </c>
      <c r="D25" t="s">
        <v>89</v>
      </c>
      <c r="E25">
        <v>89</v>
      </c>
      <c r="F25" s="4">
        <v>100</v>
      </c>
      <c r="G25" s="4">
        <v>125</v>
      </c>
      <c r="H25" s="4">
        <v>225</v>
      </c>
      <c r="I25" s="7">
        <v>274.81</v>
      </c>
    </row>
    <row r="26" spans="1:9" x14ac:dyDescent="0.25">
      <c r="A26">
        <v>20</v>
      </c>
      <c r="B26" t="s">
        <v>3776</v>
      </c>
      <c r="C26" t="s">
        <v>606</v>
      </c>
      <c r="D26" t="s">
        <v>89</v>
      </c>
      <c r="E26">
        <v>81</v>
      </c>
      <c r="F26" s="4">
        <v>98</v>
      </c>
      <c r="G26" s="4">
        <v>117</v>
      </c>
      <c r="H26" s="4">
        <v>215</v>
      </c>
      <c r="I26" s="7">
        <v>272.86</v>
      </c>
    </row>
    <row r="27" spans="1:9" x14ac:dyDescent="0.25">
      <c r="A27">
        <v>21</v>
      </c>
      <c r="B27" t="s">
        <v>717</v>
      </c>
      <c r="C27" t="s">
        <v>490</v>
      </c>
      <c r="D27" t="s">
        <v>89</v>
      </c>
      <c r="E27">
        <v>67</v>
      </c>
      <c r="F27" s="4">
        <v>87</v>
      </c>
      <c r="G27" s="4">
        <v>103</v>
      </c>
      <c r="H27" s="4">
        <v>190</v>
      </c>
      <c r="I27" s="7">
        <v>271.36</v>
      </c>
    </row>
    <row r="28" spans="1:9" x14ac:dyDescent="0.25">
      <c r="A28">
        <v>22</v>
      </c>
      <c r="B28" t="s">
        <v>3540</v>
      </c>
      <c r="C28" t="s">
        <v>386</v>
      </c>
      <c r="D28" t="s">
        <v>89</v>
      </c>
      <c r="E28">
        <v>67</v>
      </c>
      <c r="F28" s="4">
        <v>87</v>
      </c>
      <c r="G28" s="4">
        <v>103</v>
      </c>
      <c r="H28" s="4">
        <v>190</v>
      </c>
      <c r="I28" s="7">
        <v>270.82</v>
      </c>
    </row>
    <row r="29" spans="1:9" x14ac:dyDescent="0.25">
      <c r="A29">
        <v>23</v>
      </c>
      <c r="B29" t="s">
        <v>3362</v>
      </c>
      <c r="C29" t="s">
        <v>1236</v>
      </c>
      <c r="D29" t="s">
        <v>93</v>
      </c>
      <c r="E29">
        <v>73</v>
      </c>
      <c r="F29" s="4">
        <v>93</v>
      </c>
      <c r="G29" s="4">
        <v>100</v>
      </c>
      <c r="H29" s="4">
        <v>193</v>
      </c>
      <c r="I29" s="7">
        <v>269.56</v>
      </c>
    </row>
    <row r="30" spans="1:9" x14ac:dyDescent="0.25">
      <c r="A30">
        <v>24</v>
      </c>
      <c r="B30" t="s">
        <v>2370</v>
      </c>
      <c r="C30" t="s">
        <v>120</v>
      </c>
      <c r="D30" t="s">
        <v>93</v>
      </c>
      <c r="E30">
        <v>81</v>
      </c>
      <c r="F30" s="4">
        <v>95</v>
      </c>
      <c r="G30" s="4">
        <v>115</v>
      </c>
      <c r="H30" s="4">
        <v>210</v>
      </c>
      <c r="I30" s="7">
        <v>268.35000000000002</v>
      </c>
    </row>
    <row r="31" spans="1:9" x14ac:dyDescent="0.25">
      <c r="A31">
        <v>25</v>
      </c>
      <c r="B31" t="s">
        <v>2319</v>
      </c>
      <c r="C31" t="s">
        <v>386</v>
      </c>
      <c r="D31" t="s">
        <v>89</v>
      </c>
      <c r="E31" t="s">
        <v>125</v>
      </c>
      <c r="F31" s="4">
        <v>112</v>
      </c>
      <c r="G31" s="4">
        <v>138</v>
      </c>
      <c r="H31" s="4">
        <v>250</v>
      </c>
      <c r="I31" s="7">
        <v>267.75</v>
      </c>
    </row>
    <row r="32" spans="1:9" x14ac:dyDescent="0.25">
      <c r="A32">
        <v>26</v>
      </c>
      <c r="B32" t="s">
        <v>1804</v>
      </c>
      <c r="C32" t="s">
        <v>490</v>
      </c>
      <c r="D32" t="s">
        <v>89</v>
      </c>
      <c r="E32">
        <v>61</v>
      </c>
      <c r="F32" s="4">
        <v>78</v>
      </c>
      <c r="G32" s="4">
        <v>92</v>
      </c>
      <c r="H32" s="4">
        <v>170</v>
      </c>
      <c r="I32" s="7">
        <v>266.85000000000002</v>
      </c>
    </row>
    <row r="33" spans="1:9" x14ac:dyDescent="0.25">
      <c r="A33">
        <v>27</v>
      </c>
      <c r="B33" t="s">
        <v>1068</v>
      </c>
      <c r="C33" t="s">
        <v>255</v>
      </c>
      <c r="D33" t="s">
        <v>89</v>
      </c>
      <c r="E33">
        <v>61</v>
      </c>
      <c r="F33" s="4">
        <v>74</v>
      </c>
      <c r="G33" s="4">
        <v>96</v>
      </c>
      <c r="H33" s="4">
        <v>170</v>
      </c>
      <c r="I33" s="7">
        <v>263.48</v>
      </c>
    </row>
    <row r="34" spans="1:9" x14ac:dyDescent="0.25">
      <c r="A34">
        <v>28</v>
      </c>
      <c r="B34" t="s">
        <v>3701</v>
      </c>
      <c r="C34" t="s">
        <v>419</v>
      </c>
      <c r="D34" t="s">
        <v>93</v>
      </c>
      <c r="E34">
        <v>73</v>
      </c>
      <c r="F34" s="4">
        <v>90</v>
      </c>
      <c r="G34" s="4">
        <v>105</v>
      </c>
      <c r="H34" s="4">
        <v>195</v>
      </c>
      <c r="I34" s="7">
        <v>262.97000000000003</v>
      </c>
    </row>
    <row r="35" spans="1:9" x14ac:dyDescent="0.25">
      <c r="A35">
        <v>29</v>
      </c>
      <c r="B35" t="s">
        <v>2424</v>
      </c>
      <c r="C35" t="s">
        <v>328</v>
      </c>
      <c r="D35" t="s">
        <v>93</v>
      </c>
      <c r="E35">
        <v>61</v>
      </c>
      <c r="F35" s="4">
        <v>73</v>
      </c>
      <c r="G35" s="4">
        <v>91</v>
      </c>
      <c r="H35" s="4">
        <v>164</v>
      </c>
      <c r="I35" s="7">
        <v>262.93</v>
      </c>
    </row>
    <row r="36" spans="1:9" x14ac:dyDescent="0.25">
      <c r="A36">
        <v>30</v>
      </c>
      <c r="B36" t="s">
        <v>3916</v>
      </c>
      <c r="C36" t="s">
        <v>255</v>
      </c>
      <c r="D36" t="s">
        <v>93</v>
      </c>
      <c r="E36">
        <v>81</v>
      </c>
      <c r="F36" s="4">
        <v>95</v>
      </c>
      <c r="G36" s="4">
        <v>110</v>
      </c>
      <c r="H36" s="4">
        <v>205</v>
      </c>
      <c r="I36" s="7">
        <v>260.17</v>
      </c>
    </row>
    <row r="37" spans="1:9" x14ac:dyDescent="0.25">
      <c r="A37">
        <v>31</v>
      </c>
      <c r="B37" t="s">
        <v>2639</v>
      </c>
      <c r="C37" t="s">
        <v>691</v>
      </c>
      <c r="D37" t="s">
        <v>93</v>
      </c>
      <c r="E37">
        <v>81</v>
      </c>
      <c r="F37" s="4">
        <v>93</v>
      </c>
      <c r="G37" s="4">
        <v>106</v>
      </c>
      <c r="H37" s="4">
        <v>199</v>
      </c>
      <c r="I37" s="7">
        <v>259.08</v>
      </c>
    </row>
    <row r="38" spans="1:9" x14ac:dyDescent="0.25">
      <c r="A38">
        <v>32</v>
      </c>
      <c r="B38" t="s">
        <v>2916</v>
      </c>
      <c r="C38" t="s">
        <v>639</v>
      </c>
      <c r="D38" t="s">
        <v>89</v>
      </c>
      <c r="E38">
        <v>61</v>
      </c>
      <c r="F38" s="4">
        <v>75</v>
      </c>
      <c r="G38" s="4">
        <v>95</v>
      </c>
      <c r="H38" s="4">
        <v>170</v>
      </c>
      <c r="I38" s="7">
        <v>258.7</v>
      </c>
    </row>
    <row r="39" spans="1:9" x14ac:dyDescent="0.25">
      <c r="A39">
        <v>33</v>
      </c>
      <c r="B39" t="s">
        <v>1109</v>
      </c>
      <c r="C39" t="s">
        <v>396</v>
      </c>
      <c r="D39" t="s">
        <v>93</v>
      </c>
      <c r="E39">
        <v>81</v>
      </c>
      <c r="F39" s="4">
        <v>94</v>
      </c>
      <c r="G39" s="4">
        <v>108</v>
      </c>
      <c r="H39" s="4">
        <v>202</v>
      </c>
      <c r="I39" s="7">
        <v>257.06</v>
      </c>
    </row>
    <row r="40" spans="1:9" x14ac:dyDescent="0.25">
      <c r="A40">
        <v>34</v>
      </c>
      <c r="B40" t="s">
        <v>2256</v>
      </c>
      <c r="C40" t="s">
        <v>374</v>
      </c>
      <c r="D40" t="s">
        <v>93</v>
      </c>
      <c r="E40">
        <v>61</v>
      </c>
      <c r="F40" s="4">
        <v>65</v>
      </c>
      <c r="G40" s="4">
        <v>90</v>
      </c>
      <c r="H40" s="4">
        <v>155</v>
      </c>
      <c r="I40" s="7">
        <v>250.9</v>
      </c>
    </row>
    <row r="41" spans="1:9" x14ac:dyDescent="0.25">
      <c r="A41">
        <v>35</v>
      </c>
      <c r="B41" t="s">
        <v>4289</v>
      </c>
      <c r="C41" t="s">
        <v>478</v>
      </c>
      <c r="D41" t="s">
        <v>93</v>
      </c>
      <c r="E41">
        <v>73</v>
      </c>
      <c r="F41" s="4">
        <v>80</v>
      </c>
      <c r="G41" s="4">
        <v>100</v>
      </c>
      <c r="H41" s="4">
        <v>180</v>
      </c>
      <c r="I41" s="7">
        <v>246.21</v>
      </c>
    </row>
    <row r="42" spans="1:9" x14ac:dyDescent="0.25">
      <c r="A42">
        <v>36</v>
      </c>
      <c r="B42" t="s">
        <v>4343</v>
      </c>
      <c r="C42" t="s">
        <v>394</v>
      </c>
      <c r="D42" t="s">
        <v>64</v>
      </c>
      <c r="E42">
        <v>81</v>
      </c>
      <c r="F42" s="4">
        <v>75</v>
      </c>
      <c r="G42" s="4">
        <v>100</v>
      </c>
      <c r="H42" s="4">
        <v>175</v>
      </c>
      <c r="I42" s="7">
        <v>230.27</v>
      </c>
    </row>
    <row r="43" spans="1:9" x14ac:dyDescent="0.25">
      <c r="A43">
        <v>37</v>
      </c>
      <c r="B43" t="s">
        <v>1059</v>
      </c>
      <c r="C43" t="s">
        <v>161</v>
      </c>
      <c r="D43" t="s">
        <v>56</v>
      </c>
      <c r="E43">
        <v>81</v>
      </c>
      <c r="F43" s="4">
        <v>73</v>
      </c>
      <c r="G43" s="4">
        <v>88</v>
      </c>
      <c r="H43" s="4">
        <v>161</v>
      </c>
      <c r="I43" s="7">
        <v>214.71</v>
      </c>
    </row>
    <row r="44" spans="1:9" x14ac:dyDescent="0.25">
      <c r="A44">
        <v>38</v>
      </c>
      <c r="B44" t="s">
        <v>86</v>
      </c>
      <c r="C44" t="s">
        <v>88</v>
      </c>
      <c r="D44" t="s">
        <v>49</v>
      </c>
      <c r="E44">
        <v>67</v>
      </c>
      <c r="F44" s="4">
        <v>101</v>
      </c>
      <c r="G44" s="4">
        <v>0</v>
      </c>
      <c r="H44" s="4">
        <v>101</v>
      </c>
      <c r="I44" s="7">
        <v>0</v>
      </c>
    </row>
    <row r="45" spans="1:9" x14ac:dyDescent="0.25">
      <c r="A45">
        <v>39</v>
      </c>
      <c r="B45" t="s">
        <v>2304</v>
      </c>
      <c r="C45" t="s">
        <v>161</v>
      </c>
      <c r="D45" t="s">
        <v>49</v>
      </c>
      <c r="E45">
        <v>73</v>
      </c>
      <c r="F45" s="4">
        <v>105</v>
      </c>
      <c r="G45" s="4">
        <v>0</v>
      </c>
      <c r="H45" s="4">
        <v>105</v>
      </c>
      <c r="I45" s="7">
        <v>0</v>
      </c>
    </row>
    <row r="46" spans="1:9" x14ac:dyDescent="0.25">
      <c r="A46">
        <v>40</v>
      </c>
      <c r="B46" t="s">
        <v>1166</v>
      </c>
      <c r="C46" t="s">
        <v>66</v>
      </c>
      <c r="D46" t="s">
        <v>49</v>
      </c>
      <c r="E46">
        <v>67</v>
      </c>
      <c r="F46" s="4">
        <v>0</v>
      </c>
      <c r="G46" s="4">
        <v>0</v>
      </c>
      <c r="H46" s="4">
        <v>0</v>
      </c>
      <c r="I46" s="7">
        <v>0</v>
      </c>
    </row>
    <row r="47" spans="1:9" x14ac:dyDescent="0.25">
      <c r="A47">
        <v>41</v>
      </c>
      <c r="B47" t="s">
        <v>3551</v>
      </c>
      <c r="C47" t="s">
        <v>417</v>
      </c>
      <c r="D47" t="s">
        <v>49</v>
      </c>
      <c r="E47">
        <v>67</v>
      </c>
      <c r="F47" s="4">
        <v>82</v>
      </c>
      <c r="G47" s="4">
        <v>0</v>
      </c>
      <c r="H47" s="4">
        <v>82</v>
      </c>
      <c r="I47" s="7">
        <v>0</v>
      </c>
    </row>
    <row r="48" spans="1:9" x14ac:dyDescent="0.25">
      <c r="A48">
        <v>42</v>
      </c>
      <c r="B48" t="s">
        <v>2268</v>
      </c>
      <c r="C48" t="s">
        <v>413</v>
      </c>
      <c r="D48" t="s">
        <v>49</v>
      </c>
      <c r="E48">
        <v>55</v>
      </c>
      <c r="F48" s="4">
        <v>63</v>
      </c>
      <c r="G48" s="4">
        <v>0</v>
      </c>
      <c r="H48" s="4">
        <v>63</v>
      </c>
      <c r="I48" s="7">
        <v>0</v>
      </c>
    </row>
    <row r="49" spans="1:9" x14ac:dyDescent="0.25">
      <c r="A49">
        <v>43</v>
      </c>
      <c r="B49" t="s">
        <v>4433</v>
      </c>
      <c r="F49" s="4">
        <v>3844</v>
      </c>
      <c r="G49" s="4">
        <v>4256</v>
      </c>
      <c r="H49" s="4">
        <v>8100</v>
      </c>
      <c r="I49" s="7">
        <v>10428.379999999999</v>
      </c>
    </row>
    <row r="50" spans="1:9" x14ac:dyDescent="0.25">
      <c r="A50">
        <v>44</v>
      </c>
      <c r="G50"/>
    </row>
    <row r="51" spans="1:9" x14ac:dyDescent="0.25">
      <c r="A51">
        <v>45</v>
      </c>
      <c r="G51"/>
    </row>
    <row r="52" spans="1:9" x14ac:dyDescent="0.25">
      <c r="A52">
        <v>46</v>
      </c>
      <c r="G52"/>
    </row>
    <row r="53" spans="1:9" x14ac:dyDescent="0.25">
      <c r="A53">
        <v>47</v>
      </c>
      <c r="G53"/>
    </row>
    <row r="54" spans="1:9" x14ac:dyDescent="0.25">
      <c r="A54">
        <v>48</v>
      </c>
      <c r="G54"/>
    </row>
    <row r="55" spans="1:9" x14ac:dyDescent="0.25">
      <c r="A55">
        <v>49</v>
      </c>
      <c r="G55"/>
    </row>
    <row r="56" spans="1:9" x14ac:dyDescent="0.25">
      <c r="A56">
        <v>50</v>
      </c>
      <c r="G56"/>
    </row>
    <row r="57" spans="1:9" x14ac:dyDescent="0.25">
      <c r="A57">
        <v>51</v>
      </c>
      <c r="G57"/>
    </row>
    <row r="58" spans="1:9" x14ac:dyDescent="0.25">
      <c r="A58">
        <v>52</v>
      </c>
      <c r="G58"/>
    </row>
    <row r="59" spans="1:9" x14ac:dyDescent="0.25">
      <c r="A59">
        <v>53</v>
      </c>
      <c r="G59"/>
    </row>
    <row r="60" spans="1:9" x14ac:dyDescent="0.25">
      <c r="A60">
        <v>54</v>
      </c>
      <c r="G60"/>
    </row>
    <row r="61" spans="1:9" x14ac:dyDescent="0.25">
      <c r="A61">
        <v>55</v>
      </c>
      <c r="G61"/>
    </row>
    <row r="62" spans="1:9" x14ac:dyDescent="0.25">
      <c r="A62">
        <v>56</v>
      </c>
      <c r="G62"/>
    </row>
    <row r="63" spans="1:9" x14ac:dyDescent="0.25">
      <c r="A63">
        <v>57</v>
      </c>
      <c r="G63"/>
    </row>
    <row r="64" spans="1:9" x14ac:dyDescent="0.25">
      <c r="A64">
        <v>58</v>
      </c>
      <c r="G64"/>
    </row>
    <row r="65" spans="1:7" x14ac:dyDescent="0.25">
      <c r="A65">
        <v>59</v>
      </c>
      <c r="G65"/>
    </row>
    <row r="66" spans="1:7" x14ac:dyDescent="0.25">
      <c r="A66">
        <v>60</v>
      </c>
      <c r="G66"/>
    </row>
    <row r="67" spans="1:7" x14ac:dyDescent="0.25">
      <c r="A67">
        <v>61</v>
      </c>
      <c r="G67"/>
    </row>
    <row r="68" spans="1:7" x14ac:dyDescent="0.25">
      <c r="A68">
        <v>62</v>
      </c>
      <c r="G68"/>
    </row>
    <row r="69" spans="1:7" x14ac:dyDescent="0.25">
      <c r="A69">
        <v>63</v>
      </c>
      <c r="G69"/>
    </row>
    <row r="70" spans="1:7" x14ac:dyDescent="0.25">
      <c r="A70">
        <v>64</v>
      </c>
      <c r="G70"/>
    </row>
    <row r="71" spans="1:7" x14ac:dyDescent="0.25">
      <c r="A71">
        <v>65</v>
      </c>
      <c r="G71"/>
    </row>
    <row r="72" spans="1:7" x14ac:dyDescent="0.25">
      <c r="A72">
        <v>66</v>
      </c>
      <c r="G72"/>
    </row>
    <row r="73" spans="1:7" x14ac:dyDescent="0.25">
      <c r="A73">
        <v>67</v>
      </c>
      <c r="G73"/>
    </row>
    <row r="74" spans="1:7" x14ac:dyDescent="0.25">
      <c r="A74">
        <v>68</v>
      </c>
      <c r="G74"/>
    </row>
    <row r="75" spans="1:7" x14ac:dyDescent="0.25">
      <c r="A75">
        <v>69</v>
      </c>
      <c r="G75"/>
    </row>
    <row r="76" spans="1:7" x14ac:dyDescent="0.25">
      <c r="A76">
        <v>70</v>
      </c>
      <c r="G76"/>
    </row>
    <row r="77" spans="1:7" x14ac:dyDescent="0.25">
      <c r="A77">
        <v>71</v>
      </c>
      <c r="G77"/>
    </row>
    <row r="78" spans="1:7" x14ac:dyDescent="0.25">
      <c r="A78">
        <v>72</v>
      </c>
      <c r="G78"/>
    </row>
    <row r="79" spans="1:7" x14ac:dyDescent="0.25">
      <c r="A79">
        <v>73</v>
      </c>
      <c r="G79"/>
    </row>
    <row r="80" spans="1:7" x14ac:dyDescent="0.25">
      <c r="A80">
        <v>74</v>
      </c>
      <c r="G80"/>
    </row>
    <row r="81" spans="1:7" x14ac:dyDescent="0.25">
      <c r="A81">
        <v>75</v>
      </c>
      <c r="G81"/>
    </row>
    <row r="82" spans="1:7" x14ac:dyDescent="0.25">
      <c r="A82">
        <v>76</v>
      </c>
      <c r="G82"/>
    </row>
    <row r="83" spans="1:7" x14ac:dyDescent="0.25">
      <c r="A83">
        <v>77</v>
      </c>
      <c r="G83"/>
    </row>
    <row r="84" spans="1:7" x14ac:dyDescent="0.25">
      <c r="A84">
        <v>78</v>
      </c>
      <c r="G84"/>
    </row>
    <row r="85" spans="1:7" x14ac:dyDescent="0.25">
      <c r="A85">
        <v>79</v>
      </c>
      <c r="G85"/>
    </row>
    <row r="86" spans="1:7" x14ac:dyDescent="0.25">
      <c r="A86">
        <v>80</v>
      </c>
      <c r="G86"/>
    </row>
    <row r="87" spans="1:7" x14ac:dyDescent="0.25">
      <c r="A87">
        <v>81</v>
      </c>
      <c r="G87"/>
    </row>
    <row r="88" spans="1:7" x14ac:dyDescent="0.25">
      <c r="A88">
        <v>82</v>
      </c>
      <c r="G88"/>
    </row>
    <row r="89" spans="1:7" x14ac:dyDescent="0.25">
      <c r="A89">
        <v>83</v>
      </c>
      <c r="G89"/>
    </row>
    <row r="90" spans="1:7" x14ac:dyDescent="0.25">
      <c r="A90">
        <v>84</v>
      </c>
      <c r="G90"/>
    </row>
    <row r="91" spans="1:7" x14ac:dyDescent="0.25">
      <c r="A91">
        <v>85</v>
      </c>
      <c r="G91"/>
    </row>
    <row r="92" spans="1:7" x14ac:dyDescent="0.25">
      <c r="A92">
        <v>86</v>
      </c>
      <c r="G92"/>
    </row>
    <row r="93" spans="1:7" x14ac:dyDescent="0.25">
      <c r="A93">
        <v>87</v>
      </c>
      <c r="G93"/>
    </row>
    <row r="94" spans="1:7" x14ac:dyDescent="0.25">
      <c r="A94">
        <v>88</v>
      </c>
      <c r="G94"/>
    </row>
    <row r="95" spans="1:7" x14ac:dyDescent="0.25">
      <c r="A95">
        <v>89</v>
      </c>
      <c r="G95"/>
    </row>
    <row r="96" spans="1:7" x14ac:dyDescent="0.25">
      <c r="A96">
        <v>90</v>
      </c>
      <c r="G96"/>
    </row>
    <row r="97" spans="1:7" x14ac:dyDescent="0.25">
      <c r="A97">
        <v>91</v>
      </c>
      <c r="G97"/>
    </row>
    <row r="98" spans="1:7" x14ac:dyDescent="0.25">
      <c r="A98">
        <v>92</v>
      </c>
      <c r="G98"/>
    </row>
    <row r="99" spans="1:7" x14ac:dyDescent="0.25">
      <c r="A99">
        <v>93</v>
      </c>
      <c r="G99"/>
    </row>
    <row r="100" spans="1:7" x14ac:dyDescent="0.25">
      <c r="A100">
        <v>94</v>
      </c>
      <c r="G100"/>
    </row>
    <row r="101" spans="1:7" x14ac:dyDescent="0.25">
      <c r="A101">
        <v>95</v>
      </c>
      <c r="G101"/>
    </row>
    <row r="102" spans="1:7" x14ac:dyDescent="0.25">
      <c r="A102">
        <v>96</v>
      </c>
      <c r="G102"/>
    </row>
    <row r="103" spans="1:7" x14ac:dyDescent="0.25">
      <c r="A103">
        <v>97</v>
      </c>
      <c r="G103"/>
    </row>
    <row r="104" spans="1:7" x14ac:dyDescent="0.25">
      <c r="A104">
        <v>98</v>
      </c>
      <c r="G104"/>
    </row>
    <row r="105" spans="1:7" x14ac:dyDescent="0.25">
      <c r="A105">
        <v>99</v>
      </c>
      <c r="G105"/>
    </row>
    <row r="106" spans="1:7" x14ac:dyDescent="0.25">
      <c r="A106">
        <v>100</v>
      </c>
      <c r="G106"/>
    </row>
    <row r="107" spans="1:7" x14ac:dyDescent="0.25">
      <c r="A107">
        <v>101</v>
      </c>
      <c r="G107"/>
    </row>
    <row r="108" spans="1:7" x14ac:dyDescent="0.25">
      <c r="A108">
        <v>102</v>
      </c>
      <c r="G108"/>
    </row>
    <row r="109" spans="1:7" x14ac:dyDescent="0.25">
      <c r="A109">
        <v>103</v>
      </c>
      <c r="G109"/>
    </row>
    <row r="110" spans="1:7" x14ac:dyDescent="0.25">
      <c r="A110">
        <v>104</v>
      </c>
      <c r="G110"/>
    </row>
    <row r="111" spans="1:7" x14ac:dyDescent="0.25">
      <c r="A111">
        <v>105</v>
      </c>
      <c r="G111"/>
    </row>
    <row r="112" spans="1:7" x14ac:dyDescent="0.25">
      <c r="A112">
        <v>106</v>
      </c>
      <c r="G112"/>
    </row>
    <row r="113" spans="1:7" x14ac:dyDescent="0.25">
      <c r="A113">
        <v>107</v>
      </c>
      <c r="G113"/>
    </row>
    <row r="114" spans="1:7" x14ac:dyDescent="0.25">
      <c r="A114">
        <v>108</v>
      </c>
      <c r="G114"/>
    </row>
    <row r="115" spans="1:7" x14ac:dyDescent="0.25">
      <c r="A115">
        <v>109</v>
      </c>
      <c r="G115"/>
    </row>
    <row r="116" spans="1:7" x14ac:dyDescent="0.25">
      <c r="A116">
        <v>110</v>
      </c>
      <c r="G116"/>
    </row>
    <row r="117" spans="1:7" x14ac:dyDescent="0.25">
      <c r="A117">
        <v>111</v>
      </c>
      <c r="G117"/>
    </row>
    <row r="118" spans="1:7" x14ac:dyDescent="0.25">
      <c r="A118">
        <v>112</v>
      </c>
      <c r="G118"/>
    </row>
    <row r="119" spans="1:7" x14ac:dyDescent="0.25">
      <c r="A119">
        <v>113</v>
      </c>
      <c r="G119"/>
    </row>
    <row r="120" spans="1:7" x14ac:dyDescent="0.25">
      <c r="A120">
        <v>114</v>
      </c>
      <c r="G120"/>
    </row>
    <row r="121" spans="1:7" x14ac:dyDescent="0.25">
      <c r="A121">
        <v>115</v>
      </c>
      <c r="G121"/>
    </row>
    <row r="122" spans="1:7" x14ac:dyDescent="0.25">
      <c r="A122">
        <v>116</v>
      </c>
      <c r="G122"/>
    </row>
    <row r="123" spans="1:7" x14ac:dyDescent="0.25">
      <c r="A123">
        <v>117</v>
      </c>
      <c r="G123"/>
    </row>
    <row r="124" spans="1:7" x14ac:dyDescent="0.25">
      <c r="A124">
        <v>118</v>
      </c>
      <c r="G124"/>
    </row>
    <row r="125" spans="1:7" x14ac:dyDescent="0.25">
      <c r="A125">
        <v>119</v>
      </c>
      <c r="G125"/>
    </row>
    <row r="126" spans="1:7" x14ac:dyDescent="0.25">
      <c r="A126">
        <v>120</v>
      </c>
      <c r="G126"/>
    </row>
    <row r="127" spans="1:7" x14ac:dyDescent="0.25">
      <c r="A127">
        <v>121</v>
      </c>
      <c r="G127"/>
    </row>
    <row r="128" spans="1:7" x14ac:dyDescent="0.25">
      <c r="A128">
        <v>122</v>
      </c>
      <c r="G128"/>
    </row>
    <row r="129" spans="1:7" x14ac:dyDescent="0.25">
      <c r="A129">
        <v>123</v>
      </c>
      <c r="G129"/>
    </row>
    <row r="130" spans="1:7" x14ac:dyDescent="0.25">
      <c r="A130">
        <v>124</v>
      </c>
      <c r="G130"/>
    </row>
    <row r="131" spans="1:7" x14ac:dyDescent="0.25">
      <c r="A131">
        <v>125</v>
      </c>
      <c r="G131"/>
    </row>
    <row r="132" spans="1:7" x14ac:dyDescent="0.25">
      <c r="A132">
        <v>126</v>
      </c>
      <c r="G132"/>
    </row>
    <row r="133" spans="1:7" x14ac:dyDescent="0.25">
      <c r="A133">
        <v>127</v>
      </c>
      <c r="G133"/>
    </row>
    <row r="134" spans="1:7" x14ac:dyDescent="0.25">
      <c r="A134">
        <v>128</v>
      </c>
      <c r="G134"/>
    </row>
    <row r="135" spans="1:7" x14ac:dyDescent="0.25">
      <c r="A135">
        <v>129</v>
      </c>
      <c r="G135"/>
    </row>
    <row r="136" spans="1:7" x14ac:dyDescent="0.25">
      <c r="A136">
        <v>130</v>
      </c>
      <c r="G136"/>
    </row>
    <row r="137" spans="1:7" x14ac:dyDescent="0.25">
      <c r="A137">
        <v>131</v>
      </c>
      <c r="G137"/>
    </row>
    <row r="138" spans="1:7" x14ac:dyDescent="0.25">
      <c r="A138">
        <v>132</v>
      </c>
      <c r="G138"/>
    </row>
    <row r="139" spans="1:7" x14ac:dyDescent="0.25">
      <c r="A139">
        <v>133</v>
      </c>
      <c r="G139"/>
    </row>
    <row r="140" spans="1:7" x14ac:dyDescent="0.25">
      <c r="A140">
        <v>134</v>
      </c>
      <c r="G140"/>
    </row>
    <row r="141" spans="1:7" x14ac:dyDescent="0.25">
      <c r="A141">
        <v>135</v>
      </c>
      <c r="G141"/>
    </row>
    <row r="142" spans="1:7" x14ac:dyDescent="0.25">
      <c r="A142">
        <v>136</v>
      </c>
      <c r="G142"/>
    </row>
    <row r="143" spans="1:7" x14ac:dyDescent="0.25">
      <c r="A143">
        <v>137</v>
      </c>
      <c r="G143"/>
    </row>
    <row r="144" spans="1:7" x14ac:dyDescent="0.25">
      <c r="A144">
        <v>138</v>
      </c>
      <c r="G144"/>
    </row>
    <row r="145" spans="1:7" x14ac:dyDescent="0.25">
      <c r="A145">
        <v>139</v>
      </c>
      <c r="G145"/>
    </row>
    <row r="146" spans="1:7" x14ac:dyDescent="0.25">
      <c r="A146">
        <v>140</v>
      </c>
      <c r="G146"/>
    </row>
    <row r="147" spans="1:7" x14ac:dyDescent="0.25">
      <c r="A147">
        <v>141</v>
      </c>
      <c r="G147"/>
    </row>
    <row r="148" spans="1:7" x14ac:dyDescent="0.25">
      <c r="A148">
        <v>142</v>
      </c>
      <c r="G148"/>
    </row>
    <row r="149" spans="1:7" x14ac:dyDescent="0.25">
      <c r="A149">
        <v>143</v>
      </c>
      <c r="G149"/>
    </row>
    <row r="150" spans="1:7" x14ac:dyDescent="0.25">
      <c r="A150">
        <v>144</v>
      </c>
      <c r="G150"/>
    </row>
    <row r="151" spans="1:7" x14ac:dyDescent="0.25">
      <c r="A151">
        <v>145</v>
      </c>
      <c r="G151"/>
    </row>
    <row r="152" spans="1:7" x14ac:dyDescent="0.25">
      <c r="A152">
        <v>146</v>
      </c>
      <c r="G152"/>
    </row>
    <row r="153" spans="1:7" x14ac:dyDescent="0.25">
      <c r="A153">
        <v>147</v>
      </c>
      <c r="G153"/>
    </row>
    <row r="154" spans="1:7" x14ac:dyDescent="0.25">
      <c r="A154">
        <v>148</v>
      </c>
      <c r="G154"/>
    </row>
    <row r="155" spans="1:7" x14ac:dyDescent="0.25">
      <c r="A155">
        <v>149</v>
      </c>
      <c r="G155"/>
    </row>
    <row r="156" spans="1:7" x14ac:dyDescent="0.25">
      <c r="A156">
        <v>150</v>
      </c>
      <c r="G156"/>
    </row>
    <row r="157" spans="1:7" x14ac:dyDescent="0.25">
      <c r="A157">
        <v>151</v>
      </c>
      <c r="G157"/>
    </row>
    <row r="158" spans="1:7" x14ac:dyDescent="0.25">
      <c r="A158">
        <v>152</v>
      </c>
      <c r="G158"/>
    </row>
    <row r="159" spans="1:7" x14ac:dyDescent="0.25">
      <c r="A159">
        <v>153</v>
      </c>
      <c r="G159"/>
    </row>
    <row r="160" spans="1:7" x14ac:dyDescent="0.25">
      <c r="A160">
        <v>154</v>
      </c>
      <c r="G160"/>
    </row>
    <row r="161" spans="1:7" x14ac:dyDescent="0.25">
      <c r="A161">
        <v>155</v>
      </c>
      <c r="G161"/>
    </row>
    <row r="162" spans="1:7" x14ac:dyDescent="0.25">
      <c r="A162">
        <v>156</v>
      </c>
      <c r="G162"/>
    </row>
    <row r="163" spans="1:7" x14ac:dyDescent="0.25">
      <c r="A163">
        <v>157</v>
      </c>
      <c r="G163"/>
    </row>
    <row r="164" spans="1:7" x14ac:dyDescent="0.25">
      <c r="A164">
        <v>158</v>
      </c>
      <c r="G164"/>
    </row>
    <row r="165" spans="1:7" x14ac:dyDescent="0.25">
      <c r="A165">
        <v>159</v>
      </c>
      <c r="G165"/>
    </row>
    <row r="166" spans="1:7" x14ac:dyDescent="0.25">
      <c r="A166">
        <v>160</v>
      </c>
      <c r="G166"/>
    </row>
    <row r="167" spans="1:7" x14ac:dyDescent="0.25">
      <c r="A167">
        <v>161</v>
      </c>
      <c r="G167"/>
    </row>
    <row r="168" spans="1:7" x14ac:dyDescent="0.25">
      <c r="A168">
        <v>162</v>
      </c>
      <c r="G168"/>
    </row>
    <row r="169" spans="1:7" x14ac:dyDescent="0.25">
      <c r="A169">
        <v>163</v>
      </c>
      <c r="G169"/>
    </row>
    <row r="170" spans="1:7" x14ac:dyDescent="0.25">
      <c r="A170">
        <v>164</v>
      </c>
      <c r="G170"/>
    </row>
    <row r="171" spans="1:7" x14ac:dyDescent="0.25">
      <c r="A171">
        <v>165</v>
      </c>
      <c r="G171"/>
    </row>
    <row r="172" spans="1:7" x14ac:dyDescent="0.25">
      <c r="A172">
        <v>166</v>
      </c>
      <c r="G172"/>
    </row>
    <row r="173" spans="1:7" x14ac:dyDescent="0.25">
      <c r="A173">
        <v>167</v>
      </c>
      <c r="G173"/>
    </row>
    <row r="174" spans="1:7" x14ac:dyDescent="0.25">
      <c r="A174">
        <v>168</v>
      </c>
      <c r="G174"/>
    </row>
    <row r="175" spans="1:7" x14ac:dyDescent="0.25">
      <c r="A175">
        <v>169</v>
      </c>
      <c r="G175"/>
    </row>
    <row r="176" spans="1:7" x14ac:dyDescent="0.25">
      <c r="A176">
        <v>170</v>
      </c>
      <c r="G176"/>
    </row>
    <row r="177" spans="1:7" x14ac:dyDescent="0.25">
      <c r="A177">
        <v>171</v>
      </c>
      <c r="G177"/>
    </row>
    <row r="178" spans="1:7" x14ac:dyDescent="0.25">
      <c r="A178">
        <v>172</v>
      </c>
      <c r="G178"/>
    </row>
    <row r="179" spans="1:7" x14ac:dyDescent="0.25">
      <c r="A179">
        <v>173</v>
      </c>
      <c r="G179"/>
    </row>
    <row r="180" spans="1:7" x14ac:dyDescent="0.25">
      <c r="A180">
        <v>174</v>
      </c>
      <c r="G180"/>
    </row>
    <row r="181" spans="1:7" x14ac:dyDescent="0.25">
      <c r="A181">
        <v>175</v>
      </c>
      <c r="G181"/>
    </row>
    <row r="182" spans="1:7" x14ac:dyDescent="0.25">
      <c r="A182">
        <v>176</v>
      </c>
      <c r="G182"/>
    </row>
    <row r="183" spans="1:7" x14ac:dyDescent="0.25">
      <c r="A183">
        <v>177</v>
      </c>
      <c r="G183"/>
    </row>
    <row r="184" spans="1:7" x14ac:dyDescent="0.25">
      <c r="A184">
        <v>178</v>
      </c>
      <c r="G184"/>
    </row>
    <row r="185" spans="1:7" x14ac:dyDescent="0.25">
      <c r="A185">
        <v>179</v>
      </c>
      <c r="G185"/>
    </row>
    <row r="186" spans="1:7" x14ac:dyDescent="0.25">
      <c r="A186">
        <v>180</v>
      </c>
      <c r="G186"/>
    </row>
    <row r="187" spans="1:7" x14ac:dyDescent="0.25">
      <c r="A187">
        <v>181</v>
      </c>
      <c r="G187"/>
    </row>
    <row r="188" spans="1:7" x14ac:dyDescent="0.25">
      <c r="A188">
        <v>182</v>
      </c>
      <c r="G188"/>
    </row>
    <row r="189" spans="1:7" x14ac:dyDescent="0.25">
      <c r="A189">
        <v>183</v>
      </c>
      <c r="G189"/>
    </row>
    <row r="190" spans="1:7" x14ac:dyDescent="0.25">
      <c r="A190">
        <v>184</v>
      </c>
      <c r="G190"/>
    </row>
    <row r="191" spans="1:7" x14ac:dyDescent="0.25">
      <c r="A191">
        <v>185</v>
      </c>
      <c r="G191"/>
    </row>
    <row r="192" spans="1:7" x14ac:dyDescent="0.25">
      <c r="A192">
        <v>186</v>
      </c>
      <c r="G192"/>
    </row>
    <row r="193" spans="1:7" x14ac:dyDescent="0.25">
      <c r="A193">
        <v>187</v>
      </c>
      <c r="G193"/>
    </row>
    <row r="194" spans="1:7" x14ac:dyDescent="0.25">
      <c r="A194">
        <v>188</v>
      </c>
      <c r="G194"/>
    </row>
    <row r="195" spans="1:7" x14ac:dyDescent="0.25">
      <c r="A195">
        <v>189</v>
      </c>
      <c r="G195"/>
    </row>
    <row r="196" spans="1:7" x14ac:dyDescent="0.25">
      <c r="A196">
        <v>190</v>
      </c>
      <c r="G196"/>
    </row>
    <row r="197" spans="1:7" x14ac:dyDescent="0.25">
      <c r="A197">
        <v>191</v>
      </c>
      <c r="G197"/>
    </row>
    <row r="198" spans="1:7" x14ac:dyDescent="0.25">
      <c r="A198">
        <v>192</v>
      </c>
      <c r="G198"/>
    </row>
    <row r="199" spans="1:7" x14ac:dyDescent="0.25">
      <c r="A199">
        <v>193</v>
      </c>
      <c r="G199"/>
    </row>
    <row r="200" spans="1:7" x14ac:dyDescent="0.25">
      <c r="A200">
        <v>194</v>
      </c>
      <c r="G200"/>
    </row>
    <row r="201" spans="1:7" x14ac:dyDescent="0.25">
      <c r="A201">
        <v>195</v>
      </c>
      <c r="G201"/>
    </row>
    <row r="202" spans="1:7" x14ac:dyDescent="0.25">
      <c r="A202">
        <v>196</v>
      </c>
      <c r="G202"/>
    </row>
    <row r="203" spans="1:7" x14ac:dyDescent="0.25">
      <c r="A203">
        <v>197</v>
      </c>
      <c r="G203"/>
    </row>
    <row r="204" spans="1:7" x14ac:dyDescent="0.25">
      <c r="A204">
        <v>198</v>
      </c>
      <c r="G204"/>
    </row>
    <row r="205" spans="1:7" x14ac:dyDescent="0.25">
      <c r="A205">
        <v>199</v>
      </c>
      <c r="G205"/>
    </row>
    <row r="206" spans="1:7" x14ac:dyDescent="0.25">
      <c r="A206">
        <v>200</v>
      </c>
      <c r="G206"/>
    </row>
    <row r="207" spans="1:7" x14ac:dyDescent="0.25">
      <c r="A207">
        <v>201</v>
      </c>
      <c r="G207"/>
    </row>
    <row r="208" spans="1:7" x14ac:dyDescent="0.25">
      <c r="A208">
        <v>202</v>
      </c>
      <c r="G208"/>
    </row>
    <row r="209" spans="1:7" x14ac:dyDescent="0.25">
      <c r="A209">
        <v>203</v>
      </c>
      <c r="G209"/>
    </row>
    <row r="210" spans="1:7" x14ac:dyDescent="0.25">
      <c r="A210">
        <v>204</v>
      </c>
      <c r="G210"/>
    </row>
    <row r="211" spans="1:7" x14ac:dyDescent="0.25">
      <c r="A211">
        <v>205</v>
      </c>
      <c r="G211"/>
    </row>
    <row r="212" spans="1:7" x14ac:dyDescent="0.25">
      <c r="A212">
        <v>206</v>
      </c>
      <c r="G212"/>
    </row>
    <row r="213" spans="1:7" x14ac:dyDescent="0.25">
      <c r="A213">
        <v>207</v>
      </c>
      <c r="G213"/>
    </row>
    <row r="214" spans="1:7" x14ac:dyDescent="0.25">
      <c r="A214">
        <v>208</v>
      </c>
      <c r="G214"/>
    </row>
    <row r="215" spans="1:7" x14ac:dyDescent="0.25">
      <c r="A215">
        <v>209</v>
      </c>
      <c r="G215"/>
    </row>
    <row r="216" spans="1:7" x14ac:dyDescent="0.25">
      <c r="A216">
        <v>210</v>
      </c>
      <c r="G216"/>
    </row>
    <row r="217" spans="1:7" x14ac:dyDescent="0.25">
      <c r="A217">
        <v>211</v>
      </c>
      <c r="G217"/>
    </row>
    <row r="218" spans="1:7" x14ac:dyDescent="0.25">
      <c r="A218">
        <v>212</v>
      </c>
      <c r="G218"/>
    </row>
    <row r="219" spans="1:7" x14ac:dyDescent="0.25">
      <c r="A219">
        <v>213</v>
      </c>
      <c r="G219"/>
    </row>
    <row r="220" spans="1:7" x14ac:dyDescent="0.25">
      <c r="A220">
        <v>214</v>
      </c>
      <c r="G220"/>
    </row>
    <row r="221" spans="1:7" x14ac:dyDescent="0.25">
      <c r="A221">
        <v>215</v>
      </c>
      <c r="G221"/>
    </row>
    <row r="222" spans="1:7" x14ac:dyDescent="0.25">
      <c r="A222">
        <v>216</v>
      </c>
      <c r="G222"/>
    </row>
    <row r="223" spans="1:7" x14ac:dyDescent="0.25">
      <c r="A223">
        <v>217</v>
      </c>
      <c r="G223"/>
    </row>
    <row r="224" spans="1:7" x14ac:dyDescent="0.25">
      <c r="A224">
        <v>218</v>
      </c>
      <c r="G224"/>
    </row>
    <row r="225" spans="1:7" x14ac:dyDescent="0.25">
      <c r="A225">
        <v>219</v>
      </c>
      <c r="G225"/>
    </row>
    <row r="226" spans="1:7" x14ac:dyDescent="0.25">
      <c r="A226">
        <v>220</v>
      </c>
      <c r="G226"/>
    </row>
    <row r="227" spans="1:7" x14ac:dyDescent="0.25">
      <c r="A227">
        <v>221</v>
      </c>
      <c r="G227"/>
    </row>
    <row r="228" spans="1:7" x14ac:dyDescent="0.25">
      <c r="A228">
        <v>222</v>
      </c>
      <c r="G228"/>
    </row>
    <row r="229" spans="1:7" x14ac:dyDescent="0.25">
      <c r="A229">
        <v>223</v>
      </c>
      <c r="G229"/>
    </row>
    <row r="230" spans="1:7" x14ac:dyDescent="0.25">
      <c r="A230">
        <v>224</v>
      </c>
      <c r="G230"/>
    </row>
    <row r="231" spans="1:7" x14ac:dyDescent="0.25">
      <c r="A231">
        <v>225</v>
      </c>
      <c r="G231"/>
    </row>
    <row r="232" spans="1:7" x14ac:dyDescent="0.25">
      <c r="A232">
        <v>226</v>
      </c>
      <c r="G232"/>
    </row>
    <row r="233" spans="1:7" x14ac:dyDescent="0.25">
      <c r="A233">
        <v>227</v>
      </c>
      <c r="G233"/>
    </row>
    <row r="234" spans="1:7" x14ac:dyDescent="0.25">
      <c r="A234">
        <v>228</v>
      </c>
      <c r="G234"/>
    </row>
    <row r="235" spans="1:7" x14ac:dyDescent="0.25">
      <c r="A235">
        <v>229</v>
      </c>
      <c r="G235"/>
    </row>
    <row r="236" spans="1:7" x14ac:dyDescent="0.25">
      <c r="A236">
        <v>230</v>
      </c>
      <c r="G236"/>
    </row>
    <row r="237" spans="1:7" x14ac:dyDescent="0.25">
      <c r="A237">
        <v>231</v>
      </c>
      <c r="G237"/>
    </row>
    <row r="238" spans="1:7" x14ac:dyDescent="0.25">
      <c r="A238">
        <v>232</v>
      </c>
      <c r="G238"/>
    </row>
    <row r="239" spans="1:7" x14ac:dyDescent="0.25">
      <c r="A239">
        <v>233</v>
      </c>
      <c r="G239"/>
    </row>
    <row r="240" spans="1:7" x14ac:dyDescent="0.25">
      <c r="A240">
        <v>234</v>
      </c>
      <c r="G240"/>
    </row>
    <row r="241" spans="1:7" x14ac:dyDescent="0.25">
      <c r="A241">
        <v>235</v>
      </c>
      <c r="G241"/>
    </row>
    <row r="242" spans="1:7" x14ac:dyDescent="0.25">
      <c r="A242">
        <v>236</v>
      </c>
      <c r="G242"/>
    </row>
    <row r="243" spans="1:7" x14ac:dyDescent="0.25">
      <c r="A243">
        <v>237</v>
      </c>
      <c r="G243"/>
    </row>
    <row r="244" spans="1:7" x14ac:dyDescent="0.25">
      <c r="A244">
        <v>238</v>
      </c>
      <c r="G244"/>
    </row>
    <row r="245" spans="1:7" x14ac:dyDescent="0.25">
      <c r="A245">
        <v>239</v>
      </c>
      <c r="G245"/>
    </row>
    <row r="246" spans="1:7" x14ac:dyDescent="0.25">
      <c r="A246">
        <v>240</v>
      </c>
      <c r="G246"/>
    </row>
    <row r="247" spans="1:7" x14ac:dyDescent="0.25">
      <c r="A247">
        <v>241</v>
      </c>
      <c r="G247"/>
    </row>
    <row r="248" spans="1:7" x14ac:dyDescent="0.25">
      <c r="A248">
        <v>242</v>
      </c>
      <c r="G248"/>
    </row>
    <row r="249" spans="1:7" x14ac:dyDescent="0.25">
      <c r="A249">
        <v>243</v>
      </c>
      <c r="G249"/>
    </row>
    <row r="250" spans="1:7" x14ac:dyDescent="0.25">
      <c r="A250">
        <v>244</v>
      </c>
      <c r="G250"/>
    </row>
    <row r="251" spans="1:7" x14ac:dyDescent="0.25">
      <c r="A251">
        <v>245</v>
      </c>
      <c r="G251"/>
    </row>
    <row r="252" spans="1:7" x14ac:dyDescent="0.25">
      <c r="A252">
        <v>246</v>
      </c>
      <c r="G252"/>
    </row>
    <row r="253" spans="1:7" x14ac:dyDescent="0.25">
      <c r="A253">
        <v>247</v>
      </c>
      <c r="G253"/>
    </row>
    <row r="254" spans="1:7" x14ac:dyDescent="0.25">
      <c r="A254">
        <v>248</v>
      </c>
      <c r="G254"/>
    </row>
    <row r="255" spans="1:7" x14ac:dyDescent="0.25">
      <c r="A255">
        <v>249</v>
      </c>
      <c r="G255"/>
    </row>
    <row r="256" spans="1:7" x14ac:dyDescent="0.25">
      <c r="A256">
        <v>250</v>
      </c>
      <c r="G256"/>
    </row>
    <row r="257" spans="1:7" x14ac:dyDescent="0.25">
      <c r="A257">
        <v>251</v>
      </c>
      <c r="G257"/>
    </row>
    <row r="258" spans="1:7" x14ac:dyDescent="0.25">
      <c r="A258">
        <v>252</v>
      </c>
      <c r="G258"/>
    </row>
    <row r="259" spans="1:7" x14ac:dyDescent="0.25">
      <c r="A259">
        <v>253</v>
      </c>
      <c r="G259"/>
    </row>
    <row r="260" spans="1:7" x14ac:dyDescent="0.25">
      <c r="A260">
        <v>254</v>
      </c>
      <c r="G260"/>
    </row>
    <row r="261" spans="1:7" x14ac:dyDescent="0.25">
      <c r="A261">
        <v>255</v>
      </c>
      <c r="G261"/>
    </row>
    <row r="262" spans="1:7" x14ac:dyDescent="0.25">
      <c r="A262">
        <v>256</v>
      </c>
      <c r="G262"/>
    </row>
    <row r="263" spans="1:7" x14ac:dyDescent="0.25">
      <c r="A263">
        <v>257</v>
      </c>
      <c r="G263"/>
    </row>
    <row r="264" spans="1:7" x14ac:dyDescent="0.25">
      <c r="A264">
        <v>258</v>
      </c>
      <c r="G264"/>
    </row>
    <row r="265" spans="1:7" x14ac:dyDescent="0.25">
      <c r="A265">
        <v>259</v>
      </c>
      <c r="G265"/>
    </row>
    <row r="266" spans="1:7" x14ac:dyDescent="0.25">
      <c r="A266">
        <v>260</v>
      </c>
      <c r="G266"/>
    </row>
    <row r="267" spans="1:7" x14ac:dyDescent="0.25">
      <c r="A267">
        <v>261</v>
      </c>
      <c r="G267"/>
    </row>
    <row r="268" spans="1:7" x14ac:dyDescent="0.25">
      <c r="A268">
        <v>262</v>
      </c>
      <c r="G268"/>
    </row>
    <row r="269" spans="1:7" x14ac:dyDescent="0.25">
      <c r="A269">
        <v>263</v>
      </c>
      <c r="G269"/>
    </row>
    <row r="270" spans="1:7" x14ac:dyDescent="0.25">
      <c r="A270">
        <v>264</v>
      </c>
      <c r="G270"/>
    </row>
    <row r="271" spans="1:7" x14ac:dyDescent="0.25">
      <c r="A271">
        <v>265</v>
      </c>
      <c r="G271"/>
    </row>
    <row r="272" spans="1:7" x14ac:dyDescent="0.25">
      <c r="A272">
        <v>266</v>
      </c>
      <c r="G272"/>
    </row>
    <row r="273" spans="1:7" x14ac:dyDescent="0.25">
      <c r="A273">
        <v>267</v>
      </c>
      <c r="G273"/>
    </row>
    <row r="274" spans="1:7" x14ac:dyDescent="0.25">
      <c r="A274">
        <v>268</v>
      </c>
      <c r="G274"/>
    </row>
    <row r="275" spans="1:7" x14ac:dyDescent="0.25">
      <c r="A275">
        <v>269</v>
      </c>
      <c r="G275"/>
    </row>
    <row r="276" spans="1:7" x14ac:dyDescent="0.25">
      <c r="A276">
        <v>270</v>
      </c>
      <c r="G276"/>
    </row>
    <row r="277" spans="1:7" x14ac:dyDescent="0.25">
      <c r="A277">
        <v>271</v>
      </c>
      <c r="G277"/>
    </row>
    <row r="278" spans="1:7" x14ac:dyDescent="0.25">
      <c r="A278">
        <v>272</v>
      </c>
      <c r="G278"/>
    </row>
    <row r="279" spans="1:7" x14ac:dyDescent="0.25">
      <c r="A279">
        <v>273</v>
      </c>
      <c r="G279"/>
    </row>
    <row r="280" spans="1:7" x14ac:dyDescent="0.25">
      <c r="A280">
        <v>274</v>
      </c>
      <c r="G280"/>
    </row>
    <row r="281" spans="1:7" x14ac:dyDescent="0.25">
      <c r="A281">
        <v>275</v>
      </c>
      <c r="G281"/>
    </row>
    <row r="282" spans="1:7" x14ac:dyDescent="0.25">
      <c r="A282">
        <v>276</v>
      </c>
      <c r="G282"/>
    </row>
    <row r="283" spans="1:7" x14ac:dyDescent="0.25">
      <c r="A283">
        <v>277</v>
      </c>
      <c r="G283"/>
    </row>
    <row r="284" spans="1:7" x14ac:dyDescent="0.25">
      <c r="A284">
        <v>278</v>
      </c>
      <c r="G284"/>
    </row>
    <row r="285" spans="1:7" x14ac:dyDescent="0.25">
      <c r="A285">
        <v>279</v>
      </c>
      <c r="G285"/>
    </row>
    <row r="286" spans="1:7" x14ac:dyDescent="0.25">
      <c r="A286">
        <v>280</v>
      </c>
      <c r="G286"/>
    </row>
    <row r="287" spans="1:7" x14ac:dyDescent="0.25">
      <c r="A287">
        <v>281</v>
      </c>
      <c r="G287"/>
    </row>
    <row r="288" spans="1:7" x14ac:dyDescent="0.25">
      <c r="A288">
        <v>282</v>
      </c>
      <c r="G288"/>
    </row>
    <row r="289" spans="1:7" x14ac:dyDescent="0.25">
      <c r="A289">
        <v>283</v>
      </c>
      <c r="G289"/>
    </row>
    <row r="290" spans="1:7" x14ac:dyDescent="0.25">
      <c r="A290">
        <v>284</v>
      </c>
      <c r="G290"/>
    </row>
    <row r="291" spans="1:7" x14ac:dyDescent="0.25">
      <c r="A291">
        <v>285</v>
      </c>
      <c r="G291"/>
    </row>
    <row r="292" spans="1:7" x14ac:dyDescent="0.25">
      <c r="A292">
        <v>286</v>
      </c>
      <c r="G292"/>
    </row>
    <row r="293" spans="1:7" x14ac:dyDescent="0.25">
      <c r="A293">
        <v>287</v>
      </c>
      <c r="G293"/>
    </row>
    <row r="294" spans="1:7" x14ac:dyDescent="0.25">
      <c r="A294">
        <v>288</v>
      </c>
      <c r="G294"/>
    </row>
    <row r="295" spans="1:7" x14ac:dyDescent="0.25">
      <c r="A295">
        <v>289</v>
      </c>
      <c r="G295"/>
    </row>
    <row r="296" spans="1:7" x14ac:dyDescent="0.25">
      <c r="A296">
        <v>290</v>
      </c>
      <c r="G296"/>
    </row>
    <row r="297" spans="1:7" x14ac:dyDescent="0.25">
      <c r="A297">
        <v>291</v>
      </c>
      <c r="G297"/>
    </row>
    <row r="298" spans="1:7" x14ac:dyDescent="0.25">
      <c r="A298">
        <v>292</v>
      </c>
      <c r="G298"/>
    </row>
    <row r="299" spans="1:7" x14ac:dyDescent="0.25">
      <c r="A299">
        <v>293</v>
      </c>
      <c r="G299"/>
    </row>
    <row r="300" spans="1:7" x14ac:dyDescent="0.25">
      <c r="A300">
        <v>294</v>
      </c>
      <c r="G300"/>
    </row>
    <row r="301" spans="1:7" x14ac:dyDescent="0.25">
      <c r="A301">
        <v>295</v>
      </c>
      <c r="G301"/>
    </row>
    <row r="302" spans="1:7" x14ac:dyDescent="0.25">
      <c r="A302">
        <v>296</v>
      </c>
      <c r="G302"/>
    </row>
    <row r="303" spans="1:7" x14ac:dyDescent="0.25">
      <c r="A303">
        <v>297</v>
      </c>
      <c r="G303"/>
    </row>
    <row r="304" spans="1:7" x14ac:dyDescent="0.25">
      <c r="A304">
        <v>298</v>
      </c>
      <c r="G304"/>
    </row>
    <row r="305" spans="1:7" x14ac:dyDescent="0.25">
      <c r="A305">
        <v>299</v>
      </c>
      <c r="G305"/>
    </row>
    <row r="306" spans="1:7" x14ac:dyDescent="0.25">
      <c r="A306">
        <v>300</v>
      </c>
      <c r="G306"/>
    </row>
    <row r="307" spans="1:7" x14ac:dyDescent="0.25">
      <c r="A307">
        <v>301</v>
      </c>
      <c r="G307"/>
    </row>
    <row r="308" spans="1:7" x14ac:dyDescent="0.25">
      <c r="A308">
        <v>302</v>
      </c>
      <c r="G308"/>
    </row>
    <row r="309" spans="1:7" x14ac:dyDescent="0.25">
      <c r="A309">
        <v>303</v>
      </c>
      <c r="G309"/>
    </row>
    <row r="310" spans="1:7" x14ac:dyDescent="0.25">
      <c r="A310">
        <v>304</v>
      </c>
      <c r="G310"/>
    </row>
    <row r="311" spans="1:7" x14ac:dyDescent="0.25">
      <c r="A311">
        <v>305</v>
      </c>
      <c r="G311"/>
    </row>
    <row r="312" spans="1:7" x14ac:dyDescent="0.25">
      <c r="A312">
        <v>306</v>
      </c>
      <c r="G312"/>
    </row>
    <row r="313" spans="1:7" x14ac:dyDescent="0.25">
      <c r="A313">
        <v>307</v>
      </c>
      <c r="G313"/>
    </row>
    <row r="314" spans="1:7" x14ac:dyDescent="0.25">
      <c r="A314">
        <v>308</v>
      </c>
      <c r="G314"/>
    </row>
    <row r="315" spans="1:7" x14ac:dyDescent="0.25">
      <c r="A315">
        <v>309</v>
      </c>
      <c r="G315"/>
    </row>
    <row r="316" spans="1:7" x14ac:dyDescent="0.25">
      <c r="A316">
        <v>310</v>
      </c>
      <c r="G316"/>
    </row>
    <row r="317" spans="1:7" x14ac:dyDescent="0.25">
      <c r="A317">
        <v>311</v>
      </c>
      <c r="G317"/>
    </row>
    <row r="318" spans="1:7" x14ac:dyDescent="0.25">
      <c r="A318">
        <v>312</v>
      </c>
      <c r="G318"/>
    </row>
    <row r="319" spans="1:7" x14ac:dyDescent="0.25">
      <c r="A319">
        <v>313</v>
      </c>
      <c r="G319"/>
    </row>
    <row r="320" spans="1:7" x14ac:dyDescent="0.25">
      <c r="A320">
        <v>314</v>
      </c>
      <c r="G320"/>
    </row>
    <row r="321" spans="1:7" x14ac:dyDescent="0.25">
      <c r="A321">
        <v>315</v>
      </c>
      <c r="G321"/>
    </row>
    <row r="322" spans="1:7" x14ac:dyDescent="0.25">
      <c r="A322">
        <v>316</v>
      </c>
      <c r="G322"/>
    </row>
    <row r="323" spans="1:7" x14ac:dyDescent="0.25">
      <c r="A323">
        <v>317</v>
      </c>
      <c r="G323"/>
    </row>
    <row r="324" spans="1:7" x14ac:dyDescent="0.25">
      <c r="A324">
        <v>318</v>
      </c>
      <c r="G324"/>
    </row>
    <row r="325" spans="1:7" x14ac:dyDescent="0.25">
      <c r="A325">
        <v>319</v>
      </c>
      <c r="G325"/>
    </row>
    <row r="326" spans="1:7" x14ac:dyDescent="0.25">
      <c r="A326">
        <v>320</v>
      </c>
      <c r="G326"/>
    </row>
    <row r="327" spans="1:7" x14ac:dyDescent="0.25">
      <c r="A327">
        <v>321</v>
      </c>
      <c r="G327"/>
    </row>
    <row r="328" spans="1:7" x14ac:dyDescent="0.25">
      <c r="A328">
        <v>322</v>
      </c>
      <c r="G328"/>
    </row>
    <row r="329" spans="1:7" x14ac:dyDescent="0.25">
      <c r="A329">
        <v>323</v>
      </c>
      <c r="G329"/>
    </row>
    <row r="330" spans="1:7" x14ac:dyDescent="0.25">
      <c r="A330">
        <v>324</v>
      </c>
      <c r="G330"/>
    </row>
    <row r="331" spans="1:7" x14ac:dyDescent="0.25">
      <c r="A331">
        <v>325</v>
      </c>
      <c r="G331"/>
    </row>
    <row r="332" spans="1:7" x14ac:dyDescent="0.25">
      <c r="A332">
        <v>326</v>
      </c>
      <c r="G332"/>
    </row>
    <row r="333" spans="1:7" x14ac:dyDescent="0.25">
      <c r="A333">
        <v>327</v>
      </c>
      <c r="G333"/>
    </row>
    <row r="334" spans="1:7" x14ac:dyDescent="0.25">
      <c r="A334">
        <v>328</v>
      </c>
      <c r="G334"/>
    </row>
    <row r="335" spans="1:7" x14ac:dyDescent="0.25">
      <c r="A335">
        <v>329</v>
      </c>
      <c r="G335"/>
    </row>
    <row r="336" spans="1:7" x14ac:dyDescent="0.25">
      <c r="A336">
        <v>330</v>
      </c>
      <c r="G336"/>
    </row>
    <row r="337" spans="1:7" x14ac:dyDescent="0.25">
      <c r="A337">
        <v>331</v>
      </c>
      <c r="G337"/>
    </row>
    <row r="338" spans="1:7" x14ac:dyDescent="0.25">
      <c r="A338">
        <v>332</v>
      </c>
      <c r="G338"/>
    </row>
    <row r="339" spans="1:7" x14ac:dyDescent="0.25">
      <c r="A339">
        <v>333</v>
      </c>
      <c r="G339"/>
    </row>
    <row r="340" spans="1:7" x14ac:dyDescent="0.25">
      <c r="A340">
        <v>334</v>
      </c>
      <c r="G340"/>
    </row>
    <row r="341" spans="1:7" x14ac:dyDescent="0.25">
      <c r="A341">
        <v>335</v>
      </c>
      <c r="G341"/>
    </row>
    <row r="342" spans="1:7" x14ac:dyDescent="0.25">
      <c r="A342">
        <v>336</v>
      </c>
      <c r="G342"/>
    </row>
    <row r="343" spans="1:7" x14ac:dyDescent="0.25">
      <c r="A343">
        <v>337</v>
      </c>
      <c r="G343"/>
    </row>
    <row r="344" spans="1:7" x14ac:dyDescent="0.25">
      <c r="A344">
        <v>338</v>
      </c>
      <c r="G344"/>
    </row>
    <row r="345" spans="1:7" x14ac:dyDescent="0.25">
      <c r="A345">
        <v>339</v>
      </c>
      <c r="G345"/>
    </row>
    <row r="346" spans="1:7" x14ac:dyDescent="0.25">
      <c r="A346">
        <v>340</v>
      </c>
      <c r="G346"/>
    </row>
    <row r="347" spans="1:7" x14ac:dyDescent="0.25">
      <c r="A347">
        <v>341</v>
      </c>
      <c r="G347"/>
    </row>
    <row r="348" spans="1:7" x14ac:dyDescent="0.25">
      <c r="A348">
        <v>342</v>
      </c>
      <c r="G348"/>
    </row>
    <row r="349" spans="1:7" x14ac:dyDescent="0.25">
      <c r="A349">
        <v>343</v>
      </c>
      <c r="G349"/>
    </row>
    <row r="350" spans="1:7" x14ac:dyDescent="0.25">
      <c r="A350">
        <v>344</v>
      </c>
      <c r="G350"/>
    </row>
    <row r="351" spans="1:7" x14ac:dyDescent="0.25">
      <c r="A351">
        <v>345</v>
      </c>
      <c r="G351"/>
    </row>
    <row r="352" spans="1:7" x14ac:dyDescent="0.25">
      <c r="A352">
        <v>346</v>
      </c>
      <c r="G352"/>
    </row>
    <row r="353" spans="1:7" x14ac:dyDescent="0.25">
      <c r="A353">
        <v>347</v>
      </c>
      <c r="G353"/>
    </row>
    <row r="354" spans="1:7" x14ac:dyDescent="0.25">
      <c r="A354">
        <v>348</v>
      </c>
      <c r="G354"/>
    </row>
    <row r="355" spans="1:7" x14ac:dyDescent="0.25">
      <c r="A355">
        <v>349</v>
      </c>
      <c r="G355"/>
    </row>
    <row r="356" spans="1:7" x14ac:dyDescent="0.25">
      <c r="A356">
        <v>350</v>
      </c>
      <c r="G356"/>
    </row>
    <row r="357" spans="1:7" x14ac:dyDescent="0.25">
      <c r="A357">
        <v>351</v>
      </c>
      <c r="G357"/>
    </row>
    <row r="358" spans="1:7" x14ac:dyDescent="0.25">
      <c r="A358">
        <v>352</v>
      </c>
      <c r="G358"/>
    </row>
    <row r="359" spans="1:7" x14ac:dyDescent="0.25">
      <c r="A359">
        <v>353</v>
      </c>
      <c r="G359"/>
    </row>
    <row r="360" spans="1:7" x14ac:dyDescent="0.25">
      <c r="A360">
        <v>354</v>
      </c>
      <c r="G360"/>
    </row>
    <row r="361" spans="1:7" x14ac:dyDescent="0.25">
      <c r="A361">
        <v>355</v>
      </c>
      <c r="G361"/>
    </row>
    <row r="362" spans="1:7" x14ac:dyDescent="0.25">
      <c r="A362">
        <v>356</v>
      </c>
      <c r="G362"/>
    </row>
    <row r="363" spans="1:7" x14ac:dyDescent="0.25">
      <c r="A363">
        <v>357</v>
      </c>
      <c r="G363"/>
    </row>
    <row r="364" spans="1:7" x14ac:dyDescent="0.25">
      <c r="A364">
        <v>358</v>
      </c>
      <c r="G364"/>
    </row>
    <row r="365" spans="1:7" x14ac:dyDescent="0.25">
      <c r="A365">
        <v>359</v>
      </c>
      <c r="G365"/>
    </row>
    <row r="366" spans="1:7" x14ac:dyDescent="0.25">
      <c r="A366">
        <v>360</v>
      </c>
      <c r="G366"/>
    </row>
    <row r="367" spans="1:7" x14ac:dyDescent="0.25">
      <c r="A367">
        <v>361</v>
      </c>
      <c r="G367"/>
    </row>
    <row r="368" spans="1:7" x14ac:dyDescent="0.25">
      <c r="A368">
        <v>362</v>
      </c>
      <c r="G368"/>
    </row>
    <row r="369" spans="1:7" x14ac:dyDescent="0.25">
      <c r="A369">
        <v>363</v>
      </c>
      <c r="G369"/>
    </row>
    <row r="370" spans="1:7" x14ac:dyDescent="0.25">
      <c r="A370">
        <v>364</v>
      </c>
      <c r="G370"/>
    </row>
    <row r="371" spans="1:7" x14ac:dyDescent="0.25">
      <c r="A371">
        <v>365</v>
      </c>
      <c r="G371"/>
    </row>
    <row r="372" spans="1:7" x14ac:dyDescent="0.25">
      <c r="A372">
        <v>366</v>
      </c>
      <c r="G372"/>
    </row>
    <row r="373" spans="1:7" x14ac:dyDescent="0.25">
      <c r="A373">
        <v>367</v>
      </c>
      <c r="G373"/>
    </row>
    <row r="374" spans="1:7" x14ac:dyDescent="0.25">
      <c r="A374">
        <v>368</v>
      </c>
      <c r="G374"/>
    </row>
    <row r="375" spans="1:7" x14ac:dyDescent="0.25">
      <c r="A375">
        <v>369</v>
      </c>
      <c r="G375"/>
    </row>
    <row r="376" spans="1:7" x14ac:dyDescent="0.25">
      <c r="A376">
        <v>370</v>
      </c>
      <c r="G376"/>
    </row>
    <row r="377" spans="1:7" x14ac:dyDescent="0.25">
      <c r="A377">
        <v>371</v>
      </c>
      <c r="G377"/>
    </row>
    <row r="378" spans="1:7" x14ac:dyDescent="0.25">
      <c r="A378">
        <v>372</v>
      </c>
      <c r="G378"/>
    </row>
    <row r="379" spans="1:7" x14ac:dyDescent="0.25">
      <c r="A379">
        <v>373</v>
      </c>
      <c r="G379"/>
    </row>
    <row r="380" spans="1:7" x14ac:dyDescent="0.25">
      <c r="A380">
        <v>374</v>
      </c>
      <c r="G380"/>
    </row>
    <row r="381" spans="1:7" x14ac:dyDescent="0.25">
      <c r="A381">
        <v>375</v>
      </c>
      <c r="G381"/>
    </row>
    <row r="382" spans="1:7" x14ac:dyDescent="0.25">
      <c r="A382">
        <v>376</v>
      </c>
      <c r="G382"/>
    </row>
    <row r="383" spans="1:7" x14ac:dyDescent="0.25">
      <c r="A383">
        <v>377</v>
      </c>
      <c r="G383"/>
    </row>
    <row r="384" spans="1:7" x14ac:dyDescent="0.25">
      <c r="A384">
        <v>378</v>
      </c>
      <c r="G384"/>
    </row>
    <row r="385" spans="1:7" x14ac:dyDescent="0.25">
      <c r="A385">
        <v>379</v>
      </c>
      <c r="G385"/>
    </row>
    <row r="386" spans="1:7" x14ac:dyDescent="0.25">
      <c r="A386">
        <v>380</v>
      </c>
      <c r="G386"/>
    </row>
    <row r="387" spans="1:7" x14ac:dyDescent="0.25">
      <c r="A387">
        <v>381</v>
      </c>
      <c r="G387"/>
    </row>
    <row r="388" spans="1:7" x14ac:dyDescent="0.25">
      <c r="A388">
        <v>382</v>
      </c>
      <c r="G388"/>
    </row>
    <row r="389" spans="1:7" x14ac:dyDescent="0.25">
      <c r="A389">
        <v>383</v>
      </c>
      <c r="G389"/>
    </row>
    <row r="390" spans="1:7" x14ac:dyDescent="0.25">
      <c r="A390">
        <v>384</v>
      </c>
      <c r="G390"/>
    </row>
    <row r="391" spans="1:7" x14ac:dyDescent="0.25">
      <c r="A391">
        <v>385</v>
      </c>
      <c r="G391"/>
    </row>
    <row r="392" spans="1:7" x14ac:dyDescent="0.25">
      <c r="A392">
        <v>386</v>
      </c>
      <c r="G392"/>
    </row>
    <row r="393" spans="1:7" x14ac:dyDescent="0.25">
      <c r="A393">
        <v>387</v>
      </c>
      <c r="G393"/>
    </row>
    <row r="394" spans="1:7" x14ac:dyDescent="0.25">
      <c r="A394">
        <v>388</v>
      </c>
      <c r="G394"/>
    </row>
    <row r="395" spans="1:7" x14ac:dyDescent="0.25">
      <c r="A395">
        <v>389</v>
      </c>
      <c r="G395"/>
    </row>
    <row r="396" spans="1:7" x14ac:dyDescent="0.25">
      <c r="A396">
        <v>390</v>
      </c>
      <c r="G396"/>
    </row>
    <row r="397" spans="1:7" x14ac:dyDescent="0.25">
      <c r="A397">
        <v>391</v>
      </c>
      <c r="G397"/>
    </row>
    <row r="398" spans="1:7" x14ac:dyDescent="0.25">
      <c r="A398">
        <v>392</v>
      </c>
      <c r="G398"/>
    </row>
    <row r="399" spans="1:7" x14ac:dyDescent="0.25">
      <c r="A399">
        <v>393</v>
      </c>
      <c r="G399"/>
    </row>
    <row r="400" spans="1:7" x14ac:dyDescent="0.25">
      <c r="A400">
        <v>394</v>
      </c>
      <c r="G400"/>
    </row>
    <row r="401" spans="1:7" x14ac:dyDescent="0.25">
      <c r="A401">
        <v>395</v>
      </c>
      <c r="G401"/>
    </row>
    <row r="402" spans="1:7" x14ac:dyDescent="0.25">
      <c r="A402">
        <v>396</v>
      </c>
      <c r="G402"/>
    </row>
    <row r="403" spans="1:7" x14ac:dyDescent="0.25">
      <c r="A403">
        <v>397</v>
      </c>
      <c r="G403"/>
    </row>
    <row r="404" spans="1:7" x14ac:dyDescent="0.25">
      <c r="A404">
        <v>398</v>
      </c>
      <c r="G404"/>
    </row>
    <row r="405" spans="1:7" x14ac:dyDescent="0.25">
      <c r="A405">
        <v>399</v>
      </c>
      <c r="G405"/>
    </row>
    <row r="406" spans="1:7" x14ac:dyDescent="0.25">
      <c r="A406">
        <v>400</v>
      </c>
      <c r="G406"/>
    </row>
    <row r="407" spans="1:7" x14ac:dyDescent="0.25">
      <c r="A407">
        <v>401</v>
      </c>
      <c r="G407"/>
    </row>
    <row r="408" spans="1:7" x14ac:dyDescent="0.25">
      <c r="A408">
        <v>402</v>
      </c>
      <c r="G408"/>
    </row>
    <row r="409" spans="1:7" x14ac:dyDescent="0.25">
      <c r="A409">
        <v>403</v>
      </c>
      <c r="G409"/>
    </row>
    <row r="410" spans="1:7" x14ac:dyDescent="0.25">
      <c r="A410">
        <v>404</v>
      </c>
      <c r="G410"/>
    </row>
    <row r="411" spans="1:7" x14ac:dyDescent="0.25">
      <c r="A411">
        <v>405</v>
      </c>
      <c r="G411"/>
    </row>
    <row r="412" spans="1:7" x14ac:dyDescent="0.25">
      <c r="A412">
        <v>406</v>
      </c>
      <c r="G412"/>
    </row>
    <row r="413" spans="1:7" x14ac:dyDescent="0.25">
      <c r="A413">
        <v>407</v>
      </c>
      <c r="G413"/>
    </row>
    <row r="414" spans="1:7" x14ac:dyDescent="0.25">
      <c r="A414">
        <v>408</v>
      </c>
      <c r="G414"/>
    </row>
    <row r="415" spans="1:7" x14ac:dyDescent="0.25">
      <c r="A415">
        <v>409</v>
      </c>
      <c r="G415"/>
    </row>
    <row r="416" spans="1:7" x14ac:dyDescent="0.25">
      <c r="A416">
        <v>410</v>
      </c>
      <c r="G416"/>
    </row>
    <row r="417" spans="1:7" x14ac:dyDescent="0.25">
      <c r="A417">
        <v>411</v>
      </c>
      <c r="G417"/>
    </row>
    <row r="418" spans="1:7" x14ac:dyDescent="0.25">
      <c r="A418">
        <v>412</v>
      </c>
      <c r="G418"/>
    </row>
    <row r="419" spans="1:7" x14ac:dyDescent="0.25">
      <c r="A419">
        <v>413</v>
      </c>
      <c r="G419"/>
    </row>
    <row r="420" spans="1:7" x14ac:dyDescent="0.25">
      <c r="A420">
        <v>414</v>
      </c>
      <c r="G420"/>
    </row>
    <row r="421" spans="1:7" x14ac:dyDescent="0.25">
      <c r="G421"/>
    </row>
    <row r="422" spans="1:7" x14ac:dyDescent="0.25">
      <c r="G422"/>
    </row>
    <row r="423" spans="1:7" x14ac:dyDescent="0.25">
      <c r="G423"/>
    </row>
    <row r="424" spans="1:7" x14ac:dyDescent="0.25">
      <c r="G424"/>
    </row>
    <row r="425" spans="1:7" x14ac:dyDescent="0.25">
      <c r="G425"/>
    </row>
    <row r="426" spans="1:7" x14ac:dyDescent="0.25">
      <c r="G426"/>
    </row>
    <row r="427" spans="1:7" x14ac:dyDescent="0.25">
      <c r="G427"/>
    </row>
    <row r="428" spans="1:7" x14ac:dyDescent="0.25">
      <c r="G428"/>
    </row>
    <row r="429" spans="1:7" x14ac:dyDescent="0.25">
      <c r="G429"/>
    </row>
    <row r="430" spans="1:7" x14ac:dyDescent="0.25">
      <c r="G430"/>
    </row>
    <row r="431" spans="1:7" x14ac:dyDescent="0.25">
      <c r="G431"/>
    </row>
    <row r="432" spans="1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73C48-1A52-4401-A8F7-3BBAA59C3F2C}">
  <sheetPr>
    <tabColor theme="6" tint="-0.249977111117893"/>
  </sheetPr>
  <dimension ref="A2:I529"/>
  <sheetViews>
    <sheetView workbookViewId="0">
      <selection activeCell="E31" sqref="E31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5" width="12.5703125" bestFit="1" customWidth="1"/>
    <col min="6" max="6" width="18" bestFit="1" customWidth="1"/>
    <col min="7" max="7" width="17.140625" style="6" bestFit="1" customWidth="1"/>
    <col min="8" max="8" width="20.5703125" bestFit="1" customWidth="1"/>
    <col min="9" max="9" width="14.42578125" bestFit="1" customWidth="1"/>
  </cols>
  <sheetData>
    <row r="2" spans="1:9" x14ac:dyDescent="0.25">
      <c r="B2" s="2" t="s">
        <v>27</v>
      </c>
      <c r="C2" t="s">
        <v>95</v>
      </c>
    </row>
    <row r="3" spans="1:9" x14ac:dyDescent="0.25">
      <c r="B3" s="2" t="s">
        <v>31</v>
      </c>
      <c r="C3" t="s">
        <v>132</v>
      </c>
    </row>
    <row r="4" spans="1:9" x14ac:dyDescent="0.25">
      <c r="G4"/>
    </row>
    <row r="5" spans="1:9" x14ac:dyDescent="0.25">
      <c r="F5" s="2" t="s">
        <v>4438</v>
      </c>
      <c r="G5"/>
    </row>
    <row r="6" spans="1:9" x14ac:dyDescent="0.25">
      <c r="B6" s="2" t="s">
        <v>0</v>
      </c>
      <c r="C6" s="2" t="s">
        <v>42</v>
      </c>
      <c r="D6" s="2" t="s">
        <v>24</v>
      </c>
      <c r="E6" s="2" t="s">
        <v>26</v>
      </c>
      <c r="F6" t="s">
        <v>4439</v>
      </c>
      <c r="G6" t="s">
        <v>4440</v>
      </c>
      <c r="H6" t="s">
        <v>4441</v>
      </c>
      <c r="I6" t="s">
        <v>4434</v>
      </c>
    </row>
    <row r="7" spans="1:9" x14ac:dyDescent="0.25">
      <c r="A7">
        <v>1</v>
      </c>
      <c r="B7" t="s">
        <v>3395</v>
      </c>
      <c r="C7" t="s">
        <v>147</v>
      </c>
      <c r="D7" t="s">
        <v>184</v>
      </c>
      <c r="E7">
        <v>55</v>
      </c>
      <c r="F7" s="4">
        <v>79</v>
      </c>
      <c r="G7" s="4">
        <v>95</v>
      </c>
      <c r="H7" s="4">
        <v>174</v>
      </c>
      <c r="I7" s="7">
        <v>257.83</v>
      </c>
    </row>
    <row r="8" spans="1:9" x14ac:dyDescent="0.25">
      <c r="A8">
        <v>2</v>
      </c>
      <c r="B8" t="s">
        <v>2260</v>
      </c>
      <c r="C8" t="s">
        <v>687</v>
      </c>
      <c r="D8" t="s">
        <v>184</v>
      </c>
      <c r="E8">
        <v>55</v>
      </c>
      <c r="F8" s="4">
        <v>74</v>
      </c>
      <c r="G8" s="4">
        <v>86</v>
      </c>
      <c r="H8" s="4">
        <v>160</v>
      </c>
      <c r="I8" s="7">
        <v>232.93</v>
      </c>
    </row>
    <row r="9" spans="1:9" x14ac:dyDescent="0.25">
      <c r="A9">
        <v>3</v>
      </c>
      <c r="B9" t="s">
        <v>1155</v>
      </c>
      <c r="C9" t="s">
        <v>556</v>
      </c>
      <c r="D9" t="s">
        <v>184</v>
      </c>
      <c r="E9">
        <v>55</v>
      </c>
      <c r="F9" s="4">
        <v>62</v>
      </c>
      <c r="G9" s="4">
        <v>78</v>
      </c>
      <c r="H9" s="4">
        <v>140</v>
      </c>
      <c r="I9" s="7">
        <v>203.94</v>
      </c>
    </row>
    <row r="10" spans="1:9" x14ac:dyDescent="0.25">
      <c r="A10">
        <v>4</v>
      </c>
      <c r="B10" t="s">
        <v>2146</v>
      </c>
      <c r="C10" t="s">
        <v>413</v>
      </c>
      <c r="D10" t="s">
        <v>98</v>
      </c>
      <c r="E10">
        <v>49</v>
      </c>
      <c r="F10" s="4">
        <v>56</v>
      </c>
      <c r="G10" s="4">
        <v>67</v>
      </c>
      <c r="H10" s="4">
        <v>123</v>
      </c>
      <c r="I10" s="7">
        <v>192.56</v>
      </c>
    </row>
    <row r="11" spans="1:9" x14ac:dyDescent="0.25">
      <c r="A11">
        <v>5</v>
      </c>
      <c r="B11" t="s">
        <v>3606</v>
      </c>
      <c r="C11" t="s">
        <v>171</v>
      </c>
      <c r="D11" t="s">
        <v>98</v>
      </c>
      <c r="E11">
        <v>76</v>
      </c>
      <c r="F11" s="4">
        <v>73</v>
      </c>
      <c r="G11" s="4">
        <v>81</v>
      </c>
      <c r="H11" s="4">
        <v>154</v>
      </c>
      <c r="I11" s="7">
        <v>183.72</v>
      </c>
    </row>
    <row r="12" spans="1:9" x14ac:dyDescent="0.25">
      <c r="A12">
        <v>6</v>
      </c>
      <c r="B12" t="s">
        <v>2805</v>
      </c>
      <c r="C12" t="s">
        <v>449</v>
      </c>
      <c r="D12" t="s">
        <v>94</v>
      </c>
      <c r="E12">
        <v>55</v>
      </c>
      <c r="F12" s="4">
        <v>51</v>
      </c>
      <c r="G12" s="4">
        <v>72</v>
      </c>
      <c r="H12" s="4">
        <v>123</v>
      </c>
      <c r="I12" s="7">
        <v>182.79</v>
      </c>
    </row>
    <row r="13" spans="1:9" x14ac:dyDescent="0.25">
      <c r="A13">
        <v>7</v>
      </c>
      <c r="B13" t="s">
        <v>2449</v>
      </c>
      <c r="C13" t="s">
        <v>883</v>
      </c>
      <c r="D13" t="s">
        <v>98</v>
      </c>
      <c r="E13">
        <v>71</v>
      </c>
      <c r="F13" s="4">
        <v>66</v>
      </c>
      <c r="G13" s="4">
        <v>80</v>
      </c>
      <c r="H13" s="4">
        <v>146</v>
      </c>
      <c r="I13" s="7">
        <v>180.1</v>
      </c>
    </row>
    <row r="14" spans="1:9" x14ac:dyDescent="0.25">
      <c r="A14">
        <v>8</v>
      </c>
      <c r="B14" t="s">
        <v>767</v>
      </c>
      <c r="C14" t="s">
        <v>395</v>
      </c>
      <c r="D14" t="s">
        <v>94</v>
      </c>
      <c r="E14">
        <v>64</v>
      </c>
      <c r="F14" s="4">
        <v>58</v>
      </c>
      <c r="G14" s="4">
        <v>73</v>
      </c>
      <c r="H14" s="4">
        <v>131</v>
      </c>
      <c r="I14" s="7">
        <v>175.44</v>
      </c>
    </row>
    <row r="15" spans="1:9" x14ac:dyDescent="0.25">
      <c r="A15">
        <v>9</v>
      </c>
      <c r="B15" t="s">
        <v>515</v>
      </c>
      <c r="C15" t="s">
        <v>519</v>
      </c>
      <c r="D15" t="s">
        <v>94</v>
      </c>
      <c r="E15">
        <v>55</v>
      </c>
      <c r="F15" s="4">
        <v>50</v>
      </c>
      <c r="G15" s="4">
        <v>71</v>
      </c>
      <c r="H15" s="4">
        <v>121</v>
      </c>
      <c r="I15" s="7">
        <v>173.75</v>
      </c>
    </row>
    <row r="16" spans="1:9" x14ac:dyDescent="0.25">
      <c r="A16">
        <v>10</v>
      </c>
      <c r="B16" t="s">
        <v>2957</v>
      </c>
      <c r="C16" t="s">
        <v>746</v>
      </c>
      <c r="D16" t="s">
        <v>94</v>
      </c>
      <c r="E16">
        <v>55</v>
      </c>
      <c r="F16" s="4">
        <v>53</v>
      </c>
      <c r="G16" s="4">
        <v>67</v>
      </c>
      <c r="H16" s="4">
        <v>120</v>
      </c>
      <c r="I16" s="7">
        <v>172.87</v>
      </c>
    </row>
    <row r="17" spans="1:9" x14ac:dyDescent="0.25">
      <c r="A17">
        <v>11</v>
      </c>
      <c r="B17" t="s">
        <v>3834</v>
      </c>
      <c r="C17" t="s">
        <v>937</v>
      </c>
      <c r="D17" t="s">
        <v>94</v>
      </c>
      <c r="E17">
        <v>55</v>
      </c>
      <c r="F17" s="4">
        <v>51</v>
      </c>
      <c r="G17" s="4">
        <v>65</v>
      </c>
      <c r="H17" s="4">
        <v>116</v>
      </c>
      <c r="I17" s="7">
        <v>169</v>
      </c>
    </row>
    <row r="18" spans="1:9" x14ac:dyDescent="0.25">
      <c r="A18">
        <v>12</v>
      </c>
      <c r="B18" t="s">
        <v>2180</v>
      </c>
      <c r="C18" t="s">
        <v>400</v>
      </c>
      <c r="D18" t="s">
        <v>94</v>
      </c>
      <c r="E18">
        <v>64</v>
      </c>
      <c r="F18" s="4">
        <v>55</v>
      </c>
      <c r="G18" s="4">
        <v>70</v>
      </c>
      <c r="H18" s="4">
        <v>125</v>
      </c>
      <c r="I18" s="7">
        <v>168.46</v>
      </c>
    </row>
    <row r="19" spans="1:9" x14ac:dyDescent="0.25">
      <c r="A19">
        <v>13</v>
      </c>
      <c r="B19" t="s">
        <v>1525</v>
      </c>
      <c r="C19" t="s">
        <v>47</v>
      </c>
      <c r="D19" t="s">
        <v>94</v>
      </c>
      <c r="E19">
        <v>55</v>
      </c>
      <c r="F19" s="4">
        <v>50</v>
      </c>
      <c r="G19" s="4">
        <v>65</v>
      </c>
      <c r="H19" s="4">
        <v>115</v>
      </c>
      <c r="I19" s="7">
        <v>167.41</v>
      </c>
    </row>
    <row r="20" spans="1:9" x14ac:dyDescent="0.25">
      <c r="A20">
        <v>14</v>
      </c>
      <c r="B20" t="s">
        <v>3697</v>
      </c>
      <c r="C20" t="s">
        <v>47</v>
      </c>
      <c r="D20" t="s">
        <v>94</v>
      </c>
      <c r="E20">
        <v>64</v>
      </c>
      <c r="F20" s="4">
        <v>57</v>
      </c>
      <c r="G20" s="4">
        <v>70</v>
      </c>
      <c r="H20" s="4">
        <v>127</v>
      </c>
      <c r="I20" s="7">
        <v>167.2</v>
      </c>
    </row>
    <row r="21" spans="1:9" x14ac:dyDescent="0.25">
      <c r="A21">
        <v>15</v>
      </c>
      <c r="B21" t="s">
        <v>2730</v>
      </c>
      <c r="C21" t="s">
        <v>413</v>
      </c>
      <c r="D21" t="s">
        <v>94</v>
      </c>
      <c r="E21">
        <v>64</v>
      </c>
      <c r="F21" s="4">
        <v>57</v>
      </c>
      <c r="G21" s="4">
        <v>70</v>
      </c>
      <c r="H21" s="4">
        <v>127</v>
      </c>
      <c r="I21" s="7">
        <v>167.07</v>
      </c>
    </row>
    <row r="22" spans="1:9" x14ac:dyDescent="0.25">
      <c r="A22">
        <v>16</v>
      </c>
      <c r="B22" t="s">
        <v>2960</v>
      </c>
      <c r="C22" t="s">
        <v>312</v>
      </c>
      <c r="D22" t="s">
        <v>94</v>
      </c>
      <c r="E22">
        <v>59</v>
      </c>
      <c r="F22" s="4">
        <v>53</v>
      </c>
      <c r="G22" s="4">
        <v>64</v>
      </c>
      <c r="H22" s="4">
        <v>117</v>
      </c>
      <c r="I22" s="7">
        <v>164.4</v>
      </c>
    </row>
    <row r="23" spans="1:9" x14ac:dyDescent="0.25">
      <c r="A23">
        <v>17</v>
      </c>
      <c r="B23" t="s">
        <v>885</v>
      </c>
      <c r="C23" t="s">
        <v>400</v>
      </c>
      <c r="D23" t="s">
        <v>94</v>
      </c>
      <c r="E23">
        <v>55</v>
      </c>
      <c r="F23" s="4">
        <v>52</v>
      </c>
      <c r="G23" s="4">
        <v>58</v>
      </c>
      <c r="H23" s="4">
        <v>110</v>
      </c>
      <c r="I23" s="7">
        <v>164.38</v>
      </c>
    </row>
    <row r="24" spans="1:9" x14ac:dyDescent="0.25">
      <c r="A24">
        <v>18</v>
      </c>
      <c r="B24" t="s">
        <v>4076</v>
      </c>
      <c r="C24" t="s">
        <v>386</v>
      </c>
      <c r="D24" t="s">
        <v>94</v>
      </c>
      <c r="E24">
        <v>55</v>
      </c>
      <c r="F24" s="4">
        <v>49</v>
      </c>
      <c r="G24" s="4">
        <v>64</v>
      </c>
      <c r="H24" s="4">
        <v>113</v>
      </c>
      <c r="I24" s="7">
        <v>163.63999999999999</v>
      </c>
    </row>
    <row r="25" spans="1:9" x14ac:dyDescent="0.25">
      <c r="A25">
        <v>19</v>
      </c>
      <c r="B25" t="s">
        <v>2351</v>
      </c>
      <c r="C25" t="s">
        <v>937</v>
      </c>
      <c r="D25" t="s">
        <v>94</v>
      </c>
      <c r="E25">
        <v>59</v>
      </c>
      <c r="F25" s="4">
        <v>48</v>
      </c>
      <c r="G25" s="4">
        <v>67</v>
      </c>
      <c r="H25" s="4">
        <v>115</v>
      </c>
      <c r="I25" s="7">
        <v>159.91</v>
      </c>
    </row>
    <row r="26" spans="1:9" x14ac:dyDescent="0.25">
      <c r="A26">
        <v>20</v>
      </c>
      <c r="B26" t="s">
        <v>2487</v>
      </c>
      <c r="C26" t="s">
        <v>134</v>
      </c>
      <c r="D26" t="s">
        <v>94</v>
      </c>
      <c r="E26">
        <v>64</v>
      </c>
      <c r="F26" s="4">
        <v>58</v>
      </c>
      <c r="G26" s="4">
        <v>62</v>
      </c>
      <c r="H26" s="4">
        <v>120</v>
      </c>
      <c r="I26" s="7">
        <v>159.75</v>
      </c>
    </row>
    <row r="27" spans="1:9" x14ac:dyDescent="0.25">
      <c r="A27">
        <v>21</v>
      </c>
      <c r="B27" t="s">
        <v>2468</v>
      </c>
      <c r="C27" t="s">
        <v>449</v>
      </c>
      <c r="D27" t="s">
        <v>94</v>
      </c>
      <c r="E27">
        <v>76</v>
      </c>
      <c r="F27" s="4">
        <v>60</v>
      </c>
      <c r="G27" s="4">
        <v>73</v>
      </c>
      <c r="H27" s="4">
        <v>133</v>
      </c>
      <c r="I27" s="7">
        <v>158.52000000000001</v>
      </c>
    </row>
    <row r="28" spans="1:9" x14ac:dyDescent="0.25">
      <c r="A28">
        <v>22</v>
      </c>
      <c r="B28" t="s">
        <v>4111</v>
      </c>
      <c r="C28" t="s">
        <v>416</v>
      </c>
      <c r="D28" t="s">
        <v>89</v>
      </c>
      <c r="E28">
        <v>55</v>
      </c>
      <c r="F28" s="4">
        <v>49</v>
      </c>
      <c r="G28" s="4">
        <v>56</v>
      </c>
      <c r="H28" s="4">
        <v>105</v>
      </c>
      <c r="I28" s="7">
        <v>154.05000000000001</v>
      </c>
    </row>
    <row r="29" spans="1:9" x14ac:dyDescent="0.25">
      <c r="A29">
        <v>23</v>
      </c>
      <c r="B29" t="s">
        <v>3272</v>
      </c>
      <c r="C29" t="s">
        <v>386</v>
      </c>
      <c r="D29" t="s">
        <v>89</v>
      </c>
      <c r="E29">
        <v>49</v>
      </c>
      <c r="F29" s="4">
        <v>43</v>
      </c>
      <c r="G29" s="4">
        <v>54</v>
      </c>
      <c r="H29" s="4">
        <v>97</v>
      </c>
      <c r="I29" s="7">
        <v>153.01</v>
      </c>
    </row>
    <row r="30" spans="1:9" x14ac:dyDescent="0.25">
      <c r="A30">
        <v>24</v>
      </c>
      <c r="B30" t="s">
        <v>2298</v>
      </c>
      <c r="C30" t="s">
        <v>2051</v>
      </c>
      <c r="D30" t="s">
        <v>89</v>
      </c>
      <c r="E30">
        <v>64</v>
      </c>
      <c r="F30" s="4">
        <v>51</v>
      </c>
      <c r="G30" s="4">
        <v>66</v>
      </c>
      <c r="H30" s="4">
        <v>117</v>
      </c>
      <c r="I30" s="7">
        <v>152.66999999999999</v>
      </c>
    </row>
    <row r="31" spans="1:9" x14ac:dyDescent="0.25">
      <c r="A31">
        <v>25</v>
      </c>
      <c r="B31" t="s">
        <v>1817</v>
      </c>
      <c r="C31" t="s">
        <v>917</v>
      </c>
      <c r="D31" t="s">
        <v>89</v>
      </c>
      <c r="E31">
        <v>71</v>
      </c>
      <c r="F31" s="4">
        <v>53</v>
      </c>
      <c r="G31" s="4">
        <v>65</v>
      </c>
      <c r="H31" s="4">
        <v>118</v>
      </c>
      <c r="I31" s="7">
        <v>150.52000000000001</v>
      </c>
    </row>
    <row r="32" spans="1:9" x14ac:dyDescent="0.25">
      <c r="A32">
        <v>26</v>
      </c>
      <c r="B32" t="s">
        <v>3017</v>
      </c>
      <c r="C32" t="s">
        <v>1848</v>
      </c>
      <c r="D32" t="s">
        <v>89</v>
      </c>
      <c r="E32">
        <v>59</v>
      </c>
      <c r="F32" s="4">
        <v>50</v>
      </c>
      <c r="G32" s="4">
        <v>57</v>
      </c>
      <c r="H32" s="4">
        <v>107</v>
      </c>
      <c r="I32" s="7">
        <v>150.28</v>
      </c>
    </row>
    <row r="33" spans="1:9" x14ac:dyDescent="0.25">
      <c r="A33">
        <v>27</v>
      </c>
      <c r="B33" t="s">
        <v>3288</v>
      </c>
      <c r="C33" t="s">
        <v>386</v>
      </c>
      <c r="D33" t="s">
        <v>89</v>
      </c>
      <c r="E33">
        <v>59</v>
      </c>
      <c r="F33" s="4">
        <v>47</v>
      </c>
      <c r="G33" s="4">
        <v>58</v>
      </c>
      <c r="H33" s="4">
        <v>105</v>
      </c>
      <c r="I33" s="7">
        <v>150.11000000000001</v>
      </c>
    </row>
    <row r="34" spans="1:9" x14ac:dyDescent="0.25">
      <c r="A34">
        <v>28</v>
      </c>
      <c r="B34" t="s">
        <v>523</v>
      </c>
      <c r="C34" t="s">
        <v>255</v>
      </c>
      <c r="D34" t="s">
        <v>89</v>
      </c>
      <c r="E34">
        <v>64</v>
      </c>
      <c r="F34" s="4">
        <v>50</v>
      </c>
      <c r="G34" s="4">
        <v>60</v>
      </c>
      <c r="H34" s="4">
        <v>110</v>
      </c>
      <c r="I34" s="7">
        <v>148.56</v>
      </c>
    </row>
    <row r="35" spans="1:9" x14ac:dyDescent="0.25">
      <c r="A35">
        <v>29</v>
      </c>
      <c r="B35" t="s">
        <v>3331</v>
      </c>
      <c r="C35" t="s">
        <v>296</v>
      </c>
      <c r="D35" t="s">
        <v>94</v>
      </c>
      <c r="E35" t="s">
        <v>479</v>
      </c>
      <c r="F35" s="4">
        <v>60</v>
      </c>
      <c r="G35" s="4">
        <v>80</v>
      </c>
      <c r="H35" s="4">
        <v>140</v>
      </c>
      <c r="I35" s="7">
        <v>148.33000000000001</v>
      </c>
    </row>
    <row r="36" spans="1:9" x14ac:dyDescent="0.25">
      <c r="A36">
        <v>30</v>
      </c>
      <c r="B36" t="s">
        <v>2840</v>
      </c>
      <c r="C36" t="s">
        <v>66</v>
      </c>
      <c r="D36" t="s">
        <v>89</v>
      </c>
      <c r="E36">
        <v>71</v>
      </c>
      <c r="F36" s="4">
        <v>53</v>
      </c>
      <c r="G36" s="4">
        <v>65</v>
      </c>
      <c r="H36" s="4">
        <v>118</v>
      </c>
      <c r="I36" s="7">
        <v>147.99</v>
      </c>
    </row>
    <row r="37" spans="1:9" x14ac:dyDescent="0.25">
      <c r="A37">
        <v>31</v>
      </c>
      <c r="B37" t="s">
        <v>3423</v>
      </c>
      <c r="C37" t="s">
        <v>383</v>
      </c>
      <c r="D37" t="s">
        <v>89</v>
      </c>
      <c r="E37">
        <v>71</v>
      </c>
      <c r="F37" s="4">
        <v>50</v>
      </c>
      <c r="G37" s="4">
        <v>70</v>
      </c>
      <c r="H37" s="4">
        <v>120</v>
      </c>
      <c r="I37" s="7">
        <v>147.94</v>
      </c>
    </row>
    <row r="38" spans="1:9" x14ac:dyDescent="0.25">
      <c r="A38">
        <v>32</v>
      </c>
      <c r="B38" t="s">
        <v>3284</v>
      </c>
      <c r="C38" t="s">
        <v>506</v>
      </c>
      <c r="D38" t="s">
        <v>89</v>
      </c>
      <c r="E38">
        <v>49</v>
      </c>
      <c r="F38" s="4">
        <v>38</v>
      </c>
      <c r="G38" s="4">
        <v>55</v>
      </c>
      <c r="H38" s="4">
        <v>93</v>
      </c>
      <c r="I38" s="7">
        <v>146.22999999999999</v>
      </c>
    </row>
    <row r="39" spans="1:9" x14ac:dyDescent="0.25">
      <c r="A39">
        <v>33</v>
      </c>
      <c r="B39" t="s">
        <v>2505</v>
      </c>
      <c r="C39" t="s">
        <v>258</v>
      </c>
      <c r="D39" t="s">
        <v>89</v>
      </c>
      <c r="E39">
        <v>55</v>
      </c>
      <c r="F39" s="4">
        <v>47</v>
      </c>
      <c r="G39" s="4">
        <v>50</v>
      </c>
      <c r="H39" s="4">
        <v>97</v>
      </c>
      <c r="I39" s="7">
        <v>141.97</v>
      </c>
    </row>
    <row r="40" spans="1:9" x14ac:dyDescent="0.25">
      <c r="A40">
        <v>34</v>
      </c>
      <c r="B40" t="s">
        <v>2881</v>
      </c>
      <c r="C40" t="s">
        <v>66</v>
      </c>
      <c r="D40" t="s">
        <v>89</v>
      </c>
      <c r="E40">
        <v>71</v>
      </c>
      <c r="F40" s="4">
        <v>53</v>
      </c>
      <c r="G40" s="4">
        <v>60</v>
      </c>
      <c r="H40" s="4">
        <v>113</v>
      </c>
      <c r="I40" s="7">
        <v>140.66999999999999</v>
      </c>
    </row>
    <row r="41" spans="1:9" x14ac:dyDescent="0.25">
      <c r="A41">
        <v>35</v>
      </c>
      <c r="B41" t="s">
        <v>3100</v>
      </c>
      <c r="C41" t="s">
        <v>589</v>
      </c>
      <c r="D41" t="s">
        <v>93</v>
      </c>
      <c r="E41">
        <v>55</v>
      </c>
      <c r="F41" s="4">
        <v>40</v>
      </c>
      <c r="G41" s="4">
        <v>55</v>
      </c>
      <c r="H41" s="4">
        <v>95</v>
      </c>
      <c r="I41" s="7">
        <v>140.05000000000001</v>
      </c>
    </row>
    <row r="42" spans="1:9" x14ac:dyDescent="0.25">
      <c r="A42">
        <v>36</v>
      </c>
      <c r="B42" t="s">
        <v>1957</v>
      </c>
      <c r="C42" t="s">
        <v>386</v>
      </c>
      <c r="D42" t="s">
        <v>93</v>
      </c>
      <c r="E42">
        <v>55</v>
      </c>
      <c r="F42" s="4">
        <v>40</v>
      </c>
      <c r="G42" s="4">
        <v>54</v>
      </c>
      <c r="H42" s="4">
        <v>94</v>
      </c>
      <c r="I42" s="7">
        <v>138.99</v>
      </c>
    </row>
    <row r="43" spans="1:9" x14ac:dyDescent="0.25">
      <c r="A43">
        <v>37</v>
      </c>
      <c r="B43" t="s">
        <v>870</v>
      </c>
      <c r="C43" t="s">
        <v>134</v>
      </c>
      <c r="D43" t="s">
        <v>89</v>
      </c>
      <c r="E43" t="s">
        <v>479</v>
      </c>
      <c r="F43" s="4">
        <v>56</v>
      </c>
      <c r="G43" s="4">
        <v>67</v>
      </c>
      <c r="H43" s="4">
        <v>123</v>
      </c>
      <c r="I43" s="7">
        <v>137.19</v>
      </c>
    </row>
    <row r="44" spans="1:9" x14ac:dyDescent="0.25">
      <c r="A44">
        <v>38</v>
      </c>
      <c r="B44" t="s">
        <v>2199</v>
      </c>
      <c r="C44" t="s">
        <v>744</v>
      </c>
      <c r="D44" t="s">
        <v>89</v>
      </c>
      <c r="E44" t="s">
        <v>479</v>
      </c>
      <c r="F44" s="4">
        <v>55</v>
      </c>
      <c r="G44" s="4">
        <v>70</v>
      </c>
      <c r="H44" s="4">
        <v>125</v>
      </c>
      <c r="I44" s="7">
        <v>133.38</v>
      </c>
    </row>
    <row r="45" spans="1:9" x14ac:dyDescent="0.25">
      <c r="A45">
        <v>39</v>
      </c>
      <c r="B45" t="s">
        <v>1609</v>
      </c>
      <c r="C45" t="s">
        <v>1489</v>
      </c>
      <c r="D45" t="s">
        <v>93</v>
      </c>
      <c r="E45">
        <v>49</v>
      </c>
      <c r="F45" s="4">
        <v>37</v>
      </c>
      <c r="G45" s="4">
        <v>46</v>
      </c>
      <c r="H45" s="4">
        <v>83</v>
      </c>
      <c r="I45" s="7">
        <v>132.88999999999999</v>
      </c>
    </row>
    <row r="46" spans="1:9" x14ac:dyDescent="0.25">
      <c r="A46">
        <v>40</v>
      </c>
      <c r="B46" t="s">
        <v>1517</v>
      </c>
      <c r="C46" t="s">
        <v>258</v>
      </c>
      <c r="D46" t="s">
        <v>93</v>
      </c>
      <c r="E46">
        <v>55</v>
      </c>
      <c r="F46" s="4">
        <v>38</v>
      </c>
      <c r="G46" s="4">
        <v>49</v>
      </c>
      <c r="H46" s="4">
        <v>87</v>
      </c>
      <c r="I46" s="7">
        <v>131.13999999999999</v>
      </c>
    </row>
    <row r="47" spans="1:9" x14ac:dyDescent="0.25">
      <c r="A47">
        <v>41</v>
      </c>
      <c r="B47" t="s">
        <v>3990</v>
      </c>
      <c r="C47" t="s">
        <v>968</v>
      </c>
      <c r="D47" t="s">
        <v>89</v>
      </c>
      <c r="E47">
        <v>40</v>
      </c>
      <c r="F47" s="4">
        <v>29</v>
      </c>
      <c r="G47" s="4">
        <v>41</v>
      </c>
      <c r="H47" s="4">
        <v>70</v>
      </c>
      <c r="I47" s="7">
        <v>130.08000000000001</v>
      </c>
    </row>
    <row r="48" spans="1:9" x14ac:dyDescent="0.25">
      <c r="A48">
        <v>42</v>
      </c>
      <c r="B48" t="s">
        <v>568</v>
      </c>
      <c r="C48" t="s">
        <v>255</v>
      </c>
      <c r="D48" t="s">
        <v>93</v>
      </c>
      <c r="E48">
        <v>64</v>
      </c>
      <c r="F48" s="4">
        <v>43</v>
      </c>
      <c r="G48" s="4">
        <v>55</v>
      </c>
      <c r="H48" s="4">
        <v>98</v>
      </c>
      <c r="I48" s="7">
        <v>129.31</v>
      </c>
    </row>
    <row r="49" spans="1:9" x14ac:dyDescent="0.25">
      <c r="A49">
        <v>43</v>
      </c>
      <c r="B49" t="s">
        <v>3614</v>
      </c>
      <c r="C49" t="s">
        <v>120</v>
      </c>
      <c r="D49" t="s">
        <v>93</v>
      </c>
      <c r="E49">
        <v>55</v>
      </c>
      <c r="F49" s="4">
        <v>40</v>
      </c>
      <c r="G49" s="4">
        <v>50</v>
      </c>
      <c r="H49" s="4">
        <v>90</v>
      </c>
      <c r="I49" s="7">
        <v>129.15</v>
      </c>
    </row>
    <row r="50" spans="1:9" x14ac:dyDescent="0.25">
      <c r="A50">
        <v>44</v>
      </c>
      <c r="B50" t="s">
        <v>4045</v>
      </c>
      <c r="C50" t="s">
        <v>289</v>
      </c>
      <c r="D50" t="s">
        <v>93</v>
      </c>
      <c r="E50">
        <v>71</v>
      </c>
      <c r="F50" s="4">
        <v>45</v>
      </c>
      <c r="G50" s="4">
        <v>58</v>
      </c>
      <c r="H50" s="4">
        <v>103</v>
      </c>
      <c r="I50" s="7">
        <v>127.97</v>
      </c>
    </row>
    <row r="51" spans="1:9" x14ac:dyDescent="0.25">
      <c r="A51">
        <v>45</v>
      </c>
      <c r="B51" t="s">
        <v>3053</v>
      </c>
      <c r="C51" t="s">
        <v>386</v>
      </c>
      <c r="D51" t="s">
        <v>93</v>
      </c>
      <c r="E51" t="s">
        <v>479</v>
      </c>
      <c r="F51" s="4">
        <v>50</v>
      </c>
      <c r="G51" s="4">
        <v>62</v>
      </c>
      <c r="H51" s="4">
        <v>112</v>
      </c>
      <c r="I51" s="7">
        <v>124.74</v>
      </c>
    </row>
    <row r="52" spans="1:9" x14ac:dyDescent="0.25">
      <c r="A52">
        <v>46</v>
      </c>
      <c r="B52" t="s">
        <v>3823</v>
      </c>
      <c r="C52" t="s">
        <v>506</v>
      </c>
      <c r="D52" t="s">
        <v>93</v>
      </c>
      <c r="E52">
        <v>55</v>
      </c>
      <c r="F52" s="4">
        <v>35</v>
      </c>
      <c r="G52" s="4">
        <v>46</v>
      </c>
      <c r="H52" s="4">
        <v>81</v>
      </c>
      <c r="I52" s="7">
        <v>124.58</v>
      </c>
    </row>
    <row r="53" spans="1:9" x14ac:dyDescent="0.25">
      <c r="A53">
        <v>47</v>
      </c>
      <c r="B53" t="s">
        <v>2944</v>
      </c>
      <c r="C53" t="s">
        <v>606</v>
      </c>
      <c r="D53" t="s">
        <v>93</v>
      </c>
      <c r="E53">
        <v>49</v>
      </c>
      <c r="F53" s="4">
        <v>36</v>
      </c>
      <c r="G53" s="4">
        <v>43</v>
      </c>
      <c r="H53" s="4">
        <v>79</v>
      </c>
      <c r="I53" s="7">
        <v>123.52</v>
      </c>
    </row>
    <row r="54" spans="1:9" x14ac:dyDescent="0.25">
      <c r="A54">
        <v>48</v>
      </c>
      <c r="B54" t="s">
        <v>3886</v>
      </c>
      <c r="C54" t="s">
        <v>418</v>
      </c>
      <c r="D54" t="s">
        <v>93</v>
      </c>
      <c r="E54">
        <v>64</v>
      </c>
      <c r="F54" s="4">
        <v>43</v>
      </c>
      <c r="G54" s="4">
        <v>50</v>
      </c>
      <c r="H54" s="4">
        <v>93</v>
      </c>
      <c r="I54" s="7">
        <v>122.8</v>
      </c>
    </row>
    <row r="55" spans="1:9" x14ac:dyDescent="0.25">
      <c r="A55">
        <v>49</v>
      </c>
      <c r="B55" t="s">
        <v>3246</v>
      </c>
      <c r="C55" t="s">
        <v>348</v>
      </c>
      <c r="D55" t="s">
        <v>93</v>
      </c>
      <c r="E55">
        <v>81</v>
      </c>
      <c r="F55" s="4">
        <v>46</v>
      </c>
      <c r="G55" s="4">
        <v>57</v>
      </c>
      <c r="H55" s="4">
        <v>103</v>
      </c>
      <c r="I55" s="7">
        <v>121.14</v>
      </c>
    </row>
    <row r="56" spans="1:9" x14ac:dyDescent="0.25">
      <c r="A56">
        <v>50</v>
      </c>
      <c r="B56" t="s">
        <v>2189</v>
      </c>
      <c r="C56" t="s">
        <v>258</v>
      </c>
      <c r="D56" t="s">
        <v>93</v>
      </c>
      <c r="E56">
        <v>55</v>
      </c>
      <c r="F56" s="4">
        <v>37</v>
      </c>
      <c r="G56" s="4">
        <v>47</v>
      </c>
      <c r="H56" s="4">
        <v>84</v>
      </c>
      <c r="I56" s="7">
        <v>120.54</v>
      </c>
    </row>
    <row r="57" spans="1:9" x14ac:dyDescent="0.25">
      <c r="A57">
        <v>51</v>
      </c>
      <c r="B57" t="s">
        <v>980</v>
      </c>
      <c r="C57" t="s">
        <v>255</v>
      </c>
      <c r="D57" t="s">
        <v>49</v>
      </c>
      <c r="E57">
        <v>64</v>
      </c>
      <c r="F57" s="4">
        <v>0</v>
      </c>
      <c r="G57" s="4">
        <v>0</v>
      </c>
      <c r="H57" s="4">
        <v>0</v>
      </c>
      <c r="I57" s="7">
        <v>0</v>
      </c>
    </row>
    <row r="58" spans="1:9" x14ac:dyDescent="0.25">
      <c r="A58">
        <v>52</v>
      </c>
      <c r="B58" t="s">
        <v>3984</v>
      </c>
      <c r="C58" t="s">
        <v>413</v>
      </c>
      <c r="D58" t="s">
        <v>49</v>
      </c>
      <c r="E58">
        <v>64</v>
      </c>
      <c r="F58" s="4">
        <v>44</v>
      </c>
      <c r="G58" s="4">
        <v>0</v>
      </c>
      <c r="H58" s="4">
        <v>44</v>
      </c>
      <c r="I58" s="7">
        <v>0</v>
      </c>
    </row>
    <row r="59" spans="1:9" x14ac:dyDescent="0.25">
      <c r="A59">
        <v>53</v>
      </c>
      <c r="B59" t="s">
        <v>4433</v>
      </c>
      <c r="F59" s="4">
        <v>2570</v>
      </c>
      <c r="G59" s="4">
        <v>3144</v>
      </c>
      <c r="H59" s="4">
        <v>5714</v>
      </c>
      <c r="I59" s="7">
        <v>7765.4699999999993</v>
      </c>
    </row>
    <row r="60" spans="1:9" x14ac:dyDescent="0.25">
      <c r="A60">
        <v>54</v>
      </c>
      <c r="G60"/>
    </row>
    <row r="61" spans="1:9" x14ac:dyDescent="0.25">
      <c r="A61">
        <v>55</v>
      </c>
      <c r="G61"/>
    </row>
    <row r="62" spans="1:9" x14ac:dyDescent="0.25">
      <c r="A62">
        <v>56</v>
      </c>
      <c r="G62"/>
    </row>
    <row r="63" spans="1:9" x14ac:dyDescent="0.25">
      <c r="A63">
        <v>57</v>
      </c>
      <c r="G63"/>
    </row>
    <row r="64" spans="1:9" x14ac:dyDescent="0.25">
      <c r="A64">
        <v>58</v>
      </c>
      <c r="G64"/>
    </row>
    <row r="65" spans="1:7" x14ac:dyDescent="0.25">
      <c r="A65">
        <v>59</v>
      </c>
      <c r="G65"/>
    </row>
    <row r="66" spans="1:7" x14ac:dyDescent="0.25">
      <c r="A66">
        <v>60</v>
      </c>
      <c r="G66"/>
    </row>
    <row r="67" spans="1:7" x14ac:dyDescent="0.25">
      <c r="A67">
        <v>61</v>
      </c>
      <c r="G67"/>
    </row>
    <row r="68" spans="1:7" x14ac:dyDescent="0.25">
      <c r="A68">
        <v>62</v>
      </c>
      <c r="G68"/>
    </row>
    <row r="69" spans="1:7" x14ac:dyDescent="0.25">
      <c r="A69">
        <v>63</v>
      </c>
      <c r="G69"/>
    </row>
    <row r="70" spans="1:7" x14ac:dyDescent="0.25">
      <c r="A70">
        <v>64</v>
      </c>
      <c r="G70"/>
    </row>
    <row r="71" spans="1:7" x14ac:dyDescent="0.25">
      <c r="A71">
        <v>65</v>
      </c>
      <c r="G71"/>
    </row>
    <row r="72" spans="1:7" x14ac:dyDescent="0.25">
      <c r="A72">
        <v>66</v>
      </c>
      <c r="G72"/>
    </row>
    <row r="73" spans="1:7" x14ac:dyDescent="0.25">
      <c r="A73">
        <v>67</v>
      </c>
      <c r="G73"/>
    </row>
    <row r="74" spans="1:7" x14ac:dyDescent="0.25">
      <c r="A74">
        <v>68</v>
      </c>
      <c r="G74"/>
    </row>
    <row r="75" spans="1:7" x14ac:dyDescent="0.25">
      <c r="A75">
        <v>69</v>
      </c>
      <c r="G75"/>
    </row>
    <row r="76" spans="1:7" x14ac:dyDescent="0.25">
      <c r="A76">
        <v>70</v>
      </c>
      <c r="G76"/>
    </row>
    <row r="77" spans="1:7" x14ac:dyDescent="0.25">
      <c r="A77">
        <v>71</v>
      </c>
      <c r="G77"/>
    </row>
    <row r="78" spans="1:7" x14ac:dyDescent="0.25">
      <c r="A78">
        <v>72</v>
      </c>
      <c r="G78"/>
    </row>
    <row r="79" spans="1:7" x14ac:dyDescent="0.25">
      <c r="A79">
        <v>73</v>
      </c>
      <c r="G79"/>
    </row>
    <row r="80" spans="1:7" x14ac:dyDescent="0.25">
      <c r="A80">
        <v>74</v>
      </c>
      <c r="G80"/>
    </row>
    <row r="81" spans="1:7" x14ac:dyDescent="0.25">
      <c r="A81">
        <v>75</v>
      </c>
      <c r="G81"/>
    </row>
    <row r="82" spans="1:7" x14ac:dyDescent="0.25">
      <c r="A82">
        <v>76</v>
      </c>
      <c r="G82"/>
    </row>
    <row r="83" spans="1:7" x14ac:dyDescent="0.25">
      <c r="A83">
        <v>77</v>
      </c>
      <c r="G83"/>
    </row>
    <row r="84" spans="1:7" x14ac:dyDescent="0.25">
      <c r="A84">
        <v>78</v>
      </c>
      <c r="G84"/>
    </row>
    <row r="85" spans="1:7" x14ac:dyDescent="0.25">
      <c r="A85">
        <v>79</v>
      </c>
      <c r="G85"/>
    </row>
    <row r="86" spans="1:7" x14ac:dyDescent="0.25">
      <c r="A86">
        <v>80</v>
      </c>
      <c r="G86"/>
    </row>
    <row r="87" spans="1:7" x14ac:dyDescent="0.25">
      <c r="A87">
        <v>81</v>
      </c>
      <c r="G87"/>
    </row>
    <row r="88" spans="1:7" x14ac:dyDescent="0.25">
      <c r="A88">
        <v>82</v>
      </c>
      <c r="G88"/>
    </row>
    <row r="89" spans="1:7" x14ac:dyDescent="0.25">
      <c r="A89">
        <v>83</v>
      </c>
      <c r="G89"/>
    </row>
    <row r="90" spans="1:7" x14ac:dyDescent="0.25">
      <c r="A90">
        <v>84</v>
      </c>
      <c r="G90"/>
    </row>
    <row r="91" spans="1:7" x14ac:dyDescent="0.25">
      <c r="A91">
        <v>85</v>
      </c>
      <c r="G91"/>
    </row>
    <row r="92" spans="1:7" x14ac:dyDescent="0.25">
      <c r="A92">
        <v>86</v>
      </c>
      <c r="G92"/>
    </row>
    <row r="93" spans="1:7" x14ac:dyDescent="0.25">
      <c r="A93">
        <v>87</v>
      </c>
      <c r="G93"/>
    </row>
    <row r="94" spans="1:7" x14ac:dyDescent="0.25">
      <c r="A94">
        <v>88</v>
      </c>
      <c r="G94"/>
    </row>
    <row r="95" spans="1:7" x14ac:dyDescent="0.25">
      <c r="A95">
        <v>89</v>
      </c>
      <c r="G95"/>
    </row>
    <row r="96" spans="1:7" x14ac:dyDescent="0.25">
      <c r="A96">
        <v>90</v>
      </c>
      <c r="G96"/>
    </row>
    <row r="97" spans="1:7" x14ac:dyDescent="0.25">
      <c r="A97">
        <v>91</v>
      </c>
      <c r="G97"/>
    </row>
    <row r="98" spans="1:7" x14ac:dyDescent="0.25">
      <c r="A98">
        <v>92</v>
      </c>
      <c r="G98"/>
    </row>
    <row r="99" spans="1:7" x14ac:dyDescent="0.25">
      <c r="A99">
        <v>93</v>
      </c>
      <c r="G99"/>
    </row>
    <row r="100" spans="1:7" x14ac:dyDescent="0.25">
      <c r="A100">
        <v>94</v>
      </c>
      <c r="G100"/>
    </row>
    <row r="101" spans="1:7" x14ac:dyDescent="0.25">
      <c r="A101">
        <v>95</v>
      </c>
      <c r="G101"/>
    </row>
    <row r="102" spans="1:7" x14ac:dyDescent="0.25">
      <c r="A102">
        <v>96</v>
      </c>
      <c r="G102"/>
    </row>
    <row r="103" spans="1:7" x14ac:dyDescent="0.25">
      <c r="A103">
        <v>97</v>
      </c>
      <c r="G103"/>
    </row>
    <row r="104" spans="1:7" x14ac:dyDescent="0.25">
      <c r="A104">
        <v>98</v>
      </c>
      <c r="G104"/>
    </row>
    <row r="105" spans="1:7" x14ac:dyDescent="0.25">
      <c r="A105">
        <v>99</v>
      </c>
      <c r="G105"/>
    </row>
    <row r="106" spans="1:7" x14ac:dyDescent="0.25">
      <c r="A106">
        <v>100</v>
      </c>
      <c r="G106"/>
    </row>
    <row r="107" spans="1:7" x14ac:dyDescent="0.25">
      <c r="A107">
        <v>101</v>
      </c>
      <c r="G107"/>
    </row>
    <row r="108" spans="1:7" x14ac:dyDescent="0.25">
      <c r="A108">
        <v>102</v>
      </c>
      <c r="G108"/>
    </row>
    <row r="109" spans="1:7" x14ac:dyDescent="0.25">
      <c r="A109">
        <v>103</v>
      </c>
      <c r="G109"/>
    </row>
    <row r="110" spans="1:7" x14ac:dyDescent="0.25">
      <c r="A110">
        <v>104</v>
      </c>
      <c r="G110"/>
    </row>
    <row r="111" spans="1:7" x14ac:dyDescent="0.25">
      <c r="A111">
        <v>105</v>
      </c>
      <c r="G111"/>
    </row>
    <row r="112" spans="1:7" x14ac:dyDescent="0.25">
      <c r="A112">
        <v>106</v>
      </c>
      <c r="G112"/>
    </row>
    <row r="113" spans="1:7" x14ac:dyDescent="0.25">
      <c r="A113">
        <v>107</v>
      </c>
      <c r="G113"/>
    </row>
    <row r="114" spans="1:7" x14ac:dyDescent="0.25">
      <c r="A114">
        <v>108</v>
      </c>
      <c r="G114"/>
    </row>
    <row r="115" spans="1:7" x14ac:dyDescent="0.25">
      <c r="A115">
        <v>109</v>
      </c>
      <c r="G115"/>
    </row>
    <row r="116" spans="1:7" x14ac:dyDescent="0.25">
      <c r="A116">
        <v>110</v>
      </c>
      <c r="G116"/>
    </row>
    <row r="117" spans="1:7" x14ac:dyDescent="0.25">
      <c r="A117">
        <v>111</v>
      </c>
      <c r="G117"/>
    </row>
    <row r="118" spans="1:7" x14ac:dyDescent="0.25">
      <c r="A118">
        <v>112</v>
      </c>
      <c r="G118"/>
    </row>
    <row r="119" spans="1:7" x14ac:dyDescent="0.25">
      <c r="A119">
        <v>113</v>
      </c>
      <c r="G119"/>
    </row>
    <row r="120" spans="1:7" x14ac:dyDescent="0.25">
      <c r="A120">
        <v>114</v>
      </c>
      <c r="G120"/>
    </row>
    <row r="121" spans="1:7" x14ac:dyDescent="0.25">
      <c r="A121">
        <v>115</v>
      </c>
      <c r="G121"/>
    </row>
    <row r="122" spans="1:7" x14ac:dyDescent="0.25">
      <c r="A122">
        <v>116</v>
      </c>
      <c r="G122"/>
    </row>
    <row r="123" spans="1:7" x14ac:dyDescent="0.25">
      <c r="A123">
        <v>117</v>
      </c>
      <c r="G123"/>
    </row>
    <row r="124" spans="1:7" x14ac:dyDescent="0.25">
      <c r="A124">
        <v>118</v>
      </c>
      <c r="G124"/>
    </row>
    <row r="125" spans="1:7" x14ac:dyDescent="0.25">
      <c r="A125">
        <v>119</v>
      </c>
      <c r="G125"/>
    </row>
    <row r="126" spans="1:7" x14ac:dyDescent="0.25">
      <c r="A126">
        <v>120</v>
      </c>
      <c r="G126"/>
    </row>
    <row r="127" spans="1:7" x14ac:dyDescent="0.25">
      <c r="A127">
        <v>121</v>
      </c>
      <c r="G127"/>
    </row>
    <row r="128" spans="1:7" x14ac:dyDescent="0.25">
      <c r="A128">
        <v>122</v>
      </c>
      <c r="G128"/>
    </row>
    <row r="129" spans="1:7" x14ac:dyDescent="0.25">
      <c r="A129">
        <v>123</v>
      </c>
      <c r="G129"/>
    </row>
    <row r="130" spans="1:7" x14ac:dyDescent="0.25">
      <c r="A130">
        <v>124</v>
      </c>
      <c r="G130"/>
    </row>
    <row r="131" spans="1:7" x14ac:dyDescent="0.25">
      <c r="A131">
        <v>125</v>
      </c>
      <c r="G131"/>
    </row>
    <row r="132" spans="1:7" x14ac:dyDescent="0.25">
      <c r="A132">
        <v>126</v>
      </c>
      <c r="G132"/>
    </row>
    <row r="133" spans="1:7" x14ac:dyDescent="0.25">
      <c r="A133">
        <v>127</v>
      </c>
      <c r="G133"/>
    </row>
    <row r="134" spans="1:7" x14ac:dyDescent="0.25">
      <c r="A134">
        <v>128</v>
      </c>
      <c r="G134"/>
    </row>
    <row r="135" spans="1:7" x14ac:dyDescent="0.25">
      <c r="A135">
        <v>129</v>
      </c>
      <c r="G135"/>
    </row>
    <row r="136" spans="1:7" x14ac:dyDescent="0.25">
      <c r="A136">
        <v>130</v>
      </c>
      <c r="G136"/>
    </row>
    <row r="137" spans="1:7" x14ac:dyDescent="0.25">
      <c r="A137">
        <v>131</v>
      </c>
      <c r="G137"/>
    </row>
    <row r="138" spans="1:7" x14ac:dyDescent="0.25">
      <c r="A138">
        <v>132</v>
      </c>
      <c r="G138"/>
    </row>
    <row r="139" spans="1:7" x14ac:dyDescent="0.25">
      <c r="A139">
        <v>133</v>
      </c>
      <c r="G139"/>
    </row>
    <row r="140" spans="1:7" x14ac:dyDescent="0.25">
      <c r="A140">
        <v>134</v>
      </c>
      <c r="G140"/>
    </row>
    <row r="141" spans="1:7" x14ac:dyDescent="0.25">
      <c r="A141">
        <v>135</v>
      </c>
      <c r="G141"/>
    </row>
    <row r="142" spans="1:7" x14ac:dyDescent="0.25">
      <c r="A142">
        <v>136</v>
      </c>
      <c r="G142"/>
    </row>
    <row r="143" spans="1:7" x14ac:dyDescent="0.25">
      <c r="A143">
        <v>137</v>
      </c>
      <c r="G143"/>
    </row>
    <row r="144" spans="1:7" x14ac:dyDescent="0.25">
      <c r="A144">
        <v>138</v>
      </c>
      <c r="G144"/>
    </row>
    <row r="145" spans="1:7" x14ac:dyDescent="0.25">
      <c r="A145">
        <v>139</v>
      </c>
      <c r="G145"/>
    </row>
    <row r="146" spans="1:7" x14ac:dyDescent="0.25">
      <c r="A146">
        <v>140</v>
      </c>
      <c r="G146"/>
    </row>
    <row r="147" spans="1:7" x14ac:dyDescent="0.25">
      <c r="A147">
        <v>141</v>
      </c>
      <c r="G147"/>
    </row>
    <row r="148" spans="1:7" x14ac:dyDescent="0.25">
      <c r="A148">
        <v>142</v>
      </c>
      <c r="G148"/>
    </row>
    <row r="149" spans="1:7" x14ac:dyDescent="0.25">
      <c r="A149">
        <v>143</v>
      </c>
      <c r="G149"/>
    </row>
    <row r="150" spans="1:7" x14ac:dyDescent="0.25">
      <c r="A150">
        <v>144</v>
      </c>
      <c r="G150"/>
    </row>
    <row r="151" spans="1:7" x14ac:dyDescent="0.25">
      <c r="A151">
        <v>145</v>
      </c>
      <c r="G151"/>
    </row>
    <row r="152" spans="1:7" x14ac:dyDescent="0.25">
      <c r="A152">
        <v>146</v>
      </c>
      <c r="G152"/>
    </row>
    <row r="153" spans="1:7" x14ac:dyDescent="0.25">
      <c r="A153">
        <v>147</v>
      </c>
      <c r="G153"/>
    </row>
    <row r="154" spans="1:7" x14ac:dyDescent="0.25">
      <c r="A154">
        <v>148</v>
      </c>
      <c r="G154"/>
    </row>
    <row r="155" spans="1:7" x14ac:dyDescent="0.25">
      <c r="A155">
        <v>149</v>
      </c>
      <c r="G155"/>
    </row>
    <row r="156" spans="1:7" x14ac:dyDescent="0.25">
      <c r="A156">
        <v>150</v>
      </c>
      <c r="G156"/>
    </row>
    <row r="157" spans="1:7" x14ac:dyDescent="0.25">
      <c r="A157">
        <v>151</v>
      </c>
      <c r="G157"/>
    </row>
    <row r="158" spans="1:7" x14ac:dyDescent="0.25">
      <c r="A158">
        <v>152</v>
      </c>
      <c r="G158"/>
    </row>
    <row r="159" spans="1:7" x14ac:dyDescent="0.25">
      <c r="A159">
        <v>153</v>
      </c>
      <c r="G159"/>
    </row>
    <row r="160" spans="1:7" x14ac:dyDescent="0.25">
      <c r="A160">
        <v>154</v>
      </c>
      <c r="G160"/>
    </row>
    <row r="161" spans="1:7" x14ac:dyDescent="0.25">
      <c r="A161">
        <v>155</v>
      </c>
      <c r="G161"/>
    </row>
    <row r="162" spans="1:7" x14ac:dyDescent="0.25">
      <c r="A162">
        <v>156</v>
      </c>
      <c r="G162"/>
    </row>
    <row r="163" spans="1:7" x14ac:dyDescent="0.25">
      <c r="A163">
        <v>157</v>
      </c>
      <c r="G163"/>
    </row>
    <row r="164" spans="1:7" x14ac:dyDescent="0.25">
      <c r="A164">
        <v>158</v>
      </c>
      <c r="G164"/>
    </row>
    <row r="165" spans="1:7" x14ac:dyDescent="0.25">
      <c r="A165">
        <v>159</v>
      </c>
      <c r="G165"/>
    </row>
    <row r="166" spans="1:7" x14ac:dyDescent="0.25">
      <c r="A166">
        <v>160</v>
      </c>
      <c r="G166"/>
    </row>
    <row r="167" spans="1:7" x14ac:dyDescent="0.25">
      <c r="A167">
        <v>161</v>
      </c>
      <c r="G167"/>
    </row>
    <row r="168" spans="1:7" x14ac:dyDescent="0.25">
      <c r="A168">
        <v>162</v>
      </c>
      <c r="G168"/>
    </row>
    <row r="169" spans="1:7" x14ac:dyDescent="0.25">
      <c r="A169">
        <v>163</v>
      </c>
      <c r="G169"/>
    </row>
    <row r="170" spans="1:7" x14ac:dyDescent="0.25">
      <c r="A170">
        <v>164</v>
      </c>
      <c r="G170"/>
    </row>
    <row r="171" spans="1:7" x14ac:dyDescent="0.25">
      <c r="A171">
        <v>165</v>
      </c>
      <c r="G171"/>
    </row>
    <row r="172" spans="1:7" x14ac:dyDescent="0.25">
      <c r="A172">
        <v>166</v>
      </c>
      <c r="G172"/>
    </row>
    <row r="173" spans="1:7" x14ac:dyDescent="0.25">
      <c r="A173">
        <v>167</v>
      </c>
      <c r="G173"/>
    </row>
    <row r="174" spans="1:7" x14ac:dyDescent="0.25">
      <c r="A174">
        <v>168</v>
      </c>
      <c r="G174"/>
    </row>
    <row r="175" spans="1:7" x14ac:dyDescent="0.25">
      <c r="A175">
        <v>169</v>
      </c>
      <c r="G175"/>
    </row>
    <row r="176" spans="1:7" x14ac:dyDescent="0.25">
      <c r="A176">
        <v>170</v>
      </c>
      <c r="G176"/>
    </row>
    <row r="177" spans="1:7" x14ac:dyDescent="0.25">
      <c r="A177">
        <v>171</v>
      </c>
      <c r="G177"/>
    </row>
    <row r="178" spans="1:7" x14ac:dyDescent="0.25">
      <c r="A178">
        <v>172</v>
      </c>
      <c r="G178"/>
    </row>
    <row r="179" spans="1:7" x14ac:dyDescent="0.25">
      <c r="A179">
        <v>173</v>
      </c>
      <c r="G179"/>
    </row>
    <row r="180" spans="1:7" x14ac:dyDescent="0.25">
      <c r="A180">
        <v>174</v>
      </c>
      <c r="G180"/>
    </row>
    <row r="181" spans="1:7" x14ac:dyDescent="0.25">
      <c r="A181">
        <v>175</v>
      </c>
      <c r="G181"/>
    </row>
    <row r="182" spans="1:7" x14ac:dyDescent="0.25">
      <c r="A182">
        <v>176</v>
      </c>
      <c r="G182"/>
    </row>
    <row r="183" spans="1:7" x14ac:dyDescent="0.25">
      <c r="A183">
        <v>177</v>
      </c>
      <c r="G183"/>
    </row>
    <row r="184" spans="1:7" x14ac:dyDescent="0.25">
      <c r="A184">
        <v>178</v>
      </c>
      <c r="G184"/>
    </row>
    <row r="185" spans="1:7" x14ac:dyDescent="0.25">
      <c r="A185">
        <v>179</v>
      </c>
      <c r="G185"/>
    </row>
    <row r="186" spans="1:7" x14ac:dyDescent="0.25">
      <c r="A186">
        <v>180</v>
      </c>
      <c r="G186"/>
    </row>
    <row r="187" spans="1:7" x14ac:dyDescent="0.25">
      <c r="A187">
        <v>181</v>
      </c>
      <c r="G187"/>
    </row>
    <row r="188" spans="1:7" x14ac:dyDescent="0.25">
      <c r="A188">
        <v>182</v>
      </c>
      <c r="G188"/>
    </row>
    <row r="189" spans="1:7" x14ac:dyDescent="0.25">
      <c r="A189">
        <v>183</v>
      </c>
      <c r="G189"/>
    </row>
    <row r="190" spans="1:7" x14ac:dyDescent="0.25">
      <c r="A190">
        <v>184</v>
      </c>
      <c r="G190"/>
    </row>
    <row r="191" spans="1:7" x14ac:dyDescent="0.25">
      <c r="A191">
        <v>185</v>
      </c>
      <c r="G191"/>
    </row>
    <row r="192" spans="1:7" x14ac:dyDescent="0.25">
      <c r="A192">
        <v>186</v>
      </c>
      <c r="G192"/>
    </row>
    <row r="193" spans="1:7" x14ac:dyDescent="0.25">
      <c r="A193">
        <v>187</v>
      </c>
      <c r="G193"/>
    </row>
    <row r="194" spans="1:7" x14ac:dyDescent="0.25">
      <c r="A194">
        <v>188</v>
      </c>
      <c r="G194"/>
    </row>
    <row r="195" spans="1:7" x14ac:dyDescent="0.25">
      <c r="A195">
        <v>189</v>
      </c>
      <c r="G195"/>
    </row>
    <row r="196" spans="1:7" x14ac:dyDescent="0.25">
      <c r="A196">
        <v>190</v>
      </c>
      <c r="G196"/>
    </row>
    <row r="197" spans="1:7" x14ac:dyDescent="0.25">
      <c r="A197">
        <v>191</v>
      </c>
      <c r="G197"/>
    </row>
    <row r="198" spans="1:7" x14ac:dyDescent="0.25">
      <c r="A198">
        <v>192</v>
      </c>
      <c r="G198"/>
    </row>
    <row r="199" spans="1:7" x14ac:dyDescent="0.25">
      <c r="A199">
        <v>193</v>
      </c>
      <c r="G199"/>
    </row>
    <row r="200" spans="1:7" x14ac:dyDescent="0.25">
      <c r="A200">
        <v>194</v>
      </c>
      <c r="G200"/>
    </row>
    <row r="201" spans="1:7" x14ac:dyDescent="0.25">
      <c r="A201">
        <v>195</v>
      </c>
      <c r="G201"/>
    </row>
    <row r="202" spans="1:7" x14ac:dyDescent="0.25">
      <c r="A202">
        <v>196</v>
      </c>
      <c r="G202"/>
    </row>
    <row r="203" spans="1:7" x14ac:dyDescent="0.25">
      <c r="A203">
        <v>197</v>
      </c>
      <c r="G203"/>
    </row>
    <row r="204" spans="1:7" x14ac:dyDescent="0.25">
      <c r="A204">
        <v>198</v>
      </c>
      <c r="G204"/>
    </row>
    <row r="205" spans="1:7" x14ac:dyDescent="0.25">
      <c r="A205">
        <v>199</v>
      </c>
      <c r="G205"/>
    </row>
    <row r="206" spans="1:7" x14ac:dyDescent="0.25">
      <c r="A206">
        <v>200</v>
      </c>
      <c r="G206"/>
    </row>
    <row r="207" spans="1:7" x14ac:dyDescent="0.25">
      <c r="A207">
        <v>201</v>
      </c>
      <c r="G207"/>
    </row>
    <row r="208" spans="1:7" x14ac:dyDescent="0.25">
      <c r="A208">
        <v>202</v>
      </c>
      <c r="G208"/>
    </row>
    <row r="209" spans="1:7" x14ac:dyDescent="0.25">
      <c r="A209">
        <v>203</v>
      </c>
      <c r="G209"/>
    </row>
    <row r="210" spans="1:7" x14ac:dyDescent="0.25">
      <c r="A210">
        <v>204</v>
      </c>
      <c r="G210"/>
    </row>
    <row r="211" spans="1:7" x14ac:dyDescent="0.25">
      <c r="A211">
        <v>205</v>
      </c>
      <c r="G211"/>
    </row>
    <row r="212" spans="1:7" x14ac:dyDescent="0.25">
      <c r="A212">
        <v>206</v>
      </c>
      <c r="G212"/>
    </row>
    <row r="213" spans="1:7" x14ac:dyDescent="0.25">
      <c r="A213">
        <v>207</v>
      </c>
      <c r="G213"/>
    </row>
    <row r="214" spans="1:7" x14ac:dyDescent="0.25">
      <c r="A214">
        <v>208</v>
      </c>
      <c r="G214"/>
    </row>
    <row r="215" spans="1:7" x14ac:dyDescent="0.25">
      <c r="A215">
        <v>209</v>
      </c>
      <c r="G215"/>
    </row>
    <row r="216" spans="1:7" x14ac:dyDescent="0.25">
      <c r="A216">
        <v>210</v>
      </c>
      <c r="G216"/>
    </row>
    <row r="217" spans="1:7" x14ac:dyDescent="0.25">
      <c r="A217">
        <v>211</v>
      </c>
      <c r="G217"/>
    </row>
    <row r="218" spans="1:7" x14ac:dyDescent="0.25">
      <c r="A218">
        <v>212</v>
      </c>
      <c r="G218"/>
    </row>
    <row r="219" spans="1:7" x14ac:dyDescent="0.25">
      <c r="A219">
        <v>213</v>
      </c>
      <c r="G219"/>
    </row>
    <row r="220" spans="1:7" x14ac:dyDescent="0.25">
      <c r="A220">
        <v>214</v>
      </c>
      <c r="G220"/>
    </row>
    <row r="221" spans="1:7" x14ac:dyDescent="0.25">
      <c r="A221">
        <v>215</v>
      </c>
      <c r="G221"/>
    </row>
    <row r="222" spans="1:7" x14ac:dyDescent="0.25">
      <c r="A222">
        <v>216</v>
      </c>
      <c r="G222"/>
    </row>
    <row r="223" spans="1:7" x14ac:dyDescent="0.25">
      <c r="A223">
        <v>217</v>
      </c>
      <c r="G223"/>
    </row>
    <row r="224" spans="1:7" x14ac:dyDescent="0.25">
      <c r="A224">
        <v>218</v>
      </c>
      <c r="G224"/>
    </row>
    <row r="225" spans="1:7" x14ac:dyDescent="0.25">
      <c r="A225">
        <v>219</v>
      </c>
      <c r="G225"/>
    </row>
    <row r="226" spans="1:7" x14ac:dyDescent="0.25">
      <c r="A226">
        <v>220</v>
      </c>
      <c r="G226"/>
    </row>
    <row r="227" spans="1:7" x14ac:dyDescent="0.25">
      <c r="A227">
        <v>221</v>
      </c>
      <c r="G227"/>
    </row>
    <row r="228" spans="1:7" x14ac:dyDescent="0.25">
      <c r="A228">
        <v>222</v>
      </c>
      <c r="G228"/>
    </row>
    <row r="229" spans="1:7" x14ac:dyDescent="0.25">
      <c r="A229">
        <v>223</v>
      </c>
      <c r="G229"/>
    </row>
    <row r="230" spans="1:7" x14ac:dyDescent="0.25">
      <c r="A230">
        <v>224</v>
      </c>
      <c r="G230"/>
    </row>
    <row r="231" spans="1:7" x14ac:dyDescent="0.25">
      <c r="A231">
        <v>225</v>
      </c>
      <c r="G231"/>
    </row>
    <row r="232" spans="1:7" x14ac:dyDescent="0.25">
      <c r="A232">
        <v>226</v>
      </c>
      <c r="G232"/>
    </row>
    <row r="233" spans="1:7" x14ac:dyDescent="0.25">
      <c r="A233">
        <v>227</v>
      </c>
      <c r="G233"/>
    </row>
    <row r="234" spans="1:7" x14ac:dyDescent="0.25">
      <c r="A234">
        <v>228</v>
      </c>
      <c r="G234"/>
    </row>
    <row r="235" spans="1:7" x14ac:dyDescent="0.25">
      <c r="A235">
        <v>229</v>
      </c>
      <c r="G235"/>
    </row>
    <row r="236" spans="1:7" x14ac:dyDescent="0.25">
      <c r="A236">
        <v>230</v>
      </c>
      <c r="G236"/>
    </row>
    <row r="237" spans="1:7" x14ac:dyDescent="0.25">
      <c r="A237">
        <v>231</v>
      </c>
      <c r="G237"/>
    </row>
    <row r="238" spans="1:7" x14ac:dyDescent="0.25">
      <c r="A238">
        <v>232</v>
      </c>
      <c r="G238"/>
    </row>
    <row r="239" spans="1:7" x14ac:dyDescent="0.25">
      <c r="A239">
        <v>233</v>
      </c>
      <c r="G239"/>
    </row>
    <row r="240" spans="1:7" x14ac:dyDescent="0.25">
      <c r="A240">
        <v>234</v>
      </c>
      <c r="G240"/>
    </row>
    <row r="241" spans="1:7" x14ac:dyDescent="0.25">
      <c r="A241">
        <v>235</v>
      </c>
      <c r="G241"/>
    </row>
    <row r="242" spans="1:7" x14ac:dyDescent="0.25">
      <c r="A242">
        <v>236</v>
      </c>
      <c r="G242"/>
    </row>
    <row r="243" spans="1:7" x14ac:dyDescent="0.25">
      <c r="A243">
        <v>237</v>
      </c>
      <c r="G243"/>
    </row>
    <row r="244" spans="1:7" x14ac:dyDescent="0.25">
      <c r="A244">
        <v>238</v>
      </c>
      <c r="G244"/>
    </row>
    <row r="245" spans="1:7" x14ac:dyDescent="0.25">
      <c r="A245">
        <v>239</v>
      </c>
      <c r="G245"/>
    </row>
    <row r="246" spans="1:7" x14ac:dyDescent="0.25">
      <c r="A246">
        <v>240</v>
      </c>
      <c r="G246"/>
    </row>
    <row r="247" spans="1:7" x14ac:dyDescent="0.25">
      <c r="A247">
        <v>241</v>
      </c>
      <c r="G247"/>
    </row>
    <row r="248" spans="1:7" x14ac:dyDescent="0.25">
      <c r="A248">
        <v>242</v>
      </c>
      <c r="G248"/>
    </row>
    <row r="249" spans="1:7" x14ac:dyDescent="0.25">
      <c r="A249">
        <v>243</v>
      </c>
      <c r="G249"/>
    </row>
    <row r="250" spans="1:7" x14ac:dyDescent="0.25">
      <c r="A250">
        <v>244</v>
      </c>
      <c r="G250"/>
    </row>
    <row r="251" spans="1:7" x14ac:dyDescent="0.25">
      <c r="A251">
        <v>245</v>
      </c>
      <c r="G251"/>
    </row>
    <row r="252" spans="1:7" x14ac:dyDescent="0.25">
      <c r="A252">
        <v>246</v>
      </c>
      <c r="G252"/>
    </row>
    <row r="253" spans="1:7" x14ac:dyDescent="0.25">
      <c r="A253">
        <v>247</v>
      </c>
      <c r="G253"/>
    </row>
    <row r="254" spans="1:7" x14ac:dyDescent="0.25">
      <c r="A254">
        <v>248</v>
      </c>
      <c r="G254"/>
    </row>
    <row r="255" spans="1:7" x14ac:dyDescent="0.25">
      <c r="A255">
        <v>249</v>
      </c>
      <c r="G255"/>
    </row>
    <row r="256" spans="1:7" x14ac:dyDescent="0.25">
      <c r="A256">
        <v>250</v>
      </c>
      <c r="G256"/>
    </row>
    <row r="257" spans="1:7" x14ac:dyDescent="0.25">
      <c r="A257">
        <v>251</v>
      </c>
      <c r="G257"/>
    </row>
    <row r="258" spans="1:7" x14ac:dyDescent="0.25">
      <c r="A258">
        <v>252</v>
      </c>
      <c r="G258"/>
    </row>
    <row r="259" spans="1:7" x14ac:dyDescent="0.25">
      <c r="A259">
        <v>253</v>
      </c>
      <c r="G259"/>
    </row>
    <row r="260" spans="1:7" x14ac:dyDescent="0.25">
      <c r="A260">
        <v>254</v>
      </c>
      <c r="G260"/>
    </row>
    <row r="261" spans="1:7" x14ac:dyDescent="0.25">
      <c r="A261">
        <v>255</v>
      </c>
      <c r="G261"/>
    </row>
    <row r="262" spans="1:7" x14ac:dyDescent="0.25">
      <c r="A262">
        <v>256</v>
      </c>
      <c r="G262"/>
    </row>
    <row r="263" spans="1:7" x14ac:dyDescent="0.25">
      <c r="A263">
        <v>257</v>
      </c>
      <c r="G263"/>
    </row>
    <row r="264" spans="1:7" x14ac:dyDescent="0.25">
      <c r="A264">
        <v>258</v>
      </c>
      <c r="G264"/>
    </row>
    <row r="265" spans="1:7" x14ac:dyDescent="0.25">
      <c r="A265">
        <v>259</v>
      </c>
      <c r="G265"/>
    </row>
    <row r="266" spans="1:7" x14ac:dyDescent="0.25">
      <c r="A266">
        <v>260</v>
      </c>
      <c r="G266"/>
    </row>
    <row r="267" spans="1:7" x14ac:dyDescent="0.25">
      <c r="A267">
        <v>261</v>
      </c>
      <c r="G267"/>
    </row>
    <row r="268" spans="1:7" x14ac:dyDescent="0.25">
      <c r="A268">
        <v>262</v>
      </c>
      <c r="G268"/>
    </row>
    <row r="269" spans="1:7" x14ac:dyDescent="0.25">
      <c r="A269">
        <v>263</v>
      </c>
      <c r="G269"/>
    </row>
    <row r="270" spans="1:7" x14ac:dyDescent="0.25">
      <c r="A270">
        <v>264</v>
      </c>
      <c r="G270"/>
    </row>
    <row r="271" spans="1:7" x14ac:dyDescent="0.25">
      <c r="A271">
        <v>265</v>
      </c>
      <c r="G271"/>
    </row>
    <row r="272" spans="1:7" x14ac:dyDescent="0.25">
      <c r="A272">
        <v>266</v>
      </c>
      <c r="G272"/>
    </row>
    <row r="273" spans="1:7" x14ac:dyDescent="0.25">
      <c r="A273">
        <v>267</v>
      </c>
      <c r="G273"/>
    </row>
    <row r="274" spans="1:7" x14ac:dyDescent="0.25">
      <c r="A274">
        <v>268</v>
      </c>
      <c r="G274"/>
    </row>
    <row r="275" spans="1:7" x14ac:dyDescent="0.25">
      <c r="A275">
        <v>269</v>
      </c>
      <c r="G275"/>
    </row>
    <row r="276" spans="1:7" x14ac:dyDescent="0.25">
      <c r="A276">
        <v>270</v>
      </c>
      <c r="G276"/>
    </row>
    <row r="277" spans="1:7" x14ac:dyDescent="0.25">
      <c r="A277">
        <v>271</v>
      </c>
      <c r="G277"/>
    </row>
    <row r="278" spans="1:7" x14ac:dyDescent="0.25">
      <c r="A278">
        <v>272</v>
      </c>
      <c r="G278"/>
    </row>
    <row r="279" spans="1:7" x14ac:dyDescent="0.25">
      <c r="A279">
        <v>273</v>
      </c>
      <c r="G279"/>
    </row>
    <row r="280" spans="1:7" x14ac:dyDescent="0.25">
      <c r="A280">
        <v>274</v>
      </c>
      <c r="G280"/>
    </row>
    <row r="281" spans="1:7" x14ac:dyDescent="0.25">
      <c r="A281">
        <v>275</v>
      </c>
      <c r="G281"/>
    </row>
    <row r="282" spans="1:7" x14ac:dyDescent="0.25">
      <c r="A282">
        <v>276</v>
      </c>
      <c r="G282"/>
    </row>
    <row r="283" spans="1:7" x14ac:dyDescent="0.25">
      <c r="A283">
        <v>277</v>
      </c>
      <c r="G283"/>
    </row>
    <row r="284" spans="1:7" x14ac:dyDescent="0.25">
      <c r="A284">
        <v>278</v>
      </c>
      <c r="G284"/>
    </row>
    <row r="285" spans="1:7" x14ac:dyDescent="0.25">
      <c r="A285">
        <v>279</v>
      </c>
      <c r="G285"/>
    </row>
    <row r="286" spans="1:7" x14ac:dyDescent="0.25">
      <c r="A286">
        <v>280</v>
      </c>
      <c r="G286"/>
    </row>
    <row r="287" spans="1:7" x14ac:dyDescent="0.25">
      <c r="A287">
        <v>281</v>
      </c>
      <c r="G287"/>
    </row>
    <row r="288" spans="1:7" x14ac:dyDescent="0.25">
      <c r="A288">
        <v>282</v>
      </c>
      <c r="G288"/>
    </row>
    <row r="289" spans="1:7" x14ac:dyDescent="0.25">
      <c r="A289">
        <v>283</v>
      </c>
      <c r="G289"/>
    </row>
    <row r="290" spans="1:7" x14ac:dyDescent="0.25">
      <c r="A290">
        <v>284</v>
      </c>
      <c r="G290"/>
    </row>
    <row r="291" spans="1:7" x14ac:dyDescent="0.25">
      <c r="A291">
        <v>285</v>
      </c>
      <c r="G291"/>
    </row>
    <row r="292" spans="1:7" x14ac:dyDescent="0.25">
      <c r="A292">
        <v>286</v>
      </c>
      <c r="G292"/>
    </row>
    <row r="293" spans="1:7" x14ac:dyDescent="0.25">
      <c r="A293">
        <v>287</v>
      </c>
      <c r="G293"/>
    </row>
    <row r="294" spans="1:7" x14ac:dyDescent="0.25">
      <c r="A294">
        <v>288</v>
      </c>
      <c r="G294"/>
    </row>
    <row r="295" spans="1:7" x14ac:dyDescent="0.25">
      <c r="A295">
        <v>289</v>
      </c>
      <c r="G295"/>
    </row>
    <row r="296" spans="1:7" x14ac:dyDescent="0.25">
      <c r="A296">
        <v>290</v>
      </c>
      <c r="G296"/>
    </row>
    <row r="297" spans="1:7" x14ac:dyDescent="0.25">
      <c r="A297">
        <v>291</v>
      </c>
      <c r="G297"/>
    </row>
    <row r="298" spans="1:7" x14ac:dyDescent="0.25">
      <c r="A298">
        <v>292</v>
      </c>
      <c r="G298"/>
    </row>
    <row r="299" spans="1:7" x14ac:dyDescent="0.25">
      <c r="A299">
        <v>293</v>
      </c>
      <c r="G299"/>
    </row>
    <row r="300" spans="1:7" x14ac:dyDescent="0.25">
      <c r="A300">
        <v>294</v>
      </c>
      <c r="G300"/>
    </row>
    <row r="301" spans="1:7" x14ac:dyDescent="0.25">
      <c r="A301">
        <v>295</v>
      </c>
      <c r="G301"/>
    </row>
    <row r="302" spans="1:7" x14ac:dyDescent="0.25">
      <c r="A302">
        <v>296</v>
      </c>
      <c r="G302"/>
    </row>
    <row r="303" spans="1:7" x14ac:dyDescent="0.25">
      <c r="A303">
        <v>297</v>
      </c>
      <c r="G303"/>
    </row>
    <row r="304" spans="1:7" x14ac:dyDescent="0.25">
      <c r="A304">
        <v>298</v>
      </c>
      <c r="G304"/>
    </row>
    <row r="305" spans="1:7" x14ac:dyDescent="0.25">
      <c r="A305">
        <v>299</v>
      </c>
      <c r="G305"/>
    </row>
    <row r="306" spans="1:7" x14ac:dyDescent="0.25">
      <c r="A306">
        <v>300</v>
      </c>
      <c r="G306"/>
    </row>
    <row r="307" spans="1:7" x14ac:dyDescent="0.25">
      <c r="A307">
        <v>301</v>
      </c>
      <c r="G307"/>
    </row>
    <row r="308" spans="1:7" x14ac:dyDescent="0.25">
      <c r="A308">
        <v>302</v>
      </c>
      <c r="G308"/>
    </row>
    <row r="309" spans="1:7" x14ac:dyDescent="0.25">
      <c r="A309">
        <v>303</v>
      </c>
      <c r="G309"/>
    </row>
    <row r="310" spans="1:7" x14ac:dyDescent="0.25">
      <c r="A310">
        <v>304</v>
      </c>
      <c r="G310"/>
    </row>
    <row r="311" spans="1:7" x14ac:dyDescent="0.25">
      <c r="A311">
        <v>305</v>
      </c>
      <c r="G311"/>
    </row>
    <row r="312" spans="1:7" x14ac:dyDescent="0.25">
      <c r="A312">
        <v>306</v>
      </c>
      <c r="G312"/>
    </row>
    <row r="313" spans="1:7" x14ac:dyDescent="0.25">
      <c r="A313">
        <v>307</v>
      </c>
      <c r="G313"/>
    </row>
    <row r="314" spans="1:7" x14ac:dyDescent="0.25">
      <c r="A314">
        <v>308</v>
      </c>
      <c r="G314"/>
    </row>
    <row r="315" spans="1:7" x14ac:dyDescent="0.25">
      <c r="A315">
        <v>309</v>
      </c>
      <c r="G315"/>
    </row>
    <row r="316" spans="1:7" x14ac:dyDescent="0.25">
      <c r="A316">
        <v>310</v>
      </c>
      <c r="G316"/>
    </row>
    <row r="317" spans="1:7" x14ac:dyDescent="0.25">
      <c r="A317">
        <v>311</v>
      </c>
      <c r="G317"/>
    </row>
    <row r="318" spans="1:7" x14ac:dyDescent="0.25">
      <c r="A318">
        <v>312</v>
      </c>
      <c r="G318"/>
    </row>
    <row r="319" spans="1:7" x14ac:dyDescent="0.25">
      <c r="A319">
        <v>313</v>
      </c>
      <c r="G319"/>
    </row>
    <row r="320" spans="1:7" x14ac:dyDescent="0.25">
      <c r="A320">
        <v>314</v>
      </c>
      <c r="G320"/>
    </row>
    <row r="321" spans="1:7" x14ac:dyDescent="0.25">
      <c r="A321">
        <v>315</v>
      </c>
      <c r="G321"/>
    </row>
    <row r="322" spans="1:7" x14ac:dyDescent="0.25">
      <c r="A322">
        <v>316</v>
      </c>
      <c r="G322"/>
    </row>
    <row r="323" spans="1:7" x14ac:dyDescent="0.25">
      <c r="A323">
        <v>317</v>
      </c>
      <c r="G323"/>
    </row>
    <row r="324" spans="1:7" x14ac:dyDescent="0.25">
      <c r="A324">
        <v>318</v>
      </c>
      <c r="G324"/>
    </row>
    <row r="325" spans="1:7" x14ac:dyDescent="0.25">
      <c r="A325">
        <v>319</v>
      </c>
      <c r="G325"/>
    </row>
    <row r="326" spans="1:7" x14ac:dyDescent="0.25">
      <c r="A326">
        <v>320</v>
      </c>
      <c r="G326"/>
    </row>
    <row r="327" spans="1:7" x14ac:dyDescent="0.25">
      <c r="A327">
        <v>321</v>
      </c>
      <c r="G327"/>
    </row>
    <row r="328" spans="1:7" x14ac:dyDescent="0.25">
      <c r="A328">
        <v>322</v>
      </c>
      <c r="G328"/>
    </row>
    <row r="329" spans="1:7" x14ac:dyDescent="0.25">
      <c r="A329">
        <v>323</v>
      </c>
      <c r="G329"/>
    </row>
    <row r="330" spans="1:7" x14ac:dyDescent="0.25">
      <c r="A330">
        <v>324</v>
      </c>
      <c r="G330"/>
    </row>
    <row r="331" spans="1:7" x14ac:dyDescent="0.25">
      <c r="A331">
        <v>325</v>
      </c>
      <c r="G331"/>
    </row>
    <row r="332" spans="1:7" x14ac:dyDescent="0.25">
      <c r="A332">
        <v>326</v>
      </c>
      <c r="G332"/>
    </row>
    <row r="333" spans="1:7" x14ac:dyDescent="0.25">
      <c r="A333">
        <v>327</v>
      </c>
      <c r="G333"/>
    </row>
    <row r="334" spans="1:7" x14ac:dyDescent="0.25">
      <c r="A334">
        <v>328</v>
      </c>
      <c r="G334"/>
    </row>
    <row r="335" spans="1:7" x14ac:dyDescent="0.25">
      <c r="A335">
        <v>329</v>
      </c>
      <c r="G335"/>
    </row>
    <row r="336" spans="1:7" x14ac:dyDescent="0.25">
      <c r="A336">
        <v>330</v>
      </c>
      <c r="G336"/>
    </row>
    <row r="337" spans="1:7" x14ac:dyDescent="0.25">
      <c r="A337">
        <v>331</v>
      </c>
      <c r="G337"/>
    </row>
    <row r="338" spans="1:7" x14ac:dyDescent="0.25">
      <c r="A338">
        <v>332</v>
      </c>
      <c r="G338"/>
    </row>
    <row r="339" spans="1:7" x14ac:dyDescent="0.25">
      <c r="A339">
        <v>333</v>
      </c>
      <c r="G339"/>
    </row>
    <row r="340" spans="1:7" x14ac:dyDescent="0.25">
      <c r="A340">
        <v>334</v>
      </c>
      <c r="G340"/>
    </row>
    <row r="341" spans="1:7" x14ac:dyDescent="0.25">
      <c r="A341">
        <v>335</v>
      </c>
      <c r="G341"/>
    </row>
    <row r="342" spans="1:7" x14ac:dyDescent="0.25">
      <c r="A342">
        <v>336</v>
      </c>
      <c r="G342"/>
    </row>
    <row r="343" spans="1:7" x14ac:dyDescent="0.25">
      <c r="A343">
        <v>337</v>
      </c>
      <c r="G343"/>
    </row>
    <row r="344" spans="1:7" x14ac:dyDescent="0.25">
      <c r="A344">
        <v>338</v>
      </c>
      <c r="G344"/>
    </row>
    <row r="345" spans="1:7" x14ac:dyDescent="0.25">
      <c r="A345">
        <v>339</v>
      </c>
      <c r="G345"/>
    </row>
    <row r="346" spans="1:7" x14ac:dyDescent="0.25">
      <c r="A346">
        <v>340</v>
      </c>
      <c r="G346"/>
    </row>
    <row r="347" spans="1:7" x14ac:dyDescent="0.25">
      <c r="A347">
        <v>341</v>
      </c>
      <c r="G347"/>
    </row>
    <row r="348" spans="1:7" x14ac:dyDescent="0.25">
      <c r="A348">
        <v>342</v>
      </c>
      <c r="G348"/>
    </row>
    <row r="349" spans="1:7" x14ac:dyDescent="0.25">
      <c r="A349">
        <v>343</v>
      </c>
      <c r="G349"/>
    </row>
    <row r="350" spans="1:7" x14ac:dyDescent="0.25">
      <c r="A350">
        <v>344</v>
      </c>
      <c r="G350"/>
    </row>
    <row r="351" spans="1:7" x14ac:dyDescent="0.25">
      <c r="A351">
        <v>345</v>
      </c>
      <c r="G351"/>
    </row>
    <row r="352" spans="1:7" x14ac:dyDescent="0.25">
      <c r="A352">
        <v>346</v>
      </c>
      <c r="G352"/>
    </row>
    <row r="353" spans="1:7" x14ac:dyDescent="0.25">
      <c r="A353">
        <v>347</v>
      </c>
      <c r="G353"/>
    </row>
    <row r="354" spans="1:7" x14ac:dyDescent="0.25">
      <c r="A354">
        <v>348</v>
      </c>
      <c r="G354"/>
    </row>
    <row r="355" spans="1:7" x14ac:dyDescent="0.25">
      <c r="A355">
        <v>349</v>
      </c>
      <c r="G355"/>
    </row>
    <row r="356" spans="1:7" x14ac:dyDescent="0.25">
      <c r="A356">
        <v>350</v>
      </c>
      <c r="G356"/>
    </row>
    <row r="357" spans="1:7" x14ac:dyDescent="0.25">
      <c r="A357">
        <v>351</v>
      </c>
      <c r="G357"/>
    </row>
    <row r="358" spans="1:7" x14ac:dyDescent="0.25">
      <c r="A358">
        <v>352</v>
      </c>
      <c r="G358"/>
    </row>
    <row r="359" spans="1:7" x14ac:dyDescent="0.25">
      <c r="A359">
        <v>353</v>
      </c>
      <c r="G359"/>
    </row>
    <row r="360" spans="1:7" x14ac:dyDescent="0.25">
      <c r="A360">
        <v>354</v>
      </c>
      <c r="G360"/>
    </row>
    <row r="361" spans="1:7" x14ac:dyDescent="0.25">
      <c r="A361">
        <v>355</v>
      </c>
      <c r="G361"/>
    </row>
    <row r="362" spans="1:7" x14ac:dyDescent="0.25">
      <c r="A362">
        <v>356</v>
      </c>
      <c r="G362"/>
    </row>
    <row r="363" spans="1:7" x14ac:dyDescent="0.25">
      <c r="A363">
        <v>357</v>
      </c>
      <c r="G363"/>
    </row>
    <row r="364" spans="1:7" x14ac:dyDescent="0.25">
      <c r="A364">
        <v>358</v>
      </c>
      <c r="G364"/>
    </row>
    <row r="365" spans="1:7" x14ac:dyDescent="0.25">
      <c r="A365">
        <v>359</v>
      </c>
      <c r="G365"/>
    </row>
    <row r="366" spans="1:7" x14ac:dyDescent="0.25">
      <c r="A366">
        <v>360</v>
      </c>
      <c r="G366"/>
    </row>
    <row r="367" spans="1:7" x14ac:dyDescent="0.25">
      <c r="A367">
        <v>361</v>
      </c>
      <c r="G367"/>
    </row>
    <row r="368" spans="1:7" x14ac:dyDescent="0.25">
      <c r="A368">
        <v>362</v>
      </c>
      <c r="G368"/>
    </row>
    <row r="369" spans="1:7" x14ac:dyDescent="0.25">
      <c r="A369">
        <v>363</v>
      </c>
      <c r="G369"/>
    </row>
    <row r="370" spans="1:7" x14ac:dyDescent="0.25">
      <c r="A370">
        <v>364</v>
      </c>
      <c r="G370"/>
    </row>
    <row r="371" spans="1:7" x14ac:dyDescent="0.25">
      <c r="A371">
        <v>365</v>
      </c>
      <c r="G371"/>
    </row>
    <row r="372" spans="1:7" x14ac:dyDescent="0.25">
      <c r="A372">
        <v>366</v>
      </c>
      <c r="G372"/>
    </row>
    <row r="373" spans="1:7" x14ac:dyDescent="0.25">
      <c r="A373">
        <v>367</v>
      </c>
      <c r="G373"/>
    </row>
    <row r="374" spans="1:7" x14ac:dyDescent="0.25">
      <c r="A374">
        <v>368</v>
      </c>
      <c r="G374"/>
    </row>
    <row r="375" spans="1:7" x14ac:dyDescent="0.25">
      <c r="A375">
        <v>369</v>
      </c>
      <c r="G375"/>
    </row>
    <row r="376" spans="1:7" x14ac:dyDescent="0.25">
      <c r="A376">
        <v>370</v>
      </c>
      <c r="G376"/>
    </row>
    <row r="377" spans="1:7" x14ac:dyDescent="0.25">
      <c r="A377">
        <v>371</v>
      </c>
      <c r="G377"/>
    </row>
    <row r="378" spans="1:7" x14ac:dyDescent="0.25">
      <c r="A378">
        <v>372</v>
      </c>
      <c r="G378"/>
    </row>
    <row r="379" spans="1:7" x14ac:dyDescent="0.25">
      <c r="A379">
        <v>373</v>
      </c>
      <c r="G379"/>
    </row>
    <row r="380" spans="1:7" x14ac:dyDescent="0.25">
      <c r="A380">
        <v>374</v>
      </c>
      <c r="G380"/>
    </row>
    <row r="381" spans="1:7" x14ac:dyDescent="0.25">
      <c r="A381">
        <v>375</v>
      </c>
      <c r="G381"/>
    </row>
    <row r="382" spans="1:7" x14ac:dyDescent="0.25">
      <c r="A382">
        <v>376</v>
      </c>
      <c r="G382"/>
    </row>
    <row r="383" spans="1:7" x14ac:dyDescent="0.25">
      <c r="A383">
        <v>377</v>
      </c>
      <c r="G383"/>
    </row>
    <row r="384" spans="1:7" x14ac:dyDescent="0.25">
      <c r="A384">
        <v>378</v>
      </c>
      <c r="G384"/>
    </row>
    <row r="385" spans="1:7" x14ac:dyDescent="0.25">
      <c r="A385">
        <v>379</v>
      </c>
      <c r="G385"/>
    </row>
    <row r="386" spans="1:7" x14ac:dyDescent="0.25">
      <c r="A386">
        <v>380</v>
      </c>
      <c r="G386"/>
    </row>
    <row r="387" spans="1:7" x14ac:dyDescent="0.25">
      <c r="A387">
        <v>381</v>
      </c>
      <c r="G387"/>
    </row>
    <row r="388" spans="1:7" x14ac:dyDescent="0.25">
      <c r="A388">
        <v>382</v>
      </c>
      <c r="G388"/>
    </row>
    <row r="389" spans="1:7" x14ac:dyDescent="0.25">
      <c r="A389">
        <v>383</v>
      </c>
      <c r="G389"/>
    </row>
    <row r="390" spans="1:7" x14ac:dyDescent="0.25">
      <c r="A390">
        <v>384</v>
      </c>
      <c r="G390"/>
    </row>
    <row r="391" spans="1:7" x14ac:dyDescent="0.25">
      <c r="A391">
        <v>385</v>
      </c>
      <c r="G391"/>
    </row>
    <row r="392" spans="1:7" x14ac:dyDescent="0.25">
      <c r="A392">
        <v>386</v>
      </c>
      <c r="G392"/>
    </row>
    <row r="393" spans="1:7" x14ac:dyDescent="0.25">
      <c r="A393">
        <v>387</v>
      </c>
      <c r="G393"/>
    </row>
    <row r="394" spans="1:7" x14ac:dyDescent="0.25">
      <c r="A394">
        <v>388</v>
      </c>
      <c r="G394"/>
    </row>
    <row r="395" spans="1:7" x14ac:dyDescent="0.25">
      <c r="A395">
        <v>389</v>
      </c>
      <c r="G395"/>
    </row>
    <row r="396" spans="1:7" x14ac:dyDescent="0.25">
      <c r="A396">
        <v>390</v>
      </c>
      <c r="G396"/>
    </row>
    <row r="397" spans="1:7" x14ac:dyDescent="0.25">
      <c r="A397">
        <v>391</v>
      </c>
      <c r="G397"/>
    </row>
    <row r="398" spans="1:7" x14ac:dyDescent="0.25">
      <c r="A398">
        <v>392</v>
      </c>
      <c r="G398"/>
    </row>
    <row r="399" spans="1:7" x14ac:dyDescent="0.25">
      <c r="A399">
        <v>393</v>
      </c>
      <c r="G399"/>
    </row>
    <row r="400" spans="1:7" x14ac:dyDescent="0.25">
      <c r="A400">
        <v>394</v>
      </c>
      <c r="G400"/>
    </row>
    <row r="401" spans="1:7" x14ac:dyDescent="0.25">
      <c r="A401">
        <v>395</v>
      </c>
      <c r="G401"/>
    </row>
    <row r="402" spans="1:7" x14ac:dyDescent="0.25">
      <c r="A402">
        <v>396</v>
      </c>
      <c r="G402"/>
    </row>
    <row r="403" spans="1:7" x14ac:dyDescent="0.25">
      <c r="A403">
        <v>397</v>
      </c>
      <c r="G403"/>
    </row>
    <row r="404" spans="1:7" x14ac:dyDescent="0.25">
      <c r="A404">
        <v>398</v>
      </c>
      <c r="G404"/>
    </row>
    <row r="405" spans="1:7" x14ac:dyDescent="0.25">
      <c r="A405">
        <v>399</v>
      </c>
      <c r="G405"/>
    </row>
    <row r="406" spans="1:7" x14ac:dyDescent="0.25">
      <c r="A406">
        <v>400</v>
      </c>
      <c r="G406"/>
    </row>
    <row r="407" spans="1:7" x14ac:dyDescent="0.25">
      <c r="A407">
        <v>401</v>
      </c>
      <c r="G407"/>
    </row>
    <row r="408" spans="1:7" x14ac:dyDescent="0.25">
      <c r="A408">
        <v>402</v>
      </c>
      <c r="G408"/>
    </row>
    <row r="409" spans="1:7" x14ac:dyDescent="0.25">
      <c r="A409">
        <v>403</v>
      </c>
      <c r="G409"/>
    </row>
    <row r="410" spans="1:7" x14ac:dyDescent="0.25">
      <c r="A410">
        <v>404</v>
      </c>
      <c r="G410"/>
    </row>
    <row r="411" spans="1:7" x14ac:dyDescent="0.25">
      <c r="A411">
        <v>405</v>
      </c>
      <c r="G411"/>
    </row>
    <row r="412" spans="1:7" x14ac:dyDescent="0.25">
      <c r="A412">
        <v>406</v>
      </c>
      <c r="G412"/>
    </row>
    <row r="413" spans="1:7" x14ac:dyDescent="0.25">
      <c r="A413">
        <v>407</v>
      </c>
      <c r="G413"/>
    </row>
    <row r="414" spans="1:7" x14ac:dyDescent="0.25">
      <c r="A414">
        <v>408</v>
      </c>
      <c r="G414"/>
    </row>
    <row r="415" spans="1:7" x14ac:dyDescent="0.25">
      <c r="A415">
        <v>409</v>
      </c>
      <c r="G415"/>
    </row>
    <row r="416" spans="1:7" x14ac:dyDescent="0.25">
      <c r="A416">
        <v>410</v>
      </c>
      <c r="G416"/>
    </row>
    <row r="417" spans="1:7" x14ac:dyDescent="0.25">
      <c r="A417">
        <v>411</v>
      </c>
      <c r="G417"/>
    </row>
    <row r="418" spans="1:7" x14ac:dyDescent="0.25">
      <c r="A418">
        <v>412</v>
      </c>
      <c r="G418"/>
    </row>
    <row r="419" spans="1:7" x14ac:dyDescent="0.25">
      <c r="A419">
        <v>413</v>
      </c>
      <c r="G419"/>
    </row>
    <row r="420" spans="1:7" x14ac:dyDescent="0.25">
      <c r="A420">
        <v>414</v>
      </c>
      <c r="G420"/>
    </row>
    <row r="421" spans="1:7" x14ac:dyDescent="0.25">
      <c r="G421"/>
    </row>
    <row r="422" spans="1:7" x14ac:dyDescent="0.25">
      <c r="G422"/>
    </row>
    <row r="423" spans="1:7" x14ac:dyDescent="0.25">
      <c r="G423"/>
    </row>
    <row r="424" spans="1:7" x14ac:dyDescent="0.25">
      <c r="G424"/>
    </row>
    <row r="425" spans="1:7" x14ac:dyDescent="0.25">
      <c r="G425"/>
    </row>
    <row r="426" spans="1:7" x14ac:dyDescent="0.25">
      <c r="G426"/>
    </row>
    <row r="427" spans="1:7" x14ac:dyDescent="0.25">
      <c r="G427"/>
    </row>
    <row r="428" spans="1:7" x14ac:dyDescent="0.25">
      <c r="G428"/>
    </row>
    <row r="429" spans="1:7" x14ac:dyDescent="0.25">
      <c r="G429"/>
    </row>
    <row r="430" spans="1:7" x14ac:dyDescent="0.25">
      <c r="G430"/>
    </row>
    <row r="431" spans="1:7" x14ac:dyDescent="0.25">
      <c r="G431"/>
    </row>
    <row r="432" spans="1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004BB-5022-4A64-8DFA-72731837DFF1}">
  <sheetPr>
    <tabColor theme="6" tint="-0.249977111117893"/>
  </sheetPr>
  <dimension ref="A2:I529"/>
  <sheetViews>
    <sheetView workbookViewId="0">
      <selection activeCell="E31" sqref="E31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5" width="12.5703125" bestFit="1" customWidth="1"/>
    <col min="6" max="6" width="18" bestFit="1" customWidth="1"/>
    <col min="7" max="7" width="17.140625" style="6" bestFit="1" customWidth="1"/>
    <col min="8" max="8" width="20.5703125" bestFit="1" customWidth="1"/>
    <col min="9" max="9" width="14.42578125" bestFit="1" customWidth="1"/>
  </cols>
  <sheetData>
    <row r="2" spans="1:9" x14ac:dyDescent="0.25">
      <c r="B2" s="2" t="s">
        <v>27</v>
      </c>
      <c r="C2" t="s">
        <v>95</v>
      </c>
    </row>
    <row r="3" spans="1:9" x14ac:dyDescent="0.25">
      <c r="B3" s="2" t="s">
        <v>31</v>
      </c>
      <c r="C3" t="s">
        <v>52</v>
      </c>
    </row>
    <row r="4" spans="1:9" x14ac:dyDescent="0.25">
      <c r="G4"/>
    </row>
    <row r="5" spans="1:9" x14ac:dyDescent="0.25">
      <c r="F5" s="2" t="s">
        <v>4438</v>
      </c>
      <c r="G5"/>
    </row>
    <row r="6" spans="1:9" x14ac:dyDescent="0.25">
      <c r="B6" s="2" t="s">
        <v>0</v>
      </c>
      <c r="C6" s="2" t="s">
        <v>42</v>
      </c>
      <c r="D6" s="2" t="s">
        <v>24</v>
      </c>
      <c r="E6" s="2" t="s">
        <v>26</v>
      </c>
      <c r="F6" t="s">
        <v>4439</v>
      </c>
      <c r="G6" t="s">
        <v>4440</v>
      </c>
      <c r="H6" t="s">
        <v>4441</v>
      </c>
      <c r="I6" t="s">
        <v>4434</v>
      </c>
    </row>
    <row r="7" spans="1:9" x14ac:dyDescent="0.25">
      <c r="A7">
        <v>1</v>
      </c>
      <c r="B7" t="s">
        <v>487</v>
      </c>
      <c r="C7" t="s">
        <v>490</v>
      </c>
      <c r="D7" t="s">
        <v>98</v>
      </c>
      <c r="E7">
        <v>81</v>
      </c>
      <c r="F7" s="4">
        <v>107</v>
      </c>
      <c r="G7" s="4">
        <v>128</v>
      </c>
      <c r="H7" s="4">
        <v>235</v>
      </c>
      <c r="I7" s="7">
        <v>302.63</v>
      </c>
    </row>
    <row r="8" spans="1:9" x14ac:dyDescent="0.25">
      <c r="A8">
        <v>2</v>
      </c>
      <c r="B8" t="s">
        <v>3783</v>
      </c>
      <c r="C8" t="s">
        <v>255</v>
      </c>
      <c r="D8" t="s">
        <v>98</v>
      </c>
      <c r="E8">
        <v>89</v>
      </c>
      <c r="F8" s="4">
        <v>112</v>
      </c>
      <c r="G8" s="4">
        <v>135</v>
      </c>
      <c r="H8" s="4">
        <v>247</v>
      </c>
      <c r="I8" s="7">
        <v>300.16000000000003</v>
      </c>
    </row>
    <row r="9" spans="1:9" x14ac:dyDescent="0.25">
      <c r="A9">
        <v>3</v>
      </c>
      <c r="B9" t="s">
        <v>1225</v>
      </c>
      <c r="C9" t="s">
        <v>937</v>
      </c>
      <c r="D9" t="s">
        <v>94</v>
      </c>
      <c r="E9">
        <v>73</v>
      </c>
      <c r="F9" s="4">
        <v>93</v>
      </c>
      <c r="G9" s="4">
        <v>121</v>
      </c>
      <c r="H9" s="4">
        <v>214</v>
      </c>
      <c r="I9" s="7">
        <v>295.76</v>
      </c>
    </row>
    <row r="10" spans="1:9" x14ac:dyDescent="0.25">
      <c r="A10">
        <v>4</v>
      </c>
      <c r="B10" t="s">
        <v>3710</v>
      </c>
      <c r="C10" t="s">
        <v>335</v>
      </c>
      <c r="D10" t="s">
        <v>94</v>
      </c>
      <c r="E10">
        <v>73</v>
      </c>
      <c r="F10" s="4">
        <v>95</v>
      </c>
      <c r="G10" s="4">
        <v>121</v>
      </c>
      <c r="H10" s="4">
        <v>216</v>
      </c>
      <c r="I10" s="7">
        <v>292.64999999999998</v>
      </c>
    </row>
    <row r="11" spans="1:9" x14ac:dyDescent="0.25">
      <c r="A11">
        <v>5</v>
      </c>
      <c r="B11" t="s">
        <v>4265</v>
      </c>
      <c r="C11" t="s">
        <v>47</v>
      </c>
      <c r="D11" t="s">
        <v>94</v>
      </c>
      <c r="E11">
        <v>73</v>
      </c>
      <c r="F11" s="4">
        <v>95</v>
      </c>
      <c r="G11" s="4">
        <v>115</v>
      </c>
      <c r="H11" s="4">
        <v>210</v>
      </c>
      <c r="I11" s="7">
        <v>287.24</v>
      </c>
    </row>
    <row r="12" spans="1:9" x14ac:dyDescent="0.25">
      <c r="A12">
        <v>6</v>
      </c>
      <c r="B12" t="s">
        <v>3135</v>
      </c>
      <c r="C12" t="s">
        <v>88</v>
      </c>
      <c r="D12" t="s">
        <v>94</v>
      </c>
      <c r="E12">
        <v>67</v>
      </c>
      <c r="F12" s="4">
        <v>85</v>
      </c>
      <c r="G12" s="4">
        <v>105</v>
      </c>
      <c r="H12" s="4">
        <v>190</v>
      </c>
      <c r="I12" s="7">
        <v>278.82</v>
      </c>
    </row>
    <row r="13" spans="1:9" x14ac:dyDescent="0.25">
      <c r="A13">
        <v>7</v>
      </c>
      <c r="B13" t="s">
        <v>676</v>
      </c>
      <c r="C13" t="s">
        <v>673</v>
      </c>
      <c r="D13" t="s">
        <v>94</v>
      </c>
      <c r="E13">
        <v>73</v>
      </c>
      <c r="F13" s="4">
        <v>88</v>
      </c>
      <c r="G13" s="4">
        <v>115</v>
      </c>
      <c r="H13" s="4">
        <v>203</v>
      </c>
      <c r="I13" s="7">
        <v>276.22000000000003</v>
      </c>
    </row>
    <row r="14" spans="1:9" x14ac:dyDescent="0.25">
      <c r="A14">
        <v>8</v>
      </c>
      <c r="B14" t="s">
        <v>4352</v>
      </c>
      <c r="C14" t="s">
        <v>687</v>
      </c>
      <c r="D14" t="s">
        <v>98</v>
      </c>
      <c r="E14">
        <v>49</v>
      </c>
      <c r="F14" s="4">
        <v>64</v>
      </c>
      <c r="G14" s="4">
        <v>82</v>
      </c>
      <c r="H14" s="4">
        <v>146</v>
      </c>
      <c r="I14" s="7">
        <v>269.33</v>
      </c>
    </row>
    <row r="15" spans="1:9" x14ac:dyDescent="0.25">
      <c r="A15">
        <v>9</v>
      </c>
      <c r="B15" t="s">
        <v>4032</v>
      </c>
      <c r="C15" t="s">
        <v>386</v>
      </c>
      <c r="D15" t="s">
        <v>89</v>
      </c>
      <c r="E15">
        <v>61</v>
      </c>
      <c r="F15" s="4">
        <v>77</v>
      </c>
      <c r="G15" s="4">
        <v>92</v>
      </c>
      <c r="H15" s="4">
        <v>169</v>
      </c>
      <c r="I15" s="7">
        <v>267.35000000000002</v>
      </c>
    </row>
    <row r="16" spans="1:9" x14ac:dyDescent="0.25">
      <c r="A16">
        <v>10</v>
      </c>
      <c r="B16" t="s">
        <v>3117</v>
      </c>
      <c r="C16" t="s">
        <v>386</v>
      </c>
      <c r="D16" t="s">
        <v>94</v>
      </c>
      <c r="E16" t="s">
        <v>1010</v>
      </c>
      <c r="F16" s="4">
        <v>107</v>
      </c>
      <c r="G16" s="4">
        <v>136</v>
      </c>
      <c r="H16" s="4">
        <v>243</v>
      </c>
      <c r="I16" s="7">
        <v>266.87</v>
      </c>
    </row>
    <row r="17" spans="1:9" x14ac:dyDescent="0.25">
      <c r="A17">
        <v>11</v>
      </c>
      <c r="B17" t="s">
        <v>3127</v>
      </c>
      <c r="C17" t="s">
        <v>300</v>
      </c>
      <c r="D17" t="s">
        <v>89</v>
      </c>
      <c r="E17">
        <v>73</v>
      </c>
      <c r="F17" s="4">
        <v>87</v>
      </c>
      <c r="G17" s="4">
        <v>100</v>
      </c>
      <c r="H17" s="4">
        <v>187</v>
      </c>
      <c r="I17" s="7">
        <v>258.77999999999997</v>
      </c>
    </row>
    <row r="18" spans="1:9" x14ac:dyDescent="0.25">
      <c r="A18">
        <v>12</v>
      </c>
      <c r="B18" t="s">
        <v>929</v>
      </c>
      <c r="C18" t="s">
        <v>258</v>
      </c>
      <c r="D18" t="s">
        <v>89</v>
      </c>
      <c r="E18">
        <v>81</v>
      </c>
      <c r="F18" s="4">
        <v>92</v>
      </c>
      <c r="G18" s="4">
        <v>108</v>
      </c>
      <c r="H18" s="4">
        <v>200</v>
      </c>
      <c r="I18" s="7">
        <v>255.75</v>
      </c>
    </row>
    <row r="19" spans="1:9" x14ac:dyDescent="0.25">
      <c r="A19">
        <v>13</v>
      </c>
      <c r="B19" t="s">
        <v>2131</v>
      </c>
      <c r="C19" t="s">
        <v>329</v>
      </c>
      <c r="D19" t="s">
        <v>89</v>
      </c>
      <c r="E19">
        <v>73</v>
      </c>
      <c r="F19" s="4">
        <v>88</v>
      </c>
      <c r="G19" s="4">
        <v>97</v>
      </c>
      <c r="H19" s="4">
        <v>185</v>
      </c>
      <c r="I19" s="7">
        <v>255.54</v>
      </c>
    </row>
    <row r="20" spans="1:9" x14ac:dyDescent="0.25">
      <c r="A20">
        <v>14</v>
      </c>
      <c r="B20" t="s">
        <v>3232</v>
      </c>
      <c r="C20" t="s">
        <v>47</v>
      </c>
      <c r="D20" t="s">
        <v>89</v>
      </c>
      <c r="E20">
        <v>67</v>
      </c>
      <c r="F20" s="4">
        <v>75</v>
      </c>
      <c r="G20" s="4">
        <v>95</v>
      </c>
      <c r="H20" s="4">
        <v>170</v>
      </c>
      <c r="I20" s="7">
        <v>250.56</v>
      </c>
    </row>
    <row r="21" spans="1:9" x14ac:dyDescent="0.25">
      <c r="A21">
        <v>15</v>
      </c>
      <c r="B21" t="s">
        <v>3610</v>
      </c>
      <c r="C21" t="s">
        <v>120</v>
      </c>
      <c r="D21" t="s">
        <v>89</v>
      </c>
      <c r="E21">
        <v>67</v>
      </c>
      <c r="F21" s="4">
        <v>75</v>
      </c>
      <c r="G21" s="4">
        <v>100</v>
      </c>
      <c r="H21" s="4">
        <v>175</v>
      </c>
      <c r="I21" s="7">
        <v>250.44</v>
      </c>
    </row>
    <row r="22" spans="1:9" x14ac:dyDescent="0.25">
      <c r="A22">
        <v>16</v>
      </c>
      <c r="B22" t="s">
        <v>3980</v>
      </c>
      <c r="C22" t="s">
        <v>738</v>
      </c>
      <c r="D22" t="s">
        <v>89</v>
      </c>
      <c r="E22">
        <v>96</v>
      </c>
      <c r="F22" s="4">
        <v>90</v>
      </c>
      <c r="G22" s="4">
        <v>115</v>
      </c>
      <c r="H22" s="4">
        <v>205</v>
      </c>
      <c r="I22" s="7">
        <v>239.9</v>
      </c>
    </row>
    <row r="23" spans="1:9" x14ac:dyDescent="0.25">
      <c r="A23">
        <v>17</v>
      </c>
      <c r="B23" t="s">
        <v>1773</v>
      </c>
      <c r="C23" t="s">
        <v>687</v>
      </c>
      <c r="D23" t="s">
        <v>89</v>
      </c>
      <c r="E23">
        <v>55</v>
      </c>
      <c r="F23" s="4">
        <v>65</v>
      </c>
      <c r="G23" s="4">
        <v>77</v>
      </c>
      <c r="H23" s="4">
        <v>142</v>
      </c>
      <c r="I23" s="7">
        <v>238.66</v>
      </c>
    </row>
    <row r="24" spans="1:9" x14ac:dyDescent="0.25">
      <c r="A24">
        <v>18</v>
      </c>
      <c r="B24" t="s">
        <v>384</v>
      </c>
      <c r="C24" t="s">
        <v>386</v>
      </c>
      <c r="D24" t="s">
        <v>93</v>
      </c>
      <c r="E24">
        <v>67</v>
      </c>
      <c r="F24" s="4">
        <v>70</v>
      </c>
      <c r="G24" s="4">
        <v>90</v>
      </c>
      <c r="H24" s="4">
        <v>160</v>
      </c>
      <c r="I24" s="7">
        <v>231.57</v>
      </c>
    </row>
    <row r="25" spans="1:9" x14ac:dyDescent="0.25">
      <c r="A25">
        <v>19</v>
      </c>
      <c r="B25" t="s">
        <v>2500</v>
      </c>
      <c r="C25" t="s">
        <v>386</v>
      </c>
      <c r="D25" t="s">
        <v>93</v>
      </c>
      <c r="E25">
        <v>89</v>
      </c>
      <c r="F25" s="4">
        <v>86</v>
      </c>
      <c r="G25" s="4">
        <v>104</v>
      </c>
      <c r="H25" s="4">
        <v>190</v>
      </c>
      <c r="I25" s="7">
        <v>231.46</v>
      </c>
    </row>
    <row r="26" spans="1:9" x14ac:dyDescent="0.25">
      <c r="A26">
        <v>20</v>
      </c>
      <c r="B26" t="s">
        <v>1130</v>
      </c>
      <c r="C26" t="s">
        <v>255</v>
      </c>
      <c r="D26" t="s">
        <v>93</v>
      </c>
      <c r="E26">
        <v>73</v>
      </c>
      <c r="F26" s="4">
        <v>70</v>
      </c>
      <c r="G26" s="4">
        <v>95</v>
      </c>
      <c r="H26" s="4">
        <v>165</v>
      </c>
      <c r="I26" s="7">
        <v>229.81</v>
      </c>
    </row>
    <row r="27" spans="1:9" x14ac:dyDescent="0.25">
      <c r="A27">
        <v>21</v>
      </c>
      <c r="B27" t="s">
        <v>3527</v>
      </c>
      <c r="C27" t="s">
        <v>2025</v>
      </c>
      <c r="D27" t="s">
        <v>93</v>
      </c>
      <c r="E27">
        <v>61</v>
      </c>
      <c r="F27" s="4">
        <v>65</v>
      </c>
      <c r="G27" s="4">
        <v>77</v>
      </c>
      <c r="H27" s="4">
        <v>142</v>
      </c>
      <c r="I27" s="7">
        <v>222.64</v>
      </c>
    </row>
    <row r="28" spans="1:9" x14ac:dyDescent="0.25">
      <c r="A28">
        <v>22</v>
      </c>
      <c r="B28" t="s">
        <v>2802</v>
      </c>
      <c r="C28" t="s">
        <v>258</v>
      </c>
      <c r="D28" t="s">
        <v>93</v>
      </c>
      <c r="E28">
        <v>67</v>
      </c>
      <c r="F28" s="4">
        <v>70</v>
      </c>
      <c r="G28" s="4">
        <v>82</v>
      </c>
      <c r="H28" s="4">
        <v>152</v>
      </c>
      <c r="I28" s="7">
        <v>218.63</v>
      </c>
    </row>
    <row r="29" spans="1:9" x14ac:dyDescent="0.25">
      <c r="A29">
        <v>23</v>
      </c>
      <c r="B29" t="s">
        <v>2309</v>
      </c>
      <c r="C29" t="s">
        <v>482</v>
      </c>
      <c r="D29" t="s">
        <v>89</v>
      </c>
      <c r="E29">
        <v>55</v>
      </c>
      <c r="F29" s="4">
        <v>58</v>
      </c>
      <c r="G29" s="4">
        <v>72</v>
      </c>
      <c r="H29" s="4">
        <v>130</v>
      </c>
      <c r="I29" s="7">
        <v>214.34</v>
      </c>
    </row>
    <row r="30" spans="1:9" x14ac:dyDescent="0.25">
      <c r="A30">
        <v>24</v>
      </c>
      <c r="B30" t="s">
        <v>2278</v>
      </c>
      <c r="C30" t="s">
        <v>120</v>
      </c>
      <c r="D30" t="s">
        <v>64</v>
      </c>
      <c r="E30">
        <v>61</v>
      </c>
      <c r="F30" s="4">
        <v>50</v>
      </c>
      <c r="G30" s="4">
        <v>75</v>
      </c>
      <c r="H30" s="4">
        <v>125</v>
      </c>
      <c r="I30" s="7">
        <v>190.45</v>
      </c>
    </row>
    <row r="31" spans="1:9" x14ac:dyDescent="0.25">
      <c r="A31">
        <v>25</v>
      </c>
      <c r="B31" t="s">
        <v>3995</v>
      </c>
      <c r="C31" t="s">
        <v>413</v>
      </c>
      <c r="D31" t="s">
        <v>49</v>
      </c>
      <c r="E31" t="s">
        <v>1010</v>
      </c>
      <c r="F31" s="4">
        <v>0</v>
      </c>
      <c r="G31" s="4">
        <v>110</v>
      </c>
      <c r="H31" s="4">
        <v>110</v>
      </c>
      <c r="I31" s="7">
        <v>0</v>
      </c>
    </row>
    <row r="32" spans="1:9" x14ac:dyDescent="0.25">
      <c r="A32">
        <v>26</v>
      </c>
      <c r="B32" t="s">
        <v>4433</v>
      </c>
      <c r="F32" s="4">
        <v>1964</v>
      </c>
      <c r="G32" s="4">
        <v>2547</v>
      </c>
      <c r="H32" s="4">
        <v>4511</v>
      </c>
      <c r="I32" s="7">
        <v>6125.5599999999995</v>
      </c>
    </row>
    <row r="33" spans="1:7" x14ac:dyDescent="0.25">
      <c r="A33">
        <v>27</v>
      </c>
      <c r="G33"/>
    </row>
    <row r="34" spans="1:7" x14ac:dyDescent="0.25">
      <c r="A34">
        <v>28</v>
      </c>
      <c r="G34"/>
    </row>
    <row r="35" spans="1:7" x14ac:dyDescent="0.25">
      <c r="A35">
        <v>29</v>
      </c>
      <c r="G35"/>
    </row>
    <row r="36" spans="1:7" x14ac:dyDescent="0.25">
      <c r="A36">
        <v>30</v>
      </c>
      <c r="G36"/>
    </row>
    <row r="37" spans="1:7" x14ac:dyDescent="0.25">
      <c r="A37">
        <v>31</v>
      </c>
      <c r="G37"/>
    </row>
    <row r="38" spans="1:7" x14ac:dyDescent="0.25">
      <c r="A38">
        <v>32</v>
      </c>
      <c r="G38"/>
    </row>
    <row r="39" spans="1:7" x14ac:dyDescent="0.25">
      <c r="A39">
        <v>33</v>
      </c>
      <c r="G39"/>
    </row>
    <row r="40" spans="1:7" x14ac:dyDescent="0.25">
      <c r="A40">
        <v>34</v>
      </c>
      <c r="G40"/>
    </row>
    <row r="41" spans="1:7" x14ac:dyDescent="0.25">
      <c r="A41">
        <v>35</v>
      </c>
      <c r="G41"/>
    </row>
    <row r="42" spans="1:7" x14ac:dyDescent="0.25">
      <c r="A42">
        <v>36</v>
      </c>
      <c r="G42"/>
    </row>
    <row r="43" spans="1:7" x14ac:dyDescent="0.25">
      <c r="A43">
        <v>37</v>
      </c>
      <c r="G43"/>
    </row>
    <row r="44" spans="1:7" x14ac:dyDescent="0.25">
      <c r="A44">
        <v>38</v>
      </c>
      <c r="G44"/>
    </row>
    <row r="45" spans="1:7" x14ac:dyDescent="0.25">
      <c r="A45">
        <v>39</v>
      </c>
      <c r="G45"/>
    </row>
    <row r="46" spans="1:7" x14ac:dyDescent="0.25">
      <c r="A46">
        <v>40</v>
      </c>
      <c r="G46"/>
    </row>
    <row r="47" spans="1:7" x14ac:dyDescent="0.25">
      <c r="A47">
        <v>41</v>
      </c>
      <c r="G47"/>
    </row>
    <row r="48" spans="1:7" x14ac:dyDescent="0.25">
      <c r="A48">
        <v>42</v>
      </c>
      <c r="G48"/>
    </row>
    <row r="49" spans="1:7" x14ac:dyDescent="0.25">
      <c r="A49">
        <v>43</v>
      </c>
      <c r="G49"/>
    </row>
    <row r="50" spans="1:7" x14ac:dyDescent="0.25">
      <c r="A50">
        <v>44</v>
      </c>
      <c r="G50"/>
    </row>
    <row r="51" spans="1:7" x14ac:dyDescent="0.25">
      <c r="A51">
        <v>45</v>
      </c>
      <c r="G51"/>
    </row>
    <row r="52" spans="1:7" x14ac:dyDescent="0.25">
      <c r="A52">
        <v>46</v>
      </c>
      <c r="G52"/>
    </row>
    <row r="53" spans="1:7" x14ac:dyDescent="0.25">
      <c r="A53">
        <v>47</v>
      </c>
      <c r="G53"/>
    </row>
    <row r="54" spans="1:7" x14ac:dyDescent="0.25">
      <c r="A54">
        <v>48</v>
      </c>
      <c r="G54"/>
    </row>
    <row r="55" spans="1:7" x14ac:dyDescent="0.25">
      <c r="A55">
        <v>49</v>
      </c>
      <c r="G55"/>
    </row>
    <row r="56" spans="1:7" x14ac:dyDescent="0.25">
      <c r="A56">
        <v>50</v>
      </c>
      <c r="G56"/>
    </row>
    <row r="57" spans="1:7" x14ac:dyDescent="0.25">
      <c r="A57">
        <v>51</v>
      </c>
      <c r="G57"/>
    </row>
    <row r="58" spans="1:7" x14ac:dyDescent="0.25">
      <c r="A58">
        <v>52</v>
      </c>
      <c r="G58"/>
    </row>
    <row r="59" spans="1:7" x14ac:dyDescent="0.25">
      <c r="A59">
        <v>53</v>
      </c>
      <c r="G59"/>
    </row>
    <row r="60" spans="1:7" x14ac:dyDescent="0.25">
      <c r="A60">
        <v>54</v>
      </c>
      <c r="G60"/>
    </row>
    <row r="61" spans="1:7" x14ac:dyDescent="0.25">
      <c r="A61">
        <v>55</v>
      </c>
      <c r="G61"/>
    </row>
    <row r="62" spans="1:7" x14ac:dyDescent="0.25">
      <c r="A62">
        <v>56</v>
      </c>
      <c r="G62"/>
    </row>
    <row r="63" spans="1:7" x14ac:dyDescent="0.25">
      <c r="A63">
        <v>57</v>
      </c>
      <c r="G63"/>
    </row>
    <row r="64" spans="1:7" x14ac:dyDescent="0.25">
      <c r="A64">
        <v>58</v>
      </c>
      <c r="G64"/>
    </row>
    <row r="65" spans="1:7" x14ac:dyDescent="0.25">
      <c r="A65">
        <v>59</v>
      </c>
      <c r="G65"/>
    </row>
    <row r="66" spans="1:7" x14ac:dyDescent="0.25">
      <c r="A66">
        <v>60</v>
      </c>
      <c r="G66"/>
    </row>
    <row r="67" spans="1:7" x14ac:dyDescent="0.25">
      <c r="A67">
        <v>61</v>
      </c>
      <c r="G67"/>
    </row>
    <row r="68" spans="1:7" x14ac:dyDescent="0.25">
      <c r="A68">
        <v>62</v>
      </c>
      <c r="G68"/>
    </row>
    <row r="69" spans="1:7" x14ac:dyDescent="0.25">
      <c r="A69">
        <v>63</v>
      </c>
      <c r="G69"/>
    </row>
    <row r="70" spans="1:7" x14ac:dyDescent="0.25">
      <c r="A70">
        <v>64</v>
      </c>
      <c r="G70"/>
    </row>
    <row r="71" spans="1:7" x14ac:dyDescent="0.25">
      <c r="A71">
        <v>65</v>
      </c>
      <c r="G71"/>
    </row>
    <row r="72" spans="1:7" x14ac:dyDescent="0.25">
      <c r="A72">
        <v>66</v>
      </c>
      <c r="G72"/>
    </row>
    <row r="73" spans="1:7" x14ac:dyDescent="0.25">
      <c r="A73">
        <v>67</v>
      </c>
      <c r="G73"/>
    </row>
    <row r="74" spans="1:7" x14ac:dyDescent="0.25">
      <c r="A74">
        <v>68</v>
      </c>
      <c r="G74"/>
    </row>
    <row r="75" spans="1:7" x14ac:dyDescent="0.25">
      <c r="A75">
        <v>69</v>
      </c>
      <c r="G75"/>
    </row>
    <row r="76" spans="1:7" x14ac:dyDescent="0.25">
      <c r="A76">
        <v>70</v>
      </c>
      <c r="G76"/>
    </row>
    <row r="77" spans="1:7" x14ac:dyDescent="0.25">
      <c r="A77">
        <v>71</v>
      </c>
      <c r="G77"/>
    </row>
    <row r="78" spans="1:7" x14ac:dyDescent="0.25">
      <c r="A78">
        <v>72</v>
      </c>
      <c r="G78"/>
    </row>
    <row r="79" spans="1:7" x14ac:dyDescent="0.25">
      <c r="A79">
        <v>73</v>
      </c>
      <c r="G79"/>
    </row>
    <row r="80" spans="1:7" x14ac:dyDescent="0.25">
      <c r="A80">
        <v>74</v>
      </c>
      <c r="G80"/>
    </row>
    <row r="81" spans="1:7" x14ac:dyDescent="0.25">
      <c r="A81">
        <v>75</v>
      </c>
      <c r="G81"/>
    </row>
    <row r="82" spans="1:7" x14ac:dyDescent="0.25">
      <c r="A82">
        <v>76</v>
      </c>
      <c r="G82"/>
    </row>
    <row r="83" spans="1:7" x14ac:dyDescent="0.25">
      <c r="A83">
        <v>77</v>
      </c>
      <c r="G83"/>
    </row>
    <row r="84" spans="1:7" x14ac:dyDescent="0.25">
      <c r="A84">
        <v>78</v>
      </c>
      <c r="G84"/>
    </row>
    <row r="85" spans="1:7" x14ac:dyDescent="0.25">
      <c r="A85">
        <v>79</v>
      </c>
      <c r="G85"/>
    </row>
    <row r="86" spans="1:7" x14ac:dyDescent="0.25">
      <c r="A86">
        <v>80</v>
      </c>
      <c r="G86"/>
    </row>
    <row r="87" spans="1:7" x14ac:dyDescent="0.25">
      <c r="A87">
        <v>81</v>
      </c>
      <c r="G87"/>
    </row>
    <row r="88" spans="1:7" x14ac:dyDescent="0.25">
      <c r="A88">
        <v>82</v>
      </c>
      <c r="G88"/>
    </row>
    <row r="89" spans="1:7" x14ac:dyDescent="0.25">
      <c r="A89">
        <v>83</v>
      </c>
      <c r="G89"/>
    </row>
    <row r="90" spans="1:7" x14ac:dyDescent="0.25">
      <c r="A90">
        <v>84</v>
      </c>
      <c r="G90"/>
    </row>
    <row r="91" spans="1:7" x14ac:dyDescent="0.25">
      <c r="A91">
        <v>85</v>
      </c>
      <c r="G91"/>
    </row>
    <row r="92" spans="1:7" x14ac:dyDescent="0.25">
      <c r="A92">
        <v>86</v>
      </c>
      <c r="G92"/>
    </row>
    <row r="93" spans="1:7" x14ac:dyDescent="0.25">
      <c r="A93">
        <v>87</v>
      </c>
      <c r="G93"/>
    </row>
    <row r="94" spans="1:7" x14ac:dyDescent="0.25">
      <c r="A94">
        <v>88</v>
      </c>
      <c r="G94"/>
    </row>
    <row r="95" spans="1:7" x14ac:dyDescent="0.25">
      <c r="A95">
        <v>89</v>
      </c>
      <c r="G95"/>
    </row>
    <row r="96" spans="1:7" x14ac:dyDescent="0.25">
      <c r="A96">
        <v>90</v>
      </c>
      <c r="G96"/>
    </row>
    <row r="97" spans="1:7" x14ac:dyDescent="0.25">
      <c r="A97">
        <v>91</v>
      </c>
      <c r="G97"/>
    </row>
    <row r="98" spans="1:7" x14ac:dyDescent="0.25">
      <c r="A98">
        <v>92</v>
      </c>
      <c r="G98"/>
    </row>
    <row r="99" spans="1:7" x14ac:dyDescent="0.25">
      <c r="A99">
        <v>93</v>
      </c>
      <c r="G99"/>
    </row>
    <row r="100" spans="1:7" x14ac:dyDescent="0.25">
      <c r="A100">
        <v>94</v>
      </c>
      <c r="G100"/>
    </row>
    <row r="101" spans="1:7" x14ac:dyDescent="0.25">
      <c r="A101">
        <v>95</v>
      </c>
      <c r="G101"/>
    </row>
    <row r="102" spans="1:7" x14ac:dyDescent="0.25">
      <c r="A102">
        <v>96</v>
      </c>
      <c r="G102"/>
    </row>
    <row r="103" spans="1:7" x14ac:dyDescent="0.25">
      <c r="A103">
        <v>97</v>
      </c>
      <c r="G103"/>
    </row>
    <row r="104" spans="1:7" x14ac:dyDescent="0.25">
      <c r="A104">
        <v>98</v>
      </c>
      <c r="G104"/>
    </row>
    <row r="105" spans="1:7" x14ac:dyDescent="0.25">
      <c r="A105">
        <v>99</v>
      </c>
      <c r="G105"/>
    </row>
    <row r="106" spans="1:7" x14ac:dyDescent="0.25">
      <c r="A106">
        <v>100</v>
      </c>
      <c r="G106"/>
    </row>
    <row r="107" spans="1:7" x14ac:dyDescent="0.25">
      <c r="A107">
        <v>101</v>
      </c>
      <c r="G107"/>
    </row>
    <row r="108" spans="1:7" x14ac:dyDescent="0.25">
      <c r="A108">
        <v>102</v>
      </c>
      <c r="G108"/>
    </row>
    <row r="109" spans="1:7" x14ac:dyDescent="0.25">
      <c r="A109">
        <v>103</v>
      </c>
      <c r="G109"/>
    </row>
    <row r="110" spans="1:7" x14ac:dyDescent="0.25">
      <c r="A110">
        <v>104</v>
      </c>
      <c r="G110"/>
    </row>
    <row r="111" spans="1:7" x14ac:dyDescent="0.25">
      <c r="A111">
        <v>105</v>
      </c>
      <c r="G111"/>
    </row>
    <row r="112" spans="1:7" x14ac:dyDescent="0.25">
      <c r="A112">
        <v>106</v>
      </c>
      <c r="G112"/>
    </row>
    <row r="113" spans="1:7" x14ac:dyDescent="0.25">
      <c r="A113">
        <v>107</v>
      </c>
      <c r="G113"/>
    </row>
    <row r="114" spans="1:7" x14ac:dyDescent="0.25">
      <c r="A114">
        <v>108</v>
      </c>
      <c r="G114"/>
    </row>
    <row r="115" spans="1:7" x14ac:dyDescent="0.25">
      <c r="A115">
        <v>109</v>
      </c>
      <c r="G115"/>
    </row>
    <row r="116" spans="1:7" x14ac:dyDescent="0.25">
      <c r="A116">
        <v>110</v>
      </c>
      <c r="G116"/>
    </row>
    <row r="117" spans="1:7" x14ac:dyDescent="0.25">
      <c r="A117">
        <v>111</v>
      </c>
      <c r="G117"/>
    </row>
    <row r="118" spans="1:7" x14ac:dyDescent="0.25">
      <c r="A118">
        <v>112</v>
      </c>
      <c r="G118"/>
    </row>
    <row r="119" spans="1:7" x14ac:dyDescent="0.25">
      <c r="A119">
        <v>113</v>
      </c>
      <c r="G119"/>
    </row>
    <row r="120" spans="1:7" x14ac:dyDescent="0.25">
      <c r="A120">
        <v>114</v>
      </c>
      <c r="G120"/>
    </row>
    <row r="121" spans="1:7" x14ac:dyDescent="0.25">
      <c r="A121">
        <v>115</v>
      </c>
      <c r="G121"/>
    </row>
    <row r="122" spans="1:7" x14ac:dyDescent="0.25">
      <c r="A122">
        <v>116</v>
      </c>
      <c r="G122"/>
    </row>
    <row r="123" spans="1:7" x14ac:dyDescent="0.25">
      <c r="A123">
        <v>117</v>
      </c>
      <c r="G123"/>
    </row>
    <row r="124" spans="1:7" x14ac:dyDescent="0.25">
      <c r="A124">
        <v>118</v>
      </c>
      <c r="G124"/>
    </row>
    <row r="125" spans="1:7" x14ac:dyDescent="0.25">
      <c r="A125">
        <v>119</v>
      </c>
      <c r="G125"/>
    </row>
    <row r="126" spans="1:7" x14ac:dyDescent="0.25">
      <c r="A126">
        <v>120</v>
      </c>
      <c r="G126"/>
    </row>
    <row r="127" spans="1:7" x14ac:dyDescent="0.25">
      <c r="A127">
        <v>121</v>
      </c>
      <c r="G127"/>
    </row>
    <row r="128" spans="1:7" x14ac:dyDescent="0.25">
      <c r="A128">
        <v>122</v>
      </c>
      <c r="G128"/>
    </row>
    <row r="129" spans="1:7" x14ac:dyDescent="0.25">
      <c r="A129">
        <v>123</v>
      </c>
      <c r="G129"/>
    </row>
    <row r="130" spans="1:7" x14ac:dyDescent="0.25">
      <c r="A130">
        <v>124</v>
      </c>
      <c r="G130"/>
    </row>
    <row r="131" spans="1:7" x14ac:dyDescent="0.25">
      <c r="A131">
        <v>125</v>
      </c>
      <c r="G131"/>
    </row>
    <row r="132" spans="1:7" x14ac:dyDescent="0.25">
      <c r="A132">
        <v>126</v>
      </c>
      <c r="G132"/>
    </row>
    <row r="133" spans="1:7" x14ac:dyDescent="0.25">
      <c r="A133">
        <v>127</v>
      </c>
      <c r="G133"/>
    </row>
    <row r="134" spans="1:7" x14ac:dyDescent="0.25">
      <c r="A134">
        <v>128</v>
      </c>
      <c r="G134"/>
    </row>
    <row r="135" spans="1:7" x14ac:dyDescent="0.25">
      <c r="A135">
        <v>129</v>
      </c>
      <c r="G135"/>
    </row>
    <row r="136" spans="1:7" x14ac:dyDescent="0.25">
      <c r="A136">
        <v>130</v>
      </c>
      <c r="G136"/>
    </row>
    <row r="137" spans="1:7" x14ac:dyDescent="0.25">
      <c r="A137">
        <v>131</v>
      </c>
      <c r="G137"/>
    </row>
    <row r="138" spans="1:7" x14ac:dyDescent="0.25">
      <c r="A138">
        <v>132</v>
      </c>
      <c r="G138"/>
    </row>
    <row r="139" spans="1:7" x14ac:dyDescent="0.25">
      <c r="A139">
        <v>133</v>
      </c>
      <c r="G139"/>
    </row>
    <row r="140" spans="1:7" x14ac:dyDescent="0.25">
      <c r="A140">
        <v>134</v>
      </c>
      <c r="G140"/>
    </row>
    <row r="141" spans="1:7" x14ac:dyDescent="0.25">
      <c r="A141">
        <v>135</v>
      </c>
      <c r="G141"/>
    </row>
    <row r="142" spans="1:7" x14ac:dyDescent="0.25">
      <c r="A142">
        <v>136</v>
      </c>
      <c r="G142"/>
    </row>
    <row r="143" spans="1:7" x14ac:dyDescent="0.25">
      <c r="A143">
        <v>137</v>
      </c>
      <c r="G143"/>
    </row>
    <row r="144" spans="1:7" x14ac:dyDescent="0.25">
      <c r="A144">
        <v>138</v>
      </c>
      <c r="G144"/>
    </row>
    <row r="145" spans="1:7" x14ac:dyDescent="0.25">
      <c r="A145">
        <v>139</v>
      </c>
      <c r="G145"/>
    </row>
    <row r="146" spans="1:7" x14ac:dyDescent="0.25">
      <c r="A146">
        <v>140</v>
      </c>
      <c r="G146"/>
    </row>
    <row r="147" spans="1:7" x14ac:dyDescent="0.25">
      <c r="A147">
        <v>141</v>
      </c>
      <c r="G147"/>
    </row>
    <row r="148" spans="1:7" x14ac:dyDescent="0.25">
      <c r="A148">
        <v>142</v>
      </c>
      <c r="G148"/>
    </row>
    <row r="149" spans="1:7" x14ac:dyDescent="0.25">
      <c r="A149">
        <v>143</v>
      </c>
      <c r="G149"/>
    </row>
    <row r="150" spans="1:7" x14ac:dyDescent="0.25">
      <c r="A150">
        <v>144</v>
      </c>
      <c r="G150"/>
    </row>
    <row r="151" spans="1:7" x14ac:dyDescent="0.25">
      <c r="A151">
        <v>145</v>
      </c>
      <c r="G151"/>
    </row>
    <row r="152" spans="1:7" x14ac:dyDescent="0.25">
      <c r="A152">
        <v>146</v>
      </c>
      <c r="G152"/>
    </row>
    <row r="153" spans="1:7" x14ac:dyDescent="0.25">
      <c r="A153">
        <v>147</v>
      </c>
      <c r="G153"/>
    </row>
    <row r="154" spans="1:7" x14ac:dyDescent="0.25">
      <c r="A154">
        <v>148</v>
      </c>
      <c r="G154"/>
    </row>
    <row r="155" spans="1:7" x14ac:dyDescent="0.25">
      <c r="A155">
        <v>149</v>
      </c>
      <c r="G155"/>
    </row>
    <row r="156" spans="1:7" x14ac:dyDescent="0.25">
      <c r="A156">
        <v>150</v>
      </c>
      <c r="G156"/>
    </row>
    <row r="157" spans="1:7" x14ac:dyDescent="0.25">
      <c r="A157">
        <v>151</v>
      </c>
      <c r="G157"/>
    </row>
    <row r="158" spans="1:7" x14ac:dyDescent="0.25">
      <c r="A158">
        <v>152</v>
      </c>
      <c r="G158"/>
    </row>
    <row r="159" spans="1:7" x14ac:dyDescent="0.25">
      <c r="A159">
        <v>153</v>
      </c>
      <c r="G159"/>
    </row>
    <row r="160" spans="1:7" x14ac:dyDescent="0.25">
      <c r="A160">
        <v>154</v>
      </c>
      <c r="G160"/>
    </row>
    <row r="161" spans="1:7" x14ac:dyDescent="0.25">
      <c r="A161">
        <v>155</v>
      </c>
      <c r="G161"/>
    </row>
    <row r="162" spans="1:7" x14ac:dyDescent="0.25">
      <c r="A162">
        <v>156</v>
      </c>
      <c r="G162"/>
    </row>
    <row r="163" spans="1:7" x14ac:dyDescent="0.25">
      <c r="A163">
        <v>157</v>
      </c>
      <c r="G163"/>
    </row>
    <row r="164" spans="1:7" x14ac:dyDescent="0.25">
      <c r="A164">
        <v>158</v>
      </c>
      <c r="G164"/>
    </row>
    <row r="165" spans="1:7" x14ac:dyDescent="0.25">
      <c r="A165">
        <v>159</v>
      </c>
      <c r="G165"/>
    </row>
    <row r="166" spans="1:7" x14ac:dyDescent="0.25">
      <c r="A166">
        <v>160</v>
      </c>
      <c r="G166"/>
    </row>
    <row r="167" spans="1:7" x14ac:dyDescent="0.25">
      <c r="A167">
        <v>161</v>
      </c>
      <c r="G167"/>
    </row>
    <row r="168" spans="1:7" x14ac:dyDescent="0.25">
      <c r="A168">
        <v>162</v>
      </c>
      <c r="G168"/>
    </row>
    <row r="169" spans="1:7" x14ac:dyDescent="0.25">
      <c r="A169">
        <v>163</v>
      </c>
      <c r="G169"/>
    </row>
    <row r="170" spans="1:7" x14ac:dyDescent="0.25">
      <c r="A170">
        <v>164</v>
      </c>
      <c r="G170"/>
    </row>
    <row r="171" spans="1:7" x14ac:dyDescent="0.25">
      <c r="A171">
        <v>165</v>
      </c>
      <c r="G171"/>
    </row>
    <row r="172" spans="1:7" x14ac:dyDescent="0.25">
      <c r="A172">
        <v>166</v>
      </c>
      <c r="G172"/>
    </row>
    <row r="173" spans="1:7" x14ac:dyDescent="0.25">
      <c r="A173">
        <v>167</v>
      </c>
      <c r="G173"/>
    </row>
    <row r="174" spans="1:7" x14ac:dyDescent="0.25">
      <c r="A174">
        <v>168</v>
      </c>
      <c r="G174"/>
    </row>
    <row r="175" spans="1:7" x14ac:dyDescent="0.25">
      <c r="A175">
        <v>169</v>
      </c>
      <c r="G175"/>
    </row>
    <row r="176" spans="1:7" x14ac:dyDescent="0.25">
      <c r="A176">
        <v>170</v>
      </c>
      <c r="G176"/>
    </row>
    <row r="177" spans="1:7" x14ac:dyDescent="0.25">
      <c r="A177">
        <v>171</v>
      </c>
      <c r="G177"/>
    </row>
    <row r="178" spans="1:7" x14ac:dyDescent="0.25">
      <c r="A178">
        <v>172</v>
      </c>
      <c r="G178"/>
    </row>
    <row r="179" spans="1:7" x14ac:dyDescent="0.25">
      <c r="A179">
        <v>173</v>
      </c>
      <c r="G179"/>
    </row>
    <row r="180" spans="1:7" x14ac:dyDescent="0.25">
      <c r="A180">
        <v>174</v>
      </c>
      <c r="G180"/>
    </row>
    <row r="181" spans="1:7" x14ac:dyDescent="0.25">
      <c r="A181">
        <v>175</v>
      </c>
      <c r="G181"/>
    </row>
    <row r="182" spans="1:7" x14ac:dyDescent="0.25">
      <c r="A182">
        <v>176</v>
      </c>
      <c r="G182"/>
    </row>
    <row r="183" spans="1:7" x14ac:dyDescent="0.25">
      <c r="A183">
        <v>177</v>
      </c>
      <c r="G183"/>
    </row>
    <row r="184" spans="1:7" x14ac:dyDescent="0.25">
      <c r="A184">
        <v>178</v>
      </c>
      <c r="G184"/>
    </row>
    <row r="185" spans="1:7" x14ac:dyDescent="0.25">
      <c r="A185">
        <v>179</v>
      </c>
      <c r="G185"/>
    </row>
    <row r="186" spans="1:7" x14ac:dyDescent="0.25">
      <c r="A186">
        <v>180</v>
      </c>
      <c r="G186"/>
    </row>
    <row r="187" spans="1:7" x14ac:dyDescent="0.25">
      <c r="A187">
        <v>181</v>
      </c>
      <c r="G187"/>
    </row>
    <row r="188" spans="1:7" x14ac:dyDescent="0.25">
      <c r="A188">
        <v>182</v>
      </c>
      <c r="G188"/>
    </row>
    <row r="189" spans="1:7" x14ac:dyDescent="0.25">
      <c r="A189">
        <v>183</v>
      </c>
      <c r="G189"/>
    </row>
    <row r="190" spans="1:7" x14ac:dyDescent="0.25">
      <c r="A190">
        <v>184</v>
      </c>
      <c r="G190"/>
    </row>
    <row r="191" spans="1:7" x14ac:dyDescent="0.25">
      <c r="A191">
        <v>185</v>
      </c>
      <c r="G191"/>
    </row>
    <row r="192" spans="1:7" x14ac:dyDescent="0.25">
      <c r="A192">
        <v>186</v>
      </c>
      <c r="G192"/>
    </row>
    <row r="193" spans="1:7" x14ac:dyDescent="0.25">
      <c r="A193">
        <v>187</v>
      </c>
      <c r="G193"/>
    </row>
    <row r="194" spans="1:7" x14ac:dyDescent="0.25">
      <c r="A194">
        <v>188</v>
      </c>
      <c r="G194"/>
    </row>
    <row r="195" spans="1:7" x14ac:dyDescent="0.25">
      <c r="A195">
        <v>189</v>
      </c>
      <c r="G195"/>
    </row>
    <row r="196" spans="1:7" x14ac:dyDescent="0.25">
      <c r="A196">
        <v>190</v>
      </c>
      <c r="G196"/>
    </row>
    <row r="197" spans="1:7" x14ac:dyDescent="0.25">
      <c r="A197">
        <v>191</v>
      </c>
      <c r="G197"/>
    </row>
    <row r="198" spans="1:7" x14ac:dyDescent="0.25">
      <c r="A198">
        <v>192</v>
      </c>
      <c r="G198"/>
    </row>
    <row r="199" spans="1:7" x14ac:dyDescent="0.25">
      <c r="A199">
        <v>193</v>
      </c>
      <c r="G199"/>
    </row>
    <row r="200" spans="1:7" x14ac:dyDescent="0.25">
      <c r="A200">
        <v>194</v>
      </c>
      <c r="G200"/>
    </row>
    <row r="201" spans="1:7" x14ac:dyDescent="0.25">
      <c r="A201">
        <v>195</v>
      </c>
      <c r="G201"/>
    </row>
    <row r="202" spans="1:7" x14ac:dyDescent="0.25">
      <c r="A202">
        <v>196</v>
      </c>
      <c r="G202"/>
    </row>
    <row r="203" spans="1:7" x14ac:dyDescent="0.25">
      <c r="A203">
        <v>197</v>
      </c>
      <c r="G203"/>
    </row>
    <row r="204" spans="1:7" x14ac:dyDescent="0.25">
      <c r="A204">
        <v>198</v>
      </c>
      <c r="G204"/>
    </row>
    <row r="205" spans="1:7" x14ac:dyDescent="0.25">
      <c r="A205">
        <v>199</v>
      </c>
      <c r="G205"/>
    </row>
    <row r="206" spans="1:7" x14ac:dyDescent="0.25">
      <c r="A206">
        <v>200</v>
      </c>
      <c r="G206"/>
    </row>
    <row r="207" spans="1:7" x14ac:dyDescent="0.25">
      <c r="A207">
        <v>201</v>
      </c>
      <c r="G207"/>
    </row>
    <row r="208" spans="1:7" x14ac:dyDescent="0.25">
      <c r="A208">
        <v>202</v>
      </c>
      <c r="G208"/>
    </row>
    <row r="209" spans="1:7" x14ac:dyDescent="0.25">
      <c r="A209">
        <v>203</v>
      </c>
      <c r="G209"/>
    </row>
    <row r="210" spans="1:7" x14ac:dyDescent="0.25">
      <c r="A210">
        <v>204</v>
      </c>
      <c r="G210"/>
    </row>
    <row r="211" spans="1:7" x14ac:dyDescent="0.25">
      <c r="A211">
        <v>205</v>
      </c>
      <c r="G211"/>
    </row>
    <row r="212" spans="1:7" x14ac:dyDescent="0.25">
      <c r="A212">
        <v>206</v>
      </c>
      <c r="G212"/>
    </row>
    <row r="213" spans="1:7" x14ac:dyDescent="0.25">
      <c r="A213">
        <v>207</v>
      </c>
      <c r="G213"/>
    </row>
    <row r="214" spans="1:7" x14ac:dyDescent="0.25">
      <c r="A214">
        <v>208</v>
      </c>
      <c r="G214"/>
    </row>
    <row r="215" spans="1:7" x14ac:dyDescent="0.25">
      <c r="A215">
        <v>209</v>
      </c>
      <c r="G215"/>
    </row>
    <row r="216" spans="1:7" x14ac:dyDescent="0.25">
      <c r="A216">
        <v>210</v>
      </c>
      <c r="G216"/>
    </row>
    <row r="217" spans="1:7" x14ac:dyDescent="0.25">
      <c r="A217">
        <v>211</v>
      </c>
      <c r="G217"/>
    </row>
    <row r="218" spans="1:7" x14ac:dyDescent="0.25">
      <c r="A218">
        <v>212</v>
      </c>
      <c r="G218"/>
    </row>
    <row r="219" spans="1:7" x14ac:dyDescent="0.25">
      <c r="A219">
        <v>213</v>
      </c>
      <c r="G219"/>
    </row>
    <row r="220" spans="1:7" x14ac:dyDescent="0.25">
      <c r="A220">
        <v>214</v>
      </c>
      <c r="G220"/>
    </row>
    <row r="221" spans="1:7" x14ac:dyDescent="0.25">
      <c r="A221">
        <v>215</v>
      </c>
      <c r="G221"/>
    </row>
    <row r="222" spans="1:7" x14ac:dyDescent="0.25">
      <c r="A222">
        <v>216</v>
      </c>
      <c r="G222"/>
    </row>
    <row r="223" spans="1:7" x14ac:dyDescent="0.25">
      <c r="A223">
        <v>217</v>
      </c>
      <c r="G223"/>
    </row>
    <row r="224" spans="1:7" x14ac:dyDescent="0.25">
      <c r="A224">
        <v>218</v>
      </c>
      <c r="G224"/>
    </row>
    <row r="225" spans="1:7" x14ac:dyDescent="0.25">
      <c r="A225">
        <v>219</v>
      </c>
      <c r="G225"/>
    </row>
    <row r="226" spans="1:7" x14ac:dyDescent="0.25">
      <c r="A226">
        <v>220</v>
      </c>
      <c r="G226"/>
    </row>
    <row r="227" spans="1:7" x14ac:dyDescent="0.25">
      <c r="A227">
        <v>221</v>
      </c>
      <c r="G227"/>
    </row>
    <row r="228" spans="1:7" x14ac:dyDescent="0.25">
      <c r="A228">
        <v>222</v>
      </c>
      <c r="G228"/>
    </row>
    <row r="229" spans="1:7" x14ac:dyDescent="0.25">
      <c r="A229">
        <v>223</v>
      </c>
      <c r="G229"/>
    </row>
    <row r="230" spans="1:7" x14ac:dyDescent="0.25">
      <c r="A230">
        <v>224</v>
      </c>
      <c r="G230"/>
    </row>
    <row r="231" spans="1:7" x14ac:dyDescent="0.25">
      <c r="A231">
        <v>225</v>
      </c>
      <c r="G231"/>
    </row>
    <row r="232" spans="1:7" x14ac:dyDescent="0.25">
      <c r="A232">
        <v>226</v>
      </c>
      <c r="G232"/>
    </row>
    <row r="233" spans="1:7" x14ac:dyDescent="0.25">
      <c r="A233">
        <v>227</v>
      </c>
      <c r="G233"/>
    </row>
    <row r="234" spans="1:7" x14ac:dyDescent="0.25">
      <c r="A234">
        <v>228</v>
      </c>
      <c r="G234"/>
    </row>
    <row r="235" spans="1:7" x14ac:dyDescent="0.25">
      <c r="A235">
        <v>229</v>
      </c>
      <c r="G235"/>
    </row>
    <row r="236" spans="1:7" x14ac:dyDescent="0.25">
      <c r="A236">
        <v>230</v>
      </c>
      <c r="G236"/>
    </row>
    <row r="237" spans="1:7" x14ac:dyDescent="0.25">
      <c r="A237">
        <v>231</v>
      </c>
      <c r="G237"/>
    </row>
    <row r="238" spans="1:7" x14ac:dyDescent="0.25">
      <c r="A238">
        <v>232</v>
      </c>
      <c r="G238"/>
    </row>
    <row r="239" spans="1:7" x14ac:dyDescent="0.25">
      <c r="A239">
        <v>233</v>
      </c>
      <c r="G239"/>
    </row>
    <row r="240" spans="1:7" x14ac:dyDescent="0.25">
      <c r="A240">
        <v>234</v>
      </c>
      <c r="G240"/>
    </row>
    <row r="241" spans="1:7" x14ac:dyDescent="0.25">
      <c r="A241">
        <v>235</v>
      </c>
      <c r="G241"/>
    </row>
    <row r="242" spans="1:7" x14ac:dyDescent="0.25">
      <c r="A242">
        <v>236</v>
      </c>
      <c r="G242"/>
    </row>
    <row r="243" spans="1:7" x14ac:dyDescent="0.25">
      <c r="A243">
        <v>237</v>
      </c>
      <c r="G243"/>
    </row>
    <row r="244" spans="1:7" x14ac:dyDescent="0.25">
      <c r="A244">
        <v>238</v>
      </c>
      <c r="G244"/>
    </row>
    <row r="245" spans="1:7" x14ac:dyDescent="0.25">
      <c r="A245">
        <v>239</v>
      </c>
      <c r="G245"/>
    </row>
    <row r="246" spans="1:7" x14ac:dyDescent="0.25">
      <c r="A246">
        <v>240</v>
      </c>
      <c r="G246"/>
    </row>
    <row r="247" spans="1:7" x14ac:dyDescent="0.25">
      <c r="A247">
        <v>241</v>
      </c>
      <c r="G247"/>
    </row>
    <row r="248" spans="1:7" x14ac:dyDescent="0.25">
      <c r="A248">
        <v>242</v>
      </c>
      <c r="G248"/>
    </row>
    <row r="249" spans="1:7" x14ac:dyDescent="0.25">
      <c r="A249">
        <v>243</v>
      </c>
      <c r="G249"/>
    </row>
    <row r="250" spans="1:7" x14ac:dyDescent="0.25">
      <c r="A250">
        <v>244</v>
      </c>
      <c r="G250"/>
    </row>
    <row r="251" spans="1:7" x14ac:dyDescent="0.25">
      <c r="A251">
        <v>245</v>
      </c>
      <c r="G251"/>
    </row>
    <row r="252" spans="1:7" x14ac:dyDescent="0.25">
      <c r="A252">
        <v>246</v>
      </c>
      <c r="G252"/>
    </row>
    <row r="253" spans="1:7" x14ac:dyDescent="0.25">
      <c r="A253">
        <v>247</v>
      </c>
      <c r="G253"/>
    </row>
    <row r="254" spans="1:7" x14ac:dyDescent="0.25">
      <c r="A254">
        <v>248</v>
      </c>
      <c r="G254"/>
    </row>
    <row r="255" spans="1:7" x14ac:dyDescent="0.25">
      <c r="A255">
        <v>249</v>
      </c>
      <c r="G255"/>
    </row>
    <row r="256" spans="1:7" x14ac:dyDescent="0.25">
      <c r="A256">
        <v>250</v>
      </c>
      <c r="G256"/>
    </row>
    <row r="257" spans="1:7" x14ac:dyDescent="0.25">
      <c r="A257">
        <v>251</v>
      </c>
      <c r="G257"/>
    </row>
    <row r="258" spans="1:7" x14ac:dyDescent="0.25">
      <c r="A258">
        <v>252</v>
      </c>
      <c r="G258"/>
    </row>
    <row r="259" spans="1:7" x14ac:dyDescent="0.25">
      <c r="A259">
        <v>253</v>
      </c>
      <c r="G259"/>
    </row>
    <row r="260" spans="1:7" x14ac:dyDescent="0.25">
      <c r="A260">
        <v>254</v>
      </c>
      <c r="G260"/>
    </row>
    <row r="261" spans="1:7" x14ac:dyDescent="0.25">
      <c r="A261">
        <v>255</v>
      </c>
      <c r="G261"/>
    </row>
    <row r="262" spans="1:7" x14ac:dyDescent="0.25">
      <c r="A262">
        <v>256</v>
      </c>
      <c r="G262"/>
    </row>
    <row r="263" spans="1:7" x14ac:dyDescent="0.25">
      <c r="A263">
        <v>257</v>
      </c>
      <c r="G263"/>
    </row>
    <row r="264" spans="1:7" x14ac:dyDescent="0.25">
      <c r="A264">
        <v>258</v>
      </c>
      <c r="G264"/>
    </row>
    <row r="265" spans="1:7" x14ac:dyDescent="0.25">
      <c r="A265">
        <v>259</v>
      </c>
      <c r="G265"/>
    </row>
    <row r="266" spans="1:7" x14ac:dyDescent="0.25">
      <c r="A266">
        <v>260</v>
      </c>
      <c r="G266"/>
    </row>
    <row r="267" spans="1:7" x14ac:dyDescent="0.25">
      <c r="A267">
        <v>261</v>
      </c>
      <c r="G267"/>
    </row>
    <row r="268" spans="1:7" x14ac:dyDescent="0.25">
      <c r="A268">
        <v>262</v>
      </c>
      <c r="G268"/>
    </row>
    <row r="269" spans="1:7" x14ac:dyDescent="0.25">
      <c r="A269">
        <v>263</v>
      </c>
      <c r="G269"/>
    </row>
    <row r="270" spans="1:7" x14ac:dyDescent="0.25">
      <c r="A270">
        <v>264</v>
      </c>
      <c r="G270"/>
    </row>
    <row r="271" spans="1:7" x14ac:dyDescent="0.25">
      <c r="A271">
        <v>265</v>
      </c>
      <c r="G271"/>
    </row>
    <row r="272" spans="1:7" x14ac:dyDescent="0.25">
      <c r="A272">
        <v>266</v>
      </c>
      <c r="G272"/>
    </row>
    <row r="273" spans="1:7" x14ac:dyDescent="0.25">
      <c r="A273">
        <v>267</v>
      </c>
      <c r="G273"/>
    </row>
    <row r="274" spans="1:7" x14ac:dyDescent="0.25">
      <c r="A274">
        <v>268</v>
      </c>
      <c r="G274"/>
    </row>
    <row r="275" spans="1:7" x14ac:dyDescent="0.25">
      <c r="A275">
        <v>269</v>
      </c>
      <c r="G275"/>
    </row>
    <row r="276" spans="1:7" x14ac:dyDescent="0.25">
      <c r="A276">
        <v>270</v>
      </c>
      <c r="G276"/>
    </row>
    <row r="277" spans="1:7" x14ac:dyDescent="0.25">
      <c r="A277">
        <v>271</v>
      </c>
      <c r="G277"/>
    </row>
    <row r="278" spans="1:7" x14ac:dyDescent="0.25">
      <c r="A278">
        <v>272</v>
      </c>
      <c r="G278"/>
    </row>
    <row r="279" spans="1:7" x14ac:dyDescent="0.25">
      <c r="A279">
        <v>273</v>
      </c>
      <c r="G279"/>
    </row>
    <row r="280" spans="1:7" x14ac:dyDescent="0.25">
      <c r="A280">
        <v>274</v>
      </c>
      <c r="G280"/>
    </row>
    <row r="281" spans="1:7" x14ac:dyDescent="0.25">
      <c r="A281">
        <v>275</v>
      </c>
      <c r="G281"/>
    </row>
    <row r="282" spans="1:7" x14ac:dyDescent="0.25">
      <c r="A282">
        <v>276</v>
      </c>
      <c r="G282"/>
    </row>
    <row r="283" spans="1:7" x14ac:dyDescent="0.25">
      <c r="A283">
        <v>277</v>
      </c>
      <c r="G283"/>
    </row>
    <row r="284" spans="1:7" x14ac:dyDescent="0.25">
      <c r="A284">
        <v>278</v>
      </c>
      <c r="G284"/>
    </row>
    <row r="285" spans="1:7" x14ac:dyDescent="0.25">
      <c r="A285">
        <v>279</v>
      </c>
      <c r="G285"/>
    </row>
    <row r="286" spans="1:7" x14ac:dyDescent="0.25">
      <c r="A286">
        <v>280</v>
      </c>
      <c r="G286"/>
    </row>
    <row r="287" spans="1:7" x14ac:dyDescent="0.25">
      <c r="A287">
        <v>281</v>
      </c>
      <c r="G287"/>
    </row>
    <row r="288" spans="1:7" x14ac:dyDescent="0.25">
      <c r="A288">
        <v>282</v>
      </c>
      <c r="G288"/>
    </row>
    <row r="289" spans="1:7" x14ac:dyDescent="0.25">
      <c r="A289">
        <v>283</v>
      </c>
      <c r="G289"/>
    </row>
    <row r="290" spans="1:7" x14ac:dyDescent="0.25">
      <c r="A290">
        <v>284</v>
      </c>
      <c r="G290"/>
    </row>
    <row r="291" spans="1:7" x14ac:dyDescent="0.25">
      <c r="A291">
        <v>285</v>
      </c>
      <c r="G291"/>
    </row>
    <row r="292" spans="1:7" x14ac:dyDescent="0.25">
      <c r="A292">
        <v>286</v>
      </c>
      <c r="G292"/>
    </row>
    <row r="293" spans="1:7" x14ac:dyDescent="0.25">
      <c r="A293">
        <v>287</v>
      </c>
      <c r="G293"/>
    </row>
    <row r="294" spans="1:7" x14ac:dyDescent="0.25">
      <c r="A294">
        <v>288</v>
      </c>
      <c r="G294"/>
    </row>
    <row r="295" spans="1:7" x14ac:dyDescent="0.25">
      <c r="A295">
        <v>289</v>
      </c>
      <c r="G295"/>
    </row>
    <row r="296" spans="1:7" x14ac:dyDescent="0.25">
      <c r="A296">
        <v>290</v>
      </c>
      <c r="G296"/>
    </row>
    <row r="297" spans="1:7" x14ac:dyDescent="0.25">
      <c r="A297">
        <v>291</v>
      </c>
      <c r="G297"/>
    </row>
    <row r="298" spans="1:7" x14ac:dyDescent="0.25">
      <c r="A298">
        <v>292</v>
      </c>
      <c r="G298"/>
    </row>
    <row r="299" spans="1:7" x14ac:dyDescent="0.25">
      <c r="A299">
        <v>293</v>
      </c>
      <c r="G299"/>
    </row>
    <row r="300" spans="1:7" x14ac:dyDescent="0.25">
      <c r="A300">
        <v>294</v>
      </c>
      <c r="G300"/>
    </row>
    <row r="301" spans="1:7" x14ac:dyDescent="0.25">
      <c r="A301">
        <v>295</v>
      </c>
      <c r="G301"/>
    </row>
    <row r="302" spans="1:7" x14ac:dyDescent="0.25">
      <c r="A302">
        <v>296</v>
      </c>
      <c r="G302"/>
    </row>
    <row r="303" spans="1:7" x14ac:dyDescent="0.25">
      <c r="A303">
        <v>297</v>
      </c>
      <c r="G303"/>
    </row>
    <row r="304" spans="1:7" x14ac:dyDescent="0.25">
      <c r="A304">
        <v>298</v>
      </c>
      <c r="G304"/>
    </row>
    <row r="305" spans="1:7" x14ac:dyDescent="0.25">
      <c r="A305">
        <v>299</v>
      </c>
      <c r="G305"/>
    </row>
    <row r="306" spans="1:7" x14ac:dyDescent="0.25">
      <c r="A306">
        <v>300</v>
      </c>
      <c r="G306"/>
    </row>
    <row r="307" spans="1:7" x14ac:dyDescent="0.25">
      <c r="A307">
        <v>301</v>
      </c>
      <c r="G307"/>
    </row>
    <row r="308" spans="1:7" x14ac:dyDescent="0.25">
      <c r="A308">
        <v>302</v>
      </c>
      <c r="G308"/>
    </row>
    <row r="309" spans="1:7" x14ac:dyDescent="0.25">
      <c r="A309">
        <v>303</v>
      </c>
      <c r="G309"/>
    </row>
    <row r="310" spans="1:7" x14ac:dyDescent="0.25">
      <c r="A310">
        <v>304</v>
      </c>
      <c r="G310"/>
    </row>
    <row r="311" spans="1:7" x14ac:dyDescent="0.25">
      <c r="A311">
        <v>305</v>
      </c>
      <c r="G311"/>
    </row>
    <row r="312" spans="1:7" x14ac:dyDescent="0.25">
      <c r="A312">
        <v>306</v>
      </c>
      <c r="G312"/>
    </row>
    <row r="313" spans="1:7" x14ac:dyDescent="0.25">
      <c r="A313">
        <v>307</v>
      </c>
      <c r="G313"/>
    </row>
    <row r="314" spans="1:7" x14ac:dyDescent="0.25">
      <c r="A314">
        <v>308</v>
      </c>
      <c r="G314"/>
    </row>
    <row r="315" spans="1:7" x14ac:dyDescent="0.25">
      <c r="A315">
        <v>309</v>
      </c>
      <c r="G315"/>
    </row>
    <row r="316" spans="1:7" x14ac:dyDescent="0.25">
      <c r="A316">
        <v>310</v>
      </c>
      <c r="G316"/>
    </row>
    <row r="317" spans="1:7" x14ac:dyDescent="0.25">
      <c r="A317">
        <v>311</v>
      </c>
      <c r="G317"/>
    </row>
    <row r="318" spans="1:7" x14ac:dyDescent="0.25">
      <c r="A318">
        <v>312</v>
      </c>
      <c r="G318"/>
    </row>
    <row r="319" spans="1:7" x14ac:dyDescent="0.25">
      <c r="A319">
        <v>313</v>
      </c>
      <c r="G319"/>
    </row>
    <row r="320" spans="1:7" x14ac:dyDescent="0.25">
      <c r="A320">
        <v>314</v>
      </c>
      <c r="G320"/>
    </row>
    <row r="321" spans="1:7" x14ac:dyDescent="0.25">
      <c r="A321">
        <v>315</v>
      </c>
      <c r="G321"/>
    </row>
    <row r="322" spans="1:7" x14ac:dyDescent="0.25">
      <c r="A322">
        <v>316</v>
      </c>
      <c r="G322"/>
    </row>
    <row r="323" spans="1:7" x14ac:dyDescent="0.25">
      <c r="A323">
        <v>317</v>
      </c>
      <c r="G323"/>
    </row>
    <row r="324" spans="1:7" x14ac:dyDescent="0.25">
      <c r="A324">
        <v>318</v>
      </c>
      <c r="G324"/>
    </row>
    <row r="325" spans="1:7" x14ac:dyDescent="0.25">
      <c r="A325">
        <v>319</v>
      </c>
      <c r="G325"/>
    </row>
    <row r="326" spans="1:7" x14ac:dyDescent="0.25">
      <c r="A326">
        <v>320</v>
      </c>
      <c r="G326"/>
    </row>
    <row r="327" spans="1:7" x14ac:dyDescent="0.25">
      <c r="A327">
        <v>321</v>
      </c>
      <c r="G327"/>
    </row>
    <row r="328" spans="1:7" x14ac:dyDescent="0.25">
      <c r="A328">
        <v>322</v>
      </c>
      <c r="G328"/>
    </row>
    <row r="329" spans="1:7" x14ac:dyDescent="0.25">
      <c r="A329">
        <v>323</v>
      </c>
      <c r="G329"/>
    </row>
    <row r="330" spans="1:7" x14ac:dyDescent="0.25">
      <c r="A330">
        <v>324</v>
      </c>
      <c r="G330"/>
    </row>
    <row r="331" spans="1:7" x14ac:dyDescent="0.25">
      <c r="A331">
        <v>325</v>
      </c>
      <c r="G331"/>
    </row>
    <row r="332" spans="1:7" x14ac:dyDescent="0.25">
      <c r="A332">
        <v>326</v>
      </c>
      <c r="G332"/>
    </row>
    <row r="333" spans="1:7" x14ac:dyDescent="0.25">
      <c r="A333">
        <v>327</v>
      </c>
      <c r="G333"/>
    </row>
    <row r="334" spans="1:7" x14ac:dyDescent="0.25">
      <c r="A334">
        <v>328</v>
      </c>
      <c r="G334"/>
    </row>
    <row r="335" spans="1:7" x14ac:dyDescent="0.25">
      <c r="A335">
        <v>329</v>
      </c>
      <c r="G335"/>
    </row>
    <row r="336" spans="1:7" x14ac:dyDescent="0.25">
      <c r="A336">
        <v>330</v>
      </c>
      <c r="G336"/>
    </row>
    <row r="337" spans="1:7" x14ac:dyDescent="0.25">
      <c r="A337">
        <v>331</v>
      </c>
      <c r="G337"/>
    </row>
    <row r="338" spans="1:7" x14ac:dyDescent="0.25">
      <c r="A338">
        <v>332</v>
      </c>
      <c r="G338"/>
    </row>
    <row r="339" spans="1:7" x14ac:dyDescent="0.25">
      <c r="A339">
        <v>333</v>
      </c>
      <c r="G339"/>
    </row>
    <row r="340" spans="1:7" x14ac:dyDescent="0.25">
      <c r="A340">
        <v>334</v>
      </c>
      <c r="G340"/>
    </row>
    <row r="341" spans="1:7" x14ac:dyDescent="0.25">
      <c r="A341">
        <v>335</v>
      </c>
      <c r="G341"/>
    </row>
    <row r="342" spans="1:7" x14ac:dyDescent="0.25">
      <c r="A342">
        <v>336</v>
      </c>
      <c r="G342"/>
    </row>
    <row r="343" spans="1:7" x14ac:dyDescent="0.25">
      <c r="A343">
        <v>337</v>
      </c>
      <c r="G343"/>
    </row>
    <row r="344" spans="1:7" x14ac:dyDescent="0.25">
      <c r="A344">
        <v>338</v>
      </c>
      <c r="G344"/>
    </row>
    <row r="345" spans="1:7" x14ac:dyDescent="0.25">
      <c r="A345">
        <v>339</v>
      </c>
      <c r="G345"/>
    </row>
    <row r="346" spans="1:7" x14ac:dyDescent="0.25">
      <c r="A346">
        <v>340</v>
      </c>
      <c r="G346"/>
    </row>
    <row r="347" spans="1:7" x14ac:dyDescent="0.25">
      <c r="A347">
        <v>341</v>
      </c>
      <c r="G347"/>
    </row>
    <row r="348" spans="1:7" x14ac:dyDescent="0.25">
      <c r="A348">
        <v>342</v>
      </c>
      <c r="G348"/>
    </row>
    <row r="349" spans="1:7" x14ac:dyDescent="0.25">
      <c r="A349">
        <v>343</v>
      </c>
      <c r="G349"/>
    </row>
    <row r="350" spans="1:7" x14ac:dyDescent="0.25">
      <c r="A350">
        <v>344</v>
      </c>
      <c r="G350"/>
    </row>
    <row r="351" spans="1:7" x14ac:dyDescent="0.25">
      <c r="A351">
        <v>345</v>
      </c>
      <c r="G351"/>
    </row>
    <row r="352" spans="1:7" x14ac:dyDescent="0.25">
      <c r="A352">
        <v>346</v>
      </c>
      <c r="G352"/>
    </row>
    <row r="353" spans="1:7" x14ac:dyDescent="0.25">
      <c r="A353">
        <v>347</v>
      </c>
      <c r="G353"/>
    </row>
    <row r="354" spans="1:7" x14ac:dyDescent="0.25">
      <c r="A354">
        <v>348</v>
      </c>
      <c r="G354"/>
    </row>
    <row r="355" spans="1:7" x14ac:dyDescent="0.25">
      <c r="A355">
        <v>349</v>
      </c>
      <c r="G355"/>
    </row>
    <row r="356" spans="1:7" x14ac:dyDescent="0.25">
      <c r="A356">
        <v>350</v>
      </c>
      <c r="G356"/>
    </row>
    <row r="357" spans="1:7" x14ac:dyDescent="0.25">
      <c r="A357">
        <v>351</v>
      </c>
      <c r="G357"/>
    </row>
    <row r="358" spans="1:7" x14ac:dyDescent="0.25">
      <c r="A358">
        <v>352</v>
      </c>
      <c r="G358"/>
    </row>
    <row r="359" spans="1:7" x14ac:dyDescent="0.25">
      <c r="A359">
        <v>353</v>
      </c>
      <c r="G359"/>
    </row>
    <row r="360" spans="1:7" x14ac:dyDescent="0.25">
      <c r="A360">
        <v>354</v>
      </c>
      <c r="G360"/>
    </row>
    <row r="361" spans="1:7" x14ac:dyDescent="0.25">
      <c r="A361">
        <v>355</v>
      </c>
      <c r="G361"/>
    </row>
    <row r="362" spans="1:7" x14ac:dyDescent="0.25">
      <c r="A362">
        <v>356</v>
      </c>
      <c r="G362"/>
    </row>
    <row r="363" spans="1:7" x14ac:dyDescent="0.25">
      <c r="A363">
        <v>357</v>
      </c>
      <c r="G363"/>
    </row>
    <row r="364" spans="1:7" x14ac:dyDescent="0.25">
      <c r="A364">
        <v>358</v>
      </c>
      <c r="G364"/>
    </row>
    <row r="365" spans="1:7" x14ac:dyDescent="0.25">
      <c r="A365">
        <v>359</v>
      </c>
      <c r="G365"/>
    </row>
    <row r="366" spans="1:7" x14ac:dyDescent="0.25">
      <c r="A366">
        <v>360</v>
      </c>
      <c r="G366"/>
    </row>
    <row r="367" spans="1:7" x14ac:dyDescent="0.25">
      <c r="A367">
        <v>361</v>
      </c>
      <c r="G367"/>
    </row>
    <row r="368" spans="1:7" x14ac:dyDescent="0.25">
      <c r="A368">
        <v>362</v>
      </c>
      <c r="G368"/>
    </row>
    <row r="369" spans="1:7" x14ac:dyDescent="0.25">
      <c r="A369">
        <v>363</v>
      </c>
      <c r="G369"/>
    </row>
    <row r="370" spans="1:7" x14ac:dyDescent="0.25">
      <c r="A370">
        <v>364</v>
      </c>
      <c r="G370"/>
    </row>
    <row r="371" spans="1:7" x14ac:dyDescent="0.25">
      <c r="A371">
        <v>365</v>
      </c>
      <c r="G371"/>
    </row>
    <row r="372" spans="1:7" x14ac:dyDescent="0.25">
      <c r="A372">
        <v>366</v>
      </c>
      <c r="G372"/>
    </row>
    <row r="373" spans="1:7" x14ac:dyDescent="0.25">
      <c r="A373">
        <v>367</v>
      </c>
      <c r="G373"/>
    </row>
    <row r="374" spans="1:7" x14ac:dyDescent="0.25">
      <c r="A374">
        <v>368</v>
      </c>
      <c r="G374"/>
    </row>
    <row r="375" spans="1:7" x14ac:dyDescent="0.25">
      <c r="A375">
        <v>369</v>
      </c>
      <c r="G375"/>
    </row>
    <row r="376" spans="1:7" x14ac:dyDescent="0.25">
      <c r="A376">
        <v>370</v>
      </c>
      <c r="G376"/>
    </row>
    <row r="377" spans="1:7" x14ac:dyDescent="0.25">
      <c r="A377">
        <v>371</v>
      </c>
      <c r="G377"/>
    </row>
    <row r="378" spans="1:7" x14ac:dyDescent="0.25">
      <c r="A378">
        <v>372</v>
      </c>
      <c r="G378"/>
    </row>
    <row r="379" spans="1:7" x14ac:dyDescent="0.25">
      <c r="A379">
        <v>373</v>
      </c>
      <c r="G379"/>
    </row>
    <row r="380" spans="1:7" x14ac:dyDescent="0.25">
      <c r="A380">
        <v>374</v>
      </c>
      <c r="G380"/>
    </row>
    <row r="381" spans="1:7" x14ac:dyDescent="0.25">
      <c r="A381">
        <v>375</v>
      </c>
      <c r="G381"/>
    </row>
    <row r="382" spans="1:7" x14ac:dyDescent="0.25">
      <c r="A382">
        <v>376</v>
      </c>
      <c r="G382"/>
    </row>
    <row r="383" spans="1:7" x14ac:dyDescent="0.25">
      <c r="A383">
        <v>377</v>
      </c>
      <c r="G383"/>
    </row>
    <row r="384" spans="1:7" x14ac:dyDescent="0.25">
      <c r="A384">
        <v>378</v>
      </c>
      <c r="G384"/>
    </row>
    <row r="385" spans="1:7" x14ac:dyDescent="0.25">
      <c r="A385">
        <v>379</v>
      </c>
      <c r="G385"/>
    </row>
    <row r="386" spans="1:7" x14ac:dyDescent="0.25">
      <c r="A386">
        <v>380</v>
      </c>
      <c r="G386"/>
    </row>
    <row r="387" spans="1:7" x14ac:dyDescent="0.25">
      <c r="A387">
        <v>381</v>
      </c>
      <c r="G387"/>
    </row>
    <row r="388" spans="1:7" x14ac:dyDescent="0.25">
      <c r="A388">
        <v>382</v>
      </c>
      <c r="G388"/>
    </row>
    <row r="389" spans="1:7" x14ac:dyDescent="0.25">
      <c r="A389">
        <v>383</v>
      </c>
      <c r="G389"/>
    </row>
    <row r="390" spans="1:7" x14ac:dyDescent="0.25">
      <c r="A390">
        <v>384</v>
      </c>
      <c r="G390"/>
    </row>
    <row r="391" spans="1:7" x14ac:dyDescent="0.25">
      <c r="A391">
        <v>385</v>
      </c>
      <c r="G391"/>
    </row>
    <row r="392" spans="1:7" x14ac:dyDescent="0.25">
      <c r="A392">
        <v>386</v>
      </c>
      <c r="G392"/>
    </row>
    <row r="393" spans="1:7" x14ac:dyDescent="0.25">
      <c r="A393">
        <v>387</v>
      </c>
      <c r="G393"/>
    </row>
    <row r="394" spans="1:7" x14ac:dyDescent="0.25">
      <c r="A394">
        <v>388</v>
      </c>
      <c r="G394"/>
    </row>
    <row r="395" spans="1:7" x14ac:dyDescent="0.25">
      <c r="A395">
        <v>389</v>
      </c>
      <c r="G395"/>
    </row>
    <row r="396" spans="1:7" x14ac:dyDescent="0.25">
      <c r="A396">
        <v>390</v>
      </c>
      <c r="G396"/>
    </row>
    <row r="397" spans="1:7" x14ac:dyDescent="0.25">
      <c r="A397">
        <v>391</v>
      </c>
      <c r="G397"/>
    </row>
    <row r="398" spans="1:7" x14ac:dyDescent="0.25">
      <c r="A398">
        <v>392</v>
      </c>
      <c r="G398"/>
    </row>
    <row r="399" spans="1:7" x14ac:dyDescent="0.25">
      <c r="A399">
        <v>393</v>
      </c>
      <c r="G399"/>
    </row>
    <row r="400" spans="1:7" x14ac:dyDescent="0.25">
      <c r="A400">
        <v>394</v>
      </c>
      <c r="G400"/>
    </row>
    <row r="401" spans="1:7" x14ac:dyDescent="0.25">
      <c r="A401">
        <v>395</v>
      </c>
      <c r="G401"/>
    </row>
    <row r="402" spans="1:7" x14ac:dyDescent="0.25">
      <c r="A402">
        <v>396</v>
      </c>
      <c r="G402"/>
    </row>
    <row r="403" spans="1:7" x14ac:dyDescent="0.25">
      <c r="A403">
        <v>397</v>
      </c>
      <c r="G403"/>
    </row>
    <row r="404" spans="1:7" x14ac:dyDescent="0.25">
      <c r="A404">
        <v>398</v>
      </c>
      <c r="G404"/>
    </row>
    <row r="405" spans="1:7" x14ac:dyDescent="0.25">
      <c r="A405">
        <v>399</v>
      </c>
      <c r="G405"/>
    </row>
    <row r="406" spans="1:7" x14ac:dyDescent="0.25">
      <c r="A406">
        <v>400</v>
      </c>
      <c r="G406"/>
    </row>
    <row r="407" spans="1:7" x14ac:dyDescent="0.25">
      <c r="A407">
        <v>401</v>
      </c>
      <c r="G407"/>
    </row>
    <row r="408" spans="1:7" x14ac:dyDescent="0.25">
      <c r="A408">
        <v>402</v>
      </c>
      <c r="G408"/>
    </row>
    <row r="409" spans="1:7" x14ac:dyDescent="0.25">
      <c r="A409">
        <v>403</v>
      </c>
      <c r="G409"/>
    </row>
    <row r="410" spans="1:7" x14ac:dyDescent="0.25">
      <c r="A410">
        <v>404</v>
      </c>
      <c r="G410"/>
    </row>
    <row r="411" spans="1:7" x14ac:dyDescent="0.25">
      <c r="A411">
        <v>405</v>
      </c>
      <c r="G411"/>
    </row>
    <row r="412" spans="1:7" x14ac:dyDescent="0.25">
      <c r="A412">
        <v>406</v>
      </c>
      <c r="G412"/>
    </row>
    <row r="413" spans="1:7" x14ac:dyDescent="0.25">
      <c r="A413">
        <v>407</v>
      </c>
      <c r="G413"/>
    </row>
    <row r="414" spans="1:7" x14ac:dyDescent="0.25">
      <c r="A414">
        <v>408</v>
      </c>
      <c r="G414"/>
    </row>
    <row r="415" spans="1:7" x14ac:dyDescent="0.25">
      <c r="A415">
        <v>409</v>
      </c>
      <c r="G415"/>
    </row>
    <row r="416" spans="1:7" x14ac:dyDescent="0.25">
      <c r="A416">
        <v>410</v>
      </c>
      <c r="G416"/>
    </row>
    <row r="417" spans="1:7" x14ac:dyDescent="0.25">
      <c r="A417">
        <v>411</v>
      </c>
      <c r="G417"/>
    </row>
    <row r="418" spans="1:7" x14ac:dyDescent="0.25">
      <c r="A418">
        <v>412</v>
      </c>
      <c r="G418"/>
    </row>
    <row r="419" spans="1:7" x14ac:dyDescent="0.25">
      <c r="A419">
        <v>413</v>
      </c>
      <c r="G419"/>
    </row>
    <row r="420" spans="1:7" x14ac:dyDescent="0.25">
      <c r="A420">
        <v>414</v>
      </c>
      <c r="G420"/>
    </row>
    <row r="421" spans="1:7" x14ac:dyDescent="0.25">
      <c r="G421"/>
    </row>
    <row r="422" spans="1:7" x14ac:dyDescent="0.25">
      <c r="G422"/>
    </row>
    <row r="423" spans="1:7" x14ac:dyDescent="0.25">
      <c r="G423"/>
    </row>
    <row r="424" spans="1:7" x14ac:dyDescent="0.25">
      <c r="G424"/>
    </row>
    <row r="425" spans="1:7" x14ac:dyDescent="0.25">
      <c r="G425"/>
    </row>
    <row r="426" spans="1:7" x14ac:dyDescent="0.25">
      <c r="G426"/>
    </row>
    <row r="427" spans="1:7" x14ac:dyDescent="0.25">
      <c r="G427"/>
    </row>
    <row r="428" spans="1:7" x14ac:dyDescent="0.25">
      <c r="G428"/>
    </row>
    <row r="429" spans="1:7" x14ac:dyDescent="0.25">
      <c r="G429"/>
    </row>
    <row r="430" spans="1:7" x14ac:dyDescent="0.25">
      <c r="G430"/>
    </row>
    <row r="431" spans="1:7" x14ac:dyDescent="0.25">
      <c r="G431"/>
    </row>
    <row r="432" spans="1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9FDE3-316B-4902-9552-4722674F9671}">
  <sheetPr>
    <tabColor theme="6" tint="-0.499984740745262"/>
  </sheetPr>
  <dimension ref="A2:I529"/>
  <sheetViews>
    <sheetView topLeftCell="A40" workbookViewId="0">
      <selection activeCell="D35" sqref="D35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5" width="12.5703125" bestFit="1" customWidth="1"/>
    <col min="6" max="6" width="18" bestFit="1" customWidth="1"/>
    <col min="7" max="7" width="17.140625" style="6" bestFit="1" customWidth="1"/>
    <col min="8" max="8" width="20.5703125" bestFit="1" customWidth="1"/>
    <col min="9" max="9" width="14.42578125" bestFit="1" customWidth="1"/>
  </cols>
  <sheetData>
    <row r="2" spans="1:9" x14ac:dyDescent="0.25">
      <c r="B2" s="2" t="s">
        <v>27</v>
      </c>
      <c r="C2" t="s">
        <v>57</v>
      </c>
    </row>
    <row r="3" spans="1:9" x14ac:dyDescent="0.25">
      <c r="B3" s="2" t="s">
        <v>31</v>
      </c>
      <c r="C3" t="s">
        <v>132</v>
      </c>
    </row>
    <row r="4" spans="1:9" x14ac:dyDescent="0.25">
      <c r="G4"/>
    </row>
    <row r="5" spans="1:9" x14ac:dyDescent="0.25">
      <c r="F5" s="2" t="s">
        <v>4438</v>
      </c>
      <c r="G5"/>
    </row>
    <row r="6" spans="1:9" x14ac:dyDescent="0.25">
      <c r="B6" s="2" t="s">
        <v>0</v>
      </c>
      <c r="C6" s="2" t="s">
        <v>42</v>
      </c>
      <c r="D6" s="2" t="s">
        <v>24</v>
      </c>
      <c r="E6" s="2" t="s">
        <v>26</v>
      </c>
      <c r="F6" t="s">
        <v>4439</v>
      </c>
      <c r="G6" t="s">
        <v>4440</v>
      </c>
      <c r="H6" t="s">
        <v>4441</v>
      </c>
      <c r="I6" t="s">
        <v>4434</v>
      </c>
    </row>
    <row r="7" spans="1:9" x14ac:dyDescent="0.25">
      <c r="A7">
        <v>1</v>
      </c>
      <c r="B7" t="s">
        <v>2990</v>
      </c>
      <c r="C7" t="s">
        <v>594</v>
      </c>
      <c r="D7" t="s">
        <v>184</v>
      </c>
      <c r="E7">
        <v>76</v>
      </c>
      <c r="F7" s="4">
        <v>75</v>
      </c>
      <c r="G7" s="4">
        <v>92</v>
      </c>
      <c r="H7" s="4">
        <v>167</v>
      </c>
      <c r="I7" s="7">
        <v>197.88</v>
      </c>
    </row>
    <row r="8" spans="1:9" x14ac:dyDescent="0.25">
      <c r="A8">
        <v>2</v>
      </c>
      <c r="B8" t="s">
        <v>3081</v>
      </c>
      <c r="C8" t="s">
        <v>544</v>
      </c>
      <c r="D8" t="s">
        <v>98</v>
      </c>
      <c r="E8">
        <v>49</v>
      </c>
      <c r="F8" s="4">
        <v>53</v>
      </c>
      <c r="G8" s="4">
        <v>63</v>
      </c>
      <c r="H8" s="4">
        <v>116</v>
      </c>
      <c r="I8" s="7">
        <v>189.79</v>
      </c>
    </row>
    <row r="9" spans="1:9" x14ac:dyDescent="0.25">
      <c r="A9">
        <v>3</v>
      </c>
      <c r="B9" t="s">
        <v>2245</v>
      </c>
      <c r="C9" t="s">
        <v>883</v>
      </c>
      <c r="D9" t="s">
        <v>98</v>
      </c>
      <c r="E9">
        <v>59</v>
      </c>
      <c r="F9" s="4">
        <v>55</v>
      </c>
      <c r="G9" s="4">
        <v>70</v>
      </c>
      <c r="H9" s="4">
        <v>125</v>
      </c>
      <c r="I9" s="7">
        <v>178.65</v>
      </c>
    </row>
    <row r="10" spans="1:9" x14ac:dyDescent="0.25">
      <c r="A10">
        <v>4</v>
      </c>
      <c r="B10" t="s">
        <v>4072</v>
      </c>
      <c r="C10" t="s">
        <v>883</v>
      </c>
      <c r="D10" t="s">
        <v>98</v>
      </c>
      <c r="E10">
        <v>45</v>
      </c>
      <c r="F10" s="4">
        <v>43</v>
      </c>
      <c r="G10" s="4">
        <v>53</v>
      </c>
      <c r="H10" s="4">
        <v>96</v>
      </c>
      <c r="I10" s="7">
        <v>176.54</v>
      </c>
    </row>
    <row r="11" spans="1:9" x14ac:dyDescent="0.25">
      <c r="A11">
        <v>5</v>
      </c>
      <c r="B11" t="s">
        <v>4237</v>
      </c>
      <c r="C11" t="s">
        <v>165</v>
      </c>
      <c r="D11" t="s">
        <v>98</v>
      </c>
      <c r="E11">
        <v>55</v>
      </c>
      <c r="F11" s="4">
        <v>53</v>
      </c>
      <c r="G11" s="4">
        <v>66</v>
      </c>
      <c r="H11" s="4">
        <v>119</v>
      </c>
      <c r="I11" s="7">
        <v>174.17</v>
      </c>
    </row>
    <row r="12" spans="1:9" x14ac:dyDescent="0.25">
      <c r="A12">
        <v>6</v>
      </c>
      <c r="B12" t="s">
        <v>3399</v>
      </c>
      <c r="C12" t="s">
        <v>1004</v>
      </c>
      <c r="D12" t="s">
        <v>98</v>
      </c>
      <c r="E12">
        <v>71</v>
      </c>
      <c r="F12" s="4">
        <v>63</v>
      </c>
      <c r="G12" s="4">
        <v>75</v>
      </c>
      <c r="H12" s="4">
        <v>138</v>
      </c>
      <c r="I12" s="7">
        <v>173.54</v>
      </c>
    </row>
    <row r="13" spans="1:9" x14ac:dyDescent="0.25">
      <c r="A13">
        <v>7</v>
      </c>
      <c r="B13" t="s">
        <v>1160</v>
      </c>
      <c r="C13" t="s">
        <v>691</v>
      </c>
      <c r="D13" t="s">
        <v>98</v>
      </c>
      <c r="E13">
        <v>59</v>
      </c>
      <c r="F13" s="4">
        <v>55</v>
      </c>
      <c r="G13" s="4">
        <v>68</v>
      </c>
      <c r="H13" s="4">
        <v>123</v>
      </c>
      <c r="I13" s="7">
        <v>171.4</v>
      </c>
    </row>
    <row r="14" spans="1:9" x14ac:dyDescent="0.25">
      <c r="A14">
        <v>8</v>
      </c>
      <c r="B14" t="s">
        <v>1559</v>
      </c>
      <c r="C14" t="s">
        <v>300</v>
      </c>
      <c r="D14" t="s">
        <v>98</v>
      </c>
      <c r="E14">
        <v>59</v>
      </c>
      <c r="F14" s="4">
        <v>56</v>
      </c>
      <c r="G14" s="4">
        <v>64</v>
      </c>
      <c r="H14" s="4">
        <v>120</v>
      </c>
      <c r="I14" s="7">
        <v>164.19</v>
      </c>
    </row>
    <row r="15" spans="1:9" x14ac:dyDescent="0.25">
      <c r="A15">
        <v>9</v>
      </c>
      <c r="B15" t="s">
        <v>3291</v>
      </c>
      <c r="C15" t="s">
        <v>449</v>
      </c>
      <c r="D15" t="s">
        <v>94</v>
      </c>
      <c r="E15">
        <v>49</v>
      </c>
      <c r="F15" s="4">
        <v>43</v>
      </c>
      <c r="G15" s="4">
        <v>60</v>
      </c>
      <c r="H15" s="4">
        <v>103</v>
      </c>
      <c r="I15" s="7">
        <v>161.79</v>
      </c>
    </row>
    <row r="16" spans="1:9" x14ac:dyDescent="0.25">
      <c r="A16">
        <v>10</v>
      </c>
      <c r="B16" t="s">
        <v>447</v>
      </c>
      <c r="C16" t="s">
        <v>449</v>
      </c>
      <c r="D16" t="s">
        <v>94</v>
      </c>
      <c r="E16">
        <v>45</v>
      </c>
      <c r="F16" s="4">
        <v>40</v>
      </c>
      <c r="G16" s="4">
        <v>53</v>
      </c>
      <c r="H16" s="4">
        <v>93</v>
      </c>
      <c r="I16" s="7">
        <v>160.91</v>
      </c>
    </row>
    <row r="17" spans="1:9" x14ac:dyDescent="0.25">
      <c r="A17">
        <v>11</v>
      </c>
      <c r="B17" t="s">
        <v>1512</v>
      </c>
      <c r="C17" t="s">
        <v>289</v>
      </c>
      <c r="D17" t="s">
        <v>94</v>
      </c>
      <c r="E17">
        <v>55</v>
      </c>
      <c r="F17" s="4">
        <v>48</v>
      </c>
      <c r="G17" s="4">
        <v>56</v>
      </c>
      <c r="H17" s="4">
        <v>104</v>
      </c>
      <c r="I17" s="7">
        <v>159.22999999999999</v>
      </c>
    </row>
    <row r="18" spans="1:9" x14ac:dyDescent="0.25">
      <c r="A18">
        <v>12</v>
      </c>
      <c r="B18" t="s">
        <v>2963</v>
      </c>
      <c r="C18" t="s">
        <v>544</v>
      </c>
      <c r="D18" t="s">
        <v>94</v>
      </c>
      <c r="E18">
        <v>45</v>
      </c>
      <c r="F18" s="4">
        <v>41</v>
      </c>
      <c r="G18" s="4">
        <v>47</v>
      </c>
      <c r="H18" s="4">
        <v>88</v>
      </c>
      <c r="I18" s="7">
        <v>156.15</v>
      </c>
    </row>
    <row r="19" spans="1:9" x14ac:dyDescent="0.25">
      <c r="A19">
        <v>13</v>
      </c>
      <c r="B19" t="s">
        <v>4080</v>
      </c>
      <c r="C19" t="s">
        <v>255</v>
      </c>
      <c r="D19" t="s">
        <v>94</v>
      </c>
      <c r="E19">
        <v>55</v>
      </c>
      <c r="F19" s="4">
        <v>46</v>
      </c>
      <c r="G19" s="4">
        <v>58</v>
      </c>
      <c r="H19" s="4">
        <v>104</v>
      </c>
      <c r="I19" s="7">
        <v>153.85</v>
      </c>
    </row>
    <row r="20" spans="1:9" x14ac:dyDescent="0.25">
      <c r="A20">
        <v>14</v>
      </c>
      <c r="B20" t="s">
        <v>2511</v>
      </c>
      <c r="C20" t="s">
        <v>687</v>
      </c>
      <c r="D20" t="s">
        <v>94</v>
      </c>
      <c r="E20">
        <v>45</v>
      </c>
      <c r="F20" s="4">
        <v>40</v>
      </c>
      <c r="G20" s="4">
        <v>50</v>
      </c>
      <c r="H20" s="4">
        <v>90</v>
      </c>
      <c r="I20" s="7">
        <v>153.38</v>
      </c>
    </row>
    <row r="21" spans="1:9" x14ac:dyDescent="0.25">
      <c r="A21">
        <v>15</v>
      </c>
      <c r="B21" t="s">
        <v>4179</v>
      </c>
      <c r="C21" t="s">
        <v>544</v>
      </c>
      <c r="D21" t="s">
        <v>94</v>
      </c>
      <c r="E21">
        <v>45</v>
      </c>
      <c r="F21" s="4">
        <v>42</v>
      </c>
      <c r="G21" s="4">
        <v>48</v>
      </c>
      <c r="H21" s="4">
        <v>90</v>
      </c>
      <c r="I21" s="7">
        <v>152.49</v>
      </c>
    </row>
    <row r="22" spans="1:9" x14ac:dyDescent="0.25">
      <c r="A22">
        <v>16</v>
      </c>
      <c r="B22" t="s">
        <v>2658</v>
      </c>
      <c r="C22" t="s">
        <v>47</v>
      </c>
      <c r="D22" t="s">
        <v>94</v>
      </c>
      <c r="E22">
        <v>45</v>
      </c>
      <c r="F22" s="4">
        <v>38</v>
      </c>
      <c r="G22" s="4">
        <v>48</v>
      </c>
      <c r="H22" s="4">
        <v>86</v>
      </c>
      <c r="I22" s="7">
        <v>150.09</v>
      </c>
    </row>
    <row r="23" spans="1:9" x14ac:dyDescent="0.25">
      <c r="A23">
        <v>17</v>
      </c>
      <c r="B23" t="s">
        <v>1145</v>
      </c>
      <c r="C23" t="s">
        <v>536</v>
      </c>
      <c r="D23" t="s">
        <v>94</v>
      </c>
      <c r="E23">
        <v>59</v>
      </c>
      <c r="F23" s="4">
        <v>53</v>
      </c>
      <c r="G23" s="4">
        <v>52</v>
      </c>
      <c r="H23" s="4">
        <v>105</v>
      </c>
      <c r="I23" s="7">
        <v>148.80000000000001</v>
      </c>
    </row>
    <row r="24" spans="1:9" x14ac:dyDescent="0.25">
      <c r="A24">
        <v>18</v>
      </c>
      <c r="B24" t="s">
        <v>2479</v>
      </c>
      <c r="C24" t="s">
        <v>396</v>
      </c>
      <c r="D24" t="s">
        <v>89</v>
      </c>
      <c r="E24">
        <v>55</v>
      </c>
      <c r="F24" s="4">
        <v>40</v>
      </c>
      <c r="G24" s="4">
        <v>57</v>
      </c>
      <c r="H24" s="4">
        <v>97</v>
      </c>
      <c r="I24" s="7">
        <v>145.26</v>
      </c>
    </row>
    <row r="25" spans="1:9" x14ac:dyDescent="0.25">
      <c r="A25">
        <v>19</v>
      </c>
      <c r="B25" t="s">
        <v>3906</v>
      </c>
      <c r="C25" t="s">
        <v>933</v>
      </c>
      <c r="D25" t="s">
        <v>89</v>
      </c>
      <c r="E25">
        <v>55</v>
      </c>
      <c r="F25" s="4">
        <v>41</v>
      </c>
      <c r="G25" s="4">
        <v>55</v>
      </c>
      <c r="H25" s="4">
        <v>96</v>
      </c>
      <c r="I25" s="7">
        <v>143.87</v>
      </c>
    </row>
    <row r="26" spans="1:9" x14ac:dyDescent="0.25">
      <c r="A26">
        <v>20</v>
      </c>
      <c r="B26" t="s">
        <v>3675</v>
      </c>
      <c r="C26" t="s">
        <v>2051</v>
      </c>
      <c r="D26" t="s">
        <v>94</v>
      </c>
      <c r="E26">
        <v>45</v>
      </c>
      <c r="F26" s="4">
        <v>36</v>
      </c>
      <c r="G26" s="4">
        <v>46</v>
      </c>
      <c r="H26" s="4">
        <v>82</v>
      </c>
      <c r="I26" s="7">
        <v>142.47</v>
      </c>
    </row>
    <row r="27" spans="1:9" x14ac:dyDescent="0.25">
      <c r="A27">
        <v>21</v>
      </c>
      <c r="B27" t="s">
        <v>2086</v>
      </c>
      <c r="C27" t="s">
        <v>70</v>
      </c>
      <c r="D27" t="s">
        <v>94</v>
      </c>
      <c r="E27">
        <v>49</v>
      </c>
      <c r="F27" s="4">
        <v>39</v>
      </c>
      <c r="G27" s="4">
        <v>51</v>
      </c>
      <c r="H27" s="4">
        <v>90</v>
      </c>
      <c r="I27" s="7">
        <v>141.62</v>
      </c>
    </row>
    <row r="28" spans="1:9" x14ac:dyDescent="0.25">
      <c r="A28">
        <v>22</v>
      </c>
      <c r="B28" t="s">
        <v>1380</v>
      </c>
      <c r="C28" t="s">
        <v>744</v>
      </c>
      <c r="D28" t="s">
        <v>89</v>
      </c>
      <c r="E28">
        <v>55</v>
      </c>
      <c r="F28" s="4">
        <v>44</v>
      </c>
      <c r="G28" s="4">
        <v>53</v>
      </c>
      <c r="H28" s="4">
        <v>97</v>
      </c>
      <c r="I28" s="7">
        <v>139.69999999999999</v>
      </c>
    </row>
    <row r="29" spans="1:9" x14ac:dyDescent="0.25">
      <c r="A29">
        <v>23</v>
      </c>
      <c r="B29" t="s">
        <v>3756</v>
      </c>
      <c r="C29" t="s">
        <v>168</v>
      </c>
      <c r="D29" t="s">
        <v>89</v>
      </c>
      <c r="E29">
        <v>55</v>
      </c>
      <c r="F29" s="4">
        <v>42</v>
      </c>
      <c r="G29" s="4">
        <v>54</v>
      </c>
      <c r="H29" s="4">
        <v>96</v>
      </c>
      <c r="I29" s="7">
        <v>139.02000000000001</v>
      </c>
    </row>
    <row r="30" spans="1:9" x14ac:dyDescent="0.25">
      <c r="A30">
        <v>24</v>
      </c>
      <c r="B30" t="s">
        <v>1588</v>
      </c>
      <c r="C30" t="s">
        <v>66</v>
      </c>
      <c r="D30" t="s">
        <v>89</v>
      </c>
      <c r="E30">
        <v>76</v>
      </c>
      <c r="F30" s="4">
        <v>47</v>
      </c>
      <c r="G30" s="4">
        <v>67</v>
      </c>
      <c r="H30" s="4">
        <v>114</v>
      </c>
      <c r="I30" s="7">
        <v>137.12</v>
      </c>
    </row>
    <row r="31" spans="1:9" x14ac:dyDescent="0.25">
      <c r="A31">
        <v>25</v>
      </c>
      <c r="B31" t="s">
        <v>3039</v>
      </c>
      <c r="C31" t="s">
        <v>271</v>
      </c>
      <c r="D31" t="s">
        <v>89</v>
      </c>
      <c r="E31">
        <v>55</v>
      </c>
      <c r="F31" s="4">
        <v>40</v>
      </c>
      <c r="G31" s="4">
        <v>48</v>
      </c>
      <c r="H31" s="4">
        <v>88</v>
      </c>
      <c r="I31" s="7">
        <v>134.02000000000001</v>
      </c>
    </row>
    <row r="32" spans="1:9" x14ac:dyDescent="0.25">
      <c r="A32">
        <v>26</v>
      </c>
      <c r="B32" t="s">
        <v>2856</v>
      </c>
      <c r="C32" t="s">
        <v>258</v>
      </c>
      <c r="D32" t="s">
        <v>89</v>
      </c>
      <c r="E32">
        <v>45</v>
      </c>
      <c r="F32" s="4">
        <v>34</v>
      </c>
      <c r="G32" s="4">
        <v>43</v>
      </c>
      <c r="H32" s="4">
        <v>77</v>
      </c>
      <c r="I32" s="7">
        <v>131.99</v>
      </c>
    </row>
    <row r="33" spans="1:9" x14ac:dyDescent="0.25">
      <c r="A33">
        <v>27</v>
      </c>
      <c r="B33" t="s">
        <v>2673</v>
      </c>
      <c r="C33" t="s">
        <v>544</v>
      </c>
      <c r="D33" t="s">
        <v>89</v>
      </c>
      <c r="E33">
        <v>55</v>
      </c>
      <c r="F33" s="4">
        <v>40</v>
      </c>
      <c r="G33" s="4">
        <v>50</v>
      </c>
      <c r="H33" s="4">
        <v>90</v>
      </c>
      <c r="I33" s="7">
        <v>129.99</v>
      </c>
    </row>
    <row r="34" spans="1:9" x14ac:dyDescent="0.25">
      <c r="A34">
        <v>28</v>
      </c>
      <c r="B34" t="s">
        <v>3217</v>
      </c>
      <c r="C34" t="s">
        <v>419</v>
      </c>
      <c r="D34" t="s">
        <v>89</v>
      </c>
      <c r="E34">
        <v>49</v>
      </c>
      <c r="F34" s="4">
        <v>37</v>
      </c>
      <c r="G34" s="4">
        <v>43</v>
      </c>
      <c r="H34" s="4">
        <v>80</v>
      </c>
      <c r="I34" s="7">
        <v>129.59</v>
      </c>
    </row>
    <row r="35" spans="1:9" x14ac:dyDescent="0.25">
      <c r="A35">
        <v>29</v>
      </c>
      <c r="B35" t="s">
        <v>1375</v>
      </c>
      <c r="C35" t="s">
        <v>519</v>
      </c>
      <c r="D35" t="s">
        <v>89</v>
      </c>
      <c r="E35">
        <v>49</v>
      </c>
      <c r="F35" s="4">
        <v>33</v>
      </c>
      <c r="G35" s="4">
        <v>48</v>
      </c>
      <c r="H35" s="4">
        <v>81</v>
      </c>
      <c r="I35" s="7">
        <v>129.26</v>
      </c>
    </row>
    <row r="36" spans="1:9" x14ac:dyDescent="0.25">
      <c r="A36">
        <v>30</v>
      </c>
      <c r="B36" t="s">
        <v>2933</v>
      </c>
      <c r="C36" t="s">
        <v>883</v>
      </c>
      <c r="D36" t="s">
        <v>89</v>
      </c>
      <c r="E36">
        <v>55</v>
      </c>
      <c r="F36" s="4">
        <v>39</v>
      </c>
      <c r="G36" s="4">
        <v>46</v>
      </c>
      <c r="H36" s="4">
        <v>85</v>
      </c>
      <c r="I36" s="7">
        <v>126.3</v>
      </c>
    </row>
    <row r="37" spans="1:9" x14ac:dyDescent="0.25">
      <c r="A37">
        <v>31</v>
      </c>
      <c r="B37" t="s">
        <v>1658</v>
      </c>
      <c r="C37" t="s">
        <v>749</v>
      </c>
      <c r="D37" t="s">
        <v>89</v>
      </c>
      <c r="E37">
        <v>59</v>
      </c>
      <c r="F37" s="4">
        <v>42</v>
      </c>
      <c r="G37" s="4">
        <v>48</v>
      </c>
      <c r="H37" s="4">
        <v>90</v>
      </c>
      <c r="I37" s="7">
        <v>125.56</v>
      </c>
    </row>
    <row r="38" spans="1:9" x14ac:dyDescent="0.25">
      <c r="A38">
        <v>32</v>
      </c>
      <c r="B38" t="s">
        <v>2458</v>
      </c>
      <c r="C38" t="s">
        <v>329</v>
      </c>
      <c r="D38" t="s">
        <v>89</v>
      </c>
      <c r="E38">
        <v>59</v>
      </c>
      <c r="F38" s="4">
        <v>42</v>
      </c>
      <c r="G38" s="4">
        <v>48</v>
      </c>
      <c r="H38" s="4">
        <v>90</v>
      </c>
      <c r="I38" s="7">
        <v>125.31</v>
      </c>
    </row>
    <row r="39" spans="1:9" x14ac:dyDescent="0.25">
      <c r="A39">
        <v>33</v>
      </c>
      <c r="B39" t="s">
        <v>814</v>
      </c>
      <c r="C39" t="s">
        <v>296</v>
      </c>
      <c r="D39" t="s">
        <v>93</v>
      </c>
      <c r="E39">
        <v>55</v>
      </c>
      <c r="F39" s="4">
        <v>37</v>
      </c>
      <c r="G39" s="4">
        <v>44</v>
      </c>
      <c r="H39" s="4">
        <v>81</v>
      </c>
      <c r="I39" s="7">
        <v>124.81</v>
      </c>
    </row>
    <row r="40" spans="1:9" x14ac:dyDescent="0.25">
      <c r="A40">
        <v>34</v>
      </c>
      <c r="B40" t="s">
        <v>1660</v>
      </c>
      <c r="C40" t="s">
        <v>386</v>
      </c>
      <c r="D40" t="s">
        <v>89</v>
      </c>
      <c r="E40">
        <v>59</v>
      </c>
      <c r="F40" s="4">
        <v>40</v>
      </c>
      <c r="G40" s="4">
        <v>50</v>
      </c>
      <c r="H40" s="4">
        <v>90</v>
      </c>
      <c r="I40" s="7">
        <v>124.61</v>
      </c>
    </row>
    <row r="41" spans="1:9" x14ac:dyDescent="0.25">
      <c r="A41">
        <v>35</v>
      </c>
      <c r="B41" t="s">
        <v>204</v>
      </c>
      <c r="C41" t="s">
        <v>70</v>
      </c>
      <c r="D41" t="s">
        <v>89</v>
      </c>
      <c r="E41">
        <v>55</v>
      </c>
      <c r="F41" s="4">
        <v>37</v>
      </c>
      <c r="G41" s="4">
        <v>48</v>
      </c>
      <c r="H41" s="4">
        <v>85</v>
      </c>
      <c r="I41" s="7">
        <v>124.4</v>
      </c>
    </row>
    <row r="42" spans="1:9" x14ac:dyDescent="0.25">
      <c r="A42">
        <v>36</v>
      </c>
      <c r="B42" t="s">
        <v>2033</v>
      </c>
      <c r="C42" t="s">
        <v>255</v>
      </c>
      <c r="D42" t="s">
        <v>89</v>
      </c>
      <c r="E42">
        <v>64</v>
      </c>
      <c r="F42" s="4">
        <v>42</v>
      </c>
      <c r="G42" s="4">
        <v>53</v>
      </c>
      <c r="H42" s="4">
        <v>95</v>
      </c>
      <c r="I42" s="7">
        <v>123.99</v>
      </c>
    </row>
    <row r="43" spans="1:9" x14ac:dyDescent="0.25">
      <c r="A43">
        <v>37</v>
      </c>
      <c r="B43" t="s">
        <v>4409</v>
      </c>
      <c r="C43" t="s">
        <v>70</v>
      </c>
      <c r="D43" t="s">
        <v>89</v>
      </c>
      <c r="E43">
        <v>49</v>
      </c>
      <c r="F43" s="4">
        <v>31</v>
      </c>
      <c r="G43" s="4">
        <v>44</v>
      </c>
      <c r="H43" s="4">
        <v>75</v>
      </c>
      <c r="I43" s="7">
        <v>119.78</v>
      </c>
    </row>
    <row r="44" spans="1:9" x14ac:dyDescent="0.25">
      <c r="A44">
        <v>38</v>
      </c>
      <c r="B44" t="s">
        <v>2787</v>
      </c>
      <c r="C44" t="s">
        <v>883</v>
      </c>
      <c r="D44" t="s">
        <v>89</v>
      </c>
      <c r="E44">
        <v>45</v>
      </c>
      <c r="F44" s="4">
        <v>29</v>
      </c>
      <c r="G44" s="4">
        <v>38</v>
      </c>
      <c r="H44" s="4">
        <v>67</v>
      </c>
      <c r="I44" s="7">
        <v>117.99</v>
      </c>
    </row>
    <row r="45" spans="1:9" x14ac:dyDescent="0.25">
      <c r="A45">
        <v>39</v>
      </c>
      <c r="B45" t="s">
        <v>3227</v>
      </c>
      <c r="C45" t="s">
        <v>535</v>
      </c>
      <c r="D45" t="s">
        <v>93</v>
      </c>
      <c r="E45">
        <v>55</v>
      </c>
      <c r="F45" s="4">
        <v>33</v>
      </c>
      <c r="G45" s="4">
        <v>44</v>
      </c>
      <c r="H45" s="4">
        <v>77</v>
      </c>
      <c r="I45" s="7">
        <v>117.09</v>
      </c>
    </row>
    <row r="46" spans="1:9" x14ac:dyDescent="0.25">
      <c r="A46">
        <v>40</v>
      </c>
      <c r="B46" t="s">
        <v>2983</v>
      </c>
      <c r="C46" t="s">
        <v>749</v>
      </c>
      <c r="D46" t="s">
        <v>93</v>
      </c>
      <c r="E46">
        <v>45</v>
      </c>
      <c r="F46" s="4">
        <v>26</v>
      </c>
      <c r="G46" s="4">
        <v>37</v>
      </c>
      <c r="H46" s="4">
        <v>63</v>
      </c>
      <c r="I46" s="7">
        <v>114.21</v>
      </c>
    </row>
    <row r="47" spans="1:9" x14ac:dyDescent="0.25">
      <c r="A47">
        <v>41</v>
      </c>
      <c r="B47" t="s">
        <v>3210</v>
      </c>
      <c r="C47" t="s">
        <v>419</v>
      </c>
      <c r="D47" t="s">
        <v>93</v>
      </c>
      <c r="E47">
        <v>71</v>
      </c>
      <c r="F47" s="4">
        <v>40</v>
      </c>
      <c r="G47" s="4">
        <v>51</v>
      </c>
      <c r="H47" s="4">
        <v>91</v>
      </c>
      <c r="I47" s="7">
        <v>111.6</v>
      </c>
    </row>
    <row r="48" spans="1:9" x14ac:dyDescent="0.25">
      <c r="A48">
        <v>42</v>
      </c>
      <c r="B48" t="s">
        <v>1685</v>
      </c>
      <c r="C48" t="s">
        <v>78</v>
      </c>
      <c r="D48" t="s">
        <v>93</v>
      </c>
      <c r="E48">
        <v>59</v>
      </c>
      <c r="F48" s="4">
        <v>32</v>
      </c>
      <c r="G48" s="4">
        <v>46</v>
      </c>
      <c r="H48" s="4">
        <v>78</v>
      </c>
      <c r="I48" s="7">
        <v>109.73</v>
      </c>
    </row>
    <row r="49" spans="1:9" x14ac:dyDescent="0.25">
      <c r="A49">
        <v>43</v>
      </c>
      <c r="B49" t="s">
        <v>1343</v>
      </c>
      <c r="C49" t="s">
        <v>255</v>
      </c>
      <c r="D49" t="s">
        <v>93</v>
      </c>
      <c r="E49">
        <v>59</v>
      </c>
      <c r="F49" s="4">
        <v>34</v>
      </c>
      <c r="G49" s="4">
        <v>45</v>
      </c>
      <c r="H49" s="4">
        <v>79</v>
      </c>
      <c r="I49" s="7">
        <v>108.88</v>
      </c>
    </row>
    <row r="50" spans="1:9" x14ac:dyDescent="0.25">
      <c r="A50">
        <v>44</v>
      </c>
      <c r="B50" t="s">
        <v>1689</v>
      </c>
      <c r="C50" t="s">
        <v>240</v>
      </c>
      <c r="D50" t="s">
        <v>93</v>
      </c>
      <c r="E50">
        <v>55</v>
      </c>
      <c r="F50" s="4">
        <v>33</v>
      </c>
      <c r="G50" s="4">
        <v>41</v>
      </c>
      <c r="H50" s="4">
        <v>74</v>
      </c>
      <c r="I50" s="7">
        <v>108.42</v>
      </c>
    </row>
    <row r="51" spans="1:9" x14ac:dyDescent="0.25">
      <c r="A51">
        <v>45</v>
      </c>
      <c r="B51" t="s">
        <v>1093</v>
      </c>
      <c r="C51" t="s">
        <v>329</v>
      </c>
      <c r="D51" t="s">
        <v>93</v>
      </c>
      <c r="E51">
        <v>71</v>
      </c>
      <c r="F51" s="4">
        <v>36</v>
      </c>
      <c r="G51" s="4">
        <v>51</v>
      </c>
      <c r="H51" s="4">
        <v>87</v>
      </c>
      <c r="I51" s="7">
        <v>107.24</v>
      </c>
    </row>
    <row r="52" spans="1:9" x14ac:dyDescent="0.25">
      <c r="A52">
        <v>46</v>
      </c>
      <c r="B52" t="s">
        <v>1190</v>
      </c>
      <c r="C52" t="s">
        <v>120</v>
      </c>
      <c r="D52" t="s">
        <v>93</v>
      </c>
      <c r="E52">
        <v>59</v>
      </c>
      <c r="F52" s="4">
        <v>33</v>
      </c>
      <c r="G52" s="4">
        <v>44</v>
      </c>
      <c r="H52" s="4">
        <v>77</v>
      </c>
      <c r="I52" s="7">
        <v>105.59</v>
      </c>
    </row>
    <row r="53" spans="1:9" x14ac:dyDescent="0.25">
      <c r="A53">
        <v>47</v>
      </c>
      <c r="B53" t="s">
        <v>1244</v>
      </c>
      <c r="C53" t="s">
        <v>329</v>
      </c>
      <c r="D53" t="s">
        <v>93</v>
      </c>
      <c r="E53" t="s">
        <v>479</v>
      </c>
      <c r="F53" s="4">
        <v>43</v>
      </c>
      <c r="G53" s="4">
        <v>59</v>
      </c>
      <c r="H53" s="4">
        <v>102</v>
      </c>
      <c r="I53" s="7">
        <v>103.53</v>
      </c>
    </row>
    <row r="54" spans="1:9" x14ac:dyDescent="0.25">
      <c r="A54">
        <v>48</v>
      </c>
      <c r="B54" t="s">
        <v>1764</v>
      </c>
      <c r="C54" t="s">
        <v>120</v>
      </c>
      <c r="D54" t="s">
        <v>64</v>
      </c>
      <c r="E54">
        <v>59</v>
      </c>
      <c r="F54" s="4">
        <v>32</v>
      </c>
      <c r="G54" s="4">
        <v>42</v>
      </c>
      <c r="H54" s="4">
        <v>74</v>
      </c>
      <c r="I54" s="7">
        <v>102.4</v>
      </c>
    </row>
    <row r="55" spans="1:9" x14ac:dyDescent="0.25">
      <c r="A55">
        <v>49</v>
      </c>
      <c r="B55" t="s">
        <v>1710</v>
      </c>
      <c r="C55" t="s">
        <v>1169</v>
      </c>
      <c r="D55" t="s">
        <v>93</v>
      </c>
      <c r="E55">
        <v>40</v>
      </c>
      <c r="F55" s="4">
        <v>22</v>
      </c>
      <c r="G55" s="4">
        <v>29</v>
      </c>
      <c r="H55" s="4">
        <v>51</v>
      </c>
      <c r="I55" s="7">
        <v>97.07</v>
      </c>
    </row>
    <row r="56" spans="1:9" x14ac:dyDescent="0.25">
      <c r="A56">
        <v>50</v>
      </c>
      <c r="B56" t="s">
        <v>2712</v>
      </c>
      <c r="C56" t="s">
        <v>335</v>
      </c>
      <c r="D56" t="s">
        <v>93</v>
      </c>
      <c r="E56">
        <v>45</v>
      </c>
      <c r="F56" s="4">
        <v>23</v>
      </c>
      <c r="G56" s="4">
        <v>33</v>
      </c>
      <c r="H56" s="4">
        <v>56</v>
      </c>
      <c r="I56" s="7">
        <v>95.25</v>
      </c>
    </row>
    <row r="57" spans="1:9" x14ac:dyDescent="0.25">
      <c r="A57">
        <v>51</v>
      </c>
      <c r="B57" t="s">
        <v>775</v>
      </c>
      <c r="C57" t="s">
        <v>469</v>
      </c>
      <c r="D57" t="s">
        <v>93</v>
      </c>
      <c r="E57">
        <v>40</v>
      </c>
      <c r="F57" s="4">
        <v>18</v>
      </c>
      <c r="G57" s="4">
        <v>27</v>
      </c>
      <c r="H57" s="4">
        <v>45</v>
      </c>
      <c r="I57" s="7">
        <v>86.28</v>
      </c>
    </row>
    <row r="58" spans="1:9" x14ac:dyDescent="0.25">
      <c r="A58">
        <v>52</v>
      </c>
      <c r="B58" t="s">
        <v>1452</v>
      </c>
      <c r="C58" t="s">
        <v>400</v>
      </c>
      <c r="D58" t="s">
        <v>49</v>
      </c>
      <c r="E58">
        <v>49</v>
      </c>
      <c r="F58" s="4">
        <v>0</v>
      </c>
      <c r="G58" s="4">
        <v>0</v>
      </c>
      <c r="H58" s="4">
        <v>0</v>
      </c>
      <c r="I58" s="7">
        <v>0</v>
      </c>
    </row>
    <row r="59" spans="1:9" x14ac:dyDescent="0.25">
      <c r="A59">
        <v>53</v>
      </c>
      <c r="B59" t="s">
        <v>3014</v>
      </c>
      <c r="C59" t="s">
        <v>660</v>
      </c>
      <c r="D59" t="s">
        <v>49</v>
      </c>
      <c r="E59">
        <v>45</v>
      </c>
      <c r="F59" s="4">
        <v>27</v>
      </c>
      <c r="G59" s="4">
        <v>0</v>
      </c>
      <c r="H59" s="4">
        <v>27</v>
      </c>
      <c r="I59" s="7">
        <v>0</v>
      </c>
    </row>
    <row r="60" spans="1:9" x14ac:dyDescent="0.25">
      <c r="A60">
        <v>54</v>
      </c>
      <c r="B60" t="s">
        <v>2771</v>
      </c>
      <c r="C60" t="s">
        <v>835</v>
      </c>
      <c r="D60" t="s">
        <v>49</v>
      </c>
      <c r="E60">
        <v>59</v>
      </c>
      <c r="F60" s="4">
        <v>0</v>
      </c>
      <c r="G60" s="4">
        <v>0</v>
      </c>
      <c r="H60" s="4">
        <v>0</v>
      </c>
      <c r="I60" s="7">
        <v>0</v>
      </c>
    </row>
    <row r="61" spans="1:9" x14ac:dyDescent="0.25">
      <c r="A61">
        <v>55</v>
      </c>
      <c r="B61" t="s">
        <v>4433</v>
      </c>
      <c r="F61" s="4">
        <v>2088</v>
      </c>
      <c r="G61" s="4">
        <v>2606</v>
      </c>
      <c r="H61" s="4">
        <v>4694</v>
      </c>
      <c r="I61" s="7">
        <v>6946.8000000000011</v>
      </c>
    </row>
    <row r="62" spans="1:9" x14ac:dyDescent="0.25">
      <c r="A62">
        <v>56</v>
      </c>
      <c r="G62"/>
    </row>
    <row r="63" spans="1:9" x14ac:dyDescent="0.25">
      <c r="A63">
        <v>57</v>
      </c>
      <c r="G63"/>
    </row>
    <row r="64" spans="1:9" x14ac:dyDescent="0.25">
      <c r="A64">
        <v>58</v>
      </c>
      <c r="G64"/>
    </row>
    <row r="65" spans="1:7" x14ac:dyDescent="0.25">
      <c r="A65">
        <v>59</v>
      </c>
      <c r="G65"/>
    </row>
    <row r="66" spans="1:7" x14ac:dyDescent="0.25">
      <c r="A66">
        <v>60</v>
      </c>
      <c r="G66"/>
    </row>
    <row r="67" spans="1:7" x14ac:dyDescent="0.25">
      <c r="A67">
        <v>61</v>
      </c>
      <c r="G67"/>
    </row>
    <row r="68" spans="1:7" x14ac:dyDescent="0.25">
      <c r="A68">
        <v>62</v>
      </c>
      <c r="G68"/>
    </row>
    <row r="69" spans="1:7" x14ac:dyDescent="0.25">
      <c r="A69">
        <v>63</v>
      </c>
      <c r="G69"/>
    </row>
    <row r="70" spans="1:7" x14ac:dyDescent="0.25">
      <c r="A70">
        <v>64</v>
      </c>
      <c r="G70"/>
    </row>
    <row r="71" spans="1:7" x14ac:dyDescent="0.25">
      <c r="A71">
        <v>65</v>
      </c>
      <c r="G71"/>
    </row>
    <row r="72" spans="1:7" x14ac:dyDescent="0.25">
      <c r="A72">
        <v>66</v>
      </c>
      <c r="G72"/>
    </row>
    <row r="73" spans="1:7" x14ac:dyDescent="0.25">
      <c r="A73">
        <v>67</v>
      </c>
      <c r="G73"/>
    </row>
    <row r="74" spans="1:7" x14ac:dyDescent="0.25">
      <c r="A74">
        <v>68</v>
      </c>
      <c r="G74"/>
    </row>
    <row r="75" spans="1:7" x14ac:dyDescent="0.25">
      <c r="A75">
        <v>69</v>
      </c>
      <c r="G75"/>
    </row>
    <row r="76" spans="1:7" x14ac:dyDescent="0.25">
      <c r="A76">
        <v>70</v>
      </c>
      <c r="G76"/>
    </row>
    <row r="77" spans="1:7" x14ac:dyDescent="0.25">
      <c r="A77">
        <v>71</v>
      </c>
      <c r="G77"/>
    </row>
    <row r="78" spans="1:7" x14ac:dyDescent="0.25">
      <c r="A78">
        <v>72</v>
      </c>
      <c r="G78"/>
    </row>
    <row r="79" spans="1:7" x14ac:dyDescent="0.25">
      <c r="A79">
        <v>73</v>
      </c>
      <c r="G79"/>
    </row>
    <row r="80" spans="1:7" x14ac:dyDescent="0.25">
      <c r="A80">
        <v>74</v>
      </c>
      <c r="G80"/>
    </row>
    <row r="81" spans="1:7" x14ac:dyDescent="0.25">
      <c r="A81">
        <v>75</v>
      </c>
      <c r="G81"/>
    </row>
    <row r="82" spans="1:7" x14ac:dyDescent="0.25">
      <c r="A82">
        <v>76</v>
      </c>
      <c r="G82"/>
    </row>
    <row r="83" spans="1:7" x14ac:dyDescent="0.25">
      <c r="A83">
        <v>77</v>
      </c>
      <c r="G83"/>
    </row>
    <row r="84" spans="1:7" x14ac:dyDescent="0.25">
      <c r="A84">
        <v>78</v>
      </c>
      <c r="G84"/>
    </row>
    <row r="85" spans="1:7" x14ac:dyDescent="0.25">
      <c r="A85">
        <v>79</v>
      </c>
      <c r="G85"/>
    </row>
    <row r="86" spans="1:7" x14ac:dyDescent="0.25">
      <c r="A86">
        <v>80</v>
      </c>
      <c r="G86"/>
    </row>
    <row r="87" spans="1:7" x14ac:dyDescent="0.25">
      <c r="A87">
        <v>81</v>
      </c>
      <c r="G87"/>
    </row>
    <row r="88" spans="1:7" x14ac:dyDescent="0.25">
      <c r="A88">
        <v>82</v>
      </c>
      <c r="G88"/>
    </row>
    <row r="89" spans="1:7" x14ac:dyDescent="0.25">
      <c r="A89">
        <v>83</v>
      </c>
      <c r="G89"/>
    </row>
    <row r="90" spans="1:7" x14ac:dyDescent="0.25">
      <c r="A90">
        <v>84</v>
      </c>
      <c r="G90"/>
    </row>
    <row r="91" spans="1:7" x14ac:dyDescent="0.25">
      <c r="A91">
        <v>85</v>
      </c>
      <c r="G91"/>
    </row>
    <row r="92" spans="1:7" x14ac:dyDescent="0.25">
      <c r="A92">
        <v>86</v>
      </c>
      <c r="G92"/>
    </row>
    <row r="93" spans="1:7" x14ac:dyDescent="0.25">
      <c r="A93">
        <v>87</v>
      </c>
      <c r="G93"/>
    </row>
    <row r="94" spans="1:7" x14ac:dyDescent="0.25">
      <c r="A94">
        <v>88</v>
      </c>
      <c r="G94"/>
    </row>
    <row r="95" spans="1:7" x14ac:dyDescent="0.25">
      <c r="A95">
        <v>89</v>
      </c>
      <c r="G95"/>
    </row>
    <row r="96" spans="1:7" x14ac:dyDescent="0.25">
      <c r="A96">
        <v>90</v>
      </c>
      <c r="G96"/>
    </row>
    <row r="97" spans="1:7" x14ac:dyDescent="0.25">
      <c r="A97">
        <v>91</v>
      </c>
      <c r="G97"/>
    </row>
    <row r="98" spans="1:7" x14ac:dyDescent="0.25">
      <c r="A98">
        <v>92</v>
      </c>
      <c r="G98"/>
    </row>
    <row r="99" spans="1:7" x14ac:dyDescent="0.25">
      <c r="A99">
        <v>93</v>
      </c>
      <c r="G99"/>
    </row>
    <row r="100" spans="1:7" x14ac:dyDescent="0.25">
      <c r="A100">
        <v>94</v>
      </c>
      <c r="G100"/>
    </row>
    <row r="101" spans="1:7" x14ac:dyDescent="0.25">
      <c r="A101">
        <v>95</v>
      </c>
      <c r="G101"/>
    </row>
    <row r="102" spans="1:7" x14ac:dyDescent="0.25">
      <c r="A102">
        <v>96</v>
      </c>
      <c r="G102"/>
    </row>
    <row r="103" spans="1:7" x14ac:dyDescent="0.25">
      <c r="A103">
        <v>97</v>
      </c>
      <c r="G103"/>
    </row>
    <row r="104" spans="1:7" x14ac:dyDescent="0.25">
      <c r="A104">
        <v>98</v>
      </c>
      <c r="G104"/>
    </row>
    <row r="105" spans="1:7" x14ac:dyDescent="0.25">
      <c r="A105">
        <v>99</v>
      </c>
      <c r="G105"/>
    </row>
    <row r="106" spans="1:7" x14ac:dyDescent="0.25">
      <c r="A106">
        <v>100</v>
      </c>
      <c r="G106"/>
    </row>
    <row r="107" spans="1:7" x14ac:dyDescent="0.25">
      <c r="A107">
        <v>101</v>
      </c>
      <c r="G107"/>
    </row>
    <row r="108" spans="1:7" x14ac:dyDescent="0.25">
      <c r="A108">
        <v>102</v>
      </c>
      <c r="G108"/>
    </row>
    <row r="109" spans="1:7" x14ac:dyDescent="0.25">
      <c r="A109">
        <v>103</v>
      </c>
      <c r="G109"/>
    </row>
    <row r="110" spans="1:7" x14ac:dyDescent="0.25">
      <c r="A110">
        <v>104</v>
      </c>
      <c r="G110"/>
    </row>
    <row r="111" spans="1:7" x14ac:dyDescent="0.25">
      <c r="A111">
        <v>105</v>
      </c>
      <c r="G111"/>
    </row>
    <row r="112" spans="1:7" x14ac:dyDescent="0.25">
      <c r="A112">
        <v>106</v>
      </c>
      <c r="G112"/>
    </row>
    <row r="113" spans="1:7" x14ac:dyDescent="0.25">
      <c r="A113">
        <v>107</v>
      </c>
      <c r="G113"/>
    </row>
    <row r="114" spans="1:7" x14ac:dyDescent="0.25">
      <c r="A114">
        <v>108</v>
      </c>
      <c r="G114"/>
    </row>
    <row r="115" spans="1:7" x14ac:dyDescent="0.25">
      <c r="A115">
        <v>109</v>
      </c>
      <c r="G115"/>
    </row>
    <row r="116" spans="1:7" x14ac:dyDescent="0.25">
      <c r="A116">
        <v>110</v>
      </c>
      <c r="G116"/>
    </row>
    <row r="117" spans="1:7" x14ac:dyDescent="0.25">
      <c r="A117">
        <v>111</v>
      </c>
      <c r="G117"/>
    </row>
    <row r="118" spans="1:7" x14ac:dyDescent="0.25">
      <c r="A118">
        <v>112</v>
      </c>
      <c r="G118"/>
    </row>
    <row r="119" spans="1:7" x14ac:dyDescent="0.25">
      <c r="A119">
        <v>113</v>
      </c>
      <c r="G119"/>
    </row>
    <row r="120" spans="1:7" x14ac:dyDescent="0.25">
      <c r="A120">
        <v>114</v>
      </c>
      <c r="G120"/>
    </row>
    <row r="121" spans="1:7" x14ac:dyDescent="0.25">
      <c r="A121">
        <v>115</v>
      </c>
      <c r="G121"/>
    </row>
    <row r="122" spans="1:7" x14ac:dyDescent="0.25">
      <c r="A122">
        <v>116</v>
      </c>
      <c r="G122"/>
    </row>
    <row r="123" spans="1:7" x14ac:dyDescent="0.25">
      <c r="A123">
        <v>117</v>
      </c>
      <c r="G123"/>
    </row>
    <row r="124" spans="1:7" x14ac:dyDescent="0.25">
      <c r="A124">
        <v>118</v>
      </c>
      <c r="G124"/>
    </row>
    <row r="125" spans="1:7" x14ac:dyDescent="0.25">
      <c r="A125">
        <v>119</v>
      </c>
      <c r="G125"/>
    </row>
    <row r="126" spans="1:7" x14ac:dyDescent="0.25">
      <c r="A126">
        <v>120</v>
      </c>
      <c r="G126"/>
    </row>
    <row r="127" spans="1:7" x14ac:dyDescent="0.25">
      <c r="A127">
        <v>121</v>
      </c>
      <c r="G127"/>
    </row>
    <row r="128" spans="1:7" x14ac:dyDescent="0.25">
      <c r="A128">
        <v>122</v>
      </c>
      <c r="G128"/>
    </row>
    <row r="129" spans="1:7" x14ac:dyDescent="0.25">
      <c r="A129">
        <v>123</v>
      </c>
      <c r="G129"/>
    </row>
    <row r="130" spans="1:7" x14ac:dyDescent="0.25">
      <c r="A130">
        <v>124</v>
      </c>
      <c r="G130"/>
    </row>
    <row r="131" spans="1:7" x14ac:dyDescent="0.25">
      <c r="A131">
        <v>125</v>
      </c>
      <c r="G131"/>
    </row>
    <row r="132" spans="1:7" x14ac:dyDescent="0.25">
      <c r="A132">
        <v>126</v>
      </c>
      <c r="G132"/>
    </row>
    <row r="133" spans="1:7" x14ac:dyDescent="0.25">
      <c r="A133">
        <v>127</v>
      </c>
      <c r="G133"/>
    </row>
    <row r="134" spans="1:7" x14ac:dyDescent="0.25">
      <c r="A134">
        <v>128</v>
      </c>
      <c r="G134"/>
    </row>
    <row r="135" spans="1:7" x14ac:dyDescent="0.25">
      <c r="A135">
        <v>129</v>
      </c>
      <c r="G135"/>
    </row>
    <row r="136" spans="1:7" x14ac:dyDescent="0.25">
      <c r="A136">
        <v>130</v>
      </c>
      <c r="G136"/>
    </row>
    <row r="137" spans="1:7" x14ac:dyDescent="0.25">
      <c r="A137">
        <v>131</v>
      </c>
      <c r="G137"/>
    </row>
    <row r="138" spans="1:7" x14ac:dyDescent="0.25">
      <c r="A138">
        <v>132</v>
      </c>
      <c r="G138"/>
    </row>
    <row r="139" spans="1:7" x14ac:dyDescent="0.25">
      <c r="A139">
        <v>133</v>
      </c>
      <c r="G139"/>
    </row>
    <row r="140" spans="1:7" x14ac:dyDescent="0.25">
      <c r="A140">
        <v>134</v>
      </c>
      <c r="G140"/>
    </row>
    <row r="141" spans="1:7" x14ac:dyDescent="0.25">
      <c r="A141">
        <v>135</v>
      </c>
      <c r="G141"/>
    </row>
    <row r="142" spans="1:7" x14ac:dyDescent="0.25">
      <c r="A142">
        <v>136</v>
      </c>
      <c r="G142"/>
    </row>
    <row r="143" spans="1:7" x14ac:dyDescent="0.25">
      <c r="A143">
        <v>137</v>
      </c>
      <c r="G143"/>
    </row>
    <row r="144" spans="1:7" x14ac:dyDescent="0.25">
      <c r="A144">
        <v>138</v>
      </c>
      <c r="G144"/>
    </row>
    <row r="145" spans="1:7" x14ac:dyDescent="0.25">
      <c r="A145">
        <v>139</v>
      </c>
      <c r="G145"/>
    </row>
    <row r="146" spans="1:7" x14ac:dyDescent="0.25">
      <c r="A146">
        <v>140</v>
      </c>
      <c r="G146"/>
    </row>
    <row r="147" spans="1:7" x14ac:dyDescent="0.25">
      <c r="A147">
        <v>141</v>
      </c>
      <c r="G147"/>
    </row>
    <row r="148" spans="1:7" x14ac:dyDescent="0.25">
      <c r="A148">
        <v>142</v>
      </c>
      <c r="G148"/>
    </row>
    <row r="149" spans="1:7" x14ac:dyDescent="0.25">
      <c r="A149">
        <v>143</v>
      </c>
      <c r="G149"/>
    </row>
    <row r="150" spans="1:7" x14ac:dyDescent="0.25">
      <c r="A150">
        <v>144</v>
      </c>
      <c r="G150"/>
    </row>
    <row r="151" spans="1:7" x14ac:dyDescent="0.25">
      <c r="A151">
        <v>145</v>
      </c>
      <c r="G151"/>
    </row>
    <row r="152" spans="1:7" x14ac:dyDescent="0.25">
      <c r="A152">
        <v>146</v>
      </c>
      <c r="G152"/>
    </row>
    <row r="153" spans="1:7" x14ac:dyDescent="0.25">
      <c r="A153">
        <v>147</v>
      </c>
      <c r="G153"/>
    </row>
    <row r="154" spans="1:7" x14ac:dyDescent="0.25">
      <c r="A154">
        <v>148</v>
      </c>
      <c r="G154"/>
    </row>
    <row r="155" spans="1:7" x14ac:dyDescent="0.25">
      <c r="A155">
        <v>149</v>
      </c>
      <c r="G155"/>
    </row>
    <row r="156" spans="1:7" x14ac:dyDescent="0.25">
      <c r="A156">
        <v>150</v>
      </c>
      <c r="G156"/>
    </row>
    <row r="157" spans="1:7" x14ac:dyDescent="0.25">
      <c r="A157">
        <v>151</v>
      </c>
      <c r="G157"/>
    </row>
    <row r="158" spans="1:7" x14ac:dyDescent="0.25">
      <c r="A158">
        <v>152</v>
      </c>
      <c r="G158"/>
    </row>
    <row r="159" spans="1:7" x14ac:dyDescent="0.25">
      <c r="A159">
        <v>153</v>
      </c>
      <c r="G159"/>
    </row>
    <row r="160" spans="1:7" x14ac:dyDescent="0.25">
      <c r="A160">
        <v>154</v>
      </c>
      <c r="G160"/>
    </row>
    <row r="161" spans="1:7" x14ac:dyDescent="0.25">
      <c r="A161">
        <v>155</v>
      </c>
      <c r="G161"/>
    </row>
    <row r="162" spans="1:7" x14ac:dyDescent="0.25">
      <c r="A162">
        <v>156</v>
      </c>
      <c r="G162"/>
    </row>
    <row r="163" spans="1:7" x14ac:dyDescent="0.25">
      <c r="A163">
        <v>157</v>
      </c>
      <c r="G163"/>
    </row>
    <row r="164" spans="1:7" x14ac:dyDescent="0.25">
      <c r="A164">
        <v>158</v>
      </c>
      <c r="G164"/>
    </row>
    <row r="165" spans="1:7" x14ac:dyDescent="0.25">
      <c r="A165">
        <v>159</v>
      </c>
      <c r="G165"/>
    </row>
    <row r="166" spans="1:7" x14ac:dyDescent="0.25">
      <c r="A166">
        <v>160</v>
      </c>
      <c r="G166"/>
    </row>
    <row r="167" spans="1:7" x14ac:dyDescent="0.25">
      <c r="A167">
        <v>161</v>
      </c>
      <c r="G167"/>
    </row>
    <row r="168" spans="1:7" x14ac:dyDescent="0.25">
      <c r="A168">
        <v>162</v>
      </c>
      <c r="G168"/>
    </row>
    <row r="169" spans="1:7" x14ac:dyDescent="0.25">
      <c r="A169">
        <v>163</v>
      </c>
      <c r="G169"/>
    </row>
    <row r="170" spans="1:7" x14ac:dyDescent="0.25">
      <c r="A170">
        <v>164</v>
      </c>
      <c r="G170"/>
    </row>
    <row r="171" spans="1:7" x14ac:dyDescent="0.25">
      <c r="A171">
        <v>165</v>
      </c>
      <c r="G171"/>
    </row>
    <row r="172" spans="1:7" x14ac:dyDescent="0.25">
      <c r="A172">
        <v>166</v>
      </c>
      <c r="G172"/>
    </row>
    <row r="173" spans="1:7" x14ac:dyDescent="0.25">
      <c r="A173">
        <v>167</v>
      </c>
      <c r="G173"/>
    </row>
    <row r="174" spans="1:7" x14ac:dyDescent="0.25">
      <c r="A174">
        <v>168</v>
      </c>
      <c r="G174"/>
    </row>
    <row r="175" spans="1:7" x14ac:dyDescent="0.25">
      <c r="A175">
        <v>169</v>
      </c>
      <c r="G175"/>
    </row>
    <row r="176" spans="1:7" x14ac:dyDescent="0.25">
      <c r="A176">
        <v>170</v>
      </c>
      <c r="G176"/>
    </row>
    <row r="177" spans="1:7" x14ac:dyDescent="0.25">
      <c r="A177">
        <v>171</v>
      </c>
      <c r="G177"/>
    </row>
    <row r="178" spans="1:7" x14ac:dyDescent="0.25">
      <c r="A178">
        <v>172</v>
      </c>
      <c r="G178"/>
    </row>
    <row r="179" spans="1:7" x14ac:dyDescent="0.25">
      <c r="A179">
        <v>173</v>
      </c>
      <c r="G179"/>
    </row>
    <row r="180" spans="1:7" x14ac:dyDescent="0.25">
      <c r="A180">
        <v>174</v>
      </c>
      <c r="G180"/>
    </row>
    <row r="181" spans="1:7" x14ac:dyDescent="0.25">
      <c r="A181">
        <v>175</v>
      </c>
      <c r="G181"/>
    </row>
    <row r="182" spans="1:7" x14ac:dyDescent="0.25">
      <c r="A182">
        <v>176</v>
      </c>
      <c r="G182"/>
    </row>
    <row r="183" spans="1:7" x14ac:dyDescent="0.25">
      <c r="A183">
        <v>177</v>
      </c>
      <c r="G183"/>
    </row>
    <row r="184" spans="1:7" x14ac:dyDescent="0.25">
      <c r="A184">
        <v>178</v>
      </c>
      <c r="G184"/>
    </row>
    <row r="185" spans="1:7" x14ac:dyDescent="0.25">
      <c r="A185">
        <v>179</v>
      </c>
      <c r="G185"/>
    </row>
    <row r="186" spans="1:7" x14ac:dyDescent="0.25">
      <c r="A186">
        <v>180</v>
      </c>
      <c r="G186"/>
    </row>
    <row r="187" spans="1:7" x14ac:dyDescent="0.25">
      <c r="A187">
        <v>181</v>
      </c>
      <c r="G187"/>
    </row>
    <row r="188" spans="1:7" x14ac:dyDescent="0.25">
      <c r="A188">
        <v>182</v>
      </c>
      <c r="G188"/>
    </row>
    <row r="189" spans="1:7" x14ac:dyDescent="0.25">
      <c r="A189">
        <v>183</v>
      </c>
      <c r="G189"/>
    </row>
    <row r="190" spans="1:7" x14ac:dyDescent="0.25">
      <c r="A190">
        <v>184</v>
      </c>
      <c r="G190"/>
    </row>
    <row r="191" spans="1:7" x14ac:dyDescent="0.25">
      <c r="A191">
        <v>185</v>
      </c>
      <c r="G191"/>
    </row>
    <row r="192" spans="1:7" x14ac:dyDescent="0.25">
      <c r="A192">
        <v>186</v>
      </c>
      <c r="G192"/>
    </row>
    <row r="193" spans="1:7" x14ac:dyDescent="0.25">
      <c r="A193">
        <v>187</v>
      </c>
      <c r="G193"/>
    </row>
    <row r="194" spans="1:7" x14ac:dyDescent="0.25">
      <c r="A194">
        <v>188</v>
      </c>
      <c r="G194"/>
    </row>
    <row r="195" spans="1:7" x14ac:dyDescent="0.25">
      <c r="A195">
        <v>189</v>
      </c>
      <c r="G195"/>
    </row>
    <row r="196" spans="1:7" x14ac:dyDescent="0.25">
      <c r="A196">
        <v>190</v>
      </c>
      <c r="G196"/>
    </row>
    <row r="197" spans="1:7" x14ac:dyDescent="0.25">
      <c r="A197">
        <v>191</v>
      </c>
      <c r="G197"/>
    </row>
    <row r="198" spans="1:7" x14ac:dyDescent="0.25">
      <c r="A198">
        <v>192</v>
      </c>
      <c r="G198"/>
    </row>
    <row r="199" spans="1:7" x14ac:dyDescent="0.25">
      <c r="A199">
        <v>193</v>
      </c>
      <c r="G199"/>
    </row>
    <row r="200" spans="1:7" x14ac:dyDescent="0.25">
      <c r="A200">
        <v>194</v>
      </c>
      <c r="G200"/>
    </row>
    <row r="201" spans="1:7" x14ac:dyDescent="0.25">
      <c r="A201">
        <v>195</v>
      </c>
      <c r="G201"/>
    </row>
    <row r="202" spans="1:7" x14ac:dyDescent="0.25">
      <c r="A202">
        <v>196</v>
      </c>
      <c r="G202"/>
    </row>
    <row r="203" spans="1:7" x14ac:dyDescent="0.25">
      <c r="A203">
        <v>197</v>
      </c>
      <c r="G203"/>
    </row>
    <row r="204" spans="1:7" x14ac:dyDescent="0.25">
      <c r="A204">
        <v>198</v>
      </c>
      <c r="G204"/>
    </row>
    <row r="205" spans="1:7" x14ac:dyDescent="0.25">
      <c r="A205">
        <v>199</v>
      </c>
      <c r="G205"/>
    </row>
    <row r="206" spans="1:7" x14ac:dyDescent="0.25">
      <c r="A206">
        <v>200</v>
      </c>
      <c r="G206"/>
    </row>
    <row r="207" spans="1:7" x14ac:dyDescent="0.25">
      <c r="A207">
        <v>201</v>
      </c>
      <c r="G207"/>
    </row>
    <row r="208" spans="1:7" x14ac:dyDescent="0.25">
      <c r="A208">
        <v>202</v>
      </c>
      <c r="G208"/>
    </row>
    <row r="209" spans="1:7" x14ac:dyDescent="0.25">
      <c r="A209">
        <v>203</v>
      </c>
      <c r="G209"/>
    </row>
    <row r="210" spans="1:7" x14ac:dyDescent="0.25">
      <c r="A210">
        <v>204</v>
      </c>
      <c r="G210"/>
    </row>
    <row r="211" spans="1:7" x14ac:dyDescent="0.25">
      <c r="A211">
        <v>205</v>
      </c>
      <c r="G211"/>
    </row>
    <row r="212" spans="1:7" x14ac:dyDescent="0.25">
      <c r="A212">
        <v>206</v>
      </c>
      <c r="G212"/>
    </row>
    <row r="213" spans="1:7" x14ac:dyDescent="0.25">
      <c r="A213">
        <v>207</v>
      </c>
      <c r="G213"/>
    </row>
    <row r="214" spans="1:7" x14ac:dyDescent="0.25">
      <c r="A214">
        <v>208</v>
      </c>
      <c r="G214"/>
    </row>
    <row r="215" spans="1:7" x14ac:dyDescent="0.25">
      <c r="A215">
        <v>209</v>
      </c>
      <c r="G215"/>
    </row>
    <row r="216" spans="1:7" x14ac:dyDescent="0.25">
      <c r="A216">
        <v>210</v>
      </c>
      <c r="G216"/>
    </row>
    <row r="217" spans="1:7" x14ac:dyDescent="0.25">
      <c r="A217">
        <v>211</v>
      </c>
      <c r="G217"/>
    </row>
    <row r="218" spans="1:7" x14ac:dyDescent="0.25">
      <c r="A218">
        <v>212</v>
      </c>
      <c r="G218"/>
    </row>
    <row r="219" spans="1:7" x14ac:dyDescent="0.25">
      <c r="A219">
        <v>213</v>
      </c>
      <c r="G219"/>
    </row>
    <row r="220" spans="1:7" x14ac:dyDescent="0.25">
      <c r="A220">
        <v>214</v>
      </c>
      <c r="G220"/>
    </row>
    <row r="221" spans="1:7" x14ac:dyDescent="0.25">
      <c r="A221">
        <v>215</v>
      </c>
      <c r="G221"/>
    </row>
    <row r="222" spans="1:7" x14ac:dyDescent="0.25">
      <c r="A222">
        <v>216</v>
      </c>
      <c r="G222"/>
    </row>
    <row r="223" spans="1:7" x14ac:dyDescent="0.25">
      <c r="A223">
        <v>217</v>
      </c>
      <c r="G223"/>
    </row>
    <row r="224" spans="1:7" x14ac:dyDescent="0.25">
      <c r="A224">
        <v>218</v>
      </c>
      <c r="G224"/>
    </row>
    <row r="225" spans="1:7" x14ac:dyDescent="0.25">
      <c r="A225">
        <v>219</v>
      </c>
      <c r="G225"/>
    </row>
    <row r="226" spans="1:7" x14ac:dyDescent="0.25">
      <c r="A226">
        <v>220</v>
      </c>
      <c r="G226"/>
    </row>
    <row r="227" spans="1:7" x14ac:dyDescent="0.25">
      <c r="A227">
        <v>221</v>
      </c>
      <c r="G227"/>
    </row>
    <row r="228" spans="1:7" x14ac:dyDescent="0.25">
      <c r="A228">
        <v>222</v>
      </c>
      <c r="G228"/>
    </row>
    <row r="229" spans="1:7" x14ac:dyDescent="0.25">
      <c r="A229">
        <v>223</v>
      </c>
      <c r="G229"/>
    </row>
    <row r="230" spans="1:7" x14ac:dyDescent="0.25">
      <c r="A230">
        <v>224</v>
      </c>
      <c r="G230"/>
    </row>
    <row r="231" spans="1:7" x14ac:dyDescent="0.25">
      <c r="A231">
        <v>225</v>
      </c>
      <c r="G231"/>
    </row>
    <row r="232" spans="1:7" x14ac:dyDescent="0.25">
      <c r="A232">
        <v>226</v>
      </c>
      <c r="G232"/>
    </row>
    <row r="233" spans="1:7" x14ac:dyDescent="0.25">
      <c r="A233">
        <v>227</v>
      </c>
      <c r="G233"/>
    </row>
    <row r="234" spans="1:7" x14ac:dyDescent="0.25">
      <c r="A234">
        <v>228</v>
      </c>
      <c r="G234"/>
    </row>
    <row r="235" spans="1:7" x14ac:dyDescent="0.25">
      <c r="A235">
        <v>229</v>
      </c>
      <c r="G235"/>
    </row>
    <row r="236" spans="1:7" x14ac:dyDescent="0.25">
      <c r="A236">
        <v>230</v>
      </c>
      <c r="G236"/>
    </row>
    <row r="237" spans="1:7" x14ac:dyDescent="0.25">
      <c r="A237">
        <v>231</v>
      </c>
      <c r="G237"/>
    </row>
    <row r="238" spans="1:7" x14ac:dyDescent="0.25">
      <c r="A238">
        <v>232</v>
      </c>
      <c r="G238"/>
    </row>
    <row r="239" spans="1:7" x14ac:dyDescent="0.25">
      <c r="A239">
        <v>233</v>
      </c>
      <c r="G239"/>
    </row>
    <row r="240" spans="1:7" x14ac:dyDescent="0.25">
      <c r="A240">
        <v>234</v>
      </c>
      <c r="G240"/>
    </row>
    <row r="241" spans="1:7" x14ac:dyDescent="0.25">
      <c r="A241">
        <v>235</v>
      </c>
      <c r="G241"/>
    </row>
    <row r="242" spans="1:7" x14ac:dyDescent="0.25">
      <c r="A242">
        <v>236</v>
      </c>
      <c r="G242"/>
    </row>
    <row r="243" spans="1:7" x14ac:dyDescent="0.25">
      <c r="A243">
        <v>237</v>
      </c>
      <c r="G243"/>
    </row>
    <row r="244" spans="1:7" x14ac:dyDescent="0.25">
      <c r="A244">
        <v>238</v>
      </c>
      <c r="G244"/>
    </row>
    <row r="245" spans="1:7" x14ac:dyDescent="0.25">
      <c r="A245">
        <v>239</v>
      </c>
      <c r="G245"/>
    </row>
    <row r="246" spans="1:7" x14ac:dyDescent="0.25">
      <c r="A246">
        <v>240</v>
      </c>
      <c r="G246"/>
    </row>
    <row r="247" spans="1:7" x14ac:dyDescent="0.25">
      <c r="A247">
        <v>241</v>
      </c>
      <c r="G247"/>
    </row>
    <row r="248" spans="1:7" x14ac:dyDescent="0.25">
      <c r="A248">
        <v>242</v>
      </c>
      <c r="G248"/>
    </row>
    <row r="249" spans="1:7" x14ac:dyDescent="0.25">
      <c r="A249">
        <v>243</v>
      </c>
      <c r="G249"/>
    </row>
    <row r="250" spans="1:7" x14ac:dyDescent="0.25">
      <c r="A250">
        <v>244</v>
      </c>
      <c r="G250"/>
    </row>
    <row r="251" spans="1:7" x14ac:dyDescent="0.25">
      <c r="A251">
        <v>245</v>
      </c>
      <c r="G251"/>
    </row>
    <row r="252" spans="1:7" x14ac:dyDescent="0.25">
      <c r="A252">
        <v>246</v>
      </c>
      <c r="G252"/>
    </row>
    <row r="253" spans="1:7" x14ac:dyDescent="0.25">
      <c r="A253">
        <v>247</v>
      </c>
      <c r="G253"/>
    </row>
    <row r="254" spans="1:7" x14ac:dyDescent="0.25">
      <c r="A254">
        <v>248</v>
      </c>
      <c r="G254"/>
    </row>
    <row r="255" spans="1:7" x14ac:dyDescent="0.25">
      <c r="A255">
        <v>249</v>
      </c>
      <c r="G255"/>
    </row>
    <row r="256" spans="1:7" x14ac:dyDescent="0.25">
      <c r="A256">
        <v>250</v>
      </c>
      <c r="G256"/>
    </row>
    <row r="257" spans="1:7" x14ac:dyDescent="0.25">
      <c r="A257">
        <v>251</v>
      </c>
      <c r="G257"/>
    </row>
    <row r="258" spans="1:7" x14ac:dyDescent="0.25">
      <c r="A258">
        <v>252</v>
      </c>
      <c r="G258"/>
    </row>
    <row r="259" spans="1:7" x14ac:dyDescent="0.25">
      <c r="A259">
        <v>253</v>
      </c>
      <c r="G259"/>
    </row>
    <row r="260" spans="1:7" x14ac:dyDescent="0.25">
      <c r="A260">
        <v>254</v>
      </c>
      <c r="G260"/>
    </row>
    <row r="261" spans="1:7" x14ac:dyDescent="0.25">
      <c r="A261">
        <v>255</v>
      </c>
      <c r="G261"/>
    </row>
    <row r="262" spans="1:7" x14ac:dyDescent="0.25">
      <c r="A262">
        <v>256</v>
      </c>
      <c r="G262"/>
    </row>
    <row r="263" spans="1:7" x14ac:dyDescent="0.25">
      <c r="A263">
        <v>257</v>
      </c>
      <c r="G263"/>
    </row>
    <row r="264" spans="1:7" x14ac:dyDescent="0.25">
      <c r="A264">
        <v>258</v>
      </c>
      <c r="G264"/>
    </row>
    <row r="265" spans="1:7" x14ac:dyDescent="0.25">
      <c r="A265">
        <v>259</v>
      </c>
      <c r="G265"/>
    </row>
    <row r="266" spans="1:7" x14ac:dyDescent="0.25">
      <c r="A266">
        <v>260</v>
      </c>
      <c r="G266"/>
    </row>
    <row r="267" spans="1:7" x14ac:dyDescent="0.25">
      <c r="A267">
        <v>261</v>
      </c>
      <c r="G267"/>
    </row>
    <row r="268" spans="1:7" x14ac:dyDescent="0.25">
      <c r="A268">
        <v>262</v>
      </c>
      <c r="G268"/>
    </row>
    <row r="269" spans="1:7" x14ac:dyDescent="0.25">
      <c r="A269">
        <v>263</v>
      </c>
      <c r="G269"/>
    </row>
    <row r="270" spans="1:7" x14ac:dyDescent="0.25">
      <c r="A270">
        <v>264</v>
      </c>
      <c r="G270"/>
    </row>
    <row r="271" spans="1:7" x14ac:dyDescent="0.25">
      <c r="A271">
        <v>265</v>
      </c>
      <c r="G271"/>
    </row>
    <row r="272" spans="1:7" x14ac:dyDescent="0.25">
      <c r="A272">
        <v>266</v>
      </c>
      <c r="G272"/>
    </row>
    <row r="273" spans="1:7" x14ac:dyDescent="0.25">
      <c r="A273">
        <v>267</v>
      </c>
      <c r="G273"/>
    </row>
    <row r="274" spans="1:7" x14ac:dyDescent="0.25">
      <c r="A274">
        <v>268</v>
      </c>
      <c r="G274"/>
    </row>
    <row r="275" spans="1:7" x14ac:dyDescent="0.25">
      <c r="A275">
        <v>269</v>
      </c>
      <c r="G275"/>
    </row>
    <row r="276" spans="1:7" x14ac:dyDescent="0.25">
      <c r="A276">
        <v>270</v>
      </c>
      <c r="G276"/>
    </row>
    <row r="277" spans="1:7" x14ac:dyDescent="0.25">
      <c r="A277">
        <v>271</v>
      </c>
      <c r="G277"/>
    </row>
    <row r="278" spans="1:7" x14ac:dyDescent="0.25">
      <c r="A278">
        <v>272</v>
      </c>
      <c r="G278"/>
    </row>
    <row r="279" spans="1:7" x14ac:dyDescent="0.25">
      <c r="A279">
        <v>273</v>
      </c>
      <c r="G279"/>
    </row>
    <row r="280" spans="1:7" x14ac:dyDescent="0.25">
      <c r="A280">
        <v>274</v>
      </c>
      <c r="G280"/>
    </row>
    <row r="281" spans="1:7" x14ac:dyDescent="0.25">
      <c r="A281">
        <v>275</v>
      </c>
      <c r="G281"/>
    </row>
    <row r="282" spans="1:7" x14ac:dyDescent="0.25">
      <c r="A282">
        <v>276</v>
      </c>
      <c r="G282"/>
    </row>
    <row r="283" spans="1:7" x14ac:dyDescent="0.25">
      <c r="A283">
        <v>277</v>
      </c>
      <c r="G283"/>
    </row>
    <row r="284" spans="1:7" x14ac:dyDescent="0.25">
      <c r="A284">
        <v>278</v>
      </c>
      <c r="G284"/>
    </row>
    <row r="285" spans="1:7" x14ac:dyDescent="0.25">
      <c r="A285">
        <v>279</v>
      </c>
      <c r="G285"/>
    </row>
    <row r="286" spans="1:7" x14ac:dyDescent="0.25">
      <c r="A286">
        <v>280</v>
      </c>
      <c r="G286"/>
    </row>
    <row r="287" spans="1:7" x14ac:dyDescent="0.25">
      <c r="A287">
        <v>281</v>
      </c>
      <c r="G287"/>
    </row>
    <row r="288" spans="1:7" x14ac:dyDescent="0.25">
      <c r="A288">
        <v>282</v>
      </c>
      <c r="G288"/>
    </row>
    <row r="289" spans="1:7" x14ac:dyDescent="0.25">
      <c r="A289">
        <v>283</v>
      </c>
      <c r="G289"/>
    </row>
    <row r="290" spans="1:7" x14ac:dyDescent="0.25">
      <c r="A290">
        <v>284</v>
      </c>
      <c r="G290"/>
    </row>
    <row r="291" spans="1:7" x14ac:dyDescent="0.25">
      <c r="A291">
        <v>285</v>
      </c>
      <c r="G291"/>
    </row>
    <row r="292" spans="1:7" x14ac:dyDescent="0.25">
      <c r="A292">
        <v>286</v>
      </c>
      <c r="G292"/>
    </row>
    <row r="293" spans="1:7" x14ac:dyDescent="0.25">
      <c r="A293">
        <v>287</v>
      </c>
      <c r="G293"/>
    </row>
    <row r="294" spans="1:7" x14ac:dyDescent="0.25">
      <c r="A294">
        <v>288</v>
      </c>
      <c r="G294"/>
    </row>
    <row r="295" spans="1:7" x14ac:dyDescent="0.25">
      <c r="A295">
        <v>289</v>
      </c>
      <c r="G295"/>
    </row>
    <row r="296" spans="1:7" x14ac:dyDescent="0.25">
      <c r="A296">
        <v>290</v>
      </c>
      <c r="G296"/>
    </row>
    <row r="297" spans="1:7" x14ac:dyDescent="0.25">
      <c r="A297">
        <v>291</v>
      </c>
      <c r="G297"/>
    </row>
    <row r="298" spans="1:7" x14ac:dyDescent="0.25">
      <c r="A298">
        <v>292</v>
      </c>
      <c r="G298"/>
    </row>
    <row r="299" spans="1:7" x14ac:dyDescent="0.25">
      <c r="A299">
        <v>293</v>
      </c>
      <c r="G299"/>
    </row>
    <row r="300" spans="1:7" x14ac:dyDescent="0.25">
      <c r="A300">
        <v>294</v>
      </c>
      <c r="G300"/>
    </row>
    <row r="301" spans="1:7" x14ac:dyDescent="0.25">
      <c r="A301">
        <v>295</v>
      </c>
      <c r="G301"/>
    </row>
    <row r="302" spans="1:7" x14ac:dyDescent="0.25">
      <c r="A302">
        <v>296</v>
      </c>
      <c r="G302"/>
    </row>
    <row r="303" spans="1:7" x14ac:dyDescent="0.25">
      <c r="A303">
        <v>297</v>
      </c>
      <c r="G303"/>
    </row>
    <row r="304" spans="1:7" x14ac:dyDescent="0.25">
      <c r="A304">
        <v>298</v>
      </c>
      <c r="G304"/>
    </row>
    <row r="305" spans="1:7" x14ac:dyDescent="0.25">
      <c r="A305">
        <v>299</v>
      </c>
      <c r="G305"/>
    </row>
    <row r="306" spans="1:7" x14ac:dyDescent="0.25">
      <c r="A306">
        <v>300</v>
      </c>
      <c r="G306"/>
    </row>
    <row r="307" spans="1:7" x14ac:dyDescent="0.25">
      <c r="A307">
        <v>301</v>
      </c>
      <c r="G307"/>
    </row>
    <row r="308" spans="1:7" x14ac:dyDescent="0.25">
      <c r="A308">
        <v>302</v>
      </c>
      <c r="G308"/>
    </row>
    <row r="309" spans="1:7" x14ac:dyDescent="0.25">
      <c r="A309">
        <v>303</v>
      </c>
      <c r="G309"/>
    </row>
    <row r="310" spans="1:7" x14ac:dyDescent="0.25">
      <c r="A310">
        <v>304</v>
      </c>
      <c r="G310"/>
    </row>
    <row r="311" spans="1:7" x14ac:dyDescent="0.25">
      <c r="A311">
        <v>305</v>
      </c>
      <c r="G311"/>
    </row>
    <row r="312" spans="1:7" x14ac:dyDescent="0.25">
      <c r="A312">
        <v>306</v>
      </c>
      <c r="G312"/>
    </row>
    <row r="313" spans="1:7" x14ac:dyDescent="0.25">
      <c r="A313">
        <v>307</v>
      </c>
      <c r="G313"/>
    </row>
    <row r="314" spans="1:7" x14ac:dyDescent="0.25">
      <c r="A314">
        <v>308</v>
      </c>
      <c r="G314"/>
    </row>
    <row r="315" spans="1:7" x14ac:dyDescent="0.25">
      <c r="A315">
        <v>309</v>
      </c>
      <c r="G315"/>
    </row>
    <row r="316" spans="1:7" x14ac:dyDescent="0.25">
      <c r="A316">
        <v>310</v>
      </c>
      <c r="G316"/>
    </row>
    <row r="317" spans="1:7" x14ac:dyDescent="0.25">
      <c r="A317">
        <v>311</v>
      </c>
      <c r="G317"/>
    </row>
    <row r="318" spans="1:7" x14ac:dyDescent="0.25">
      <c r="A318">
        <v>312</v>
      </c>
      <c r="G318"/>
    </row>
    <row r="319" spans="1:7" x14ac:dyDescent="0.25">
      <c r="A319">
        <v>313</v>
      </c>
      <c r="G319"/>
    </row>
    <row r="320" spans="1:7" x14ac:dyDescent="0.25">
      <c r="A320">
        <v>314</v>
      </c>
      <c r="G320"/>
    </row>
    <row r="321" spans="1:7" x14ac:dyDescent="0.25">
      <c r="A321">
        <v>315</v>
      </c>
      <c r="G321"/>
    </row>
    <row r="322" spans="1:7" x14ac:dyDescent="0.25">
      <c r="A322">
        <v>316</v>
      </c>
      <c r="G322"/>
    </row>
    <row r="323" spans="1:7" x14ac:dyDescent="0.25">
      <c r="A323">
        <v>317</v>
      </c>
      <c r="G323"/>
    </row>
    <row r="324" spans="1:7" x14ac:dyDescent="0.25">
      <c r="A324">
        <v>318</v>
      </c>
      <c r="G324"/>
    </row>
    <row r="325" spans="1:7" x14ac:dyDescent="0.25">
      <c r="A325">
        <v>319</v>
      </c>
      <c r="G325"/>
    </row>
    <row r="326" spans="1:7" x14ac:dyDescent="0.25">
      <c r="A326">
        <v>320</v>
      </c>
      <c r="G326"/>
    </row>
    <row r="327" spans="1:7" x14ac:dyDescent="0.25">
      <c r="A327">
        <v>321</v>
      </c>
      <c r="G327"/>
    </row>
    <row r="328" spans="1:7" x14ac:dyDescent="0.25">
      <c r="A328">
        <v>322</v>
      </c>
      <c r="G328"/>
    </row>
    <row r="329" spans="1:7" x14ac:dyDescent="0.25">
      <c r="A329">
        <v>323</v>
      </c>
      <c r="G329"/>
    </row>
    <row r="330" spans="1:7" x14ac:dyDescent="0.25">
      <c r="A330">
        <v>324</v>
      </c>
      <c r="G330"/>
    </row>
    <row r="331" spans="1:7" x14ac:dyDescent="0.25">
      <c r="A331">
        <v>325</v>
      </c>
      <c r="G331"/>
    </row>
    <row r="332" spans="1:7" x14ac:dyDescent="0.25">
      <c r="A332">
        <v>326</v>
      </c>
      <c r="G332"/>
    </row>
    <row r="333" spans="1:7" x14ac:dyDescent="0.25">
      <c r="A333">
        <v>327</v>
      </c>
      <c r="G333"/>
    </row>
    <row r="334" spans="1:7" x14ac:dyDescent="0.25">
      <c r="A334">
        <v>328</v>
      </c>
      <c r="G334"/>
    </row>
    <row r="335" spans="1:7" x14ac:dyDescent="0.25">
      <c r="A335">
        <v>329</v>
      </c>
      <c r="G335"/>
    </row>
    <row r="336" spans="1:7" x14ac:dyDescent="0.25">
      <c r="A336">
        <v>330</v>
      </c>
      <c r="G336"/>
    </row>
    <row r="337" spans="1:7" x14ac:dyDescent="0.25">
      <c r="A337">
        <v>331</v>
      </c>
      <c r="G337"/>
    </row>
    <row r="338" spans="1:7" x14ac:dyDescent="0.25">
      <c r="A338">
        <v>332</v>
      </c>
      <c r="G338"/>
    </row>
    <row r="339" spans="1:7" x14ac:dyDescent="0.25">
      <c r="A339">
        <v>333</v>
      </c>
      <c r="G339"/>
    </row>
    <row r="340" spans="1:7" x14ac:dyDescent="0.25">
      <c r="A340">
        <v>334</v>
      </c>
      <c r="G340"/>
    </row>
    <row r="341" spans="1:7" x14ac:dyDescent="0.25">
      <c r="A341">
        <v>335</v>
      </c>
      <c r="G341"/>
    </row>
    <row r="342" spans="1:7" x14ac:dyDescent="0.25">
      <c r="A342">
        <v>336</v>
      </c>
      <c r="G342"/>
    </row>
    <row r="343" spans="1:7" x14ac:dyDescent="0.25">
      <c r="A343">
        <v>337</v>
      </c>
      <c r="G343"/>
    </row>
    <row r="344" spans="1:7" x14ac:dyDescent="0.25">
      <c r="A344">
        <v>338</v>
      </c>
      <c r="G344"/>
    </row>
    <row r="345" spans="1:7" x14ac:dyDescent="0.25">
      <c r="A345">
        <v>339</v>
      </c>
      <c r="G345"/>
    </row>
    <row r="346" spans="1:7" x14ac:dyDescent="0.25">
      <c r="A346">
        <v>340</v>
      </c>
      <c r="G346"/>
    </row>
    <row r="347" spans="1:7" x14ac:dyDescent="0.25">
      <c r="A347">
        <v>341</v>
      </c>
      <c r="G347"/>
    </row>
    <row r="348" spans="1:7" x14ac:dyDescent="0.25">
      <c r="A348">
        <v>342</v>
      </c>
      <c r="G348"/>
    </row>
    <row r="349" spans="1:7" x14ac:dyDescent="0.25">
      <c r="A349">
        <v>343</v>
      </c>
      <c r="G349"/>
    </row>
    <row r="350" spans="1:7" x14ac:dyDescent="0.25">
      <c r="A350">
        <v>344</v>
      </c>
      <c r="G350"/>
    </row>
    <row r="351" spans="1:7" x14ac:dyDescent="0.25">
      <c r="A351">
        <v>345</v>
      </c>
      <c r="G351"/>
    </row>
    <row r="352" spans="1:7" x14ac:dyDescent="0.25">
      <c r="A352">
        <v>346</v>
      </c>
      <c r="G352"/>
    </row>
    <row r="353" spans="1:7" x14ac:dyDescent="0.25">
      <c r="A353">
        <v>347</v>
      </c>
      <c r="G353"/>
    </row>
    <row r="354" spans="1:7" x14ac:dyDescent="0.25">
      <c r="A354">
        <v>348</v>
      </c>
      <c r="G354"/>
    </row>
    <row r="355" spans="1:7" x14ac:dyDescent="0.25">
      <c r="A355">
        <v>349</v>
      </c>
      <c r="G355"/>
    </row>
    <row r="356" spans="1:7" x14ac:dyDescent="0.25">
      <c r="A356">
        <v>350</v>
      </c>
      <c r="G356"/>
    </row>
    <row r="357" spans="1:7" x14ac:dyDescent="0.25">
      <c r="A357">
        <v>351</v>
      </c>
      <c r="G357"/>
    </row>
    <row r="358" spans="1:7" x14ac:dyDescent="0.25">
      <c r="A358">
        <v>352</v>
      </c>
      <c r="G358"/>
    </row>
    <row r="359" spans="1:7" x14ac:dyDescent="0.25">
      <c r="A359">
        <v>353</v>
      </c>
      <c r="G359"/>
    </row>
    <row r="360" spans="1:7" x14ac:dyDescent="0.25">
      <c r="A360">
        <v>354</v>
      </c>
      <c r="G360"/>
    </row>
    <row r="361" spans="1:7" x14ac:dyDescent="0.25">
      <c r="A361">
        <v>355</v>
      </c>
      <c r="G361"/>
    </row>
    <row r="362" spans="1:7" x14ac:dyDescent="0.25">
      <c r="A362">
        <v>356</v>
      </c>
      <c r="G362"/>
    </row>
    <row r="363" spans="1:7" x14ac:dyDescent="0.25">
      <c r="A363">
        <v>357</v>
      </c>
      <c r="G363"/>
    </row>
    <row r="364" spans="1:7" x14ac:dyDescent="0.25">
      <c r="A364">
        <v>358</v>
      </c>
      <c r="G364"/>
    </row>
    <row r="365" spans="1:7" x14ac:dyDescent="0.25">
      <c r="A365">
        <v>359</v>
      </c>
      <c r="G365"/>
    </row>
    <row r="366" spans="1:7" x14ac:dyDescent="0.25">
      <c r="A366">
        <v>360</v>
      </c>
      <c r="G366"/>
    </row>
    <row r="367" spans="1:7" x14ac:dyDescent="0.25">
      <c r="A367">
        <v>361</v>
      </c>
      <c r="G367"/>
    </row>
    <row r="368" spans="1:7" x14ac:dyDescent="0.25">
      <c r="A368">
        <v>362</v>
      </c>
      <c r="G368"/>
    </row>
    <row r="369" spans="1:7" x14ac:dyDescent="0.25">
      <c r="A369">
        <v>363</v>
      </c>
      <c r="G369"/>
    </row>
    <row r="370" spans="1:7" x14ac:dyDescent="0.25">
      <c r="A370">
        <v>364</v>
      </c>
      <c r="G370"/>
    </row>
    <row r="371" spans="1:7" x14ac:dyDescent="0.25">
      <c r="A371">
        <v>365</v>
      </c>
      <c r="G371"/>
    </row>
    <row r="372" spans="1:7" x14ac:dyDescent="0.25">
      <c r="A372">
        <v>366</v>
      </c>
      <c r="G372"/>
    </row>
    <row r="373" spans="1:7" x14ac:dyDescent="0.25">
      <c r="A373">
        <v>367</v>
      </c>
      <c r="G373"/>
    </row>
    <row r="374" spans="1:7" x14ac:dyDescent="0.25">
      <c r="A374">
        <v>368</v>
      </c>
      <c r="G374"/>
    </row>
    <row r="375" spans="1:7" x14ac:dyDescent="0.25">
      <c r="A375">
        <v>369</v>
      </c>
      <c r="G375"/>
    </row>
    <row r="376" spans="1:7" x14ac:dyDescent="0.25">
      <c r="A376">
        <v>370</v>
      </c>
      <c r="G376"/>
    </row>
    <row r="377" spans="1:7" x14ac:dyDescent="0.25">
      <c r="A377">
        <v>371</v>
      </c>
      <c r="G377"/>
    </row>
    <row r="378" spans="1:7" x14ac:dyDescent="0.25">
      <c r="A378">
        <v>372</v>
      </c>
      <c r="G378"/>
    </row>
    <row r="379" spans="1:7" x14ac:dyDescent="0.25">
      <c r="A379">
        <v>373</v>
      </c>
      <c r="G379"/>
    </row>
    <row r="380" spans="1:7" x14ac:dyDescent="0.25">
      <c r="A380">
        <v>374</v>
      </c>
      <c r="G380"/>
    </row>
    <row r="381" spans="1:7" x14ac:dyDescent="0.25">
      <c r="A381">
        <v>375</v>
      </c>
      <c r="G381"/>
    </row>
    <row r="382" spans="1:7" x14ac:dyDescent="0.25">
      <c r="A382">
        <v>376</v>
      </c>
      <c r="G382"/>
    </row>
    <row r="383" spans="1:7" x14ac:dyDescent="0.25">
      <c r="A383">
        <v>377</v>
      </c>
      <c r="G383"/>
    </row>
    <row r="384" spans="1:7" x14ac:dyDescent="0.25">
      <c r="A384">
        <v>378</v>
      </c>
      <c r="G384"/>
    </row>
    <row r="385" spans="1:7" x14ac:dyDescent="0.25">
      <c r="A385">
        <v>379</v>
      </c>
      <c r="G385"/>
    </row>
    <row r="386" spans="1:7" x14ac:dyDescent="0.25">
      <c r="A386">
        <v>380</v>
      </c>
      <c r="G386"/>
    </row>
    <row r="387" spans="1:7" x14ac:dyDescent="0.25">
      <c r="A387">
        <v>381</v>
      </c>
      <c r="G387"/>
    </row>
    <row r="388" spans="1:7" x14ac:dyDescent="0.25">
      <c r="A388">
        <v>382</v>
      </c>
      <c r="G388"/>
    </row>
    <row r="389" spans="1:7" x14ac:dyDescent="0.25">
      <c r="A389">
        <v>383</v>
      </c>
      <c r="G389"/>
    </row>
    <row r="390" spans="1:7" x14ac:dyDescent="0.25">
      <c r="A390">
        <v>384</v>
      </c>
      <c r="G390"/>
    </row>
    <row r="391" spans="1:7" x14ac:dyDescent="0.25">
      <c r="A391">
        <v>385</v>
      </c>
      <c r="G391"/>
    </row>
    <row r="392" spans="1:7" x14ac:dyDescent="0.25">
      <c r="A392">
        <v>386</v>
      </c>
      <c r="G392"/>
    </row>
    <row r="393" spans="1:7" x14ac:dyDescent="0.25">
      <c r="A393">
        <v>387</v>
      </c>
      <c r="G393"/>
    </row>
    <row r="394" spans="1:7" x14ac:dyDescent="0.25">
      <c r="A394">
        <v>388</v>
      </c>
      <c r="G394"/>
    </row>
    <row r="395" spans="1:7" x14ac:dyDescent="0.25">
      <c r="A395">
        <v>389</v>
      </c>
      <c r="G395"/>
    </row>
    <row r="396" spans="1:7" x14ac:dyDescent="0.25">
      <c r="A396">
        <v>390</v>
      </c>
      <c r="G396"/>
    </row>
    <row r="397" spans="1:7" x14ac:dyDescent="0.25">
      <c r="A397">
        <v>391</v>
      </c>
      <c r="G397"/>
    </row>
    <row r="398" spans="1:7" x14ac:dyDescent="0.25">
      <c r="A398">
        <v>392</v>
      </c>
      <c r="G398"/>
    </row>
    <row r="399" spans="1:7" x14ac:dyDescent="0.25">
      <c r="A399">
        <v>393</v>
      </c>
      <c r="G399"/>
    </row>
    <row r="400" spans="1:7" x14ac:dyDescent="0.25">
      <c r="A400">
        <v>394</v>
      </c>
      <c r="G400"/>
    </row>
    <row r="401" spans="1:7" x14ac:dyDescent="0.25">
      <c r="A401">
        <v>395</v>
      </c>
      <c r="G401"/>
    </row>
    <row r="402" spans="1:7" x14ac:dyDescent="0.25">
      <c r="A402">
        <v>396</v>
      </c>
      <c r="G402"/>
    </row>
    <row r="403" spans="1:7" x14ac:dyDescent="0.25">
      <c r="A403">
        <v>397</v>
      </c>
      <c r="G403"/>
    </row>
    <row r="404" spans="1:7" x14ac:dyDescent="0.25">
      <c r="A404">
        <v>398</v>
      </c>
      <c r="G404"/>
    </row>
    <row r="405" spans="1:7" x14ac:dyDescent="0.25">
      <c r="A405">
        <v>399</v>
      </c>
      <c r="G405"/>
    </row>
    <row r="406" spans="1:7" x14ac:dyDescent="0.25">
      <c r="A406">
        <v>400</v>
      </c>
      <c r="G406"/>
    </row>
    <row r="407" spans="1:7" x14ac:dyDescent="0.25">
      <c r="A407">
        <v>401</v>
      </c>
      <c r="G407"/>
    </row>
    <row r="408" spans="1:7" x14ac:dyDescent="0.25">
      <c r="A408">
        <v>402</v>
      </c>
      <c r="G408"/>
    </row>
    <row r="409" spans="1:7" x14ac:dyDescent="0.25">
      <c r="A409">
        <v>403</v>
      </c>
      <c r="G409"/>
    </row>
    <row r="410" spans="1:7" x14ac:dyDescent="0.25">
      <c r="A410">
        <v>404</v>
      </c>
      <c r="G410"/>
    </row>
    <row r="411" spans="1:7" x14ac:dyDescent="0.25">
      <c r="A411">
        <v>405</v>
      </c>
      <c r="G411"/>
    </row>
    <row r="412" spans="1:7" x14ac:dyDescent="0.25">
      <c r="A412">
        <v>406</v>
      </c>
      <c r="G412"/>
    </row>
    <row r="413" spans="1:7" x14ac:dyDescent="0.25">
      <c r="A413">
        <v>407</v>
      </c>
      <c r="G413"/>
    </row>
    <row r="414" spans="1:7" x14ac:dyDescent="0.25">
      <c r="A414">
        <v>408</v>
      </c>
      <c r="G414"/>
    </row>
    <row r="415" spans="1:7" x14ac:dyDescent="0.25">
      <c r="A415">
        <v>409</v>
      </c>
      <c r="G415"/>
    </row>
    <row r="416" spans="1:7" x14ac:dyDescent="0.25">
      <c r="A416">
        <v>410</v>
      </c>
      <c r="G416"/>
    </row>
    <row r="417" spans="1:7" x14ac:dyDescent="0.25">
      <c r="A417">
        <v>411</v>
      </c>
      <c r="G417"/>
    </row>
    <row r="418" spans="1:7" x14ac:dyDescent="0.25">
      <c r="A418">
        <v>412</v>
      </c>
      <c r="G418"/>
    </row>
    <row r="419" spans="1:7" x14ac:dyDescent="0.25">
      <c r="A419">
        <v>413</v>
      </c>
      <c r="G419"/>
    </row>
    <row r="420" spans="1:7" x14ac:dyDescent="0.25">
      <c r="A420">
        <v>414</v>
      </c>
      <c r="G420"/>
    </row>
    <row r="421" spans="1:7" x14ac:dyDescent="0.25">
      <c r="G421"/>
    </row>
    <row r="422" spans="1:7" x14ac:dyDescent="0.25">
      <c r="G422"/>
    </row>
    <row r="423" spans="1:7" x14ac:dyDescent="0.25">
      <c r="G423"/>
    </row>
    <row r="424" spans="1:7" x14ac:dyDescent="0.25">
      <c r="G424"/>
    </row>
    <row r="425" spans="1:7" x14ac:dyDescent="0.25">
      <c r="G425"/>
    </row>
    <row r="426" spans="1:7" x14ac:dyDescent="0.25">
      <c r="G426"/>
    </row>
    <row r="427" spans="1:7" x14ac:dyDescent="0.25">
      <c r="G427"/>
    </row>
    <row r="428" spans="1:7" x14ac:dyDescent="0.25">
      <c r="G428"/>
    </row>
    <row r="429" spans="1:7" x14ac:dyDescent="0.25">
      <c r="G429"/>
    </row>
    <row r="430" spans="1:7" x14ac:dyDescent="0.25">
      <c r="G430"/>
    </row>
    <row r="431" spans="1:7" x14ac:dyDescent="0.25">
      <c r="G431"/>
    </row>
    <row r="432" spans="1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D4A14-6E82-4616-A1FE-6B22B6C3D944}">
  <sheetPr>
    <tabColor theme="6" tint="-0.499984740745262"/>
  </sheetPr>
  <dimension ref="A2:I529"/>
  <sheetViews>
    <sheetView workbookViewId="0">
      <selection activeCell="D35" sqref="D35"/>
    </sheetView>
  </sheetViews>
  <sheetFormatPr baseColWidth="10" defaultRowHeight="15" x14ac:dyDescent="0.25"/>
  <cols>
    <col min="2" max="2" width="28" customWidth="1"/>
    <col min="3" max="3" width="44.28515625" customWidth="1"/>
    <col min="4" max="4" width="8" bestFit="1" customWidth="1"/>
    <col min="5" max="5" width="12.5703125" bestFit="1" customWidth="1"/>
    <col min="6" max="6" width="18" bestFit="1" customWidth="1"/>
    <col min="7" max="7" width="17.140625" style="6" bestFit="1" customWidth="1"/>
    <col min="8" max="8" width="20.5703125" bestFit="1" customWidth="1"/>
    <col min="9" max="9" width="14.42578125" bestFit="1" customWidth="1"/>
  </cols>
  <sheetData>
    <row r="2" spans="1:9" x14ac:dyDescent="0.25">
      <c r="B2" s="2" t="s">
        <v>27</v>
      </c>
      <c r="C2" t="s">
        <v>57</v>
      </c>
    </row>
    <row r="3" spans="1:9" x14ac:dyDescent="0.25">
      <c r="B3" s="2" t="s">
        <v>31</v>
      </c>
      <c r="C3" t="s">
        <v>52</v>
      </c>
    </row>
    <row r="4" spans="1:9" x14ac:dyDescent="0.25">
      <c r="G4"/>
    </row>
    <row r="5" spans="1:9" x14ac:dyDescent="0.25">
      <c r="F5" s="2" t="s">
        <v>4438</v>
      </c>
      <c r="G5"/>
    </row>
    <row r="6" spans="1:9" x14ac:dyDescent="0.25">
      <c r="B6" s="2" t="s">
        <v>0</v>
      </c>
      <c r="C6" s="2" t="s">
        <v>42</v>
      </c>
      <c r="D6" s="2" t="s">
        <v>24</v>
      </c>
      <c r="E6" s="2" t="s">
        <v>26</v>
      </c>
      <c r="F6" t="s">
        <v>4439</v>
      </c>
      <c r="G6" t="s">
        <v>4440</v>
      </c>
      <c r="H6" t="s">
        <v>4441</v>
      </c>
      <c r="I6" t="s">
        <v>4434</v>
      </c>
    </row>
    <row r="7" spans="1:9" x14ac:dyDescent="0.25">
      <c r="A7">
        <v>1</v>
      </c>
      <c r="B7" t="s">
        <v>3573</v>
      </c>
      <c r="C7" t="s">
        <v>653</v>
      </c>
      <c r="D7" t="s">
        <v>98</v>
      </c>
      <c r="E7">
        <v>67</v>
      </c>
      <c r="F7" s="4">
        <v>88</v>
      </c>
      <c r="G7" s="4">
        <v>110</v>
      </c>
      <c r="H7" s="4">
        <v>198</v>
      </c>
      <c r="I7" s="7">
        <v>285.5</v>
      </c>
    </row>
    <row r="8" spans="1:9" x14ac:dyDescent="0.25">
      <c r="A8">
        <v>2</v>
      </c>
      <c r="B8" t="s">
        <v>3123</v>
      </c>
      <c r="C8" t="s">
        <v>419</v>
      </c>
      <c r="D8" t="s">
        <v>184</v>
      </c>
      <c r="E8">
        <v>55</v>
      </c>
      <c r="F8" s="4">
        <v>76</v>
      </c>
      <c r="G8" s="4">
        <v>94</v>
      </c>
      <c r="H8" s="4">
        <v>170</v>
      </c>
      <c r="I8" s="7">
        <v>282.70999999999998</v>
      </c>
    </row>
    <row r="9" spans="1:9" x14ac:dyDescent="0.25">
      <c r="A9">
        <v>3</v>
      </c>
      <c r="B9" t="s">
        <v>2492</v>
      </c>
      <c r="C9" t="s">
        <v>271</v>
      </c>
      <c r="D9" t="s">
        <v>94</v>
      </c>
      <c r="E9">
        <v>67</v>
      </c>
      <c r="F9" s="4">
        <v>85</v>
      </c>
      <c r="G9" s="4">
        <v>100</v>
      </c>
      <c r="H9" s="4">
        <v>185</v>
      </c>
      <c r="I9" s="7">
        <v>276.97000000000003</v>
      </c>
    </row>
    <row r="10" spans="1:9" x14ac:dyDescent="0.25">
      <c r="A10">
        <v>4</v>
      </c>
      <c r="B10" t="s">
        <v>4215</v>
      </c>
      <c r="C10" t="s">
        <v>687</v>
      </c>
      <c r="D10" t="s">
        <v>98</v>
      </c>
      <c r="E10">
        <v>55</v>
      </c>
      <c r="F10" s="4">
        <v>65</v>
      </c>
      <c r="G10" s="4">
        <v>85</v>
      </c>
      <c r="H10" s="4">
        <v>150</v>
      </c>
      <c r="I10" s="7">
        <v>248.03</v>
      </c>
    </row>
    <row r="11" spans="1:9" x14ac:dyDescent="0.25">
      <c r="A11">
        <v>5</v>
      </c>
      <c r="B11" t="s">
        <v>3096</v>
      </c>
      <c r="C11" t="s">
        <v>638</v>
      </c>
      <c r="D11" t="s">
        <v>94</v>
      </c>
      <c r="E11">
        <v>55</v>
      </c>
      <c r="F11" s="4">
        <v>60</v>
      </c>
      <c r="G11" s="4">
        <v>80</v>
      </c>
      <c r="H11" s="4">
        <v>140</v>
      </c>
      <c r="I11" s="7">
        <v>241.21</v>
      </c>
    </row>
    <row r="12" spans="1:9" x14ac:dyDescent="0.25">
      <c r="A12">
        <v>6</v>
      </c>
      <c r="B12" t="s">
        <v>3131</v>
      </c>
      <c r="C12" t="s">
        <v>469</v>
      </c>
      <c r="D12" t="s">
        <v>89</v>
      </c>
      <c r="E12">
        <v>89</v>
      </c>
      <c r="F12" s="4">
        <v>88</v>
      </c>
      <c r="G12" s="4">
        <v>106</v>
      </c>
      <c r="H12" s="4">
        <v>194</v>
      </c>
      <c r="I12" s="7">
        <v>237.29</v>
      </c>
    </row>
    <row r="13" spans="1:9" x14ac:dyDescent="0.25">
      <c r="A13">
        <v>7</v>
      </c>
      <c r="B13" t="s">
        <v>3163</v>
      </c>
      <c r="C13" t="s">
        <v>787</v>
      </c>
      <c r="D13" t="s">
        <v>89</v>
      </c>
      <c r="E13">
        <v>67</v>
      </c>
      <c r="F13" s="4">
        <v>66</v>
      </c>
      <c r="G13" s="4">
        <v>92</v>
      </c>
      <c r="H13" s="4">
        <v>158</v>
      </c>
      <c r="I13" s="7">
        <v>226.96</v>
      </c>
    </row>
    <row r="14" spans="1:9" x14ac:dyDescent="0.25">
      <c r="A14">
        <v>8</v>
      </c>
      <c r="B14" t="s">
        <v>3318</v>
      </c>
      <c r="C14" t="s">
        <v>70</v>
      </c>
      <c r="D14" t="s">
        <v>89</v>
      </c>
      <c r="E14">
        <v>61</v>
      </c>
      <c r="F14" s="4">
        <v>65</v>
      </c>
      <c r="G14" s="4">
        <v>81</v>
      </c>
      <c r="H14" s="4">
        <v>146</v>
      </c>
      <c r="I14" s="7">
        <v>222.45</v>
      </c>
    </row>
    <row r="15" spans="1:9" x14ac:dyDescent="0.25">
      <c r="A15">
        <v>9</v>
      </c>
      <c r="B15" t="s">
        <v>2115</v>
      </c>
      <c r="C15" t="s">
        <v>255</v>
      </c>
      <c r="D15" t="s">
        <v>89</v>
      </c>
      <c r="E15">
        <v>61</v>
      </c>
      <c r="F15" s="4">
        <v>64</v>
      </c>
      <c r="G15" s="4">
        <v>74</v>
      </c>
      <c r="H15" s="4">
        <v>138</v>
      </c>
      <c r="I15" s="7">
        <v>213.09</v>
      </c>
    </row>
    <row r="16" spans="1:9" x14ac:dyDescent="0.25">
      <c r="A16">
        <v>10</v>
      </c>
      <c r="B16" t="s">
        <v>2599</v>
      </c>
      <c r="C16" t="s">
        <v>1258</v>
      </c>
      <c r="D16" t="s">
        <v>89</v>
      </c>
      <c r="E16">
        <v>61</v>
      </c>
      <c r="F16" s="4">
        <v>61</v>
      </c>
      <c r="G16" s="4">
        <v>69</v>
      </c>
      <c r="H16" s="4">
        <v>130</v>
      </c>
      <c r="I16" s="7">
        <v>199.26</v>
      </c>
    </row>
    <row r="17" spans="1:9" x14ac:dyDescent="0.25">
      <c r="A17">
        <v>11</v>
      </c>
      <c r="B17" t="s">
        <v>2251</v>
      </c>
      <c r="C17" t="s">
        <v>161</v>
      </c>
      <c r="D17" t="s">
        <v>93</v>
      </c>
      <c r="E17">
        <v>73</v>
      </c>
      <c r="F17" s="4">
        <v>60</v>
      </c>
      <c r="G17" s="4">
        <v>82</v>
      </c>
      <c r="H17" s="4">
        <v>142</v>
      </c>
      <c r="I17" s="7">
        <v>197.77</v>
      </c>
    </row>
    <row r="18" spans="1:9" x14ac:dyDescent="0.25">
      <c r="A18">
        <v>12</v>
      </c>
      <c r="B18" t="s">
        <v>3250</v>
      </c>
      <c r="C18" t="s">
        <v>541</v>
      </c>
      <c r="D18" t="s">
        <v>89</v>
      </c>
      <c r="E18">
        <v>55</v>
      </c>
      <c r="F18" s="4">
        <v>50</v>
      </c>
      <c r="G18" s="4">
        <v>65</v>
      </c>
      <c r="H18" s="4">
        <v>115</v>
      </c>
      <c r="I18" s="7">
        <v>191.98</v>
      </c>
    </row>
    <row r="19" spans="1:9" x14ac:dyDescent="0.25">
      <c r="A19">
        <v>13</v>
      </c>
      <c r="B19" t="s">
        <v>4397</v>
      </c>
      <c r="C19" t="s">
        <v>469</v>
      </c>
      <c r="D19" t="s">
        <v>89</v>
      </c>
      <c r="E19">
        <v>55</v>
      </c>
      <c r="F19" s="4">
        <v>50</v>
      </c>
      <c r="G19" s="4">
        <v>65</v>
      </c>
      <c r="H19" s="4">
        <v>115</v>
      </c>
      <c r="I19" s="7">
        <v>191.27</v>
      </c>
    </row>
    <row r="20" spans="1:9" x14ac:dyDescent="0.25">
      <c r="A20">
        <v>14</v>
      </c>
      <c r="B20" t="s">
        <v>3842</v>
      </c>
      <c r="C20" t="s">
        <v>47</v>
      </c>
      <c r="D20" t="s">
        <v>93</v>
      </c>
      <c r="E20">
        <v>49</v>
      </c>
      <c r="F20" s="4">
        <v>38</v>
      </c>
      <c r="G20" s="4">
        <v>50</v>
      </c>
      <c r="H20" s="4">
        <v>88</v>
      </c>
      <c r="I20" s="7">
        <v>186.15</v>
      </c>
    </row>
    <row r="21" spans="1:9" x14ac:dyDescent="0.25">
      <c r="A21">
        <v>15</v>
      </c>
      <c r="B21" t="s">
        <v>2156</v>
      </c>
      <c r="C21" t="s">
        <v>639</v>
      </c>
      <c r="D21" t="s">
        <v>89</v>
      </c>
      <c r="E21">
        <v>49</v>
      </c>
      <c r="F21" s="4">
        <v>45</v>
      </c>
      <c r="G21" s="4">
        <v>55</v>
      </c>
      <c r="H21" s="4">
        <v>100</v>
      </c>
      <c r="I21" s="7">
        <v>182.64</v>
      </c>
    </row>
    <row r="22" spans="1:9" x14ac:dyDescent="0.25">
      <c r="A22">
        <v>16</v>
      </c>
      <c r="B22" t="s">
        <v>4358</v>
      </c>
      <c r="C22" t="s">
        <v>258</v>
      </c>
      <c r="D22" t="s">
        <v>93</v>
      </c>
      <c r="E22">
        <v>61</v>
      </c>
      <c r="F22" s="4">
        <v>56</v>
      </c>
      <c r="G22" s="4">
        <v>60</v>
      </c>
      <c r="H22" s="4">
        <v>116</v>
      </c>
      <c r="I22" s="7">
        <v>180.92</v>
      </c>
    </row>
    <row r="23" spans="1:9" x14ac:dyDescent="0.25">
      <c r="A23">
        <v>17</v>
      </c>
      <c r="B23" t="s">
        <v>4240</v>
      </c>
      <c r="C23" t="s">
        <v>329</v>
      </c>
      <c r="D23" t="s">
        <v>93</v>
      </c>
      <c r="E23">
        <v>61</v>
      </c>
      <c r="F23" s="4">
        <v>55</v>
      </c>
      <c r="G23" s="4">
        <v>62</v>
      </c>
      <c r="H23" s="4">
        <v>117</v>
      </c>
      <c r="I23" s="7">
        <v>178.73</v>
      </c>
    </row>
    <row r="24" spans="1:9" x14ac:dyDescent="0.25">
      <c r="A24">
        <v>18</v>
      </c>
      <c r="B24" t="s">
        <v>2644</v>
      </c>
      <c r="C24" t="s">
        <v>47</v>
      </c>
      <c r="D24" t="s">
        <v>93</v>
      </c>
      <c r="E24">
        <v>49</v>
      </c>
      <c r="F24" s="4">
        <v>41</v>
      </c>
      <c r="G24" s="4">
        <v>55</v>
      </c>
      <c r="H24" s="4">
        <v>96</v>
      </c>
      <c r="I24" s="7">
        <v>173.63</v>
      </c>
    </row>
    <row r="25" spans="1:9" x14ac:dyDescent="0.25">
      <c r="A25">
        <v>19</v>
      </c>
      <c r="B25" t="s">
        <v>3601</v>
      </c>
      <c r="C25" t="s">
        <v>602</v>
      </c>
      <c r="D25" t="s">
        <v>93</v>
      </c>
      <c r="E25">
        <v>49</v>
      </c>
      <c r="F25" s="4">
        <v>38</v>
      </c>
      <c r="G25" s="4">
        <v>50</v>
      </c>
      <c r="H25" s="4">
        <v>88</v>
      </c>
      <c r="I25" s="7">
        <v>169.62</v>
      </c>
    </row>
    <row r="26" spans="1:9" x14ac:dyDescent="0.25">
      <c r="A26">
        <v>20</v>
      </c>
      <c r="B26" t="s">
        <v>4272</v>
      </c>
      <c r="C26" t="s">
        <v>2910</v>
      </c>
      <c r="D26" t="s">
        <v>56</v>
      </c>
      <c r="E26">
        <v>55</v>
      </c>
      <c r="F26" s="4">
        <v>37</v>
      </c>
      <c r="G26" s="4">
        <v>46</v>
      </c>
      <c r="H26" s="4">
        <v>83</v>
      </c>
      <c r="I26" s="7">
        <v>142.1</v>
      </c>
    </row>
    <row r="27" spans="1:9" x14ac:dyDescent="0.25">
      <c r="A27">
        <v>21</v>
      </c>
      <c r="B27" t="s">
        <v>3855</v>
      </c>
      <c r="C27" t="s">
        <v>602</v>
      </c>
      <c r="D27" t="s">
        <v>56</v>
      </c>
      <c r="E27">
        <v>49</v>
      </c>
      <c r="F27" s="4">
        <v>28</v>
      </c>
      <c r="G27" s="4">
        <v>34</v>
      </c>
      <c r="H27" s="4">
        <v>62</v>
      </c>
      <c r="I27" s="7">
        <v>120.47</v>
      </c>
    </row>
    <row r="28" spans="1:9" x14ac:dyDescent="0.25">
      <c r="A28">
        <v>22</v>
      </c>
      <c r="B28" t="s">
        <v>3303</v>
      </c>
      <c r="C28" t="s">
        <v>2910</v>
      </c>
      <c r="D28" t="s">
        <v>49</v>
      </c>
      <c r="E28">
        <v>73</v>
      </c>
      <c r="F28" s="4">
        <v>28</v>
      </c>
      <c r="G28" s="4">
        <v>35</v>
      </c>
      <c r="H28" s="4">
        <v>63</v>
      </c>
      <c r="I28" s="7">
        <v>88.49</v>
      </c>
    </row>
    <row r="29" spans="1:9" x14ac:dyDescent="0.25">
      <c r="A29">
        <v>23</v>
      </c>
      <c r="B29" t="s">
        <v>4433</v>
      </c>
      <c r="F29" s="4">
        <v>1244</v>
      </c>
      <c r="G29" s="4">
        <v>1550</v>
      </c>
      <c r="H29" s="4">
        <v>2794</v>
      </c>
      <c r="I29" s="7">
        <v>4437.24</v>
      </c>
    </row>
    <row r="30" spans="1:9" x14ac:dyDescent="0.25">
      <c r="A30">
        <v>24</v>
      </c>
      <c r="G30"/>
    </row>
    <row r="31" spans="1:9" x14ac:dyDescent="0.25">
      <c r="A31">
        <v>25</v>
      </c>
      <c r="G31"/>
    </row>
    <row r="32" spans="1:9" x14ac:dyDescent="0.25">
      <c r="A32">
        <v>26</v>
      </c>
      <c r="G32"/>
    </row>
    <row r="33" spans="1:7" x14ac:dyDescent="0.25">
      <c r="A33">
        <v>27</v>
      </c>
      <c r="G33"/>
    </row>
    <row r="34" spans="1:7" x14ac:dyDescent="0.25">
      <c r="A34">
        <v>28</v>
      </c>
      <c r="G34"/>
    </row>
    <row r="35" spans="1:7" x14ac:dyDescent="0.25">
      <c r="A35">
        <v>29</v>
      </c>
      <c r="G35"/>
    </row>
    <row r="36" spans="1:7" x14ac:dyDescent="0.25">
      <c r="A36">
        <v>30</v>
      </c>
      <c r="G36"/>
    </row>
    <row r="37" spans="1:7" x14ac:dyDescent="0.25">
      <c r="A37">
        <v>31</v>
      </c>
      <c r="G37"/>
    </row>
    <row r="38" spans="1:7" x14ac:dyDescent="0.25">
      <c r="A38">
        <v>32</v>
      </c>
      <c r="G38"/>
    </row>
    <row r="39" spans="1:7" x14ac:dyDescent="0.25">
      <c r="A39">
        <v>33</v>
      </c>
      <c r="G39"/>
    </row>
    <row r="40" spans="1:7" x14ac:dyDescent="0.25">
      <c r="A40">
        <v>34</v>
      </c>
      <c r="G40"/>
    </row>
    <row r="41" spans="1:7" x14ac:dyDescent="0.25">
      <c r="A41">
        <v>35</v>
      </c>
      <c r="G41"/>
    </row>
    <row r="42" spans="1:7" x14ac:dyDescent="0.25">
      <c r="A42">
        <v>36</v>
      </c>
      <c r="G42"/>
    </row>
    <row r="43" spans="1:7" x14ac:dyDescent="0.25">
      <c r="A43">
        <v>37</v>
      </c>
      <c r="G43"/>
    </row>
    <row r="44" spans="1:7" x14ac:dyDescent="0.25">
      <c r="A44">
        <v>38</v>
      </c>
      <c r="G44"/>
    </row>
    <row r="45" spans="1:7" x14ac:dyDescent="0.25">
      <c r="A45">
        <v>39</v>
      </c>
      <c r="G45"/>
    </row>
    <row r="46" spans="1:7" x14ac:dyDescent="0.25">
      <c r="A46">
        <v>40</v>
      </c>
      <c r="G46"/>
    </row>
    <row r="47" spans="1:7" x14ac:dyDescent="0.25">
      <c r="A47">
        <v>41</v>
      </c>
      <c r="G47"/>
    </row>
    <row r="48" spans="1:7" x14ac:dyDescent="0.25">
      <c r="A48">
        <v>42</v>
      </c>
      <c r="G48"/>
    </row>
    <row r="49" spans="1:7" x14ac:dyDescent="0.25">
      <c r="A49">
        <v>43</v>
      </c>
      <c r="G49"/>
    </row>
    <row r="50" spans="1:7" x14ac:dyDescent="0.25">
      <c r="A50">
        <v>44</v>
      </c>
      <c r="G50"/>
    </row>
    <row r="51" spans="1:7" x14ac:dyDescent="0.25">
      <c r="A51">
        <v>45</v>
      </c>
      <c r="G51"/>
    </row>
    <row r="52" spans="1:7" x14ac:dyDescent="0.25">
      <c r="A52">
        <v>46</v>
      </c>
      <c r="G52"/>
    </row>
    <row r="53" spans="1:7" x14ac:dyDescent="0.25">
      <c r="A53">
        <v>47</v>
      </c>
      <c r="G53"/>
    </row>
    <row r="54" spans="1:7" x14ac:dyDescent="0.25">
      <c r="A54">
        <v>48</v>
      </c>
      <c r="G54"/>
    </row>
    <row r="55" spans="1:7" x14ac:dyDescent="0.25">
      <c r="A55">
        <v>49</v>
      </c>
      <c r="G55"/>
    </row>
    <row r="56" spans="1:7" x14ac:dyDescent="0.25">
      <c r="A56">
        <v>50</v>
      </c>
      <c r="G56"/>
    </row>
    <row r="57" spans="1:7" x14ac:dyDescent="0.25">
      <c r="A57">
        <v>51</v>
      </c>
      <c r="G57"/>
    </row>
    <row r="58" spans="1:7" x14ac:dyDescent="0.25">
      <c r="A58">
        <v>52</v>
      </c>
      <c r="G58"/>
    </row>
    <row r="59" spans="1:7" x14ac:dyDescent="0.25">
      <c r="A59">
        <v>53</v>
      </c>
      <c r="G59"/>
    </row>
    <row r="60" spans="1:7" x14ac:dyDescent="0.25">
      <c r="A60">
        <v>54</v>
      </c>
      <c r="G60"/>
    </row>
    <row r="61" spans="1:7" x14ac:dyDescent="0.25">
      <c r="A61">
        <v>55</v>
      </c>
      <c r="G61"/>
    </row>
    <row r="62" spans="1:7" x14ac:dyDescent="0.25">
      <c r="A62">
        <v>56</v>
      </c>
      <c r="G62"/>
    </row>
    <row r="63" spans="1:7" x14ac:dyDescent="0.25">
      <c r="A63">
        <v>57</v>
      </c>
      <c r="G63"/>
    </row>
    <row r="64" spans="1:7" x14ac:dyDescent="0.25">
      <c r="A64">
        <v>58</v>
      </c>
      <c r="G64"/>
    </row>
    <row r="65" spans="1:7" x14ac:dyDescent="0.25">
      <c r="A65">
        <v>59</v>
      </c>
      <c r="G65"/>
    </row>
    <row r="66" spans="1:7" x14ac:dyDescent="0.25">
      <c r="A66">
        <v>60</v>
      </c>
      <c r="G66"/>
    </row>
    <row r="67" spans="1:7" x14ac:dyDescent="0.25">
      <c r="A67">
        <v>61</v>
      </c>
      <c r="G67"/>
    </row>
    <row r="68" spans="1:7" x14ac:dyDescent="0.25">
      <c r="A68">
        <v>62</v>
      </c>
      <c r="G68"/>
    </row>
    <row r="69" spans="1:7" x14ac:dyDescent="0.25">
      <c r="A69">
        <v>63</v>
      </c>
      <c r="G69"/>
    </row>
    <row r="70" spans="1:7" x14ac:dyDescent="0.25">
      <c r="A70">
        <v>64</v>
      </c>
      <c r="G70"/>
    </row>
    <row r="71" spans="1:7" x14ac:dyDescent="0.25">
      <c r="A71">
        <v>65</v>
      </c>
      <c r="G71"/>
    </row>
    <row r="72" spans="1:7" x14ac:dyDescent="0.25">
      <c r="A72">
        <v>66</v>
      </c>
      <c r="G72"/>
    </row>
    <row r="73" spans="1:7" x14ac:dyDescent="0.25">
      <c r="A73">
        <v>67</v>
      </c>
      <c r="G73"/>
    </row>
    <row r="74" spans="1:7" x14ac:dyDescent="0.25">
      <c r="A74">
        <v>68</v>
      </c>
      <c r="G74"/>
    </row>
    <row r="75" spans="1:7" x14ac:dyDescent="0.25">
      <c r="A75">
        <v>69</v>
      </c>
      <c r="G75"/>
    </row>
    <row r="76" spans="1:7" x14ac:dyDescent="0.25">
      <c r="A76">
        <v>70</v>
      </c>
      <c r="G76"/>
    </row>
    <row r="77" spans="1:7" x14ac:dyDescent="0.25">
      <c r="A77">
        <v>71</v>
      </c>
      <c r="G77"/>
    </row>
    <row r="78" spans="1:7" x14ac:dyDescent="0.25">
      <c r="A78">
        <v>72</v>
      </c>
      <c r="G78"/>
    </row>
    <row r="79" spans="1:7" x14ac:dyDescent="0.25">
      <c r="A79">
        <v>73</v>
      </c>
      <c r="G79"/>
    </row>
    <row r="80" spans="1:7" x14ac:dyDescent="0.25">
      <c r="A80">
        <v>74</v>
      </c>
      <c r="G80"/>
    </row>
    <row r="81" spans="1:7" x14ac:dyDescent="0.25">
      <c r="A81">
        <v>75</v>
      </c>
      <c r="G81"/>
    </row>
    <row r="82" spans="1:7" x14ac:dyDescent="0.25">
      <c r="A82">
        <v>76</v>
      </c>
      <c r="G82"/>
    </row>
    <row r="83" spans="1:7" x14ac:dyDescent="0.25">
      <c r="A83">
        <v>77</v>
      </c>
      <c r="G83"/>
    </row>
    <row r="84" spans="1:7" x14ac:dyDescent="0.25">
      <c r="A84">
        <v>78</v>
      </c>
      <c r="G84"/>
    </row>
    <row r="85" spans="1:7" x14ac:dyDescent="0.25">
      <c r="A85">
        <v>79</v>
      </c>
      <c r="G85"/>
    </row>
    <row r="86" spans="1:7" x14ac:dyDescent="0.25">
      <c r="A86">
        <v>80</v>
      </c>
      <c r="G86"/>
    </row>
    <row r="87" spans="1:7" x14ac:dyDescent="0.25">
      <c r="A87">
        <v>81</v>
      </c>
      <c r="G87"/>
    </row>
    <row r="88" spans="1:7" x14ac:dyDescent="0.25">
      <c r="A88">
        <v>82</v>
      </c>
      <c r="G88"/>
    </row>
    <row r="89" spans="1:7" x14ac:dyDescent="0.25">
      <c r="A89">
        <v>83</v>
      </c>
      <c r="G89"/>
    </row>
    <row r="90" spans="1:7" x14ac:dyDescent="0.25">
      <c r="A90">
        <v>84</v>
      </c>
      <c r="G90"/>
    </row>
    <row r="91" spans="1:7" x14ac:dyDescent="0.25">
      <c r="A91">
        <v>85</v>
      </c>
      <c r="G91"/>
    </row>
    <row r="92" spans="1:7" x14ac:dyDescent="0.25">
      <c r="A92">
        <v>86</v>
      </c>
      <c r="G92"/>
    </row>
    <row r="93" spans="1:7" x14ac:dyDescent="0.25">
      <c r="A93">
        <v>87</v>
      </c>
      <c r="G93"/>
    </row>
    <row r="94" spans="1:7" x14ac:dyDescent="0.25">
      <c r="A94">
        <v>88</v>
      </c>
      <c r="G94"/>
    </row>
    <row r="95" spans="1:7" x14ac:dyDescent="0.25">
      <c r="A95">
        <v>89</v>
      </c>
      <c r="G95"/>
    </row>
    <row r="96" spans="1:7" x14ac:dyDescent="0.25">
      <c r="A96">
        <v>90</v>
      </c>
      <c r="G96"/>
    </row>
    <row r="97" spans="1:7" x14ac:dyDescent="0.25">
      <c r="A97">
        <v>91</v>
      </c>
      <c r="G97"/>
    </row>
    <row r="98" spans="1:7" x14ac:dyDescent="0.25">
      <c r="A98">
        <v>92</v>
      </c>
      <c r="G98"/>
    </row>
    <row r="99" spans="1:7" x14ac:dyDescent="0.25">
      <c r="A99">
        <v>93</v>
      </c>
      <c r="G99"/>
    </row>
    <row r="100" spans="1:7" x14ac:dyDescent="0.25">
      <c r="A100">
        <v>94</v>
      </c>
      <c r="G100"/>
    </row>
    <row r="101" spans="1:7" x14ac:dyDescent="0.25">
      <c r="A101">
        <v>95</v>
      </c>
      <c r="G101"/>
    </row>
    <row r="102" spans="1:7" x14ac:dyDescent="0.25">
      <c r="A102">
        <v>96</v>
      </c>
      <c r="G102"/>
    </row>
    <row r="103" spans="1:7" x14ac:dyDescent="0.25">
      <c r="A103">
        <v>97</v>
      </c>
      <c r="G103"/>
    </row>
    <row r="104" spans="1:7" x14ac:dyDescent="0.25">
      <c r="A104">
        <v>98</v>
      </c>
      <c r="G104"/>
    </row>
    <row r="105" spans="1:7" x14ac:dyDescent="0.25">
      <c r="A105">
        <v>99</v>
      </c>
      <c r="G105"/>
    </row>
    <row r="106" spans="1:7" x14ac:dyDescent="0.25">
      <c r="A106">
        <v>100</v>
      </c>
      <c r="G106"/>
    </row>
    <row r="107" spans="1:7" x14ac:dyDescent="0.25">
      <c r="A107">
        <v>101</v>
      </c>
      <c r="G107"/>
    </row>
    <row r="108" spans="1:7" x14ac:dyDescent="0.25">
      <c r="A108">
        <v>102</v>
      </c>
      <c r="G108"/>
    </row>
    <row r="109" spans="1:7" x14ac:dyDescent="0.25">
      <c r="A109">
        <v>103</v>
      </c>
      <c r="G109"/>
    </row>
    <row r="110" spans="1:7" x14ac:dyDescent="0.25">
      <c r="A110">
        <v>104</v>
      </c>
      <c r="G110"/>
    </row>
    <row r="111" spans="1:7" x14ac:dyDescent="0.25">
      <c r="A111">
        <v>105</v>
      </c>
      <c r="G111"/>
    </row>
    <row r="112" spans="1:7" x14ac:dyDescent="0.25">
      <c r="A112">
        <v>106</v>
      </c>
      <c r="G112"/>
    </row>
    <row r="113" spans="1:7" x14ac:dyDescent="0.25">
      <c r="A113">
        <v>107</v>
      </c>
      <c r="G113"/>
    </row>
    <row r="114" spans="1:7" x14ac:dyDescent="0.25">
      <c r="A114">
        <v>108</v>
      </c>
      <c r="G114"/>
    </row>
    <row r="115" spans="1:7" x14ac:dyDescent="0.25">
      <c r="A115">
        <v>109</v>
      </c>
      <c r="G115"/>
    </row>
    <row r="116" spans="1:7" x14ac:dyDescent="0.25">
      <c r="A116">
        <v>110</v>
      </c>
      <c r="G116"/>
    </row>
    <row r="117" spans="1:7" x14ac:dyDescent="0.25">
      <c r="A117">
        <v>111</v>
      </c>
      <c r="G117"/>
    </row>
    <row r="118" spans="1:7" x14ac:dyDescent="0.25">
      <c r="A118">
        <v>112</v>
      </c>
      <c r="G118"/>
    </row>
    <row r="119" spans="1:7" x14ac:dyDescent="0.25">
      <c r="A119">
        <v>113</v>
      </c>
      <c r="G119"/>
    </row>
    <row r="120" spans="1:7" x14ac:dyDescent="0.25">
      <c r="A120">
        <v>114</v>
      </c>
      <c r="G120"/>
    </row>
    <row r="121" spans="1:7" x14ac:dyDescent="0.25">
      <c r="A121">
        <v>115</v>
      </c>
      <c r="G121"/>
    </row>
    <row r="122" spans="1:7" x14ac:dyDescent="0.25">
      <c r="A122">
        <v>116</v>
      </c>
      <c r="G122"/>
    </row>
    <row r="123" spans="1:7" x14ac:dyDescent="0.25">
      <c r="A123">
        <v>117</v>
      </c>
      <c r="G123"/>
    </row>
    <row r="124" spans="1:7" x14ac:dyDescent="0.25">
      <c r="A124">
        <v>118</v>
      </c>
      <c r="G124"/>
    </row>
    <row r="125" spans="1:7" x14ac:dyDescent="0.25">
      <c r="A125">
        <v>119</v>
      </c>
      <c r="G125"/>
    </row>
    <row r="126" spans="1:7" x14ac:dyDescent="0.25">
      <c r="A126">
        <v>120</v>
      </c>
      <c r="G126"/>
    </row>
    <row r="127" spans="1:7" x14ac:dyDescent="0.25">
      <c r="A127">
        <v>121</v>
      </c>
      <c r="G127"/>
    </row>
    <row r="128" spans="1:7" x14ac:dyDescent="0.25">
      <c r="A128">
        <v>122</v>
      </c>
      <c r="G128"/>
    </row>
    <row r="129" spans="1:7" x14ac:dyDescent="0.25">
      <c r="A129">
        <v>123</v>
      </c>
      <c r="G129"/>
    </row>
    <row r="130" spans="1:7" x14ac:dyDescent="0.25">
      <c r="A130">
        <v>124</v>
      </c>
      <c r="G130"/>
    </row>
    <row r="131" spans="1:7" x14ac:dyDescent="0.25">
      <c r="A131">
        <v>125</v>
      </c>
      <c r="G131"/>
    </row>
    <row r="132" spans="1:7" x14ac:dyDescent="0.25">
      <c r="A132">
        <v>126</v>
      </c>
      <c r="G132"/>
    </row>
    <row r="133" spans="1:7" x14ac:dyDescent="0.25">
      <c r="A133">
        <v>127</v>
      </c>
      <c r="G133"/>
    </row>
    <row r="134" spans="1:7" x14ac:dyDescent="0.25">
      <c r="A134">
        <v>128</v>
      </c>
      <c r="G134"/>
    </row>
    <row r="135" spans="1:7" x14ac:dyDescent="0.25">
      <c r="A135">
        <v>129</v>
      </c>
      <c r="G135"/>
    </row>
    <row r="136" spans="1:7" x14ac:dyDescent="0.25">
      <c r="A136">
        <v>130</v>
      </c>
      <c r="G136"/>
    </row>
    <row r="137" spans="1:7" x14ac:dyDescent="0.25">
      <c r="A137">
        <v>131</v>
      </c>
      <c r="G137"/>
    </row>
    <row r="138" spans="1:7" x14ac:dyDescent="0.25">
      <c r="A138">
        <v>132</v>
      </c>
      <c r="G138"/>
    </row>
    <row r="139" spans="1:7" x14ac:dyDescent="0.25">
      <c r="A139">
        <v>133</v>
      </c>
      <c r="G139"/>
    </row>
    <row r="140" spans="1:7" x14ac:dyDescent="0.25">
      <c r="A140">
        <v>134</v>
      </c>
      <c r="G140"/>
    </row>
    <row r="141" spans="1:7" x14ac:dyDescent="0.25">
      <c r="A141">
        <v>135</v>
      </c>
      <c r="G141"/>
    </row>
    <row r="142" spans="1:7" x14ac:dyDescent="0.25">
      <c r="A142">
        <v>136</v>
      </c>
      <c r="G142"/>
    </row>
    <row r="143" spans="1:7" x14ac:dyDescent="0.25">
      <c r="A143">
        <v>137</v>
      </c>
      <c r="G143"/>
    </row>
    <row r="144" spans="1:7" x14ac:dyDescent="0.25">
      <c r="A144">
        <v>138</v>
      </c>
      <c r="G144"/>
    </row>
    <row r="145" spans="1:7" x14ac:dyDescent="0.25">
      <c r="A145">
        <v>139</v>
      </c>
      <c r="G145"/>
    </row>
    <row r="146" spans="1:7" x14ac:dyDescent="0.25">
      <c r="A146">
        <v>140</v>
      </c>
      <c r="G146"/>
    </row>
    <row r="147" spans="1:7" x14ac:dyDescent="0.25">
      <c r="A147">
        <v>141</v>
      </c>
      <c r="G147"/>
    </row>
    <row r="148" spans="1:7" x14ac:dyDescent="0.25">
      <c r="A148">
        <v>142</v>
      </c>
      <c r="G148"/>
    </row>
    <row r="149" spans="1:7" x14ac:dyDescent="0.25">
      <c r="A149">
        <v>143</v>
      </c>
      <c r="G149"/>
    </row>
    <row r="150" spans="1:7" x14ac:dyDescent="0.25">
      <c r="A150">
        <v>144</v>
      </c>
      <c r="G150"/>
    </row>
    <row r="151" spans="1:7" x14ac:dyDescent="0.25">
      <c r="A151">
        <v>145</v>
      </c>
      <c r="G151"/>
    </row>
    <row r="152" spans="1:7" x14ac:dyDescent="0.25">
      <c r="A152">
        <v>146</v>
      </c>
      <c r="G152"/>
    </row>
    <row r="153" spans="1:7" x14ac:dyDescent="0.25">
      <c r="A153">
        <v>147</v>
      </c>
      <c r="G153"/>
    </row>
    <row r="154" spans="1:7" x14ac:dyDescent="0.25">
      <c r="A154">
        <v>148</v>
      </c>
      <c r="G154"/>
    </row>
    <row r="155" spans="1:7" x14ac:dyDescent="0.25">
      <c r="A155">
        <v>149</v>
      </c>
      <c r="G155"/>
    </row>
    <row r="156" spans="1:7" x14ac:dyDescent="0.25">
      <c r="A156">
        <v>150</v>
      </c>
      <c r="G156"/>
    </row>
    <row r="157" spans="1:7" x14ac:dyDescent="0.25">
      <c r="A157">
        <v>151</v>
      </c>
      <c r="G157"/>
    </row>
    <row r="158" spans="1:7" x14ac:dyDescent="0.25">
      <c r="A158">
        <v>152</v>
      </c>
      <c r="G158"/>
    </row>
    <row r="159" spans="1:7" x14ac:dyDescent="0.25">
      <c r="A159">
        <v>153</v>
      </c>
      <c r="G159"/>
    </row>
    <row r="160" spans="1:7" x14ac:dyDescent="0.25">
      <c r="A160">
        <v>154</v>
      </c>
      <c r="G160"/>
    </row>
    <row r="161" spans="1:7" x14ac:dyDescent="0.25">
      <c r="A161">
        <v>155</v>
      </c>
      <c r="G161"/>
    </row>
    <row r="162" spans="1:7" x14ac:dyDescent="0.25">
      <c r="A162">
        <v>156</v>
      </c>
      <c r="G162"/>
    </row>
    <row r="163" spans="1:7" x14ac:dyDescent="0.25">
      <c r="A163">
        <v>157</v>
      </c>
      <c r="G163"/>
    </row>
    <row r="164" spans="1:7" x14ac:dyDescent="0.25">
      <c r="A164">
        <v>158</v>
      </c>
      <c r="G164"/>
    </row>
    <row r="165" spans="1:7" x14ac:dyDescent="0.25">
      <c r="A165">
        <v>159</v>
      </c>
      <c r="G165"/>
    </row>
    <row r="166" spans="1:7" x14ac:dyDescent="0.25">
      <c r="A166">
        <v>160</v>
      </c>
      <c r="G166"/>
    </row>
    <row r="167" spans="1:7" x14ac:dyDescent="0.25">
      <c r="A167">
        <v>161</v>
      </c>
      <c r="G167"/>
    </row>
    <row r="168" spans="1:7" x14ac:dyDescent="0.25">
      <c r="A168">
        <v>162</v>
      </c>
      <c r="G168"/>
    </row>
    <row r="169" spans="1:7" x14ac:dyDescent="0.25">
      <c r="A169">
        <v>163</v>
      </c>
      <c r="G169"/>
    </row>
    <row r="170" spans="1:7" x14ac:dyDescent="0.25">
      <c r="A170">
        <v>164</v>
      </c>
      <c r="G170"/>
    </row>
    <row r="171" spans="1:7" x14ac:dyDescent="0.25">
      <c r="A171">
        <v>165</v>
      </c>
      <c r="G171"/>
    </row>
    <row r="172" spans="1:7" x14ac:dyDescent="0.25">
      <c r="A172">
        <v>166</v>
      </c>
      <c r="G172"/>
    </row>
    <row r="173" spans="1:7" x14ac:dyDescent="0.25">
      <c r="A173">
        <v>167</v>
      </c>
      <c r="G173"/>
    </row>
    <row r="174" spans="1:7" x14ac:dyDescent="0.25">
      <c r="A174">
        <v>168</v>
      </c>
      <c r="G174"/>
    </row>
    <row r="175" spans="1:7" x14ac:dyDescent="0.25">
      <c r="A175">
        <v>169</v>
      </c>
      <c r="G175"/>
    </row>
    <row r="176" spans="1:7" x14ac:dyDescent="0.25">
      <c r="A176">
        <v>170</v>
      </c>
      <c r="G176"/>
    </row>
    <row r="177" spans="1:7" x14ac:dyDescent="0.25">
      <c r="A177">
        <v>171</v>
      </c>
      <c r="G177"/>
    </row>
    <row r="178" spans="1:7" x14ac:dyDescent="0.25">
      <c r="A178">
        <v>172</v>
      </c>
      <c r="G178"/>
    </row>
    <row r="179" spans="1:7" x14ac:dyDescent="0.25">
      <c r="A179">
        <v>173</v>
      </c>
      <c r="G179"/>
    </row>
    <row r="180" spans="1:7" x14ac:dyDescent="0.25">
      <c r="A180">
        <v>174</v>
      </c>
      <c r="G180"/>
    </row>
    <row r="181" spans="1:7" x14ac:dyDescent="0.25">
      <c r="A181">
        <v>175</v>
      </c>
      <c r="G181"/>
    </row>
    <row r="182" spans="1:7" x14ac:dyDescent="0.25">
      <c r="A182">
        <v>176</v>
      </c>
      <c r="G182"/>
    </row>
    <row r="183" spans="1:7" x14ac:dyDescent="0.25">
      <c r="A183">
        <v>177</v>
      </c>
      <c r="G183"/>
    </row>
    <row r="184" spans="1:7" x14ac:dyDescent="0.25">
      <c r="A184">
        <v>178</v>
      </c>
      <c r="G184"/>
    </row>
    <row r="185" spans="1:7" x14ac:dyDescent="0.25">
      <c r="A185">
        <v>179</v>
      </c>
      <c r="G185"/>
    </row>
    <row r="186" spans="1:7" x14ac:dyDescent="0.25">
      <c r="A186">
        <v>180</v>
      </c>
      <c r="G186"/>
    </row>
    <row r="187" spans="1:7" x14ac:dyDescent="0.25">
      <c r="A187">
        <v>181</v>
      </c>
      <c r="G187"/>
    </row>
    <row r="188" spans="1:7" x14ac:dyDescent="0.25">
      <c r="A188">
        <v>182</v>
      </c>
      <c r="G188"/>
    </row>
    <row r="189" spans="1:7" x14ac:dyDescent="0.25">
      <c r="A189">
        <v>183</v>
      </c>
      <c r="G189"/>
    </row>
    <row r="190" spans="1:7" x14ac:dyDescent="0.25">
      <c r="A190">
        <v>184</v>
      </c>
      <c r="G190"/>
    </row>
    <row r="191" spans="1:7" x14ac:dyDescent="0.25">
      <c r="A191">
        <v>185</v>
      </c>
      <c r="G191"/>
    </row>
    <row r="192" spans="1:7" x14ac:dyDescent="0.25">
      <c r="A192">
        <v>186</v>
      </c>
      <c r="G192"/>
    </row>
    <row r="193" spans="1:7" x14ac:dyDescent="0.25">
      <c r="A193">
        <v>187</v>
      </c>
      <c r="G193"/>
    </row>
    <row r="194" spans="1:7" x14ac:dyDescent="0.25">
      <c r="A194">
        <v>188</v>
      </c>
      <c r="G194"/>
    </row>
    <row r="195" spans="1:7" x14ac:dyDescent="0.25">
      <c r="A195">
        <v>189</v>
      </c>
      <c r="G195"/>
    </row>
    <row r="196" spans="1:7" x14ac:dyDescent="0.25">
      <c r="A196">
        <v>190</v>
      </c>
      <c r="G196"/>
    </row>
    <row r="197" spans="1:7" x14ac:dyDescent="0.25">
      <c r="A197">
        <v>191</v>
      </c>
      <c r="G197"/>
    </row>
    <row r="198" spans="1:7" x14ac:dyDescent="0.25">
      <c r="A198">
        <v>192</v>
      </c>
      <c r="G198"/>
    </row>
    <row r="199" spans="1:7" x14ac:dyDescent="0.25">
      <c r="A199">
        <v>193</v>
      </c>
      <c r="G199"/>
    </row>
    <row r="200" spans="1:7" x14ac:dyDescent="0.25">
      <c r="A200">
        <v>194</v>
      </c>
      <c r="G200"/>
    </row>
    <row r="201" spans="1:7" x14ac:dyDescent="0.25">
      <c r="A201">
        <v>195</v>
      </c>
      <c r="G201"/>
    </row>
    <row r="202" spans="1:7" x14ac:dyDescent="0.25">
      <c r="A202">
        <v>196</v>
      </c>
      <c r="G202"/>
    </row>
    <row r="203" spans="1:7" x14ac:dyDescent="0.25">
      <c r="A203">
        <v>197</v>
      </c>
      <c r="G203"/>
    </row>
    <row r="204" spans="1:7" x14ac:dyDescent="0.25">
      <c r="A204">
        <v>198</v>
      </c>
      <c r="G204"/>
    </row>
    <row r="205" spans="1:7" x14ac:dyDescent="0.25">
      <c r="A205">
        <v>199</v>
      </c>
      <c r="G205"/>
    </row>
    <row r="206" spans="1:7" x14ac:dyDescent="0.25">
      <c r="A206">
        <v>200</v>
      </c>
      <c r="G206"/>
    </row>
    <row r="207" spans="1:7" x14ac:dyDescent="0.25">
      <c r="A207">
        <v>201</v>
      </c>
      <c r="G207"/>
    </row>
    <row r="208" spans="1:7" x14ac:dyDescent="0.25">
      <c r="A208">
        <v>202</v>
      </c>
      <c r="G208"/>
    </row>
    <row r="209" spans="1:7" x14ac:dyDescent="0.25">
      <c r="A209">
        <v>203</v>
      </c>
      <c r="G209"/>
    </row>
    <row r="210" spans="1:7" x14ac:dyDescent="0.25">
      <c r="A210">
        <v>204</v>
      </c>
      <c r="G210"/>
    </row>
    <row r="211" spans="1:7" x14ac:dyDescent="0.25">
      <c r="A211">
        <v>205</v>
      </c>
      <c r="G211"/>
    </row>
    <row r="212" spans="1:7" x14ac:dyDescent="0.25">
      <c r="A212">
        <v>206</v>
      </c>
      <c r="G212"/>
    </row>
    <row r="213" spans="1:7" x14ac:dyDescent="0.25">
      <c r="A213">
        <v>207</v>
      </c>
      <c r="G213"/>
    </row>
    <row r="214" spans="1:7" x14ac:dyDescent="0.25">
      <c r="A214">
        <v>208</v>
      </c>
      <c r="G214"/>
    </row>
    <row r="215" spans="1:7" x14ac:dyDescent="0.25">
      <c r="A215">
        <v>209</v>
      </c>
      <c r="G215"/>
    </row>
    <row r="216" spans="1:7" x14ac:dyDescent="0.25">
      <c r="A216">
        <v>210</v>
      </c>
      <c r="G216"/>
    </row>
    <row r="217" spans="1:7" x14ac:dyDescent="0.25">
      <c r="A217">
        <v>211</v>
      </c>
      <c r="G217"/>
    </row>
    <row r="218" spans="1:7" x14ac:dyDescent="0.25">
      <c r="A218">
        <v>212</v>
      </c>
      <c r="G218"/>
    </row>
    <row r="219" spans="1:7" x14ac:dyDescent="0.25">
      <c r="A219">
        <v>213</v>
      </c>
      <c r="G219"/>
    </row>
    <row r="220" spans="1:7" x14ac:dyDescent="0.25">
      <c r="A220">
        <v>214</v>
      </c>
      <c r="G220"/>
    </row>
    <row r="221" spans="1:7" x14ac:dyDescent="0.25">
      <c r="A221">
        <v>215</v>
      </c>
      <c r="G221"/>
    </row>
    <row r="222" spans="1:7" x14ac:dyDescent="0.25">
      <c r="A222">
        <v>216</v>
      </c>
      <c r="G222"/>
    </row>
    <row r="223" spans="1:7" x14ac:dyDescent="0.25">
      <c r="A223">
        <v>217</v>
      </c>
      <c r="G223"/>
    </row>
    <row r="224" spans="1:7" x14ac:dyDescent="0.25">
      <c r="A224">
        <v>218</v>
      </c>
      <c r="G224"/>
    </row>
    <row r="225" spans="1:7" x14ac:dyDescent="0.25">
      <c r="A225">
        <v>219</v>
      </c>
      <c r="G225"/>
    </row>
    <row r="226" spans="1:7" x14ac:dyDescent="0.25">
      <c r="A226">
        <v>220</v>
      </c>
      <c r="G226"/>
    </row>
    <row r="227" spans="1:7" x14ac:dyDescent="0.25">
      <c r="A227">
        <v>221</v>
      </c>
      <c r="G227"/>
    </row>
    <row r="228" spans="1:7" x14ac:dyDescent="0.25">
      <c r="A228">
        <v>222</v>
      </c>
      <c r="G228"/>
    </row>
    <row r="229" spans="1:7" x14ac:dyDescent="0.25">
      <c r="A229">
        <v>223</v>
      </c>
      <c r="G229"/>
    </row>
    <row r="230" spans="1:7" x14ac:dyDescent="0.25">
      <c r="A230">
        <v>224</v>
      </c>
      <c r="G230"/>
    </row>
    <row r="231" spans="1:7" x14ac:dyDescent="0.25">
      <c r="A231">
        <v>225</v>
      </c>
      <c r="G231"/>
    </row>
    <row r="232" spans="1:7" x14ac:dyDescent="0.25">
      <c r="A232">
        <v>226</v>
      </c>
      <c r="G232"/>
    </row>
    <row r="233" spans="1:7" x14ac:dyDescent="0.25">
      <c r="A233">
        <v>227</v>
      </c>
      <c r="G233"/>
    </row>
    <row r="234" spans="1:7" x14ac:dyDescent="0.25">
      <c r="A234">
        <v>228</v>
      </c>
      <c r="G234"/>
    </row>
    <row r="235" spans="1:7" x14ac:dyDescent="0.25">
      <c r="A235">
        <v>229</v>
      </c>
      <c r="G235"/>
    </row>
    <row r="236" spans="1:7" x14ac:dyDescent="0.25">
      <c r="A236">
        <v>230</v>
      </c>
      <c r="G236"/>
    </row>
    <row r="237" spans="1:7" x14ac:dyDescent="0.25">
      <c r="A237">
        <v>231</v>
      </c>
      <c r="G237"/>
    </row>
    <row r="238" spans="1:7" x14ac:dyDescent="0.25">
      <c r="A238">
        <v>232</v>
      </c>
      <c r="G238"/>
    </row>
    <row r="239" spans="1:7" x14ac:dyDescent="0.25">
      <c r="A239">
        <v>233</v>
      </c>
      <c r="G239"/>
    </row>
    <row r="240" spans="1:7" x14ac:dyDescent="0.25">
      <c r="A240">
        <v>234</v>
      </c>
      <c r="G240"/>
    </row>
    <row r="241" spans="1:7" x14ac:dyDescent="0.25">
      <c r="A241">
        <v>235</v>
      </c>
      <c r="G241"/>
    </row>
    <row r="242" spans="1:7" x14ac:dyDescent="0.25">
      <c r="A242">
        <v>236</v>
      </c>
      <c r="G242"/>
    </row>
    <row r="243" spans="1:7" x14ac:dyDescent="0.25">
      <c r="A243">
        <v>237</v>
      </c>
      <c r="G243"/>
    </row>
    <row r="244" spans="1:7" x14ac:dyDescent="0.25">
      <c r="A244">
        <v>238</v>
      </c>
      <c r="G244"/>
    </row>
    <row r="245" spans="1:7" x14ac:dyDescent="0.25">
      <c r="A245">
        <v>239</v>
      </c>
      <c r="G245"/>
    </row>
    <row r="246" spans="1:7" x14ac:dyDescent="0.25">
      <c r="A246">
        <v>240</v>
      </c>
      <c r="G246"/>
    </row>
    <row r="247" spans="1:7" x14ac:dyDescent="0.25">
      <c r="A247">
        <v>241</v>
      </c>
      <c r="G247"/>
    </row>
    <row r="248" spans="1:7" x14ac:dyDescent="0.25">
      <c r="A248">
        <v>242</v>
      </c>
      <c r="G248"/>
    </row>
    <row r="249" spans="1:7" x14ac:dyDescent="0.25">
      <c r="A249">
        <v>243</v>
      </c>
      <c r="G249"/>
    </row>
    <row r="250" spans="1:7" x14ac:dyDescent="0.25">
      <c r="A250">
        <v>244</v>
      </c>
      <c r="G250"/>
    </row>
    <row r="251" spans="1:7" x14ac:dyDescent="0.25">
      <c r="A251">
        <v>245</v>
      </c>
      <c r="G251"/>
    </row>
    <row r="252" spans="1:7" x14ac:dyDescent="0.25">
      <c r="A252">
        <v>246</v>
      </c>
      <c r="G252"/>
    </row>
    <row r="253" spans="1:7" x14ac:dyDescent="0.25">
      <c r="A253">
        <v>247</v>
      </c>
      <c r="G253"/>
    </row>
    <row r="254" spans="1:7" x14ac:dyDescent="0.25">
      <c r="A254">
        <v>248</v>
      </c>
      <c r="G254"/>
    </row>
    <row r="255" spans="1:7" x14ac:dyDescent="0.25">
      <c r="A255">
        <v>249</v>
      </c>
      <c r="G255"/>
    </row>
    <row r="256" spans="1:7" x14ac:dyDescent="0.25">
      <c r="A256">
        <v>250</v>
      </c>
      <c r="G256"/>
    </row>
    <row r="257" spans="1:7" x14ac:dyDescent="0.25">
      <c r="A257">
        <v>251</v>
      </c>
      <c r="G257"/>
    </row>
    <row r="258" spans="1:7" x14ac:dyDescent="0.25">
      <c r="A258">
        <v>252</v>
      </c>
      <c r="G258"/>
    </row>
    <row r="259" spans="1:7" x14ac:dyDescent="0.25">
      <c r="A259">
        <v>253</v>
      </c>
      <c r="G259"/>
    </row>
    <row r="260" spans="1:7" x14ac:dyDescent="0.25">
      <c r="A260">
        <v>254</v>
      </c>
      <c r="G260"/>
    </row>
    <row r="261" spans="1:7" x14ac:dyDescent="0.25">
      <c r="A261">
        <v>255</v>
      </c>
      <c r="G261"/>
    </row>
    <row r="262" spans="1:7" x14ac:dyDescent="0.25">
      <c r="A262">
        <v>256</v>
      </c>
      <c r="G262"/>
    </row>
    <row r="263" spans="1:7" x14ac:dyDescent="0.25">
      <c r="A263">
        <v>257</v>
      </c>
      <c r="G263"/>
    </row>
    <row r="264" spans="1:7" x14ac:dyDescent="0.25">
      <c r="A264">
        <v>258</v>
      </c>
      <c r="G264"/>
    </row>
    <row r="265" spans="1:7" x14ac:dyDescent="0.25">
      <c r="A265">
        <v>259</v>
      </c>
      <c r="G265"/>
    </row>
    <row r="266" spans="1:7" x14ac:dyDescent="0.25">
      <c r="A266">
        <v>260</v>
      </c>
      <c r="G266"/>
    </row>
    <row r="267" spans="1:7" x14ac:dyDescent="0.25">
      <c r="A267">
        <v>261</v>
      </c>
      <c r="G267"/>
    </row>
    <row r="268" spans="1:7" x14ac:dyDescent="0.25">
      <c r="A268">
        <v>262</v>
      </c>
      <c r="G268"/>
    </row>
    <row r="269" spans="1:7" x14ac:dyDescent="0.25">
      <c r="A269">
        <v>263</v>
      </c>
      <c r="G269"/>
    </row>
    <row r="270" spans="1:7" x14ac:dyDescent="0.25">
      <c r="A270">
        <v>264</v>
      </c>
      <c r="G270"/>
    </row>
    <row r="271" spans="1:7" x14ac:dyDescent="0.25">
      <c r="A271">
        <v>265</v>
      </c>
      <c r="G271"/>
    </row>
    <row r="272" spans="1:7" x14ac:dyDescent="0.25">
      <c r="A272">
        <v>266</v>
      </c>
      <c r="G272"/>
    </row>
    <row r="273" spans="1:7" x14ac:dyDescent="0.25">
      <c r="A273">
        <v>267</v>
      </c>
      <c r="G273"/>
    </row>
    <row r="274" spans="1:7" x14ac:dyDescent="0.25">
      <c r="A274">
        <v>268</v>
      </c>
      <c r="G274"/>
    </row>
    <row r="275" spans="1:7" x14ac:dyDescent="0.25">
      <c r="A275">
        <v>269</v>
      </c>
      <c r="G275"/>
    </row>
    <row r="276" spans="1:7" x14ac:dyDescent="0.25">
      <c r="A276">
        <v>270</v>
      </c>
      <c r="G276"/>
    </row>
    <row r="277" spans="1:7" x14ac:dyDescent="0.25">
      <c r="A277">
        <v>271</v>
      </c>
      <c r="G277"/>
    </row>
    <row r="278" spans="1:7" x14ac:dyDescent="0.25">
      <c r="A278">
        <v>272</v>
      </c>
      <c r="G278"/>
    </row>
    <row r="279" spans="1:7" x14ac:dyDescent="0.25">
      <c r="A279">
        <v>273</v>
      </c>
      <c r="G279"/>
    </row>
    <row r="280" spans="1:7" x14ac:dyDescent="0.25">
      <c r="A280">
        <v>274</v>
      </c>
      <c r="G280"/>
    </row>
    <row r="281" spans="1:7" x14ac:dyDescent="0.25">
      <c r="A281">
        <v>275</v>
      </c>
      <c r="G281"/>
    </row>
    <row r="282" spans="1:7" x14ac:dyDescent="0.25">
      <c r="A282">
        <v>276</v>
      </c>
      <c r="G282"/>
    </row>
    <row r="283" spans="1:7" x14ac:dyDescent="0.25">
      <c r="A283">
        <v>277</v>
      </c>
      <c r="G283"/>
    </row>
    <row r="284" spans="1:7" x14ac:dyDescent="0.25">
      <c r="A284">
        <v>278</v>
      </c>
      <c r="G284"/>
    </row>
    <row r="285" spans="1:7" x14ac:dyDescent="0.25">
      <c r="A285">
        <v>279</v>
      </c>
      <c r="G285"/>
    </row>
    <row r="286" spans="1:7" x14ac:dyDescent="0.25">
      <c r="A286">
        <v>280</v>
      </c>
      <c r="G286"/>
    </row>
    <row r="287" spans="1:7" x14ac:dyDescent="0.25">
      <c r="A287">
        <v>281</v>
      </c>
      <c r="G287"/>
    </row>
    <row r="288" spans="1:7" x14ac:dyDescent="0.25">
      <c r="A288">
        <v>282</v>
      </c>
      <c r="G288"/>
    </row>
    <row r="289" spans="1:7" x14ac:dyDescent="0.25">
      <c r="A289">
        <v>283</v>
      </c>
      <c r="G289"/>
    </row>
    <row r="290" spans="1:7" x14ac:dyDescent="0.25">
      <c r="A290">
        <v>284</v>
      </c>
      <c r="G290"/>
    </row>
    <row r="291" spans="1:7" x14ac:dyDescent="0.25">
      <c r="A291">
        <v>285</v>
      </c>
      <c r="G291"/>
    </row>
    <row r="292" spans="1:7" x14ac:dyDescent="0.25">
      <c r="A292">
        <v>286</v>
      </c>
      <c r="G292"/>
    </row>
    <row r="293" spans="1:7" x14ac:dyDescent="0.25">
      <c r="A293">
        <v>287</v>
      </c>
      <c r="G293"/>
    </row>
    <row r="294" spans="1:7" x14ac:dyDescent="0.25">
      <c r="A294">
        <v>288</v>
      </c>
      <c r="G294"/>
    </row>
    <row r="295" spans="1:7" x14ac:dyDescent="0.25">
      <c r="A295">
        <v>289</v>
      </c>
      <c r="G295"/>
    </row>
    <row r="296" spans="1:7" x14ac:dyDescent="0.25">
      <c r="A296">
        <v>290</v>
      </c>
      <c r="G296"/>
    </row>
    <row r="297" spans="1:7" x14ac:dyDescent="0.25">
      <c r="A297">
        <v>291</v>
      </c>
      <c r="G297"/>
    </row>
    <row r="298" spans="1:7" x14ac:dyDescent="0.25">
      <c r="A298">
        <v>292</v>
      </c>
      <c r="G298"/>
    </row>
    <row r="299" spans="1:7" x14ac:dyDescent="0.25">
      <c r="A299">
        <v>293</v>
      </c>
      <c r="G299"/>
    </row>
    <row r="300" spans="1:7" x14ac:dyDescent="0.25">
      <c r="A300">
        <v>294</v>
      </c>
      <c r="G300"/>
    </row>
    <row r="301" spans="1:7" x14ac:dyDescent="0.25">
      <c r="A301">
        <v>295</v>
      </c>
      <c r="G301"/>
    </row>
    <row r="302" spans="1:7" x14ac:dyDescent="0.25">
      <c r="A302">
        <v>296</v>
      </c>
      <c r="G302"/>
    </row>
    <row r="303" spans="1:7" x14ac:dyDescent="0.25">
      <c r="A303">
        <v>297</v>
      </c>
      <c r="G303"/>
    </row>
    <row r="304" spans="1:7" x14ac:dyDescent="0.25">
      <c r="A304">
        <v>298</v>
      </c>
      <c r="G304"/>
    </row>
    <row r="305" spans="1:7" x14ac:dyDescent="0.25">
      <c r="A305">
        <v>299</v>
      </c>
      <c r="G305"/>
    </row>
    <row r="306" spans="1:7" x14ac:dyDescent="0.25">
      <c r="A306">
        <v>300</v>
      </c>
      <c r="G306"/>
    </row>
    <row r="307" spans="1:7" x14ac:dyDescent="0.25">
      <c r="A307">
        <v>301</v>
      </c>
      <c r="G307"/>
    </row>
    <row r="308" spans="1:7" x14ac:dyDescent="0.25">
      <c r="A308">
        <v>302</v>
      </c>
      <c r="G308"/>
    </row>
    <row r="309" spans="1:7" x14ac:dyDescent="0.25">
      <c r="A309">
        <v>303</v>
      </c>
      <c r="G309"/>
    </row>
    <row r="310" spans="1:7" x14ac:dyDescent="0.25">
      <c r="A310">
        <v>304</v>
      </c>
      <c r="G310"/>
    </row>
    <row r="311" spans="1:7" x14ac:dyDescent="0.25">
      <c r="A311">
        <v>305</v>
      </c>
      <c r="G311"/>
    </row>
    <row r="312" spans="1:7" x14ac:dyDescent="0.25">
      <c r="A312">
        <v>306</v>
      </c>
      <c r="G312"/>
    </row>
    <row r="313" spans="1:7" x14ac:dyDescent="0.25">
      <c r="A313">
        <v>307</v>
      </c>
      <c r="G313"/>
    </row>
    <row r="314" spans="1:7" x14ac:dyDescent="0.25">
      <c r="A314">
        <v>308</v>
      </c>
      <c r="G314"/>
    </row>
    <row r="315" spans="1:7" x14ac:dyDescent="0.25">
      <c r="A315">
        <v>309</v>
      </c>
      <c r="G315"/>
    </row>
    <row r="316" spans="1:7" x14ac:dyDescent="0.25">
      <c r="A316">
        <v>310</v>
      </c>
      <c r="G316"/>
    </row>
    <row r="317" spans="1:7" x14ac:dyDescent="0.25">
      <c r="A317">
        <v>311</v>
      </c>
      <c r="G317"/>
    </row>
    <row r="318" spans="1:7" x14ac:dyDescent="0.25">
      <c r="A318">
        <v>312</v>
      </c>
      <c r="G318"/>
    </row>
    <row r="319" spans="1:7" x14ac:dyDescent="0.25">
      <c r="A319">
        <v>313</v>
      </c>
      <c r="G319"/>
    </row>
    <row r="320" spans="1:7" x14ac:dyDescent="0.25">
      <c r="A320">
        <v>314</v>
      </c>
      <c r="G320"/>
    </row>
    <row r="321" spans="1:7" x14ac:dyDescent="0.25">
      <c r="A321">
        <v>315</v>
      </c>
      <c r="G321"/>
    </row>
    <row r="322" spans="1:7" x14ac:dyDescent="0.25">
      <c r="A322">
        <v>316</v>
      </c>
      <c r="G322"/>
    </row>
    <row r="323" spans="1:7" x14ac:dyDescent="0.25">
      <c r="A323">
        <v>317</v>
      </c>
      <c r="G323"/>
    </row>
    <row r="324" spans="1:7" x14ac:dyDescent="0.25">
      <c r="A324">
        <v>318</v>
      </c>
      <c r="G324"/>
    </row>
    <row r="325" spans="1:7" x14ac:dyDescent="0.25">
      <c r="A325">
        <v>319</v>
      </c>
      <c r="G325"/>
    </row>
    <row r="326" spans="1:7" x14ac:dyDescent="0.25">
      <c r="A326">
        <v>320</v>
      </c>
      <c r="G326"/>
    </row>
    <row r="327" spans="1:7" x14ac:dyDescent="0.25">
      <c r="A327">
        <v>321</v>
      </c>
      <c r="G327"/>
    </row>
    <row r="328" spans="1:7" x14ac:dyDescent="0.25">
      <c r="A328">
        <v>322</v>
      </c>
      <c r="G328"/>
    </row>
    <row r="329" spans="1:7" x14ac:dyDescent="0.25">
      <c r="A329">
        <v>323</v>
      </c>
      <c r="G329"/>
    </row>
    <row r="330" spans="1:7" x14ac:dyDescent="0.25">
      <c r="A330">
        <v>324</v>
      </c>
      <c r="G330"/>
    </row>
    <row r="331" spans="1:7" x14ac:dyDescent="0.25">
      <c r="A331">
        <v>325</v>
      </c>
      <c r="G331"/>
    </row>
    <row r="332" spans="1:7" x14ac:dyDescent="0.25">
      <c r="A332">
        <v>326</v>
      </c>
      <c r="G332"/>
    </row>
    <row r="333" spans="1:7" x14ac:dyDescent="0.25">
      <c r="A333">
        <v>327</v>
      </c>
      <c r="G333"/>
    </row>
    <row r="334" spans="1:7" x14ac:dyDescent="0.25">
      <c r="A334">
        <v>328</v>
      </c>
      <c r="G334"/>
    </row>
    <row r="335" spans="1:7" x14ac:dyDescent="0.25">
      <c r="A335">
        <v>329</v>
      </c>
      <c r="G335"/>
    </row>
    <row r="336" spans="1:7" x14ac:dyDescent="0.25">
      <c r="A336">
        <v>330</v>
      </c>
      <c r="G336"/>
    </row>
    <row r="337" spans="1:7" x14ac:dyDescent="0.25">
      <c r="A337">
        <v>331</v>
      </c>
      <c r="G337"/>
    </row>
    <row r="338" spans="1:7" x14ac:dyDescent="0.25">
      <c r="A338">
        <v>332</v>
      </c>
      <c r="G338"/>
    </row>
    <row r="339" spans="1:7" x14ac:dyDescent="0.25">
      <c r="A339">
        <v>333</v>
      </c>
      <c r="G339"/>
    </row>
    <row r="340" spans="1:7" x14ac:dyDescent="0.25">
      <c r="A340">
        <v>334</v>
      </c>
      <c r="G340"/>
    </row>
    <row r="341" spans="1:7" x14ac:dyDescent="0.25">
      <c r="A341">
        <v>335</v>
      </c>
      <c r="G341"/>
    </row>
    <row r="342" spans="1:7" x14ac:dyDescent="0.25">
      <c r="A342">
        <v>336</v>
      </c>
      <c r="G342"/>
    </row>
    <row r="343" spans="1:7" x14ac:dyDescent="0.25">
      <c r="A343">
        <v>337</v>
      </c>
      <c r="G343"/>
    </row>
    <row r="344" spans="1:7" x14ac:dyDescent="0.25">
      <c r="A344">
        <v>338</v>
      </c>
      <c r="G344"/>
    </row>
    <row r="345" spans="1:7" x14ac:dyDescent="0.25">
      <c r="A345">
        <v>339</v>
      </c>
      <c r="G345"/>
    </row>
    <row r="346" spans="1:7" x14ac:dyDescent="0.25">
      <c r="A346">
        <v>340</v>
      </c>
      <c r="G346"/>
    </row>
    <row r="347" spans="1:7" x14ac:dyDescent="0.25">
      <c r="A347">
        <v>341</v>
      </c>
      <c r="G347"/>
    </row>
    <row r="348" spans="1:7" x14ac:dyDescent="0.25">
      <c r="A348">
        <v>342</v>
      </c>
      <c r="G348"/>
    </row>
    <row r="349" spans="1:7" x14ac:dyDescent="0.25">
      <c r="A349">
        <v>343</v>
      </c>
      <c r="G349"/>
    </row>
    <row r="350" spans="1:7" x14ac:dyDescent="0.25">
      <c r="A350">
        <v>344</v>
      </c>
      <c r="G350"/>
    </row>
    <row r="351" spans="1:7" x14ac:dyDescent="0.25">
      <c r="A351">
        <v>345</v>
      </c>
      <c r="G351"/>
    </row>
    <row r="352" spans="1:7" x14ac:dyDescent="0.25">
      <c r="A352">
        <v>346</v>
      </c>
      <c r="G352"/>
    </row>
    <row r="353" spans="1:7" x14ac:dyDescent="0.25">
      <c r="A353">
        <v>347</v>
      </c>
      <c r="G353"/>
    </row>
    <row r="354" spans="1:7" x14ac:dyDescent="0.25">
      <c r="A354">
        <v>348</v>
      </c>
      <c r="G354"/>
    </row>
    <row r="355" spans="1:7" x14ac:dyDescent="0.25">
      <c r="A355">
        <v>349</v>
      </c>
      <c r="G355"/>
    </row>
    <row r="356" spans="1:7" x14ac:dyDescent="0.25">
      <c r="A356">
        <v>350</v>
      </c>
      <c r="G356"/>
    </row>
    <row r="357" spans="1:7" x14ac:dyDescent="0.25">
      <c r="A357">
        <v>351</v>
      </c>
      <c r="G357"/>
    </row>
    <row r="358" spans="1:7" x14ac:dyDescent="0.25">
      <c r="A358">
        <v>352</v>
      </c>
      <c r="G358"/>
    </row>
    <row r="359" spans="1:7" x14ac:dyDescent="0.25">
      <c r="A359">
        <v>353</v>
      </c>
      <c r="G359"/>
    </row>
    <row r="360" spans="1:7" x14ac:dyDescent="0.25">
      <c r="A360">
        <v>354</v>
      </c>
      <c r="G360"/>
    </row>
    <row r="361" spans="1:7" x14ac:dyDescent="0.25">
      <c r="A361">
        <v>355</v>
      </c>
      <c r="G361"/>
    </row>
    <row r="362" spans="1:7" x14ac:dyDescent="0.25">
      <c r="A362">
        <v>356</v>
      </c>
      <c r="G362"/>
    </row>
    <row r="363" spans="1:7" x14ac:dyDescent="0.25">
      <c r="A363">
        <v>357</v>
      </c>
      <c r="G363"/>
    </row>
    <row r="364" spans="1:7" x14ac:dyDescent="0.25">
      <c r="A364">
        <v>358</v>
      </c>
      <c r="G364"/>
    </row>
    <row r="365" spans="1:7" x14ac:dyDescent="0.25">
      <c r="A365">
        <v>359</v>
      </c>
      <c r="G365"/>
    </row>
    <row r="366" spans="1:7" x14ac:dyDescent="0.25">
      <c r="A366">
        <v>360</v>
      </c>
      <c r="G366"/>
    </row>
    <row r="367" spans="1:7" x14ac:dyDescent="0.25">
      <c r="A367">
        <v>361</v>
      </c>
      <c r="G367"/>
    </row>
    <row r="368" spans="1:7" x14ac:dyDescent="0.25">
      <c r="A368">
        <v>362</v>
      </c>
      <c r="G368"/>
    </row>
    <row r="369" spans="1:7" x14ac:dyDescent="0.25">
      <c r="A369">
        <v>363</v>
      </c>
      <c r="G369"/>
    </row>
    <row r="370" spans="1:7" x14ac:dyDescent="0.25">
      <c r="A370">
        <v>364</v>
      </c>
      <c r="G370"/>
    </row>
    <row r="371" spans="1:7" x14ac:dyDescent="0.25">
      <c r="A371">
        <v>365</v>
      </c>
      <c r="G371"/>
    </row>
    <row r="372" spans="1:7" x14ac:dyDescent="0.25">
      <c r="A372">
        <v>366</v>
      </c>
      <c r="G372"/>
    </row>
    <row r="373" spans="1:7" x14ac:dyDescent="0.25">
      <c r="A373">
        <v>367</v>
      </c>
      <c r="G373"/>
    </row>
    <row r="374" spans="1:7" x14ac:dyDescent="0.25">
      <c r="A374">
        <v>368</v>
      </c>
      <c r="G374"/>
    </row>
    <row r="375" spans="1:7" x14ac:dyDescent="0.25">
      <c r="A375">
        <v>369</v>
      </c>
      <c r="G375"/>
    </row>
    <row r="376" spans="1:7" x14ac:dyDescent="0.25">
      <c r="A376">
        <v>370</v>
      </c>
      <c r="G376"/>
    </row>
    <row r="377" spans="1:7" x14ac:dyDescent="0.25">
      <c r="A377">
        <v>371</v>
      </c>
      <c r="G377"/>
    </row>
    <row r="378" spans="1:7" x14ac:dyDescent="0.25">
      <c r="A378">
        <v>372</v>
      </c>
      <c r="G378"/>
    </row>
    <row r="379" spans="1:7" x14ac:dyDescent="0.25">
      <c r="A379">
        <v>373</v>
      </c>
      <c r="G379"/>
    </row>
    <row r="380" spans="1:7" x14ac:dyDescent="0.25">
      <c r="A380">
        <v>374</v>
      </c>
      <c r="G380"/>
    </row>
    <row r="381" spans="1:7" x14ac:dyDescent="0.25">
      <c r="A381">
        <v>375</v>
      </c>
      <c r="G381"/>
    </row>
    <row r="382" spans="1:7" x14ac:dyDescent="0.25">
      <c r="A382">
        <v>376</v>
      </c>
      <c r="G382"/>
    </row>
    <row r="383" spans="1:7" x14ac:dyDescent="0.25">
      <c r="A383">
        <v>377</v>
      </c>
      <c r="G383"/>
    </row>
    <row r="384" spans="1:7" x14ac:dyDescent="0.25">
      <c r="A384">
        <v>378</v>
      </c>
      <c r="G384"/>
    </row>
    <row r="385" spans="1:7" x14ac:dyDescent="0.25">
      <c r="A385">
        <v>379</v>
      </c>
      <c r="G385"/>
    </row>
    <row r="386" spans="1:7" x14ac:dyDescent="0.25">
      <c r="A386">
        <v>380</v>
      </c>
      <c r="G386"/>
    </row>
    <row r="387" spans="1:7" x14ac:dyDescent="0.25">
      <c r="A387">
        <v>381</v>
      </c>
      <c r="G387"/>
    </row>
    <row r="388" spans="1:7" x14ac:dyDescent="0.25">
      <c r="A388">
        <v>382</v>
      </c>
      <c r="G388"/>
    </row>
    <row r="389" spans="1:7" x14ac:dyDescent="0.25">
      <c r="A389">
        <v>383</v>
      </c>
      <c r="G389"/>
    </row>
    <row r="390" spans="1:7" x14ac:dyDescent="0.25">
      <c r="A390">
        <v>384</v>
      </c>
      <c r="G390"/>
    </row>
    <row r="391" spans="1:7" x14ac:dyDescent="0.25">
      <c r="A391">
        <v>385</v>
      </c>
      <c r="G391"/>
    </row>
    <row r="392" spans="1:7" x14ac:dyDescent="0.25">
      <c r="A392">
        <v>386</v>
      </c>
      <c r="G392"/>
    </row>
    <row r="393" spans="1:7" x14ac:dyDescent="0.25">
      <c r="A393">
        <v>387</v>
      </c>
      <c r="G393"/>
    </row>
    <row r="394" spans="1:7" x14ac:dyDescent="0.25">
      <c r="A394">
        <v>388</v>
      </c>
      <c r="G394"/>
    </row>
    <row r="395" spans="1:7" x14ac:dyDescent="0.25">
      <c r="A395">
        <v>389</v>
      </c>
      <c r="G395"/>
    </row>
    <row r="396" spans="1:7" x14ac:dyDescent="0.25">
      <c r="A396">
        <v>390</v>
      </c>
      <c r="G396"/>
    </row>
    <row r="397" spans="1:7" x14ac:dyDescent="0.25">
      <c r="A397">
        <v>391</v>
      </c>
      <c r="G397"/>
    </row>
    <row r="398" spans="1:7" x14ac:dyDescent="0.25">
      <c r="A398">
        <v>392</v>
      </c>
      <c r="G398"/>
    </row>
    <row r="399" spans="1:7" x14ac:dyDescent="0.25">
      <c r="A399">
        <v>393</v>
      </c>
      <c r="G399"/>
    </row>
    <row r="400" spans="1:7" x14ac:dyDescent="0.25">
      <c r="A400">
        <v>394</v>
      </c>
      <c r="G400"/>
    </row>
    <row r="401" spans="1:7" x14ac:dyDescent="0.25">
      <c r="A401">
        <v>395</v>
      </c>
      <c r="G401"/>
    </row>
    <row r="402" spans="1:7" x14ac:dyDescent="0.25">
      <c r="A402">
        <v>396</v>
      </c>
      <c r="G402"/>
    </row>
    <row r="403" spans="1:7" x14ac:dyDescent="0.25">
      <c r="A403">
        <v>397</v>
      </c>
      <c r="G403"/>
    </row>
    <row r="404" spans="1:7" x14ac:dyDescent="0.25">
      <c r="A404">
        <v>398</v>
      </c>
      <c r="G404"/>
    </row>
    <row r="405" spans="1:7" x14ac:dyDescent="0.25">
      <c r="A405">
        <v>399</v>
      </c>
      <c r="G405"/>
    </row>
    <row r="406" spans="1:7" x14ac:dyDescent="0.25">
      <c r="A406">
        <v>400</v>
      </c>
      <c r="G406"/>
    </row>
    <row r="407" spans="1:7" x14ac:dyDescent="0.25">
      <c r="A407">
        <v>401</v>
      </c>
      <c r="G407"/>
    </row>
    <row r="408" spans="1:7" x14ac:dyDescent="0.25">
      <c r="A408">
        <v>402</v>
      </c>
      <c r="G408"/>
    </row>
    <row r="409" spans="1:7" x14ac:dyDescent="0.25">
      <c r="A409">
        <v>403</v>
      </c>
      <c r="G409"/>
    </row>
    <row r="410" spans="1:7" x14ac:dyDescent="0.25">
      <c r="A410">
        <v>404</v>
      </c>
      <c r="G410"/>
    </row>
    <row r="411" spans="1:7" x14ac:dyDescent="0.25">
      <c r="A411">
        <v>405</v>
      </c>
      <c r="G411"/>
    </row>
    <row r="412" spans="1:7" x14ac:dyDescent="0.25">
      <c r="A412">
        <v>406</v>
      </c>
      <c r="G412"/>
    </row>
    <row r="413" spans="1:7" x14ac:dyDescent="0.25">
      <c r="A413">
        <v>407</v>
      </c>
      <c r="G413"/>
    </row>
    <row r="414" spans="1:7" x14ac:dyDescent="0.25">
      <c r="A414">
        <v>408</v>
      </c>
      <c r="G414"/>
    </row>
    <row r="415" spans="1:7" x14ac:dyDescent="0.25">
      <c r="A415">
        <v>409</v>
      </c>
      <c r="G415"/>
    </row>
    <row r="416" spans="1:7" x14ac:dyDescent="0.25">
      <c r="A416">
        <v>410</v>
      </c>
      <c r="G416"/>
    </row>
    <row r="417" spans="1:7" x14ac:dyDescent="0.25">
      <c r="A417">
        <v>411</v>
      </c>
      <c r="G417"/>
    </row>
    <row r="418" spans="1:7" x14ac:dyDescent="0.25">
      <c r="A418">
        <v>412</v>
      </c>
      <c r="G418"/>
    </row>
    <row r="419" spans="1:7" x14ac:dyDescent="0.25">
      <c r="A419">
        <v>413</v>
      </c>
      <c r="G419"/>
    </row>
    <row r="420" spans="1:7" x14ac:dyDescent="0.25">
      <c r="A420">
        <v>414</v>
      </c>
      <c r="G420"/>
    </row>
    <row r="421" spans="1:7" x14ac:dyDescent="0.25">
      <c r="G421"/>
    </row>
    <row r="422" spans="1:7" x14ac:dyDescent="0.25">
      <c r="G422"/>
    </row>
    <row r="423" spans="1:7" x14ac:dyDescent="0.25">
      <c r="G423"/>
    </row>
    <row r="424" spans="1:7" x14ac:dyDescent="0.25">
      <c r="G424"/>
    </row>
    <row r="425" spans="1:7" x14ac:dyDescent="0.25">
      <c r="G425"/>
    </row>
    <row r="426" spans="1:7" x14ac:dyDescent="0.25">
      <c r="G426"/>
    </row>
    <row r="427" spans="1:7" x14ac:dyDescent="0.25">
      <c r="G427"/>
    </row>
    <row r="428" spans="1:7" x14ac:dyDescent="0.25">
      <c r="G428"/>
    </row>
    <row r="429" spans="1:7" x14ac:dyDescent="0.25">
      <c r="G429"/>
    </row>
    <row r="430" spans="1:7" x14ac:dyDescent="0.25">
      <c r="G430"/>
    </row>
    <row r="431" spans="1:7" x14ac:dyDescent="0.25">
      <c r="G431"/>
    </row>
    <row r="432" spans="1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71249-3CAF-4048-86F7-34CB95AF254A}">
  <sheetPr>
    <tabColor theme="5" tint="0.39997558519241921"/>
  </sheetPr>
  <dimension ref="A1:AZ769"/>
  <sheetViews>
    <sheetView topLeftCell="G1" workbookViewId="0">
      <selection activeCell="W2" sqref="W2:W769"/>
    </sheetView>
  </sheetViews>
  <sheetFormatPr baseColWidth="10" defaultRowHeight="15" x14ac:dyDescent="0.25"/>
  <cols>
    <col min="3" max="3" width="19.85546875" customWidth="1"/>
    <col min="6" max="6" width="103.28515625" bestFit="1" customWidth="1"/>
  </cols>
  <sheetData>
    <row r="1" spans="1:5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2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4526</v>
      </c>
      <c r="W1" t="s">
        <v>4532</v>
      </c>
      <c r="X1" t="s">
        <v>4531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2</v>
      </c>
      <c r="AX1" t="s">
        <v>41</v>
      </c>
      <c r="AY1" t="s">
        <v>44</v>
      </c>
      <c r="AZ1" t="s">
        <v>45</v>
      </c>
    </row>
    <row r="2" spans="1:52" x14ac:dyDescent="0.25">
      <c r="A2" t="s">
        <v>86</v>
      </c>
      <c r="B2" s="1">
        <v>39358</v>
      </c>
      <c r="C2" t="s">
        <v>87</v>
      </c>
      <c r="D2">
        <v>461598</v>
      </c>
      <c r="E2" t="s">
        <v>46</v>
      </c>
      <c r="F2" t="s">
        <v>109</v>
      </c>
      <c r="G2" t="s">
        <v>88</v>
      </c>
      <c r="H2" t="s">
        <v>87</v>
      </c>
      <c r="I2" t="s">
        <v>110</v>
      </c>
      <c r="J2">
        <v>93</v>
      </c>
      <c r="K2">
        <v>98</v>
      </c>
      <c r="L2">
        <v>101</v>
      </c>
      <c r="M2">
        <v>101</v>
      </c>
      <c r="N2">
        <v>199</v>
      </c>
      <c r="O2" t="s">
        <v>48</v>
      </c>
      <c r="P2">
        <v>-110</v>
      </c>
      <c r="Q2">
        <v>-110</v>
      </c>
      <c r="R2">
        <v>-117</v>
      </c>
      <c r="S2">
        <v>0</v>
      </c>
      <c r="T2">
        <v>0</v>
      </c>
      <c r="U2" t="s">
        <v>108</v>
      </c>
      <c r="V2">
        <f>IF(O2="OOO",3,IF(O2="XXX",0,IF(OR(O2="OOX",O2="OXO",O2="XOO"),2,1)))+IF(U2="OOO",3,IF(U2="XXX",0,IF(OR(U2="OOX",U2="OXO",U2="XOO"),2,1)))</f>
        <v>3</v>
      </c>
      <c r="W2">
        <f>IF(OR(O2="XXO",U2="XXO"),1,0)</f>
        <v>0</v>
      </c>
      <c r="X2">
        <f>IF(AND(O2="XXO",U2="XXO"),1,0)</f>
        <v>0</v>
      </c>
      <c r="Y2">
        <v>101</v>
      </c>
      <c r="Z2">
        <v>199</v>
      </c>
      <c r="AA2" t="s">
        <v>111</v>
      </c>
      <c r="AB2" t="s">
        <v>112</v>
      </c>
      <c r="AC2" t="s">
        <v>49</v>
      </c>
      <c r="AD2">
        <v>999</v>
      </c>
      <c r="AE2">
        <v>67</v>
      </c>
      <c r="AF2" t="s">
        <v>113</v>
      </c>
      <c r="AH2" t="s">
        <v>114</v>
      </c>
      <c r="AI2">
        <v>0</v>
      </c>
      <c r="AJ2" t="s">
        <v>52</v>
      </c>
      <c r="AK2" t="s">
        <v>109</v>
      </c>
      <c r="AL2" t="s">
        <v>115</v>
      </c>
      <c r="AM2" t="s">
        <v>90</v>
      </c>
      <c r="AN2" s="1">
        <v>45639</v>
      </c>
      <c r="AO2">
        <v>2024</v>
      </c>
      <c r="AP2">
        <v>12</v>
      </c>
      <c r="AQ2" t="s">
        <v>116</v>
      </c>
      <c r="AS2" t="s">
        <v>85</v>
      </c>
      <c r="AT2">
        <v>2025</v>
      </c>
      <c r="AU2" t="s">
        <v>88</v>
      </c>
      <c r="AV2" t="s">
        <v>91</v>
      </c>
      <c r="AW2" t="s">
        <v>87</v>
      </c>
      <c r="AX2">
        <v>2025</v>
      </c>
      <c r="AY2" t="s">
        <v>92</v>
      </c>
      <c r="AZ2" t="s">
        <v>92</v>
      </c>
    </row>
    <row r="3" spans="1:52" x14ac:dyDescent="0.25">
      <c r="A3" t="s">
        <v>204</v>
      </c>
      <c r="B3" s="1">
        <v>40354</v>
      </c>
      <c r="C3" t="s">
        <v>205</v>
      </c>
      <c r="D3">
        <v>469764</v>
      </c>
      <c r="E3" t="s">
        <v>46</v>
      </c>
      <c r="F3" t="s">
        <v>213</v>
      </c>
      <c r="G3" t="s">
        <v>70</v>
      </c>
      <c r="H3" t="s">
        <v>205</v>
      </c>
      <c r="I3" t="s">
        <v>214</v>
      </c>
      <c r="J3">
        <v>34</v>
      </c>
      <c r="K3">
        <v>37</v>
      </c>
      <c r="L3">
        <v>-39</v>
      </c>
      <c r="M3">
        <v>37</v>
      </c>
      <c r="N3">
        <v>71</v>
      </c>
      <c r="O3" t="s">
        <v>60</v>
      </c>
      <c r="P3">
        <v>43</v>
      </c>
      <c r="Q3">
        <v>46</v>
      </c>
      <c r="R3">
        <v>48</v>
      </c>
      <c r="S3">
        <v>48</v>
      </c>
      <c r="T3">
        <v>94</v>
      </c>
      <c r="U3" t="s">
        <v>48</v>
      </c>
      <c r="V3">
        <f t="shared" ref="V3:V66" si="0">IF(O3="OOO",3,IF(O3="XXX",0,IF(OR(O3="OOX",O3="OXO",O3="XOO"),2,1)))+IF(U3="OOO",3,IF(U3="XXX",0,IF(OR(U3="OOX",U3="OXO",U3="XOO"),2,1)))</f>
        <v>5</v>
      </c>
      <c r="W3">
        <f t="shared" ref="W3:W66" si="1">IF(OR(O3="XXO",U3="XXO"),1,0)</f>
        <v>0</v>
      </c>
      <c r="X3">
        <f t="shared" ref="X3:X66" si="2">IF(AND(O3="XXO",U3="XXO"),1,0)</f>
        <v>0</v>
      </c>
      <c r="Y3">
        <v>85</v>
      </c>
      <c r="Z3">
        <v>165</v>
      </c>
      <c r="AA3" t="s">
        <v>215</v>
      </c>
      <c r="AB3" t="s">
        <v>216</v>
      </c>
      <c r="AC3" t="s">
        <v>89</v>
      </c>
      <c r="AD3">
        <v>5</v>
      </c>
      <c r="AE3">
        <v>55</v>
      </c>
      <c r="AF3" t="s">
        <v>57</v>
      </c>
      <c r="AH3" t="s">
        <v>172</v>
      </c>
      <c r="AI3">
        <v>124.4</v>
      </c>
      <c r="AJ3" t="s">
        <v>132</v>
      </c>
      <c r="AK3" t="s">
        <v>213</v>
      </c>
      <c r="AL3" t="s">
        <v>217</v>
      </c>
      <c r="AM3" t="s">
        <v>72</v>
      </c>
      <c r="AN3" s="1">
        <v>45640</v>
      </c>
      <c r="AO3">
        <v>2024</v>
      </c>
      <c r="AP3">
        <v>12</v>
      </c>
      <c r="AQ3" t="s">
        <v>116</v>
      </c>
      <c r="AS3" t="s">
        <v>85</v>
      </c>
      <c r="AT3">
        <v>2025</v>
      </c>
      <c r="AU3" t="s">
        <v>70</v>
      </c>
      <c r="AV3" t="s">
        <v>72</v>
      </c>
      <c r="AW3" t="s">
        <v>205</v>
      </c>
      <c r="AX3">
        <v>2025</v>
      </c>
      <c r="AY3" t="s">
        <v>207</v>
      </c>
      <c r="AZ3" t="s">
        <v>215</v>
      </c>
    </row>
    <row r="4" spans="1:52" x14ac:dyDescent="0.25">
      <c r="A4" t="s">
        <v>192</v>
      </c>
      <c r="B4" s="1">
        <v>32790</v>
      </c>
      <c r="C4" t="s">
        <v>193</v>
      </c>
      <c r="D4">
        <v>129971</v>
      </c>
      <c r="E4" t="s">
        <v>46</v>
      </c>
      <c r="F4" t="s">
        <v>199</v>
      </c>
      <c r="G4" t="s">
        <v>194</v>
      </c>
      <c r="H4" t="s">
        <v>193</v>
      </c>
      <c r="I4" t="s">
        <v>200</v>
      </c>
      <c r="J4">
        <v>47</v>
      </c>
      <c r="K4">
        <v>50</v>
      </c>
      <c r="L4">
        <v>53</v>
      </c>
      <c r="M4">
        <v>53</v>
      </c>
      <c r="N4">
        <v>103</v>
      </c>
      <c r="O4" t="s">
        <v>48</v>
      </c>
      <c r="P4">
        <v>59</v>
      </c>
      <c r="Q4">
        <v>63</v>
      </c>
      <c r="R4">
        <v>66</v>
      </c>
      <c r="S4">
        <v>66</v>
      </c>
      <c r="T4">
        <v>129</v>
      </c>
      <c r="U4" t="s">
        <v>48</v>
      </c>
      <c r="V4">
        <f t="shared" si="0"/>
        <v>6</v>
      </c>
      <c r="W4">
        <f t="shared" si="1"/>
        <v>0</v>
      </c>
      <c r="X4">
        <f t="shared" si="2"/>
        <v>0</v>
      </c>
      <c r="Y4">
        <v>119</v>
      </c>
      <c r="Z4">
        <v>232</v>
      </c>
      <c r="AA4" t="s">
        <v>198</v>
      </c>
      <c r="AB4" t="s">
        <v>201</v>
      </c>
      <c r="AC4" t="s">
        <v>93</v>
      </c>
      <c r="AD4">
        <v>6</v>
      </c>
      <c r="AE4">
        <v>59</v>
      </c>
      <c r="AF4" t="s">
        <v>126</v>
      </c>
      <c r="AG4">
        <v>35</v>
      </c>
      <c r="AH4" t="s">
        <v>202</v>
      </c>
      <c r="AI4">
        <v>164.86</v>
      </c>
      <c r="AJ4" t="s">
        <v>132</v>
      </c>
      <c r="AK4" t="s">
        <v>199</v>
      </c>
      <c r="AL4" t="s">
        <v>203</v>
      </c>
      <c r="AM4" t="s">
        <v>53</v>
      </c>
      <c r="AN4" s="1">
        <v>45640</v>
      </c>
      <c r="AO4">
        <v>2024</v>
      </c>
      <c r="AP4">
        <v>12</v>
      </c>
      <c r="AQ4" t="s">
        <v>116</v>
      </c>
      <c r="AS4" t="s">
        <v>85</v>
      </c>
      <c r="AT4">
        <v>2025</v>
      </c>
      <c r="AU4" t="s">
        <v>194</v>
      </c>
      <c r="AV4" t="s">
        <v>54</v>
      </c>
      <c r="AW4" t="s">
        <v>193</v>
      </c>
      <c r="AX4">
        <v>2025</v>
      </c>
      <c r="AY4" t="s">
        <v>196</v>
      </c>
      <c r="AZ4" t="s">
        <v>198</v>
      </c>
    </row>
    <row r="5" spans="1:52" x14ac:dyDescent="0.25">
      <c r="A5" t="s">
        <v>223</v>
      </c>
      <c r="B5" s="1">
        <v>36467</v>
      </c>
      <c r="C5" t="s">
        <v>224</v>
      </c>
      <c r="D5">
        <v>471221</v>
      </c>
      <c r="E5" t="s">
        <v>46</v>
      </c>
      <c r="F5" t="s">
        <v>232</v>
      </c>
      <c r="G5" t="s">
        <v>161</v>
      </c>
      <c r="H5" t="s">
        <v>224</v>
      </c>
      <c r="I5" t="s">
        <v>233</v>
      </c>
      <c r="J5">
        <v>67</v>
      </c>
      <c r="K5">
        <v>-70</v>
      </c>
      <c r="L5">
        <v>-70</v>
      </c>
      <c r="M5">
        <v>67</v>
      </c>
      <c r="N5">
        <v>0</v>
      </c>
      <c r="O5" t="s">
        <v>55</v>
      </c>
      <c r="P5">
        <v>85</v>
      </c>
      <c r="Q5">
        <v>89</v>
      </c>
      <c r="R5">
        <v>-92</v>
      </c>
      <c r="S5">
        <v>89</v>
      </c>
      <c r="T5">
        <v>174</v>
      </c>
      <c r="U5" t="s">
        <v>60</v>
      </c>
      <c r="V5">
        <f t="shared" si="0"/>
        <v>3</v>
      </c>
      <c r="W5">
        <f t="shared" si="1"/>
        <v>0</v>
      </c>
      <c r="X5">
        <f t="shared" si="2"/>
        <v>0</v>
      </c>
      <c r="Y5">
        <v>156</v>
      </c>
      <c r="Z5">
        <v>174</v>
      </c>
      <c r="AA5" t="s">
        <v>234</v>
      </c>
      <c r="AB5" t="s">
        <v>235</v>
      </c>
      <c r="AC5" t="s">
        <v>89</v>
      </c>
      <c r="AD5">
        <v>5</v>
      </c>
      <c r="AE5">
        <v>71</v>
      </c>
      <c r="AF5" t="s">
        <v>126</v>
      </c>
      <c r="AH5" t="s">
        <v>226</v>
      </c>
      <c r="AI5">
        <v>195.05</v>
      </c>
      <c r="AJ5" t="s">
        <v>132</v>
      </c>
      <c r="AK5" t="s">
        <v>232</v>
      </c>
      <c r="AL5" t="s">
        <v>236</v>
      </c>
      <c r="AM5" t="s">
        <v>128</v>
      </c>
      <c r="AN5" s="1">
        <v>45640</v>
      </c>
      <c r="AO5">
        <v>2024</v>
      </c>
      <c r="AP5">
        <v>12</v>
      </c>
      <c r="AQ5" t="s">
        <v>116</v>
      </c>
      <c r="AS5" t="s">
        <v>85</v>
      </c>
      <c r="AT5">
        <v>2025</v>
      </c>
      <c r="AU5" t="s">
        <v>161</v>
      </c>
      <c r="AV5" t="s">
        <v>128</v>
      </c>
      <c r="AW5" t="s">
        <v>224</v>
      </c>
      <c r="AX5">
        <v>2025</v>
      </c>
      <c r="AY5" t="s">
        <v>227</v>
      </c>
      <c r="AZ5" t="s">
        <v>227</v>
      </c>
    </row>
    <row r="6" spans="1:52" x14ac:dyDescent="0.25">
      <c r="A6" t="s">
        <v>256</v>
      </c>
      <c r="B6" s="1">
        <v>34698</v>
      </c>
      <c r="C6" t="s">
        <v>257</v>
      </c>
      <c r="D6">
        <v>455653</v>
      </c>
      <c r="E6" t="s">
        <v>46</v>
      </c>
      <c r="F6" t="s">
        <v>263</v>
      </c>
      <c r="G6" t="s">
        <v>258</v>
      </c>
      <c r="H6" t="s">
        <v>257</v>
      </c>
      <c r="I6" t="s">
        <v>264</v>
      </c>
      <c r="J6">
        <v>120</v>
      </c>
      <c r="K6">
        <v>-125</v>
      </c>
      <c r="L6">
        <v>130</v>
      </c>
      <c r="M6">
        <v>130</v>
      </c>
      <c r="N6">
        <v>250</v>
      </c>
      <c r="O6" t="s">
        <v>65</v>
      </c>
      <c r="P6">
        <v>145</v>
      </c>
      <c r="Q6">
        <v>-159</v>
      </c>
      <c r="R6">
        <v>-165</v>
      </c>
      <c r="S6">
        <v>145</v>
      </c>
      <c r="T6">
        <v>0</v>
      </c>
      <c r="U6" t="s">
        <v>55</v>
      </c>
      <c r="V6">
        <f t="shared" si="0"/>
        <v>3</v>
      </c>
      <c r="W6">
        <f t="shared" si="1"/>
        <v>0</v>
      </c>
      <c r="X6">
        <f t="shared" si="2"/>
        <v>0</v>
      </c>
      <c r="Y6">
        <v>275</v>
      </c>
      <c r="Z6">
        <v>250</v>
      </c>
      <c r="AA6" t="s">
        <v>265</v>
      </c>
      <c r="AB6" t="s">
        <v>266</v>
      </c>
      <c r="AC6" t="s">
        <v>94</v>
      </c>
      <c r="AD6">
        <v>4</v>
      </c>
      <c r="AE6">
        <v>81</v>
      </c>
      <c r="AF6" t="s">
        <v>126</v>
      </c>
      <c r="AH6" t="s">
        <v>138</v>
      </c>
      <c r="AI6">
        <v>350.2</v>
      </c>
      <c r="AJ6" t="s">
        <v>52</v>
      </c>
      <c r="AK6" t="s">
        <v>263</v>
      </c>
      <c r="AL6" t="s">
        <v>267</v>
      </c>
      <c r="AM6" t="s">
        <v>145</v>
      </c>
      <c r="AN6" s="1">
        <v>45640</v>
      </c>
      <c r="AO6">
        <v>2024</v>
      </c>
      <c r="AP6">
        <v>12</v>
      </c>
      <c r="AQ6" t="s">
        <v>116</v>
      </c>
      <c r="AS6" t="s">
        <v>85</v>
      </c>
      <c r="AT6">
        <v>2025</v>
      </c>
      <c r="AU6" t="s">
        <v>258</v>
      </c>
      <c r="AV6" t="s">
        <v>128</v>
      </c>
      <c r="AW6" t="s">
        <v>257</v>
      </c>
      <c r="AX6">
        <v>2025</v>
      </c>
      <c r="AY6" t="s">
        <v>260</v>
      </c>
      <c r="AZ6" t="s">
        <v>260</v>
      </c>
    </row>
    <row r="7" spans="1:52" x14ac:dyDescent="0.25">
      <c r="A7" t="s">
        <v>269</v>
      </c>
      <c r="B7" s="1">
        <v>39423</v>
      </c>
      <c r="C7" t="s">
        <v>270</v>
      </c>
      <c r="D7">
        <v>436001</v>
      </c>
      <c r="E7" t="s">
        <v>46</v>
      </c>
      <c r="F7" t="s">
        <v>281</v>
      </c>
      <c r="G7" t="s">
        <v>271</v>
      </c>
      <c r="H7" t="s">
        <v>270</v>
      </c>
      <c r="I7" t="s">
        <v>282</v>
      </c>
      <c r="J7">
        <v>-112</v>
      </c>
      <c r="K7">
        <v>-114</v>
      </c>
      <c r="L7">
        <v>114</v>
      </c>
      <c r="M7">
        <v>114</v>
      </c>
      <c r="N7">
        <v>0</v>
      </c>
      <c r="O7" t="s">
        <v>102</v>
      </c>
      <c r="P7">
        <v>127</v>
      </c>
      <c r="Q7">
        <v>133</v>
      </c>
      <c r="R7">
        <v>-152</v>
      </c>
      <c r="S7">
        <v>133</v>
      </c>
      <c r="T7">
        <v>260</v>
      </c>
      <c r="U7" t="s">
        <v>60</v>
      </c>
      <c r="V7">
        <f t="shared" si="0"/>
        <v>3</v>
      </c>
      <c r="W7">
        <f t="shared" si="1"/>
        <v>1</v>
      </c>
      <c r="X7">
        <f t="shared" si="2"/>
        <v>0</v>
      </c>
      <c r="Y7">
        <v>247</v>
      </c>
      <c r="Z7">
        <v>260</v>
      </c>
      <c r="AA7" t="s">
        <v>273</v>
      </c>
      <c r="AB7" t="s">
        <v>283</v>
      </c>
      <c r="AC7" t="s">
        <v>94</v>
      </c>
      <c r="AD7">
        <v>4</v>
      </c>
      <c r="AE7">
        <v>73</v>
      </c>
      <c r="AF7" t="s">
        <v>113</v>
      </c>
      <c r="AH7" t="s">
        <v>218</v>
      </c>
      <c r="AI7">
        <v>336.67</v>
      </c>
      <c r="AJ7" t="s">
        <v>52</v>
      </c>
      <c r="AK7" t="s">
        <v>281</v>
      </c>
      <c r="AL7" t="s">
        <v>284</v>
      </c>
      <c r="AM7" t="s">
        <v>139</v>
      </c>
      <c r="AN7" s="1">
        <v>45640</v>
      </c>
      <c r="AO7">
        <v>2024</v>
      </c>
      <c r="AP7">
        <v>12</v>
      </c>
      <c r="AQ7" t="s">
        <v>116</v>
      </c>
      <c r="AS7" t="s">
        <v>85</v>
      </c>
      <c r="AT7">
        <v>2025</v>
      </c>
      <c r="AU7" t="s">
        <v>271</v>
      </c>
      <c r="AV7" t="s">
        <v>140</v>
      </c>
      <c r="AW7" t="s">
        <v>270</v>
      </c>
      <c r="AX7">
        <v>2025</v>
      </c>
      <c r="AY7" t="s">
        <v>273</v>
      </c>
      <c r="AZ7" t="s">
        <v>273</v>
      </c>
    </row>
    <row r="8" spans="1:52" x14ac:dyDescent="0.25">
      <c r="A8" t="s">
        <v>436</v>
      </c>
      <c r="B8" s="1">
        <v>35940</v>
      </c>
      <c r="C8" t="s">
        <v>437</v>
      </c>
      <c r="D8">
        <v>481085</v>
      </c>
      <c r="E8" t="s">
        <v>46</v>
      </c>
      <c r="F8" t="s">
        <v>441</v>
      </c>
      <c r="G8" t="s">
        <v>417</v>
      </c>
      <c r="H8" t="s">
        <v>437</v>
      </c>
      <c r="I8" t="s">
        <v>442</v>
      </c>
      <c r="J8">
        <v>56</v>
      </c>
      <c r="K8">
        <v>59</v>
      </c>
      <c r="L8">
        <v>-62</v>
      </c>
      <c r="M8">
        <v>59</v>
      </c>
      <c r="N8">
        <v>115</v>
      </c>
      <c r="O8" t="s">
        <v>60</v>
      </c>
      <c r="P8">
        <v>76</v>
      </c>
      <c r="Q8">
        <v>81</v>
      </c>
      <c r="R8">
        <v>0</v>
      </c>
      <c r="S8">
        <v>81</v>
      </c>
      <c r="T8">
        <v>157</v>
      </c>
      <c r="U8" t="s">
        <v>60</v>
      </c>
      <c r="V8">
        <f t="shared" si="0"/>
        <v>4</v>
      </c>
      <c r="W8">
        <f t="shared" si="1"/>
        <v>0</v>
      </c>
      <c r="X8">
        <f t="shared" si="2"/>
        <v>0</v>
      </c>
      <c r="Y8">
        <v>140</v>
      </c>
      <c r="Z8">
        <v>272</v>
      </c>
      <c r="AA8" t="s">
        <v>443</v>
      </c>
      <c r="AB8" t="s">
        <v>444</v>
      </c>
      <c r="AC8" t="s">
        <v>89</v>
      </c>
      <c r="AD8">
        <v>5</v>
      </c>
      <c r="AE8">
        <v>59</v>
      </c>
      <c r="AF8" t="s">
        <v>126</v>
      </c>
      <c r="AH8" t="s">
        <v>202</v>
      </c>
      <c r="AI8">
        <v>191.99</v>
      </c>
      <c r="AJ8" t="s">
        <v>132</v>
      </c>
      <c r="AK8" t="s">
        <v>441</v>
      </c>
      <c r="AL8" t="s">
        <v>445</v>
      </c>
      <c r="AM8" t="s">
        <v>72</v>
      </c>
      <c r="AN8" s="1">
        <v>45640</v>
      </c>
      <c r="AO8">
        <v>2024</v>
      </c>
      <c r="AP8">
        <v>12</v>
      </c>
      <c r="AQ8" t="s">
        <v>116</v>
      </c>
      <c r="AS8" t="s">
        <v>85</v>
      </c>
      <c r="AT8">
        <v>2025</v>
      </c>
      <c r="AU8" t="s">
        <v>417</v>
      </c>
      <c r="AV8" t="s">
        <v>72</v>
      </c>
      <c r="AW8" t="s">
        <v>437</v>
      </c>
      <c r="AX8">
        <v>2025</v>
      </c>
      <c r="AY8" t="s">
        <v>439</v>
      </c>
      <c r="AZ8" t="s">
        <v>443</v>
      </c>
    </row>
    <row r="9" spans="1:52" x14ac:dyDescent="0.25">
      <c r="A9" t="s">
        <v>447</v>
      </c>
      <c r="B9" s="1">
        <v>40246</v>
      </c>
      <c r="C9" t="s">
        <v>448</v>
      </c>
      <c r="D9">
        <v>455177</v>
      </c>
      <c r="E9" t="s">
        <v>46</v>
      </c>
      <c r="F9" t="s">
        <v>456</v>
      </c>
      <c r="G9" t="s">
        <v>449</v>
      </c>
      <c r="H9" t="s">
        <v>448</v>
      </c>
      <c r="I9" t="s">
        <v>457</v>
      </c>
      <c r="J9">
        <v>38</v>
      </c>
      <c r="K9">
        <v>-40</v>
      </c>
      <c r="L9">
        <v>40</v>
      </c>
      <c r="M9">
        <v>40</v>
      </c>
      <c r="N9">
        <v>78</v>
      </c>
      <c r="O9" t="s">
        <v>65</v>
      </c>
      <c r="P9">
        <v>48</v>
      </c>
      <c r="Q9">
        <v>51</v>
      </c>
      <c r="R9">
        <v>53</v>
      </c>
      <c r="S9">
        <v>53</v>
      </c>
      <c r="T9">
        <v>104</v>
      </c>
      <c r="U9" t="s">
        <v>48</v>
      </c>
      <c r="V9">
        <f t="shared" si="0"/>
        <v>5</v>
      </c>
      <c r="W9">
        <f t="shared" si="1"/>
        <v>0</v>
      </c>
      <c r="X9">
        <f t="shared" si="2"/>
        <v>0</v>
      </c>
      <c r="Y9">
        <v>93</v>
      </c>
      <c r="Z9">
        <v>182</v>
      </c>
      <c r="AA9" t="s">
        <v>458</v>
      </c>
      <c r="AB9" t="s">
        <v>459</v>
      </c>
      <c r="AC9" t="s">
        <v>94</v>
      </c>
      <c r="AD9">
        <v>4</v>
      </c>
      <c r="AE9">
        <v>45</v>
      </c>
      <c r="AF9" t="s">
        <v>57</v>
      </c>
      <c r="AH9" t="s">
        <v>313</v>
      </c>
      <c r="AI9">
        <v>160.91</v>
      </c>
      <c r="AJ9" t="s">
        <v>132</v>
      </c>
      <c r="AK9" t="s">
        <v>456</v>
      </c>
      <c r="AL9" t="s">
        <v>460</v>
      </c>
      <c r="AM9" t="s">
        <v>173</v>
      </c>
      <c r="AN9" s="1">
        <v>45641</v>
      </c>
      <c r="AO9">
        <v>2024</v>
      </c>
      <c r="AP9">
        <v>12</v>
      </c>
      <c r="AQ9" t="s">
        <v>116</v>
      </c>
      <c r="AS9" t="s">
        <v>85</v>
      </c>
      <c r="AT9">
        <v>2025</v>
      </c>
      <c r="AU9" t="s">
        <v>449</v>
      </c>
      <c r="AV9" t="s">
        <v>173</v>
      </c>
      <c r="AW9" t="s">
        <v>448</v>
      </c>
      <c r="AX9">
        <v>2025</v>
      </c>
      <c r="AY9" t="s">
        <v>451</v>
      </c>
      <c r="AZ9" t="s">
        <v>458</v>
      </c>
    </row>
    <row r="10" spans="1:52" x14ac:dyDescent="0.25">
      <c r="A10" t="s">
        <v>333</v>
      </c>
      <c r="B10" s="1">
        <v>33482</v>
      </c>
      <c r="C10" t="s">
        <v>334</v>
      </c>
      <c r="D10">
        <v>469463</v>
      </c>
      <c r="E10" t="s">
        <v>46</v>
      </c>
      <c r="F10" t="s">
        <v>338</v>
      </c>
      <c r="G10" t="s">
        <v>124</v>
      </c>
      <c r="H10" t="s">
        <v>334</v>
      </c>
      <c r="I10" t="s">
        <v>119</v>
      </c>
      <c r="J10">
        <v>64</v>
      </c>
      <c r="K10">
        <v>67</v>
      </c>
      <c r="L10">
        <v>-70</v>
      </c>
      <c r="M10">
        <v>67</v>
      </c>
      <c r="N10">
        <v>131</v>
      </c>
      <c r="O10" t="s">
        <v>60</v>
      </c>
      <c r="P10">
        <v>83</v>
      </c>
      <c r="Q10">
        <v>-87</v>
      </c>
      <c r="R10">
        <v>88</v>
      </c>
      <c r="S10">
        <v>88</v>
      </c>
      <c r="T10">
        <v>171</v>
      </c>
      <c r="U10" t="s">
        <v>65</v>
      </c>
      <c r="V10">
        <f t="shared" si="0"/>
        <v>4</v>
      </c>
      <c r="W10">
        <f t="shared" si="1"/>
        <v>0</v>
      </c>
      <c r="X10">
        <f t="shared" si="2"/>
        <v>0</v>
      </c>
      <c r="Y10">
        <v>155</v>
      </c>
      <c r="Z10">
        <v>302</v>
      </c>
      <c r="AA10" t="s">
        <v>336</v>
      </c>
      <c r="AB10" t="s">
        <v>339</v>
      </c>
      <c r="AC10" t="s">
        <v>94</v>
      </c>
      <c r="AD10">
        <v>4</v>
      </c>
      <c r="AE10">
        <v>55</v>
      </c>
      <c r="AF10" t="s">
        <v>126</v>
      </c>
      <c r="AH10" t="s">
        <v>197</v>
      </c>
      <c r="AI10">
        <v>223.58</v>
      </c>
      <c r="AJ10" t="s">
        <v>132</v>
      </c>
      <c r="AK10" t="s">
        <v>338</v>
      </c>
      <c r="AL10" t="s">
        <v>340</v>
      </c>
      <c r="AM10" t="s">
        <v>128</v>
      </c>
      <c r="AN10" s="1">
        <v>45640</v>
      </c>
      <c r="AO10">
        <v>2024</v>
      </c>
      <c r="AP10">
        <v>12</v>
      </c>
      <c r="AQ10" t="s">
        <v>116</v>
      </c>
      <c r="AS10" t="s">
        <v>85</v>
      </c>
      <c r="AT10">
        <v>2025</v>
      </c>
      <c r="AU10" t="s">
        <v>124</v>
      </c>
      <c r="AV10" t="s">
        <v>128</v>
      </c>
      <c r="AW10" t="s">
        <v>334</v>
      </c>
      <c r="AX10">
        <v>2025</v>
      </c>
      <c r="AY10" t="s">
        <v>336</v>
      </c>
      <c r="AZ10" t="s">
        <v>336</v>
      </c>
    </row>
    <row r="11" spans="1:52" x14ac:dyDescent="0.25">
      <c r="A11" t="s">
        <v>346</v>
      </c>
      <c r="B11" s="1">
        <v>38477</v>
      </c>
      <c r="C11" t="s">
        <v>347</v>
      </c>
      <c r="D11">
        <v>440558</v>
      </c>
      <c r="E11" t="s">
        <v>46</v>
      </c>
      <c r="F11" t="s">
        <v>360</v>
      </c>
      <c r="G11" t="s">
        <v>348</v>
      </c>
      <c r="H11" t="s">
        <v>347</v>
      </c>
      <c r="I11" t="s">
        <v>361</v>
      </c>
      <c r="J11">
        <v>-57</v>
      </c>
      <c r="K11">
        <v>-57</v>
      </c>
      <c r="L11">
        <v>-57</v>
      </c>
      <c r="M11">
        <v>0</v>
      </c>
      <c r="N11">
        <v>0</v>
      </c>
      <c r="O11" t="s">
        <v>108</v>
      </c>
      <c r="P11">
        <v>-76</v>
      </c>
      <c r="Q11">
        <v>79</v>
      </c>
      <c r="R11">
        <v>-81</v>
      </c>
      <c r="S11">
        <v>79</v>
      </c>
      <c r="T11">
        <v>0</v>
      </c>
      <c r="U11" t="s">
        <v>104</v>
      </c>
      <c r="V11">
        <f t="shared" si="0"/>
        <v>1</v>
      </c>
      <c r="W11">
        <f t="shared" si="1"/>
        <v>0</v>
      </c>
      <c r="X11">
        <f t="shared" si="2"/>
        <v>0</v>
      </c>
      <c r="Y11">
        <v>79</v>
      </c>
      <c r="Z11">
        <v>0</v>
      </c>
      <c r="AA11" t="s">
        <v>362</v>
      </c>
      <c r="AB11" t="s">
        <v>99</v>
      </c>
      <c r="AC11" t="s">
        <v>49</v>
      </c>
      <c r="AD11">
        <v>999</v>
      </c>
      <c r="AE11">
        <v>64</v>
      </c>
      <c r="AF11" t="s">
        <v>113</v>
      </c>
      <c r="AH11" t="s">
        <v>355</v>
      </c>
      <c r="AI11">
        <v>0</v>
      </c>
      <c r="AJ11" t="s">
        <v>132</v>
      </c>
      <c r="AK11" t="s">
        <v>360</v>
      </c>
      <c r="AL11" t="s">
        <v>363</v>
      </c>
      <c r="AM11" t="s">
        <v>53</v>
      </c>
      <c r="AN11" s="1">
        <v>45640</v>
      </c>
      <c r="AO11">
        <v>2024</v>
      </c>
      <c r="AP11">
        <v>12</v>
      </c>
      <c r="AQ11" t="s">
        <v>116</v>
      </c>
      <c r="AS11" t="s">
        <v>85</v>
      </c>
      <c r="AT11">
        <v>2025</v>
      </c>
      <c r="AU11" t="s">
        <v>348</v>
      </c>
      <c r="AV11" t="s">
        <v>54</v>
      </c>
      <c r="AW11" t="s">
        <v>347</v>
      </c>
      <c r="AX11">
        <v>2025</v>
      </c>
      <c r="AY11" t="s">
        <v>349</v>
      </c>
      <c r="AZ11" t="s">
        <v>364</v>
      </c>
    </row>
    <row r="12" spans="1:52" x14ac:dyDescent="0.25">
      <c r="A12" t="s">
        <v>384</v>
      </c>
      <c r="B12" s="1">
        <v>39904</v>
      </c>
      <c r="C12" t="s">
        <v>385</v>
      </c>
      <c r="D12">
        <v>473098</v>
      </c>
      <c r="E12" t="s">
        <v>46</v>
      </c>
      <c r="F12" t="s">
        <v>390</v>
      </c>
      <c r="G12" t="s">
        <v>386</v>
      </c>
      <c r="H12" t="s">
        <v>385</v>
      </c>
      <c r="I12" t="s">
        <v>286</v>
      </c>
      <c r="J12">
        <v>70</v>
      </c>
      <c r="K12">
        <v>-74</v>
      </c>
      <c r="L12">
        <v>-76</v>
      </c>
      <c r="M12">
        <v>70</v>
      </c>
      <c r="N12">
        <v>0</v>
      </c>
      <c r="O12" t="s">
        <v>55</v>
      </c>
      <c r="P12">
        <v>80</v>
      </c>
      <c r="Q12">
        <v>90</v>
      </c>
      <c r="R12">
        <v>-100</v>
      </c>
      <c r="S12">
        <v>90</v>
      </c>
      <c r="T12">
        <v>170</v>
      </c>
      <c r="U12" t="s">
        <v>60</v>
      </c>
      <c r="V12">
        <f t="shared" si="0"/>
        <v>3</v>
      </c>
      <c r="W12">
        <f t="shared" si="1"/>
        <v>0</v>
      </c>
      <c r="X12">
        <f t="shared" si="2"/>
        <v>0</v>
      </c>
      <c r="Y12">
        <v>160</v>
      </c>
      <c r="Z12">
        <v>170</v>
      </c>
      <c r="AA12" t="s">
        <v>387</v>
      </c>
      <c r="AB12" t="s">
        <v>391</v>
      </c>
      <c r="AC12" t="s">
        <v>93</v>
      </c>
      <c r="AD12">
        <v>6</v>
      </c>
      <c r="AE12">
        <v>67</v>
      </c>
      <c r="AF12" t="s">
        <v>95</v>
      </c>
      <c r="AH12" t="s">
        <v>105</v>
      </c>
      <c r="AI12">
        <v>231.57</v>
      </c>
      <c r="AJ12" t="s">
        <v>52</v>
      </c>
      <c r="AK12" t="s">
        <v>390</v>
      </c>
      <c r="AL12" t="s">
        <v>392</v>
      </c>
      <c r="AM12" t="s">
        <v>170</v>
      </c>
      <c r="AN12" s="1">
        <v>45641</v>
      </c>
      <c r="AO12">
        <v>2024</v>
      </c>
      <c r="AP12">
        <v>12</v>
      </c>
      <c r="AQ12" t="s">
        <v>116</v>
      </c>
      <c r="AS12" t="s">
        <v>85</v>
      </c>
      <c r="AT12">
        <v>2025</v>
      </c>
      <c r="AU12" t="s">
        <v>386</v>
      </c>
      <c r="AV12" t="s">
        <v>170</v>
      </c>
      <c r="AW12" t="s">
        <v>385</v>
      </c>
      <c r="AX12">
        <v>2025</v>
      </c>
      <c r="AY12" t="s">
        <v>387</v>
      </c>
      <c r="AZ12" t="s">
        <v>387</v>
      </c>
    </row>
    <row r="13" spans="1:52" x14ac:dyDescent="0.25">
      <c r="A13" t="s">
        <v>487</v>
      </c>
      <c r="B13" s="1">
        <v>39568</v>
      </c>
      <c r="C13" t="s">
        <v>488</v>
      </c>
      <c r="D13">
        <v>473523</v>
      </c>
      <c r="E13" t="s">
        <v>489</v>
      </c>
      <c r="F13" t="s">
        <v>492</v>
      </c>
      <c r="G13" t="s">
        <v>490</v>
      </c>
      <c r="H13" t="s">
        <v>488</v>
      </c>
      <c r="I13" t="s">
        <v>425</v>
      </c>
      <c r="J13">
        <v>102</v>
      </c>
      <c r="K13">
        <v>107</v>
      </c>
      <c r="L13">
        <v>-111</v>
      </c>
      <c r="M13">
        <v>107</v>
      </c>
      <c r="N13">
        <v>209</v>
      </c>
      <c r="O13" t="s">
        <v>60</v>
      </c>
      <c r="P13">
        <v>123</v>
      </c>
      <c r="Q13">
        <v>128</v>
      </c>
      <c r="R13">
        <v>-132</v>
      </c>
      <c r="S13">
        <v>128</v>
      </c>
      <c r="T13">
        <v>251</v>
      </c>
      <c r="U13" t="s">
        <v>60</v>
      </c>
      <c r="V13">
        <f t="shared" si="0"/>
        <v>4</v>
      </c>
      <c r="W13">
        <f t="shared" si="1"/>
        <v>0</v>
      </c>
      <c r="X13">
        <f t="shared" si="2"/>
        <v>0</v>
      </c>
      <c r="Y13">
        <v>235</v>
      </c>
      <c r="Z13">
        <v>460</v>
      </c>
      <c r="AA13" t="s">
        <v>491</v>
      </c>
      <c r="AB13" t="s">
        <v>493</v>
      </c>
      <c r="AC13" t="s">
        <v>98</v>
      </c>
      <c r="AD13">
        <v>3</v>
      </c>
      <c r="AE13">
        <v>81</v>
      </c>
      <c r="AF13" t="s">
        <v>95</v>
      </c>
      <c r="AH13" t="s">
        <v>219</v>
      </c>
      <c r="AI13">
        <v>302.63</v>
      </c>
      <c r="AJ13" t="s">
        <v>52</v>
      </c>
      <c r="AK13" t="s">
        <v>492</v>
      </c>
      <c r="AL13" t="s">
        <v>494</v>
      </c>
      <c r="AM13" t="s">
        <v>90</v>
      </c>
      <c r="AN13" s="1">
        <v>45640</v>
      </c>
      <c r="AO13">
        <v>2024</v>
      </c>
      <c r="AP13">
        <v>12</v>
      </c>
      <c r="AQ13" t="s">
        <v>116</v>
      </c>
      <c r="AS13" t="s">
        <v>85</v>
      </c>
      <c r="AT13">
        <v>2025</v>
      </c>
      <c r="AU13" t="s">
        <v>490</v>
      </c>
      <c r="AV13" t="s">
        <v>91</v>
      </c>
      <c r="AW13" t="s">
        <v>488</v>
      </c>
      <c r="AX13">
        <v>2025</v>
      </c>
      <c r="AY13" t="s">
        <v>491</v>
      </c>
      <c r="AZ13" t="s">
        <v>491</v>
      </c>
    </row>
    <row r="14" spans="1:52" x14ac:dyDescent="0.25">
      <c r="A14" t="s">
        <v>515</v>
      </c>
      <c r="B14" s="1">
        <v>39518</v>
      </c>
      <c r="C14" t="s">
        <v>516</v>
      </c>
      <c r="D14">
        <v>495663</v>
      </c>
      <c r="E14" t="s">
        <v>46</v>
      </c>
      <c r="F14" t="s">
        <v>518</v>
      </c>
      <c r="G14" t="s">
        <v>519</v>
      </c>
      <c r="H14" t="s">
        <v>516</v>
      </c>
      <c r="I14" t="s">
        <v>520</v>
      </c>
      <c r="J14">
        <v>42</v>
      </c>
      <c r="K14">
        <v>46</v>
      </c>
      <c r="L14">
        <v>50</v>
      </c>
      <c r="M14">
        <v>50</v>
      </c>
      <c r="N14">
        <v>96</v>
      </c>
      <c r="O14" t="s">
        <v>48</v>
      </c>
      <c r="P14">
        <v>60</v>
      </c>
      <c r="Q14">
        <v>65</v>
      </c>
      <c r="R14">
        <v>71</v>
      </c>
      <c r="S14">
        <v>71</v>
      </c>
      <c r="T14">
        <v>136</v>
      </c>
      <c r="U14" t="s">
        <v>48</v>
      </c>
      <c r="V14">
        <f t="shared" si="0"/>
        <v>6</v>
      </c>
      <c r="W14">
        <f t="shared" si="1"/>
        <v>0</v>
      </c>
      <c r="X14">
        <f t="shared" si="2"/>
        <v>0</v>
      </c>
      <c r="Y14">
        <v>121</v>
      </c>
      <c r="Z14">
        <v>232</v>
      </c>
      <c r="AA14" t="s">
        <v>517</v>
      </c>
      <c r="AB14" t="s">
        <v>521</v>
      </c>
      <c r="AC14" t="s">
        <v>94</v>
      </c>
      <c r="AD14">
        <v>4</v>
      </c>
      <c r="AE14">
        <v>55</v>
      </c>
      <c r="AF14" t="s">
        <v>95</v>
      </c>
      <c r="AH14" t="s">
        <v>175</v>
      </c>
      <c r="AI14">
        <v>173.75</v>
      </c>
      <c r="AJ14" t="s">
        <v>132</v>
      </c>
      <c r="AK14" t="s">
        <v>518</v>
      </c>
      <c r="AL14" t="s">
        <v>522</v>
      </c>
      <c r="AM14" t="s">
        <v>177</v>
      </c>
      <c r="AN14" s="1">
        <v>45640</v>
      </c>
      <c r="AO14">
        <v>2024</v>
      </c>
      <c r="AP14">
        <v>12</v>
      </c>
      <c r="AQ14" t="s">
        <v>116</v>
      </c>
      <c r="AS14" t="s">
        <v>85</v>
      </c>
      <c r="AT14">
        <v>2025</v>
      </c>
      <c r="AU14" t="s">
        <v>519</v>
      </c>
      <c r="AV14" t="s">
        <v>177</v>
      </c>
      <c r="AW14" t="s">
        <v>516</v>
      </c>
      <c r="AX14">
        <v>2025</v>
      </c>
      <c r="AY14" t="s">
        <v>517</v>
      </c>
      <c r="AZ14" t="s">
        <v>517</v>
      </c>
    </row>
    <row r="15" spans="1:52" x14ac:dyDescent="0.25">
      <c r="A15" t="s">
        <v>523</v>
      </c>
      <c r="B15" s="1">
        <v>39515</v>
      </c>
      <c r="C15" t="s">
        <v>524</v>
      </c>
      <c r="D15">
        <v>454446</v>
      </c>
      <c r="E15" t="s">
        <v>46</v>
      </c>
      <c r="F15" t="s">
        <v>529</v>
      </c>
      <c r="G15" t="s">
        <v>255</v>
      </c>
      <c r="H15" t="s">
        <v>524</v>
      </c>
      <c r="I15" t="s">
        <v>146</v>
      </c>
      <c r="J15">
        <v>45</v>
      </c>
      <c r="K15">
        <v>48</v>
      </c>
      <c r="L15">
        <v>50</v>
      </c>
      <c r="M15">
        <v>50</v>
      </c>
      <c r="N15">
        <v>98</v>
      </c>
      <c r="O15" t="s">
        <v>48</v>
      </c>
      <c r="P15">
        <v>55</v>
      </c>
      <c r="Q15">
        <v>60</v>
      </c>
      <c r="R15">
        <v>-65</v>
      </c>
      <c r="S15">
        <v>60</v>
      </c>
      <c r="T15">
        <v>115</v>
      </c>
      <c r="U15" t="s">
        <v>60</v>
      </c>
      <c r="V15">
        <f t="shared" si="0"/>
        <v>5</v>
      </c>
      <c r="W15">
        <f t="shared" si="1"/>
        <v>0</v>
      </c>
      <c r="X15">
        <f t="shared" si="2"/>
        <v>0</v>
      </c>
      <c r="Y15">
        <v>110</v>
      </c>
      <c r="Z15">
        <v>213</v>
      </c>
      <c r="AA15" t="s">
        <v>526</v>
      </c>
      <c r="AB15" t="s">
        <v>530</v>
      </c>
      <c r="AC15" t="s">
        <v>89</v>
      </c>
      <c r="AD15">
        <v>5</v>
      </c>
      <c r="AE15">
        <v>64</v>
      </c>
      <c r="AF15" t="s">
        <v>95</v>
      </c>
      <c r="AH15" t="s">
        <v>169</v>
      </c>
      <c r="AI15">
        <v>148.56</v>
      </c>
      <c r="AJ15" t="s">
        <v>132</v>
      </c>
      <c r="AK15" t="s">
        <v>529</v>
      </c>
      <c r="AL15" t="s">
        <v>531</v>
      </c>
      <c r="AM15" t="s">
        <v>68</v>
      </c>
      <c r="AN15" s="1">
        <v>45640</v>
      </c>
      <c r="AO15">
        <v>2024</v>
      </c>
      <c r="AP15">
        <v>12</v>
      </c>
      <c r="AQ15" t="s">
        <v>116</v>
      </c>
      <c r="AS15" t="s">
        <v>85</v>
      </c>
      <c r="AT15">
        <v>2025</v>
      </c>
      <c r="AU15" t="s">
        <v>255</v>
      </c>
      <c r="AV15" t="s">
        <v>68</v>
      </c>
      <c r="AW15" t="s">
        <v>524</v>
      </c>
      <c r="AX15">
        <v>2025</v>
      </c>
      <c r="AY15" t="s">
        <v>526</v>
      </c>
      <c r="AZ15" t="s">
        <v>526</v>
      </c>
    </row>
    <row r="16" spans="1:52" x14ac:dyDescent="0.25">
      <c r="A16" t="s">
        <v>542</v>
      </c>
      <c r="B16" s="1">
        <v>35131</v>
      </c>
      <c r="C16" t="s">
        <v>543</v>
      </c>
      <c r="D16">
        <v>220892</v>
      </c>
      <c r="E16" t="s">
        <v>46</v>
      </c>
      <c r="F16" t="s">
        <v>547</v>
      </c>
      <c r="G16" t="s">
        <v>548</v>
      </c>
      <c r="H16" t="s">
        <v>543</v>
      </c>
      <c r="I16" t="s">
        <v>378</v>
      </c>
      <c r="J16">
        <v>79</v>
      </c>
      <c r="K16">
        <v>82</v>
      </c>
      <c r="L16">
        <v>85</v>
      </c>
      <c r="M16">
        <v>85</v>
      </c>
      <c r="N16">
        <v>167</v>
      </c>
      <c r="O16" t="s">
        <v>48</v>
      </c>
      <c r="P16">
        <v>110</v>
      </c>
      <c r="Q16">
        <v>114</v>
      </c>
      <c r="R16">
        <v>-119</v>
      </c>
      <c r="S16">
        <v>114</v>
      </c>
      <c r="T16">
        <v>224</v>
      </c>
      <c r="U16" t="s">
        <v>60</v>
      </c>
      <c r="V16">
        <f t="shared" si="0"/>
        <v>5</v>
      </c>
      <c r="W16">
        <f t="shared" si="1"/>
        <v>0</v>
      </c>
      <c r="X16">
        <f t="shared" si="2"/>
        <v>0</v>
      </c>
      <c r="Y16">
        <v>199</v>
      </c>
      <c r="Z16">
        <v>391</v>
      </c>
      <c r="AA16" t="s">
        <v>549</v>
      </c>
      <c r="AB16" t="s">
        <v>550</v>
      </c>
      <c r="AC16" t="s">
        <v>89</v>
      </c>
      <c r="AD16">
        <v>5</v>
      </c>
      <c r="AE16">
        <v>61</v>
      </c>
      <c r="AF16" t="s">
        <v>126</v>
      </c>
      <c r="AH16" t="s">
        <v>144</v>
      </c>
      <c r="AI16">
        <v>310.38</v>
      </c>
      <c r="AJ16" t="s">
        <v>52</v>
      </c>
      <c r="AK16" t="s">
        <v>547</v>
      </c>
      <c r="AL16" t="s">
        <v>551</v>
      </c>
      <c r="AM16" t="s">
        <v>72</v>
      </c>
      <c r="AN16" s="1">
        <v>45640</v>
      </c>
      <c r="AO16">
        <v>2024</v>
      </c>
      <c r="AP16">
        <v>12</v>
      </c>
      <c r="AQ16" t="s">
        <v>116</v>
      </c>
      <c r="AS16" t="s">
        <v>85</v>
      </c>
      <c r="AT16">
        <v>2025</v>
      </c>
      <c r="AU16" t="s">
        <v>548</v>
      </c>
      <c r="AV16" t="s">
        <v>72</v>
      </c>
      <c r="AW16" t="s">
        <v>543</v>
      </c>
      <c r="AX16">
        <v>2025</v>
      </c>
      <c r="AY16" t="s">
        <v>545</v>
      </c>
      <c r="AZ16" t="s">
        <v>549</v>
      </c>
    </row>
    <row r="17" spans="1:52" x14ac:dyDescent="0.25">
      <c r="A17" t="s">
        <v>554</v>
      </c>
      <c r="B17" s="1">
        <v>36342</v>
      </c>
      <c r="C17" t="s">
        <v>555</v>
      </c>
      <c r="D17">
        <v>491220</v>
      </c>
      <c r="E17" t="s">
        <v>46</v>
      </c>
      <c r="F17" t="s">
        <v>559</v>
      </c>
      <c r="G17" t="s">
        <v>556</v>
      </c>
      <c r="H17" t="s">
        <v>555</v>
      </c>
      <c r="I17">
        <v>73</v>
      </c>
      <c r="J17">
        <v>100</v>
      </c>
      <c r="K17">
        <v>103</v>
      </c>
      <c r="L17">
        <v>106</v>
      </c>
      <c r="M17">
        <v>106</v>
      </c>
      <c r="N17">
        <v>209</v>
      </c>
      <c r="O17" t="s">
        <v>48</v>
      </c>
      <c r="P17">
        <v>117</v>
      </c>
      <c r="Q17">
        <v>-121</v>
      </c>
      <c r="R17">
        <v>-121</v>
      </c>
      <c r="S17">
        <v>117</v>
      </c>
      <c r="T17">
        <v>0</v>
      </c>
      <c r="U17" t="s">
        <v>55</v>
      </c>
      <c r="V17">
        <f t="shared" si="0"/>
        <v>4</v>
      </c>
      <c r="W17">
        <f t="shared" si="1"/>
        <v>0</v>
      </c>
      <c r="X17">
        <f t="shared" si="2"/>
        <v>0</v>
      </c>
      <c r="Y17">
        <v>223</v>
      </c>
      <c r="Z17">
        <v>209</v>
      </c>
      <c r="AA17" t="s">
        <v>560</v>
      </c>
      <c r="AB17" t="s">
        <v>561</v>
      </c>
      <c r="AC17" t="s">
        <v>93</v>
      </c>
      <c r="AD17">
        <v>6</v>
      </c>
      <c r="AE17">
        <v>73</v>
      </c>
      <c r="AF17" t="s">
        <v>126</v>
      </c>
      <c r="AH17" t="s">
        <v>141</v>
      </c>
      <c r="AI17">
        <v>300.60000000000002</v>
      </c>
      <c r="AJ17" t="s">
        <v>52</v>
      </c>
      <c r="AK17" t="s">
        <v>559</v>
      </c>
      <c r="AL17" t="s">
        <v>562</v>
      </c>
      <c r="AM17" t="s">
        <v>302</v>
      </c>
      <c r="AN17" s="1">
        <v>45640</v>
      </c>
      <c r="AO17">
        <v>2024</v>
      </c>
      <c r="AP17">
        <v>12</v>
      </c>
      <c r="AQ17" t="s">
        <v>116</v>
      </c>
      <c r="AS17" t="s">
        <v>85</v>
      </c>
      <c r="AT17">
        <v>2025</v>
      </c>
      <c r="AU17" t="s">
        <v>556</v>
      </c>
      <c r="AV17" t="s">
        <v>303</v>
      </c>
      <c r="AW17" t="s">
        <v>555</v>
      </c>
      <c r="AX17">
        <v>2025</v>
      </c>
      <c r="AY17" t="s">
        <v>558</v>
      </c>
      <c r="AZ17" t="s">
        <v>560</v>
      </c>
    </row>
    <row r="18" spans="1:52" x14ac:dyDescent="0.25">
      <c r="A18" t="s">
        <v>568</v>
      </c>
      <c r="B18" s="1">
        <v>39678</v>
      </c>
      <c r="C18" t="s">
        <v>569</v>
      </c>
      <c r="D18">
        <v>494859</v>
      </c>
      <c r="E18" t="s">
        <v>46</v>
      </c>
      <c r="F18" t="s">
        <v>529</v>
      </c>
      <c r="G18" t="s">
        <v>255</v>
      </c>
      <c r="H18" t="s">
        <v>569</v>
      </c>
      <c r="I18" t="s">
        <v>572</v>
      </c>
      <c r="J18">
        <v>40</v>
      </c>
      <c r="K18">
        <v>-43</v>
      </c>
      <c r="L18">
        <v>43</v>
      </c>
      <c r="M18">
        <v>43</v>
      </c>
      <c r="N18">
        <v>83</v>
      </c>
      <c r="O18" t="s">
        <v>65</v>
      </c>
      <c r="P18">
        <v>50</v>
      </c>
      <c r="Q18">
        <v>53</v>
      </c>
      <c r="R18">
        <v>55</v>
      </c>
      <c r="S18">
        <v>55</v>
      </c>
      <c r="T18">
        <v>108</v>
      </c>
      <c r="U18" t="s">
        <v>48</v>
      </c>
      <c r="V18">
        <f t="shared" si="0"/>
        <v>5</v>
      </c>
      <c r="W18">
        <f t="shared" si="1"/>
        <v>0</v>
      </c>
      <c r="X18">
        <f t="shared" si="2"/>
        <v>0</v>
      </c>
      <c r="Y18">
        <v>98</v>
      </c>
      <c r="Z18">
        <v>191</v>
      </c>
      <c r="AA18" t="s">
        <v>570</v>
      </c>
      <c r="AB18" t="s">
        <v>573</v>
      </c>
      <c r="AC18" t="s">
        <v>93</v>
      </c>
      <c r="AD18">
        <v>6</v>
      </c>
      <c r="AE18">
        <v>64</v>
      </c>
      <c r="AF18" t="s">
        <v>95</v>
      </c>
      <c r="AH18" t="s">
        <v>169</v>
      </c>
      <c r="AI18">
        <v>129.31</v>
      </c>
      <c r="AJ18" t="s">
        <v>132</v>
      </c>
      <c r="AK18" t="s">
        <v>529</v>
      </c>
      <c r="AL18" t="s">
        <v>531</v>
      </c>
      <c r="AM18" t="s">
        <v>68</v>
      </c>
      <c r="AN18" s="1">
        <v>45640</v>
      </c>
      <c r="AO18">
        <v>2024</v>
      </c>
      <c r="AP18">
        <v>12</v>
      </c>
      <c r="AQ18" t="s">
        <v>116</v>
      </c>
      <c r="AS18" t="s">
        <v>85</v>
      </c>
      <c r="AT18">
        <v>2025</v>
      </c>
      <c r="AU18" t="s">
        <v>255</v>
      </c>
      <c r="AV18" t="s">
        <v>68</v>
      </c>
      <c r="AW18" t="s">
        <v>569</v>
      </c>
      <c r="AX18">
        <v>2025</v>
      </c>
      <c r="AY18" t="s">
        <v>570</v>
      </c>
      <c r="AZ18" t="s">
        <v>570</v>
      </c>
    </row>
    <row r="19" spans="1:52" x14ac:dyDescent="0.25">
      <c r="A19" t="s">
        <v>578</v>
      </c>
      <c r="B19" s="1">
        <v>36662</v>
      </c>
      <c r="C19" t="s">
        <v>579</v>
      </c>
      <c r="D19">
        <v>490272</v>
      </c>
      <c r="E19" t="s">
        <v>580</v>
      </c>
      <c r="F19" t="s">
        <v>582</v>
      </c>
      <c r="G19" t="s">
        <v>386</v>
      </c>
      <c r="H19" t="s">
        <v>579</v>
      </c>
      <c r="I19" t="s">
        <v>156</v>
      </c>
      <c r="J19">
        <v>100</v>
      </c>
      <c r="K19">
        <v>104</v>
      </c>
      <c r="L19">
        <v>-107</v>
      </c>
      <c r="M19">
        <v>104</v>
      </c>
      <c r="N19">
        <v>204</v>
      </c>
      <c r="O19" t="s">
        <v>60</v>
      </c>
      <c r="P19">
        <v>115</v>
      </c>
      <c r="Q19">
        <v>-121</v>
      </c>
      <c r="R19">
        <v>-121</v>
      </c>
      <c r="S19">
        <v>115</v>
      </c>
      <c r="T19">
        <v>0</v>
      </c>
      <c r="U19" t="s">
        <v>55</v>
      </c>
      <c r="V19">
        <f t="shared" si="0"/>
        <v>3</v>
      </c>
      <c r="W19">
        <f t="shared" si="1"/>
        <v>0</v>
      </c>
      <c r="X19">
        <f t="shared" si="2"/>
        <v>0</v>
      </c>
      <c r="Y19">
        <v>219</v>
      </c>
      <c r="Z19">
        <v>204</v>
      </c>
      <c r="AA19" t="s">
        <v>583</v>
      </c>
      <c r="AB19" t="s">
        <v>584</v>
      </c>
      <c r="AC19" t="s">
        <v>64</v>
      </c>
      <c r="AD19">
        <v>7</v>
      </c>
      <c r="AE19">
        <v>89</v>
      </c>
      <c r="AF19" t="s">
        <v>126</v>
      </c>
      <c r="AH19" t="s">
        <v>155</v>
      </c>
      <c r="AI19">
        <v>271.23</v>
      </c>
      <c r="AJ19" t="s">
        <v>52</v>
      </c>
      <c r="AK19" t="s">
        <v>582</v>
      </c>
      <c r="AL19" t="s">
        <v>585</v>
      </c>
      <c r="AM19" t="s">
        <v>170</v>
      </c>
      <c r="AN19" s="1">
        <v>45640</v>
      </c>
      <c r="AO19">
        <v>2024</v>
      </c>
      <c r="AP19">
        <v>12</v>
      </c>
      <c r="AQ19" t="s">
        <v>116</v>
      </c>
      <c r="AS19" t="s">
        <v>85</v>
      </c>
      <c r="AT19">
        <v>2025</v>
      </c>
      <c r="AU19" t="s">
        <v>386</v>
      </c>
      <c r="AV19" t="s">
        <v>170</v>
      </c>
      <c r="AW19" t="s">
        <v>579</v>
      </c>
      <c r="AX19">
        <v>2025</v>
      </c>
      <c r="AY19" t="s">
        <v>581</v>
      </c>
      <c r="AZ19" t="s">
        <v>581</v>
      </c>
    </row>
    <row r="20" spans="1:52" x14ac:dyDescent="0.25">
      <c r="A20" t="s">
        <v>586</v>
      </c>
      <c r="B20" s="1">
        <v>37023</v>
      </c>
      <c r="C20" t="s">
        <v>587</v>
      </c>
      <c r="D20">
        <v>483766</v>
      </c>
      <c r="E20" t="s">
        <v>46</v>
      </c>
      <c r="F20" t="s">
        <v>588</v>
      </c>
      <c r="G20" t="s">
        <v>589</v>
      </c>
      <c r="H20" t="s">
        <v>587</v>
      </c>
      <c r="I20">
        <v>78</v>
      </c>
      <c r="J20">
        <v>103</v>
      </c>
      <c r="K20">
        <v>107</v>
      </c>
      <c r="L20">
        <v>110</v>
      </c>
      <c r="M20">
        <v>110</v>
      </c>
      <c r="N20">
        <v>217</v>
      </c>
      <c r="O20" t="s">
        <v>48</v>
      </c>
      <c r="P20">
        <v>135</v>
      </c>
      <c r="Q20">
        <v>140</v>
      </c>
      <c r="R20">
        <v>-145</v>
      </c>
      <c r="S20">
        <v>140</v>
      </c>
      <c r="T20">
        <v>275</v>
      </c>
      <c r="U20" t="s">
        <v>60</v>
      </c>
      <c r="V20">
        <f t="shared" si="0"/>
        <v>5</v>
      </c>
      <c r="W20">
        <f t="shared" si="1"/>
        <v>0</v>
      </c>
      <c r="X20">
        <f t="shared" si="2"/>
        <v>0</v>
      </c>
      <c r="Y20">
        <v>250</v>
      </c>
      <c r="Z20">
        <v>492</v>
      </c>
      <c r="AA20" t="s">
        <v>590</v>
      </c>
      <c r="AB20" t="s">
        <v>591</v>
      </c>
      <c r="AC20" t="s">
        <v>89</v>
      </c>
      <c r="AD20">
        <v>5</v>
      </c>
      <c r="AE20">
        <v>81</v>
      </c>
      <c r="AF20" t="s">
        <v>126</v>
      </c>
      <c r="AH20" t="s">
        <v>138</v>
      </c>
      <c r="AI20">
        <v>324.05</v>
      </c>
      <c r="AJ20" t="s">
        <v>52</v>
      </c>
      <c r="AK20" t="s">
        <v>588</v>
      </c>
      <c r="AL20" t="s">
        <v>592</v>
      </c>
      <c r="AM20" t="s">
        <v>68</v>
      </c>
      <c r="AN20" s="1">
        <v>45640</v>
      </c>
      <c r="AO20">
        <v>2024</v>
      </c>
      <c r="AP20">
        <v>12</v>
      </c>
      <c r="AQ20" t="s">
        <v>116</v>
      </c>
      <c r="AS20" t="s">
        <v>85</v>
      </c>
      <c r="AT20">
        <v>2025</v>
      </c>
      <c r="AU20" t="s">
        <v>589</v>
      </c>
      <c r="AV20" t="s">
        <v>68</v>
      </c>
      <c r="AW20" t="s">
        <v>587</v>
      </c>
      <c r="AX20">
        <v>2025</v>
      </c>
      <c r="AY20" t="s">
        <v>590</v>
      </c>
      <c r="AZ20" t="s">
        <v>590</v>
      </c>
    </row>
    <row r="21" spans="1:52" x14ac:dyDescent="0.25">
      <c r="A21" t="s">
        <v>603</v>
      </c>
      <c r="B21" s="1">
        <v>32441</v>
      </c>
      <c r="C21" t="s">
        <v>604</v>
      </c>
      <c r="D21">
        <v>482122</v>
      </c>
      <c r="E21" t="s">
        <v>46</v>
      </c>
      <c r="F21" t="s">
        <v>338</v>
      </c>
      <c r="G21" t="s">
        <v>606</v>
      </c>
      <c r="H21" t="s">
        <v>604</v>
      </c>
      <c r="I21">
        <v>49</v>
      </c>
      <c r="J21">
        <v>55</v>
      </c>
      <c r="K21">
        <v>-60</v>
      </c>
      <c r="L21">
        <v>63</v>
      </c>
      <c r="M21">
        <v>63</v>
      </c>
      <c r="N21">
        <v>118</v>
      </c>
      <c r="O21" t="s">
        <v>65</v>
      </c>
      <c r="P21">
        <v>70</v>
      </c>
      <c r="Q21">
        <v>80</v>
      </c>
      <c r="R21">
        <v>-82</v>
      </c>
      <c r="S21">
        <v>80</v>
      </c>
      <c r="T21">
        <v>150</v>
      </c>
      <c r="U21" t="s">
        <v>60</v>
      </c>
      <c r="V21">
        <f t="shared" si="0"/>
        <v>4</v>
      </c>
      <c r="W21">
        <f t="shared" si="1"/>
        <v>0</v>
      </c>
      <c r="X21">
        <f t="shared" si="2"/>
        <v>0</v>
      </c>
      <c r="Y21">
        <v>143</v>
      </c>
      <c r="Z21">
        <v>268</v>
      </c>
      <c r="AA21" t="s">
        <v>605</v>
      </c>
      <c r="AB21" t="s">
        <v>607</v>
      </c>
      <c r="AC21" t="s">
        <v>94</v>
      </c>
      <c r="AD21">
        <v>4</v>
      </c>
      <c r="AE21">
        <v>49</v>
      </c>
      <c r="AF21" t="s">
        <v>126</v>
      </c>
      <c r="AG21">
        <v>35</v>
      </c>
      <c r="AH21" t="s">
        <v>195</v>
      </c>
      <c r="AI21">
        <v>223.58</v>
      </c>
      <c r="AJ21" t="s">
        <v>132</v>
      </c>
      <c r="AK21" t="s">
        <v>338</v>
      </c>
      <c r="AL21" t="s">
        <v>340</v>
      </c>
      <c r="AM21" t="s">
        <v>128</v>
      </c>
      <c r="AN21" s="1">
        <v>45640</v>
      </c>
      <c r="AO21">
        <v>2024</v>
      </c>
      <c r="AP21">
        <v>12</v>
      </c>
      <c r="AQ21" t="s">
        <v>116</v>
      </c>
      <c r="AS21" t="s">
        <v>85</v>
      </c>
      <c r="AT21">
        <v>2025</v>
      </c>
      <c r="AU21" t="s">
        <v>606</v>
      </c>
      <c r="AV21" t="s">
        <v>128</v>
      </c>
      <c r="AW21" t="s">
        <v>604</v>
      </c>
      <c r="AX21">
        <v>2025</v>
      </c>
      <c r="AY21" t="s">
        <v>605</v>
      </c>
      <c r="AZ21" t="s">
        <v>605</v>
      </c>
    </row>
    <row r="22" spans="1:52" x14ac:dyDescent="0.25">
      <c r="A22" t="s">
        <v>612</v>
      </c>
      <c r="B22" s="1">
        <v>34389</v>
      </c>
      <c r="C22" t="s">
        <v>613</v>
      </c>
      <c r="D22">
        <v>483324</v>
      </c>
      <c r="E22" t="s">
        <v>614</v>
      </c>
      <c r="F22" t="s">
        <v>617</v>
      </c>
      <c r="G22" t="s">
        <v>615</v>
      </c>
      <c r="H22" t="s">
        <v>613</v>
      </c>
      <c r="I22">
        <v>57</v>
      </c>
      <c r="J22">
        <v>46</v>
      </c>
      <c r="K22">
        <v>-49</v>
      </c>
      <c r="L22">
        <v>50</v>
      </c>
      <c r="M22">
        <v>50</v>
      </c>
      <c r="N22">
        <v>96</v>
      </c>
      <c r="O22" t="s">
        <v>65</v>
      </c>
      <c r="P22">
        <v>62</v>
      </c>
      <c r="Q22">
        <v>-65</v>
      </c>
      <c r="R22">
        <v>-66</v>
      </c>
      <c r="S22">
        <v>62</v>
      </c>
      <c r="T22">
        <v>0</v>
      </c>
      <c r="U22" t="s">
        <v>55</v>
      </c>
      <c r="V22">
        <f t="shared" si="0"/>
        <v>3</v>
      </c>
      <c r="W22">
        <f t="shared" si="1"/>
        <v>0</v>
      </c>
      <c r="X22">
        <f t="shared" si="2"/>
        <v>0</v>
      </c>
      <c r="Y22">
        <v>112</v>
      </c>
      <c r="Z22">
        <v>96</v>
      </c>
      <c r="AA22" t="s">
        <v>618</v>
      </c>
      <c r="AB22" t="s">
        <v>619</v>
      </c>
      <c r="AC22" t="s">
        <v>93</v>
      </c>
      <c r="AD22">
        <v>6</v>
      </c>
      <c r="AE22">
        <v>59</v>
      </c>
      <c r="AF22" t="s">
        <v>126</v>
      </c>
      <c r="AH22" t="s">
        <v>202</v>
      </c>
      <c r="AI22">
        <v>156.81</v>
      </c>
      <c r="AJ22" t="s">
        <v>132</v>
      </c>
      <c r="AK22" t="s">
        <v>617</v>
      </c>
      <c r="AL22" t="s">
        <v>620</v>
      </c>
      <c r="AM22" t="s">
        <v>90</v>
      </c>
      <c r="AN22" s="1">
        <v>45640</v>
      </c>
      <c r="AO22">
        <v>2024</v>
      </c>
      <c r="AP22">
        <v>12</v>
      </c>
      <c r="AQ22" t="s">
        <v>116</v>
      </c>
      <c r="AS22" t="s">
        <v>85</v>
      </c>
      <c r="AT22">
        <v>2025</v>
      </c>
      <c r="AU22" t="s">
        <v>615</v>
      </c>
      <c r="AV22" t="s">
        <v>91</v>
      </c>
      <c r="AW22" t="s">
        <v>613</v>
      </c>
      <c r="AX22">
        <v>2025</v>
      </c>
      <c r="AY22" t="s">
        <v>616</v>
      </c>
      <c r="AZ22" t="s">
        <v>618</v>
      </c>
    </row>
    <row r="23" spans="1:52" x14ac:dyDescent="0.25">
      <c r="A23" t="s">
        <v>622</v>
      </c>
      <c r="B23" s="1">
        <v>33214</v>
      </c>
      <c r="C23" t="s">
        <v>623</v>
      </c>
      <c r="D23">
        <v>492514</v>
      </c>
      <c r="E23" t="s">
        <v>46</v>
      </c>
      <c r="F23" t="s">
        <v>625</v>
      </c>
      <c r="G23" t="s">
        <v>566</v>
      </c>
      <c r="H23" t="s">
        <v>623</v>
      </c>
      <c r="I23" t="s">
        <v>214</v>
      </c>
      <c r="J23">
        <v>-63</v>
      </c>
      <c r="K23">
        <v>63</v>
      </c>
      <c r="L23">
        <v>65</v>
      </c>
      <c r="M23">
        <v>65</v>
      </c>
      <c r="N23">
        <v>128</v>
      </c>
      <c r="O23" t="s">
        <v>63</v>
      </c>
      <c r="P23">
        <v>-80</v>
      </c>
      <c r="Q23">
        <v>-80</v>
      </c>
      <c r="R23">
        <v>80</v>
      </c>
      <c r="S23">
        <v>80</v>
      </c>
      <c r="T23">
        <v>0</v>
      </c>
      <c r="U23" t="s">
        <v>102</v>
      </c>
      <c r="V23">
        <f t="shared" si="0"/>
        <v>3</v>
      </c>
      <c r="W23">
        <f t="shared" si="1"/>
        <v>1</v>
      </c>
      <c r="X23">
        <f t="shared" si="2"/>
        <v>0</v>
      </c>
      <c r="Y23">
        <v>145</v>
      </c>
      <c r="Z23">
        <v>128</v>
      </c>
      <c r="AA23" t="s">
        <v>624</v>
      </c>
      <c r="AB23" t="s">
        <v>626</v>
      </c>
      <c r="AC23" t="s">
        <v>94</v>
      </c>
      <c r="AD23">
        <v>4</v>
      </c>
      <c r="AE23">
        <v>55</v>
      </c>
      <c r="AF23" t="s">
        <v>126</v>
      </c>
      <c r="AG23">
        <v>35</v>
      </c>
      <c r="AH23" t="s">
        <v>197</v>
      </c>
      <c r="AI23">
        <v>212.22</v>
      </c>
      <c r="AJ23" t="s">
        <v>132</v>
      </c>
      <c r="AK23" t="s">
        <v>625</v>
      </c>
      <c r="AL23" t="s">
        <v>627</v>
      </c>
      <c r="AM23" t="s">
        <v>139</v>
      </c>
      <c r="AN23" s="1">
        <v>45641</v>
      </c>
      <c r="AO23">
        <v>2024</v>
      </c>
      <c r="AP23">
        <v>12</v>
      </c>
      <c r="AQ23" t="s">
        <v>116</v>
      </c>
      <c r="AS23" t="s">
        <v>85</v>
      </c>
      <c r="AT23">
        <v>2025</v>
      </c>
      <c r="AU23" t="s">
        <v>566</v>
      </c>
      <c r="AV23" t="s">
        <v>140</v>
      </c>
      <c r="AW23" t="s">
        <v>623</v>
      </c>
      <c r="AX23">
        <v>2025</v>
      </c>
      <c r="AY23" t="s">
        <v>624</v>
      </c>
      <c r="AZ23" t="s">
        <v>624</v>
      </c>
    </row>
    <row r="24" spans="1:52" x14ac:dyDescent="0.25">
      <c r="A24" t="s">
        <v>629</v>
      </c>
      <c r="B24" s="1">
        <v>34846</v>
      </c>
      <c r="C24" t="s">
        <v>630</v>
      </c>
      <c r="D24">
        <v>453613</v>
      </c>
      <c r="E24" t="s">
        <v>46</v>
      </c>
      <c r="F24" t="s">
        <v>633</v>
      </c>
      <c r="G24" t="s">
        <v>634</v>
      </c>
      <c r="H24" t="s">
        <v>630</v>
      </c>
      <c r="I24">
        <v>88</v>
      </c>
      <c r="J24">
        <v>-120</v>
      </c>
      <c r="K24">
        <v>121</v>
      </c>
      <c r="L24">
        <v>-125</v>
      </c>
      <c r="M24">
        <v>121</v>
      </c>
      <c r="N24">
        <v>0</v>
      </c>
      <c r="O24" t="s">
        <v>104</v>
      </c>
      <c r="P24">
        <v>139</v>
      </c>
      <c r="Q24">
        <v>155</v>
      </c>
      <c r="R24">
        <v>-160</v>
      </c>
      <c r="S24">
        <v>155</v>
      </c>
      <c r="T24">
        <v>294</v>
      </c>
      <c r="U24" t="s">
        <v>60</v>
      </c>
      <c r="V24">
        <f t="shared" si="0"/>
        <v>3</v>
      </c>
      <c r="W24">
        <f t="shared" si="1"/>
        <v>0</v>
      </c>
      <c r="X24">
        <f t="shared" si="2"/>
        <v>0</v>
      </c>
      <c r="Y24">
        <v>276</v>
      </c>
      <c r="Z24">
        <v>294</v>
      </c>
      <c r="AA24" t="s">
        <v>635</v>
      </c>
      <c r="AB24" t="s">
        <v>636</v>
      </c>
      <c r="AC24" t="s">
        <v>89</v>
      </c>
      <c r="AD24">
        <v>5</v>
      </c>
      <c r="AE24">
        <v>89</v>
      </c>
      <c r="AF24" t="s">
        <v>126</v>
      </c>
      <c r="AH24" t="s">
        <v>155</v>
      </c>
      <c r="AI24">
        <v>335.47</v>
      </c>
      <c r="AJ24" t="s">
        <v>52</v>
      </c>
      <c r="AK24" t="s">
        <v>633</v>
      </c>
      <c r="AL24" t="s">
        <v>637</v>
      </c>
      <c r="AM24" t="s">
        <v>139</v>
      </c>
      <c r="AN24" s="1">
        <v>45640</v>
      </c>
      <c r="AO24">
        <v>2024</v>
      </c>
      <c r="AP24">
        <v>12</v>
      </c>
      <c r="AQ24" t="s">
        <v>116</v>
      </c>
      <c r="AS24" t="s">
        <v>85</v>
      </c>
      <c r="AT24">
        <v>2025</v>
      </c>
      <c r="AU24" t="s">
        <v>634</v>
      </c>
      <c r="AV24" t="s">
        <v>140</v>
      </c>
      <c r="AW24" t="s">
        <v>630</v>
      </c>
      <c r="AX24">
        <v>2025</v>
      </c>
      <c r="AY24" t="s">
        <v>631</v>
      </c>
      <c r="AZ24" t="s">
        <v>635</v>
      </c>
    </row>
    <row r="25" spans="1:52" x14ac:dyDescent="0.25">
      <c r="A25" t="s">
        <v>645</v>
      </c>
      <c r="B25" s="1">
        <v>34792</v>
      </c>
      <c r="C25" t="s">
        <v>646</v>
      </c>
      <c r="D25">
        <v>322342</v>
      </c>
      <c r="E25" t="s">
        <v>46</v>
      </c>
      <c r="F25" t="s">
        <v>199</v>
      </c>
      <c r="G25" t="s">
        <v>394</v>
      </c>
      <c r="H25" t="s">
        <v>646</v>
      </c>
      <c r="I25">
        <v>87</v>
      </c>
      <c r="J25">
        <v>115</v>
      </c>
      <c r="K25">
        <v>120</v>
      </c>
      <c r="L25">
        <v>125</v>
      </c>
      <c r="M25">
        <v>125</v>
      </c>
      <c r="N25">
        <v>245</v>
      </c>
      <c r="O25" t="s">
        <v>48</v>
      </c>
      <c r="P25">
        <v>142</v>
      </c>
      <c r="Q25">
        <v>152</v>
      </c>
      <c r="R25">
        <v>-162</v>
      </c>
      <c r="S25">
        <v>152</v>
      </c>
      <c r="T25">
        <v>294</v>
      </c>
      <c r="U25" t="s">
        <v>60</v>
      </c>
      <c r="V25">
        <f t="shared" si="0"/>
        <v>5</v>
      </c>
      <c r="W25">
        <f t="shared" si="1"/>
        <v>0</v>
      </c>
      <c r="X25">
        <f t="shared" si="2"/>
        <v>0</v>
      </c>
      <c r="Y25">
        <v>277</v>
      </c>
      <c r="Z25">
        <v>539</v>
      </c>
      <c r="AA25" t="s">
        <v>647</v>
      </c>
      <c r="AB25" t="s">
        <v>649</v>
      </c>
      <c r="AC25" t="s">
        <v>89</v>
      </c>
      <c r="AD25">
        <v>5</v>
      </c>
      <c r="AE25">
        <v>89</v>
      </c>
      <c r="AF25" t="s">
        <v>126</v>
      </c>
      <c r="AH25" t="s">
        <v>155</v>
      </c>
      <c r="AI25">
        <v>338.61</v>
      </c>
      <c r="AJ25" t="s">
        <v>52</v>
      </c>
      <c r="AK25" t="s">
        <v>199</v>
      </c>
      <c r="AL25" t="s">
        <v>203</v>
      </c>
      <c r="AM25" t="s">
        <v>53</v>
      </c>
      <c r="AN25" s="1">
        <v>45640</v>
      </c>
      <c r="AO25">
        <v>2024</v>
      </c>
      <c r="AP25">
        <v>12</v>
      </c>
      <c r="AQ25" t="s">
        <v>116</v>
      </c>
      <c r="AS25" t="s">
        <v>85</v>
      </c>
      <c r="AT25">
        <v>2025</v>
      </c>
      <c r="AU25" t="s">
        <v>394</v>
      </c>
      <c r="AV25" t="s">
        <v>170</v>
      </c>
      <c r="AW25" t="s">
        <v>646</v>
      </c>
      <c r="AX25">
        <v>2025</v>
      </c>
      <c r="AY25" t="s">
        <v>647</v>
      </c>
      <c r="AZ25" t="s">
        <v>647</v>
      </c>
    </row>
    <row r="26" spans="1:52" x14ac:dyDescent="0.25">
      <c r="A26" t="s">
        <v>662</v>
      </c>
      <c r="B26" s="1">
        <v>34264</v>
      </c>
      <c r="C26" t="s">
        <v>663</v>
      </c>
      <c r="D26">
        <v>453273</v>
      </c>
      <c r="E26" t="s">
        <v>46</v>
      </c>
      <c r="F26" t="s">
        <v>109</v>
      </c>
      <c r="G26" t="s">
        <v>665</v>
      </c>
      <c r="H26" t="s">
        <v>663</v>
      </c>
      <c r="I26" t="s">
        <v>238</v>
      </c>
      <c r="J26">
        <v>-100</v>
      </c>
      <c r="K26">
        <v>-100</v>
      </c>
      <c r="L26">
        <v>100</v>
      </c>
      <c r="M26">
        <v>100</v>
      </c>
      <c r="N26">
        <v>0</v>
      </c>
      <c r="O26" t="s">
        <v>102</v>
      </c>
      <c r="P26">
        <v>132</v>
      </c>
      <c r="Q26">
        <v>-140</v>
      </c>
      <c r="R26">
        <v>-140</v>
      </c>
      <c r="S26">
        <v>132</v>
      </c>
      <c r="T26">
        <v>0</v>
      </c>
      <c r="U26" t="s">
        <v>55</v>
      </c>
      <c r="V26">
        <f t="shared" si="0"/>
        <v>2</v>
      </c>
      <c r="W26">
        <f t="shared" si="1"/>
        <v>1</v>
      </c>
      <c r="X26">
        <f t="shared" si="2"/>
        <v>0</v>
      </c>
      <c r="Y26">
        <v>232</v>
      </c>
      <c r="Z26">
        <v>0</v>
      </c>
      <c r="AA26" t="s">
        <v>664</v>
      </c>
      <c r="AB26" t="s">
        <v>99</v>
      </c>
      <c r="AC26" t="s">
        <v>93</v>
      </c>
      <c r="AD26">
        <v>6</v>
      </c>
      <c r="AE26">
        <v>73</v>
      </c>
      <c r="AF26" t="s">
        <v>126</v>
      </c>
      <c r="AH26" t="s">
        <v>141</v>
      </c>
      <c r="AI26">
        <v>315.95</v>
      </c>
      <c r="AJ26" t="s">
        <v>52</v>
      </c>
      <c r="AK26" t="s">
        <v>109</v>
      </c>
      <c r="AL26" t="s">
        <v>115</v>
      </c>
      <c r="AM26" t="s">
        <v>90</v>
      </c>
      <c r="AN26" s="1">
        <v>45639</v>
      </c>
      <c r="AO26">
        <v>2024</v>
      </c>
      <c r="AP26">
        <v>12</v>
      </c>
      <c r="AQ26" t="s">
        <v>116</v>
      </c>
      <c r="AS26" t="s">
        <v>85</v>
      </c>
      <c r="AT26">
        <v>2025</v>
      </c>
      <c r="AU26" t="s">
        <v>665</v>
      </c>
      <c r="AV26" t="s">
        <v>91</v>
      </c>
      <c r="AW26" t="s">
        <v>663</v>
      </c>
      <c r="AX26">
        <v>2025</v>
      </c>
      <c r="AY26" t="s">
        <v>664</v>
      </c>
      <c r="AZ26" t="s">
        <v>664</v>
      </c>
    </row>
    <row r="27" spans="1:52" x14ac:dyDescent="0.25">
      <c r="A27" t="s">
        <v>676</v>
      </c>
      <c r="B27" s="1">
        <v>39608</v>
      </c>
      <c r="C27" t="s">
        <v>677</v>
      </c>
      <c r="D27">
        <v>502076</v>
      </c>
      <c r="E27" t="s">
        <v>678</v>
      </c>
      <c r="F27" t="s">
        <v>679</v>
      </c>
      <c r="G27" t="s">
        <v>673</v>
      </c>
      <c r="H27" t="s">
        <v>677</v>
      </c>
      <c r="I27" t="s">
        <v>243</v>
      </c>
      <c r="J27">
        <v>88</v>
      </c>
      <c r="K27">
        <v>-93</v>
      </c>
      <c r="L27">
        <v>-93</v>
      </c>
      <c r="M27">
        <v>88</v>
      </c>
      <c r="N27">
        <v>0</v>
      </c>
      <c r="O27" t="s">
        <v>55</v>
      </c>
      <c r="P27">
        <v>105</v>
      </c>
      <c r="Q27">
        <v>110</v>
      </c>
      <c r="R27">
        <v>115</v>
      </c>
      <c r="S27">
        <v>115</v>
      </c>
      <c r="T27">
        <v>225</v>
      </c>
      <c r="U27" t="s">
        <v>48</v>
      </c>
      <c r="V27">
        <f t="shared" si="0"/>
        <v>4</v>
      </c>
      <c r="W27">
        <f t="shared" si="1"/>
        <v>0</v>
      </c>
      <c r="X27">
        <f t="shared" si="2"/>
        <v>0</v>
      </c>
      <c r="Y27">
        <v>203</v>
      </c>
      <c r="Z27">
        <v>225</v>
      </c>
      <c r="AA27" t="s">
        <v>680</v>
      </c>
      <c r="AB27" t="s">
        <v>681</v>
      </c>
      <c r="AC27" t="s">
        <v>94</v>
      </c>
      <c r="AD27">
        <v>4</v>
      </c>
      <c r="AE27">
        <v>73</v>
      </c>
      <c r="AF27" t="s">
        <v>95</v>
      </c>
      <c r="AH27" t="s">
        <v>276</v>
      </c>
      <c r="AI27">
        <v>276.22000000000003</v>
      </c>
      <c r="AJ27" t="s">
        <v>52</v>
      </c>
      <c r="AK27" t="s">
        <v>679</v>
      </c>
      <c r="AL27" t="s">
        <v>682</v>
      </c>
      <c r="AM27" t="s">
        <v>128</v>
      </c>
      <c r="AN27" s="1">
        <v>45641</v>
      </c>
      <c r="AO27">
        <v>2024</v>
      </c>
      <c r="AP27">
        <v>12</v>
      </c>
      <c r="AQ27" t="s">
        <v>116</v>
      </c>
      <c r="AS27" t="s">
        <v>85</v>
      </c>
      <c r="AT27">
        <v>2025</v>
      </c>
      <c r="AU27" t="s">
        <v>673</v>
      </c>
      <c r="AV27" t="s">
        <v>128</v>
      </c>
      <c r="AW27" t="s">
        <v>677</v>
      </c>
      <c r="AX27">
        <v>2025</v>
      </c>
      <c r="AY27" t="s">
        <v>680</v>
      </c>
      <c r="AZ27" t="s">
        <v>680</v>
      </c>
    </row>
    <row r="28" spans="1:52" x14ac:dyDescent="0.25">
      <c r="A28" t="s">
        <v>689</v>
      </c>
      <c r="B28" s="1">
        <v>35064</v>
      </c>
      <c r="C28" t="s">
        <v>690</v>
      </c>
      <c r="D28">
        <v>491362</v>
      </c>
      <c r="E28" t="s">
        <v>46</v>
      </c>
      <c r="F28" t="s">
        <v>693</v>
      </c>
      <c r="G28" t="s">
        <v>691</v>
      </c>
      <c r="H28" t="s">
        <v>690</v>
      </c>
      <c r="I28" t="s">
        <v>694</v>
      </c>
      <c r="J28">
        <v>60</v>
      </c>
      <c r="K28">
        <v>-63</v>
      </c>
      <c r="L28">
        <v>-63</v>
      </c>
      <c r="M28">
        <v>60</v>
      </c>
      <c r="N28">
        <v>0</v>
      </c>
      <c r="O28" t="s">
        <v>55</v>
      </c>
      <c r="P28">
        <v>83</v>
      </c>
      <c r="Q28">
        <v>87</v>
      </c>
      <c r="R28">
        <v>-92</v>
      </c>
      <c r="S28">
        <v>87</v>
      </c>
      <c r="T28">
        <v>170</v>
      </c>
      <c r="U28" t="s">
        <v>60</v>
      </c>
      <c r="V28">
        <f t="shared" si="0"/>
        <v>3</v>
      </c>
      <c r="W28">
        <f t="shared" si="1"/>
        <v>0</v>
      </c>
      <c r="X28">
        <f t="shared" si="2"/>
        <v>0</v>
      </c>
      <c r="Y28">
        <v>147</v>
      </c>
      <c r="Z28">
        <v>170</v>
      </c>
      <c r="AA28" t="s">
        <v>692</v>
      </c>
      <c r="AB28" t="s">
        <v>695</v>
      </c>
      <c r="AC28" t="s">
        <v>93</v>
      </c>
      <c r="AD28">
        <v>6</v>
      </c>
      <c r="AE28">
        <v>71</v>
      </c>
      <c r="AF28" t="s">
        <v>126</v>
      </c>
      <c r="AH28" t="s">
        <v>226</v>
      </c>
      <c r="AI28">
        <v>183.36</v>
      </c>
      <c r="AJ28" t="s">
        <v>132</v>
      </c>
      <c r="AK28" t="s">
        <v>693</v>
      </c>
      <c r="AL28" t="s">
        <v>696</v>
      </c>
      <c r="AM28" t="s">
        <v>139</v>
      </c>
      <c r="AN28" s="1">
        <v>45641</v>
      </c>
      <c r="AO28">
        <v>2024</v>
      </c>
      <c r="AP28">
        <v>12</v>
      </c>
      <c r="AQ28" t="s">
        <v>116</v>
      </c>
      <c r="AS28" t="s">
        <v>85</v>
      </c>
      <c r="AT28">
        <v>2025</v>
      </c>
      <c r="AU28" t="s">
        <v>691</v>
      </c>
      <c r="AV28" t="s">
        <v>140</v>
      </c>
      <c r="AW28" t="s">
        <v>690</v>
      </c>
      <c r="AX28">
        <v>2025</v>
      </c>
      <c r="AY28" t="s">
        <v>692</v>
      </c>
      <c r="AZ28" t="s">
        <v>692</v>
      </c>
    </row>
    <row r="29" spans="1:52" x14ac:dyDescent="0.25">
      <c r="A29" t="s">
        <v>698</v>
      </c>
      <c r="B29" s="1">
        <v>39308</v>
      </c>
      <c r="C29" t="s">
        <v>699</v>
      </c>
      <c r="D29">
        <v>467977</v>
      </c>
      <c r="E29" t="s">
        <v>46</v>
      </c>
      <c r="F29" t="s">
        <v>213</v>
      </c>
      <c r="G29" t="s">
        <v>672</v>
      </c>
      <c r="H29" t="s">
        <v>699</v>
      </c>
      <c r="I29">
        <v>44</v>
      </c>
      <c r="J29">
        <v>54</v>
      </c>
      <c r="K29">
        <v>-57</v>
      </c>
      <c r="L29">
        <v>-57</v>
      </c>
      <c r="M29">
        <v>54</v>
      </c>
      <c r="N29">
        <v>0</v>
      </c>
      <c r="O29" t="s">
        <v>55</v>
      </c>
      <c r="P29">
        <v>-64</v>
      </c>
      <c r="Q29">
        <v>-64</v>
      </c>
      <c r="R29">
        <v>-64</v>
      </c>
      <c r="S29">
        <v>0</v>
      </c>
      <c r="T29">
        <v>0</v>
      </c>
      <c r="U29" t="s">
        <v>108</v>
      </c>
      <c r="V29">
        <f t="shared" si="0"/>
        <v>1</v>
      </c>
      <c r="W29">
        <f t="shared" si="1"/>
        <v>0</v>
      </c>
      <c r="X29">
        <f t="shared" si="2"/>
        <v>0</v>
      </c>
      <c r="Y29">
        <v>54</v>
      </c>
      <c r="Z29">
        <v>0</v>
      </c>
      <c r="AA29" t="s">
        <v>705</v>
      </c>
      <c r="AB29" t="s">
        <v>99</v>
      </c>
      <c r="AC29" t="s">
        <v>49</v>
      </c>
      <c r="AD29">
        <v>999</v>
      </c>
      <c r="AE29">
        <v>45</v>
      </c>
      <c r="AF29" t="s">
        <v>113</v>
      </c>
      <c r="AH29" t="s">
        <v>703</v>
      </c>
      <c r="AI29">
        <v>0</v>
      </c>
      <c r="AJ29" t="s">
        <v>132</v>
      </c>
      <c r="AK29" t="s">
        <v>213</v>
      </c>
      <c r="AL29" t="s">
        <v>217</v>
      </c>
      <c r="AM29" t="s">
        <v>72</v>
      </c>
      <c r="AN29" s="1">
        <v>45640</v>
      </c>
      <c r="AO29">
        <v>2024</v>
      </c>
      <c r="AP29">
        <v>12</v>
      </c>
      <c r="AQ29" t="s">
        <v>116</v>
      </c>
      <c r="AS29" t="s">
        <v>85</v>
      </c>
      <c r="AT29">
        <v>2025</v>
      </c>
      <c r="AU29" t="s">
        <v>672</v>
      </c>
      <c r="AV29" t="s">
        <v>68</v>
      </c>
      <c r="AW29" t="s">
        <v>699</v>
      </c>
      <c r="AX29">
        <v>2025</v>
      </c>
      <c r="AY29" t="s">
        <v>700</v>
      </c>
      <c r="AZ29" t="s">
        <v>702</v>
      </c>
    </row>
    <row r="30" spans="1:52" x14ac:dyDescent="0.25">
      <c r="A30" t="s">
        <v>707</v>
      </c>
      <c r="B30" s="1">
        <v>34777</v>
      </c>
      <c r="C30" t="s">
        <v>708</v>
      </c>
      <c r="D30">
        <v>183839</v>
      </c>
      <c r="E30" t="s">
        <v>46</v>
      </c>
      <c r="F30" t="s">
        <v>710</v>
      </c>
      <c r="G30" t="s">
        <v>258</v>
      </c>
      <c r="H30" t="s">
        <v>708</v>
      </c>
      <c r="I30" t="s">
        <v>426</v>
      </c>
      <c r="J30">
        <v>111</v>
      </c>
      <c r="K30">
        <v>-116</v>
      </c>
      <c r="L30">
        <v>116</v>
      </c>
      <c r="M30">
        <v>116</v>
      </c>
      <c r="N30">
        <v>227</v>
      </c>
      <c r="O30" t="s">
        <v>65</v>
      </c>
      <c r="P30">
        <v>134</v>
      </c>
      <c r="Q30">
        <v>-138</v>
      </c>
      <c r="R30">
        <v>-138</v>
      </c>
      <c r="S30">
        <v>134</v>
      </c>
      <c r="T30">
        <v>0</v>
      </c>
      <c r="U30" t="s">
        <v>55</v>
      </c>
      <c r="V30">
        <f t="shared" si="0"/>
        <v>3</v>
      </c>
      <c r="W30">
        <f t="shared" si="1"/>
        <v>0</v>
      </c>
      <c r="X30">
        <f t="shared" si="2"/>
        <v>0</v>
      </c>
      <c r="Y30">
        <v>250</v>
      </c>
      <c r="Z30">
        <v>227</v>
      </c>
      <c r="AA30" t="s">
        <v>709</v>
      </c>
      <c r="AB30" t="s">
        <v>711</v>
      </c>
      <c r="AC30" t="s">
        <v>89</v>
      </c>
      <c r="AD30">
        <v>5</v>
      </c>
      <c r="AE30">
        <v>81</v>
      </c>
      <c r="AF30" t="s">
        <v>126</v>
      </c>
      <c r="AH30" t="s">
        <v>138</v>
      </c>
      <c r="AI30">
        <v>318.14</v>
      </c>
      <c r="AJ30" t="s">
        <v>52</v>
      </c>
      <c r="AK30" t="s">
        <v>710</v>
      </c>
      <c r="AL30" t="s">
        <v>712</v>
      </c>
      <c r="AM30" t="s">
        <v>128</v>
      </c>
      <c r="AN30" s="1">
        <v>45640</v>
      </c>
      <c r="AO30">
        <v>2024</v>
      </c>
      <c r="AP30">
        <v>12</v>
      </c>
      <c r="AQ30" t="s">
        <v>116</v>
      </c>
      <c r="AS30" t="s">
        <v>85</v>
      </c>
      <c r="AT30">
        <v>2025</v>
      </c>
      <c r="AU30" t="s">
        <v>258</v>
      </c>
      <c r="AV30" t="s">
        <v>128</v>
      </c>
      <c r="AW30" t="s">
        <v>708</v>
      </c>
      <c r="AX30">
        <v>2025</v>
      </c>
      <c r="AY30" t="s">
        <v>709</v>
      </c>
      <c r="AZ30" t="s">
        <v>709</v>
      </c>
    </row>
    <row r="31" spans="1:52" x14ac:dyDescent="0.25">
      <c r="A31" t="s">
        <v>717</v>
      </c>
      <c r="B31" s="1">
        <v>38982</v>
      </c>
      <c r="C31" t="s">
        <v>718</v>
      </c>
      <c r="D31">
        <v>453203</v>
      </c>
      <c r="E31" t="s">
        <v>46</v>
      </c>
      <c r="F31" t="s">
        <v>492</v>
      </c>
      <c r="G31" t="s">
        <v>490</v>
      </c>
      <c r="H31" t="s">
        <v>718</v>
      </c>
      <c r="I31" t="s">
        <v>183</v>
      </c>
      <c r="J31">
        <v>83</v>
      </c>
      <c r="K31">
        <v>87</v>
      </c>
      <c r="L31">
        <v>-91</v>
      </c>
      <c r="M31">
        <v>87</v>
      </c>
      <c r="N31">
        <v>170</v>
      </c>
      <c r="O31" t="s">
        <v>60</v>
      </c>
      <c r="P31">
        <v>103</v>
      </c>
      <c r="Q31">
        <v>-111</v>
      </c>
      <c r="R31">
        <v>-113</v>
      </c>
      <c r="S31">
        <v>103</v>
      </c>
      <c r="T31">
        <v>0</v>
      </c>
      <c r="U31" t="s">
        <v>55</v>
      </c>
      <c r="V31">
        <f t="shared" si="0"/>
        <v>3</v>
      </c>
      <c r="W31">
        <f t="shared" si="1"/>
        <v>0</v>
      </c>
      <c r="X31">
        <f t="shared" si="2"/>
        <v>0</v>
      </c>
      <c r="Y31">
        <v>190</v>
      </c>
      <c r="Z31">
        <v>170</v>
      </c>
      <c r="AA31" t="s">
        <v>721</v>
      </c>
      <c r="AB31" t="s">
        <v>722</v>
      </c>
      <c r="AC31" t="s">
        <v>89</v>
      </c>
      <c r="AD31">
        <v>5</v>
      </c>
      <c r="AE31">
        <v>67</v>
      </c>
      <c r="AF31" t="s">
        <v>113</v>
      </c>
      <c r="AH31" t="s">
        <v>114</v>
      </c>
      <c r="AI31">
        <v>271.36</v>
      </c>
      <c r="AJ31" t="s">
        <v>52</v>
      </c>
      <c r="AK31" t="s">
        <v>492</v>
      </c>
      <c r="AL31" t="s">
        <v>494</v>
      </c>
      <c r="AM31" t="s">
        <v>90</v>
      </c>
      <c r="AN31" s="1">
        <v>45640</v>
      </c>
      <c r="AO31">
        <v>2024</v>
      </c>
      <c r="AP31">
        <v>12</v>
      </c>
      <c r="AQ31" t="s">
        <v>116</v>
      </c>
      <c r="AS31" t="s">
        <v>85</v>
      </c>
      <c r="AT31">
        <v>2025</v>
      </c>
      <c r="AU31" t="s">
        <v>490</v>
      </c>
      <c r="AV31" t="s">
        <v>91</v>
      </c>
      <c r="AW31" t="s">
        <v>718</v>
      </c>
      <c r="AX31">
        <v>2025</v>
      </c>
      <c r="AY31" t="s">
        <v>719</v>
      </c>
      <c r="AZ31" t="s">
        <v>719</v>
      </c>
    </row>
    <row r="32" spans="1:52" x14ac:dyDescent="0.25">
      <c r="A32" t="s">
        <v>724</v>
      </c>
      <c r="B32" s="1">
        <v>32853</v>
      </c>
      <c r="C32" t="s">
        <v>725</v>
      </c>
      <c r="D32">
        <v>34508</v>
      </c>
      <c r="E32" t="s">
        <v>46</v>
      </c>
      <c r="F32" t="s">
        <v>729</v>
      </c>
      <c r="G32" t="s">
        <v>727</v>
      </c>
      <c r="H32" t="s">
        <v>725</v>
      </c>
      <c r="I32" t="s">
        <v>730</v>
      </c>
      <c r="J32">
        <v>-90</v>
      </c>
      <c r="K32">
        <v>-90</v>
      </c>
      <c r="L32">
        <v>90</v>
      </c>
      <c r="M32">
        <v>90</v>
      </c>
      <c r="N32">
        <v>0</v>
      </c>
      <c r="O32" t="s">
        <v>102</v>
      </c>
      <c r="P32">
        <v>105</v>
      </c>
      <c r="Q32">
        <v>-110</v>
      </c>
      <c r="R32">
        <v>-115</v>
      </c>
      <c r="S32">
        <v>105</v>
      </c>
      <c r="T32">
        <v>0</v>
      </c>
      <c r="U32" t="s">
        <v>55</v>
      </c>
      <c r="V32">
        <f t="shared" si="0"/>
        <v>2</v>
      </c>
      <c r="W32">
        <f t="shared" si="1"/>
        <v>1</v>
      </c>
      <c r="X32">
        <f t="shared" si="2"/>
        <v>0</v>
      </c>
      <c r="Y32">
        <v>195</v>
      </c>
      <c r="Z32">
        <v>0</v>
      </c>
      <c r="AA32" t="s">
        <v>731</v>
      </c>
      <c r="AB32" t="s">
        <v>99</v>
      </c>
      <c r="AC32" t="s">
        <v>93</v>
      </c>
      <c r="AD32">
        <v>6</v>
      </c>
      <c r="AE32">
        <v>67</v>
      </c>
      <c r="AF32" t="s">
        <v>126</v>
      </c>
      <c r="AG32">
        <v>35</v>
      </c>
      <c r="AH32" t="s">
        <v>401</v>
      </c>
      <c r="AI32">
        <v>278.17</v>
      </c>
      <c r="AJ32" t="s">
        <v>52</v>
      </c>
      <c r="AK32" t="s">
        <v>729</v>
      </c>
      <c r="AL32" t="s">
        <v>732</v>
      </c>
      <c r="AM32" t="s">
        <v>68</v>
      </c>
      <c r="AN32" s="1">
        <v>45640</v>
      </c>
      <c r="AO32">
        <v>2024</v>
      </c>
      <c r="AP32">
        <v>12</v>
      </c>
      <c r="AQ32" t="s">
        <v>116</v>
      </c>
      <c r="AS32" t="s">
        <v>85</v>
      </c>
      <c r="AT32">
        <v>2025</v>
      </c>
      <c r="AU32" t="s">
        <v>727</v>
      </c>
      <c r="AV32" t="s">
        <v>68</v>
      </c>
      <c r="AW32" t="s">
        <v>725</v>
      </c>
      <c r="AX32">
        <v>2025</v>
      </c>
      <c r="AY32" t="s">
        <v>726</v>
      </c>
      <c r="AZ32" t="s">
        <v>728</v>
      </c>
    </row>
    <row r="33" spans="1:52" x14ac:dyDescent="0.25">
      <c r="A33" t="s">
        <v>756</v>
      </c>
      <c r="B33" s="1">
        <v>41667</v>
      </c>
      <c r="C33" t="s">
        <v>757</v>
      </c>
      <c r="D33">
        <v>490633</v>
      </c>
      <c r="E33" t="s">
        <v>46</v>
      </c>
      <c r="F33" t="s">
        <v>760</v>
      </c>
      <c r="G33" t="s">
        <v>329</v>
      </c>
      <c r="H33" t="s">
        <v>757</v>
      </c>
      <c r="I33" t="s">
        <v>761</v>
      </c>
      <c r="J33">
        <v>23</v>
      </c>
      <c r="K33">
        <v>25</v>
      </c>
      <c r="L33">
        <v>-27</v>
      </c>
      <c r="M33">
        <v>25</v>
      </c>
      <c r="N33">
        <v>48</v>
      </c>
      <c r="O33" t="s">
        <v>60</v>
      </c>
      <c r="P33">
        <v>32</v>
      </c>
      <c r="Q33">
        <v>34</v>
      </c>
      <c r="R33">
        <v>-36</v>
      </c>
      <c r="S33">
        <v>34</v>
      </c>
      <c r="T33">
        <v>66</v>
      </c>
      <c r="U33" t="s">
        <v>60</v>
      </c>
      <c r="V33">
        <f t="shared" si="0"/>
        <v>4</v>
      </c>
      <c r="W33">
        <f t="shared" si="1"/>
        <v>0</v>
      </c>
      <c r="X33">
        <f t="shared" si="2"/>
        <v>0</v>
      </c>
      <c r="Y33">
        <v>59</v>
      </c>
      <c r="Z33">
        <v>114</v>
      </c>
      <c r="AA33" t="s">
        <v>758</v>
      </c>
      <c r="AB33" t="s">
        <v>762</v>
      </c>
      <c r="AC33" t="s">
        <v>49</v>
      </c>
      <c r="AD33">
        <v>999</v>
      </c>
      <c r="AE33">
        <v>59</v>
      </c>
      <c r="AF33" t="s">
        <v>50</v>
      </c>
      <c r="AH33" t="s">
        <v>759</v>
      </c>
      <c r="AI33">
        <v>157.54</v>
      </c>
      <c r="AJ33" t="s">
        <v>132</v>
      </c>
      <c r="AK33" t="s">
        <v>760</v>
      </c>
      <c r="AL33" t="s">
        <v>763</v>
      </c>
      <c r="AM33" t="s">
        <v>133</v>
      </c>
      <c r="AN33" s="1">
        <v>45640</v>
      </c>
      <c r="AO33">
        <v>2024</v>
      </c>
      <c r="AP33">
        <v>12</v>
      </c>
      <c r="AQ33" t="s">
        <v>116</v>
      </c>
      <c r="AS33" t="s">
        <v>85</v>
      </c>
      <c r="AT33">
        <v>2025</v>
      </c>
      <c r="AU33" t="s">
        <v>329</v>
      </c>
      <c r="AV33" t="s">
        <v>133</v>
      </c>
      <c r="AW33" t="s">
        <v>757</v>
      </c>
      <c r="AX33">
        <v>2025</v>
      </c>
      <c r="AY33" t="s">
        <v>758</v>
      </c>
      <c r="AZ33" t="s">
        <v>758</v>
      </c>
    </row>
    <row r="34" spans="1:52" x14ac:dyDescent="0.25">
      <c r="A34" t="s">
        <v>767</v>
      </c>
      <c r="B34" s="1">
        <v>39708</v>
      </c>
      <c r="C34" t="s">
        <v>768</v>
      </c>
      <c r="D34">
        <v>477696</v>
      </c>
      <c r="E34" t="s">
        <v>46</v>
      </c>
      <c r="F34" t="s">
        <v>770</v>
      </c>
      <c r="G34" t="s">
        <v>395</v>
      </c>
      <c r="H34" t="s">
        <v>768</v>
      </c>
      <c r="I34">
        <v>61</v>
      </c>
      <c r="J34">
        <v>55</v>
      </c>
      <c r="K34">
        <v>58</v>
      </c>
      <c r="L34">
        <v>-60</v>
      </c>
      <c r="M34">
        <v>58</v>
      </c>
      <c r="N34">
        <v>113</v>
      </c>
      <c r="O34" t="s">
        <v>60</v>
      </c>
      <c r="P34">
        <v>70</v>
      </c>
      <c r="Q34">
        <v>73</v>
      </c>
      <c r="R34">
        <v>-75</v>
      </c>
      <c r="S34">
        <v>73</v>
      </c>
      <c r="T34">
        <v>143</v>
      </c>
      <c r="U34" t="s">
        <v>60</v>
      </c>
      <c r="V34">
        <f t="shared" si="0"/>
        <v>4</v>
      </c>
      <c r="W34">
        <f t="shared" si="1"/>
        <v>0</v>
      </c>
      <c r="X34">
        <f t="shared" si="2"/>
        <v>0</v>
      </c>
      <c r="Y34">
        <v>131</v>
      </c>
      <c r="Z34">
        <v>256</v>
      </c>
      <c r="AA34" t="s">
        <v>771</v>
      </c>
      <c r="AB34" t="s">
        <v>772</v>
      </c>
      <c r="AC34" t="s">
        <v>94</v>
      </c>
      <c r="AD34">
        <v>4</v>
      </c>
      <c r="AE34">
        <v>64</v>
      </c>
      <c r="AF34" t="s">
        <v>95</v>
      </c>
      <c r="AH34" t="s">
        <v>169</v>
      </c>
      <c r="AI34">
        <v>175.44</v>
      </c>
      <c r="AJ34" t="s">
        <v>132</v>
      </c>
      <c r="AK34" t="s">
        <v>770</v>
      </c>
      <c r="AL34" t="s">
        <v>773</v>
      </c>
      <c r="AM34" t="s">
        <v>302</v>
      </c>
      <c r="AN34" s="1">
        <v>45640</v>
      </c>
      <c r="AO34">
        <v>2024</v>
      </c>
      <c r="AP34">
        <v>12</v>
      </c>
      <c r="AQ34" t="s">
        <v>116</v>
      </c>
      <c r="AS34" t="s">
        <v>85</v>
      </c>
      <c r="AT34">
        <v>2025</v>
      </c>
      <c r="AU34" t="s">
        <v>395</v>
      </c>
      <c r="AV34" t="s">
        <v>303</v>
      </c>
      <c r="AW34" t="s">
        <v>768</v>
      </c>
      <c r="AX34">
        <v>2025</v>
      </c>
      <c r="AY34" t="s">
        <v>769</v>
      </c>
      <c r="AZ34" t="s">
        <v>771</v>
      </c>
    </row>
    <row r="35" spans="1:52" x14ac:dyDescent="0.25">
      <c r="A35" t="s">
        <v>775</v>
      </c>
      <c r="B35" s="1">
        <v>40765</v>
      </c>
      <c r="C35" t="s">
        <v>776</v>
      </c>
      <c r="D35">
        <v>452443</v>
      </c>
      <c r="E35" t="s">
        <v>46</v>
      </c>
      <c r="F35" t="s">
        <v>529</v>
      </c>
      <c r="G35" t="s">
        <v>469</v>
      </c>
      <c r="H35" t="s">
        <v>776</v>
      </c>
      <c r="I35" t="s">
        <v>779</v>
      </c>
      <c r="J35">
        <v>18</v>
      </c>
      <c r="K35">
        <v>-21</v>
      </c>
      <c r="L35">
        <v>-22</v>
      </c>
      <c r="M35">
        <v>18</v>
      </c>
      <c r="N35">
        <v>0</v>
      </c>
      <c r="O35" t="s">
        <v>55</v>
      </c>
      <c r="P35">
        <v>25</v>
      </c>
      <c r="Q35">
        <v>27</v>
      </c>
      <c r="R35">
        <v>-30</v>
      </c>
      <c r="S35">
        <v>27</v>
      </c>
      <c r="T35">
        <v>52</v>
      </c>
      <c r="U35" t="s">
        <v>60</v>
      </c>
      <c r="V35">
        <f t="shared" si="0"/>
        <v>3</v>
      </c>
      <c r="W35">
        <f t="shared" si="1"/>
        <v>0</v>
      </c>
      <c r="X35">
        <f t="shared" si="2"/>
        <v>0</v>
      </c>
      <c r="Y35">
        <v>45</v>
      </c>
      <c r="Z35">
        <v>52</v>
      </c>
      <c r="AA35" t="s">
        <v>780</v>
      </c>
      <c r="AB35" t="s">
        <v>781</v>
      </c>
      <c r="AC35" t="s">
        <v>93</v>
      </c>
      <c r="AD35">
        <v>6</v>
      </c>
      <c r="AE35">
        <v>40</v>
      </c>
      <c r="AF35" t="s">
        <v>57</v>
      </c>
      <c r="AH35" t="s">
        <v>314</v>
      </c>
      <c r="AI35">
        <v>86.28</v>
      </c>
      <c r="AJ35" t="s">
        <v>132</v>
      </c>
      <c r="AK35" t="s">
        <v>529</v>
      </c>
      <c r="AL35" t="s">
        <v>531</v>
      </c>
      <c r="AM35" t="s">
        <v>68</v>
      </c>
      <c r="AN35" s="1">
        <v>45640</v>
      </c>
      <c r="AO35">
        <v>2024</v>
      </c>
      <c r="AP35">
        <v>12</v>
      </c>
      <c r="AQ35" t="s">
        <v>116</v>
      </c>
      <c r="AS35" t="s">
        <v>85</v>
      </c>
      <c r="AT35">
        <v>2025</v>
      </c>
      <c r="AU35" t="s">
        <v>469</v>
      </c>
      <c r="AV35" t="s">
        <v>68</v>
      </c>
      <c r="AW35" t="s">
        <v>776</v>
      </c>
      <c r="AX35">
        <v>2025</v>
      </c>
      <c r="AY35" t="s">
        <v>777</v>
      </c>
      <c r="AZ35" t="s">
        <v>782</v>
      </c>
    </row>
    <row r="36" spans="1:52" x14ac:dyDescent="0.25">
      <c r="A36" t="s">
        <v>785</v>
      </c>
      <c r="B36" s="1">
        <v>34983</v>
      </c>
      <c r="C36" t="s">
        <v>786</v>
      </c>
      <c r="D36">
        <v>471040</v>
      </c>
      <c r="E36" t="s">
        <v>678</v>
      </c>
      <c r="F36" t="s">
        <v>109</v>
      </c>
      <c r="G36" t="s">
        <v>787</v>
      </c>
      <c r="H36" t="s">
        <v>786</v>
      </c>
      <c r="I36" t="s">
        <v>789</v>
      </c>
      <c r="J36">
        <v>-65</v>
      </c>
      <c r="K36">
        <v>-65</v>
      </c>
      <c r="L36">
        <v>65</v>
      </c>
      <c r="M36">
        <v>65</v>
      </c>
      <c r="N36">
        <v>0</v>
      </c>
      <c r="O36" t="s">
        <v>102</v>
      </c>
      <c r="P36">
        <v>-83</v>
      </c>
      <c r="Q36">
        <v>-87</v>
      </c>
      <c r="R36">
        <v>-87</v>
      </c>
      <c r="S36">
        <v>0</v>
      </c>
      <c r="T36">
        <v>0</v>
      </c>
      <c r="U36" t="s">
        <v>108</v>
      </c>
      <c r="V36">
        <f t="shared" si="0"/>
        <v>1</v>
      </c>
      <c r="W36">
        <f t="shared" si="1"/>
        <v>1</v>
      </c>
      <c r="X36">
        <f t="shared" si="2"/>
        <v>0</v>
      </c>
      <c r="Y36">
        <v>65</v>
      </c>
      <c r="Z36">
        <v>0</v>
      </c>
      <c r="AA36" t="s">
        <v>790</v>
      </c>
      <c r="AB36" t="s">
        <v>99</v>
      </c>
      <c r="AC36" t="s">
        <v>49</v>
      </c>
      <c r="AD36">
        <v>999</v>
      </c>
      <c r="AE36">
        <v>71</v>
      </c>
      <c r="AF36" t="s">
        <v>126</v>
      </c>
      <c r="AH36" t="s">
        <v>226</v>
      </c>
      <c r="AI36">
        <v>0</v>
      </c>
      <c r="AJ36" t="s">
        <v>132</v>
      </c>
      <c r="AK36" t="s">
        <v>109</v>
      </c>
      <c r="AL36" t="s">
        <v>115</v>
      </c>
      <c r="AM36" t="s">
        <v>90</v>
      </c>
      <c r="AN36" s="1">
        <v>45639</v>
      </c>
      <c r="AO36">
        <v>2024</v>
      </c>
      <c r="AP36">
        <v>12</v>
      </c>
      <c r="AQ36" t="s">
        <v>116</v>
      </c>
      <c r="AS36" t="s">
        <v>85</v>
      </c>
      <c r="AT36">
        <v>2025</v>
      </c>
      <c r="AU36" t="s">
        <v>787</v>
      </c>
      <c r="AV36" t="s">
        <v>91</v>
      </c>
      <c r="AW36" t="s">
        <v>786</v>
      </c>
      <c r="AX36">
        <v>2025</v>
      </c>
      <c r="AY36" t="s">
        <v>788</v>
      </c>
      <c r="AZ36" t="s">
        <v>790</v>
      </c>
    </row>
    <row r="37" spans="1:52" x14ac:dyDescent="0.25">
      <c r="A37" t="s">
        <v>794</v>
      </c>
      <c r="B37" s="1">
        <v>36994</v>
      </c>
      <c r="C37" t="s">
        <v>795</v>
      </c>
      <c r="D37">
        <v>501496</v>
      </c>
      <c r="E37" t="s">
        <v>46</v>
      </c>
      <c r="F37" t="s">
        <v>232</v>
      </c>
      <c r="G37" t="s">
        <v>315</v>
      </c>
      <c r="H37" t="s">
        <v>795</v>
      </c>
      <c r="I37" t="s">
        <v>369</v>
      </c>
      <c r="J37">
        <v>58</v>
      </c>
      <c r="K37">
        <v>-61</v>
      </c>
      <c r="L37">
        <v>62</v>
      </c>
      <c r="M37">
        <v>62</v>
      </c>
      <c r="N37">
        <v>120</v>
      </c>
      <c r="O37" t="s">
        <v>65</v>
      </c>
      <c r="P37">
        <v>73</v>
      </c>
      <c r="Q37">
        <v>77</v>
      </c>
      <c r="R37">
        <v>80</v>
      </c>
      <c r="S37">
        <v>80</v>
      </c>
      <c r="T37">
        <v>157</v>
      </c>
      <c r="U37" t="s">
        <v>48</v>
      </c>
      <c r="V37">
        <f t="shared" si="0"/>
        <v>5</v>
      </c>
      <c r="W37">
        <f t="shared" si="1"/>
        <v>0</v>
      </c>
      <c r="X37">
        <f t="shared" si="2"/>
        <v>0</v>
      </c>
      <c r="Y37">
        <v>142</v>
      </c>
      <c r="Z37">
        <v>277</v>
      </c>
      <c r="AA37" t="s">
        <v>796</v>
      </c>
      <c r="AB37" t="s">
        <v>797</v>
      </c>
      <c r="AC37" t="s">
        <v>93</v>
      </c>
      <c r="AD37">
        <v>6</v>
      </c>
      <c r="AE37">
        <v>64</v>
      </c>
      <c r="AF37" t="s">
        <v>126</v>
      </c>
      <c r="AH37" t="s">
        <v>167</v>
      </c>
      <c r="AI37">
        <v>187.87</v>
      </c>
      <c r="AJ37" t="s">
        <v>132</v>
      </c>
      <c r="AK37" t="s">
        <v>232</v>
      </c>
      <c r="AL37" t="s">
        <v>236</v>
      </c>
      <c r="AM37" t="s">
        <v>128</v>
      </c>
      <c r="AN37" s="1">
        <v>45640</v>
      </c>
      <c r="AO37">
        <v>2024</v>
      </c>
      <c r="AP37">
        <v>12</v>
      </c>
      <c r="AQ37" t="s">
        <v>116</v>
      </c>
      <c r="AS37" t="s">
        <v>85</v>
      </c>
      <c r="AT37">
        <v>2025</v>
      </c>
      <c r="AU37" t="s">
        <v>315</v>
      </c>
      <c r="AV37" t="s">
        <v>128</v>
      </c>
      <c r="AW37" t="s">
        <v>795</v>
      </c>
      <c r="AX37">
        <v>2025</v>
      </c>
      <c r="AY37" t="s">
        <v>796</v>
      </c>
      <c r="AZ37" t="s">
        <v>796</v>
      </c>
    </row>
    <row r="38" spans="1:52" x14ac:dyDescent="0.25">
      <c r="A38" t="s">
        <v>798</v>
      </c>
      <c r="B38" s="1">
        <v>37919</v>
      </c>
      <c r="C38" t="s">
        <v>799</v>
      </c>
      <c r="D38">
        <v>479093</v>
      </c>
      <c r="E38" t="s">
        <v>46</v>
      </c>
      <c r="F38" t="s">
        <v>801</v>
      </c>
      <c r="G38" t="s">
        <v>589</v>
      </c>
      <c r="H38" t="s">
        <v>799</v>
      </c>
      <c r="I38" t="s">
        <v>802</v>
      </c>
      <c r="J38">
        <v>60</v>
      </c>
      <c r="K38">
        <v>-64</v>
      </c>
      <c r="L38">
        <v>-67</v>
      </c>
      <c r="M38">
        <v>60</v>
      </c>
      <c r="N38">
        <v>0</v>
      </c>
      <c r="O38" t="s">
        <v>55</v>
      </c>
      <c r="P38">
        <v>-80</v>
      </c>
      <c r="Q38">
        <v>82</v>
      </c>
      <c r="R38">
        <v>-86</v>
      </c>
      <c r="S38">
        <v>82</v>
      </c>
      <c r="T38">
        <v>0</v>
      </c>
      <c r="U38" t="s">
        <v>104</v>
      </c>
      <c r="V38">
        <f t="shared" si="0"/>
        <v>2</v>
      </c>
      <c r="W38">
        <f t="shared" si="1"/>
        <v>0</v>
      </c>
      <c r="X38">
        <f t="shared" si="2"/>
        <v>0</v>
      </c>
      <c r="Y38">
        <v>142</v>
      </c>
      <c r="Z38">
        <v>0</v>
      </c>
      <c r="AA38" t="s">
        <v>803</v>
      </c>
      <c r="AB38" t="s">
        <v>99</v>
      </c>
      <c r="AC38" t="s">
        <v>89</v>
      </c>
      <c r="AD38">
        <v>5</v>
      </c>
      <c r="AE38">
        <v>59</v>
      </c>
      <c r="AF38" t="s">
        <v>126</v>
      </c>
      <c r="AH38" t="s">
        <v>202</v>
      </c>
      <c r="AI38">
        <v>196.16</v>
      </c>
      <c r="AJ38" t="s">
        <v>132</v>
      </c>
      <c r="AK38" t="s">
        <v>801</v>
      </c>
      <c r="AL38" t="s">
        <v>804</v>
      </c>
      <c r="AM38" t="s">
        <v>68</v>
      </c>
      <c r="AN38" s="1">
        <v>45640</v>
      </c>
      <c r="AO38">
        <v>2024</v>
      </c>
      <c r="AP38">
        <v>12</v>
      </c>
      <c r="AQ38" t="s">
        <v>116</v>
      </c>
      <c r="AS38" t="s">
        <v>85</v>
      </c>
      <c r="AT38">
        <v>2025</v>
      </c>
      <c r="AU38" t="s">
        <v>589</v>
      </c>
      <c r="AV38" t="s">
        <v>68</v>
      </c>
      <c r="AW38" t="s">
        <v>799</v>
      </c>
      <c r="AX38">
        <v>2025</v>
      </c>
      <c r="AY38" t="s">
        <v>800</v>
      </c>
      <c r="AZ38" t="s">
        <v>800</v>
      </c>
    </row>
    <row r="39" spans="1:52" x14ac:dyDescent="0.25">
      <c r="A39" t="s">
        <v>806</v>
      </c>
      <c r="B39" s="1">
        <v>32910</v>
      </c>
      <c r="C39" t="s">
        <v>807</v>
      </c>
      <c r="D39">
        <v>195634</v>
      </c>
      <c r="E39" t="s">
        <v>46</v>
      </c>
      <c r="F39" t="s">
        <v>810</v>
      </c>
      <c r="G39" t="s">
        <v>621</v>
      </c>
      <c r="H39" t="s">
        <v>807</v>
      </c>
      <c r="I39" t="s">
        <v>809</v>
      </c>
      <c r="J39">
        <v>75</v>
      </c>
      <c r="K39">
        <v>78</v>
      </c>
      <c r="L39">
        <v>81</v>
      </c>
      <c r="M39">
        <v>81</v>
      </c>
      <c r="N39">
        <v>159</v>
      </c>
      <c r="O39" t="s">
        <v>48</v>
      </c>
      <c r="P39">
        <v>-100</v>
      </c>
      <c r="Q39">
        <v>100</v>
      </c>
      <c r="R39">
        <v>105</v>
      </c>
      <c r="S39">
        <v>105</v>
      </c>
      <c r="T39">
        <v>205</v>
      </c>
      <c r="U39" t="s">
        <v>63</v>
      </c>
      <c r="V39">
        <f t="shared" si="0"/>
        <v>5</v>
      </c>
      <c r="W39">
        <f t="shared" si="1"/>
        <v>0</v>
      </c>
      <c r="X39">
        <f t="shared" si="2"/>
        <v>0</v>
      </c>
      <c r="Y39">
        <v>186</v>
      </c>
      <c r="Z39">
        <v>364</v>
      </c>
      <c r="AA39" t="s">
        <v>808</v>
      </c>
      <c r="AB39" t="s">
        <v>811</v>
      </c>
      <c r="AC39" t="s">
        <v>93</v>
      </c>
      <c r="AD39">
        <v>6</v>
      </c>
      <c r="AE39">
        <v>61</v>
      </c>
      <c r="AF39" t="s">
        <v>126</v>
      </c>
      <c r="AG39">
        <v>35</v>
      </c>
      <c r="AH39" t="s">
        <v>144</v>
      </c>
      <c r="AI39">
        <v>283.22000000000003</v>
      </c>
      <c r="AJ39" t="s">
        <v>52</v>
      </c>
      <c r="AK39" t="s">
        <v>810</v>
      </c>
      <c r="AL39" t="s">
        <v>812</v>
      </c>
      <c r="AM39" t="s">
        <v>177</v>
      </c>
      <c r="AN39" s="1">
        <v>45640</v>
      </c>
      <c r="AO39">
        <v>2024</v>
      </c>
      <c r="AP39">
        <v>12</v>
      </c>
      <c r="AQ39" t="s">
        <v>116</v>
      </c>
      <c r="AS39" t="s">
        <v>85</v>
      </c>
      <c r="AT39">
        <v>2025</v>
      </c>
      <c r="AU39" t="s">
        <v>621</v>
      </c>
      <c r="AV39" t="s">
        <v>177</v>
      </c>
      <c r="AW39" t="s">
        <v>807</v>
      </c>
      <c r="AX39">
        <v>2025</v>
      </c>
      <c r="AY39" t="s">
        <v>808</v>
      </c>
      <c r="AZ39" t="s">
        <v>808</v>
      </c>
    </row>
    <row r="40" spans="1:52" x14ac:dyDescent="0.25">
      <c r="A40" t="s">
        <v>814</v>
      </c>
      <c r="B40" s="1">
        <v>40581</v>
      </c>
      <c r="C40" t="s">
        <v>815</v>
      </c>
      <c r="D40">
        <v>458589</v>
      </c>
      <c r="E40" t="s">
        <v>46</v>
      </c>
      <c r="F40" t="s">
        <v>529</v>
      </c>
      <c r="G40" t="s">
        <v>296</v>
      </c>
      <c r="H40" t="s">
        <v>815</v>
      </c>
      <c r="I40" t="s">
        <v>819</v>
      </c>
      <c r="J40">
        <v>34</v>
      </c>
      <c r="K40">
        <v>36</v>
      </c>
      <c r="L40">
        <v>37</v>
      </c>
      <c r="M40">
        <v>37</v>
      </c>
      <c r="N40">
        <v>73</v>
      </c>
      <c r="O40" t="s">
        <v>48</v>
      </c>
      <c r="P40">
        <v>44</v>
      </c>
      <c r="Q40">
        <v>-46</v>
      </c>
      <c r="R40">
        <v>-46</v>
      </c>
      <c r="S40">
        <v>44</v>
      </c>
      <c r="T40">
        <v>0</v>
      </c>
      <c r="U40" t="s">
        <v>55</v>
      </c>
      <c r="V40">
        <f t="shared" si="0"/>
        <v>4</v>
      </c>
      <c r="W40">
        <f t="shared" si="1"/>
        <v>0</v>
      </c>
      <c r="X40">
        <f t="shared" si="2"/>
        <v>0</v>
      </c>
      <c r="Y40">
        <v>81</v>
      </c>
      <c r="Z40">
        <v>73</v>
      </c>
      <c r="AA40" t="s">
        <v>816</v>
      </c>
      <c r="AB40" t="s">
        <v>820</v>
      </c>
      <c r="AC40" t="s">
        <v>93</v>
      </c>
      <c r="AD40">
        <v>6</v>
      </c>
      <c r="AE40">
        <v>55</v>
      </c>
      <c r="AF40" t="s">
        <v>57</v>
      </c>
      <c r="AH40" t="s">
        <v>172</v>
      </c>
      <c r="AI40">
        <v>124.81</v>
      </c>
      <c r="AJ40" t="s">
        <v>132</v>
      </c>
      <c r="AK40" t="s">
        <v>529</v>
      </c>
      <c r="AL40" t="s">
        <v>531</v>
      </c>
      <c r="AM40" t="s">
        <v>68</v>
      </c>
      <c r="AN40" s="1">
        <v>45640</v>
      </c>
      <c r="AO40">
        <v>2024</v>
      </c>
      <c r="AP40">
        <v>12</v>
      </c>
      <c r="AQ40" t="s">
        <v>116</v>
      </c>
      <c r="AS40" t="s">
        <v>85</v>
      </c>
      <c r="AT40">
        <v>2025</v>
      </c>
      <c r="AU40" t="s">
        <v>296</v>
      </c>
      <c r="AV40" t="s">
        <v>68</v>
      </c>
      <c r="AW40" t="s">
        <v>815</v>
      </c>
      <c r="AX40">
        <v>2025</v>
      </c>
      <c r="AY40" t="s">
        <v>816</v>
      </c>
      <c r="AZ40" t="s">
        <v>816</v>
      </c>
    </row>
    <row r="41" spans="1:52" x14ac:dyDescent="0.25">
      <c r="A41" t="s">
        <v>825</v>
      </c>
      <c r="B41" s="1">
        <v>37504</v>
      </c>
      <c r="C41" t="s">
        <v>826</v>
      </c>
      <c r="D41">
        <v>472459</v>
      </c>
      <c r="E41" t="s">
        <v>46</v>
      </c>
      <c r="F41" t="s">
        <v>810</v>
      </c>
      <c r="G41" t="s">
        <v>639</v>
      </c>
      <c r="H41" t="s">
        <v>826</v>
      </c>
      <c r="I41" t="s">
        <v>393</v>
      </c>
      <c r="J41">
        <v>90</v>
      </c>
      <c r="K41">
        <v>95</v>
      </c>
      <c r="L41">
        <v>100</v>
      </c>
      <c r="M41">
        <v>100</v>
      </c>
      <c r="N41">
        <v>195</v>
      </c>
      <c r="O41" t="s">
        <v>48</v>
      </c>
      <c r="P41">
        <v>110</v>
      </c>
      <c r="Q41">
        <v>116</v>
      </c>
      <c r="R41">
        <v>-125</v>
      </c>
      <c r="S41">
        <v>116</v>
      </c>
      <c r="T41">
        <v>226</v>
      </c>
      <c r="U41" t="s">
        <v>60</v>
      </c>
      <c r="V41">
        <f t="shared" si="0"/>
        <v>5</v>
      </c>
      <c r="W41">
        <f t="shared" si="1"/>
        <v>0</v>
      </c>
      <c r="X41">
        <f t="shared" si="2"/>
        <v>0</v>
      </c>
      <c r="Y41">
        <v>216</v>
      </c>
      <c r="Z41">
        <v>421</v>
      </c>
      <c r="AA41" t="s">
        <v>828</v>
      </c>
      <c r="AB41" t="s">
        <v>829</v>
      </c>
      <c r="AC41" t="s">
        <v>93</v>
      </c>
      <c r="AD41">
        <v>6</v>
      </c>
      <c r="AE41">
        <v>67</v>
      </c>
      <c r="AF41" t="s">
        <v>126</v>
      </c>
      <c r="AH41" t="s">
        <v>401</v>
      </c>
      <c r="AI41">
        <v>321.19</v>
      </c>
      <c r="AJ41" t="s">
        <v>52</v>
      </c>
      <c r="AK41" t="s">
        <v>810</v>
      </c>
      <c r="AL41" t="s">
        <v>812</v>
      </c>
      <c r="AM41" t="s">
        <v>177</v>
      </c>
      <c r="AN41" s="1">
        <v>45640</v>
      </c>
      <c r="AO41">
        <v>2024</v>
      </c>
      <c r="AP41">
        <v>12</v>
      </c>
      <c r="AQ41" t="s">
        <v>116</v>
      </c>
      <c r="AS41" t="s">
        <v>85</v>
      </c>
      <c r="AT41">
        <v>2025</v>
      </c>
      <c r="AU41" t="s">
        <v>639</v>
      </c>
      <c r="AV41" t="s">
        <v>177</v>
      </c>
      <c r="AW41" t="s">
        <v>826</v>
      </c>
      <c r="AX41">
        <v>2025</v>
      </c>
      <c r="AY41" t="s">
        <v>827</v>
      </c>
      <c r="AZ41" t="s">
        <v>828</v>
      </c>
    </row>
    <row r="42" spans="1:52" x14ac:dyDescent="0.25">
      <c r="A42" t="s">
        <v>833</v>
      </c>
      <c r="B42" s="1">
        <v>41036</v>
      </c>
      <c r="C42" t="s">
        <v>834</v>
      </c>
      <c r="D42">
        <v>493434</v>
      </c>
      <c r="E42" t="s">
        <v>46</v>
      </c>
      <c r="F42" t="s">
        <v>837</v>
      </c>
      <c r="G42" t="s">
        <v>835</v>
      </c>
      <c r="H42" t="s">
        <v>834</v>
      </c>
      <c r="I42" t="s">
        <v>838</v>
      </c>
      <c r="J42">
        <v>32</v>
      </c>
      <c r="K42">
        <v>34</v>
      </c>
      <c r="L42">
        <v>36</v>
      </c>
      <c r="M42">
        <v>36</v>
      </c>
      <c r="N42">
        <v>70</v>
      </c>
      <c r="O42" t="s">
        <v>48</v>
      </c>
      <c r="P42">
        <v>44</v>
      </c>
      <c r="Q42">
        <v>46</v>
      </c>
      <c r="R42">
        <v>-48</v>
      </c>
      <c r="S42">
        <v>46</v>
      </c>
      <c r="T42">
        <v>90</v>
      </c>
      <c r="U42" t="s">
        <v>60</v>
      </c>
      <c r="V42">
        <f t="shared" si="0"/>
        <v>5</v>
      </c>
      <c r="W42">
        <f t="shared" si="1"/>
        <v>0</v>
      </c>
      <c r="X42">
        <f t="shared" si="2"/>
        <v>0</v>
      </c>
      <c r="Y42">
        <v>82</v>
      </c>
      <c r="Z42">
        <v>160</v>
      </c>
      <c r="AA42" t="s">
        <v>836</v>
      </c>
      <c r="AB42" t="s">
        <v>839</v>
      </c>
      <c r="AC42" t="s">
        <v>49</v>
      </c>
      <c r="AD42">
        <v>999</v>
      </c>
      <c r="AE42">
        <v>55</v>
      </c>
      <c r="AF42" t="s">
        <v>50</v>
      </c>
      <c r="AH42" t="s">
        <v>209</v>
      </c>
      <c r="AI42">
        <v>242.85</v>
      </c>
      <c r="AJ42" t="s">
        <v>132</v>
      </c>
      <c r="AK42" t="s">
        <v>837</v>
      </c>
      <c r="AL42" t="s">
        <v>840</v>
      </c>
      <c r="AM42" t="s">
        <v>173</v>
      </c>
      <c r="AN42" s="1">
        <v>45640</v>
      </c>
      <c r="AO42">
        <v>2024</v>
      </c>
      <c r="AP42">
        <v>12</v>
      </c>
      <c r="AQ42" t="s">
        <v>116</v>
      </c>
      <c r="AS42" t="s">
        <v>85</v>
      </c>
      <c r="AT42">
        <v>2025</v>
      </c>
      <c r="AU42" t="s">
        <v>835</v>
      </c>
      <c r="AV42" t="s">
        <v>173</v>
      </c>
      <c r="AW42" t="s">
        <v>834</v>
      </c>
      <c r="AX42">
        <v>2025</v>
      </c>
      <c r="AY42" t="s">
        <v>836</v>
      </c>
      <c r="AZ42" t="s">
        <v>836</v>
      </c>
    </row>
    <row r="43" spans="1:52" x14ac:dyDescent="0.25">
      <c r="A43" t="s">
        <v>854</v>
      </c>
      <c r="B43" s="1">
        <v>32139</v>
      </c>
      <c r="C43" t="s">
        <v>855</v>
      </c>
      <c r="D43">
        <v>468129</v>
      </c>
      <c r="E43" t="s">
        <v>46</v>
      </c>
      <c r="F43" t="s">
        <v>859</v>
      </c>
      <c r="G43" t="s">
        <v>120</v>
      </c>
      <c r="H43" t="s">
        <v>855</v>
      </c>
      <c r="I43" t="s">
        <v>121</v>
      </c>
      <c r="J43">
        <v>55</v>
      </c>
      <c r="K43">
        <v>-58</v>
      </c>
      <c r="L43">
        <v>58</v>
      </c>
      <c r="M43">
        <v>58</v>
      </c>
      <c r="N43">
        <v>113</v>
      </c>
      <c r="O43" t="s">
        <v>65</v>
      </c>
      <c r="P43">
        <v>70</v>
      </c>
      <c r="Q43">
        <v>75</v>
      </c>
      <c r="R43">
        <v>-78</v>
      </c>
      <c r="S43">
        <v>75</v>
      </c>
      <c r="T43">
        <v>145</v>
      </c>
      <c r="U43" t="s">
        <v>60</v>
      </c>
      <c r="V43">
        <f t="shared" si="0"/>
        <v>4</v>
      </c>
      <c r="W43">
        <f t="shared" si="1"/>
        <v>0</v>
      </c>
      <c r="X43">
        <f t="shared" si="2"/>
        <v>0</v>
      </c>
      <c r="Y43">
        <v>133</v>
      </c>
      <c r="Z43">
        <v>258</v>
      </c>
      <c r="AA43" t="s">
        <v>860</v>
      </c>
      <c r="AB43" t="s">
        <v>861</v>
      </c>
      <c r="AC43" t="s">
        <v>89</v>
      </c>
      <c r="AD43">
        <v>5</v>
      </c>
      <c r="AE43">
        <v>55</v>
      </c>
      <c r="AF43" t="s">
        <v>126</v>
      </c>
      <c r="AG43">
        <v>35</v>
      </c>
      <c r="AH43" t="s">
        <v>197</v>
      </c>
      <c r="AI43">
        <v>191.6</v>
      </c>
      <c r="AJ43" t="s">
        <v>132</v>
      </c>
      <c r="AK43" t="s">
        <v>859</v>
      </c>
      <c r="AL43" t="s">
        <v>862</v>
      </c>
      <c r="AM43" t="s">
        <v>123</v>
      </c>
      <c r="AN43" s="1">
        <v>45640</v>
      </c>
      <c r="AO43">
        <v>2024</v>
      </c>
      <c r="AP43">
        <v>12</v>
      </c>
      <c r="AQ43" t="s">
        <v>116</v>
      </c>
      <c r="AS43" t="s">
        <v>85</v>
      </c>
      <c r="AT43">
        <v>2025</v>
      </c>
      <c r="AU43" t="s">
        <v>120</v>
      </c>
      <c r="AV43" t="s">
        <v>123</v>
      </c>
      <c r="AW43" t="s">
        <v>855</v>
      </c>
      <c r="AX43">
        <v>2025</v>
      </c>
      <c r="AY43" t="s">
        <v>856</v>
      </c>
      <c r="AZ43" t="s">
        <v>860</v>
      </c>
    </row>
    <row r="44" spans="1:52" x14ac:dyDescent="0.25">
      <c r="A44" t="s">
        <v>841</v>
      </c>
      <c r="B44" s="1">
        <v>37658</v>
      </c>
      <c r="C44" t="s">
        <v>842</v>
      </c>
      <c r="D44">
        <v>480253</v>
      </c>
      <c r="E44" t="s">
        <v>46</v>
      </c>
      <c r="F44" t="s">
        <v>845</v>
      </c>
      <c r="G44" t="s">
        <v>395</v>
      </c>
      <c r="H44" t="s">
        <v>842</v>
      </c>
      <c r="I44">
        <v>59</v>
      </c>
      <c r="J44">
        <v>65</v>
      </c>
      <c r="K44">
        <v>-68</v>
      </c>
      <c r="L44">
        <v>68</v>
      </c>
      <c r="M44">
        <v>68</v>
      </c>
      <c r="N44">
        <v>133</v>
      </c>
      <c r="O44" t="s">
        <v>65</v>
      </c>
      <c r="P44">
        <v>-83</v>
      </c>
      <c r="Q44">
        <v>-85</v>
      </c>
      <c r="R44">
        <v>-87</v>
      </c>
      <c r="S44">
        <v>0</v>
      </c>
      <c r="T44">
        <v>0</v>
      </c>
      <c r="U44" t="s">
        <v>108</v>
      </c>
      <c r="V44">
        <f t="shared" si="0"/>
        <v>2</v>
      </c>
      <c r="W44">
        <f t="shared" si="1"/>
        <v>0</v>
      </c>
      <c r="X44">
        <f t="shared" si="2"/>
        <v>0</v>
      </c>
      <c r="Y44">
        <v>68</v>
      </c>
      <c r="Z44">
        <v>133</v>
      </c>
      <c r="AA44" t="s">
        <v>846</v>
      </c>
      <c r="AB44" t="s">
        <v>847</v>
      </c>
      <c r="AC44" t="s">
        <v>49</v>
      </c>
      <c r="AD44">
        <v>999</v>
      </c>
      <c r="AE44">
        <v>59</v>
      </c>
      <c r="AF44" t="s">
        <v>126</v>
      </c>
      <c r="AH44" t="s">
        <v>202</v>
      </c>
      <c r="AI44">
        <v>0</v>
      </c>
      <c r="AJ44" t="s">
        <v>132</v>
      </c>
      <c r="AK44" t="s">
        <v>845</v>
      </c>
      <c r="AL44" t="s">
        <v>848</v>
      </c>
      <c r="AM44" t="s">
        <v>302</v>
      </c>
      <c r="AN44" s="1">
        <v>45640</v>
      </c>
      <c r="AO44">
        <v>2024</v>
      </c>
      <c r="AP44">
        <v>12</v>
      </c>
      <c r="AQ44" t="s">
        <v>116</v>
      </c>
      <c r="AS44" t="s">
        <v>85</v>
      </c>
      <c r="AT44">
        <v>2025</v>
      </c>
      <c r="AU44" t="s">
        <v>395</v>
      </c>
      <c r="AV44" t="s">
        <v>303</v>
      </c>
      <c r="AW44" t="s">
        <v>842</v>
      </c>
      <c r="AX44">
        <v>2025</v>
      </c>
      <c r="AY44" t="s">
        <v>843</v>
      </c>
      <c r="AZ44" t="s">
        <v>849</v>
      </c>
    </row>
    <row r="45" spans="1:52" x14ac:dyDescent="0.25">
      <c r="A45" t="s">
        <v>863</v>
      </c>
      <c r="B45" s="1">
        <v>40944</v>
      </c>
      <c r="C45" t="s">
        <v>864</v>
      </c>
      <c r="D45">
        <v>481325</v>
      </c>
      <c r="E45" t="s">
        <v>46</v>
      </c>
      <c r="F45" t="s">
        <v>867</v>
      </c>
      <c r="G45" t="s">
        <v>66</v>
      </c>
      <c r="H45" t="s">
        <v>864</v>
      </c>
      <c r="I45">
        <v>42</v>
      </c>
      <c r="J45">
        <v>25</v>
      </c>
      <c r="K45">
        <v>27</v>
      </c>
      <c r="L45">
        <v>29</v>
      </c>
      <c r="M45">
        <v>29</v>
      </c>
      <c r="N45">
        <v>56</v>
      </c>
      <c r="O45" t="s">
        <v>48</v>
      </c>
      <c r="P45">
        <v>38</v>
      </c>
      <c r="Q45">
        <v>40</v>
      </c>
      <c r="R45">
        <v>-42</v>
      </c>
      <c r="S45">
        <v>40</v>
      </c>
      <c r="T45">
        <v>78</v>
      </c>
      <c r="U45" t="s">
        <v>60</v>
      </c>
      <c r="V45">
        <f t="shared" si="0"/>
        <v>5</v>
      </c>
      <c r="W45">
        <f t="shared" si="1"/>
        <v>0</v>
      </c>
      <c r="X45">
        <f t="shared" si="2"/>
        <v>0</v>
      </c>
      <c r="Y45">
        <v>69</v>
      </c>
      <c r="Z45">
        <v>134</v>
      </c>
      <c r="AA45" t="s">
        <v>865</v>
      </c>
      <c r="AB45" t="s">
        <v>868</v>
      </c>
      <c r="AC45" t="s">
        <v>49</v>
      </c>
      <c r="AD45">
        <v>999</v>
      </c>
      <c r="AE45">
        <v>45</v>
      </c>
      <c r="AF45" t="s">
        <v>50</v>
      </c>
      <c r="AH45" t="s">
        <v>206</v>
      </c>
      <c r="AI45">
        <v>238.27</v>
      </c>
      <c r="AJ45" t="s">
        <v>132</v>
      </c>
      <c r="AK45" t="s">
        <v>867</v>
      </c>
      <c r="AL45" t="s">
        <v>869</v>
      </c>
      <c r="AM45" t="s">
        <v>68</v>
      </c>
      <c r="AN45" s="1">
        <v>45641</v>
      </c>
      <c r="AO45">
        <v>2024</v>
      </c>
      <c r="AP45">
        <v>12</v>
      </c>
      <c r="AQ45" t="s">
        <v>116</v>
      </c>
      <c r="AS45" t="s">
        <v>85</v>
      </c>
      <c r="AT45">
        <v>2025</v>
      </c>
      <c r="AU45" t="s">
        <v>66</v>
      </c>
      <c r="AV45" t="s">
        <v>68</v>
      </c>
      <c r="AW45" t="s">
        <v>864</v>
      </c>
      <c r="AX45">
        <v>2025</v>
      </c>
      <c r="AY45" t="s">
        <v>865</v>
      </c>
      <c r="AZ45" t="s">
        <v>865</v>
      </c>
    </row>
    <row r="46" spans="1:52" x14ac:dyDescent="0.25">
      <c r="A46" t="s">
        <v>870</v>
      </c>
      <c r="B46" s="1">
        <v>40095</v>
      </c>
      <c r="C46" t="s">
        <v>871</v>
      </c>
      <c r="D46">
        <v>441506</v>
      </c>
      <c r="E46" t="s">
        <v>46</v>
      </c>
      <c r="F46" t="s">
        <v>360</v>
      </c>
      <c r="G46" t="s">
        <v>134</v>
      </c>
      <c r="H46" t="s">
        <v>871</v>
      </c>
      <c r="I46" t="s">
        <v>877</v>
      </c>
      <c r="J46">
        <v>50</v>
      </c>
      <c r="K46">
        <v>53</v>
      </c>
      <c r="L46">
        <v>56</v>
      </c>
      <c r="M46">
        <v>56</v>
      </c>
      <c r="N46">
        <v>109</v>
      </c>
      <c r="O46" t="s">
        <v>48</v>
      </c>
      <c r="P46">
        <v>61</v>
      </c>
      <c r="Q46">
        <v>64</v>
      </c>
      <c r="R46">
        <v>67</v>
      </c>
      <c r="S46">
        <v>67</v>
      </c>
      <c r="T46">
        <v>131</v>
      </c>
      <c r="U46" t="s">
        <v>48</v>
      </c>
      <c r="V46">
        <f t="shared" si="0"/>
        <v>6</v>
      </c>
      <c r="W46">
        <f t="shared" si="1"/>
        <v>0</v>
      </c>
      <c r="X46">
        <f t="shared" si="2"/>
        <v>0</v>
      </c>
      <c r="Y46">
        <v>123</v>
      </c>
      <c r="Z46">
        <v>240</v>
      </c>
      <c r="AA46" t="s">
        <v>878</v>
      </c>
      <c r="AB46" t="s">
        <v>879</v>
      </c>
      <c r="AC46" t="s">
        <v>89</v>
      </c>
      <c r="AD46">
        <v>5</v>
      </c>
      <c r="AE46" t="s">
        <v>479</v>
      </c>
      <c r="AF46" t="s">
        <v>95</v>
      </c>
      <c r="AH46" t="s">
        <v>480</v>
      </c>
      <c r="AI46">
        <v>137.19</v>
      </c>
      <c r="AJ46" t="s">
        <v>132</v>
      </c>
      <c r="AK46" t="s">
        <v>360</v>
      </c>
      <c r="AL46" t="s">
        <v>363</v>
      </c>
      <c r="AM46" t="s">
        <v>53</v>
      </c>
      <c r="AN46" s="1">
        <v>45640</v>
      </c>
      <c r="AO46">
        <v>2024</v>
      </c>
      <c r="AP46">
        <v>12</v>
      </c>
      <c r="AQ46" t="s">
        <v>116</v>
      </c>
      <c r="AS46" t="s">
        <v>85</v>
      </c>
      <c r="AT46">
        <v>2025</v>
      </c>
      <c r="AU46" t="s">
        <v>134</v>
      </c>
      <c r="AV46" t="s">
        <v>54</v>
      </c>
      <c r="AW46" t="s">
        <v>871</v>
      </c>
      <c r="AX46">
        <v>2025</v>
      </c>
      <c r="AY46" t="s">
        <v>872</v>
      </c>
      <c r="AZ46" t="s">
        <v>880</v>
      </c>
    </row>
    <row r="47" spans="1:52" x14ac:dyDescent="0.25">
      <c r="A47" t="s">
        <v>885</v>
      </c>
      <c r="B47" s="1">
        <v>39911</v>
      </c>
      <c r="C47" t="s">
        <v>886</v>
      </c>
      <c r="D47">
        <v>495648</v>
      </c>
      <c r="E47" t="s">
        <v>46</v>
      </c>
      <c r="F47" t="s">
        <v>213</v>
      </c>
      <c r="G47" t="s">
        <v>400</v>
      </c>
      <c r="H47" t="s">
        <v>886</v>
      </c>
      <c r="I47">
        <v>52</v>
      </c>
      <c r="J47">
        <v>50</v>
      </c>
      <c r="K47">
        <v>52</v>
      </c>
      <c r="L47">
        <v>-54</v>
      </c>
      <c r="M47">
        <v>52</v>
      </c>
      <c r="N47">
        <v>102</v>
      </c>
      <c r="O47" t="s">
        <v>60</v>
      </c>
      <c r="P47">
        <v>58</v>
      </c>
      <c r="Q47">
        <v>-62</v>
      </c>
      <c r="R47">
        <v>-64</v>
      </c>
      <c r="S47">
        <v>58</v>
      </c>
      <c r="T47">
        <v>0</v>
      </c>
      <c r="U47" t="s">
        <v>55</v>
      </c>
      <c r="V47">
        <f t="shared" si="0"/>
        <v>3</v>
      </c>
      <c r="W47">
        <f t="shared" si="1"/>
        <v>0</v>
      </c>
      <c r="X47">
        <f t="shared" si="2"/>
        <v>0</v>
      </c>
      <c r="Y47">
        <v>110</v>
      </c>
      <c r="Z47">
        <v>102</v>
      </c>
      <c r="AA47" t="s">
        <v>887</v>
      </c>
      <c r="AB47" t="s">
        <v>888</v>
      </c>
      <c r="AC47" t="s">
        <v>94</v>
      </c>
      <c r="AD47">
        <v>4</v>
      </c>
      <c r="AE47">
        <v>55</v>
      </c>
      <c r="AF47" t="s">
        <v>95</v>
      </c>
      <c r="AH47" t="s">
        <v>175</v>
      </c>
      <c r="AI47">
        <v>164.38</v>
      </c>
      <c r="AJ47" t="s">
        <v>132</v>
      </c>
      <c r="AK47" t="s">
        <v>213</v>
      </c>
      <c r="AL47" t="s">
        <v>217</v>
      </c>
      <c r="AM47" t="s">
        <v>72</v>
      </c>
      <c r="AN47" s="1">
        <v>45640</v>
      </c>
      <c r="AO47">
        <v>2024</v>
      </c>
      <c r="AP47">
        <v>12</v>
      </c>
      <c r="AQ47" t="s">
        <v>116</v>
      </c>
      <c r="AS47" t="s">
        <v>85</v>
      </c>
      <c r="AT47">
        <v>2025</v>
      </c>
      <c r="AU47" t="s">
        <v>400</v>
      </c>
      <c r="AV47" t="s">
        <v>72</v>
      </c>
      <c r="AW47" t="s">
        <v>886</v>
      </c>
      <c r="AX47">
        <v>2025</v>
      </c>
      <c r="AY47" t="s">
        <v>887</v>
      </c>
      <c r="AZ47" t="s">
        <v>887</v>
      </c>
    </row>
    <row r="48" spans="1:52" x14ac:dyDescent="0.25">
      <c r="A48" t="s">
        <v>889</v>
      </c>
      <c r="B48" s="1">
        <v>35800</v>
      </c>
      <c r="C48" t="s">
        <v>890</v>
      </c>
      <c r="D48">
        <v>462787</v>
      </c>
      <c r="E48" t="s">
        <v>46</v>
      </c>
      <c r="F48" t="s">
        <v>893</v>
      </c>
      <c r="G48" t="s">
        <v>506</v>
      </c>
      <c r="H48" t="s">
        <v>890</v>
      </c>
      <c r="I48" t="s">
        <v>894</v>
      </c>
      <c r="J48">
        <v>57</v>
      </c>
      <c r="K48">
        <v>-60</v>
      </c>
      <c r="L48">
        <v>60</v>
      </c>
      <c r="M48">
        <v>60</v>
      </c>
      <c r="N48">
        <v>117</v>
      </c>
      <c r="O48" t="s">
        <v>65</v>
      </c>
      <c r="P48">
        <v>70</v>
      </c>
      <c r="Q48">
        <v>-73</v>
      </c>
      <c r="R48">
        <v>74</v>
      </c>
      <c r="S48">
        <v>74</v>
      </c>
      <c r="T48">
        <v>144</v>
      </c>
      <c r="U48" t="s">
        <v>65</v>
      </c>
      <c r="V48">
        <f t="shared" si="0"/>
        <v>4</v>
      </c>
      <c r="W48">
        <f t="shared" si="1"/>
        <v>0</v>
      </c>
      <c r="X48">
        <f t="shared" si="2"/>
        <v>0</v>
      </c>
      <c r="Y48">
        <v>134</v>
      </c>
      <c r="Z48">
        <v>261</v>
      </c>
      <c r="AA48" t="s">
        <v>895</v>
      </c>
      <c r="AB48" t="s">
        <v>896</v>
      </c>
      <c r="AC48" t="s">
        <v>93</v>
      </c>
      <c r="AD48">
        <v>6</v>
      </c>
      <c r="AE48">
        <v>64</v>
      </c>
      <c r="AF48" t="s">
        <v>126</v>
      </c>
      <c r="AH48" t="s">
        <v>167</v>
      </c>
      <c r="AI48">
        <v>181.46</v>
      </c>
      <c r="AJ48" t="s">
        <v>132</v>
      </c>
      <c r="AK48" t="s">
        <v>893</v>
      </c>
      <c r="AL48" t="s">
        <v>897</v>
      </c>
      <c r="AM48" t="s">
        <v>170</v>
      </c>
      <c r="AN48" s="1">
        <v>45640</v>
      </c>
      <c r="AO48">
        <v>2024</v>
      </c>
      <c r="AP48">
        <v>12</v>
      </c>
      <c r="AQ48" t="s">
        <v>116</v>
      </c>
      <c r="AS48" t="s">
        <v>85</v>
      </c>
      <c r="AT48">
        <v>2025</v>
      </c>
      <c r="AU48" t="s">
        <v>506</v>
      </c>
      <c r="AV48" t="s">
        <v>170</v>
      </c>
      <c r="AW48" t="s">
        <v>890</v>
      </c>
      <c r="AX48">
        <v>2025</v>
      </c>
      <c r="AY48" t="s">
        <v>891</v>
      </c>
      <c r="AZ48" t="s">
        <v>895</v>
      </c>
    </row>
    <row r="49" spans="1:52" x14ac:dyDescent="0.25">
      <c r="A49" t="s">
        <v>898</v>
      </c>
      <c r="B49" s="1">
        <v>35010</v>
      </c>
      <c r="C49" t="s">
        <v>899</v>
      </c>
      <c r="D49">
        <v>466557</v>
      </c>
      <c r="E49" t="s">
        <v>46</v>
      </c>
      <c r="F49" t="s">
        <v>518</v>
      </c>
      <c r="G49" t="s">
        <v>901</v>
      </c>
      <c r="H49" t="s">
        <v>899</v>
      </c>
      <c r="I49">
        <v>56</v>
      </c>
      <c r="J49">
        <v>-53</v>
      </c>
      <c r="K49">
        <v>53</v>
      </c>
      <c r="L49">
        <v>-56</v>
      </c>
      <c r="M49">
        <v>53</v>
      </c>
      <c r="N49">
        <v>0</v>
      </c>
      <c r="O49" t="s">
        <v>104</v>
      </c>
      <c r="P49">
        <v>-68</v>
      </c>
      <c r="Q49">
        <v>69</v>
      </c>
      <c r="R49">
        <v>-72</v>
      </c>
      <c r="S49">
        <v>69</v>
      </c>
      <c r="T49">
        <v>0</v>
      </c>
      <c r="U49" t="s">
        <v>104</v>
      </c>
      <c r="V49">
        <f t="shared" si="0"/>
        <v>2</v>
      </c>
      <c r="W49">
        <f t="shared" si="1"/>
        <v>0</v>
      </c>
      <c r="X49">
        <f t="shared" si="2"/>
        <v>0</v>
      </c>
      <c r="Y49">
        <v>122</v>
      </c>
      <c r="Z49">
        <v>0</v>
      </c>
      <c r="AA49" t="s">
        <v>902</v>
      </c>
      <c r="AB49" t="s">
        <v>99</v>
      </c>
      <c r="AC49" t="s">
        <v>93</v>
      </c>
      <c r="AD49">
        <v>6</v>
      </c>
      <c r="AE49">
        <v>59</v>
      </c>
      <c r="AF49" t="s">
        <v>126</v>
      </c>
      <c r="AH49" t="s">
        <v>202</v>
      </c>
      <c r="AI49">
        <v>172.89</v>
      </c>
      <c r="AJ49" t="s">
        <v>132</v>
      </c>
      <c r="AK49" t="s">
        <v>518</v>
      </c>
      <c r="AL49" t="s">
        <v>522</v>
      </c>
      <c r="AM49" t="s">
        <v>177</v>
      </c>
      <c r="AN49" s="1">
        <v>45640</v>
      </c>
      <c r="AO49">
        <v>2024</v>
      </c>
      <c r="AP49">
        <v>12</v>
      </c>
      <c r="AQ49" t="s">
        <v>116</v>
      </c>
      <c r="AS49" t="s">
        <v>85</v>
      </c>
      <c r="AT49">
        <v>2025</v>
      </c>
      <c r="AU49" t="s">
        <v>901</v>
      </c>
      <c r="AV49" t="s">
        <v>177</v>
      </c>
      <c r="AW49" t="s">
        <v>899</v>
      </c>
      <c r="AX49">
        <v>2025</v>
      </c>
      <c r="AY49" t="s">
        <v>900</v>
      </c>
      <c r="AZ49" t="s">
        <v>902</v>
      </c>
    </row>
    <row r="50" spans="1:52" x14ac:dyDescent="0.25">
      <c r="A50" t="s">
        <v>907</v>
      </c>
      <c r="B50" s="1">
        <v>34613</v>
      </c>
      <c r="C50" t="s">
        <v>908</v>
      </c>
      <c r="D50">
        <v>464361</v>
      </c>
      <c r="E50" t="s">
        <v>46</v>
      </c>
      <c r="F50" t="s">
        <v>912</v>
      </c>
      <c r="G50" t="s">
        <v>589</v>
      </c>
      <c r="H50" t="s">
        <v>908</v>
      </c>
      <c r="I50" t="s">
        <v>367</v>
      </c>
      <c r="J50">
        <v>65</v>
      </c>
      <c r="K50">
        <v>69</v>
      </c>
      <c r="L50">
        <v>72</v>
      </c>
      <c r="M50">
        <v>72</v>
      </c>
      <c r="N50">
        <v>141</v>
      </c>
      <c r="O50" t="s">
        <v>48</v>
      </c>
      <c r="P50">
        <v>91</v>
      </c>
      <c r="Q50">
        <v>-95</v>
      </c>
      <c r="R50">
        <v>-97</v>
      </c>
      <c r="S50">
        <v>91</v>
      </c>
      <c r="T50">
        <v>0</v>
      </c>
      <c r="U50" t="s">
        <v>55</v>
      </c>
      <c r="V50">
        <f t="shared" si="0"/>
        <v>4</v>
      </c>
      <c r="W50">
        <f t="shared" si="1"/>
        <v>0</v>
      </c>
      <c r="X50">
        <f t="shared" si="2"/>
        <v>0</v>
      </c>
      <c r="Y50">
        <v>163</v>
      </c>
      <c r="Z50">
        <v>141</v>
      </c>
      <c r="AA50" t="s">
        <v>911</v>
      </c>
      <c r="AB50" t="s">
        <v>913</v>
      </c>
      <c r="AC50" t="s">
        <v>94</v>
      </c>
      <c r="AD50">
        <v>4</v>
      </c>
      <c r="AE50">
        <v>59</v>
      </c>
      <c r="AF50" t="s">
        <v>126</v>
      </c>
      <c r="AH50" t="s">
        <v>202</v>
      </c>
      <c r="AI50">
        <v>225.05</v>
      </c>
      <c r="AJ50" t="s">
        <v>132</v>
      </c>
      <c r="AK50" t="s">
        <v>912</v>
      </c>
      <c r="AL50" t="s">
        <v>914</v>
      </c>
      <c r="AM50" t="s">
        <v>128</v>
      </c>
      <c r="AN50" s="1">
        <v>45640</v>
      </c>
      <c r="AO50">
        <v>2024</v>
      </c>
      <c r="AP50">
        <v>12</v>
      </c>
      <c r="AQ50" t="s">
        <v>116</v>
      </c>
      <c r="AS50" t="s">
        <v>85</v>
      </c>
      <c r="AT50">
        <v>2025</v>
      </c>
      <c r="AU50" t="s">
        <v>589</v>
      </c>
      <c r="AV50" t="s">
        <v>68</v>
      </c>
      <c r="AW50" t="s">
        <v>908</v>
      </c>
      <c r="AX50">
        <v>2025</v>
      </c>
      <c r="AY50" t="s">
        <v>909</v>
      </c>
      <c r="AZ50" t="s">
        <v>911</v>
      </c>
    </row>
    <row r="51" spans="1:52" x14ac:dyDescent="0.25">
      <c r="A51" t="s">
        <v>935</v>
      </c>
      <c r="B51" s="1">
        <v>38284</v>
      </c>
      <c r="C51" t="s">
        <v>936</v>
      </c>
      <c r="D51">
        <v>383773</v>
      </c>
      <c r="E51" t="s">
        <v>46</v>
      </c>
      <c r="F51" t="s">
        <v>941</v>
      </c>
      <c r="G51" t="s">
        <v>937</v>
      </c>
      <c r="H51" t="s">
        <v>936</v>
      </c>
      <c r="I51" t="s">
        <v>823</v>
      </c>
      <c r="J51">
        <v>49</v>
      </c>
      <c r="K51">
        <v>-52</v>
      </c>
      <c r="L51">
        <v>52</v>
      </c>
      <c r="M51">
        <v>52</v>
      </c>
      <c r="N51">
        <v>101</v>
      </c>
      <c r="O51" t="s">
        <v>65</v>
      </c>
      <c r="P51">
        <v>63</v>
      </c>
      <c r="Q51">
        <v>-66</v>
      </c>
      <c r="R51">
        <v>67</v>
      </c>
      <c r="S51">
        <v>67</v>
      </c>
      <c r="T51">
        <v>130</v>
      </c>
      <c r="U51" t="s">
        <v>65</v>
      </c>
      <c r="V51">
        <f t="shared" si="0"/>
        <v>4</v>
      </c>
      <c r="W51">
        <f t="shared" si="1"/>
        <v>0</v>
      </c>
      <c r="X51">
        <f t="shared" si="2"/>
        <v>0</v>
      </c>
      <c r="Y51">
        <v>119</v>
      </c>
      <c r="Z51">
        <v>231</v>
      </c>
      <c r="AA51" t="s">
        <v>942</v>
      </c>
      <c r="AB51" t="s">
        <v>943</v>
      </c>
      <c r="AC51" t="s">
        <v>89</v>
      </c>
      <c r="AD51">
        <v>5</v>
      </c>
      <c r="AE51">
        <v>49</v>
      </c>
      <c r="AF51" t="s">
        <v>126</v>
      </c>
      <c r="AH51" t="s">
        <v>195</v>
      </c>
      <c r="AI51">
        <v>191.02</v>
      </c>
      <c r="AJ51" t="s">
        <v>132</v>
      </c>
      <c r="AK51" t="s">
        <v>941</v>
      </c>
      <c r="AL51" t="s">
        <v>944</v>
      </c>
      <c r="AM51" t="s">
        <v>53</v>
      </c>
      <c r="AN51" s="1">
        <v>45640</v>
      </c>
      <c r="AO51">
        <v>2024</v>
      </c>
      <c r="AP51">
        <v>12</v>
      </c>
      <c r="AQ51" t="s">
        <v>116</v>
      </c>
      <c r="AS51" t="s">
        <v>85</v>
      </c>
      <c r="AT51">
        <v>2025</v>
      </c>
      <c r="AU51" t="s">
        <v>937</v>
      </c>
      <c r="AV51" t="s">
        <v>54</v>
      </c>
      <c r="AW51" t="s">
        <v>936</v>
      </c>
      <c r="AX51">
        <v>2025</v>
      </c>
      <c r="AY51" t="s">
        <v>938</v>
      </c>
      <c r="AZ51" t="s">
        <v>942</v>
      </c>
    </row>
    <row r="52" spans="1:52" x14ac:dyDescent="0.25">
      <c r="A52" t="s">
        <v>920</v>
      </c>
      <c r="B52" s="1">
        <v>37267</v>
      </c>
      <c r="C52" t="s">
        <v>921</v>
      </c>
      <c r="D52">
        <v>475529</v>
      </c>
      <c r="E52" t="s">
        <v>46</v>
      </c>
      <c r="F52" t="s">
        <v>109</v>
      </c>
      <c r="G52" t="s">
        <v>88</v>
      </c>
      <c r="H52" t="s">
        <v>921</v>
      </c>
      <c r="I52" t="s">
        <v>924</v>
      </c>
      <c r="J52">
        <v>59</v>
      </c>
      <c r="K52">
        <v>62</v>
      </c>
      <c r="L52">
        <v>64</v>
      </c>
      <c r="M52">
        <v>64</v>
      </c>
      <c r="N52">
        <v>126</v>
      </c>
      <c r="O52" t="s">
        <v>48</v>
      </c>
      <c r="P52">
        <v>73</v>
      </c>
      <c r="Q52">
        <v>-76</v>
      </c>
      <c r="R52">
        <v>76</v>
      </c>
      <c r="S52">
        <v>76</v>
      </c>
      <c r="T52">
        <v>149</v>
      </c>
      <c r="U52" t="s">
        <v>65</v>
      </c>
      <c r="V52">
        <f t="shared" si="0"/>
        <v>5</v>
      </c>
      <c r="W52">
        <f t="shared" si="1"/>
        <v>0</v>
      </c>
      <c r="X52">
        <f t="shared" si="2"/>
        <v>0</v>
      </c>
      <c r="Y52">
        <v>140</v>
      </c>
      <c r="Z52">
        <v>275</v>
      </c>
      <c r="AA52" t="s">
        <v>925</v>
      </c>
      <c r="AB52" t="s">
        <v>926</v>
      </c>
      <c r="AC52" t="s">
        <v>89</v>
      </c>
      <c r="AD52">
        <v>5</v>
      </c>
      <c r="AE52">
        <v>59</v>
      </c>
      <c r="AF52" t="s">
        <v>126</v>
      </c>
      <c r="AH52" t="s">
        <v>202</v>
      </c>
      <c r="AI52">
        <v>193.42</v>
      </c>
      <c r="AJ52" t="s">
        <v>132</v>
      </c>
      <c r="AK52" t="s">
        <v>109</v>
      </c>
      <c r="AL52" t="s">
        <v>115</v>
      </c>
      <c r="AM52" t="s">
        <v>90</v>
      </c>
      <c r="AN52" s="1">
        <v>45639</v>
      </c>
      <c r="AO52">
        <v>2024</v>
      </c>
      <c r="AP52">
        <v>12</v>
      </c>
      <c r="AQ52" t="s">
        <v>116</v>
      </c>
      <c r="AS52" t="s">
        <v>85</v>
      </c>
      <c r="AT52">
        <v>2025</v>
      </c>
      <c r="AU52" t="s">
        <v>88</v>
      </c>
      <c r="AV52" t="s">
        <v>91</v>
      </c>
      <c r="AW52" t="s">
        <v>921</v>
      </c>
      <c r="AX52">
        <v>2025</v>
      </c>
      <c r="AY52" t="s">
        <v>922</v>
      </c>
      <c r="AZ52" t="s">
        <v>925</v>
      </c>
    </row>
    <row r="53" spans="1:52" x14ac:dyDescent="0.25">
      <c r="A53" t="s">
        <v>929</v>
      </c>
      <c r="B53" s="1">
        <v>39706</v>
      </c>
      <c r="C53" t="s">
        <v>930</v>
      </c>
      <c r="D53">
        <v>492978</v>
      </c>
      <c r="E53" t="s">
        <v>46</v>
      </c>
      <c r="F53" t="s">
        <v>679</v>
      </c>
      <c r="G53" t="s">
        <v>258</v>
      </c>
      <c r="H53" t="s">
        <v>930</v>
      </c>
      <c r="I53" t="s">
        <v>405</v>
      </c>
      <c r="J53">
        <v>85</v>
      </c>
      <c r="K53">
        <v>89</v>
      </c>
      <c r="L53">
        <v>92</v>
      </c>
      <c r="M53">
        <v>92</v>
      </c>
      <c r="N53">
        <v>181</v>
      </c>
      <c r="O53" t="s">
        <v>48</v>
      </c>
      <c r="P53">
        <v>98</v>
      </c>
      <c r="Q53">
        <v>108</v>
      </c>
      <c r="R53">
        <v>-118</v>
      </c>
      <c r="S53">
        <v>108</v>
      </c>
      <c r="T53">
        <v>206</v>
      </c>
      <c r="U53" t="s">
        <v>60</v>
      </c>
      <c r="V53">
        <f t="shared" si="0"/>
        <v>5</v>
      </c>
      <c r="W53">
        <f t="shared" si="1"/>
        <v>0</v>
      </c>
      <c r="X53">
        <f t="shared" si="2"/>
        <v>0</v>
      </c>
      <c r="Y53">
        <v>200</v>
      </c>
      <c r="Z53">
        <v>387</v>
      </c>
      <c r="AA53" t="s">
        <v>931</v>
      </c>
      <c r="AB53" t="s">
        <v>932</v>
      </c>
      <c r="AC53" t="s">
        <v>89</v>
      </c>
      <c r="AD53">
        <v>5</v>
      </c>
      <c r="AE53">
        <v>81</v>
      </c>
      <c r="AF53" t="s">
        <v>95</v>
      </c>
      <c r="AH53" t="s">
        <v>219</v>
      </c>
      <c r="AI53">
        <v>255.75</v>
      </c>
      <c r="AJ53" t="s">
        <v>52</v>
      </c>
      <c r="AK53" t="s">
        <v>679</v>
      </c>
      <c r="AL53" t="s">
        <v>682</v>
      </c>
      <c r="AM53" t="s">
        <v>128</v>
      </c>
      <c r="AN53" s="1">
        <v>45641</v>
      </c>
      <c r="AO53">
        <v>2024</v>
      </c>
      <c r="AP53">
        <v>12</v>
      </c>
      <c r="AQ53" t="s">
        <v>116</v>
      </c>
      <c r="AS53" t="s">
        <v>85</v>
      </c>
      <c r="AT53">
        <v>2025</v>
      </c>
      <c r="AU53" t="s">
        <v>258</v>
      </c>
      <c r="AV53" t="s">
        <v>128</v>
      </c>
      <c r="AW53" t="s">
        <v>930</v>
      </c>
      <c r="AX53">
        <v>2025</v>
      </c>
      <c r="AY53" t="s">
        <v>931</v>
      </c>
      <c r="AZ53" t="s">
        <v>931</v>
      </c>
    </row>
    <row r="54" spans="1:52" x14ac:dyDescent="0.25">
      <c r="A54" t="s">
        <v>970</v>
      </c>
      <c r="B54" s="1">
        <v>42010</v>
      </c>
      <c r="C54" t="s">
        <v>971</v>
      </c>
      <c r="D54">
        <v>494547</v>
      </c>
      <c r="E54" t="s">
        <v>46</v>
      </c>
      <c r="F54" t="s">
        <v>760</v>
      </c>
      <c r="G54" t="s">
        <v>419</v>
      </c>
      <c r="H54" t="s">
        <v>971</v>
      </c>
      <c r="I54" t="s">
        <v>973</v>
      </c>
      <c r="J54">
        <v>10</v>
      </c>
      <c r="K54">
        <v>12</v>
      </c>
      <c r="L54">
        <v>-13</v>
      </c>
      <c r="M54">
        <v>12</v>
      </c>
      <c r="N54">
        <v>22</v>
      </c>
      <c r="O54" t="s">
        <v>60</v>
      </c>
      <c r="P54">
        <v>12</v>
      </c>
      <c r="Q54">
        <v>14</v>
      </c>
      <c r="R54">
        <v>-16</v>
      </c>
      <c r="S54">
        <v>14</v>
      </c>
      <c r="T54">
        <v>26</v>
      </c>
      <c r="U54" t="s">
        <v>60</v>
      </c>
      <c r="V54">
        <f t="shared" si="0"/>
        <v>4</v>
      </c>
      <c r="W54">
        <f t="shared" si="1"/>
        <v>0</v>
      </c>
      <c r="X54">
        <f t="shared" si="2"/>
        <v>0</v>
      </c>
      <c r="Y54">
        <v>26</v>
      </c>
      <c r="Z54">
        <v>48</v>
      </c>
      <c r="AA54" t="s">
        <v>974</v>
      </c>
      <c r="AB54" t="s">
        <v>975</v>
      </c>
      <c r="AC54" t="s">
        <v>49</v>
      </c>
      <c r="AD54">
        <v>999</v>
      </c>
      <c r="AE54" t="s">
        <v>190</v>
      </c>
      <c r="AF54" t="s">
        <v>80</v>
      </c>
      <c r="AH54" t="s">
        <v>191</v>
      </c>
      <c r="AI54">
        <v>104.56</v>
      </c>
      <c r="AJ54" t="s">
        <v>132</v>
      </c>
      <c r="AK54" t="s">
        <v>760</v>
      </c>
      <c r="AL54" t="s">
        <v>763</v>
      </c>
      <c r="AM54" t="s">
        <v>133</v>
      </c>
      <c r="AN54" s="1">
        <v>45640</v>
      </c>
      <c r="AO54">
        <v>2024</v>
      </c>
      <c r="AP54">
        <v>12</v>
      </c>
      <c r="AQ54" t="s">
        <v>116</v>
      </c>
      <c r="AS54" t="s">
        <v>85</v>
      </c>
      <c r="AT54">
        <v>2025</v>
      </c>
      <c r="AU54" t="s">
        <v>419</v>
      </c>
      <c r="AV54" t="s">
        <v>133</v>
      </c>
      <c r="AW54" t="s">
        <v>971</v>
      </c>
      <c r="AX54">
        <v>2025</v>
      </c>
      <c r="AY54" t="s">
        <v>972</v>
      </c>
      <c r="AZ54" t="s">
        <v>972</v>
      </c>
    </row>
    <row r="55" spans="1:52" x14ac:dyDescent="0.25">
      <c r="A55" t="s">
        <v>946</v>
      </c>
      <c r="B55" s="1">
        <v>35685</v>
      </c>
      <c r="C55" t="s">
        <v>947</v>
      </c>
      <c r="D55">
        <v>500251</v>
      </c>
      <c r="E55" t="s">
        <v>46</v>
      </c>
      <c r="F55" t="s">
        <v>948</v>
      </c>
      <c r="G55" t="s">
        <v>129</v>
      </c>
      <c r="H55" t="s">
        <v>947</v>
      </c>
      <c r="I55" t="s">
        <v>367</v>
      </c>
      <c r="J55">
        <v>60</v>
      </c>
      <c r="K55">
        <v>62</v>
      </c>
      <c r="L55">
        <v>-64</v>
      </c>
      <c r="M55">
        <v>62</v>
      </c>
      <c r="N55">
        <v>122</v>
      </c>
      <c r="O55" t="s">
        <v>60</v>
      </c>
      <c r="P55">
        <v>78</v>
      </c>
      <c r="Q55">
        <v>80</v>
      </c>
      <c r="R55">
        <v>-82</v>
      </c>
      <c r="S55">
        <v>80</v>
      </c>
      <c r="T55">
        <v>158</v>
      </c>
      <c r="U55" t="s">
        <v>60</v>
      </c>
      <c r="V55">
        <f t="shared" si="0"/>
        <v>4</v>
      </c>
      <c r="W55">
        <f t="shared" si="1"/>
        <v>0</v>
      </c>
      <c r="X55">
        <f t="shared" si="2"/>
        <v>0</v>
      </c>
      <c r="Y55">
        <v>142</v>
      </c>
      <c r="Z55">
        <v>280</v>
      </c>
      <c r="AA55" t="s">
        <v>922</v>
      </c>
      <c r="AB55" t="s">
        <v>923</v>
      </c>
      <c r="AC55" t="s">
        <v>89</v>
      </c>
      <c r="AD55">
        <v>5</v>
      </c>
      <c r="AE55">
        <v>59</v>
      </c>
      <c r="AF55" t="s">
        <v>126</v>
      </c>
      <c r="AH55" t="s">
        <v>202</v>
      </c>
      <c r="AI55">
        <v>196.05</v>
      </c>
      <c r="AJ55" t="s">
        <v>132</v>
      </c>
      <c r="AK55" t="s">
        <v>948</v>
      </c>
      <c r="AL55" t="s">
        <v>949</v>
      </c>
      <c r="AM55" t="s">
        <v>133</v>
      </c>
      <c r="AN55" s="1">
        <v>45640</v>
      </c>
      <c r="AO55">
        <v>2024</v>
      </c>
      <c r="AP55">
        <v>12</v>
      </c>
      <c r="AQ55" t="s">
        <v>116</v>
      </c>
      <c r="AS55" t="s">
        <v>85</v>
      </c>
      <c r="AT55">
        <v>2025</v>
      </c>
      <c r="AU55" t="s">
        <v>129</v>
      </c>
      <c r="AV55" t="s">
        <v>133</v>
      </c>
      <c r="AW55" t="s">
        <v>947</v>
      </c>
      <c r="AX55">
        <v>2025</v>
      </c>
      <c r="AY55" t="s">
        <v>922</v>
      </c>
      <c r="AZ55" t="s">
        <v>922</v>
      </c>
    </row>
    <row r="56" spans="1:52" x14ac:dyDescent="0.25">
      <c r="A56" t="s">
        <v>950</v>
      </c>
      <c r="B56" s="1">
        <v>38533</v>
      </c>
      <c r="C56" t="s">
        <v>951</v>
      </c>
      <c r="D56">
        <v>431010</v>
      </c>
      <c r="E56" t="s">
        <v>46</v>
      </c>
      <c r="F56" t="s">
        <v>954</v>
      </c>
      <c r="G56" t="s">
        <v>329</v>
      </c>
      <c r="H56" t="s">
        <v>951</v>
      </c>
      <c r="I56" t="s">
        <v>574</v>
      </c>
      <c r="J56">
        <v>-57</v>
      </c>
      <c r="K56">
        <v>57</v>
      </c>
      <c r="L56">
        <v>-60</v>
      </c>
      <c r="M56">
        <v>57</v>
      </c>
      <c r="N56">
        <v>0</v>
      </c>
      <c r="O56" t="s">
        <v>104</v>
      </c>
      <c r="P56">
        <v>70</v>
      </c>
      <c r="Q56">
        <v>74</v>
      </c>
      <c r="R56">
        <v>-76</v>
      </c>
      <c r="S56">
        <v>74</v>
      </c>
      <c r="T56">
        <v>144</v>
      </c>
      <c r="U56" t="s">
        <v>60</v>
      </c>
      <c r="V56">
        <f t="shared" si="0"/>
        <v>3</v>
      </c>
      <c r="W56">
        <f t="shared" si="1"/>
        <v>0</v>
      </c>
      <c r="X56">
        <f t="shared" si="2"/>
        <v>0</v>
      </c>
      <c r="Y56">
        <v>131</v>
      </c>
      <c r="Z56">
        <v>144</v>
      </c>
      <c r="AA56" t="s">
        <v>955</v>
      </c>
      <c r="AB56" t="s">
        <v>956</v>
      </c>
      <c r="AC56" t="s">
        <v>94</v>
      </c>
      <c r="AD56">
        <v>4</v>
      </c>
      <c r="AE56">
        <v>59</v>
      </c>
      <c r="AF56" t="s">
        <v>113</v>
      </c>
      <c r="AH56" t="s">
        <v>352</v>
      </c>
      <c r="AI56">
        <v>182.68</v>
      </c>
      <c r="AJ56" t="s">
        <v>132</v>
      </c>
      <c r="AK56" t="s">
        <v>954</v>
      </c>
      <c r="AL56" t="s">
        <v>957</v>
      </c>
      <c r="AM56" t="s">
        <v>133</v>
      </c>
      <c r="AN56" s="1">
        <v>45641</v>
      </c>
      <c r="AO56">
        <v>2024</v>
      </c>
      <c r="AP56">
        <v>12</v>
      </c>
      <c r="AQ56" t="s">
        <v>116</v>
      </c>
      <c r="AS56" t="s">
        <v>85</v>
      </c>
      <c r="AT56">
        <v>2025</v>
      </c>
      <c r="AU56" t="s">
        <v>329</v>
      </c>
      <c r="AV56" t="s">
        <v>133</v>
      </c>
      <c r="AW56" t="s">
        <v>951</v>
      </c>
      <c r="AX56">
        <v>2025</v>
      </c>
      <c r="AY56" t="s">
        <v>952</v>
      </c>
      <c r="AZ56" t="s">
        <v>952</v>
      </c>
    </row>
    <row r="57" spans="1:52" x14ac:dyDescent="0.25">
      <c r="A57" t="s">
        <v>961</v>
      </c>
      <c r="B57" s="1">
        <v>41788</v>
      </c>
      <c r="C57" t="s">
        <v>962</v>
      </c>
      <c r="D57">
        <v>500746</v>
      </c>
      <c r="E57" t="s">
        <v>46</v>
      </c>
      <c r="F57" t="s">
        <v>964</v>
      </c>
      <c r="G57" t="s">
        <v>66</v>
      </c>
      <c r="H57" t="s">
        <v>962</v>
      </c>
      <c r="I57" t="s">
        <v>965</v>
      </c>
      <c r="J57">
        <v>12</v>
      </c>
      <c r="K57">
        <v>13</v>
      </c>
      <c r="L57">
        <v>15</v>
      </c>
      <c r="M57">
        <v>15</v>
      </c>
      <c r="N57">
        <v>28</v>
      </c>
      <c r="O57" t="s">
        <v>48</v>
      </c>
      <c r="P57">
        <v>15</v>
      </c>
      <c r="Q57">
        <v>-17</v>
      </c>
      <c r="R57">
        <v>17</v>
      </c>
      <c r="S57">
        <v>17</v>
      </c>
      <c r="T57">
        <v>32</v>
      </c>
      <c r="U57" t="s">
        <v>65</v>
      </c>
      <c r="V57">
        <f t="shared" si="0"/>
        <v>5</v>
      </c>
      <c r="W57">
        <f t="shared" si="1"/>
        <v>0</v>
      </c>
      <c r="X57">
        <f t="shared" si="2"/>
        <v>0</v>
      </c>
      <c r="Y57">
        <v>32</v>
      </c>
      <c r="Z57">
        <v>60</v>
      </c>
      <c r="AA57" t="s">
        <v>963</v>
      </c>
      <c r="AB57" t="s">
        <v>966</v>
      </c>
      <c r="AC57" t="s">
        <v>49</v>
      </c>
      <c r="AD57">
        <v>999</v>
      </c>
      <c r="AE57">
        <v>35</v>
      </c>
      <c r="AF57" t="s">
        <v>50</v>
      </c>
      <c r="AH57" t="s">
        <v>253</v>
      </c>
      <c r="AI57">
        <v>168.66</v>
      </c>
      <c r="AJ57" t="s">
        <v>52</v>
      </c>
      <c r="AK57" t="s">
        <v>964</v>
      </c>
      <c r="AL57" t="s">
        <v>967</v>
      </c>
      <c r="AM57" t="s">
        <v>68</v>
      </c>
      <c r="AN57" s="1">
        <v>45641</v>
      </c>
      <c r="AO57">
        <v>2024</v>
      </c>
      <c r="AP57">
        <v>12</v>
      </c>
      <c r="AQ57" t="s">
        <v>116</v>
      </c>
      <c r="AS57" t="s">
        <v>85</v>
      </c>
      <c r="AT57">
        <v>2025</v>
      </c>
      <c r="AU57" t="s">
        <v>66</v>
      </c>
      <c r="AV57" t="s">
        <v>68</v>
      </c>
      <c r="AW57" t="s">
        <v>962</v>
      </c>
      <c r="AX57">
        <v>2025</v>
      </c>
      <c r="AY57" t="s">
        <v>963</v>
      </c>
      <c r="AZ57" t="s">
        <v>963</v>
      </c>
    </row>
    <row r="58" spans="1:52" x14ac:dyDescent="0.25">
      <c r="A58" t="s">
        <v>980</v>
      </c>
      <c r="B58" s="1">
        <v>39689</v>
      </c>
      <c r="C58" t="s">
        <v>981</v>
      </c>
      <c r="D58">
        <v>457505</v>
      </c>
      <c r="E58" t="s">
        <v>254</v>
      </c>
      <c r="F58" t="s">
        <v>529</v>
      </c>
      <c r="G58" t="s">
        <v>255</v>
      </c>
      <c r="H58" t="s">
        <v>981</v>
      </c>
      <c r="I58" t="s">
        <v>571</v>
      </c>
      <c r="J58">
        <v>-73</v>
      </c>
      <c r="K58">
        <v>-73</v>
      </c>
      <c r="L58">
        <v>-73</v>
      </c>
      <c r="M58">
        <v>0</v>
      </c>
      <c r="N58">
        <v>0</v>
      </c>
      <c r="O58" t="s">
        <v>108</v>
      </c>
      <c r="P58">
        <v>0</v>
      </c>
      <c r="Q58">
        <v>0</v>
      </c>
      <c r="R58">
        <v>0</v>
      </c>
      <c r="S58">
        <v>0</v>
      </c>
      <c r="T58">
        <v>0</v>
      </c>
      <c r="U58" t="s">
        <v>108</v>
      </c>
      <c r="V58">
        <f t="shared" si="0"/>
        <v>0</v>
      </c>
      <c r="W58">
        <f t="shared" si="1"/>
        <v>0</v>
      </c>
      <c r="X58">
        <f t="shared" si="2"/>
        <v>0</v>
      </c>
      <c r="Y58">
        <v>0</v>
      </c>
      <c r="Z58">
        <v>0</v>
      </c>
      <c r="AA58" t="s">
        <v>99</v>
      </c>
      <c r="AB58" t="s">
        <v>99</v>
      </c>
      <c r="AC58" t="s">
        <v>49</v>
      </c>
      <c r="AD58">
        <v>999</v>
      </c>
      <c r="AE58">
        <v>64</v>
      </c>
      <c r="AF58" t="s">
        <v>95</v>
      </c>
      <c r="AH58" t="s">
        <v>169</v>
      </c>
      <c r="AI58">
        <v>0</v>
      </c>
      <c r="AJ58" t="s">
        <v>132</v>
      </c>
      <c r="AK58" t="s">
        <v>529</v>
      </c>
      <c r="AL58" t="s">
        <v>531</v>
      </c>
      <c r="AM58" t="s">
        <v>68</v>
      </c>
      <c r="AN58" s="1">
        <v>45640</v>
      </c>
      <c r="AO58">
        <v>2024</v>
      </c>
      <c r="AP58">
        <v>12</v>
      </c>
      <c r="AQ58" t="s">
        <v>116</v>
      </c>
      <c r="AS58" t="s">
        <v>85</v>
      </c>
      <c r="AT58">
        <v>2025</v>
      </c>
      <c r="AU58" t="s">
        <v>255</v>
      </c>
      <c r="AV58" t="s">
        <v>68</v>
      </c>
      <c r="AW58" t="s">
        <v>981</v>
      </c>
      <c r="AX58">
        <v>2025</v>
      </c>
      <c r="AY58" t="s">
        <v>982</v>
      </c>
      <c r="AZ58" t="s">
        <v>99</v>
      </c>
    </row>
    <row r="59" spans="1:52" x14ac:dyDescent="0.25">
      <c r="A59" t="s">
        <v>986</v>
      </c>
      <c r="B59" s="1">
        <v>34184</v>
      </c>
      <c r="C59" t="s">
        <v>987</v>
      </c>
      <c r="D59">
        <v>467259</v>
      </c>
      <c r="E59" t="s">
        <v>988</v>
      </c>
      <c r="F59" t="s">
        <v>990</v>
      </c>
      <c r="G59" t="s">
        <v>268</v>
      </c>
      <c r="H59" t="s">
        <v>987</v>
      </c>
      <c r="I59" t="s">
        <v>121</v>
      </c>
      <c r="J59">
        <v>-67</v>
      </c>
      <c r="K59">
        <v>67</v>
      </c>
      <c r="L59">
        <v>-71</v>
      </c>
      <c r="M59">
        <v>67</v>
      </c>
      <c r="N59">
        <v>0</v>
      </c>
      <c r="O59" t="s">
        <v>104</v>
      </c>
      <c r="P59">
        <v>-78</v>
      </c>
      <c r="Q59">
        <v>78</v>
      </c>
      <c r="R59">
        <v>82</v>
      </c>
      <c r="S59">
        <v>82</v>
      </c>
      <c r="T59">
        <v>160</v>
      </c>
      <c r="U59" t="s">
        <v>63</v>
      </c>
      <c r="V59">
        <f t="shared" si="0"/>
        <v>3</v>
      </c>
      <c r="W59">
        <f t="shared" si="1"/>
        <v>0</v>
      </c>
      <c r="X59">
        <f t="shared" si="2"/>
        <v>0</v>
      </c>
      <c r="Y59">
        <v>149</v>
      </c>
      <c r="Z59">
        <v>160</v>
      </c>
      <c r="AA59" t="s">
        <v>991</v>
      </c>
      <c r="AB59" t="s">
        <v>992</v>
      </c>
      <c r="AC59" t="s">
        <v>94</v>
      </c>
      <c r="AD59">
        <v>4</v>
      </c>
      <c r="AE59">
        <v>55</v>
      </c>
      <c r="AF59" t="s">
        <v>126</v>
      </c>
      <c r="AH59" t="s">
        <v>197</v>
      </c>
      <c r="AI59">
        <v>214.65</v>
      </c>
      <c r="AJ59" t="s">
        <v>132</v>
      </c>
      <c r="AK59" t="s">
        <v>990</v>
      </c>
      <c r="AL59" t="s">
        <v>993</v>
      </c>
      <c r="AM59" t="s">
        <v>145</v>
      </c>
      <c r="AN59" s="1">
        <v>45640</v>
      </c>
      <c r="AO59">
        <v>2024</v>
      </c>
      <c r="AP59">
        <v>12</v>
      </c>
      <c r="AQ59" t="s">
        <v>116</v>
      </c>
      <c r="AS59" t="s">
        <v>85</v>
      </c>
      <c r="AT59">
        <v>2025</v>
      </c>
      <c r="AU59" t="s">
        <v>268</v>
      </c>
      <c r="AV59" t="s">
        <v>145</v>
      </c>
      <c r="AW59" t="s">
        <v>987</v>
      </c>
      <c r="AX59">
        <v>2025</v>
      </c>
      <c r="AY59" t="s">
        <v>989</v>
      </c>
      <c r="AZ59" t="s">
        <v>991</v>
      </c>
    </row>
    <row r="60" spans="1:52" x14ac:dyDescent="0.25">
      <c r="A60" t="s">
        <v>995</v>
      </c>
      <c r="B60" s="1">
        <v>36530</v>
      </c>
      <c r="C60" t="s">
        <v>996</v>
      </c>
      <c r="D60">
        <v>466140</v>
      </c>
      <c r="E60" t="s">
        <v>945</v>
      </c>
      <c r="F60" t="s">
        <v>999</v>
      </c>
      <c r="G60" t="s">
        <v>134</v>
      </c>
      <c r="H60" t="s">
        <v>996</v>
      </c>
      <c r="I60" t="s">
        <v>231</v>
      </c>
      <c r="J60">
        <v>-102</v>
      </c>
      <c r="K60">
        <v>102</v>
      </c>
      <c r="L60">
        <v>107</v>
      </c>
      <c r="M60">
        <v>107</v>
      </c>
      <c r="N60">
        <v>209</v>
      </c>
      <c r="O60" t="s">
        <v>63</v>
      </c>
      <c r="P60">
        <v>125</v>
      </c>
      <c r="Q60">
        <v>133</v>
      </c>
      <c r="R60">
        <v>-138</v>
      </c>
      <c r="S60">
        <v>133</v>
      </c>
      <c r="T60">
        <v>258</v>
      </c>
      <c r="U60" t="s">
        <v>60</v>
      </c>
      <c r="V60">
        <f t="shared" si="0"/>
        <v>4</v>
      </c>
      <c r="W60">
        <f t="shared" si="1"/>
        <v>0</v>
      </c>
      <c r="X60">
        <f t="shared" si="2"/>
        <v>0</v>
      </c>
      <c r="Y60">
        <v>240</v>
      </c>
      <c r="Z60">
        <v>467</v>
      </c>
      <c r="AA60" t="s">
        <v>997</v>
      </c>
      <c r="AB60" t="s">
        <v>1000</v>
      </c>
      <c r="AC60" t="s">
        <v>89</v>
      </c>
      <c r="AD60">
        <v>5</v>
      </c>
      <c r="AE60">
        <v>73</v>
      </c>
      <c r="AF60" t="s">
        <v>126</v>
      </c>
      <c r="AH60" t="s">
        <v>141</v>
      </c>
      <c r="AI60">
        <v>326</v>
      </c>
      <c r="AJ60" t="s">
        <v>52</v>
      </c>
      <c r="AK60" t="s">
        <v>999</v>
      </c>
      <c r="AL60" t="s">
        <v>1001</v>
      </c>
      <c r="AM60" t="s">
        <v>53</v>
      </c>
      <c r="AN60" s="1">
        <v>45640</v>
      </c>
      <c r="AO60">
        <v>2024</v>
      </c>
      <c r="AP60">
        <v>12</v>
      </c>
      <c r="AQ60" t="s">
        <v>116</v>
      </c>
      <c r="AS60" t="s">
        <v>85</v>
      </c>
      <c r="AT60">
        <v>2025</v>
      </c>
      <c r="AU60" t="s">
        <v>134</v>
      </c>
      <c r="AV60" t="s">
        <v>54</v>
      </c>
      <c r="AW60" t="s">
        <v>996</v>
      </c>
      <c r="AX60">
        <v>2025</v>
      </c>
      <c r="AY60" t="s">
        <v>997</v>
      </c>
      <c r="AZ60" t="s">
        <v>997</v>
      </c>
    </row>
    <row r="61" spans="1:52" x14ac:dyDescent="0.25">
      <c r="A61" t="s">
        <v>1005</v>
      </c>
      <c r="B61" s="1">
        <v>34901</v>
      </c>
      <c r="C61" t="s">
        <v>1006</v>
      </c>
      <c r="D61">
        <v>470538</v>
      </c>
      <c r="E61" t="s">
        <v>46</v>
      </c>
      <c r="F61" t="s">
        <v>1007</v>
      </c>
      <c r="G61" t="s">
        <v>482</v>
      </c>
      <c r="H61" t="s">
        <v>1006</v>
      </c>
      <c r="I61">
        <v>59</v>
      </c>
      <c r="J61">
        <v>-50</v>
      </c>
      <c r="K61">
        <v>-50</v>
      </c>
      <c r="L61">
        <v>50</v>
      </c>
      <c r="M61">
        <v>50</v>
      </c>
      <c r="N61">
        <v>0</v>
      </c>
      <c r="O61" t="s">
        <v>102</v>
      </c>
      <c r="P61">
        <v>62</v>
      </c>
      <c r="Q61">
        <v>64</v>
      </c>
      <c r="R61">
        <v>-66</v>
      </c>
      <c r="S61">
        <v>64</v>
      </c>
      <c r="T61">
        <v>126</v>
      </c>
      <c r="U61" t="s">
        <v>60</v>
      </c>
      <c r="V61">
        <f t="shared" si="0"/>
        <v>3</v>
      </c>
      <c r="W61">
        <f t="shared" si="1"/>
        <v>1</v>
      </c>
      <c r="X61">
        <f t="shared" si="2"/>
        <v>0</v>
      </c>
      <c r="Y61">
        <v>114</v>
      </c>
      <c r="Z61">
        <v>126</v>
      </c>
      <c r="AA61" t="s">
        <v>685</v>
      </c>
      <c r="AB61" t="s">
        <v>1008</v>
      </c>
      <c r="AC61" t="s">
        <v>93</v>
      </c>
      <c r="AD61">
        <v>6</v>
      </c>
      <c r="AE61">
        <v>59</v>
      </c>
      <c r="AF61" t="s">
        <v>126</v>
      </c>
      <c r="AH61" t="s">
        <v>202</v>
      </c>
      <c r="AI61">
        <v>155.97999999999999</v>
      </c>
      <c r="AJ61" t="s">
        <v>132</v>
      </c>
      <c r="AK61" t="s">
        <v>1007</v>
      </c>
      <c r="AL61" t="s">
        <v>1009</v>
      </c>
      <c r="AM61" t="s">
        <v>139</v>
      </c>
      <c r="AN61" s="1">
        <v>45641</v>
      </c>
      <c r="AO61">
        <v>2024</v>
      </c>
      <c r="AP61">
        <v>12</v>
      </c>
      <c r="AQ61" t="s">
        <v>116</v>
      </c>
      <c r="AS61" t="s">
        <v>85</v>
      </c>
      <c r="AT61">
        <v>2025</v>
      </c>
      <c r="AU61" t="s">
        <v>482</v>
      </c>
      <c r="AV61" t="s">
        <v>140</v>
      </c>
      <c r="AW61" t="s">
        <v>1006</v>
      </c>
      <c r="AX61">
        <v>2025</v>
      </c>
      <c r="AY61" t="s">
        <v>685</v>
      </c>
      <c r="AZ61" t="s">
        <v>685</v>
      </c>
    </row>
    <row r="62" spans="1:52" x14ac:dyDescent="0.25">
      <c r="A62" t="s">
        <v>1015</v>
      </c>
      <c r="B62" s="1">
        <v>32342</v>
      </c>
      <c r="C62" t="s">
        <v>1016</v>
      </c>
      <c r="D62">
        <v>471841</v>
      </c>
      <c r="E62" t="s">
        <v>46</v>
      </c>
      <c r="F62" t="s">
        <v>948</v>
      </c>
      <c r="G62" t="s">
        <v>419</v>
      </c>
      <c r="H62" t="s">
        <v>1016</v>
      </c>
      <c r="I62" t="s">
        <v>1018</v>
      </c>
      <c r="J62">
        <v>63</v>
      </c>
      <c r="K62">
        <v>-66</v>
      </c>
      <c r="L62">
        <v>66</v>
      </c>
      <c r="M62">
        <v>66</v>
      </c>
      <c r="N62">
        <v>129</v>
      </c>
      <c r="O62" t="s">
        <v>65</v>
      </c>
      <c r="P62">
        <v>83</v>
      </c>
      <c r="Q62">
        <v>-86</v>
      </c>
      <c r="R62">
        <v>86</v>
      </c>
      <c r="S62">
        <v>86</v>
      </c>
      <c r="T62">
        <v>169</v>
      </c>
      <c r="U62" t="s">
        <v>65</v>
      </c>
      <c r="V62">
        <f t="shared" si="0"/>
        <v>4</v>
      </c>
      <c r="W62">
        <f t="shared" si="1"/>
        <v>0</v>
      </c>
      <c r="X62">
        <f t="shared" si="2"/>
        <v>0</v>
      </c>
      <c r="Y62">
        <v>152</v>
      </c>
      <c r="Z62">
        <v>298</v>
      </c>
      <c r="AA62" t="s">
        <v>1019</v>
      </c>
      <c r="AB62" t="s">
        <v>1020</v>
      </c>
      <c r="AC62" t="s">
        <v>89</v>
      </c>
      <c r="AD62">
        <v>5</v>
      </c>
      <c r="AE62">
        <v>71</v>
      </c>
      <c r="AF62" t="s">
        <v>126</v>
      </c>
      <c r="AG62">
        <v>35</v>
      </c>
      <c r="AH62" t="s">
        <v>226</v>
      </c>
      <c r="AI62">
        <v>186.84</v>
      </c>
      <c r="AJ62" t="s">
        <v>132</v>
      </c>
      <c r="AK62" t="s">
        <v>948</v>
      </c>
      <c r="AL62" t="s">
        <v>949</v>
      </c>
      <c r="AM62" t="s">
        <v>133</v>
      </c>
      <c r="AN62" s="1">
        <v>45640</v>
      </c>
      <c r="AO62">
        <v>2024</v>
      </c>
      <c r="AP62">
        <v>12</v>
      </c>
      <c r="AQ62" t="s">
        <v>116</v>
      </c>
      <c r="AS62" t="s">
        <v>85</v>
      </c>
      <c r="AT62">
        <v>2025</v>
      </c>
      <c r="AU62" t="s">
        <v>419</v>
      </c>
      <c r="AV62" t="s">
        <v>133</v>
      </c>
      <c r="AW62" t="s">
        <v>1016</v>
      </c>
      <c r="AX62">
        <v>2025</v>
      </c>
      <c r="AY62" t="s">
        <v>1017</v>
      </c>
      <c r="AZ62" t="s">
        <v>1019</v>
      </c>
    </row>
    <row r="63" spans="1:52" x14ac:dyDescent="0.25">
      <c r="A63" t="s">
        <v>1023</v>
      </c>
      <c r="B63" s="1">
        <v>36730</v>
      </c>
      <c r="C63" t="s">
        <v>1024</v>
      </c>
      <c r="D63">
        <v>492035</v>
      </c>
      <c r="E63" t="s">
        <v>46</v>
      </c>
      <c r="F63" t="s">
        <v>693</v>
      </c>
      <c r="G63" t="s">
        <v>482</v>
      </c>
      <c r="H63" t="s">
        <v>1024</v>
      </c>
      <c r="I63" t="s">
        <v>805</v>
      </c>
      <c r="J63">
        <v>-67</v>
      </c>
      <c r="K63">
        <v>-67</v>
      </c>
      <c r="L63">
        <v>67</v>
      </c>
      <c r="M63">
        <v>67</v>
      </c>
      <c r="N63">
        <v>0</v>
      </c>
      <c r="O63" t="s">
        <v>102</v>
      </c>
      <c r="P63">
        <v>-85</v>
      </c>
      <c r="Q63">
        <v>-88</v>
      </c>
      <c r="R63">
        <v>88</v>
      </c>
      <c r="S63">
        <v>88</v>
      </c>
      <c r="T63">
        <v>0</v>
      </c>
      <c r="U63" t="s">
        <v>102</v>
      </c>
      <c r="V63">
        <f t="shared" si="0"/>
        <v>2</v>
      </c>
      <c r="W63">
        <f t="shared" si="1"/>
        <v>1</v>
      </c>
      <c r="X63">
        <f t="shared" si="2"/>
        <v>1</v>
      </c>
      <c r="Y63">
        <v>155</v>
      </c>
      <c r="Z63">
        <v>0</v>
      </c>
      <c r="AA63" t="s">
        <v>1025</v>
      </c>
      <c r="AB63" t="s">
        <v>99</v>
      </c>
      <c r="AC63" t="s">
        <v>89</v>
      </c>
      <c r="AD63">
        <v>5</v>
      </c>
      <c r="AE63">
        <v>76</v>
      </c>
      <c r="AF63" t="s">
        <v>126</v>
      </c>
      <c r="AH63" t="s">
        <v>228</v>
      </c>
      <c r="AI63">
        <v>185.34</v>
      </c>
      <c r="AJ63" t="s">
        <v>132</v>
      </c>
      <c r="AK63" t="s">
        <v>693</v>
      </c>
      <c r="AL63" t="s">
        <v>696</v>
      </c>
      <c r="AM63" t="s">
        <v>139</v>
      </c>
      <c r="AN63" s="1">
        <v>45641</v>
      </c>
      <c r="AO63">
        <v>2024</v>
      </c>
      <c r="AP63">
        <v>12</v>
      </c>
      <c r="AQ63" t="s">
        <v>116</v>
      </c>
      <c r="AS63" t="s">
        <v>85</v>
      </c>
      <c r="AT63">
        <v>2025</v>
      </c>
      <c r="AU63" t="s">
        <v>482</v>
      </c>
      <c r="AV63" t="s">
        <v>140</v>
      </c>
      <c r="AW63" t="s">
        <v>1024</v>
      </c>
      <c r="AX63">
        <v>2025</v>
      </c>
      <c r="AY63" t="s">
        <v>1025</v>
      </c>
      <c r="AZ63" t="s">
        <v>1025</v>
      </c>
    </row>
    <row r="64" spans="1:52" x14ac:dyDescent="0.25">
      <c r="A64" t="s">
        <v>1034</v>
      </c>
      <c r="B64" s="1">
        <v>33400</v>
      </c>
      <c r="C64" t="s">
        <v>1035</v>
      </c>
      <c r="D64">
        <v>130685</v>
      </c>
      <c r="E64" t="s">
        <v>46</v>
      </c>
      <c r="F64" t="s">
        <v>492</v>
      </c>
      <c r="G64" t="s">
        <v>684</v>
      </c>
      <c r="H64" t="s">
        <v>1035</v>
      </c>
      <c r="I64">
        <v>67</v>
      </c>
      <c r="J64">
        <v>100</v>
      </c>
      <c r="K64">
        <v>-105</v>
      </c>
      <c r="L64">
        <v>-105</v>
      </c>
      <c r="M64">
        <v>100</v>
      </c>
      <c r="N64">
        <v>0</v>
      </c>
      <c r="O64" t="s">
        <v>55</v>
      </c>
      <c r="P64">
        <v>120</v>
      </c>
      <c r="Q64">
        <v>125</v>
      </c>
      <c r="R64">
        <v>0</v>
      </c>
      <c r="S64">
        <v>125</v>
      </c>
      <c r="T64">
        <v>245</v>
      </c>
      <c r="U64" t="s">
        <v>60</v>
      </c>
      <c r="V64">
        <f t="shared" si="0"/>
        <v>3</v>
      </c>
      <c r="W64">
        <f t="shared" si="1"/>
        <v>0</v>
      </c>
      <c r="X64">
        <f t="shared" si="2"/>
        <v>0</v>
      </c>
      <c r="Y64">
        <v>225</v>
      </c>
      <c r="Z64">
        <v>245</v>
      </c>
      <c r="AA64" t="s">
        <v>1037</v>
      </c>
      <c r="AB64" t="s">
        <v>1038</v>
      </c>
      <c r="AC64" t="s">
        <v>89</v>
      </c>
      <c r="AD64">
        <v>5</v>
      </c>
      <c r="AE64">
        <v>67</v>
      </c>
      <c r="AF64" t="s">
        <v>126</v>
      </c>
      <c r="AH64" t="s">
        <v>401</v>
      </c>
      <c r="AI64">
        <v>320.39</v>
      </c>
      <c r="AJ64" t="s">
        <v>52</v>
      </c>
      <c r="AK64" t="s">
        <v>492</v>
      </c>
      <c r="AL64" t="s">
        <v>494</v>
      </c>
      <c r="AM64" t="s">
        <v>90</v>
      </c>
      <c r="AN64" s="1">
        <v>45640</v>
      </c>
      <c r="AO64">
        <v>2024</v>
      </c>
      <c r="AP64">
        <v>12</v>
      </c>
      <c r="AQ64" t="s">
        <v>116</v>
      </c>
      <c r="AS64" t="s">
        <v>85</v>
      </c>
      <c r="AT64">
        <v>2025</v>
      </c>
      <c r="AU64" t="s">
        <v>684</v>
      </c>
      <c r="AV64" t="s">
        <v>91</v>
      </c>
      <c r="AW64" t="s">
        <v>1035</v>
      </c>
      <c r="AX64">
        <v>2025</v>
      </c>
      <c r="AY64" t="s">
        <v>1036</v>
      </c>
      <c r="AZ64" t="s">
        <v>1039</v>
      </c>
    </row>
    <row r="65" spans="1:52" x14ac:dyDescent="0.25">
      <c r="A65" t="s">
        <v>1040</v>
      </c>
      <c r="B65" s="1">
        <v>35440</v>
      </c>
      <c r="C65" t="s">
        <v>1041</v>
      </c>
      <c r="D65">
        <v>239336</v>
      </c>
      <c r="E65" t="s">
        <v>46</v>
      </c>
      <c r="F65" t="s">
        <v>492</v>
      </c>
      <c r="G65" t="s">
        <v>490</v>
      </c>
      <c r="H65" t="s">
        <v>1041</v>
      </c>
      <c r="I65" t="s">
        <v>1043</v>
      </c>
      <c r="J65">
        <v>130</v>
      </c>
      <c r="K65">
        <v>-135</v>
      </c>
      <c r="L65">
        <v>-135</v>
      </c>
      <c r="M65">
        <v>130</v>
      </c>
      <c r="N65">
        <v>0</v>
      </c>
      <c r="O65" t="s">
        <v>55</v>
      </c>
      <c r="P65">
        <v>155</v>
      </c>
      <c r="Q65">
        <v>-165</v>
      </c>
      <c r="R65">
        <v>-170</v>
      </c>
      <c r="S65">
        <v>155</v>
      </c>
      <c r="T65">
        <v>0</v>
      </c>
      <c r="U65" t="s">
        <v>55</v>
      </c>
      <c r="V65">
        <f t="shared" si="0"/>
        <v>2</v>
      </c>
      <c r="W65">
        <f t="shared" si="1"/>
        <v>0</v>
      </c>
      <c r="X65">
        <f t="shared" si="2"/>
        <v>0</v>
      </c>
      <c r="Y65">
        <v>285</v>
      </c>
      <c r="Z65">
        <v>0</v>
      </c>
      <c r="AA65" t="s">
        <v>1044</v>
      </c>
      <c r="AB65" t="s">
        <v>99</v>
      </c>
      <c r="AC65" t="s">
        <v>89</v>
      </c>
      <c r="AD65">
        <v>5</v>
      </c>
      <c r="AE65" t="s">
        <v>125</v>
      </c>
      <c r="AF65" t="s">
        <v>126</v>
      </c>
      <c r="AH65" t="s">
        <v>127</v>
      </c>
      <c r="AI65">
        <v>306.68</v>
      </c>
      <c r="AJ65" t="s">
        <v>52</v>
      </c>
      <c r="AK65" t="s">
        <v>492</v>
      </c>
      <c r="AL65" t="s">
        <v>494</v>
      </c>
      <c r="AM65" t="s">
        <v>90</v>
      </c>
      <c r="AN65" s="1">
        <v>45640</v>
      </c>
      <c r="AO65">
        <v>2024</v>
      </c>
      <c r="AP65">
        <v>12</v>
      </c>
      <c r="AQ65" t="s">
        <v>116</v>
      </c>
      <c r="AS65" t="s">
        <v>85</v>
      </c>
      <c r="AT65">
        <v>2025</v>
      </c>
      <c r="AU65" t="s">
        <v>490</v>
      </c>
      <c r="AV65" t="s">
        <v>91</v>
      </c>
      <c r="AW65" t="s">
        <v>1041</v>
      </c>
      <c r="AX65">
        <v>2025</v>
      </c>
      <c r="AY65" t="s">
        <v>1042</v>
      </c>
      <c r="AZ65" t="s">
        <v>1045</v>
      </c>
    </row>
    <row r="66" spans="1:52" x14ac:dyDescent="0.25">
      <c r="A66" t="s">
        <v>1049</v>
      </c>
      <c r="B66" s="1">
        <v>31745</v>
      </c>
      <c r="C66" t="s">
        <v>1050</v>
      </c>
      <c r="D66">
        <v>64556</v>
      </c>
      <c r="E66" t="s">
        <v>46</v>
      </c>
      <c r="F66" t="s">
        <v>633</v>
      </c>
      <c r="G66" t="s">
        <v>328</v>
      </c>
      <c r="H66" t="s">
        <v>1050</v>
      </c>
      <c r="I66" t="s">
        <v>1053</v>
      </c>
      <c r="J66">
        <v>130</v>
      </c>
      <c r="K66">
        <v>-136</v>
      </c>
      <c r="L66">
        <v>-136</v>
      </c>
      <c r="M66">
        <v>130</v>
      </c>
      <c r="N66">
        <v>0</v>
      </c>
      <c r="O66" t="s">
        <v>55</v>
      </c>
      <c r="P66">
        <v>160</v>
      </c>
      <c r="Q66">
        <v>166</v>
      </c>
      <c r="R66">
        <v>-172</v>
      </c>
      <c r="S66">
        <v>166</v>
      </c>
      <c r="T66">
        <v>326</v>
      </c>
      <c r="U66" t="s">
        <v>60</v>
      </c>
      <c r="V66">
        <f t="shared" si="0"/>
        <v>3</v>
      </c>
      <c r="W66">
        <f t="shared" si="1"/>
        <v>0</v>
      </c>
      <c r="X66">
        <f t="shared" si="2"/>
        <v>0</v>
      </c>
      <c r="Y66">
        <v>296</v>
      </c>
      <c r="Z66">
        <v>326</v>
      </c>
      <c r="AA66" t="s">
        <v>1054</v>
      </c>
      <c r="AB66" t="s">
        <v>1055</v>
      </c>
      <c r="AC66" t="s">
        <v>89</v>
      </c>
      <c r="AD66">
        <v>5</v>
      </c>
      <c r="AE66">
        <v>102</v>
      </c>
      <c r="AF66" t="s">
        <v>126</v>
      </c>
      <c r="AG66">
        <v>35</v>
      </c>
      <c r="AH66" t="s">
        <v>148</v>
      </c>
      <c r="AI66">
        <v>338.48</v>
      </c>
      <c r="AJ66" t="s">
        <v>52</v>
      </c>
      <c r="AK66" t="s">
        <v>633</v>
      </c>
      <c r="AL66" t="s">
        <v>637</v>
      </c>
      <c r="AM66" t="s">
        <v>139</v>
      </c>
      <c r="AN66" s="1">
        <v>45640</v>
      </c>
      <c r="AO66">
        <v>2024</v>
      </c>
      <c r="AP66">
        <v>12</v>
      </c>
      <c r="AQ66" t="s">
        <v>116</v>
      </c>
      <c r="AS66" t="s">
        <v>85</v>
      </c>
      <c r="AT66">
        <v>2025</v>
      </c>
      <c r="AU66" t="s">
        <v>328</v>
      </c>
      <c r="AV66" t="s">
        <v>140</v>
      </c>
      <c r="AW66" t="s">
        <v>1050</v>
      </c>
      <c r="AX66">
        <v>2025</v>
      </c>
      <c r="AY66" t="s">
        <v>1051</v>
      </c>
      <c r="AZ66" t="s">
        <v>1054</v>
      </c>
    </row>
    <row r="67" spans="1:52" x14ac:dyDescent="0.25">
      <c r="A67" t="s">
        <v>1059</v>
      </c>
      <c r="B67" s="1">
        <v>39283</v>
      </c>
      <c r="C67" t="s">
        <v>1060</v>
      </c>
      <c r="D67">
        <v>466485</v>
      </c>
      <c r="E67" t="s">
        <v>46</v>
      </c>
      <c r="F67" t="s">
        <v>679</v>
      </c>
      <c r="G67" t="s">
        <v>161</v>
      </c>
      <c r="H67" t="s">
        <v>1060</v>
      </c>
      <c r="I67" t="s">
        <v>318</v>
      </c>
      <c r="J67">
        <v>67</v>
      </c>
      <c r="K67">
        <v>70</v>
      </c>
      <c r="L67">
        <v>73</v>
      </c>
      <c r="M67">
        <v>73</v>
      </c>
      <c r="N67">
        <v>143</v>
      </c>
      <c r="O67" t="s">
        <v>48</v>
      </c>
      <c r="P67">
        <v>85</v>
      </c>
      <c r="Q67">
        <v>88</v>
      </c>
      <c r="R67">
        <v>-92</v>
      </c>
      <c r="S67">
        <v>88</v>
      </c>
      <c r="T67">
        <v>173</v>
      </c>
      <c r="U67" t="s">
        <v>60</v>
      </c>
      <c r="V67">
        <f t="shared" ref="V67:V130" si="3">IF(O67="OOO",3,IF(O67="XXX",0,IF(OR(O67="OOX",O67="OXO",O67="XOO"),2,1)))+IF(U67="OOO",3,IF(U67="XXX",0,IF(OR(U67="OOX",U67="OXO",U67="XOO"),2,1)))</f>
        <v>5</v>
      </c>
      <c r="W67">
        <f t="shared" ref="W67:W130" si="4">IF(OR(O67="XXO",U67="XXO"),1,0)</f>
        <v>0</v>
      </c>
      <c r="X67">
        <f t="shared" ref="X67:X130" si="5">IF(AND(O67="XXO",U67="XXO"),1,0)</f>
        <v>0</v>
      </c>
      <c r="Y67">
        <v>161</v>
      </c>
      <c r="Z67">
        <v>316</v>
      </c>
      <c r="AA67" t="s">
        <v>1061</v>
      </c>
      <c r="AB67" t="s">
        <v>1062</v>
      </c>
      <c r="AC67" t="s">
        <v>56</v>
      </c>
      <c r="AD67">
        <v>8</v>
      </c>
      <c r="AE67">
        <v>81</v>
      </c>
      <c r="AF67" t="s">
        <v>113</v>
      </c>
      <c r="AH67" t="s">
        <v>252</v>
      </c>
      <c r="AI67">
        <v>214.71</v>
      </c>
      <c r="AJ67" t="s">
        <v>52</v>
      </c>
      <c r="AK67" t="s">
        <v>679</v>
      </c>
      <c r="AL67" t="s">
        <v>682</v>
      </c>
      <c r="AM67" t="s">
        <v>128</v>
      </c>
      <c r="AN67" s="1">
        <v>45641</v>
      </c>
      <c r="AO67">
        <v>2024</v>
      </c>
      <c r="AP67">
        <v>12</v>
      </c>
      <c r="AQ67" t="s">
        <v>116</v>
      </c>
      <c r="AS67" t="s">
        <v>85</v>
      </c>
      <c r="AT67">
        <v>2025</v>
      </c>
      <c r="AU67" t="s">
        <v>161</v>
      </c>
      <c r="AV67" t="s">
        <v>128</v>
      </c>
      <c r="AW67" t="s">
        <v>1060</v>
      </c>
      <c r="AX67">
        <v>2025</v>
      </c>
      <c r="AY67" t="s">
        <v>1061</v>
      </c>
      <c r="AZ67" t="s">
        <v>1061</v>
      </c>
    </row>
    <row r="68" spans="1:52" x14ac:dyDescent="0.25">
      <c r="A68" t="s">
        <v>1063</v>
      </c>
      <c r="B68" s="1">
        <v>37643</v>
      </c>
      <c r="C68" t="s">
        <v>1064</v>
      </c>
      <c r="D68">
        <v>469072</v>
      </c>
      <c r="E68" t="s">
        <v>46</v>
      </c>
      <c r="F68" t="s">
        <v>710</v>
      </c>
      <c r="G68" t="s">
        <v>335</v>
      </c>
      <c r="H68" t="s">
        <v>1064</v>
      </c>
      <c r="I68" t="s">
        <v>248</v>
      </c>
      <c r="J68">
        <v>95</v>
      </c>
      <c r="K68">
        <v>-100</v>
      </c>
      <c r="L68">
        <v>-100</v>
      </c>
      <c r="M68">
        <v>95</v>
      </c>
      <c r="N68">
        <v>0</v>
      </c>
      <c r="O68" t="s">
        <v>55</v>
      </c>
      <c r="P68">
        <v>120</v>
      </c>
      <c r="Q68">
        <v>125</v>
      </c>
      <c r="R68">
        <v>-130</v>
      </c>
      <c r="S68">
        <v>125</v>
      </c>
      <c r="T68">
        <v>245</v>
      </c>
      <c r="U68" t="s">
        <v>60</v>
      </c>
      <c r="V68">
        <f t="shared" si="3"/>
        <v>3</v>
      </c>
      <c r="W68">
        <f t="shared" si="4"/>
        <v>0</v>
      </c>
      <c r="X68">
        <f t="shared" si="5"/>
        <v>0</v>
      </c>
      <c r="Y68">
        <v>220</v>
      </c>
      <c r="Z68">
        <v>245</v>
      </c>
      <c r="AA68" t="s">
        <v>1066</v>
      </c>
      <c r="AB68" t="s">
        <v>1067</v>
      </c>
      <c r="AC68" t="s">
        <v>93</v>
      </c>
      <c r="AD68">
        <v>6</v>
      </c>
      <c r="AE68">
        <v>73</v>
      </c>
      <c r="AF68" t="s">
        <v>126</v>
      </c>
      <c r="AH68" t="s">
        <v>141</v>
      </c>
      <c r="AI68">
        <v>296.81</v>
      </c>
      <c r="AJ68" t="s">
        <v>52</v>
      </c>
      <c r="AK68" t="s">
        <v>710</v>
      </c>
      <c r="AL68" t="s">
        <v>712</v>
      </c>
      <c r="AM68" t="s">
        <v>128</v>
      </c>
      <c r="AN68" s="1">
        <v>45640</v>
      </c>
      <c r="AO68">
        <v>2024</v>
      </c>
      <c r="AP68">
        <v>12</v>
      </c>
      <c r="AQ68" t="s">
        <v>116</v>
      </c>
      <c r="AS68" t="s">
        <v>85</v>
      </c>
      <c r="AT68">
        <v>2025</v>
      </c>
      <c r="AU68" t="s">
        <v>335</v>
      </c>
      <c r="AV68" t="s">
        <v>128</v>
      </c>
      <c r="AW68" t="s">
        <v>1064</v>
      </c>
      <c r="AX68">
        <v>2025</v>
      </c>
      <c r="AY68" t="s">
        <v>1065</v>
      </c>
      <c r="AZ68" t="s">
        <v>1066</v>
      </c>
    </row>
    <row r="69" spans="1:52" x14ac:dyDescent="0.25">
      <c r="A69" t="s">
        <v>1068</v>
      </c>
      <c r="B69" s="1">
        <v>39253</v>
      </c>
      <c r="C69" t="s">
        <v>1069</v>
      </c>
      <c r="D69">
        <v>477410</v>
      </c>
      <c r="E69" t="s">
        <v>46</v>
      </c>
      <c r="F69" t="s">
        <v>1071</v>
      </c>
      <c r="G69" t="s">
        <v>255</v>
      </c>
      <c r="H69" t="s">
        <v>1069</v>
      </c>
      <c r="I69" t="s">
        <v>472</v>
      </c>
      <c r="J69">
        <v>70</v>
      </c>
      <c r="K69">
        <v>-74</v>
      </c>
      <c r="L69">
        <v>74</v>
      </c>
      <c r="M69">
        <v>74</v>
      </c>
      <c r="N69">
        <v>144</v>
      </c>
      <c r="O69" t="s">
        <v>65</v>
      </c>
      <c r="P69">
        <v>90</v>
      </c>
      <c r="Q69">
        <v>96</v>
      </c>
      <c r="R69">
        <v>-100</v>
      </c>
      <c r="S69">
        <v>96</v>
      </c>
      <c r="T69">
        <v>186</v>
      </c>
      <c r="U69" t="s">
        <v>60</v>
      </c>
      <c r="V69">
        <f t="shared" si="3"/>
        <v>4</v>
      </c>
      <c r="W69">
        <f t="shared" si="4"/>
        <v>0</v>
      </c>
      <c r="X69">
        <f t="shared" si="5"/>
        <v>0</v>
      </c>
      <c r="Y69">
        <v>170</v>
      </c>
      <c r="Z69">
        <v>330</v>
      </c>
      <c r="AA69" t="s">
        <v>1070</v>
      </c>
      <c r="AB69" t="s">
        <v>1072</v>
      </c>
      <c r="AC69" t="s">
        <v>89</v>
      </c>
      <c r="AD69">
        <v>5</v>
      </c>
      <c r="AE69">
        <v>61</v>
      </c>
      <c r="AF69" t="s">
        <v>113</v>
      </c>
      <c r="AH69" t="s">
        <v>737</v>
      </c>
      <c r="AI69">
        <v>263.48</v>
      </c>
      <c r="AJ69" t="s">
        <v>52</v>
      </c>
      <c r="AK69" t="s">
        <v>1071</v>
      </c>
      <c r="AL69" t="s">
        <v>1073</v>
      </c>
      <c r="AM69" t="s">
        <v>68</v>
      </c>
      <c r="AN69" s="1">
        <v>45640</v>
      </c>
      <c r="AO69">
        <v>2024</v>
      </c>
      <c r="AP69">
        <v>12</v>
      </c>
      <c r="AQ69" t="s">
        <v>116</v>
      </c>
      <c r="AS69" t="s">
        <v>85</v>
      </c>
      <c r="AT69">
        <v>2025</v>
      </c>
      <c r="AU69" t="s">
        <v>255</v>
      </c>
      <c r="AV69" t="s">
        <v>68</v>
      </c>
      <c r="AW69" t="s">
        <v>1069</v>
      </c>
      <c r="AX69">
        <v>2025</v>
      </c>
      <c r="AY69" t="s">
        <v>1070</v>
      </c>
      <c r="AZ69" t="s">
        <v>1070</v>
      </c>
    </row>
    <row r="70" spans="1:52" x14ac:dyDescent="0.25">
      <c r="A70" t="s">
        <v>1074</v>
      </c>
      <c r="B70" s="1">
        <v>31322</v>
      </c>
      <c r="C70" t="s">
        <v>1075</v>
      </c>
      <c r="D70">
        <v>497693</v>
      </c>
      <c r="E70" t="s">
        <v>46</v>
      </c>
      <c r="F70" t="s">
        <v>263</v>
      </c>
      <c r="G70" t="s">
        <v>414</v>
      </c>
      <c r="H70" t="s">
        <v>1075</v>
      </c>
      <c r="I70">
        <v>88</v>
      </c>
      <c r="J70">
        <v>100</v>
      </c>
      <c r="K70">
        <v>105</v>
      </c>
      <c r="L70">
        <v>-108</v>
      </c>
      <c r="M70">
        <v>105</v>
      </c>
      <c r="N70">
        <v>205</v>
      </c>
      <c r="O70" t="s">
        <v>60</v>
      </c>
      <c r="P70">
        <v>115</v>
      </c>
      <c r="Q70">
        <v>-120</v>
      </c>
      <c r="R70">
        <v>120</v>
      </c>
      <c r="S70">
        <v>120</v>
      </c>
      <c r="T70">
        <v>235</v>
      </c>
      <c r="U70" t="s">
        <v>65</v>
      </c>
      <c r="V70">
        <f t="shared" si="3"/>
        <v>4</v>
      </c>
      <c r="W70">
        <f t="shared" si="4"/>
        <v>0</v>
      </c>
      <c r="X70">
        <f t="shared" si="5"/>
        <v>0</v>
      </c>
      <c r="Y70">
        <v>225</v>
      </c>
      <c r="Z70">
        <v>440</v>
      </c>
      <c r="AA70" t="s">
        <v>1077</v>
      </c>
      <c r="AB70" t="s">
        <v>1078</v>
      </c>
      <c r="AC70" t="s">
        <v>64</v>
      </c>
      <c r="AD70">
        <v>7</v>
      </c>
      <c r="AE70">
        <v>89</v>
      </c>
      <c r="AF70" t="s">
        <v>126</v>
      </c>
      <c r="AG70">
        <v>40</v>
      </c>
      <c r="AH70" t="s">
        <v>155</v>
      </c>
      <c r="AI70">
        <v>273.48</v>
      </c>
      <c r="AJ70" t="s">
        <v>52</v>
      </c>
      <c r="AK70" t="s">
        <v>263</v>
      </c>
      <c r="AL70" t="s">
        <v>267</v>
      </c>
      <c r="AM70" t="s">
        <v>145</v>
      </c>
      <c r="AN70" s="1">
        <v>45640</v>
      </c>
      <c r="AO70">
        <v>2024</v>
      </c>
      <c r="AP70">
        <v>12</v>
      </c>
      <c r="AQ70" t="s">
        <v>116</v>
      </c>
      <c r="AS70" t="s">
        <v>85</v>
      </c>
      <c r="AT70">
        <v>2025</v>
      </c>
      <c r="AU70" t="s">
        <v>414</v>
      </c>
      <c r="AV70" t="s">
        <v>145</v>
      </c>
      <c r="AW70" t="s">
        <v>1075</v>
      </c>
      <c r="AX70">
        <v>2025</v>
      </c>
      <c r="AY70" t="s">
        <v>1076</v>
      </c>
      <c r="AZ70" t="s">
        <v>1077</v>
      </c>
    </row>
    <row r="71" spans="1:52" x14ac:dyDescent="0.25">
      <c r="A71" t="s">
        <v>1079</v>
      </c>
      <c r="B71" s="1">
        <v>38476</v>
      </c>
      <c r="C71" t="s">
        <v>1080</v>
      </c>
      <c r="D71">
        <v>503330</v>
      </c>
      <c r="E71" t="s">
        <v>46</v>
      </c>
      <c r="F71" t="s">
        <v>390</v>
      </c>
      <c r="G71" t="s">
        <v>386</v>
      </c>
      <c r="H71" t="s">
        <v>1080</v>
      </c>
      <c r="I71" t="s">
        <v>157</v>
      </c>
      <c r="J71">
        <v>110</v>
      </c>
      <c r="K71">
        <v>114</v>
      </c>
      <c r="L71">
        <v>118</v>
      </c>
      <c r="M71">
        <v>118</v>
      </c>
      <c r="N71">
        <v>232</v>
      </c>
      <c r="O71" t="s">
        <v>48</v>
      </c>
      <c r="P71">
        <v>127</v>
      </c>
      <c r="Q71">
        <v>-135</v>
      </c>
      <c r="R71">
        <v>-140</v>
      </c>
      <c r="S71">
        <v>127</v>
      </c>
      <c r="T71">
        <v>0</v>
      </c>
      <c r="U71" t="s">
        <v>55</v>
      </c>
      <c r="V71">
        <f t="shared" si="3"/>
        <v>4</v>
      </c>
      <c r="W71">
        <f t="shared" si="4"/>
        <v>0</v>
      </c>
      <c r="X71">
        <f t="shared" si="5"/>
        <v>0</v>
      </c>
      <c r="Y71">
        <v>245</v>
      </c>
      <c r="Z71">
        <v>232</v>
      </c>
      <c r="AA71" t="s">
        <v>1081</v>
      </c>
      <c r="AB71" t="s">
        <v>1082</v>
      </c>
      <c r="AC71" t="s">
        <v>94</v>
      </c>
      <c r="AD71">
        <v>4</v>
      </c>
      <c r="AE71">
        <v>81</v>
      </c>
      <c r="AF71" t="s">
        <v>113</v>
      </c>
      <c r="AH71" t="s">
        <v>252</v>
      </c>
      <c r="AI71">
        <v>314.39</v>
      </c>
      <c r="AJ71" t="s">
        <v>52</v>
      </c>
      <c r="AK71" t="s">
        <v>390</v>
      </c>
      <c r="AL71" t="s">
        <v>392</v>
      </c>
      <c r="AM71" t="s">
        <v>170</v>
      </c>
      <c r="AN71" s="1">
        <v>45641</v>
      </c>
      <c r="AO71">
        <v>2024</v>
      </c>
      <c r="AP71">
        <v>12</v>
      </c>
      <c r="AQ71" t="s">
        <v>116</v>
      </c>
      <c r="AS71" t="s">
        <v>85</v>
      </c>
      <c r="AT71">
        <v>2025</v>
      </c>
      <c r="AU71" t="s">
        <v>386</v>
      </c>
      <c r="AV71" t="s">
        <v>170</v>
      </c>
      <c r="AW71" t="s">
        <v>1080</v>
      </c>
      <c r="AX71">
        <v>2025</v>
      </c>
      <c r="AY71" t="s">
        <v>1081</v>
      </c>
      <c r="AZ71" t="s">
        <v>1081</v>
      </c>
    </row>
    <row r="72" spans="1:52" x14ac:dyDescent="0.25">
      <c r="A72" t="s">
        <v>1088</v>
      </c>
      <c r="B72" s="1">
        <v>35644</v>
      </c>
      <c r="C72" t="s">
        <v>1089</v>
      </c>
      <c r="D72">
        <v>469285</v>
      </c>
      <c r="E72" t="s">
        <v>46</v>
      </c>
      <c r="F72" t="s">
        <v>633</v>
      </c>
      <c r="G72" t="s">
        <v>402</v>
      </c>
      <c r="H72" t="s">
        <v>1089</v>
      </c>
      <c r="I72" t="s">
        <v>481</v>
      </c>
      <c r="J72">
        <v>-108</v>
      </c>
      <c r="K72">
        <v>-108</v>
      </c>
      <c r="L72">
        <v>108</v>
      </c>
      <c r="M72">
        <v>108</v>
      </c>
      <c r="N72">
        <v>0</v>
      </c>
      <c r="O72" t="s">
        <v>102</v>
      </c>
      <c r="P72">
        <v>132</v>
      </c>
      <c r="Q72">
        <v>137</v>
      </c>
      <c r="R72">
        <v>-141</v>
      </c>
      <c r="S72">
        <v>137</v>
      </c>
      <c r="T72">
        <v>269</v>
      </c>
      <c r="U72" t="s">
        <v>60</v>
      </c>
      <c r="V72">
        <f t="shared" si="3"/>
        <v>3</v>
      </c>
      <c r="W72">
        <f t="shared" si="4"/>
        <v>1</v>
      </c>
      <c r="X72">
        <f t="shared" si="5"/>
        <v>0</v>
      </c>
      <c r="Y72">
        <v>245</v>
      </c>
      <c r="Z72">
        <v>269</v>
      </c>
      <c r="AA72" t="s">
        <v>1091</v>
      </c>
      <c r="AB72" t="s">
        <v>1092</v>
      </c>
      <c r="AC72" t="s">
        <v>94</v>
      </c>
      <c r="AD72">
        <v>4</v>
      </c>
      <c r="AE72">
        <v>67</v>
      </c>
      <c r="AF72" t="s">
        <v>126</v>
      </c>
      <c r="AH72" t="s">
        <v>401</v>
      </c>
      <c r="AI72">
        <v>350.62</v>
      </c>
      <c r="AJ72" t="s">
        <v>52</v>
      </c>
      <c r="AK72" t="s">
        <v>633</v>
      </c>
      <c r="AL72" t="s">
        <v>637</v>
      </c>
      <c r="AM72" t="s">
        <v>139</v>
      </c>
      <c r="AN72" s="1">
        <v>45640</v>
      </c>
      <c r="AO72">
        <v>2024</v>
      </c>
      <c r="AP72">
        <v>12</v>
      </c>
      <c r="AQ72" t="s">
        <v>116</v>
      </c>
      <c r="AS72" t="s">
        <v>85</v>
      </c>
      <c r="AT72">
        <v>2025</v>
      </c>
      <c r="AU72" t="s">
        <v>402</v>
      </c>
      <c r="AV72" t="s">
        <v>140</v>
      </c>
      <c r="AW72" t="s">
        <v>1089</v>
      </c>
      <c r="AX72">
        <v>2025</v>
      </c>
      <c r="AY72" t="s">
        <v>1090</v>
      </c>
      <c r="AZ72" t="s">
        <v>1091</v>
      </c>
    </row>
    <row r="73" spans="1:52" x14ac:dyDescent="0.25">
      <c r="A73" t="s">
        <v>1093</v>
      </c>
      <c r="B73" s="1">
        <v>40821</v>
      </c>
      <c r="C73" t="s">
        <v>1094</v>
      </c>
      <c r="D73">
        <v>476043</v>
      </c>
      <c r="E73" t="s">
        <v>46</v>
      </c>
      <c r="F73" t="s">
        <v>954</v>
      </c>
      <c r="G73" t="s">
        <v>329</v>
      </c>
      <c r="H73" t="s">
        <v>1094</v>
      </c>
      <c r="I73" t="s">
        <v>1098</v>
      </c>
      <c r="J73">
        <v>-36</v>
      </c>
      <c r="K73">
        <v>36</v>
      </c>
      <c r="L73">
        <v>-38</v>
      </c>
      <c r="M73">
        <v>36</v>
      </c>
      <c r="N73">
        <v>0</v>
      </c>
      <c r="O73" t="s">
        <v>104</v>
      </c>
      <c r="P73">
        <v>46</v>
      </c>
      <c r="Q73">
        <v>49</v>
      </c>
      <c r="R73">
        <v>51</v>
      </c>
      <c r="S73">
        <v>51</v>
      </c>
      <c r="T73">
        <v>100</v>
      </c>
      <c r="U73" t="s">
        <v>48</v>
      </c>
      <c r="V73">
        <f t="shared" si="3"/>
        <v>4</v>
      </c>
      <c r="W73">
        <f t="shared" si="4"/>
        <v>0</v>
      </c>
      <c r="X73">
        <f t="shared" si="5"/>
        <v>0</v>
      </c>
      <c r="Y73">
        <v>87</v>
      </c>
      <c r="Z73">
        <v>100</v>
      </c>
      <c r="AA73" t="s">
        <v>1099</v>
      </c>
      <c r="AB73" t="s">
        <v>1100</v>
      </c>
      <c r="AC73" t="s">
        <v>93</v>
      </c>
      <c r="AD73">
        <v>6</v>
      </c>
      <c r="AE73">
        <v>71</v>
      </c>
      <c r="AF73" t="s">
        <v>57</v>
      </c>
      <c r="AH73" t="s">
        <v>752</v>
      </c>
      <c r="AI73">
        <v>107.24</v>
      </c>
      <c r="AJ73" t="s">
        <v>132</v>
      </c>
      <c r="AK73" t="s">
        <v>954</v>
      </c>
      <c r="AL73" t="s">
        <v>957</v>
      </c>
      <c r="AM73" t="s">
        <v>133</v>
      </c>
      <c r="AN73" s="1">
        <v>45641</v>
      </c>
      <c r="AO73">
        <v>2024</v>
      </c>
      <c r="AP73">
        <v>12</v>
      </c>
      <c r="AQ73" t="s">
        <v>116</v>
      </c>
      <c r="AS73" t="s">
        <v>85</v>
      </c>
      <c r="AT73">
        <v>2025</v>
      </c>
      <c r="AU73" t="s">
        <v>329</v>
      </c>
      <c r="AV73" t="s">
        <v>133</v>
      </c>
      <c r="AW73" t="s">
        <v>1094</v>
      </c>
      <c r="AX73">
        <v>2025</v>
      </c>
      <c r="AY73" t="s">
        <v>1095</v>
      </c>
      <c r="AZ73" t="s">
        <v>1095</v>
      </c>
    </row>
    <row r="74" spans="1:52" x14ac:dyDescent="0.25">
      <c r="A74" t="s">
        <v>1101</v>
      </c>
      <c r="B74" s="1">
        <v>36189</v>
      </c>
      <c r="C74" t="s">
        <v>1102</v>
      </c>
      <c r="D74">
        <v>476566</v>
      </c>
      <c r="E74" t="s">
        <v>46</v>
      </c>
      <c r="F74" t="s">
        <v>441</v>
      </c>
      <c r="G74" t="s">
        <v>400</v>
      </c>
      <c r="H74" t="s">
        <v>1102</v>
      </c>
      <c r="I74">
        <v>58</v>
      </c>
      <c r="J74">
        <v>-58</v>
      </c>
      <c r="K74">
        <v>-58</v>
      </c>
      <c r="L74">
        <v>58</v>
      </c>
      <c r="M74">
        <v>58</v>
      </c>
      <c r="N74">
        <v>0</v>
      </c>
      <c r="O74" t="s">
        <v>102</v>
      </c>
      <c r="P74">
        <v>72</v>
      </c>
      <c r="Q74">
        <v>-75</v>
      </c>
      <c r="R74">
        <v>-76</v>
      </c>
      <c r="S74">
        <v>72</v>
      </c>
      <c r="T74">
        <v>0</v>
      </c>
      <c r="U74" t="s">
        <v>55</v>
      </c>
      <c r="V74">
        <f t="shared" si="3"/>
        <v>2</v>
      </c>
      <c r="W74">
        <f t="shared" si="4"/>
        <v>1</v>
      </c>
      <c r="X74">
        <f t="shared" si="5"/>
        <v>0</v>
      </c>
      <c r="Y74">
        <v>130</v>
      </c>
      <c r="Z74">
        <v>0</v>
      </c>
      <c r="AA74" t="s">
        <v>1103</v>
      </c>
      <c r="AB74" t="s">
        <v>99</v>
      </c>
      <c r="AC74" t="s">
        <v>93</v>
      </c>
      <c r="AD74">
        <v>6</v>
      </c>
      <c r="AE74">
        <v>59</v>
      </c>
      <c r="AF74" t="s">
        <v>126</v>
      </c>
      <c r="AH74" t="s">
        <v>202</v>
      </c>
      <c r="AI74">
        <v>179.9</v>
      </c>
      <c r="AJ74" t="s">
        <v>132</v>
      </c>
      <c r="AK74" t="s">
        <v>441</v>
      </c>
      <c r="AL74" t="s">
        <v>445</v>
      </c>
      <c r="AM74" t="s">
        <v>72</v>
      </c>
      <c r="AN74" s="1">
        <v>45640</v>
      </c>
      <c r="AO74">
        <v>2024</v>
      </c>
      <c r="AP74">
        <v>12</v>
      </c>
      <c r="AQ74" t="s">
        <v>116</v>
      </c>
      <c r="AS74" t="s">
        <v>85</v>
      </c>
      <c r="AT74">
        <v>2025</v>
      </c>
      <c r="AU74" t="s">
        <v>400</v>
      </c>
      <c r="AV74" t="s">
        <v>72</v>
      </c>
      <c r="AW74" t="s">
        <v>1102</v>
      </c>
      <c r="AX74">
        <v>2025</v>
      </c>
      <c r="AY74" t="s">
        <v>892</v>
      </c>
      <c r="AZ74" t="s">
        <v>850</v>
      </c>
    </row>
    <row r="75" spans="1:52" x14ac:dyDescent="0.25">
      <c r="A75" t="s">
        <v>1104</v>
      </c>
      <c r="B75" s="1">
        <v>37622</v>
      </c>
      <c r="C75" t="s">
        <v>1105</v>
      </c>
      <c r="D75">
        <v>479075</v>
      </c>
      <c r="E75" t="s">
        <v>46</v>
      </c>
      <c r="F75" t="s">
        <v>1107</v>
      </c>
      <c r="G75" t="s">
        <v>697</v>
      </c>
      <c r="H75" t="s">
        <v>1105</v>
      </c>
      <c r="I75">
        <v>94</v>
      </c>
      <c r="J75">
        <v>115</v>
      </c>
      <c r="K75">
        <v>-119</v>
      </c>
      <c r="L75">
        <v>-123</v>
      </c>
      <c r="M75">
        <v>115</v>
      </c>
      <c r="N75">
        <v>0</v>
      </c>
      <c r="O75" t="s">
        <v>55</v>
      </c>
      <c r="P75">
        <v>145</v>
      </c>
      <c r="Q75">
        <v>150</v>
      </c>
      <c r="R75">
        <v>155</v>
      </c>
      <c r="S75">
        <v>155</v>
      </c>
      <c r="T75">
        <v>305</v>
      </c>
      <c r="U75" t="s">
        <v>48</v>
      </c>
      <c r="V75">
        <f t="shared" si="3"/>
        <v>4</v>
      </c>
      <c r="W75">
        <f t="shared" si="4"/>
        <v>0</v>
      </c>
      <c r="X75">
        <f t="shared" si="5"/>
        <v>0</v>
      </c>
      <c r="Y75">
        <v>270</v>
      </c>
      <c r="Z75">
        <v>305</v>
      </c>
      <c r="AA75" t="s">
        <v>1106</v>
      </c>
      <c r="AB75" t="s">
        <v>1084</v>
      </c>
      <c r="AC75" t="s">
        <v>89</v>
      </c>
      <c r="AD75">
        <v>5</v>
      </c>
      <c r="AE75">
        <v>96</v>
      </c>
      <c r="AF75" t="s">
        <v>126</v>
      </c>
      <c r="AH75" t="s">
        <v>222</v>
      </c>
      <c r="AI75">
        <v>318.07</v>
      </c>
      <c r="AJ75" t="s">
        <v>52</v>
      </c>
      <c r="AK75" t="s">
        <v>1107</v>
      </c>
      <c r="AL75" t="s">
        <v>1108</v>
      </c>
      <c r="AM75" t="s">
        <v>302</v>
      </c>
      <c r="AN75" s="1">
        <v>45640</v>
      </c>
      <c r="AO75">
        <v>2024</v>
      </c>
      <c r="AP75">
        <v>12</v>
      </c>
      <c r="AQ75" t="s">
        <v>116</v>
      </c>
      <c r="AS75" t="s">
        <v>85</v>
      </c>
      <c r="AT75">
        <v>2025</v>
      </c>
      <c r="AU75" t="s">
        <v>697</v>
      </c>
      <c r="AV75" t="s">
        <v>145</v>
      </c>
      <c r="AW75" t="s">
        <v>1105</v>
      </c>
      <c r="AX75">
        <v>2025</v>
      </c>
      <c r="AY75" t="s">
        <v>1106</v>
      </c>
      <c r="AZ75" t="s">
        <v>1106</v>
      </c>
    </row>
    <row r="76" spans="1:52" x14ac:dyDescent="0.25">
      <c r="A76" t="s">
        <v>1109</v>
      </c>
      <c r="B76" s="1">
        <v>38391</v>
      </c>
      <c r="C76" t="s">
        <v>1110</v>
      </c>
      <c r="D76">
        <v>468052</v>
      </c>
      <c r="E76" t="s">
        <v>46</v>
      </c>
      <c r="F76" t="s">
        <v>1107</v>
      </c>
      <c r="G76" t="s">
        <v>396</v>
      </c>
      <c r="H76" t="s">
        <v>1110</v>
      </c>
      <c r="I76" t="s">
        <v>426</v>
      </c>
      <c r="J76">
        <v>88</v>
      </c>
      <c r="K76">
        <v>92</v>
      </c>
      <c r="L76">
        <v>94</v>
      </c>
      <c r="M76">
        <v>94</v>
      </c>
      <c r="N76">
        <v>186</v>
      </c>
      <c r="O76" t="s">
        <v>48</v>
      </c>
      <c r="P76">
        <v>-108</v>
      </c>
      <c r="Q76">
        <v>108</v>
      </c>
      <c r="R76">
        <v>-109</v>
      </c>
      <c r="S76">
        <v>108</v>
      </c>
      <c r="T76">
        <v>0</v>
      </c>
      <c r="U76" t="s">
        <v>104</v>
      </c>
      <c r="V76">
        <f t="shared" si="3"/>
        <v>4</v>
      </c>
      <c r="W76">
        <f t="shared" si="4"/>
        <v>0</v>
      </c>
      <c r="X76">
        <f t="shared" si="5"/>
        <v>0</v>
      </c>
      <c r="Y76">
        <v>202</v>
      </c>
      <c r="Z76">
        <v>186</v>
      </c>
      <c r="AA76" t="s">
        <v>1111</v>
      </c>
      <c r="AB76" t="s">
        <v>1112</v>
      </c>
      <c r="AC76" t="s">
        <v>93</v>
      </c>
      <c r="AD76">
        <v>6</v>
      </c>
      <c r="AE76">
        <v>81</v>
      </c>
      <c r="AF76" t="s">
        <v>113</v>
      </c>
      <c r="AH76" t="s">
        <v>252</v>
      </c>
      <c r="AI76">
        <v>257.06</v>
      </c>
      <c r="AJ76" t="s">
        <v>52</v>
      </c>
      <c r="AK76" t="s">
        <v>1107</v>
      </c>
      <c r="AL76" t="s">
        <v>1108</v>
      </c>
      <c r="AM76" t="s">
        <v>302</v>
      </c>
      <c r="AN76" s="1">
        <v>45640</v>
      </c>
      <c r="AO76">
        <v>2024</v>
      </c>
      <c r="AP76">
        <v>12</v>
      </c>
      <c r="AQ76" t="s">
        <v>116</v>
      </c>
      <c r="AS76" t="s">
        <v>85</v>
      </c>
      <c r="AT76">
        <v>2025</v>
      </c>
      <c r="AU76" t="s">
        <v>396</v>
      </c>
      <c r="AV76" t="s">
        <v>303</v>
      </c>
      <c r="AW76" t="s">
        <v>1110</v>
      </c>
      <c r="AX76">
        <v>2025</v>
      </c>
      <c r="AY76" t="s">
        <v>1111</v>
      </c>
      <c r="AZ76" t="s">
        <v>1111</v>
      </c>
    </row>
    <row r="77" spans="1:52" x14ac:dyDescent="0.25">
      <c r="A77" t="s">
        <v>1113</v>
      </c>
      <c r="B77" s="1">
        <v>38449</v>
      </c>
      <c r="C77" t="s">
        <v>1114</v>
      </c>
      <c r="D77">
        <v>476212</v>
      </c>
      <c r="E77" t="s">
        <v>46</v>
      </c>
      <c r="F77" t="s">
        <v>199</v>
      </c>
      <c r="G77" t="s">
        <v>429</v>
      </c>
      <c r="H77" t="s">
        <v>1114</v>
      </c>
      <c r="I77" t="s">
        <v>59</v>
      </c>
      <c r="J77">
        <v>54</v>
      </c>
      <c r="K77">
        <v>57</v>
      </c>
      <c r="L77">
        <v>-59</v>
      </c>
      <c r="M77">
        <v>57</v>
      </c>
      <c r="N77">
        <v>111</v>
      </c>
      <c r="O77" t="s">
        <v>60</v>
      </c>
      <c r="P77">
        <v>63</v>
      </c>
      <c r="Q77">
        <v>65</v>
      </c>
      <c r="R77">
        <v>68</v>
      </c>
      <c r="S77">
        <v>68</v>
      </c>
      <c r="T77">
        <v>133</v>
      </c>
      <c r="U77" t="s">
        <v>48</v>
      </c>
      <c r="V77">
        <f t="shared" si="3"/>
        <v>5</v>
      </c>
      <c r="W77">
        <f t="shared" si="4"/>
        <v>0</v>
      </c>
      <c r="X77">
        <f t="shared" si="5"/>
        <v>0</v>
      </c>
      <c r="Y77">
        <v>125</v>
      </c>
      <c r="Z77">
        <v>244</v>
      </c>
      <c r="AA77" t="s">
        <v>1115</v>
      </c>
      <c r="AB77" t="s">
        <v>1117</v>
      </c>
      <c r="AC77" t="s">
        <v>94</v>
      </c>
      <c r="AD77">
        <v>4</v>
      </c>
      <c r="AE77">
        <v>55</v>
      </c>
      <c r="AF77" t="s">
        <v>113</v>
      </c>
      <c r="AH77" t="s">
        <v>465</v>
      </c>
      <c r="AI77">
        <v>182.21</v>
      </c>
      <c r="AJ77" t="s">
        <v>132</v>
      </c>
      <c r="AK77" t="s">
        <v>199</v>
      </c>
      <c r="AL77" t="s">
        <v>203</v>
      </c>
      <c r="AM77" t="s">
        <v>53</v>
      </c>
      <c r="AN77" s="1">
        <v>45640</v>
      </c>
      <c r="AO77">
        <v>2024</v>
      </c>
      <c r="AP77">
        <v>12</v>
      </c>
      <c r="AQ77" t="s">
        <v>116</v>
      </c>
      <c r="AS77" t="s">
        <v>85</v>
      </c>
      <c r="AT77">
        <v>2025</v>
      </c>
      <c r="AU77" t="s">
        <v>429</v>
      </c>
      <c r="AV77" t="s">
        <v>54</v>
      </c>
      <c r="AW77" t="s">
        <v>1114</v>
      </c>
      <c r="AX77">
        <v>2025</v>
      </c>
      <c r="AY77" t="s">
        <v>1115</v>
      </c>
      <c r="AZ77" t="s">
        <v>1115</v>
      </c>
    </row>
    <row r="78" spans="1:52" x14ac:dyDescent="0.25">
      <c r="A78" t="s">
        <v>1118</v>
      </c>
      <c r="B78" s="1">
        <v>33814</v>
      </c>
      <c r="C78" t="s">
        <v>1119</v>
      </c>
      <c r="D78">
        <v>475363</v>
      </c>
      <c r="E78" t="s">
        <v>46</v>
      </c>
      <c r="F78" t="s">
        <v>859</v>
      </c>
      <c r="G78" t="s">
        <v>766</v>
      </c>
      <c r="H78" t="s">
        <v>1119</v>
      </c>
      <c r="I78">
        <v>75</v>
      </c>
      <c r="J78">
        <v>55</v>
      </c>
      <c r="K78">
        <v>60</v>
      </c>
      <c r="L78">
        <v>-63</v>
      </c>
      <c r="M78">
        <v>60</v>
      </c>
      <c r="N78">
        <v>115</v>
      </c>
      <c r="O78" t="s">
        <v>60</v>
      </c>
      <c r="P78">
        <v>75</v>
      </c>
      <c r="Q78">
        <v>80</v>
      </c>
      <c r="R78">
        <v>-85</v>
      </c>
      <c r="S78">
        <v>80</v>
      </c>
      <c r="T78">
        <v>155</v>
      </c>
      <c r="U78" t="s">
        <v>60</v>
      </c>
      <c r="V78">
        <f t="shared" si="3"/>
        <v>4</v>
      </c>
      <c r="W78">
        <f t="shared" si="4"/>
        <v>0</v>
      </c>
      <c r="X78">
        <f t="shared" si="5"/>
        <v>0</v>
      </c>
      <c r="Y78">
        <v>140</v>
      </c>
      <c r="Z78">
        <v>270</v>
      </c>
      <c r="AA78" t="s">
        <v>1121</v>
      </c>
      <c r="AB78" t="s">
        <v>1122</v>
      </c>
      <c r="AC78" t="s">
        <v>93</v>
      </c>
      <c r="AD78">
        <v>6</v>
      </c>
      <c r="AE78">
        <v>76</v>
      </c>
      <c r="AF78" t="s">
        <v>126</v>
      </c>
      <c r="AH78" t="s">
        <v>228</v>
      </c>
      <c r="AI78">
        <v>166.96</v>
      </c>
      <c r="AJ78" t="s">
        <v>132</v>
      </c>
      <c r="AK78" t="s">
        <v>859</v>
      </c>
      <c r="AL78" t="s">
        <v>862</v>
      </c>
      <c r="AM78" t="s">
        <v>123</v>
      </c>
      <c r="AN78" s="1">
        <v>45640</v>
      </c>
      <c r="AO78">
        <v>2024</v>
      </c>
      <c r="AP78">
        <v>12</v>
      </c>
      <c r="AQ78" t="s">
        <v>116</v>
      </c>
      <c r="AS78" t="s">
        <v>85</v>
      </c>
      <c r="AT78">
        <v>2025</v>
      </c>
      <c r="AU78" t="s">
        <v>766</v>
      </c>
      <c r="AV78" t="s">
        <v>123</v>
      </c>
      <c r="AW78" t="s">
        <v>1119</v>
      </c>
      <c r="AX78">
        <v>2025</v>
      </c>
      <c r="AY78" t="s">
        <v>1120</v>
      </c>
      <c r="AZ78" t="s">
        <v>1121</v>
      </c>
    </row>
    <row r="79" spans="1:52" x14ac:dyDescent="0.25">
      <c r="A79" t="s">
        <v>1123</v>
      </c>
      <c r="B79" s="1">
        <v>33574</v>
      </c>
      <c r="C79" t="s">
        <v>1124</v>
      </c>
      <c r="D79">
        <v>476511</v>
      </c>
      <c r="E79" t="s">
        <v>46</v>
      </c>
      <c r="F79" t="s">
        <v>338</v>
      </c>
      <c r="G79" t="s">
        <v>124</v>
      </c>
      <c r="H79" t="s">
        <v>1124</v>
      </c>
      <c r="I79" t="s">
        <v>325</v>
      </c>
      <c r="J79">
        <v>70</v>
      </c>
      <c r="K79">
        <v>73</v>
      </c>
      <c r="L79">
        <v>76</v>
      </c>
      <c r="M79">
        <v>76</v>
      </c>
      <c r="N79">
        <v>149</v>
      </c>
      <c r="O79" t="s">
        <v>48</v>
      </c>
      <c r="P79">
        <v>-95</v>
      </c>
      <c r="Q79">
        <v>95</v>
      </c>
      <c r="R79">
        <v>100</v>
      </c>
      <c r="S79">
        <v>100</v>
      </c>
      <c r="T79">
        <v>195</v>
      </c>
      <c r="U79" t="s">
        <v>63</v>
      </c>
      <c r="V79">
        <f t="shared" si="3"/>
        <v>5</v>
      </c>
      <c r="W79">
        <f t="shared" si="4"/>
        <v>0</v>
      </c>
      <c r="X79">
        <f t="shared" si="5"/>
        <v>0</v>
      </c>
      <c r="Y79">
        <v>176</v>
      </c>
      <c r="Z79">
        <v>344</v>
      </c>
      <c r="AA79" t="s">
        <v>1125</v>
      </c>
      <c r="AB79" t="s">
        <v>1126</v>
      </c>
      <c r="AC79" t="s">
        <v>94</v>
      </c>
      <c r="AD79">
        <v>4</v>
      </c>
      <c r="AE79">
        <v>76</v>
      </c>
      <c r="AF79" t="s">
        <v>126</v>
      </c>
      <c r="AH79" t="s">
        <v>228</v>
      </c>
      <c r="AI79">
        <v>209.48</v>
      </c>
      <c r="AJ79" t="s">
        <v>132</v>
      </c>
      <c r="AK79" t="s">
        <v>338</v>
      </c>
      <c r="AL79" t="s">
        <v>340</v>
      </c>
      <c r="AM79" t="s">
        <v>128</v>
      </c>
      <c r="AN79" s="1">
        <v>45640</v>
      </c>
      <c r="AO79">
        <v>2024</v>
      </c>
      <c r="AP79">
        <v>12</v>
      </c>
      <c r="AQ79" t="s">
        <v>116</v>
      </c>
      <c r="AS79" t="s">
        <v>85</v>
      </c>
      <c r="AT79">
        <v>2025</v>
      </c>
      <c r="AU79" t="s">
        <v>124</v>
      </c>
      <c r="AV79" t="s">
        <v>128</v>
      </c>
      <c r="AW79" t="s">
        <v>1124</v>
      </c>
      <c r="AX79">
        <v>2025</v>
      </c>
      <c r="AY79" t="s">
        <v>1125</v>
      </c>
      <c r="AZ79" t="s">
        <v>1125</v>
      </c>
    </row>
    <row r="80" spans="1:52" x14ac:dyDescent="0.25">
      <c r="A80" t="s">
        <v>1130</v>
      </c>
      <c r="B80" s="1">
        <v>40131</v>
      </c>
      <c r="C80" t="s">
        <v>1131</v>
      </c>
      <c r="D80">
        <v>462676</v>
      </c>
      <c r="E80" t="s">
        <v>46</v>
      </c>
      <c r="F80" t="s">
        <v>1071</v>
      </c>
      <c r="G80" t="s">
        <v>255</v>
      </c>
      <c r="H80" t="s">
        <v>1131</v>
      </c>
      <c r="I80" t="s">
        <v>641</v>
      </c>
      <c r="J80">
        <v>70</v>
      </c>
      <c r="K80">
        <v>-75</v>
      </c>
      <c r="L80">
        <v>-75</v>
      </c>
      <c r="M80">
        <v>70</v>
      </c>
      <c r="N80">
        <v>0</v>
      </c>
      <c r="O80" t="s">
        <v>55</v>
      </c>
      <c r="P80">
        <v>95</v>
      </c>
      <c r="Q80">
        <v>-103</v>
      </c>
      <c r="R80">
        <v>-110</v>
      </c>
      <c r="S80">
        <v>95</v>
      </c>
      <c r="T80">
        <v>0</v>
      </c>
      <c r="U80" t="s">
        <v>55</v>
      </c>
      <c r="V80">
        <f t="shared" si="3"/>
        <v>2</v>
      </c>
      <c r="W80">
        <f t="shared" si="4"/>
        <v>0</v>
      </c>
      <c r="X80">
        <f t="shared" si="5"/>
        <v>0</v>
      </c>
      <c r="Y80">
        <v>165</v>
      </c>
      <c r="Z80">
        <v>0</v>
      </c>
      <c r="AA80" t="s">
        <v>1134</v>
      </c>
      <c r="AB80" t="s">
        <v>99</v>
      </c>
      <c r="AC80" t="s">
        <v>93</v>
      </c>
      <c r="AD80">
        <v>6</v>
      </c>
      <c r="AE80">
        <v>73</v>
      </c>
      <c r="AF80" t="s">
        <v>95</v>
      </c>
      <c r="AH80" t="s">
        <v>276</v>
      </c>
      <c r="AI80">
        <v>229.81</v>
      </c>
      <c r="AJ80" t="s">
        <v>52</v>
      </c>
      <c r="AK80" t="s">
        <v>1071</v>
      </c>
      <c r="AL80" t="s">
        <v>1073</v>
      </c>
      <c r="AM80" t="s">
        <v>68</v>
      </c>
      <c r="AN80" s="1">
        <v>45640</v>
      </c>
      <c r="AO80">
        <v>2024</v>
      </c>
      <c r="AP80">
        <v>12</v>
      </c>
      <c r="AQ80" t="s">
        <v>116</v>
      </c>
      <c r="AS80" t="s">
        <v>85</v>
      </c>
      <c r="AT80">
        <v>2025</v>
      </c>
      <c r="AU80" t="s">
        <v>255</v>
      </c>
      <c r="AV80" t="s">
        <v>68</v>
      </c>
      <c r="AW80" t="s">
        <v>1131</v>
      </c>
      <c r="AX80">
        <v>2025</v>
      </c>
      <c r="AY80" t="s">
        <v>1132</v>
      </c>
      <c r="AZ80" t="s">
        <v>1132</v>
      </c>
    </row>
    <row r="81" spans="1:52" x14ac:dyDescent="0.25">
      <c r="A81" t="s">
        <v>1136</v>
      </c>
      <c r="B81" s="1">
        <v>41408</v>
      </c>
      <c r="C81" t="s">
        <v>1137</v>
      </c>
      <c r="D81">
        <v>496276</v>
      </c>
      <c r="E81" t="s">
        <v>46</v>
      </c>
      <c r="F81" t="s">
        <v>199</v>
      </c>
      <c r="G81" t="s">
        <v>47</v>
      </c>
      <c r="H81" t="s">
        <v>1137</v>
      </c>
      <c r="I81" t="s">
        <v>230</v>
      </c>
      <c r="J81">
        <v>18</v>
      </c>
      <c r="K81">
        <v>20</v>
      </c>
      <c r="L81">
        <v>22</v>
      </c>
      <c r="M81">
        <v>22</v>
      </c>
      <c r="N81">
        <v>42</v>
      </c>
      <c r="O81" t="s">
        <v>48</v>
      </c>
      <c r="P81">
        <v>22</v>
      </c>
      <c r="Q81">
        <v>24</v>
      </c>
      <c r="R81">
        <v>26</v>
      </c>
      <c r="S81">
        <v>26</v>
      </c>
      <c r="T81">
        <v>50</v>
      </c>
      <c r="U81" t="s">
        <v>48</v>
      </c>
      <c r="V81">
        <f t="shared" si="3"/>
        <v>6</v>
      </c>
      <c r="W81">
        <f t="shared" si="4"/>
        <v>0</v>
      </c>
      <c r="X81">
        <f t="shared" si="5"/>
        <v>0</v>
      </c>
      <c r="Y81">
        <v>48</v>
      </c>
      <c r="Z81">
        <v>92</v>
      </c>
      <c r="AA81" t="s">
        <v>1139</v>
      </c>
      <c r="AB81" t="s">
        <v>1140</v>
      </c>
      <c r="AC81" t="s">
        <v>49</v>
      </c>
      <c r="AD81">
        <v>999</v>
      </c>
      <c r="AE81">
        <v>73</v>
      </c>
      <c r="AF81" t="s">
        <v>50</v>
      </c>
      <c r="AH81" t="s">
        <v>242</v>
      </c>
      <c r="AI81">
        <v>126.73</v>
      </c>
      <c r="AJ81" t="s">
        <v>52</v>
      </c>
      <c r="AK81" t="s">
        <v>199</v>
      </c>
      <c r="AL81" t="s">
        <v>203</v>
      </c>
      <c r="AM81" t="s">
        <v>53</v>
      </c>
      <c r="AN81" s="1">
        <v>45640</v>
      </c>
      <c r="AO81">
        <v>2024</v>
      </c>
      <c r="AP81">
        <v>12</v>
      </c>
      <c r="AQ81" t="s">
        <v>116</v>
      </c>
      <c r="AS81" t="s">
        <v>85</v>
      </c>
      <c r="AT81">
        <v>2025</v>
      </c>
      <c r="AU81" t="s">
        <v>47</v>
      </c>
      <c r="AV81" t="s">
        <v>54</v>
      </c>
      <c r="AW81" t="s">
        <v>1137</v>
      </c>
      <c r="AX81">
        <v>2025</v>
      </c>
      <c r="AY81" t="s">
        <v>1138</v>
      </c>
      <c r="AZ81" t="s">
        <v>1138</v>
      </c>
    </row>
    <row r="82" spans="1:52" x14ac:dyDescent="0.25">
      <c r="A82" t="s">
        <v>1141</v>
      </c>
      <c r="B82" s="1">
        <v>31044</v>
      </c>
      <c r="C82" t="s">
        <v>1142</v>
      </c>
      <c r="D82">
        <v>475361</v>
      </c>
      <c r="E82" t="s">
        <v>46</v>
      </c>
      <c r="F82" t="s">
        <v>859</v>
      </c>
      <c r="G82" t="s">
        <v>766</v>
      </c>
      <c r="H82" t="s">
        <v>1142</v>
      </c>
      <c r="I82">
        <v>74</v>
      </c>
      <c r="J82">
        <v>90</v>
      </c>
      <c r="K82">
        <v>95</v>
      </c>
      <c r="L82">
        <v>100</v>
      </c>
      <c r="M82">
        <v>100</v>
      </c>
      <c r="N82">
        <v>195</v>
      </c>
      <c r="O82" t="s">
        <v>48</v>
      </c>
      <c r="P82">
        <v>125</v>
      </c>
      <c r="Q82">
        <v>130</v>
      </c>
      <c r="R82">
        <v>-132</v>
      </c>
      <c r="S82">
        <v>130</v>
      </c>
      <c r="T82">
        <v>255</v>
      </c>
      <c r="U82" t="s">
        <v>60</v>
      </c>
      <c r="V82">
        <f t="shared" si="3"/>
        <v>5</v>
      </c>
      <c r="W82">
        <f t="shared" si="4"/>
        <v>0</v>
      </c>
      <c r="X82">
        <f t="shared" si="5"/>
        <v>0</v>
      </c>
      <c r="Y82">
        <v>230</v>
      </c>
      <c r="Z82">
        <v>450</v>
      </c>
      <c r="AA82" t="s">
        <v>1143</v>
      </c>
      <c r="AB82" t="s">
        <v>1144</v>
      </c>
      <c r="AC82" t="s">
        <v>93</v>
      </c>
      <c r="AD82">
        <v>6</v>
      </c>
      <c r="AE82">
        <v>81</v>
      </c>
      <c r="AF82" t="s">
        <v>126</v>
      </c>
      <c r="AG82">
        <v>40</v>
      </c>
      <c r="AH82" t="s">
        <v>138</v>
      </c>
      <c r="AI82">
        <v>307.48</v>
      </c>
      <c r="AJ82" t="s">
        <v>52</v>
      </c>
      <c r="AK82" t="s">
        <v>859</v>
      </c>
      <c r="AL82" t="s">
        <v>862</v>
      </c>
      <c r="AM82" t="s">
        <v>123</v>
      </c>
      <c r="AN82" s="1">
        <v>45640</v>
      </c>
      <c r="AO82">
        <v>2024</v>
      </c>
      <c r="AP82">
        <v>12</v>
      </c>
      <c r="AQ82" t="s">
        <v>116</v>
      </c>
      <c r="AS82" t="s">
        <v>85</v>
      </c>
      <c r="AT82">
        <v>2025</v>
      </c>
      <c r="AU82" t="s">
        <v>766</v>
      </c>
      <c r="AV82" t="s">
        <v>123</v>
      </c>
      <c r="AW82" t="s">
        <v>1142</v>
      </c>
      <c r="AX82">
        <v>2025</v>
      </c>
      <c r="AY82" t="s">
        <v>1143</v>
      </c>
      <c r="AZ82" t="s">
        <v>1143</v>
      </c>
    </row>
    <row r="83" spans="1:52" x14ac:dyDescent="0.25">
      <c r="A83" t="s">
        <v>1145</v>
      </c>
      <c r="B83" s="1">
        <v>40604</v>
      </c>
      <c r="C83" t="s">
        <v>1146</v>
      </c>
      <c r="D83">
        <v>497371</v>
      </c>
      <c r="E83" t="s">
        <v>46</v>
      </c>
      <c r="F83" t="s">
        <v>338</v>
      </c>
      <c r="G83" t="s">
        <v>536</v>
      </c>
      <c r="H83" t="s">
        <v>1146</v>
      </c>
      <c r="I83">
        <v>56</v>
      </c>
      <c r="J83">
        <v>45</v>
      </c>
      <c r="K83">
        <v>-53</v>
      </c>
      <c r="L83">
        <v>53</v>
      </c>
      <c r="M83">
        <v>53</v>
      </c>
      <c r="N83">
        <v>98</v>
      </c>
      <c r="O83" t="s">
        <v>65</v>
      </c>
      <c r="P83">
        <v>52</v>
      </c>
      <c r="Q83">
        <v>-63</v>
      </c>
      <c r="R83">
        <v>-63</v>
      </c>
      <c r="S83">
        <v>52</v>
      </c>
      <c r="T83">
        <v>0</v>
      </c>
      <c r="U83" t="s">
        <v>55</v>
      </c>
      <c r="V83">
        <f t="shared" si="3"/>
        <v>3</v>
      </c>
      <c r="W83">
        <f t="shared" si="4"/>
        <v>0</v>
      </c>
      <c r="X83">
        <f t="shared" si="5"/>
        <v>0</v>
      </c>
      <c r="Y83">
        <v>105</v>
      </c>
      <c r="Z83">
        <v>98</v>
      </c>
      <c r="AA83" t="s">
        <v>1147</v>
      </c>
      <c r="AB83" t="s">
        <v>1148</v>
      </c>
      <c r="AC83" t="s">
        <v>94</v>
      </c>
      <c r="AD83">
        <v>4</v>
      </c>
      <c r="AE83">
        <v>59</v>
      </c>
      <c r="AF83" t="s">
        <v>57</v>
      </c>
      <c r="AH83" t="s">
        <v>525</v>
      </c>
      <c r="AI83">
        <v>148.80000000000001</v>
      </c>
      <c r="AJ83" t="s">
        <v>132</v>
      </c>
      <c r="AK83" t="s">
        <v>338</v>
      </c>
      <c r="AL83" t="s">
        <v>340</v>
      </c>
      <c r="AM83" t="s">
        <v>128</v>
      </c>
      <c r="AN83" s="1">
        <v>45640</v>
      </c>
      <c r="AO83">
        <v>2024</v>
      </c>
      <c r="AP83">
        <v>12</v>
      </c>
      <c r="AQ83" t="s">
        <v>116</v>
      </c>
      <c r="AS83" t="s">
        <v>85</v>
      </c>
      <c r="AT83">
        <v>2025</v>
      </c>
      <c r="AU83" t="s">
        <v>536</v>
      </c>
      <c r="AV83" t="s">
        <v>128</v>
      </c>
      <c r="AW83" t="s">
        <v>1146</v>
      </c>
      <c r="AX83">
        <v>2025</v>
      </c>
      <c r="AY83" t="s">
        <v>1003</v>
      </c>
      <c r="AZ83" t="s">
        <v>1003</v>
      </c>
    </row>
    <row r="84" spans="1:52" x14ac:dyDescent="0.25">
      <c r="A84" t="s">
        <v>1149</v>
      </c>
      <c r="B84" s="1">
        <v>37128</v>
      </c>
      <c r="C84" t="s">
        <v>1150</v>
      </c>
      <c r="D84">
        <v>470372</v>
      </c>
      <c r="E84" t="s">
        <v>46</v>
      </c>
      <c r="F84" t="s">
        <v>582</v>
      </c>
      <c r="G84" t="s">
        <v>386</v>
      </c>
      <c r="H84" t="s">
        <v>1150</v>
      </c>
      <c r="I84" t="s">
        <v>1152</v>
      </c>
      <c r="J84">
        <v>-105</v>
      </c>
      <c r="K84">
        <v>-110</v>
      </c>
      <c r="L84">
        <v>112</v>
      </c>
      <c r="M84">
        <v>112</v>
      </c>
      <c r="N84">
        <v>0</v>
      </c>
      <c r="O84" t="s">
        <v>102</v>
      </c>
      <c r="P84">
        <v>145</v>
      </c>
      <c r="Q84">
        <v>-153</v>
      </c>
      <c r="R84">
        <v>-153</v>
      </c>
      <c r="S84">
        <v>145</v>
      </c>
      <c r="T84">
        <v>0</v>
      </c>
      <c r="U84" t="s">
        <v>55</v>
      </c>
      <c r="V84">
        <f t="shared" si="3"/>
        <v>2</v>
      </c>
      <c r="W84">
        <f t="shared" si="4"/>
        <v>1</v>
      </c>
      <c r="X84">
        <f t="shared" si="5"/>
        <v>0</v>
      </c>
      <c r="Y84">
        <v>257</v>
      </c>
      <c r="Z84">
        <v>0</v>
      </c>
      <c r="AA84" t="s">
        <v>1153</v>
      </c>
      <c r="AB84" t="s">
        <v>99</v>
      </c>
      <c r="AC84" t="s">
        <v>93</v>
      </c>
      <c r="AD84">
        <v>6</v>
      </c>
      <c r="AE84">
        <v>96</v>
      </c>
      <c r="AF84" t="s">
        <v>126</v>
      </c>
      <c r="AH84" t="s">
        <v>222</v>
      </c>
      <c r="AI84">
        <v>306</v>
      </c>
      <c r="AJ84" t="s">
        <v>52</v>
      </c>
      <c r="AK84" t="s">
        <v>582</v>
      </c>
      <c r="AL84" t="s">
        <v>585</v>
      </c>
      <c r="AM84" t="s">
        <v>170</v>
      </c>
      <c r="AN84" s="1">
        <v>45640</v>
      </c>
      <c r="AO84">
        <v>2024</v>
      </c>
      <c r="AP84">
        <v>12</v>
      </c>
      <c r="AQ84" t="s">
        <v>116</v>
      </c>
      <c r="AS84" t="s">
        <v>85</v>
      </c>
      <c r="AT84">
        <v>2025</v>
      </c>
      <c r="AU84" t="s">
        <v>386</v>
      </c>
      <c r="AV84" t="s">
        <v>170</v>
      </c>
      <c r="AW84" t="s">
        <v>1150</v>
      </c>
      <c r="AX84">
        <v>2025</v>
      </c>
      <c r="AY84" t="s">
        <v>1151</v>
      </c>
      <c r="AZ84" t="s">
        <v>1153</v>
      </c>
    </row>
    <row r="85" spans="1:52" x14ac:dyDescent="0.25">
      <c r="A85" t="s">
        <v>1155</v>
      </c>
      <c r="B85" s="1">
        <v>39470</v>
      </c>
      <c r="C85" t="s">
        <v>1156</v>
      </c>
      <c r="D85">
        <v>471009</v>
      </c>
      <c r="E85" t="s">
        <v>46</v>
      </c>
      <c r="F85" t="s">
        <v>845</v>
      </c>
      <c r="G85" t="s">
        <v>556</v>
      </c>
      <c r="H85" t="s">
        <v>1156</v>
      </c>
      <c r="I85" t="s">
        <v>1158</v>
      </c>
      <c r="J85">
        <v>-59</v>
      </c>
      <c r="K85">
        <v>59</v>
      </c>
      <c r="L85">
        <v>62</v>
      </c>
      <c r="M85">
        <v>62</v>
      </c>
      <c r="N85">
        <v>121</v>
      </c>
      <c r="O85" t="s">
        <v>63</v>
      </c>
      <c r="P85">
        <v>74</v>
      </c>
      <c r="Q85">
        <v>78</v>
      </c>
      <c r="R85">
        <v>-80</v>
      </c>
      <c r="S85">
        <v>78</v>
      </c>
      <c r="T85">
        <v>152</v>
      </c>
      <c r="U85" t="s">
        <v>60</v>
      </c>
      <c r="V85">
        <f t="shared" si="3"/>
        <v>4</v>
      </c>
      <c r="W85">
        <f t="shared" si="4"/>
        <v>0</v>
      </c>
      <c r="X85">
        <f t="shared" si="5"/>
        <v>0</v>
      </c>
      <c r="Y85">
        <v>140</v>
      </c>
      <c r="Z85">
        <v>273</v>
      </c>
      <c r="AA85" t="s">
        <v>1157</v>
      </c>
      <c r="AB85" t="s">
        <v>1159</v>
      </c>
      <c r="AC85" t="s">
        <v>184</v>
      </c>
      <c r="AD85">
        <v>2</v>
      </c>
      <c r="AE85">
        <v>55</v>
      </c>
      <c r="AF85" t="s">
        <v>95</v>
      </c>
      <c r="AH85" t="s">
        <v>175</v>
      </c>
      <c r="AI85">
        <v>203.94</v>
      </c>
      <c r="AJ85" t="s">
        <v>132</v>
      </c>
      <c r="AK85" t="s">
        <v>845</v>
      </c>
      <c r="AL85" t="s">
        <v>848</v>
      </c>
      <c r="AM85" t="s">
        <v>302</v>
      </c>
      <c r="AN85" s="1">
        <v>45640</v>
      </c>
      <c r="AO85">
        <v>2024</v>
      </c>
      <c r="AP85">
        <v>12</v>
      </c>
      <c r="AQ85" t="s">
        <v>116</v>
      </c>
      <c r="AS85" t="s">
        <v>85</v>
      </c>
      <c r="AT85">
        <v>2025</v>
      </c>
      <c r="AU85" t="s">
        <v>556</v>
      </c>
      <c r="AV85" t="s">
        <v>303</v>
      </c>
      <c r="AW85" t="s">
        <v>1156</v>
      </c>
      <c r="AX85">
        <v>2025</v>
      </c>
      <c r="AY85" t="s">
        <v>1157</v>
      </c>
      <c r="AZ85" t="s">
        <v>1157</v>
      </c>
    </row>
    <row r="86" spans="1:52" x14ac:dyDescent="0.25">
      <c r="A86" t="s">
        <v>1160</v>
      </c>
      <c r="B86" s="1">
        <v>40506</v>
      </c>
      <c r="C86" t="s">
        <v>1161</v>
      </c>
      <c r="D86">
        <v>466640</v>
      </c>
      <c r="E86" t="s">
        <v>46</v>
      </c>
      <c r="F86" t="s">
        <v>1163</v>
      </c>
      <c r="G86" t="s">
        <v>691</v>
      </c>
      <c r="H86" t="s">
        <v>1161</v>
      </c>
      <c r="I86" t="s">
        <v>477</v>
      </c>
      <c r="J86">
        <v>52</v>
      </c>
      <c r="K86">
        <v>55</v>
      </c>
      <c r="L86">
        <v>-57</v>
      </c>
      <c r="M86">
        <v>55</v>
      </c>
      <c r="N86">
        <v>107</v>
      </c>
      <c r="O86" t="s">
        <v>60</v>
      </c>
      <c r="P86">
        <v>63</v>
      </c>
      <c r="Q86">
        <v>65</v>
      </c>
      <c r="R86">
        <v>68</v>
      </c>
      <c r="S86">
        <v>68</v>
      </c>
      <c r="T86">
        <v>133</v>
      </c>
      <c r="U86" t="s">
        <v>48</v>
      </c>
      <c r="V86">
        <f t="shared" si="3"/>
        <v>5</v>
      </c>
      <c r="W86">
        <f t="shared" si="4"/>
        <v>0</v>
      </c>
      <c r="X86">
        <f t="shared" si="5"/>
        <v>0</v>
      </c>
      <c r="Y86">
        <v>123</v>
      </c>
      <c r="Z86">
        <v>240</v>
      </c>
      <c r="AA86" t="s">
        <v>1162</v>
      </c>
      <c r="AB86" t="s">
        <v>1164</v>
      </c>
      <c r="AC86" t="s">
        <v>98</v>
      </c>
      <c r="AD86">
        <v>3</v>
      </c>
      <c r="AE86">
        <v>59</v>
      </c>
      <c r="AF86" t="s">
        <v>57</v>
      </c>
      <c r="AH86" t="s">
        <v>525</v>
      </c>
      <c r="AI86">
        <v>171.4</v>
      </c>
      <c r="AJ86" t="s">
        <v>132</v>
      </c>
      <c r="AK86" t="s">
        <v>1163</v>
      </c>
      <c r="AL86" t="s">
        <v>1165</v>
      </c>
      <c r="AM86" t="s">
        <v>139</v>
      </c>
      <c r="AN86" s="1">
        <v>45640</v>
      </c>
      <c r="AO86">
        <v>2024</v>
      </c>
      <c r="AP86">
        <v>12</v>
      </c>
      <c r="AQ86" t="s">
        <v>116</v>
      </c>
      <c r="AS86" t="s">
        <v>85</v>
      </c>
      <c r="AT86">
        <v>2025</v>
      </c>
      <c r="AU86" t="s">
        <v>691</v>
      </c>
      <c r="AV86" t="s">
        <v>140</v>
      </c>
      <c r="AW86" t="s">
        <v>1161</v>
      </c>
      <c r="AX86">
        <v>2025</v>
      </c>
      <c r="AY86" t="s">
        <v>1162</v>
      </c>
      <c r="AZ86" t="s">
        <v>1162</v>
      </c>
    </row>
    <row r="87" spans="1:52" x14ac:dyDescent="0.25">
      <c r="A87" t="s">
        <v>1166</v>
      </c>
      <c r="B87" s="1">
        <v>38714</v>
      </c>
      <c r="C87" t="s">
        <v>1167</v>
      </c>
      <c r="D87">
        <v>500602</v>
      </c>
      <c r="E87" t="s">
        <v>254</v>
      </c>
      <c r="F87" t="s">
        <v>1071</v>
      </c>
      <c r="G87" t="s">
        <v>66</v>
      </c>
      <c r="H87" t="s">
        <v>1167</v>
      </c>
      <c r="I87" t="s">
        <v>669</v>
      </c>
      <c r="J87">
        <v>-105</v>
      </c>
      <c r="K87">
        <v>-107</v>
      </c>
      <c r="L87">
        <v>-110</v>
      </c>
      <c r="M87">
        <v>0</v>
      </c>
      <c r="N87">
        <v>0</v>
      </c>
      <c r="O87" t="s">
        <v>108</v>
      </c>
      <c r="P87">
        <v>0</v>
      </c>
      <c r="Q87">
        <v>0</v>
      </c>
      <c r="R87">
        <v>0</v>
      </c>
      <c r="S87">
        <v>0</v>
      </c>
      <c r="T87">
        <v>0</v>
      </c>
      <c r="U87" t="s">
        <v>108</v>
      </c>
      <c r="V87">
        <f t="shared" si="3"/>
        <v>0</v>
      </c>
      <c r="W87">
        <f t="shared" si="4"/>
        <v>0</v>
      </c>
      <c r="X87">
        <f t="shared" si="5"/>
        <v>0</v>
      </c>
      <c r="Y87">
        <v>0</v>
      </c>
      <c r="Z87">
        <v>0</v>
      </c>
      <c r="AA87" t="s">
        <v>99</v>
      </c>
      <c r="AB87" t="s">
        <v>99</v>
      </c>
      <c r="AC87" t="s">
        <v>49</v>
      </c>
      <c r="AD87">
        <v>999</v>
      </c>
      <c r="AE87">
        <v>67</v>
      </c>
      <c r="AF87" t="s">
        <v>113</v>
      </c>
      <c r="AH87" t="s">
        <v>114</v>
      </c>
      <c r="AI87">
        <v>0</v>
      </c>
      <c r="AJ87" t="s">
        <v>52</v>
      </c>
      <c r="AK87" t="s">
        <v>1071</v>
      </c>
      <c r="AL87" t="s">
        <v>1073</v>
      </c>
      <c r="AM87" t="s">
        <v>68</v>
      </c>
      <c r="AN87" s="1">
        <v>45640</v>
      </c>
      <c r="AO87">
        <v>2024</v>
      </c>
      <c r="AP87">
        <v>12</v>
      </c>
      <c r="AQ87" t="s">
        <v>116</v>
      </c>
      <c r="AS87" t="s">
        <v>85</v>
      </c>
      <c r="AT87">
        <v>2025</v>
      </c>
      <c r="AU87" t="s">
        <v>66</v>
      </c>
      <c r="AV87" t="s">
        <v>68</v>
      </c>
      <c r="AW87" t="s">
        <v>1167</v>
      </c>
      <c r="AX87">
        <v>2025</v>
      </c>
      <c r="AY87" t="s">
        <v>1168</v>
      </c>
      <c r="AZ87" t="s">
        <v>1168</v>
      </c>
    </row>
    <row r="88" spans="1:52" x14ac:dyDescent="0.25">
      <c r="A88" t="s">
        <v>1170</v>
      </c>
      <c r="B88" s="1">
        <v>32467</v>
      </c>
      <c r="C88" t="s">
        <v>1171</v>
      </c>
      <c r="D88">
        <v>434059</v>
      </c>
      <c r="E88" t="s">
        <v>46</v>
      </c>
      <c r="F88" t="s">
        <v>1173</v>
      </c>
      <c r="G88" t="s">
        <v>660</v>
      </c>
      <c r="H88" t="s">
        <v>1171</v>
      </c>
      <c r="I88" t="s">
        <v>1174</v>
      </c>
      <c r="J88">
        <v>57</v>
      </c>
      <c r="K88">
        <v>60</v>
      </c>
      <c r="L88">
        <v>-62</v>
      </c>
      <c r="M88">
        <v>60</v>
      </c>
      <c r="N88">
        <v>117</v>
      </c>
      <c r="O88" t="s">
        <v>60</v>
      </c>
      <c r="P88">
        <v>76</v>
      </c>
      <c r="Q88">
        <v>-80</v>
      </c>
      <c r="R88">
        <v>-80</v>
      </c>
      <c r="S88">
        <v>76</v>
      </c>
      <c r="T88">
        <v>0</v>
      </c>
      <c r="U88" t="s">
        <v>55</v>
      </c>
      <c r="V88">
        <f t="shared" si="3"/>
        <v>3</v>
      </c>
      <c r="W88">
        <f t="shared" si="4"/>
        <v>0</v>
      </c>
      <c r="X88">
        <f t="shared" si="5"/>
        <v>0</v>
      </c>
      <c r="Y88">
        <v>136</v>
      </c>
      <c r="Z88">
        <v>117</v>
      </c>
      <c r="AA88" t="s">
        <v>1175</v>
      </c>
      <c r="AB88" t="s">
        <v>1176</v>
      </c>
      <c r="AC88" t="s">
        <v>93</v>
      </c>
      <c r="AD88">
        <v>6</v>
      </c>
      <c r="AE88">
        <v>59</v>
      </c>
      <c r="AF88" t="s">
        <v>126</v>
      </c>
      <c r="AG88">
        <v>35</v>
      </c>
      <c r="AH88" t="s">
        <v>202</v>
      </c>
      <c r="AI88">
        <v>188.44</v>
      </c>
      <c r="AJ88" t="s">
        <v>132</v>
      </c>
      <c r="AK88" t="s">
        <v>1173</v>
      </c>
      <c r="AL88" t="s">
        <v>1177</v>
      </c>
      <c r="AM88" t="s">
        <v>173</v>
      </c>
      <c r="AN88" s="1">
        <v>45641</v>
      </c>
      <c r="AO88">
        <v>2024</v>
      </c>
      <c r="AP88">
        <v>12</v>
      </c>
      <c r="AQ88" t="s">
        <v>116</v>
      </c>
      <c r="AS88" t="s">
        <v>85</v>
      </c>
      <c r="AT88">
        <v>2025</v>
      </c>
      <c r="AU88" t="s">
        <v>660</v>
      </c>
      <c r="AV88" t="s">
        <v>173</v>
      </c>
      <c r="AW88" t="s">
        <v>1171</v>
      </c>
      <c r="AX88">
        <v>2025</v>
      </c>
      <c r="AY88" t="s">
        <v>1172</v>
      </c>
      <c r="AZ88" t="s">
        <v>1178</v>
      </c>
    </row>
    <row r="89" spans="1:52" x14ac:dyDescent="0.25">
      <c r="A89" t="s">
        <v>1182</v>
      </c>
      <c r="B89" s="1">
        <v>35479</v>
      </c>
      <c r="C89" t="s">
        <v>1183</v>
      </c>
      <c r="D89">
        <v>431879</v>
      </c>
      <c r="E89" t="s">
        <v>46</v>
      </c>
      <c r="F89" t="s">
        <v>199</v>
      </c>
      <c r="G89" t="s">
        <v>598</v>
      </c>
      <c r="H89" t="s">
        <v>1183</v>
      </c>
      <c r="I89" t="s">
        <v>311</v>
      </c>
      <c r="J89">
        <v>76</v>
      </c>
      <c r="K89">
        <v>-80</v>
      </c>
      <c r="L89">
        <v>-81</v>
      </c>
      <c r="M89">
        <v>76</v>
      </c>
      <c r="N89">
        <v>0</v>
      </c>
      <c r="O89" t="s">
        <v>55</v>
      </c>
      <c r="P89">
        <v>96</v>
      </c>
      <c r="Q89">
        <v>-100</v>
      </c>
      <c r="R89">
        <v>-100</v>
      </c>
      <c r="S89">
        <v>96</v>
      </c>
      <c r="T89">
        <v>0</v>
      </c>
      <c r="U89" t="s">
        <v>55</v>
      </c>
      <c r="V89">
        <f t="shared" si="3"/>
        <v>2</v>
      </c>
      <c r="W89">
        <f t="shared" si="4"/>
        <v>0</v>
      </c>
      <c r="X89">
        <f t="shared" si="5"/>
        <v>0</v>
      </c>
      <c r="Y89">
        <v>172</v>
      </c>
      <c r="Z89">
        <v>0</v>
      </c>
      <c r="AA89" t="s">
        <v>1185</v>
      </c>
      <c r="AB89" t="s">
        <v>99</v>
      </c>
      <c r="AC89" t="s">
        <v>94</v>
      </c>
      <c r="AD89">
        <v>4</v>
      </c>
      <c r="AE89">
        <v>71</v>
      </c>
      <c r="AF89" t="s">
        <v>126</v>
      </c>
      <c r="AH89" t="s">
        <v>226</v>
      </c>
      <c r="AI89">
        <v>217.56</v>
      </c>
      <c r="AJ89" t="s">
        <v>132</v>
      </c>
      <c r="AK89" t="s">
        <v>199</v>
      </c>
      <c r="AL89" t="s">
        <v>203</v>
      </c>
      <c r="AM89" t="s">
        <v>53</v>
      </c>
      <c r="AN89" s="1">
        <v>45640</v>
      </c>
      <c r="AO89">
        <v>2024</v>
      </c>
      <c r="AP89">
        <v>12</v>
      </c>
      <c r="AQ89" t="s">
        <v>116</v>
      </c>
      <c r="AS89" t="s">
        <v>85</v>
      </c>
      <c r="AT89">
        <v>2025</v>
      </c>
      <c r="AU89" t="s">
        <v>598</v>
      </c>
      <c r="AV89" t="s">
        <v>145</v>
      </c>
      <c r="AW89" t="s">
        <v>1183</v>
      </c>
      <c r="AX89">
        <v>2025</v>
      </c>
      <c r="AY89" t="s">
        <v>1184</v>
      </c>
      <c r="AZ89" t="s">
        <v>1186</v>
      </c>
    </row>
    <row r="90" spans="1:52" x14ac:dyDescent="0.25">
      <c r="A90" t="s">
        <v>1190</v>
      </c>
      <c r="B90" s="1">
        <v>40202</v>
      </c>
      <c r="C90" t="s">
        <v>1191</v>
      </c>
      <c r="D90">
        <v>496530</v>
      </c>
      <c r="E90" t="s">
        <v>46</v>
      </c>
      <c r="F90" t="s">
        <v>859</v>
      </c>
      <c r="G90" t="s">
        <v>120</v>
      </c>
      <c r="H90" t="s">
        <v>1191</v>
      </c>
      <c r="I90" t="s">
        <v>442</v>
      </c>
      <c r="J90">
        <v>30</v>
      </c>
      <c r="K90">
        <v>33</v>
      </c>
      <c r="L90">
        <v>-36</v>
      </c>
      <c r="M90">
        <v>33</v>
      </c>
      <c r="N90">
        <v>63</v>
      </c>
      <c r="O90" t="s">
        <v>60</v>
      </c>
      <c r="P90">
        <v>40</v>
      </c>
      <c r="Q90">
        <v>44</v>
      </c>
      <c r="R90">
        <v>-46</v>
      </c>
      <c r="S90">
        <v>44</v>
      </c>
      <c r="T90">
        <v>84</v>
      </c>
      <c r="U90" t="s">
        <v>60</v>
      </c>
      <c r="V90">
        <f t="shared" si="3"/>
        <v>4</v>
      </c>
      <c r="W90">
        <f t="shared" si="4"/>
        <v>0</v>
      </c>
      <c r="X90">
        <f t="shared" si="5"/>
        <v>0</v>
      </c>
      <c r="Y90">
        <v>77</v>
      </c>
      <c r="Z90">
        <v>147</v>
      </c>
      <c r="AA90" t="s">
        <v>1193</v>
      </c>
      <c r="AB90" t="s">
        <v>1194</v>
      </c>
      <c r="AC90" t="s">
        <v>93</v>
      </c>
      <c r="AD90">
        <v>6</v>
      </c>
      <c r="AE90">
        <v>59</v>
      </c>
      <c r="AF90" t="s">
        <v>57</v>
      </c>
      <c r="AH90" t="s">
        <v>525</v>
      </c>
      <c r="AI90">
        <v>105.59</v>
      </c>
      <c r="AJ90" t="s">
        <v>132</v>
      </c>
      <c r="AK90" t="s">
        <v>859</v>
      </c>
      <c r="AL90" t="s">
        <v>862</v>
      </c>
      <c r="AM90" t="s">
        <v>123</v>
      </c>
      <c r="AN90" s="1">
        <v>45640</v>
      </c>
      <c r="AO90">
        <v>2024</v>
      </c>
      <c r="AP90">
        <v>12</v>
      </c>
      <c r="AQ90" t="s">
        <v>116</v>
      </c>
      <c r="AS90" t="s">
        <v>85</v>
      </c>
      <c r="AT90">
        <v>2025</v>
      </c>
      <c r="AU90" t="s">
        <v>120</v>
      </c>
      <c r="AV90" t="s">
        <v>123</v>
      </c>
      <c r="AW90" t="s">
        <v>1191</v>
      </c>
      <c r="AX90">
        <v>2025</v>
      </c>
      <c r="AY90" t="s">
        <v>1192</v>
      </c>
      <c r="AZ90" t="s">
        <v>1193</v>
      </c>
    </row>
    <row r="91" spans="1:52" x14ac:dyDescent="0.25">
      <c r="A91" t="s">
        <v>1197</v>
      </c>
      <c r="B91" s="1">
        <v>38074</v>
      </c>
      <c r="C91" t="s">
        <v>1198</v>
      </c>
      <c r="D91">
        <v>463287</v>
      </c>
      <c r="E91" t="s">
        <v>46</v>
      </c>
      <c r="F91" t="s">
        <v>547</v>
      </c>
      <c r="G91" t="s">
        <v>417</v>
      </c>
      <c r="H91" t="s">
        <v>1198</v>
      </c>
      <c r="I91" t="s">
        <v>183</v>
      </c>
      <c r="J91">
        <v>90</v>
      </c>
      <c r="K91">
        <v>94</v>
      </c>
      <c r="L91">
        <v>-98</v>
      </c>
      <c r="M91">
        <v>94</v>
      </c>
      <c r="N91">
        <v>184</v>
      </c>
      <c r="O91" t="s">
        <v>60</v>
      </c>
      <c r="P91">
        <v>120</v>
      </c>
      <c r="Q91">
        <v>-131</v>
      </c>
      <c r="R91">
        <v>-131</v>
      </c>
      <c r="S91">
        <v>120</v>
      </c>
      <c r="T91">
        <v>0</v>
      </c>
      <c r="U91" t="s">
        <v>55</v>
      </c>
      <c r="V91">
        <f t="shared" si="3"/>
        <v>3</v>
      </c>
      <c r="W91">
        <f t="shared" si="4"/>
        <v>0</v>
      </c>
      <c r="X91">
        <f t="shared" si="5"/>
        <v>0</v>
      </c>
      <c r="Y91">
        <v>214</v>
      </c>
      <c r="Z91">
        <v>184</v>
      </c>
      <c r="AA91" t="s">
        <v>1200</v>
      </c>
      <c r="AB91" t="s">
        <v>1201</v>
      </c>
      <c r="AC91" t="s">
        <v>93</v>
      </c>
      <c r="AD91">
        <v>6</v>
      </c>
      <c r="AE91">
        <v>67</v>
      </c>
      <c r="AF91" t="s">
        <v>126</v>
      </c>
      <c r="AH91" t="s">
        <v>401</v>
      </c>
      <c r="AI91">
        <v>305.64</v>
      </c>
      <c r="AJ91" t="s">
        <v>52</v>
      </c>
      <c r="AK91" t="s">
        <v>547</v>
      </c>
      <c r="AL91" t="s">
        <v>551</v>
      </c>
      <c r="AM91" t="s">
        <v>72</v>
      </c>
      <c r="AN91" s="1">
        <v>45640</v>
      </c>
      <c r="AO91">
        <v>2024</v>
      </c>
      <c r="AP91">
        <v>12</v>
      </c>
      <c r="AQ91" t="s">
        <v>116</v>
      </c>
      <c r="AS91" t="s">
        <v>85</v>
      </c>
      <c r="AT91">
        <v>2025</v>
      </c>
      <c r="AU91" t="s">
        <v>417</v>
      </c>
      <c r="AV91" t="s">
        <v>72</v>
      </c>
      <c r="AW91" t="s">
        <v>1198</v>
      </c>
      <c r="AX91">
        <v>2025</v>
      </c>
      <c r="AY91" t="s">
        <v>1199</v>
      </c>
      <c r="AZ91" t="s">
        <v>1200</v>
      </c>
    </row>
    <row r="92" spans="1:52" x14ac:dyDescent="0.25">
      <c r="A92" t="s">
        <v>1206</v>
      </c>
      <c r="B92" s="1">
        <v>37880</v>
      </c>
      <c r="C92" t="s">
        <v>1207</v>
      </c>
      <c r="D92">
        <v>453315</v>
      </c>
      <c r="E92" t="s">
        <v>46</v>
      </c>
      <c r="F92" t="s">
        <v>1209</v>
      </c>
      <c r="G92" t="s">
        <v>84</v>
      </c>
      <c r="H92" t="s">
        <v>1207</v>
      </c>
      <c r="I92" t="s">
        <v>1210</v>
      </c>
      <c r="J92">
        <v>66</v>
      </c>
      <c r="K92">
        <v>69</v>
      </c>
      <c r="L92">
        <v>72</v>
      </c>
      <c r="M92">
        <v>72</v>
      </c>
      <c r="N92">
        <v>141</v>
      </c>
      <c r="O92" t="s">
        <v>48</v>
      </c>
      <c r="P92">
        <v>83</v>
      </c>
      <c r="Q92">
        <v>87</v>
      </c>
      <c r="R92">
        <v>91</v>
      </c>
      <c r="S92">
        <v>91</v>
      </c>
      <c r="T92">
        <v>178</v>
      </c>
      <c r="U92" t="s">
        <v>48</v>
      </c>
      <c r="V92">
        <f t="shared" si="3"/>
        <v>6</v>
      </c>
      <c r="W92">
        <f t="shared" si="4"/>
        <v>0</v>
      </c>
      <c r="X92">
        <f t="shared" si="5"/>
        <v>0</v>
      </c>
      <c r="Y92">
        <v>163</v>
      </c>
      <c r="Z92">
        <v>319</v>
      </c>
      <c r="AA92" t="s">
        <v>1211</v>
      </c>
      <c r="AB92" t="s">
        <v>1212</v>
      </c>
      <c r="AC92" t="s">
        <v>89</v>
      </c>
      <c r="AD92">
        <v>5</v>
      </c>
      <c r="AE92">
        <v>76</v>
      </c>
      <c r="AF92" t="s">
        <v>126</v>
      </c>
      <c r="AH92" t="s">
        <v>228</v>
      </c>
      <c r="AI92">
        <v>197.76</v>
      </c>
      <c r="AJ92" t="s">
        <v>132</v>
      </c>
      <c r="AK92" t="s">
        <v>1209</v>
      </c>
      <c r="AL92" t="s">
        <v>1213</v>
      </c>
      <c r="AM92" t="s">
        <v>68</v>
      </c>
      <c r="AN92" s="1">
        <v>45640</v>
      </c>
      <c r="AO92">
        <v>2024</v>
      </c>
      <c r="AP92">
        <v>12</v>
      </c>
      <c r="AQ92" t="s">
        <v>116</v>
      </c>
      <c r="AS92" t="s">
        <v>85</v>
      </c>
      <c r="AT92">
        <v>2025</v>
      </c>
      <c r="AU92" t="s">
        <v>84</v>
      </c>
      <c r="AV92" t="s">
        <v>68</v>
      </c>
      <c r="AW92" t="s">
        <v>1207</v>
      </c>
      <c r="AX92">
        <v>2025</v>
      </c>
      <c r="AY92" t="s">
        <v>1208</v>
      </c>
      <c r="AZ92" t="s">
        <v>1211</v>
      </c>
    </row>
    <row r="93" spans="1:52" x14ac:dyDescent="0.25">
      <c r="A93" t="s">
        <v>1214</v>
      </c>
      <c r="B93" s="1">
        <v>37615</v>
      </c>
      <c r="C93" t="s">
        <v>1215</v>
      </c>
      <c r="D93">
        <v>448939</v>
      </c>
      <c r="E93" t="s">
        <v>46</v>
      </c>
      <c r="F93" t="s">
        <v>912</v>
      </c>
      <c r="G93" t="s">
        <v>154</v>
      </c>
      <c r="H93" t="s">
        <v>1215</v>
      </c>
      <c r="I93" t="s">
        <v>470</v>
      </c>
      <c r="J93">
        <v>-51</v>
      </c>
      <c r="K93">
        <v>-51</v>
      </c>
      <c r="L93">
        <v>-51</v>
      </c>
      <c r="M93">
        <v>0</v>
      </c>
      <c r="N93">
        <v>0</v>
      </c>
      <c r="O93" t="s">
        <v>108</v>
      </c>
      <c r="P93">
        <v>65</v>
      </c>
      <c r="Q93">
        <v>-68</v>
      </c>
      <c r="R93">
        <v>-68</v>
      </c>
      <c r="S93">
        <v>65</v>
      </c>
      <c r="T93">
        <v>0</v>
      </c>
      <c r="U93" t="s">
        <v>55</v>
      </c>
      <c r="V93">
        <f t="shared" si="3"/>
        <v>1</v>
      </c>
      <c r="W93">
        <f t="shared" si="4"/>
        <v>0</v>
      </c>
      <c r="X93">
        <f t="shared" si="5"/>
        <v>0</v>
      </c>
      <c r="Y93">
        <v>65</v>
      </c>
      <c r="Z93">
        <v>0</v>
      </c>
      <c r="AA93" t="s">
        <v>1216</v>
      </c>
      <c r="AB93" t="s">
        <v>99</v>
      </c>
      <c r="AC93" t="s">
        <v>49</v>
      </c>
      <c r="AD93">
        <v>999</v>
      </c>
      <c r="AE93">
        <v>59</v>
      </c>
      <c r="AF93" t="s">
        <v>126</v>
      </c>
      <c r="AH93" t="s">
        <v>202</v>
      </c>
      <c r="AI93">
        <v>0</v>
      </c>
      <c r="AJ93" t="s">
        <v>132</v>
      </c>
      <c r="AK93" t="s">
        <v>912</v>
      </c>
      <c r="AL93" t="s">
        <v>914</v>
      </c>
      <c r="AM93" t="s">
        <v>128</v>
      </c>
      <c r="AN93" s="1">
        <v>45640</v>
      </c>
      <c r="AO93">
        <v>2024</v>
      </c>
      <c r="AP93">
        <v>12</v>
      </c>
      <c r="AQ93" t="s">
        <v>116</v>
      </c>
      <c r="AS93" t="s">
        <v>85</v>
      </c>
      <c r="AT93">
        <v>2025</v>
      </c>
      <c r="AU93" t="s">
        <v>154</v>
      </c>
      <c r="AV93" t="s">
        <v>128</v>
      </c>
      <c r="AW93" t="s">
        <v>1215</v>
      </c>
      <c r="AX93">
        <v>2025</v>
      </c>
      <c r="AY93" t="s">
        <v>463</v>
      </c>
      <c r="AZ93" t="s">
        <v>1217</v>
      </c>
    </row>
    <row r="94" spans="1:52" x14ac:dyDescent="0.25">
      <c r="A94" t="s">
        <v>1218</v>
      </c>
      <c r="B94" s="1">
        <v>38863</v>
      </c>
      <c r="C94" t="s">
        <v>1219</v>
      </c>
      <c r="D94">
        <v>490324</v>
      </c>
      <c r="E94" t="s">
        <v>46</v>
      </c>
      <c r="F94" t="s">
        <v>1221</v>
      </c>
      <c r="G94" t="s">
        <v>258</v>
      </c>
      <c r="H94" t="s">
        <v>1219</v>
      </c>
      <c r="I94" t="s">
        <v>264</v>
      </c>
      <c r="J94">
        <v>45</v>
      </c>
      <c r="K94">
        <v>49</v>
      </c>
      <c r="L94">
        <v>-52</v>
      </c>
      <c r="M94">
        <v>49</v>
      </c>
      <c r="N94">
        <v>94</v>
      </c>
      <c r="O94" t="s">
        <v>60</v>
      </c>
      <c r="P94">
        <v>64</v>
      </c>
      <c r="Q94">
        <v>71</v>
      </c>
      <c r="R94">
        <v>-75</v>
      </c>
      <c r="S94">
        <v>71</v>
      </c>
      <c r="T94">
        <v>135</v>
      </c>
      <c r="U94" t="s">
        <v>60</v>
      </c>
      <c r="V94">
        <f t="shared" si="3"/>
        <v>4</v>
      </c>
      <c r="W94">
        <f t="shared" si="4"/>
        <v>0</v>
      </c>
      <c r="X94">
        <f t="shared" si="5"/>
        <v>0</v>
      </c>
      <c r="Y94">
        <v>120</v>
      </c>
      <c r="Z94">
        <v>229</v>
      </c>
      <c r="AA94" t="s">
        <v>1220</v>
      </c>
      <c r="AB94" t="s">
        <v>1222</v>
      </c>
      <c r="AC94" t="s">
        <v>93</v>
      </c>
      <c r="AD94">
        <v>6</v>
      </c>
      <c r="AE94">
        <v>81</v>
      </c>
      <c r="AF94" t="s">
        <v>113</v>
      </c>
      <c r="AH94" t="s">
        <v>881</v>
      </c>
      <c r="AI94">
        <v>138.46</v>
      </c>
      <c r="AJ94" t="s">
        <v>132</v>
      </c>
      <c r="AK94" t="s">
        <v>1221</v>
      </c>
      <c r="AL94" t="s">
        <v>1223</v>
      </c>
      <c r="AM94" t="s">
        <v>128</v>
      </c>
      <c r="AN94" s="1">
        <v>45641</v>
      </c>
      <c r="AO94">
        <v>2024</v>
      </c>
      <c r="AP94">
        <v>12</v>
      </c>
      <c r="AQ94" t="s">
        <v>116</v>
      </c>
      <c r="AS94" t="s">
        <v>85</v>
      </c>
      <c r="AT94">
        <v>2025</v>
      </c>
      <c r="AU94" t="s">
        <v>258</v>
      </c>
      <c r="AV94" t="s">
        <v>128</v>
      </c>
      <c r="AW94" t="s">
        <v>1219</v>
      </c>
      <c r="AX94">
        <v>2025</v>
      </c>
      <c r="AY94" t="s">
        <v>1220</v>
      </c>
      <c r="AZ94" t="s">
        <v>1220</v>
      </c>
    </row>
    <row r="95" spans="1:52" x14ac:dyDescent="0.25">
      <c r="A95" t="s">
        <v>1225</v>
      </c>
      <c r="B95" s="1">
        <v>40143</v>
      </c>
      <c r="C95" t="s">
        <v>1226</v>
      </c>
      <c r="D95">
        <v>463057</v>
      </c>
      <c r="E95" t="s">
        <v>46</v>
      </c>
      <c r="F95" t="s">
        <v>999</v>
      </c>
      <c r="G95" t="s">
        <v>937</v>
      </c>
      <c r="H95" t="s">
        <v>1226</v>
      </c>
      <c r="I95" t="s">
        <v>1229</v>
      </c>
      <c r="J95">
        <v>88</v>
      </c>
      <c r="K95">
        <v>-93</v>
      </c>
      <c r="L95">
        <v>93</v>
      </c>
      <c r="M95">
        <v>93</v>
      </c>
      <c r="N95">
        <v>181</v>
      </c>
      <c r="O95" t="s">
        <v>65</v>
      </c>
      <c r="P95">
        <v>117</v>
      </c>
      <c r="Q95">
        <v>121</v>
      </c>
      <c r="R95">
        <v>-125</v>
      </c>
      <c r="S95">
        <v>121</v>
      </c>
      <c r="T95">
        <v>238</v>
      </c>
      <c r="U95" t="s">
        <v>60</v>
      </c>
      <c r="V95">
        <f t="shared" si="3"/>
        <v>4</v>
      </c>
      <c r="W95">
        <f t="shared" si="4"/>
        <v>0</v>
      </c>
      <c r="X95">
        <f t="shared" si="5"/>
        <v>0</v>
      </c>
      <c r="Y95">
        <v>214</v>
      </c>
      <c r="Z95">
        <v>419</v>
      </c>
      <c r="AA95" t="s">
        <v>1227</v>
      </c>
      <c r="AB95" t="s">
        <v>1230</v>
      </c>
      <c r="AC95" t="s">
        <v>94</v>
      </c>
      <c r="AD95">
        <v>4</v>
      </c>
      <c r="AE95">
        <v>73</v>
      </c>
      <c r="AF95" t="s">
        <v>95</v>
      </c>
      <c r="AH95" t="s">
        <v>276</v>
      </c>
      <c r="AI95">
        <v>295.76</v>
      </c>
      <c r="AJ95" t="s">
        <v>52</v>
      </c>
      <c r="AK95" t="s">
        <v>999</v>
      </c>
      <c r="AL95" t="s">
        <v>1001</v>
      </c>
      <c r="AM95" t="s">
        <v>53</v>
      </c>
      <c r="AN95" s="1">
        <v>45640</v>
      </c>
      <c r="AO95">
        <v>2024</v>
      </c>
      <c r="AP95">
        <v>12</v>
      </c>
      <c r="AQ95" t="s">
        <v>116</v>
      </c>
      <c r="AS95" t="s">
        <v>85</v>
      </c>
      <c r="AT95">
        <v>2025</v>
      </c>
      <c r="AU95" t="s">
        <v>937</v>
      </c>
      <c r="AV95" t="s">
        <v>54</v>
      </c>
      <c r="AW95" t="s">
        <v>1226</v>
      </c>
      <c r="AX95">
        <v>2025</v>
      </c>
      <c r="AY95" t="s">
        <v>1227</v>
      </c>
      <c r="AZ95" t="s">
        <v>1227</v>
      </c>
    </row>
    <row r="96" spans="1:52" x14ac:dyDescent="0.25">
      <c r="A96" t="s">
        <v>1231</v>
      </c>
      <c r="B96" s="1">
        <v>37205</v>
      </c>
      <c r="C96" t="s">
        <v>1232</v>
      </c>
      <c r="D96">
        <v>481087</v>
      </c>
      <c r="E96" t="s">
        <v>137</v>
      </c>
      <c r="F96" t="s">
        <v>710</v>
      </c>
      <c r="G96" t="s">
        <v>335</v>
      </c>
      <c r="H96" t="s">
        <v>1232</v>
      </c>
      <c r="I96" t="s">
        <v>376</v>
      </c>
      <c r="J96">
        <v>90</v>
      </c>
      <c r="K96">
        <v>0</v>
      </c>
      <c r="L96">
        <v>0</v>
      </c>
      <c r="M96">
        <v>90</v>
      </c>
      <c r="N96">
        <v>0</v>
      </c>
      <c r="O96" t="s">
        <v>55</v>
      </c>
      <c r="P96">
        <v>105</v>
      </c>
      <c r="Q96">
        <v>0</v>
      </c>
      <c r="R96">
        <v>0</v>
      </c>
      <c r="S96">
        <v>105</v>
      </c>
      <c r="T96">
        <v>0</v>
      </c>
      <c r="U96" t="s">
        <v>55</v>
      </c>
      <c r="V96">
        <f t="shared" si="3"/>
        <v>2</v>
      </c>
      <c r="W96">
        <f t="shared" si="4"/>
        <v>0</v>
      </c>
      <c r="X96">
        <f t="shared" si="5"/>
        <v>0</v>
      </c>
      <c r="Y96">
        <v>195</v>
      </c>
      <c r="Z96">
        <v>0</v>
      </c>
      <c r="AA96" t="s">
        <v>1234</v>
      </c>
      <c r="AB96" t="s">
        <v>99</v>
      </c>
      <c r="AC96" t="s">
        <v>93</v>
      </c>
      <c r="AD96">
        <v>6</v>
      </c>
      <c r="AE96">
        <v>67</v>
      </c>
      <c r="AF96" t="s">
        <v>126</v>
      </c>
      <c r="AH96" t="s">
        <v>401</v>
      </c>
      <c r="AI96">
        <v>293.97000000000003</v>
      </c>
      <c r="AJ96" t="s">
        <v>52</v>
      </c>
      <c r="AK96" t="s">
        <v>710</v>
      </c>
      <c r="AL96" t="s">
        <v>712</v>
      </c>
      <c r="AM96" t="s">
        <v>128</v>
      </c>
      <c r="AN96" s="1">
        <v>45640</v>
      </c>
      <c r="AO96">
        <v>2024</v>
      </c>
      <c r="AP96">
        <v>12</v>
      </c>
      <c r="AQ96" t="s">
        <v>116</v>
      </c>
      <c r="AS96" t="s">
        <v>85</v>
      </c>
      <c r="AT96">
        <v>2025</v>
      </c>
      <c r="AU96" t="s">
        <v>335</v>
      </c>
      <c r="AV96" t="s">
        <v>128</v>
      </c>
      <c r="AW96" t="s">
        <v>1232</v>
      </c>
      <c r="AX96">
        <v>2025</v>
      </c>
      <c r="AY96" t="s">
        <v>1233</v>
      </c>
      <c r="AZ96" t="s">
        <v>1235</v>
      </c>
    </row>
    <row r="97" spans="1:52" x14ac:dyDescent="0.25">
      <c r="A97" t="s">
        <v>1237</v>
      </c>
      <c r="B97" s="1">
        <v>39117</v>
      </c>
      <c r="C97" t="s">
        <v>1238</v>
      </c>
      <c r="D97">
        <v>461613</v>
      </c>
      <c r="E97" t="s">
        <v>46</v>
      </c>
      <c r="F97" t="s">
        <v>1240</v>
      </c>
      <c r="G97" t="s">
        <v>422</v>
      </c>
      <c r="H97" t="s">
        <v>1238</v>
      </c>
      <c r="I97" t="s">
        <v>1241</v>
      </c>
      <c r="J97">
        <v>93</v>
      </c>
      <c r="K97">
        <v>97</v>
      </c>
      <c r="L97">
        <v>100</v>
      </c>
      <c r="M97">
        <v>100</v>
      </c>
      <c r="N97">
        <v>197</v>
      </c>
      <c r="O97" t="s">
        <v>48</v>
      </c>
      <c r="P97">
        <v>125</v>
      </c>
      <c r="Q97">
        <v>130</v>
      </c>
      <c r="R97">
        <v>-133</v>
      </c>
      <c r="S97">
        <v>130</v>
      </c>
      <c r="T97">
        <v>255</v>
      </c>
      <c r="U97" t="s">
        <v>60</v>
      </c>
      <c r="V97">
        <f t="shared" si="3"/>
        <v>5</v>
      </c>
      <c r="W97">
        <f t="shared" si="4"/>
        <v>0</v>
      </c>
      <c r="X97">
        <f t="shared" si="5"/>
        <v>0</v>
      </c>
      <c r="Y97">
        <v>230</v>
      </c>
      <c r="Z97">
        <v>452</v>
      </c>
      <c r="AA97" t="s">
        <v>1239</v>
      </c>
      <c r="AB97" t="s">
        <v>1242</v>
      </c>
      <c r="AC97" t="s">
        <v>89</v>
      </c>
      <c r="AD97">
        <v>5</v>
      </c>
      <c r="AE97">
        <v>89</v>
      </c>
      <c r="AF97" t="s">
        <v>113</v>
      </c>
      <c r="AH97" t="s">
        <v>435</v>
      </c>
      <c r="AI97">
        <v>287.73</v>
      </c>
      <c r="AJ97" t="s">
        <v>52</v>
      </c>
      <c r="AK97" t="s">
        <v>1240</v>
      </c>
      <c r="AL97" t="s">
        <v>1243</v>
      </c>
      <c r="AM97" t="s">
        <v>133</v>
      </c>
      <c r="AN97" s="1">
        <v>45641</v>
      </c>
      <c r="AO97">
        <v>2024</v>
      </c>
      <c r="AP97">
        <v>12</v>
      </c>
      <c r="AQ97" t="s">
        <v>116</v>
      </c>
      <c r="AS97" t="s">
        <v>85</v>
      </c>
      <c r="AT97">
        <v>2025</v>
      </c>
      <c r="AU97" t="s">
        <v>422</v>
      </c>
      <c r="AV97" t="s">
        <v>133</v>
      </c>
      <c r="AW97" t="s">
        <v>1238</v>
      </c>
      <c r="AX97">
        <v>2025</v>
      </c>
      <c r="AY97" t="s">
        <v>1239</v>
      </c>
      <c r="AZ97" t="s">
        <v>1239</v>
      </c>
    </row>
    <row r="98" spans="1:52" x14ac:dyDescent="0.25">
      <c r="A98" t="s">
        <v>1244</v>
      </c>
      <c r="B98" s="1">
        <v>40383</v>
      </c>
      <c r="C98" t="s">
        <v>1245</v>
      </c>
      <c r="D98">
        <v>462637</v>
      </c>
      <c r="E98" t="s">
        <v>46</v>
      </c>
      <c r="F98" t="s">
        <v>954</v>
      </c>
      <c r="G98" t="s">
        <v>329</v>
      </c>
      <c r="H98" t="s">
        <v>1245</v>
      </c>
      <c r="I98" t="s">
        <v>1248</v>
      </c>
      <c r="J98">
        <v>38</v>
      </c>
      <c r="K98">
        <v>41</v>
      </c>
      <c r="L98">
        <v>43</v>
      </c>
      <c r="M98">
        <v>43</v>
      </c>
      <c r="N98">
        <v>84</v>
      </c>
      <c r="O98" t="s">
        <v>48</v>
      </c>
      <c r="P98">
        <v>52</v>
      </c>
      <c r="Q98">
        <v>56</v>
      </c>
      <c r="R98">
        <v>59</v>
      </c>
      <c r="S98">
        <v>59</v>
      </c>
      <c r="T98">
        <v>115</v>
      </c>
      <c r="U98" t="s">
        <v>48</v>
      </c>
      <c r="V98">
        <f t="shared" si="3"/>
        <v>6</v>
      </c>
      <c r="W98">
        <f t="shared" si="4"/>
        <v>0</v>
      </c>
      <c r="X98">
        <f t="shared" si="5"/>
        <v>0</v>
      </c>
      <c r="Y98">
        <v>102</v>
      </c>
      <c r="Z98">
        <v>199</v>
      </c>
      <c r="AA98" t="s">
        <v>1249</v>
      </c>
      <c r="AB98" t="s">
        <v>1250</v>
      </c>
      <c r="AC98" t="s">
        <v>93</v>
      </c>
      <c r="AD98">
        <v>6</v>
      </c>
      <c r="AE98" t="s">
        <v>479</v>
      </c>
      <c r="AF98" t="s">
        <v>57</v>
      </c>
      <c r="AH98" t="s">
        <v>1246</v>
      </c>
      <c r="AI98">
        <v>103.53</v>
      </c>
      <c r="AJ98" t="s">
        <v>132</v>
      </c>
      <c r="AK98" t="s">
        <v>954</v>
      </c>
      <c r="AL98" t="s">
        <v>957</v>
      </c>
      <c r="AM98" t="s">
        <v>133</v>
      </c>
      <c r="AN98" s="1">
        <v>45641</v>
      </c>
      <c r="AO98">
        <v>2024</v>
      </c>
      <c r="AP98">
        <v>12</v>
      </c>
      <c r="AQ98" t="s">
        <v>116</v>
      </c>
      <c r="AS98" t="s">
        <v>85</v>
      </c>
      <c r="AT98">
        <v>2025</v>
      </c>
      <c r="AU98" t="s">
        <v>329</v>
      </c>
      <c r="AV98" t="s">
        <v>133</v>
      </c>
      <c r="AW98" t="s">
        <v>1245</v>
      </c>
      <c r="AX98">
        <v>2025</v>
      </c>
      <c r="AY98" t="s">
        <v>1247</v>
      </c>
      <c r="AZ98" t="s">
        <v>1249</v>
      </c>
    </row>
    <row r="99" spans="1:52" x14ac:dyDescent="0.25">
      <c r="A99" t="s">
        <v>1251</v>
      </c>
      <c r="B99" s="1">
        <v>37373</v>
      </c>
      <c r="C99" t="s">
        <v>1252</v>
      </c>
      <c r="D99">
        <v>326262</v>
      </c>
      <c r="E99" t="s">
        <v>46</v>
      </c>
      <c r="F99" t="s">
        <v>1254</v>
      </c>
      <c r="G99" t="s">
        <v>70</v>
      </c>
      <c r="H99" t="s">
        <v>1252</v>
      </c>
      <c r="I99" t="s">
        <v>505</v>
      </c>
      <c r="J99">
        <v>130</v>
      </c>
      <c r="K99">
        <v>135</v>
      </c>
      <c r="L99">
        <v>138</v>
      </c>
      <c r="M99">
        <v>138</v>
      </c>
      <c r="N99">
        <v>273</v>
      </c>
      <c r="O99" t="s">
        <v>48</v>
      </c>
      <c r="P99">
        <v>157</v>
      </c>
      <c r="Q99">
        <v>166</v>
      </c>
      <c r="R99">
        <v>-170</v>
      </c>
      <c r="S99">
        <v>166</v>
      </c>
      <c r="T99">
        <v>323</v>
      </c>
      <c r="U99" t="s">
        <v>60</v>
      </c>
      <c r="V99">
        <f t="shared" si="3"/>
        <v>5</v>
      </c>
      <c r="W99">
        <f t="shared" si="4"/>
        <v>0</v>
      </c>
      <c r="X99">
        <f t="shared" si="5"/>
        <v>0</v>
      </c>
      <c r="Y99">
        <v>304</v>
      </c>
      <c r="Z99">
        <v>596</v>
      </c>
      <c r="AA99" t="s">
        <v>1253</v>
      </c>
      <c r="AB99" t="s">
        <v>1255</v>
      </c>
      <c r="AC99" t="s">
        <v>94</v>
      </c>
      <c r="AD99">
        <v>4</v>
      </c>
      <c r="AE99">
        <v>96</v>
      </c>
      <c r="AF99" t="s">
        <v>126</v>
      </c>
      <c r="AH99" t="s">
        <v>222</v>
      </c>
      <c r="AI99">
        <v>359.7</v>
      </c>
      <c r="AJ99" t="s">
        <v>52</v>
      </c>
      <c r="AK99" t="s">
        <v>1254</v>
      </c>
      <c r="AL99" t="s">
        <v>1256</v>
      </c>
      <c r="AM99" t="s">
        <v>72</v>
      </c>
      <c r="AN99" s="1">
        <v>45640</v>
      </c>
      <c r="AO99">
        <v>2024</v>
      </c>
      <c r="AP99">
        <v>12</v>
      </c>
      <c r="AQ99" t="s">
        <v>116</v>
      </c>
      <c r="AS99" t="s">
        <v>85</v>
      </c>
      <c r="AT99">
        <v>2025</v>
      </c>
      <c r="AU99" t="s">
        <v>70</v>
      </c>
      <c r="AV99" t="s">
        <v>72</v>
      </c>
      <c r="AW99" t="s">
        <v>1252</v>
      </c>
      <c r="AX99">
        <v>2025</v>
      </c>
      <c r="AY99" t="s">
        <v>1253</v>
      </c>
      <c r="AZ99" t="s">
        <v>1253</v>
      </c>
    </row>
    <row r="100" spans="1:52" x14ac:dyDescent="0.25">
      <c r="A100" t="s">
        <v>1260</v>
      </c>
      <c r="B100" s="1">
        <v>36729</v>
      </c>
      <c r="C100" t="s">
        <v>1261</v>
      </c>
      <c r="D100">
        <v>457567</v>
      </c>
      <c r="E100" t="s">
        <v>46</v>
      </c>
      <c r="F100" t="s">
        <v>1107</v>
      </c>
      <c r="G100" t="s">
        <v>386</v>
      </c>
      <c r="H100" t="s">
        <v>1261</v>
      </c>
      <c r="I100" t="s">
        <v>150</v>
      </c>
      <c r="J100">
        <v>150</v>
      </c>
      <c r="K100">
        <v>154</v>
      </c>
      <c r="L100">
        <v>-158</v>
      </c>
      <c r="M100">
        <v>154</v>
      </c>
      <c r="N100">
        <v>304</v>
      </c>
      <c r="O100" t="s">
        <v>60</v>
      </c>
      <c r="P100">
        <v>190</v>
      </c>
      <c r="Q100">
        <v>200</v>
      </c>
      <c r="R100">
        <v>-207</v>
      </c>
      <c r="S100">
        <v>200</v>
      </c>
      <c r="T100">
        <v>390</v>
      </c>
      <c r="U100" t="s">
        <v>60</v>
      </c>
      <c r="V100">
        <f t="shared" si="3"/>
        <v>4</v>
      </c>
      <c r="W100">
        <f t="shared" si="4"/>
        <v>0</v>
      </c>
      <c r="X100">
        <f t="shared" si="5"/>
        <v>0</v>
      </c>
      <c r="Y100">
        <v>354</v>
      </c>
      <c r="Z100">
        <v>694</v>
      </c>
      <c r="AA100" t="s">
        <v>1268</v>
      </c>
      <c r="AB100" t="s">
        <v>1269</v>
      </c>
      <c r="AC100" t="s">
        <v>98</v>
      </c>
      <c r="AD100">
        <v>3</v>
      </c>
      <c r="AE100">
        <v>109</v>
      </c>
      <c r="AF100" t="s">
        <v>126</v>
      </c>
      <c r="AH100" t="s">
        <v>151</v>
      </c>
      <c r="AI100">
        <v>393.03</v>
      </c>
      <c r="AJ100" t="s">
        <v>52</v>
      </c>
      <c r="AK100" t="s">
        <v>1107</v>
      </c>
      <c r="AL100" t="s">
        <v>1108</v>
      </c>
      <c r="AM100" t="s">
        <v>302</v>
      </c>
      <c r="AN100" s="1">
        <v>45640</v>
      </c>
      <c r="AO100">
        <v>2024</v>
      </c>
      <c r="AP100">
        <v>12</v>
      </c>
      <c r="AQ100" t="s">
        <v>116</v>
      </c>
      <c r="AS100" t="s">
        <v>85</v>
      </c>
      <c r="AT100">
        <v>2025</v>
      </c>
      <c r="AU100" t="s">
        <v>386</v>
      </c>
      <c r="AV100" t="s">
        <v>170</v>
      </c>
      <c r="AW100" t="s">
        <v>1261</v>
      </c>
      <c r="AX100">
        <v>2025</v>
      </c>
      <c r="AY100" t="s">
        <v>1262</v>
      </c>
      <c r="AZ100" t="s">
        <v>1262</v>
      </c>
    </row>
    <row r="101" spans="1:52" x14ac:dyDescent="0.25">
      <c r="A101" t="s">
        <v>1272</v>
      </c>
      <c r="B101" s="1">
        <v>36124</v>
      </c>
      <c r="C101" t="s">
        <v>1273</v>
      </c>
      <c r="D101">
        <v>261141</v>
      </c>
      <c r="E101" t="s">
        <v>46</v>
      </c>
      <c r="F101" t="s">
        <v>729</v>
      </c>
      <c r="G101" t="s">
        <v>78</v>
      </c>
      <c r="H101" t="s">
        <v>1273</v>
      </c>
      <c r="I101" t="s">
        <v>976</v>
      </c>
      <c r="J101">
        <v>100</v>
      </c>
      <c r="K101">
        <v>-107</v>
      </c>
      <c r="L101">
        <v>-107</v>
      </c>
      <c r="M101">
        <v>100</v>
      </c>
      <c r="N101">
        <v>0</v>
      </c>
      <c r="O101" t="s">
        <v>55</v>
      </c>
      <c r="P101">
        <v>120</v>
      </c>
      <c r="Q101">
        <v>-130</v>
      </c>
      <c r="R101">
        <v>0</v>
      </c>
      <c r="S101">
        <v>120</v>
      </c>
      <c r="T101">
        <v>0</v>
      </c>
      <c r="U101" t="s">
        <v>55</v>
      </c>
      <c r="V101">
        <f t="shared" si="3"/>
        <v>2</v>
      </c>
      <c r="W101">
        <f t="shared" si="4"/>
        <v>0</v>
      </c>
      <c r="X101">
        <f t="shared" si="5"/>
        <v>0</v>
      </c>
      <c r="Y101">
        <v>220</v>
      </c>
      <c r="Z101">
        <v>0</v>
      </c>
      <c r="AA101" t="s">
        <v>1275</v>
      </c>
      <c r="AB101" t="s">
        <v>99</v>
      </c>
      <c r="AC101" t="s">
        <v>93</v>
      </c>
      <c r="AD101">
        <v>6</v>
      </c>
      <c r="AE101">
        <v>67</v>
      </c>
      <c r="AF101" t="s">
        <v>126</v>
      </c>
      <c r="AH101" t="s">
        <v>401</v>
      </c>
      <c r="AI101">
        <v>317.69</v>
      </c>
      <c r="AJ101" t="s">
        <v>52</v>
      </c>
      <c r="AK101" t="s">
        <v>729</v>
      </c>
      <c r="AL101" t="s">
        <v>732</v>
      </c>
      <c r="AM101" t="s">
        <v>68</v>
      </c>
      <c r="AN101" s="1">
        <v>45640</v>
      </c>
      <c r="AO101">
        <v>2024</v>
      </c>
      <c r="AP101">
        <v>12</v>
      </c>
      <c r="AQ101" t="s">
        <v>116</v>
      </c>
      <c r="AS101" t="s">
        <v>85</v>
      </c>
      <c r="AT101">
        <v>2025</v>
      </c>
      <c r="AU101" t="s">
        <v>78</v>
      </c>
      <c r="AV101" t="s">
        <v>68</v>
      </c>
      <c r="AW101" t="s">
        <v>1273</v>
      </c>
      <c r="AX101">
        <v>2025</v>
      </c>
      <c r="AY101" t="s">
        <v>1274</v>
      </c>
      <c r="AZ101" t="s">
        <v>1276</v>
      </c>
    </row>
    <row r="102" spans="1:52" x14ac:dyDescent="0.25">
      <c r="A102" t="s">
        <v>1278</v>
      </c>
      <c r="B102" s="1">
        <v>38363</v>
      </c>
      <c r="C102" t="s">
        <v>1279</v>
      </c>
      <c r="D102">
        <v>448252</v>
      </c>
      <c r="E102" t="s">
        <v>46</v>
      </c>
      <c r="F102" t="s">
        <v>281</v>
      </c>
      <c r="G102" t="s">
        <v>328</v>
      </c>
      <c r="H102" t="s">
        <v>1279</v>
      </c>
      <c r="I102" t="s">
        <v>285</v>
      </c>
      <c r="J102">
        <v>82</v>
      </c>
      <c r="K102">
        <v>87</v>
      </c>
      <c r="L102">
        <v>89</v>
      </c>
      <c r="M102">
        <v>89</v>
      </c>
      <c r="N102">
        <v>176</v>
      </c>
      <c r="O102" t="s">
        <v>48</v>
      </c>
      <c r="P102">
        <v>101</v>
      </c>
      <c r="Q102">
        <v>108</v>
      </c>
      <c r="R102">
        <v>112</v>
      </c>
      <c r="S102">
        <v>112</v>
      </c>
      <c r="T102">
        <v>220</v>
      </c>
      <c r="U102" t="s">
        <v>48</v>
      </c>
      <c r="V102">
        <f t="shared" si="3"/>
        <v>6</v>
      </c>
      <c r="W102">
        <f t="shared" si="4"/>
        <v>0</v>
      </c>
      <c r="X102">
        <f t="shared" si="5"/>
        <v>0</v>
      </c>
      <c r="Y102">
        <v>201</v>
      </c>
      <c r="Z102">
        <v>396</v>
      </c>
      <c r="AA102" t="s">
        <v>1280</v>
      </c>
      <c r="AB102" t="s">
        <v>1281</v>
      </c>
      <c r="AC102" t="s">
        <v>89</v>
      </c>
      <c r="AD102">
        <v>5</v>
      </c>
      <c r="AE102">
        <v>67</v>
      </c>
      <c r="AF102" t="s">
        <v>113</v>
      </c>
      <c r="AH102" t="s">
        <v>114</v>
      </c>
      <c r="AI102">
        <v>291.83</v>
      </c>
      <c r="AJ102" t="s">
        <v>52</v>
      </c>
      <c r="AK102" t="s">
        <v>281</v>
      </c>
      <c r="AL102" t="s">
        <v>284</v>
      </c>
      <c r="AM102" t="s">
        <v>139</v>
      </c>
      <c r="AN102" s="1">
        <v>45640</v>
      </c>
      <c r="AO102">
        <v>2024</v>
      </c>
      <c r="AP102">
        <v>12</v>
      </c>
      <c r="AQ102" t="s">
        <v>116</v>
      </c>
      <c r="AS102" t="s">
        <v>85</v>
      </c>
      <c r="AT102">
        <v>2025</v>
      </c>
      <c r="AU102" t="s">
        <v>328</v>
      </c>
      <c r="AV102" t="s">
        <v>140</v>
      </c>
      <c r="AW102" t="s">
        <v>1279</v>
      </c>
      <c r="AX102">
        <v>2025</v>
      </c>
      <c r="AY102" t="s">
        <v>1280</v>
      </c>
      <c r="AZ102" t="s">
        <v>1280</v>
      </c>
    </row>
    <row r="103" spans="1:52" x14ac:dyDescent="0.25">
      <c r="A103" t="s">
        <v>1282</v>
      </c>
      <c r="B103" s="1">
        <v>36404</v>
      </c>
      <c r="C103" t="s">
        <v>1283</v>
      </c>
      <c r="D103">
        <v>481185</v>
      </c>
      <c r="E103" t="s">
        <v>46</v>
      </c>
      <c r="F103" t="s">
        <v>633</v>
      </c>
      <c r="G103" t="s">
        <v>1285</v>
      </c>
      <c r="H103" t="s">
        <v>1283</v>
      </c>
      <c r="I103">
        <v>95</v>
      </c>
      <c r="J103">
        <v>107</v>
      </c>
      <c r="K103">
        <v>112</v>
      </c>
      <c r="L103">
        <v>-115</v>
      </c>
      <c r="M103">
        <v>112</v>
      </c>
      <c r="N103">
        <v>219</v>
      </c>
      <c r="O103" t="s">
        <v>60</v>
      </c>
      <c r="P103">
        <v>-130</v>
      </c>
      <c r="Q103">
        <v>130</v>
      </c>
      <c r="R103">
        <v>138</v>
      </c>
      <c r="S103">
        <v>138</v>
      </c>
      <c r="T103">
        <v>268</v>
      </c>
      <c r="U103" t="s">
        <v>63</v>
      </c>
      <c r="V103">
        <f t="shared" si="3"/>
        <v>4</v>
      </c>
      <c r="W103">
        <f t="shared" si="4"/>
        <v>0</v>
      </c>
      <c r="X103">
        <f t="shared" si="5"/>
        <v>0</v>
      </c>
      <c r="Y103">
        <v>250</v>
      </c>
      <c r="Z103">
        <v>487</v>
      </c>
      <c r="AA103" t="s">
        <v>1284</v>
      </c>
      <c r="AB103" t="s">
        <v>1286</v>
      </c>
      <c r="AC103" t="s">
        <v>93</v>
      </c>
      <c r="AD103">
        <v>6</v>
      </c>
      <c r="AE103">
        <v>96</v>
      </c>
      <c r="AF103" t="s">
        <v>126</v>
      </c>
      <c r="AH103" t="s">
        <v>222</v>
      </c>
      <c r="AI103">
        <v>293.11</v>
      </c>
      <c r="AJ103" t="s">
        <v>52</v>
      </c>
      <c r="AK103" t="s">
        <v>633</v>
      </c>
      <c r="AL103" t="s">
        <v>637</v>
      </c>
      <c r="AM103" t="s">
        <v>139</v>
      </c>
      <c r="AN103" s="1">
        <v>45640</v>
      </c>
      <c r="AO103">
        <v>2024</v>
      </c>
      <c r="AP103">
        <v>12</v>
      </c>
      <c r="AQ103" t="s">
        <v>116</v>
      </c>
      <c r="AS103" t="s">
        <v>85</v>
      </c>
      <c r="AT103">
        <v>2025</v>
      </c>
      <c r="AU103" t="s">
        <v>1285</v>
      </c>
      <c r="AV103" t="s">
        <v>140</v>
      </c>
      <c r="AW103" t="s">
        <v>1283</v>
      </c>
      <c r="AX103">
        <v>2025</v>
      </c>
      <c r="AY103" t="s">
        <v>1284</v>
      </c>
      <c r="AZ103" t="s">
        <v>1284</v>
      </c>
    </row>
    <row r="104" spans="1:52" x14ac:dyDescent="0.25">
      <c r="A104" t="s">
        <v>1292</v>
      </c>
      <c r="B104" s="1">
        <v>36356</v>
      </c>
      <c r="C104" t="s">
        <v>1293</v>
      </c>
      <c r="D104">
        <v>452539</v>
      </c>
      <c r="E104" t="s">
        <v>46</v>
      </c>
      <c r="F104" t="s">
        <v>893</v>
      </c>
      <c r="G104" t="s">
        <v>386</v>
      </c>
      <c r="H104" t="s">
        <v>1293</v>
      </c>
      <c r="I104" t="s">
        <v>420</v>
      </c>
      <c r="J104">
        <v>80</v>
      </c>
      <c r="K104">
        <v>-84</v>
      </c>
      <c r="L104">
        <v>84</v>
      </c>
      <c r="M104">
        <v>84</v>
      </c>
      <c r="N104">
        <v>164</v>
      </c>
      <c r="O104" t="s">
        <v>65</v>
      </c>
      <c r="P104">
        <v>92</v>
      </c>
      <c r="Q104">
        <v>96</v>
      </c>
      <c r="R104">
        <v>102</v>
      </c>
      <c r="S104">
        <v>102</v>
      </c>
      <c r="T104">
        <v>198</v>
      </c>
      <c r="U104" t="s">
        <v>48</v>
      </c>
      <c r="V104">
        <f t="shared" si="3"/>
        <v>5</v>
      </c>
      <c r="W104">
        <f t="shared" si="4"/>
        <v>0</v>
      </c>
      <c r="X104">
        <f t="shared" si="5"/>
        <v>0</v>
      </c>
      <c r="Y104">
        <v>186</v>
      </c>
      <c r="Z104">
        <v>362</v>
      </c>
      <c r="AA104" t="s">
        <v>1295</v>
      </c>
      <c r="AB104" t="s">
        <v>1296</v>
      </c>
      <c r="AC104" t="s">
        <v>94</v>
      </c>
      <c r="AD104">
        <v>4</v>
      </c>
      <c r="AE104">
        <v>81</v>
      </c>
      <c r="AF104" t="s">
        <v>126</v>
      </c>
      <c r="AH104" t="s">
        <v>319</v>
      </c>
      <c r="AI104">
        <v>214.15</v>
      </c>
      <c r="AJ104" t="s">
        <v>132</v>
      </c>
      <c r="AK104" t="s">
        <v>893</v>
      </c>
      <c r="AL104" t="s">
        <v>897</v>
      </c>
      <c r="AM104" t="s">
        <v>170</v>
      </c>
      <c r="AN104" s="1">
        <v>45640</v>
      </c>
      <c r="AO104">
        <v>2024</v>
      </c>
      <c r="AP104">
        <v>12</v>
      </c>
      <c r="AQ104" t="s">
        <v>116</v>
      </c>
      <c r="AS104" t="s">
        <v>85</v>
      </c>
      <c r="AT104">
        <v>2025</v>
      </c>
      <c r="AU104" t="s">
        <v>386</v>
      </c>
      <c r="AV104" t="s">
        <v>170</v>
      </c>
      <c r="AW104" t="s">
        <v>1293</v>
      </c>
      <c r="AX104">
        <v>2025</v>
      </c>
      <c r="AY104" t="s">
        <v>1294</v>
      </c>
      <c r="AZ104" t="s">
        <v>1294</v>
      </c>
    </row>
    <row r="105" spans="1:52" x14ac:dyDescent="0.25">
      <c r="A105" t="s">
        <v>1297</v>
      </c>
      <c r="B105" s="1">
        <v>37532</v>
      </c>
      <c r="C105" t="s">
        <v>1298</v>
      </c>
      <c r="D105">
        <v>475207</v>
      </c>
      <c r="E105" t="s">
        <v>46</v>
      </c>
      <c r="F105" t="s">
        <v>1300</v>
      </c>
      <c r="G105" t="s">
        <v>394</v>
      </c>
      <c r="H105" t="s">
        <v>1298</v>
      </c>
      <c r="I105" t="s">
        <v>905</v>
      </c>
      <c r="J105">
        <v>51</v>
      </c>
      <c r="K105">
        <v>54</v>
      </c>
      <c r="L105">
        <v>-56</v>
      </c>
      <c r="M105">
        <v>54</v>
      </c>
      <c r="N105">
        <v>105</v>
      </c>
      <c r="O105" t="s">
        <v>60</v>
      </c>
      <c r="P105">
        <v>69</v>
      </c>
      <c r="Q105">
        <v>-72</v>
      </c>
      <c r="R105">
        <v>-72</v>
      </c>
      <c r="S105">
        <v>69</v>
      </c>
      <c r="T105">
        <v>0</v>
      </c>
      <c r="U105" t="s">
        <v>55</v>
      </c>
      <c r="V105">
        <f t="shared" si="3"/>
        <v>3</v>
      </c>
      <c r="W105">
        <f t="shared" si="4"/>
        <v>0</v>
      </c>
      <c r="X105">
        <f t="shared" si="5"/>
        <v>0</v>
      </c>
      <c r="Y105">
        <v>123</v>
      </c>
      <c r="Z105">
        <v>105</v>
      </c>
      <c r="AA105" t="s">
        <v>1299</v>
      </c>
      <c r="AB105" t="s">
        <v>1301</v>
      </c>
      <c r="AC105" t="s">
        <v>89</v>
      </c>
      <c r="AD105">
        <v>5</v>
      </c>
      <c r="AE105">
        <v>49</v>
      </c>
      <c r="AF105" t="s">
        <v>126</v>
      </c>
      <c r="AH105" t="s">
        <v>195</v>
      </c>
      <c r="AI105">
        <v>193.4</v>
      </c>
      <c r="AJ105" t="s">
        <v>132</v>
      </c>
      <c r="AK105" t="s">
        <v>1300</v>
      </c>
      <c r="AL105" t="s">
        <v>1302</v>
      </c>
      <c r="AM105" t="s">
        <v>170</v>
      </c>
      <c r="AN105" s="1">
        <v>45640</v>
      </c>
      <c r="AO105">
        <v>2024</v>
      </c>
      <c r="AP105">
        <v>12</v>
      </c>
      <c r="AQ105" t="s">
        <v>116</v>
      </c>
      <c r="AS105" t="s">
        <v>85</v>
      </c>
      <c r="AT105">
        <v>2025</v>
      </c>
      <c r="AU105" t="s">
        <v>394</v>
      </c>
      <c r="AV105" t="s">
        <v>170</v>
      </c>
      <c r="AW105" t="s">
        <v>1298</v>
      </c>
      <c r="AX105">
        <v>2025</v>
      </c>
      <c r="AY105" t="s">
        <v>1299</v>
      </c>
      <c r="AZ105" t="s">
        <v>1299</v>
      </c>
    </row>
    <row r="106" spans="1:52" x14ac:dyDescent="0.25">
      <c r="A106" t="s">
        <v>1306</v>
      </c>
      <c r="B106" s="1">
        <v>30777</v>
      </c>
      <c r="C106" t="s">
        <v>1307</v>
      </c>
      <c r="D106">
        <v>500441</v>
      </c>
      <c r="E106" t="s">
        <v>831</v>
      </c>
      <c r="F106" t="s">
        <v>801</v>
      </c>
      <c r="G106" t="s">
        <v>374</v>
      </c>
      <c r="H106" t="s">
        <v>1307</v>
      </c>
      <c r="I106">
        <v>64</v>
      </c>
      <c r="J106">
        <v>58</v>
      </c>
      <c r="K106">
        <v>61</v>
      </c>
      <c r="L106">
        <v>-63</v>
      </c>
      <c r="M106">
        <v>61</v>
      </c>
      <c r="N106">
        <v>119</v>
      </c>
      <c r="O106" t="s">
        <v>60</v>
      </c>
      <c r="P106">
        <v>68</v>
      </c>
      <c r="Q106">
        <v>71</v>
      </c>
      <c r="R106">
        <v>73</v>
      </c>
      <c r="S106">
        <v>73</v>
      </c>
      <c r="T106">
        <v>144</v>
      </c>
      <c r="U106" t="s">
        <v>48</v>
      </c>
      <c r="V106">
        <f t="shared" si="3"/>
        <v>5</v>
      </c>
      <c r="W106">
        <f t="shared" si="4"/>
        <v>0</v>
      </c>
      <c r="X106">
        <f t="shared" si="5"/>
        <v>0</v>
      </c>
      <c r="Y106">
        <v>134</v>
      </c>
      <c r="Z106">
        <v>263</v>
      </c>
      <c r="AA106" t="s">
        <v>1308</v>
      </c>
      <c r="AB106" t="s">
        <v>1309</v>
      </c>
      <c r="AC106" t="s">
        <v>93</v>
      </c>
      <c r="AD106">
        <v>6</v>
      </c>
      <c r="AE106">
        <v>64</v>
      </c>
      <c r="AF106" t="s">
        <v>126</v>
      </c>
      <c r="AG106">
        <v>40</v>
      </c>
      <c r="AH106" t="s">
        <v>167</v>
      </c>
      <c r="AI106">
        <v>174.23</v>
      </c>
      <c r="AJ106" t="s">
        <v>132</v>
      </c>
      <c r="AK106" t="s">
        <v>801</v>
      </c>
      <c r="AL106" t="s">
        <v>804</v>
      </c>
      <c r="AM106" t="s">
        <v>68</v>
      </c>
      <c r="AN106" s="1">
        <v>45640</v>
      </c>
      <c r="AO106">
        <v>2024</v>
      </c>
      <c r="AP106">
        <v>12</v>
      </c>
      <c r="AQ106" t="s">
        <v>116</v>
      </c>
      <c r="AS106" t="s">
        <v>85</v>
      </c>
      <c r="AT106">
        <v>2025</v>
      </c>
      <c r="AU106" t="s">
        <v>374</v>
      </c>
      <c r="AV106" t="s">
        <v>68</v>
      </c>
      <c r="AW106" t="s">
        <v>1307</v>
      </c>
      <c r="AX106">
        <v>2025</v>
      </c>
      <c r="AY106" t="s">
        <v>1308</v>
      </c>
      <c r="AZ106" t="s">
        <v>1308</v>
      </c>
    </row>
    <row r="107" spans="1:52" x14ac:dyDescent="0.25">
      <c r="A107" t="s">
        <v>1312</v>
      </c>
      <c r="B107" s="1">
        <v>36892</v>
      </c>
      <c r="C107" t="s">
        <v>1313</v>
      </c>
      <c r="D107">
        <v>465842</v>
      </c>
      <c r="E107" t="s">
        <v>46</v>
      </c>
      <c r="F107" t="s">
        <v>1315</v>
      </c>
      <c r="G107" t="s">
        <v>438</v>
      </c>
      <c r="H107" t="s">
        <v>1313</v>
      </c>
      <c r="I107" t="s">
        <v>432</v>
      </c>
      <c r="J107">
        <v>110</v>
      </c>
      <c r="K107">
        <v>115</v>
      </c>
      <c r="L107">
        <v>-120</v>
      </c>
      <c r="M107">
        <v>115</v>
      </c>
      <c r="N107">
        <v>225</v>
      </c>
      <c r="O107" t="s">
        <v>60</v>
      </c>
      <c r="P107">
        <v>-138</v>
      </c>
      <c r="Q107">
        <v>-138</v>
      </c>
      <c r="R107">
        <v>-138</v>
      </c>
      <c r="S107">
        <v>0</v>
      </c>
      <c r="T107">
        <v>0</v>
      </c>
      <c r="U107" t="s">
        <v>108</v>
      </c>
      <c r="V107">
        <f t="shared" si="3"/>
        <v>2</v>
      </c>
      <c r="W107">
        <f t="shared" si="4"/>
        <v>0</v>
      </c>
      <c r="X107">
        <f t="shared" si="5"/>
        <v>0</v>
      </c>
      <c r="Y107">
        <v>115</v>
      </c>
      <c r="Z107">
        <v>225</v>
      </c>
      <c r="AA107" t="s">
        <v>1316</v>
      </c>
      <c r="AB107" t="s">
        <v>1287</v>
      </c>
      <c r="AC107" t="s">
        <v>49</v>
      </c>
      <c r="AD107">
        <v>999</v>
      </c>
      <c r="AE107">
        <v>96</v>
      </c>
      <c r="AF107" t="s">
        <v>126</v>
      </c>
      <c r="AH107" t="s">
        <v>222</v>
      </c>
      <c r="AI107">
        <v>0</v>
      </c>
      <c r="AJ107" t="s">
        <v>52</v>
      </c>
      <c r="AK107" t="s">
        <v>1315</v>
      </c>
      <c r="AL107" t="s">
        <v>1317</v>
      </c>
      <c r="AM107" t="s">
        <v>143</v>
      </c>
      <c r="AN107" s="1">
        <v>45640</v>
      </c>
      <c r="AO107">
        <v>2024</v>
      </c>
      <c r="AP107">
        <v>12</v>
      </c>
      <c r="AQ107" t="s">
        <v>116</v>
      </c>
      <c r="AS107" t="s">
        <v>85</v>
      </c>
      <c r="AT107">
        <v>2025</v>
      </c>
      <c r="AU107" t="s">
        <v>438</v>
      </c>
      <c r="AV107" t="s">
        <v>143</v>
      </c>
      <c r="AW107" t="s">
        <v>1313</v>
      </c>
      <c r="AX107">
        <v>2025</v>
      </c>
      <c r="AY107" t="s">
        <v>1314</v>
      </c>
      <c r="AZ107" t="s">
        <v>1318</v>
      </c>
    </row>
    <row r="108" spans="1:52" x14ac:dyDescent="0.25">
      <c r="A108" t="s">
        <v>1320</v>
      </c>
      <c r="B108" s="1">
        <v>35317</v>
      </c>
      <c r="C108" t="s">
        <v>1321</v>
      </c>
      <c r="D108">
        <v>192457</v>
      </c>
      <c r="E108" t="s">
        <v>46</v>
      </c>
      <c r="F108" t="s">
        <v>199</v>
      </c>
      <c r="G108" t="s">
        <v>47</v>
      </c>
      <c r="H108" t="s">
        <v>1321</v>
      </c>
      <c r="I108" t="s">
        <v>1128</v>
      </c>
      <c r="J108">
        <v>130</v>
      </c>
      <c r="K108">
        <v>137</v>
      </c>
      <c r="L108">
        <v>-142</v>
      </c>
      <c r="M108">
        <v>137</v>
      </c>
      <c r="N108">
        <v>267</v>
      </c>
      <c r="O108" t="s">
        <v>60</v>
      </c>
      <c r="P108">
        <v>173</v>
      </c>
      <c r="Q108">
        <v>180</v>
      </c>
      <c r="R108">
        <v>0</v>
      </c>
      <c r="S108">
        <v>180</v>
      </c>
      <c r="T108">
        <v>353</v>
      </c>
      <c r="U108" t="s">
        <v>60</v>
      </c>
      <c r="V108">
        <f t="shared" si="3"/>
        <v>4</v>
      </c>
      <c r="W108">
        <f t="shared" si="4"/>
        <v>0</v>
      </c>
      <c r="X108">
        <f t="shared" si="5"/>
        <v>0</v>
      </c>
      <c r="Y108">
        <v>317</v>
      </c>
      <c r="Z108">
        <v>620</v>
      </c>
      <c r="AA108" t="s">
        <v>1323</v>
      </c>
      <c r="AB108" t="s">
        <v>1324</v>
      </c>
      <c r="AC108" t="s">
        <v>94</v>
      </c>
      <c r="AD108">
        <v>4</v>
      </c>
      <c r="AE108">
        <v>109</v>
      </c>
      <c r="AF108" t="s">
        <v>126</v>
      </c>
      <c r="AH108" t="s">
        <v>151</v>
      </c>
      <c r="AI108">
        <v>356.79</v>
      </c>
      <c r="AJ108" t="s">
        <v>52</v>
      </c>
      <c r="AK108" t="s">
        <v>199</v>
      </c>
      <c r="AL108" t="s">
        <v>203</v>
      </c>
      <c r="AM108" t="s">
        <v>53</v>
      </c>
      <c r="AN108" s="1">
        <v>45640</v>
      </c>
      <c r="AO108">
        <v>2024</v>
      </c>
      <c r="AP108">
        <v>12</v>
      </c>
      <c r="AQ108" t="s">
        <v>116</v>
      </c>
      <c r="AS108" t="s">
        <v>85</v>
      </c>
      <c r="AT108">
        <v>2025</v>
      </c>
      <c r="AU108" t="s">
        <v>47</v>
      </c>
      <c r="AV108" t="s">
        <v>54</v>
      </c>
      <c r="AW108" t="s">
        <v>1321</v>
      </c>
      <c r="AX108">
        <v>2025</v>
      </c>
      <c r="AY108" t="s">
        <v>1322</v>
      </c>
      <c r="AZ108" t="s">
        <v>1325</v>
      </c>
    </row>
    <row r="109" spans="1:52" x14ac:dyDescent="0.25">
      <c r="A109" t="s">
        <v>1327</v>
      </c>
      <c r="B109" s="1">
        <v>41175</v>
      </c>
      <c r="C109" t="s">
        <v>1328</v>
      </c>
      <c r="D109">
        <v>462442</v>
      </c>
      <c r="E109" t="s">
        <v>46</v>
      </c>
      <c r="F109" t="s">
        <v>1330</v>
      </c>
      <c r="G109" t="s">
        <v>134</v>
      </c>
      <c r="H109" t="s">
        <v>1328</v>
      </c>
      <c r="I109" t="s">
        <v>1331</v>
      </c>
      <c r="J109">
        <v>32</v>
      </c>
      <c r="K109">
        <v>34</v>
      </c>
      <c r="L109">
        <v>36</v>
      </c>
      <c r="M109">
        <v>36</v>
      </c>
      <c r="N109">
        <v>70</v>
      </c>
      <c r="O109" t="s">
        <v>48</v>
      </c>
      <c r="P109">
        <v>40</v>
      </c>
      <c r="Q109">
        <v>42</v>
      </c>
      <c r="R109">
        <v>44</v>
      </c>
      <c r="S109">
        <v>44</v>
      </c>
      <c r="T109">
        <v>86</v>
      </c>
      <c r="U109" t="s">
        <v>48</v>
      </c>
      <c r="V109">
        <f t="shared" si="3"/>
        <v>6</v>
      </c>
      <c r="W109">
        <f t="shared" si="4"/>
        <v>0</v>
      </c>
      <c r="X109">
        <f t="shared" si="5"/>
        <v>0</v>
      </c>
      <c r="Y109">
        <v>80</v>
      </c>
      <c r="Z109">
        <v>156</v>
      </c>
      <c r="AA109" t="s">
        <v>1329</v>
      </c>
      <c r="AB109" t="s">
        <v>1332</v>
      </c>
      <c r="AC109" t="s">
        <v>49</v>
      </c>
      <c r="AD109">
        <v>999</v>
      </c>
      <c r="AE109">
        <v>45</v>
      </c>
      <c r="AF109" t="s">
        <v>50</v>
      </c>
      <c r="AH109" t="s">
        <v>67</v>
      </c>
      <c r="AI109">
        <v>334.58</v>
      </c>
      <c r="AJ109" t="s">
        <v>52</v>
      </c>
      <c r="AK109" t="s">
        <v>1330</v>
      </c>
      <c r="AL109" t="s">
        <v>1333</v>
      </c>
      <c r="AM109" t="s">
        <v>53</v>
      </c>
      <c r="AN109" s="1">
        <v>45640</v>
      </c>
      <c r="AO109">
        <v>2024</v>
      </c>
      <c r="AP109">
        <v>12</v>
      </c>
      <c r="AQ109" t="s">
        <v>116</v>
      </c>
      <c r="AS109" t="s">
        <v>85</v>
      </c>
      <c r="AT109">
        <v>2025</v>
      </c>
      <c r="AU109" t="s">
        <v>134</v>
      </c>
      <c r="AV109" t="s">
        <v>54</v>
      </c>
      <c r="AW109" t="s">
        <v>1328</v>
      </c>
      <c r="AX109">
        <v>2025</v>
      </c>
      <c r="AY109" t="s">
        <v>1329</v>
      </c>
      <c r="AZ109" t="s">
        <v>1329</v>
      </c>
    </row>
    <row r="110" spans="1:52" x14ac:dyDescent="0.25">
      <c r="A110" t="s">
        <v>1334</v>
      </c>
      <c r="B110" s="1">
        <v>35096</v>
      </c>
      <c r="C110" t="s">
        <v>1335</v>
      </c>
      <c r="D110">
        <v>499115</v>
      </c>
      <c r="E110" t="s">
        <v>46</v>
      </c>
      <c r="F110" t="s">
        <v>837</v>
      </c>
      <c r="G110" t="s">
        <v>416</v>
      </c>
      <c r="H110" t="s">
        <v>1335</v>
      </c>
      <c r="I110" t="s">
        <v>1259</v>
      </c>
      <c r="J110">
        <v>102</v>
      </c>
      <c r="K110">
        <v>107</v>
      </c>
      <c r="L110">
        <v>111</v>
      </c>
      <c r="M110">
        <v>111</v>
      </c>
      <c r="N110">
        <v>218</v>
      </c>
      <c r="O110" t="s">
        <v>48</v>
      </c>
      <c r="P110">
        <v>127</v>
      </c>
      <c r="Q110">
        <v>-132</v>
      </c>
      <c r="R110">
        <v>135</v>
      </c>
      <c r="S110">
        <v>135</v>
      </c>
      <c r="T110">
        <v>262</v>
      </c>
      <c r="U110" t="s">
        <v>65</v>
      </c>
      <c r="V110">
        <f t="shared" si="3"/>
        <v>5</v>
      </c>
      <c r="W110">
        <f t="shared" si="4"/>
        <v>0</v>
      </c>
      <c r="X110">
        <f t="shared" si="5"/>
        <v>0</v>
      </c>
      <c r="Y110">
        <v>246</v>
      </c>
      <c r="Z110">
        <v>480</v>
      </c>
      <c r="AA110" t="s">
        <v>1336</v>
      </c>
      <c r="AB110" t="s">
        <v>1337</v>
      </c>
      <c r="AC110" t="s">
        <v>93</v>
      </c>
      <c r="AD110">
        <v>6</v>
      </c>
      <c r="AE110">
        <v>89</v>
      </c>
      <c r="AF110" t="s">
        <v>126</v>
      </c>
      <c r="AH110" t="s">
        <v>155</v>
      </c>
      <c r="AI110">
        <v>300.29000000000002</v>
      </c>
      <c r="AJ110" t="s">
        <v>52</v>
      </c>
      <c r="AK110" t="s">
        <v>837</v>
      </c>
      <c r="AL110" t="s">
        <v>840</v>
      </c>
      <c r="AM110" t="s">
        <v>173</v>
      </c>
      <c r="AN110" s="1">
        <v>45640</v>
      </c>
      <c r="AO110">
        <v>2024</v>
      </c>
      <c r="AP110">
        <v>12</v>
      </c>
      <c r="AQ110" t="s">
        <v>116</v>
      </c>
      <c r="AS110" t="s">
        <v>85</v>
      </c>
      <c r="AT110">
        <v>2025</v>
      </c>
      <c r="AU110" t="s">
        <v>416</v>
      </c>
      <c r="AV110" t="s">
        <v>173</v>
      </c>
      <c r="AW110" t="s">
        <v>1335</v>
      </c>
      <c r="AX110">
        <v>2025</v>
      </c>
      <c r="AY110" t="s">
        <v>1336</v>
      </c>
      <c r="AZ110" t="s">
        <v>1336</v>
      </c>
    </row>
    <row r="111" spans="1:52" x14ac:dyDescent="0.25">
      <c r="A111" t="s">
        <v>1343</v>
      </c>
      <c r="B111" s="1">
        <v>40471</v>
      </c>
      <c r="C111" t="s">
        <v>1344</v>
      </c>
      <c r="D111">
        <v>479424</v>
      </c>
      <c r="E111" t="s">
        <v>46</v>
      </c>
      <c r="F111" t="s">
        <v>529</v>
      </c>
      <c r="G111" t="s">
        <v>255</v>
      </c>
      <c r="H111" t="s">
        <v>1344</v>
      </c>
      <c r="I111" t="s">
        <v>359</v>
      </c>
      <c r="J111">
        <v>30</v>
      </c>
      <c r="K111">
        <v>32</v>
      </c>
      <c r="L111">
        <v>34</v>
      </c>
      <c r="M111">
        <v>34</v>
      </c>
      <c r="N111">
        <v>66</v>
      </c>
      <c r="O111" t="s">
        <v>48</v>
      </c>
      <c r="P111">
        <v>42</v>
      </c>
      <c r="Q111">
        <v>45</v>
      </c>
      <c r="R111">
        <v>-47</v>
      </c>
      <c r="S111">
        <v>45</v>
      </c>
      <c r="T111">
        <v>87</v>
      </c>
      <c r="U111" t="s">
        <v>60</v>
      </c>
      <c r="V111">
        <f t="shared" si="3"/>
        <v>5</v>
      </c>
      <c r="W111">
        <f t="shared" si="4"/>
        <v>0</v>
      </c>
      <c r="X111">
        <f t="shared" si="5"/>
        <v>0</v>
      </c>
      <c r="Y111">
        <v>79</v>
      </c>
      <c r="Z111">
        <v>153</v>
      </c>
      <c r="AA111" t="s">
        <v>1345</v>
      </c>
      <c r="AB111" t="s">
        <v>1346</v>
      </c>
      <c r="AC111" t="s">
        <v>93</v>
      </c>
      <c r="AD111">
        <v>6</v>
      </c>
      <c r="AE111">
        <v>59</v>
      </c>
      <c r="AF111" t="s">
        <v>57</v>
      </c>
      <c r="AH111" t="s">
        <v>525</v>
      </c>
      <c r="AI111">
        <v>108.88</v>
      </c>
      <c r="AJ111" t="s">
        <v>132</v>
      </c>
      <c r="AK111" t="s">
        <v>529</v>
      </c>
      <c r="AL111" t="s">
        <v>531</v>
      </c>
      <c r="AM111" t="s">
        <v>68</v>
      </c>
      <c r="AN111" s="1">
        <v>45640</v>
      </c>
      <c r="AO111">
        <v>2024</v>
      </c>
      <c r="AP111">
        <v>12</v>
      </c>
      <c r="AQ111" t="s">
        <v>116</v>
      </c>
      <c r="AS111" t="s">
        <v>85</v>
      </c>
      <c r="AT111">
        <v>2025</v>
      </c>
      <c r="AU111" t="s">
        <v>255</v>
      </c>
      <c r="AV111" t="s">
        <v>68</v>
      </c>
      <c r="AW111" t="s">
        <v>1344</v>
      </c>
      <c r="AX111">
        <v>2025</v>
      </c>
      <c r="AY111" t="s">
        <v>1345</v>
      </c>
      <c r="AZ111" t="s">
        <v>1345</v>
      </c>
    </row>
    <row r="112" spans="1:52" x14ac:dyDescent="0.25">
      <c r="A112" t="s">
        <v>1347</v>
      </c>
      <c r="B112" s="1">
        <v>37621</v>
      </c>
      <c r="C112" t="s">
        <v>1348</v>
      </c>
      <c r="D112">
        <v>465962</v>
      </c>
      <c r="E112" t="s">
        <v>46</v>
      </c>
      <c r="F112" t="s">
        <v>1350</v>
      </c>
      <c r="G112" t="s">
        <v>490</v>
      </c>
      <c r="H112" t="s">
        <v>1348</v>
      </c>
      <c r="I112">
        <v>47</v>
      </c>
      <c r="J112">
        <v>50</v>
      </c>
      <c r="K112">
        <v>52</v>
      </c>
      <c r="L112">
        <v>-53</v>
      </c>
      <c r="M112">
        <v>52</v>
      </c>
      <c r="N112">
        <v>102</v>
      </c>
      <c r="O112" t="s">
        <v>60</v>
      </c>
      <c r="P112">
        <v>60</v>
      </c>
      <c r="Q112">
        <v>63</v>
      </c>
      <c r="R112">
        <v>0</v>
      </c>
      <c r="S112">
        <v>63</v>
      </c>
      <c r="T112">
        <v>123</v>
      </c>
      <c r="U112" t="s">
        <v>60</v>
      </c>
      <c r="V112">
        <f t="shared" si="3"/>
        <v>4</v>
      </c>
      <c r="W112">
        <f t="shared" si="4"/>
        <v>0</v>
      </c>
      <c r="X112">
        <f t="shared" si="5"/>
        <v>0</v>
      </c>
      <c r="Y112">
        <v>115</v>
      </c>
      <c r="Z112">
        <v>225</v>
      </c>
      <c r="AA112" t="s">
        <v>1349</v>
      </c>
      <c r="AB112" t="s">
        <v>1351</v>
      </c>
      <c r="AC112" t="s">
        <v>89</v>
      </c>
      <c r="AD112">
        <v>5</v>
      </c>
      <c r="AE112">
        <v>49</v>
      </c>
      <c r="AF112" t="s">
        <v>126</v>
      </c>
      <c r="AH112" t="s">
        <v>195</v>
      </c>
      <c r="AI112">
        <v>185.87</v>
      </c>
      <c r="AJ112" t="s">
        <v>132</v>
      </c>
      <c r="AK112" t="s">
        <v>1350</v>
      </c>
      <c r="AL112" t="s">
        <v>1352</v>
      </c>
      <c r="AM112" t="s">
        <v>90</v>
      </c>
      <c r="AN112" s="1">
        <v>45640</v>
      </c>
      <c r="AO112">
        <v>2024</v>
      </c>
      <c r="AP112">
        <v>12</v>
      </c>
      <c r="AQ112" t="s">
        <v>116</v>
      </c>
      <c r="AS112" t="s">
        <v>85</v>
      </c>
      <c r="AT112">
        <v>2025</v>
      </c>
      <c r="AU112" t="s">
        <v>490</v>
      </c>
      <c r="AV112" t="s">
        <v>91</v>
      </c>
      <c r="AW112" t="s">
        <v>1348</v>
      </c>
      <c r="AX112">
        <v>2025</v>
      </c>
      <c r="AY112" t="s">
        <v>1349</v>
      </c>
      <c r="AZ112" t="s">
        <v>1349</v>
      </c>
    </row>
    <row r="113" spans="1:52" x14ac:dyDescent="0.25">
      <c r="A113" t="s">
        <v>1353</v>
      </c>
      <c r="B113" s="1">
        <v>41850</v>
      </c>
      <c r="C113" t="s">
        <v>1354</v>
      </c>
      <c r="D113">
        <v>501308</v>
      </c>
      <c r="E113" t="s">
        <v>46</v>
      </c>
      <c r="F113" t="s">
        <v>199</v>
      </c>
      <c r="G113" t="s">
        <v>47</v>
      </c>
      <c r="H113" t="s">
        <v>1354</v>
      </c>
      <c r="I113" t="s">
        <v>378</v>
      </c>
      <c r="J113">
        <v>12</v>
      </c>
      <c r="K113">
        <v>13</v>
      </c>
      <c r="L113">
        <v>15</v>
      </c>
      <c r="M113">
        <v>15</v>
      </c>
      <c r="N113">
        <v>28</v>
      </c>
      <c r="O113" t="s">
        <v>48</v>
      </c>
      <c r="P113">
        <v>16</v>
      </c>
      <c r="Q113">
        <v>18</v>
      </c>
      <c r="R113">
        <v>20</v>
      </c>
      <c r="S113">
        <v>20</v>
      </c>
      <c r="T113">
        <v>38</v>
      </c>
      <c r="U113" t="s">
        <v>48</v>
      </c>
      <c r="V113">
        <f t="shared" si="3"/>
        <v>6</v>
      </c>
      <c r="W113">
        <f t="shared" si="4"/>
        <v>0</v>
      </c>
      <c r="X113">
        <f t="shared" si="5"/>
        <v>0</v>
      </c>
      <c r="Y113">
        <v>35</v>
      </c>
      <c r="Z113">
        <v>66</v>
      </c>
      <c r="AA113" t="s">
        <v>1356</v>
      </c>
      <c r="AB113" t="s">
        <v>1357</v>
      </c>
      <c r="AC113" t="s">
        <v>49</v>
      </c>
      <c r="AD113">
        <v>999</v>
      </c>
      <c r="AE113">
        <v>59</v>
      </c>
      <c r="AF113" t="s">
        <v>50</v>
      </c>
      <c r="AH113" t="s">
        <v>759</v>
      </c>
      <c r="AI113">
        <v>90.4</v>
      </c>
      <c r="AJ113" t="s">
        <v>132</v>
      </c>
      <c r="AK113" t="s">
        <v>199</v>
      </c>
      <c r="AL113" t="s">
        <v>203</v>
      </c>
      <c r="AM113" t="s">
        <v>53</v>
      </c>
      <c r="AN113" s="1">
        <v>45640</v>
      </c>
      <c r="AO113">
        <v>2024</v>
      </c>
      <c r="AP113">
        <v>12</v>
      </c>
      <c r="AQ113" t="s">
        <v>116</v>
      </c>
      <c r="AS113" t="s">
        <v>85</v>
      </c>
      <c r="AT113">
        <v>2025</v>
      </c>
      <c r="AU113" t="s">
        <v>47</v>
      </c>
      <c r="AV113" t="s">
        <v>54</v>
      </c>
      <c r="AW113" t="s">
        <v>1354</v>
      </c>
      <c r="AX113">
        <v>2025</v>
      </c>
      <c r="AY113" t="s">
        <v>1355</v>
      </c>
      <c r="AZ113" t="s">
        <v>1355</v>
      </c>
    </row>
    <row r="114" spans="1:52" x14ac:dyDescent="0.25">
      <c r="A114" t="s">
        <v>1358</v>
      </c>
      <c r="B114" s="1">
        <v>40935</v>
      </c>
      <c r="C114" t="s">
        <v>1359</v>
      </c>
      <c r="D114">
        <v>503075</v>
      </c>
      <c r="E114" t="s">
        <v>46</v>
      </c>
      <c r="F114" t="s">
        <v>1360</v>
      </c>
      <c r="G114" t="s">
        <v>78</v>
      </c>
      <c r="H114" t="s">
        <v>1359</v>
      </c>
      <c r="I114" t="s">
        <v>1361</v>
      </c>
      <c r="J114">
        <v>10</v>
      </c>
      <c r="K114">
        <v>12</v>
      </c>
      <c r="L114">
        <v>14</v>
      </c>
      <c r="M114">
        <v>14</v>
      </c>
      <c r="N114">
        <v>26</v>
      </c>
      <c r="O114" t="s">
        <v>48</v>
      </c>
      <c r="P114">
        <v>12</v>
      </c>
      <c r="Q114">
        <v>14</v>
      </c>
      <c r="R114">
        <v>16</v>
      </c>
      <c r="S114">
        <v>16</v>
      </c>
      <c r="T114">
        <v>30</v>
      </c>
      <c r="U114" t="s">
        <v>48</v>
      </c>
      <c r="V114">
        <f t="shared" si="3"/>
        <v>6</v>
      </c>
      <c r="W114">
        <f t="shared" si="4"/>
        <v>0</v>
      </c>
      <c r="X114">
        <f t="shared" si="5"/>
        <v>0</v>
      </c>
      <c r="Y114">
        <v>30</v>
      </c>
      <c r="Z114">
        <v>56</v>
      </c>
      <c r="AA114" t="s">
        <v>1362</v>
      </c>
      <c r="AB114" t="s">
        <v>1363</v>
      </c>
      <c r="AC114" t="s">
        <v>49</v>
      </c>
      <c r="AD114">
        <v>999</v>
      </c>
      <c r="AE114">
        <v>64</v>
      </c>
      <c r="AF114" t="s">
        <v>50</v>
      </c>
      <c r="AH114" t="s">
        <v>131</v>
      </c>
      <c r="AI114">
        <v>74.959999999999994</v>
      </c>
      <c r="AJ114" t="s">
        <v>132</v>
      </c>
      <c r="AK114" t="s">
        <v>1360</v>
      </c>
      <c r="AL114" t="s">
        <v>1364</v>
      </c>
      <c r="AM114" t="s">
        <v>68</v>
      </c>
      <c r="AN114" s="1">
        <v>45640</v>
      </c>
      <c r="AO114">
        <v>2024</v>
      </c>
      <c r="AP114">
        <v>12</v>
      </c>
      <c r="AQ114" t="s">
        <v>116</v>
      </c>
      <c r="AS114" t="s">
        <v>85</v>
      </c>
      <c r="AT114">
        <v>2025</v>
      </c>
      <c r="AU114" t="s">
        <v>78</v>
      </c>
      <c r="AV114" t="s">
        <v>68</v>
      </c>
      <c r="AW114" t="s">
        <v>1359</v>
      </c>
      <c r="AX114">
        <v>2025</v>
      </c>
      <c r="AY114" t="s">
        <v>1362</v>
      </c>
      <c r="AZ114" t="s">
        <v>1362</v>
      </c>
    </row>
    <row r="115" spans="1:52" x14ac:dyDescent="0.25">
      <c r="A115" t="s">
        <v>1365</v>
      </c>
      <c r="B115" s="1">
        <v>37773</v>
      </c>
      <c r="C115" t="s">
        <v>1366</v>
      </c>
      <c r="D115">
        <v>466517</v>
      </c>
      <c r="E115" t="s">
        <v>46</v>
      </c>
      <c r="F115" t="s">
        <v>1173</v>
      </c>
      <c r="G115" t="s">
        <v>660</v>
      </c>
      <c r="H115" t="s">
        <v>1366</v>
      </c>
      <c r="I115" t="s">
        <v>1369</v>
      </c>
      <c r="J115">
        <v>-70</v>
      </c>
      <c r="K115">
        <v>70</v>
      </c>
      <c r="L115">
        <v>-73</v>
      </c>
      <c r="M115">
        <v>70</v>
      </c>
      <c r="N115">
        <v>0</v>
      </c>
      <c r="O115" t="s">
        <v>104</v>
      </c>
      <c r="P115">
        <v>85</v>
      </c>
      <c r="Q115">
        <v>-88</v>
      </c>
      <c r="R115">
        <v>0</v>
      </c>
      <c r="S115">
        <v>85</v>
      </c>
      <c r="T115">
        <v>0</v>
      </c>
      <c r="U115" t="s">
        <v>55</v>
      </c>
      <c r="V115">
        <f t="shared" si="3"/>
        <v>2</v>
      </c>
      <c r="W115">
        <f t="shared" si="4"/>
        <v>0</v>
      </c>
      <c r="X115">
        <f t="shared" si="5"/>
        <v>0</v>
      </c>
      <c r="Y115">
        <v>155</v>
      </c>
      <c r="Z115">
        <v>0</v>
      </c>
      <c r="AA115" t="s">
        <v>1370</v>
      </c>
      <c r="AB115" t="s">
        <v>99</v>
      </c>
      <c r="AC115" t="s">
        <v>94</v>
      </c>
      <c r="AD115">
        <v>4</v>
      </c>
      <c r="AE115">
        <v>59</v>
      </c>
      <c r="AF115" t="s">
        <v>126</v>
      </c>
      <c r="AH115" t="s">
        <v>202</v>
      </c>
      <c r="AI115">
        <v>212.11</v>
      </c>
      <c r="AJ115" t="s">
        <v>132</v>
      </c>
      <c r="AK115" t="s">
        <v>1173</v>
      </c>
      <c r="AL115" t="s">
        <v>1177</v>
      </c>
      <c r="AM115" t="s">
        <v>173</v>
      </c>
      <c r="AN115" s="1">
        <v>45641</v>
      </c>
      <c r="AO115">
        <v>2024</v>
      </c>
      <c r="AP115">
        <v>12</v>
      </c>
      <c r="AQ115" t="s">
        <v>116</v>
      </c>
      <c r="AS115" t="s">
        <v>85</v>
      </c>
      <c r="AT115">
        <v>2025</v>
      </c>
      <c r="AU115" t="s">
        <v>660</v>
      </c>
      <c r="AV115" t="s">
        <v>173</v>
      </c>
      <c r="AW115" t="s">
        <v>1366</v>
      </c>
      <c r="AX115">
        <v>2025</v>
      </c>
      <c r="AY115" t="s">
        <v>1367</v>
      </c>
      <c r="AZ115" t="s">
        <v>1367</v>
      </c>
    </row>
    <row r="116" spans="1:52" x14ac:dyDescent="0.25">
      <c r="A116" t="s">
        <v>1375</v>
      </c>
      <c r="B116" s="1">
        <v>40385</v>
      </c>
      <c r="C116" t="s">
        <v>1376</v>
      </c>
      <c r="D116">
        <v>501693</v>
      </c>
      <c r="E116" t="s">
        <v>46</v>
      </c>
      <c r="F116" t="s">
        <v>518</v>
      </c>
      <c r="G116" t="s">
        <v>519</v>
      </c>
      <c r="H116" t="s">
        <v>1376</v>
      </c>
      <c r="I116" t="s">
        <v>610</v>
      </c>
      <c r="J116">
        <v>-33</v>
      </c>
      <c r="K116">
        <v>-33</v>
      </c>
      <c r="L116">
        <v>33</v>
      </c>
      <c r="M116">
        <v>33</v>
      </c>
      <c r="N116">
        <v>0</v>
      </c>
      <c r="O116" t="s">
        <v>102</v>
      </c>
      <c r="P116">
        <v>42</v>
      </c>
      <c r="Q116">
        <v>45</v>
      </c>
      <c r="R116">
        <v>48</v>
      </c>
      <c r="S116">
        <v>48</v>
      </c>
      <c r="T116">
        <v>93</v>
      </c>
      <c r="U116" t="s">
        <v>48</v>
      </c>
      <c r="V116">
        <f t="shared" si="3"/>
        <v>4</v>
      </c>
      <c r="W116">
        <f t="shared" si="4"/>
        <v>1</v>
      </c>
      <c r="X116">
        <f t="shared" si="5"/>
        <v>0</v>
      </c>
      <c r="Y116">
        <v>81</v>
      </c>
      <c r="Z116">
        <v>93</v>
      </c>
      <c r="AA116" t="s">
        <v>1377</v>
      </c>
      <c r="AB116" t="s">
        <v>1378</v>
      </c>
      <c r="AC116" t="s">
        <v>89</v>
      </c>
      <c r="AD116">
        <v>5</v>
      </c>
      <c r="AE116">
        <v>49</v>
      </c>
      <c r="AF116" t="s">
        <v>57</v>
      </c>
      <c r="AH116" t="s">
        <v>784</v>
      </c>
      <c r="AI116">
        <v>129.26</v>
      </c>
      <c r="AJ116" t="s">
        <v>132</v>
      </c>
      <c r="AK116" t="s">
        <v>518</v>
      </c>
      <c r="AL116" t="s">
        <v>522</v>
      </c>
      <c r="AM116" t="s">
        <v>177</v>
      </c>
      <c r="AN116" s="1">
        <v>45640</v>
      </c>
      <c r="AO116">
        <v>2024</v>
      </c>
      <c r="AP116">
        <v>12</v>
      </c>
      <c r="AQ116" t="s">
        <v>116</v>
      </c>
      <c r="AS116" t="s">
        <v>85</v>
      </c>
      <c r="AT116">
        <v>2025</v>
      </c>
      <c r="AU116" t="s">
        <v>519</v>
      </c>
      <c r="AV116" t="s">
        <v>177</v>
      </c>
      <c r="AW116" t="s">
        <v>1376</v>
      </c>
      <c r="AX116">
        <v>2025</v>
      </c>
      <c r="AY116" t="s">
        <v>1379</v>
      </c>
      <c r="AZ116" t="s">
        <v>1379</v>
      </c>
    </row>
    <row r="117" spans="1:52" x14ac:dyDescent="0.25">
      <c r="A117" t="s">
        <v>1380</v>
      </c>
      <c r="B117" s="1">
        <v>40238</v>
      </c>
      <c r="C117" t="s">
        <v>1381</v>
      </c>
      <c r="D117">
        <v>483074</v>
      </c>
      <c r="E117" t="s">
        <v>46</v>
      </c>
      <c r="F117" t="s">
        <v>1383</v>
      </c>
      <c r="G117" t="s">
        <v>744</v>
      </c>
      <c r="H117" t="s">
        <v>1381</v>
      </c>
      <c r="I117" t="s">
        <v>1384</v>
      </c>
      <c r="J117">
        <v>40</v>
      </c>
      <c r="K117">
        <v>42</v>
      </c>
      <c r="L117">
        <v>44</v>
      </c>
      <c r="M117">
        <v>44</v>
      </c>
      <c r="N117">
        <v>86</v>
      </c>
      <c r="O117" t="s">
        <v>48</v>
      </c>
      <c r="P117">
        <v>50</v>
      </c>
      <c r="Q117">
        <v>53</v>
      </c>
      <c r="R117">
        <v>-56</v>
      </c>
      <c r="S117">
        <v>53</v>
      </c>
      <c r="T117">
        <v>103</v>
      </c>
      <c r="U117" t="s">
        <v>60</v>
      </c>
      <c r="V117">
        <f t="shared" si="3"/>
        <v>5</v>
      </c>
      <c r="W117">
        <f t="shared" si="4"/>
        <v>0</v>
      </c>
      <c r="X117">
        <f t="shared" si="5"/>
        <v>0</v>
      </c>
      <c r="Y117">
        <v>97</v>
      </c>
      <c r="Z117">
        <v>189</v>
      </c>
      <c r="AA117" t="s">
        <v>1382</v>
      </c>
      <c r="AB117" t="s">
        <v>1385</v>
      </c>
      <c r="AC117" t="s">
        <v>89</v>
      </c>
      <c r="AD117">
        <v>5</v>
      </c>
      <c r="AE117">
        <v>55</v>
      </c>
      <c r="AF117" t="s">
        <v>57</v>
      </c>
      <c r="AH117" t="s">
        <v>172</v>
      </c>
      <c r="AI117">
        <v>139.69999999999999</v>
      </c>
      <c r="AJ117" t="s">
        <v>132</v>
      </c>
      <c r="AK117" t="s">
        <v>1383</v>
      </c>
      <c r="AL117" t="s">
        <v>1386</v>
      </c>
      <c r="AM117" t="s">
        <v>68</v>
      </c>
      <c r="AN117" s="1">
        <v>45640</v>
      </c>
      <c r="AO117">
        <v>2024</v>
      </c>
      <c r="AP117">
        <v>12</v>
      </c>
      <c r="AQ117" t="s">
        <v>116</v>
      </c>
      <c r="AS117" t="s">
        <v>85</v>
      </c>
      <c r="AT117">
        <v>2025</v>
      </c>
      <c r="AU117" t="s">
        <v>744</v>
      </c>
      <c r="AV117" t="s">
        <v>68</v>
      </c>
      <c r="AW117" t="s">
        <v>1381</v>
      </c>
      <c r="AX117">
        <v>2025</v>
      </c>
      <c r="AY117" t="s">
        <v>1382</v>
      </c>
      <c r="AZ117" t="s">
        <v>1382</v>
      </c>
    </row>
    <row r="118" spans="1:52" x14ac:dyDescent="0.25">
      <c r="A118" t="s">
        <v>1387</v>
      </c>
      <c r="B118" s="1">
        <v>36934</v>
      </c>
      <c r="C118" t="s">
        <v>1388</v>
      </c>
      <c r="D118">
        <v>503659</v>
      </c>
      <c r="E118" t="s">
        <v>46</v>
      </c>
      <c r="F118" t="s">
        <v>1173</v>
      </c>
      <c r="G118" t="s">
        <v>449</v>
      </c>
      <c r="H118" t="s">
        <v>1388</v>
      </c>
      <c r="I118" t="s">
        <v>910</v>
      </c>
      <c r="J118">
        <v>48</v>
      </c>
      <c r="K118">
        <v>52</v>
      </c>
      <c r="L118">
        <v>55</v>
      </c>
      <c r="M118">
        <v>55</v>
      </c>
      <c r="N118">
        <v>107</v>
      </c>
      <c r="O118" t="s">
        <v>48</v>
      </c>
      <c r="P118">
        <v>68</v>
      </c>
      <c r="Q118">
        <v>-72</v>
      </c>
      <c r="R118">
        <v>-72</v>
      </c>
      <c r="S118">
        <v>68</v>
      </c>
      <c r="T118">
        <v>0</v>
      </c>
      <c r="U118" t="s">
        <v>55</v>
      </c>
      <c r="V118">
        <f t="shared" si="3"/>
        <v>4</v>
      </c>
      <c r="W118">
        <f t="shared" si="4"/>
        <v>0</v>
      </c>
      <c r="X118">
        <f t="shared" si="5"/>
        <v>0</v>
      </c>
      <c r="Y118">
        <v>123</v>
      </c>
      <c r="Z118">
        <v>107</v>
      </c>
      <c r="AA118" t="s">
        <v>1389</v>
      </c>
      <c r="AB118" t="s">
        <v>1390</v>
      </c>
      <c r="AC118" t="s">
        <v>93</v>
      </c>
      <c r="AD118">
        <v>6</v>
      </c>
      <c r="AE118">
        <v>59</v>
      </c>
      <c r="AF118" t="s">
        <v>126</v>
      </c>
      <c r="AH118" t="s">
        <v>202</v>
      </c>
      <c r="AI118">
        <v>169.59</v>
      </c>
      <c r="AJ118" t="s">
        <v>132</v>
      </c>
      <c r="AK118" t="s">
        <v>1173</v>
      </c>
      <c r="AL118" t="s">
        <v>1177</v>
      </c>
      <c r="AM118" t="s">
        <v>173</v>
      </c>
      <c r="AN118" s="1">
        <v>45641</v>
      </c>
      <c r="AO118">
        <v>2024</v>
      </c>
      <c r="AP118">
        <v>12</v>
      </c>
      <c r="AQ118" t="s">
        <v>116</v>
      </c>
      <c r="AS118" t="s">
        <v>85</v>
      </c>
      <c r="AT118">
        <v>2025</v>
      </c>
      <c r="AU118" t="s">
        <v>449</v>
      </c>
      <c r="AV118" t="s">
        <v>173</v>
      </c>
      <c r="AW118" t="s">
        <v>1388</v>
      </c>
      <c r="AX118">
        <v>2025</v>
      </c>
      <c r="AY118" t="s">
        <v>1389</v>
      </c>
      <c r="AZ118" t="s">
        <v>1389</v>
      </c>
    </row>
    <row r="119" spans="1:52" x14ac:dyDescent="0.25">
      <c r="A119" t="s">
        <v>1391</v>
      </c>
      <c r="B119" s="1">
        <v>41083</v>
      </c>
      <c r="C119" t="s">
        <v>1392</v>
      </c>
      <c r="D119">
        <v>495990</v>
      </c>
      <c r="E119" t="s">
        <v>46</v>
      </c>
      <c r="F119" t="s">
        <v>1394</v>
      </c>
      <c r="G119" t="s">
        <v>142</v>
      </c>
      <c r="H119" t="s">
        <v>1392</v>
      </c>
      <c r="I119" t="s">
        <v>822</v>
      </c>
      <c r="J119">
        <v>24</v>
      </c>
      <c r="K119">
        <v>26</v>
      </c>
      <c r="L119">
        <v>28</v>
      </c>
      <c r="M119">
        <v>28</v>
      </c>
      <c r="N119">
        <v>54</v>
      </c>
      <c r="O119" t="s">
        <v>48</v>
      </c>
      <c r="P119">
        <v>30</v>
      </c>
      <c r="Q119">
        <v>32</v>
      </c>
      <c r="R119">
        <v>34</v>
      </c>
      <c r="S119">
        <v>34</v>
      </c>
      <c r="T119">
        <v>66</v>
      </c>
      <c r="U119" t="s">
        <v>48</v>
      </c>
      <c r="V119">
        <f t="shared" si="3"/>
        <v>6</v>
      </c>
      <c r="W119">
        <f t="shared" si="4"/>
        <v>0</v>
      </c>
      <c r="X119">
        <f t="shared" si="5"/>
        <v>0</v>
      </c>
      <c r="Y119">
        <v>62</v>
      </c>
      <c r="Z119">
        <v>120</v>
      </c>
      <c r="AA119" t="s">
        <v>1393</v>
      </c>
      <c r="AB119" t="s">
        <v>1395</v>
      </c>
      <c r="AC119" t="s">
        <v>49</v>
      </c>
      <c r="AD119">
        <v>999</v>
      </c>
      <c r="AE119">
        <v>49</v>
      </c>
      <c r="AF119" t="s">
        <v>50</v>
      </c>
      <c r="AH119" t="s">
        <v>74</v>
      </c>
      <c r="AI119">
        <v>219.76</v>
      </c>
      <c r="AJ119" t="s">
        <v>52</v>
      </c>
      <c r="AK119" t="s">
        <v>1394</v>
      </c>
      <c r="AL119" t="s">
        <v>1396</v>
      </c>
      <c r="AM119" t="s">
        <v>143</v>
      </c>
      <c r="AN119" s="1">
        <v>45640</v>
      </c>
      <c r="AO119">
        <v>2024</v>
      </c>
      <c r="AP119">
        <v>12</v>
      </c>
      <c r="AQ119" t="s">
        <v>116</v>
      </c>
      <c r="AS119" t="s">
        <v>85</v>
      </c>
      <c r="AT119">
        <v>2025</v>
      </c>
      <c r="AU119" t="s">
        <v>142</v>
      </c>
      <c r="AV119" t="s">
        <v>143</v>
      </c>
      <c r="AW119" t="s">
        <v>1392</v>
      </c>
      <c r="AX119">
        <v>2025</v>
      </c>
      <c r="AY119" t="s">
        <v>1393</v>
      </c>
      <c r="AZ119" t="s">
        <v>1393</v>
      </c>
    </row>
    <row r="120" spans="1:52" x14ac:dyDescent="0.25">
      <c r="A120" t="s">
        <v>1397</v>
      </c>
      <c r="B120" s="1">
        <v>36935</v>
      </c>
      <c r="C120" t="s">
        <v>1398</v>
      </c>
      <c r="D120">
        <v>401200</v>
      </c>
      <c r="E120" t="s">
        <v>46</v>
      </c>
      <c r="F120" t="s">
        <v>1400</v>
      </c>
      <c r="G120" t="s">
        <v>536</v>
      </c>
      <c r="H120" t="s">
        <v>1398</v>
      </c>
      <c r="I120" t="s">
        <v>248</v>
      </c>
      <c r="J120">
        <v>112</v>
      </c>
      <c r="K120">
        <v>116</v>
      </c>
      <c r="L120">
        <v>120</v>
      </c>
      <c r="M120">
        <v>120</v>
      </c>
      <c r="N120">
        <v>236</v>
      </c>
      <c r="O120" t="s">
        <v>48</v>
      </c>
      <c r="P120">
        <v>140</v>
      </c>
      <c r="Q120">
        <v>-146</v>
      </c>
      <c r="R120">
        <v>0</v>
      </c>
      <c r="S120">
        <v>140</v>
      </c>
      <c r="T120">
        <v>0</v>
      </c>
      <c r="U120" t="s">
        <v>55</v>
      </c>
      <c r="V120">
        <f t="shared" si="3"/>
        <v>4</v>
      </c>
      <c r="W120">
        <f t="shared" si="4"/>
        <v>0</v>
      </c>
      <c r="X120">
        <f t="shared" si="5"/>
        <v>0</v>
      </c>
      <c r="Y120">
        <v>260</v>
      </c>
      <c r="Z120">
        <v>236</v>
      </c>
      <c r="AA120" t="s">
        <v>1399</v>
      </c>
      <c r="AB120" t="s">
        <v>1401</v>
      </c>
      <c r="AC120" t="s">
        <v>94</v>
      </c>
      <c r="AD120">
        <v>4</v>
      </c>
      <c r="AE120">
        <v>73</v>
      </c>
      <c r="AF120" t="s">
        <v>126</v>
      </c>
      <c r="AH120" t="s">
        <v>141</v>
      </c>
      <c r="AI120">
        <v>350.77</v>
      </c>
      <c r="AJ120" t="s">
        <v>52</v>
      </c>
      <c r="AK120" t="s">
        <v>1400</v>
      </c>
      <c r="AL120" t="s">
        <v>1402</v>
      </c>
      <c r="AM120" t="s">
        <v>128</v>
      </c>
      <c r="AN120" s="1">
        <v>45640</v>
      </c>
      <c r="AO120">
        <v>2024</v>
      </c>
      <c r="AP120">
        <v>12</v>
      </c>
      <c r="AQ120" t="s">
        <v>116</v>
      </c>
      <c r="AS120" t="s">
        <v>85</v>
      </c>
      <c r="AT120">
        <v>2025</v>
      </c>
      <c r="AU120" t="s">
        <v>536</v>
      </c>
      <c r="AV120" t="s">
        <v>128</v>
      </c>
      <c r="AW120" t="s">
        <v>1398</v>
      </c>
      <c r="AX120">
        <v>2025</v>
      </c>
      <c r="AY120" t="s">
        <v>1399</v>
      </c>
      <c r="AZ120" t="s">
        <v>1399</v>
      </c>
    </row>
    <row r="121" spans="1:52" x14ac:dyDescent="0.25">
      <c r="A121" t="s">
        <v>1404</v>
      </c>
      <c r="B121" s="1">
        <v>40959</v>
      </c>
      <c r="C121" t="s">
        <v>1405</v>
      </c>
      <c r="D121">
        <v>490627</v>
      </c>
      <c r="E121" t="s">
        <v>46</v>
      </c>
      <c r="F121" t="s">
        <v>760</v>
      </c>
      <c r="G121" t="s">
        <v>329</v>
      </c>
      <c r="H121" t="s">
        <v>1405</v>
      </c>
      <c r="I121" t="s">
        <v>1409</v>
      </c>
      <c r="J121">
        <v>17</v>
      </c>
      <c r="K121">
        <v>19</v>
      </c>
      <c r="L121">
        <v>-21</v>
      </c>
      <c r="M121">
        <v>19</v>
      </c>
      <c r="N121">
        <v>36</v>
      </c>
      <c r="O121" t="s">
        <v>60</v>
      </c>
      <c r="P121">
        <v>24</v>
      </c>
      <c r="Q121">
        <v>26</v>
      </c>
      <c r="R121">
        <v>-28</v>
      </c>
      <c r="S121">
        <v>26</v>
      </c>
      <c r="T121">
        <v>50</v>
      </c>
      <c r="U121" t="s">
        <v>60</v>
      </c>
      <c r="V121">
        <f t="shared" si="3"/>
        <v>4</v>
      </c>
      <c r="W121">
        <f t="shared" si="4"/>
        <v>0</v>
      </c>
      <c r="X121">
        <f t="shared" si="5"/>
        <v>0</v>
      </c>
      <c r="Y121">
        <v>45</v>
      </c>
      <c r="Z121">
        <v>86</v>
      </c>
      <c r="AA121" t="s">
        <v>1407</v>
      </c>
      <c r="AB121" t="s">
        <v>1410</v>
      </c>
      <c r="AC121" t="s">
        <v>49</v>
      </c>
      <c r="AD121">
        <v>999</v>
      </c>
      <c r="AE121">
        <v>45</v>
      </c>
      <c r="AF121" t="s">
        <v>50</v>
      </c>
      <c r="AH121" t="s">
        <v>206</v>
      </c>
      <c r="AI121">
        <v>154.83000000000001</v>
      </c>
      <c r="AJ121" t="s">
        <v>132</v>
      </c>
      <c r="AK121" t="s">
        <v>760</v>
      </c>
      <c r="AL121" t="s">
        <v>763</v>
      </c>
      <c r="AM121" t="s">
        <v>133</v>
      </c>
      <c r="AN121" s="1">
        <v>45640</v>
      </c>
      <c r="AO121">
        <v>2024</v>
      </c>
      <c r="AP121">
        <v>12</v>
      </c>
      <c r="AQ121" t="s">
        <v>116</v>
      </c>
      <c r="AS121" t="s">
        <v>85</v>
      </c>
      <c r="AT121">
        <v>2025</v>
      </c>
      <c r="AU121" t="s">
        <v>329</v>
      </c>
      <c r="AV121" t="s">
        <v>133</v>
      </c>
      <c r="AW121" t="s">
        <v>1405</v>
      </c>
      <c r="AX121">
        <v>2025</v>
      </c>
      <c r="AY121" t="s">
        <v>1406</v>
      </c>
      <c r="AZ121" t="s">
        <v>1407</v>
      </c>
    </row>
    <row r="122" spans="1:52" x14ac:dyDescent="0.25">
      <c r="A122" t="s">
        <v>1411</v>
      </c>
      <c r="B122" s="1">
        <v>38810</v>
      </c>
      <c r="C122" t="s">
        <v>1412</v>
      </c>
      <c r="D122">
        <v>431163</v>
      </c>
      <c r="E122" t="s">
        <v>46</v>
      </c>
      <c r="F122" t="s">
        <v>954</v>
      </c>
      <c r="G122" t="s">
        <v>419</v>
      </c>
      <c r="H122" t="s">
        <v>1412</v>
      </c>
      <c r="I122" t="s">
        <v>1338</v>
      </c>
      <c r="J122">
        <v>50</v>
      </c>
      <c r="K122">
        <v>-53</v>
      </c>
      <c r="L122">
        <v>-53</v>
      </c>
      <c r="M122">
        <v>50</v>
      </c>
      <c r="N122">
        <v>0</v>
      </c>
      <c r="O122" t="s">
        <v>55</v>
      </c>
      <c r="P122">
        <v>63</v>
      </c>
      <c r="Q122">
        <v>-65</v>
      </c>
      <c r="R122">
        <v>-65</v>
      </c>
      <c r="S122">
        <v>63</v>
      </c>
      <c r="T122">
        <v>0</v>
      </c>
      <c r="U122" t="s">
        <v>55</v>
      </c>
      <c r="V122">
        <f t="shared" si="3"/>
        <v>2</v>
      </c>
      <c r="W122">
        <f t="shared" si="4"/>
        <v>0</v>
      </c>
      <c r="X122">
        <f t="shared" si="5"/>
        <v>0</v>
      </c>
      <c r="Y122">
        <v>113</v>
      </c>
      <c r="Z122">
        <v>0</v>
      </c>
      <c r="AA122" t="s">
        <v>1414</v>
      </c>
      <c r="AB122" t="s">
        <v>99</v>
      </c>
      <c r="AC122" t="s">
        <v>93</v>
      </c>
      <c r="AD122">
        <v>6</v>
      </c>
      <c r="AE122">
        <v>59</v>
      </c>
      <c r="AF122" t="s">
        <v>113</v>
      </c>
      <c r="AH122" t="s">
        <v>352</v>
      </c>
      <c r="AI122">
        <v>157.5</v>
      </c>
      <c r="AJ122" t="s">
        <v>132</v>
      </c>
      <c r="AK122" t="s">
        <v>954</v>
      </c>
      <c r="AL122" t="s">
        <v>957</v>
      </c>
      <c r="AM122" t="s">
        <v>133</v>
      </c>
      <c r="AN122" s="1">
        <v>45641</v>
      </c>
      <c r="AO122">
        <v>2024</v>
      </c>
      <c r="AP122">
        <v>12</v>
      </c>
      <c r="AQ122" t="s">
        <v>116</v>
      </c>
      <c r="AS122" t="s">
        <v>85</v>
      </c>
      <c r="AT122">
        <v>2025</v>
      </c>
      <c r="AU122" t="s">
        <v>419</v>
      </c>
      <c r="AV122" t="s">
        <v>133</v>
      </c>
      <c r="AW122" t="s">
        <v>1412</v>
      </c>
      <c r="AX122">
        <v>2025</v>
      </c>
      <c r="AY122" t="s">
        <v>1413</v>
      </c>
      <c r="AZ122" t="s">
        <v>1415</v>
      </c>
    </row>
    <row r="123" spans="1:52" x14ac:dyDescent="0.25">
      <c r="A123" t="s">
        <v>1416</v>
      </c>
      <c r="B123" s="1">
        <v>35307</v>
      </c>
      <c r="C123" t="s">
        <v>1417</v>
      </c>
      <c r="D123">
        <v>468855</v>
      </c>
      <c r="E123" t="s">
        <v>46</v>
      </c>
      <c r="F123" t="s">
        <v>625</v>
      </c>
      <c r="G123" t="s">
        <v>328</v>
      </c>
      <c r="H123" t="s">
        <v>1417</v>
      </c>
      <c r="I123" t="s">
        <v>101</v>
      </c>
      <c r="J123">
        <v>50</v>
      </c>
      <c r="K123">
        <v>-54</v>
      </c>
      <c r="L123">
        <v>-55</v>
      </c>
      <c r="M123">
        <v>50</v>
      </c>
      <c r="N123">
        <v>0</v>
      </c>
      <c r="O123" t="s">
        <v>55</v>
      </c>
      <c r="P123">
        <v>63</v>
      </c>
      <c r="Q123">
        <v>67</v>
      </c>
      <c r="R123">
        <v>70</v>
      </c>
      <c r="S123">
        <v>70</v>
      </c>
      <c r="T123">
        <v>137</v>
      </c>
      <c r="U123" t="s">
        <v>48</v>
      </c>
      <c r="V123">
        <f t="shared" si="3"/>
        <v>4</v>
      </c>
      <c r="W123">
        <f t="shared" si="4"/>
        <v>0</v>
      </c>
      <c r="X123">
        <f t="shared" si="5"/>
        <v>0</v>
      </c>
      <c r="Y123">
        <v>120</v>
      </c>
      <c r="Z123">
        <v>137</v>
      </c>
      <c r="AA123" t="s">
        <v>1419</v>
      </c>
      <c r="AB123" t="s">
        <v>1420</v>
      </c>
      <c r="AC123" t="s">
        <v>93</v>
      </c>
      <c r="AD123">
        <v>6</v>
      </c>
      <c r="AE123">
        <v>55</v>
      </c>
      <c r="AF123" t="s">
        <v>126</v>
      </c>
      <c r="AH123" t="s">
        <v>197</v>
      </c>
      <c r="AI123">
        <v>174.23</v>
      </c>
      <c r="AJ123" t="s">
        <v>132</v>
      </c>
      <c r="AK123" t="s">
        <v>625</v>
      </c>
      <c r="AL123" t="s">
        <v>627</v>
      </c>
      <c r="AM123" t="s">
        <v>139</v>
      </c>
      <c r="AN123" s="1">
        <v>45641</v>
      </c>
      <c r="AO123">
        <v>2024</v>
      </c>
      <c r="AP123">
        <v>12</v>
      </c>
      <c r="AQ123" t="s">
        <v>116</v>
      </c>
      <c r="AS123" t="s">
        <v>85</v>
      </c>
      <c r="AT123">
        <v>2025</v>
      </c>
      <c r="AU123" t="s">
        <v>328</v>
      </c>
      <c r="AV123" t="s">
        <v>140</v>
      </c>
      <c r="AW123" t="s">
        <v>1417</v>
      </c>
      <c r="AX123">
        <v>2025</v>
      </c>
      <c r="AY123" t="s">
        <v>1418</v>
      </c>
      <c r="AZ123" t="s">
        <v>1418</v>
      </c>
    </row>
    <row r="124" spans="1:52" x14ac:dyDescent="0.25">
      <c r="A124" t="s">
        <v>1422</v>
      </c>
      <c r="B124" s="1">
        <v>35436</v>
      </c>
      <c r="C124" t="s">
        <v>1423</v>
      </c>
      <c r="D124">
        <v>454904</v>
      </c>
      <c r="E124" t="s">
        <v>46</v>
      </c>
      <c r="F124" t="s">
        <v>213</v>
      </c>
      <c r="G124" t="s">
        <v>513</v>
      </c>
      <c r="H124" t="s">
        <v>1423</v>
      </c>
      <c r="I124" t="s">
        <v>337</v>
      </c>
      <c r="J124">
        <v>-76</v>
      </c>
      <c r="K124">
        <v>77</v>
      </c>
      <c r="L124">
        <v>-81</v>
      </c>
      <c r="M124">
        <v>77</v>
      </c>
      <c r="N124">
        <v>0</v>
      </c>
      <c r="O124" t="s">
        <v>104</v>
      </c>
      <c r="P124">
        <v>86</v>
      </c>
      <c r="Q124">
        <v>90</v>
      </c>
      <c r="R124">
        <v>-93</v>
      </c>
      <c r="S124">
        <v>90</v>
      </c>
      <c r="T124">
        <v>176</v>
      </c>
      <c r="U124" t="s">
        <v>60</v>
      </c>
      <c r="V124">
        <f t="shared" si="3"/>
        <v>3</v>
      </c>
      <c r="W124">
        <f t="shared" si="4"/>
        <v>0</v>
      </c>
      <c r="X124">
        <f t="shared" si="5"/>
        <v>0</v>
      </c>
      <c r="Y124">
        <v>167</v>
      </c>
      <c r="Z124">
        <v>176</v>
      </c>
      <c r="AA124" t="s">
        <v>1427</v>
      </c>
      <c r="AB124" t="s">
        <v>1429</v>
      </c>
      <c r="AC124" t="s">
        <v>94</v>
      </c>
      <c r="AD124">
        <v>4</v>
      </c>
      <c r="AE124">
        <v>59</v>
      </c>
      <c r="AF124" t="s">
        <v>126</v>
      </c>
      <c r="AH124" t="s">
        <v>202</v>
      </c>
      <c r="AI124">
        <v>235.22</v>
      </c>
      <c r="AJ124" t="s">
        <v>132</v>
      </c>
      <c r="AK124" t="s">
        <v>213</v>
      </c>
      <c r="AL124" t="s">
        <v>217</v>
      </c>
      <c r="AM124" t="s">
        <v>72</v>
      </c>
      <c r="AN124" s="1">
        <v>45640</v>
      </c>
      <c r="AO124">
        <v>2024</v>
      </c>
      <c r="AP124">
        <v>12</v>
      </c>
      <c r="AQ124" t="s">
        <v>116</v>
      </c>
      <c r="AS124" t="s">
        <v>85</v>
      </c>
      <c r="AT124">
        <v>2025</v>
      </c>
      <c r="AU124" t="s">
        <v>513</v>
      </c>
      <c r="AV124" t="s">
        <v>145</v>
      </c>
      <c r="AW124" t="s">
        <v>1423</v>
      </c>
      <c r="AX124">
        <v>2025</v>
      </c>
      <c r="AY124" t="s">
        <v>1424</v>
      </c>
      <c r="AZ124" t="s">
        <v>1427</v>
      </c>
    </row>
    <row r="125" spans="1:52" x14ac:dyDescent="0.25">
      <c r="A125" t="s">
        <v>1430</v>
      </c>
      <c r="B125" s="1">
        <v>34165</v>
      </c>
      <c r="C125" t="s">
        <v>1431</v>
      </c>
      <c r="D125">
        <v>450296</v>
      </c>
      <c r="E125" t="s">
        <v>46</v>
      </c>
      <c r="F125" t="s">
        <v>1007</v>
      </c>
      <c r="G125" t="s">
        <v>713</v>
      </c>
      <c r="H125" t="s">
        <v>1431</v>
      </c>
      <c r="I125" t="s">
        <v>388</v>
      </c>
      <c r="J125">
        <v>66</v>
      </c>
      <c r="K125">
        <v>69</v>
      </c>
      <c r="L125">
        <v>-72</v>
      </c>
      <c r="M125">
        <v>69</v>
      </c>
      <c r="N125">
        <v>135</v>
      </c>
      <c r="O125" t="s">
        <v>60</v>
      </c>
      <c r="P125">
        <v>86</v>
      </c>
      <c r="Q125">
        <v>90</v>
      </c>
      <c r="R125">
        <v>-93</v>
      </c>
      <c r="S125">
        <v>90</v>
      </c>
      <c r="T125">
        <v>176</v>
      </c>
      <c r="U125" t="s">
        <v>60</v>
      </c>
      <c r="V125">
        <f t="shared" si="3"/>
        <v>4</v>
      </c>
      <c r="W125">
        <f t="shared" si="4"/>
        <v>0</v>
      </c>
      <c r="X125">
        <f t="shared" si="5"/>
        <v>0</v>
      </c>
      <c r="Y125">
        <v>159</v>
      </c>
      <c r="Z125">
        <v>311</v>
      </c>
      <c r="AA125" t="s">
        <v>1432</v>
      </c>
      <c r="AB125" t="s">
        <v>1433</v>
      </c>
      <c r="AC125" t="s">
        <v>94</v>
      </c>
      <c r="AD125">
        <v>4</v>
      </c>
      <c r="AE125">
        <v>59</v>
      </c>
      <c r="AF125" t="s">
        <v>126</v>
      </c>
      <c r="AH125" t="s">
        <v>202</v>
      </c>
      <c r="AI125">
        <v>218.78</v>
      </c>
      <c r="AJ125" t="s">
        <v>132</v>
      </c>
      <c r="AK125" t="s">
        <v>1007</v>
      </c>
      <c r="AL125" t="s">
        <v>1009</v>
      </c>
      <c r="AM125" t="s">
        <v>139</v>
      </c>
      <c r="AN125" s="1">
        <v>45641</v>
      </c>
      <c r="AO125">
        <v>2024</v>
      </c>
      <c r="AP125">
        <v>12</v>
      </c>
      <c r="AQ125" t="s">
        <v>116</v>
      </c>
      <c r="AS125" t="s">
        <v>85</v>
      </c>
      <c r="AT125">
        <v>2025</v>
      </c>
      <c r="AU125" t="s">
        <v>713</v>
      </c>
      <c r="AV125" t="s">
        <v>140</v>
      </c>
      <c r="AW125" t="s">
        <v>1431</v>
      </c>
      <c r="AX125">
        <v>2025</v>
      </c>
      <c r="AY125" t="s">
        <v>1373</v>
      </c>
      <c r="AZ125" t="s">
        <v>1432</v>
      </c>
    </row>
    <row r="126" spans="1:52" x14ac:dyDescent="0.25">
      <c r="A126" t="s">
        <v>1436</v>
      </c>
      <c r="B126" s="1">
        <v>33985</v>
      </c>
      <c r="C126" t="s">
        <v>1437</v>
      </c>
      <c r="D126">
        <v>433932</v>
      </c>
      <c r="E126" t="s">
        <v>46</v>
      </c>
      <c r="F126" t="s">
        <v>232</v>
      </c>
      <c r="G126" t="s">
        <v>154</v>
      </c>
      <c r="H126" t="s">
        <v>1437</v>
      </c>
      <c r="I126" t="s">
        <v>495</v>
      </c>
      <c r="J126">
        <v>-68</v>
      </c>
      <c r="K126">
        <v>68</v>
      </c>
      <c r="L126">
        <v>-70</v>
      </c>
      <c r="M126">
        <v>68</v>
      </c>
      <c r="N126">
        <v>0</v>
      </c>
      <c r="O126" t="s">
        <v>104</v>
      </c>
      <c r="P126">
        <v>-84</v>
      </c>
      <c r="Q126">
        <v>84</v>
      </c>
      <c r="R126">
        <v>-88</v>
      </c>
      <c r="S126">
        <v>84</v>
      </c>
      <c r="T126">
        <v>0</v>
      </c>
      <c r="U126" t="s">
        <v>104</v>
      </c>
      <c r="V126">
        <f t="shared" si="3"/>
        <v>2</v>
      </c>
      <c r="W126">
        <f t="shared" si="4"/>
        <v>0</v>
      </c>
      <c r="X126">
        <f t="shared" si="5"/>
        <v>0</v>
      </c>
      <c r="Y126">
        <v>152</v>
      </c>
      <c r="Z126">
        <v>0</v>
      </c>
      <c r="AA126" t="s">
        <v>1439</v>
      </c>
      <c r="AB126" t="s">
        <v>99</v>
      </c>
      <c r="AC126" t="s">
        <v>89</v>
      </c>
      <c r="AD126">
        <v>5</v>
      </c>
      <c r="AE126">
        <v>71</v>
      </c>
      <c r="AF126" t="s">
        <v>126</v>
      </c>
      <c r="AH126" t="s">
        <v>226</v>
      </c>
      <c r="AI126">
        <v>188.11</v>
      </c>
      <c r="AJ126" t="s">
        <v>132</v>
      </c>
      <c r="AK126" t="s">
        <v>232</v>
      </c>
      <c r="AL126" t="s">
        <v>236</v>
      </c>
      <c r="AM126" t="s">
        <v>128</v>
      </c>
      <c r="AN126" s="1">
        <v>45640</v>
      </c>
      <c r="AO126">
        <v>2024</v>
      </c>
      <c r="AP126">
        <v>12</v>
      </c>
      <c r="AQ126" t="s">
        <v>116</v>
      </c>
      <c r="AS126" t="s">
        <v>85</v>
      </c>
      <c r="AT126">
        <v>2025</v>
      </c>
      <c r="AU126" t="s">
        <v>154</v>
      </c>
      <c r="AV126" t="s">
        <v>128</v>
      </c>
      <c r="AW126" t="s">
        <v>1437</v>
      </c>
      <c r="AX126">
        <v>2025</v>
      </c>
      <c r="AY126" t="s">
        <v>1438</v>
      </c>
      <c r="AZ126" t="s">
        <v>1439</v>
      </c>
    </row>
    <row r="127" spans="1:52" x14ac:dyDescent="0.25">
      <c r="A127" t="s">
        <v>1441</v>
      </c>
      <c r="B127" s="1">
        <v>34425</v>
      </c>
      <c r="C127" t="s">
        <v>1442</v>
      </c>
      <c r="D127">
        <v>502107</v>
      </c>
      <c r="E127" t="s">
        <v>46</v>
      </c>
      <c r="F127" t="s">
        <v>1173</v>
      </c>
      <c r="G127" t="s">
        <v>501</v>
      </c>
      <c r="H127" t="s">
        <v>1442</v>
      </c>
      <c r="I127" t="s">
        <v>1444</v>
      </c>
      <c r="J127">
        <v>58</v>
      </c>
      <c r="K127">
        <v>61</v>
      </c>
      <c r="L127">
        <v>64</v>
      </c>
      <c r="M127">
        <v>64</v>
      </c>
      <c r="N127">
        <v>125</v>
      </c>
      <c r="O127" t="s">
        <v>48</v>
      </c>
      <c r="P127">
        <v>82</v>
      </c>
      <c r="Q127">
        <v>88</v>
      </c>
      <c r="R127">
        <v>-93</v>
      </c>
      <c r="S127">
        <v>88</v>
      </c>
      <c r="T127">
        <v>170</v>
      </c>
      <c r="U127" t="s">
        <v>60</v>
      </c>
      <c r="V127">
        <f t="shared" si="3"/>
        <v>5</v>
      </c>
      <c r="W127">
        <f t="shared" si="4"/>
        <v>0</v>
      </c>
      <c r="X127">
        <f t="shared" si="5"/>
        <v>0</v>
      </c>
      <c r="Y127">
        <v>152</v>
      </c>
      <c r="Z127">
        <v>295</v>
      </c>
      <c r="AA127" t="s">
        <v>1445</v>
      </c>
      <c r="AB127" t="s">
        <v>1446</v>
      </c>
      <c r="AC127" t="s">
        <v>93</v>
      </c>
      <c r="AD127">
        <v>6</v>
      </c>
      <c r="AE127">
        <v>81</v>
      </c>
      <c r="AF127" t="s">
        <v>126</v>
      </c>
      <c r="AH127" t="s">
        <v>319</v>
      </c>
      <c r="AI127">
        <v>178.92</v>
      </c>
      <c r="AJ127" t="s">
        <v>132</v>
      </c>
      <c r="AK127" t="s">
        <v>1173</v>
      </c>
      <c r="AL127" t="s">
        <v>1177</v>
      </c>
      <c r="AM127" t="s">
        <v>173</v>
      </c>
      <c r="AN127" s="1">
        <v>45641</v>
      </c>
      <c r="AO127">
        <v>2024</v>
      </c>
      <c r="AP127">
        <v>12</v>
      </c>
      <c r="AQ127" t="s">
        <v>116</v>
      </c>
      <c r="AS127" t="s">
        <v>85</v>
      </c>
      <c r="AT127">
        <v>2025</v>
      </c>
      <c r="AU127" t="s">
        <v>501</v>
      </c>
      <c r="AV127" t="s">
        <v>173</v>
      </c>
      <c r="AW127" t="s">
        <v>1442</v>
      </c>
      <c r="AX127">
        <v>2025</v>
      </c>
      <c r="AY127" t="s">
        <v>1443</v>
      </c>
      <c r="AZ127" t="s">
        <v>1443</v>
      </c>
    </row>
    <row r="128" spans="1:52" x14ac:dyDescent="0.25">
      <c r="A128" t="s">
        <v>1447</v>
      </c>
      <c r="B128" s="1">
        <v>36591</v>
      </c>
      <c r="C128" t="s">
        <v>1448</v>
      </c>
      <c r="D128">
        <v>466158</v>
      </c>
      <c r="E128" t="s">
        <v>46</v>
      </c>
      <c r="F128" t="s">
        <v>693</v>
      </c>
      <c r="G128" t="s">
        <v>88</v>
      </c>
      <c r="H128" t="s">
        <v>1448</v>
      </c>
      <c r="I128" t="s">
        <v>407</v>
      </c>
      <c r="J128">
        <v>70</v>
      </c>
      <c r="K128">
        <v>73</v>
      </c>
      <c r="L128">
        <v>-75</v>
      </c>
      <c r="M128">
        <v>73</v>
      </c>
      <c r="N128">
        <v>143</v>
      </c>
      <c r="O128" t="s">
        <v>60</v>
      </c>
      <c r="P128">
        <v>90</v>
      </c>
      <c r="Q128">
        <v>-98</v>
      </c>
      <c r="R128">
        <v>100</v>
      </c>
      <c r="S128">
        <v>100</v>
      </c>
      <c r="T128">
        <v>190</v>
      </c>
      <c r="U128" t="s">
        <v>65</v>
      </c>
      <c r="V128">
        <f t="shared" si="3"/>
        <v>4</v>
      </c>
      <c r="W128">
        <f t="shared" si="4"/>
        <v>0</v>
      </c>
      <c r="X128">
        <f t="shared" si="5"/>
        <v>0</v>
      </c>
      <c r="Y128">
        <v>173</v>
      </c>
      <c r="Z128">
        <v>333</v>
      </c>
      <c r="AA128" t="s">
        <v>1449</v>
      </c>
      <c r="AB128" t="s">
        <v>1450</v>
      </c>
      <c r="AC128" t="s">
        <v>89</v>
      </c>
      <c r="AD128">
        <v>5</v>
      </c>
      <c r="AE128">
        <v>76</v>
      </c>
      <c r="AF128" t="s">
        <v>126</v>
      </c>
      <c r="AH128" t="s">
        <v>228</v>
      </c>
      <c r="AI128">
        <v>205.52</v>
      </c>
      <c r="AJ128" t="s">
        <v>132</v>
      </c>
      <c r="AK128" t="s">
        <v>693</v>
      </c>
      <c r="AL128" t="s">
        <v>696</v>
      </c>
      <c r="AM128" t="s">
        <v>139</v>
      </c>
      <c r="AN128" s="1">
        <v>45641</v>
      </c>
      <c r="AO128">
        <v>2024</v>
      </c>
      <c r="AP128">
        <v>12</v>
      </c>
      <c r="AQ128" t="s">
        <v>116</v>
      </c>
      <c r="AS128" t="s">
        <v>85</v>
      </c>
      <c r="AT128">
        <v>2025</v>
      </c>
      <c r="AU128" t="s">
        <v>88</v>
      </c>
      <c r="AV128" t="s">
        <v>91</v>
      </c>
      <c r="AW128" t="s">
        <v>1448</v>
      </c>
      <c r="AX128">
        <v>2025</v>
      </c>
      <c r="AY128" t="s">
        <v>1451</v>
      </c>
      <c r="AZ128" t="s">
        <v>1449</v>
      </c>
    </row>
    <row r="129" spans="1:52" x14ac:dyDescent="0.25">
      <c r="A129" t="s">
        <v>1452</v>
      </c>
      <c r="B129" s="1">
        <v>40220</v>
      </c>
      <c r="C129" t="s">
        <v>1453</v>
      </c>
      <c r="D129">
        <v>490489</v>
      </c>
      <c r="E129" t="s">
        <v>46</v>
      </c>
      <c r="F129" t="s">
        <v>213</v>
      </c>
      <c r="G129" t="s">
        <v>400</v>
      </c>
      <c r="H129" t="s">
        <v>1453</v>
      </c>
      <c r="I129" t="s">
        <v>510</v>
      </c>
      <c r="J129">
        <v>-28</v>
      </c>
      <c r="K129">
        <v>-28</v>
      </c>
      <c r="L129">
        <v>-28</v>
      </c>
      <c r="M129">
        <v>0</v>
      </c>
      <c r="N129">
        <v>0</v>
      </c>
      <c r="O129" t="s">
        <v>108</v>
      </c>
      <c r="P129">
        <v>0</v>
      </c>
      <c r="Q129">
        <v>0</v>
      </c>
      <c r="R129">
        <v>0</v>
      </c>
      <c r="S129">
        <v>0</v>
      </c>
      <c r="T129">
        <v>0</v>
      </c>
      <c r="U129" t="s">
        <v>108</v>
      </c>
      <c r="V129">
        <f t="shared" si="3"/>
        <v>0</v>
      </c>
      <c r="W129">
        <f t="shared" si="4"/>
        <v>0</v>
      </c>
      <c r="X129">
        <f t="shared" si="5"/>
        <v>0</v>
      </c>
      <c r="Y129">
        <v>0</v>
      </c>
      <c r="Z129">
        <v>0</v>
      </c>
      <c r="AA129" t="s">
        <v>99</v>
      </c>
      <c r="AB129" t="s">
        <v>99</v>
      </c>
      <c r="AC129" t="s">
        <v>49</v>
      </c>
      <c r="AD129">
        <v>999</v>
      </c>
      <c r="AE129">
        <v>49</v>
      </c>
      <c r="AF129" t="s">
        <v>57</v>
      </c>
      <c r="AH129" t="s">
        <v>784</v>
      </c>
      <c r="AI129">
        <v>0</v>
      </c>
      <c r="AJ129" t="s">
        <v>132</v>
      </c>
      <c r="AK129" t="s">
        <v>213</v>
      </c>
      <c r="AL129" t="s">
        <v>217</v>
      </c>
      <c r="AM129" t="s">
        <v>72</v>
      </c>
      <c r="AN129" s="1">
        <v>45640</v>
      </c>
      <c r="AO129">
        <v>2024</v>
      </c>
      <c r="AP129">
        <v>12</v>
      </c>
      <c r="AQ129" t="s">
        <v>116</v>
      </c>
      <c r="AS129" t="s">
        <v>85</v>
      </c>
      <c r="AT129">
        <v>2025</v>
      </c>
      <c r="AU129" t="s">
        <v>400</v>
      </c>
      <c r="AV129" t="s">
        <v>72</v>
      </c>
      <c r="AW129" t="s">
        <v>1453</v>
      </c>
      <c r="AX129">
        <v>2025</v>
      </c>
      <c r="AY129" t="s">
        <v>1454</v>
      </c>
      <c r="AZ129" t="s">
        <v>99</v>
      </c>
    </row>
    <row r="130" spans="1:52" x14ac:dyDescent="0.25">
      <c r="A130" t="s">
        <v>1455</v>
      </c>
      <c r="B130" s="1">
        <v>36047</v>
      </c>
      <c r="C130" t="s">
        <v>1456</v>
      </c>
      <c r="D130">
        <v>467709</v>
      </c>
      <c r="E130" t="s">
        <v>46</v>
      </c>
      <c r="F130" t="s">
        <v>1209</v>
      </c>
      <c r="G130" t="s">
        <v>672</v>
      </c>
      <c r="H130" t="s">
        <v>1456</v>
      </c>
      <c r="I130">
        <v>59</v>
      </c>
      <c r="J130">
        <v>68</v>
      </c>
      <c r="K130">
        <v>72</v>
      </c>
      <c r="L130">
        <v>-75</v>
      </c>
      <c r="M130">
        <v>72</v>
      </c>
      <c r="N130">
        <v>140</v>
      </c>
      <c r="O130" t="s">
        <v>60</v>
      </c>
      <c r="P130">
        <v>85</v>
      </c>
      <c r="Q130">
        <v>90</v>
      </c>
      <c r="R130">
        <v>-93</v>
      </c>
      <c r="S130">
        <v>90</v>
      </c>
      <c r="T130">
        <v>175</v>
      </c>
      <c r="U130" t="s">
        <v>60</v>
      </c>
      <c r="V130">
        <f t="shared" si="3"/>
        <v>4</v>
      </c>
      <c r="W130">
        <f t="shared" si="4"/>
        <v>0</v>
      </c>
      <c r="X130">
        <f t="shared" si="5"/>
        <v>0</v>
      </c>
      <c r="Y130">
        <v>162</v>
      </c>
      <c r="Z130">
        <v>315</v>
      </c>
      <c r="AA130" t="s">
        <v>1458</v>
      </c>
      <c r="AB130" t="s">
        <v>1459</v>
      </c>
      <c r="AC130" t="s">
        <v>94</v>
      </c>
      <c r="AD130">
        <v>4</v>
      </c>
      <c r="AE130">
        <v>59</v>
      </c>
      <c r="AF130" t="s">
        <v>126</v>
      </c>
      <c r="AH130" t="s">
        <v>202</v>
      </c>
      <c r="AI130">
        <v>221.66</v>
      </c>
      <c r="AJ130" t="s">
        <v>132</v>
      </c>
      <c r="AK130" t="s">
        <v>1209</v>
      </c>
      <c r="AL130" t="s">
        <v>1213</v>
      </c>
      <c r="AM130" t="s">
        <v>68</v>
      </c>
      <c r="AN130" s="1">
        <v>45640</v>
      </c>
      <c r="AO130">
        <v>2024</v>
      </c>
      <c r="AP130">
        <v>12</v>
      </c>
      <c r="AQ130" t="s">
        <v>116</v>
      </c>
      <c r="AS130" t="s">
        <v>85</v>
      </c>
      <c r="AT130">
        <v>2025</v>
      </c>
      <c r="AU130" t="s">
        <v>672</v>
      </c>
      <c r="AV130" t="s">
        <v>68</v>
      </c>
      <c r="AW130" t="s">
        <v>1456</v>
      </c>
      <c r="AX130">
        <v>2025</v>
      </c>
      <c r="AY130" t="s">
        <v>1457</v>
      </c>
      <c r="AZ130" t="s">
        <v>1458</v>
      </c>
    </row>
    <row r="131" spans="1:52" x14ac:dyDescent="0.25">
      <c r="A131" t="s">
        <v>1462</v>
      </c>
      <c r="B131" s="1">
        <v>41548</v>
      </c>
      <c r="C131" t="s">
        <v>1463</v>
      </c>
      <c r="D131">
        <v>497511</v>
      </c>
      <c r="E131" t="s">
        <v>46</v>
      </c>
      <c r="F131" t="s">
        <v>837</v>
      </c>
      <c r="G131" t="s">
        <v>917</v>
      </c>
      <c r="H131" t="s">
        <v>1463</v>
      </c>
      <c r="I131" t="s">
        <v>1465</v>
      </c>
      <c r="J131">
        <v>13</v>
      </c>
      <c r="K131">
        <v>14</v>
      </c>
      <c r="L131">
        <v>15</v>
      </c>
      <c r="M131">
        <v>15</v>
      </c>
      <c r="N131">
        <v>29</v>
      </c>
      <c r="O131" t="s">
        <v>48</v>
      </c>
      <c r="P131">
        <v>18</v>
      </c>
      <c r="Q131">
        <v>20</v>
      </c>
      <c r="R131">
        <v>22</v>
      </c>
      <c r="S131">
        <v>22</v>
      </c>
      <c r="T131">
        <v>42</v>
      </c>
      <c r="U131" t="s">
        <v>48</v>
      </c>
      <c r="V131">
        <f t="shared" ref="V131:V194" si="6">IF(O131="OOO",3,IF(O131="XXX",0,IF(OR(O131="OOX",O131="OXO",O131="XOO"),2,1)))+IF(U131="OOO",3,IF(U131="XXX",0,IF(OR(U131="OOX",U131="OXO",U131="XOO"),2,1)))</f>
        <v>6</v>
      </c>
      <c r="W131">
        <f t="shared" ref="W131:W194" si="7">IF(OR(O131="XXO",U131="XXO"),1,0)</f>
        <v>0</v>
      </c>
      <c r="X131">
        <f t="shared" ref="X131:X194" si="8">IF(AND(O131="XXO",U131="XXO"),1,0)</f>
        <v>0</v>
      </c>
      <c r="Y131">
        <v>37</v>
      </c>
      <c r="Z131">
        <v>71</v>
      </c>
      <c r="AA131" t="s">
        <v>1464</v>
      </c>
      <c r="AB131" t="s">
        <v>1466</v>
      </c>
      <c r="AC131" t="s">
        <v>49</v>
      </c>
      <c r="AD131">
        <v>999</v>
      </c>
      <c r="AE131">
        <v>35</v>
      </c>
      <c r="AF131" t="s">
        <v>50</v>
      </c>
      <c r="AH131" t="s">
        <v>450</v>
      </c>
      <c r="AI131">
        <v>170.81</v>
      </c>
      <c r="AJ131" t="s">
        <v>132</v>
      </c>
      <c r="AK131" t="s">
        <v>837</v>
      </c>
      <c r="AL131" t="s">
        <v>840</v>
      </c>
      <c r="AM131" t="s">
        <v>173</v>
      </c>
      <c r="AN131" s="1">
        <v>45640</v>
      </c>
      <c r="AO131">
        <v>2024</v>
      </c>
      <c r="AP131">
        <v>12</v>
      </c>
      <c r="AQ131" t="s">
        <v>116</v>
      </c>
      <c r="AS131" t="s">
        <v>85</v>
      </c>
      <c r="AT131">
        <v>2025</v>
      </c>
      <c r="AU131" t="s">
        <v>917</v>
      </c>
      <c r="AV131" t="s">
        <v>173</v>
      </c>
      <c r="AW131" t="s">
        <v>1463</v>
      </c>
      <c r="AX131">
        <v>2025</v>
      </c>
      <c r="AY131" t="s">
        <v>1464</v>
      </c>
      <c r="AZ131" t="s">
        <v>1464</v>
      </c>
    </row>
    <row r="132" spans="1:52" x14ac:dyDescent="0.25">
      <c r="A132" t="s">
        <v>1468</v>
      </c>
      <c r="B132" s="1">
        <v>37729</v>
      </c>
      <c r="C132" t="s">
        <v>1469</v>
      </c>
      <c r="D132">
        <v>454020</v>
      </c>
      <c r="E132" t="s">
        <v>46</v>
      </c>
      <c r="F132" t="s">
        <v>617</v>
      </c>
      <c r="G132" t="s">
        <v>1046</v>
      </c>
      <c r="H132" t="s">
        <v>1469</v>
      </c>
      <c r="I132" t="s">
        <v>160</v>
      </c>
      <c r="J132">
        <v>-65</v>
      </c>
      <c r="K132">
        <v>65</v>
      </c>
      <c r="L132">
        <v>70</v>
      </c>
      <c r="M132">
        <v>70</v>
      </c>
      <c r="N132">
        <v>135</v>
      </c>
      <c r="O132" t="s">
        <v>63</v>
      </c>
      <c r="P132">
        <v>84</v>
      </c>
      <c r="Q132">
        <v>90</v>
      </c>
      <c r="R132">
        <v>94</v>
      </c>
      <c r="S132">
        <v>94</v>
      </c>
      <c r="T132">
        <v>184</v>
      </c>
      <c r="U132" t="s">
        <v>48</v>
      </c>
      <c r="V132">
        <f t="shared" si="6"/>
        <v>5</v>
      </c>
      <c r="W132">
        <f t="shared" si="7"/>
        <v>0</v>
      </c>
      <c r="X132">
        <f t="shared" si="8"/>
        <v>0</v>
      </c>
      <c r="Y132">
        <v>164</v>
      </c>
      <c r="Z132">
        <v>319</v>
      </c>
      <c r="AA132" t="s">
        <v>1471</v>
      </c>
      <c r="AB132" t="s">
        <v>1472</v>
      </c>
      <c r="AC132" t="s">
        <v>89</v>
      </c>
      <c r="AD132">
        <v>5</v>
      </c>
      <c r="AE132">
        <v>87</v>
      </c>
      <c r="AF132" t="s">
        <v>126</v>
      </c>
      <c r="AH132" t="s">
        <v>310</v>
      </c>
      <c r="AI132">
        <v>184.74</v>
      </c>
      <c r="AJ132" t="s">
        <v>132</v>
      </c>
      <c r="AK132" t="s">
        <v>617</v>
      </c>
      <c r="AL132" t="s">
        <v>620</v>
      </c>
      <c r="AM132" t="s">
        <v>90</v>
      </c>
      <c r="AN132" s="1">
        <v>45640</v>
      </c>
      <c r="AO132">
        <v>2024</v>
      </c>
      <c r="AP132">
        <v>12</v>
      </c>
      <c r="AQ132" t="s">
        <v>116</v>
      </c>
      <c r="AS132" t="s">
        <v>85</v>
      </c>
      <c r="AT132">
        <v>2025</v>
      </c>
      <c r="AU132" t="s">
        <v>1046</v>
      </c>
      <c r="AV132" t="s">
        <v>91</v>
      </c>
      <c r="AW132" t="s">
        <v>1469</v>
      </c>
      <c r="AX132">
        <v>2025</v>
      </c>
      <c r="AY132" t="s">
        <v>1470</v>
      </c>
      <c r="AZ132" t="s">
        <v>1471</v>
      </c>
    </row>
    <row r="133" spans="1:52" x14ac:dyDescent="0.25">
      <c r="A133" t="s">
        <v>1475</v>
      </c>
      <c r="B133" s="1">
        <v>36931</v>
      </c>
      <c r="C133" t="s">
        <v>1476</v>
      </c>
      <c r="D133">
        <v>483771</v>
      </c>
      <c r="E133" t="s">
        <v>46</v>
      </c>
      <c r="F133" t="s">
        <v>948</v>
      </c>
      <c r="G133" t="s">
        <v>792</v>
      </c>
      <c r="H133" t="s">
        <v>1476</v>
      </c>
      <c r="I133" t="s">
        <v>1478</v>
      </c>
      <c r="J133">
        <v>-60</v>
      </c>
      <c r="K133">
        <v>60</v>
      </c>
      <c r="L133">
        <v>65</v>
      </c>
      <c r="M133">
        <v>65</v>
      </c>
      <c r="N133">
        <v>125</v>
      </c>
      <c r="O133" t="s">
        <v>63</v>
      </c>
      <c r="P133">
        <v>-70</v>
      </c>
      <c r="Q133">
        <v>70</v>
      </c>
      <c r="R133">
        <v>-75</v>
      </c>
      <c r="S133">
        <v>70</v>
      </c>
      <c r="T133">
        <v>0</v>
      </c>
      <c r="U133" t="s">
        <v>104</v>
      </c>
      <c r="V133">
        <f t="shared" si="6"/>
        <v>3</v>
      </c>
      <c r="W133">
        <f t="shared" si="7"/>
        <v>0</v>
      </c>
      <c r="X133">
        <f t="shared" si="8"/>
        <v>0</v>
      </c>
      <c r="Y133">
        <v>135</v>
      </c>
      <c r="Z133">
        <v>125</v>
      </c>
      <c r="AA133" t="s">
        <v>1477</v>
      </c>
      <c r="AB133" t="s">
        <v>1479</v>
      </c>
      <c r="AC133" t="s">
        <v>93</v>
      </c>
      <c r="AD133">
        <v>6</v>
      </c>
      <c r="AE133">
        <v>59</v>
      </c>
      <c r="AF133" t="s">
        <v>126</v>
      </c>
      <c r="AH133" t="s">
        <v>202</v>
      </c>
      <c r="AI133">
        <v>188.41</v>
      </c>
      <c r="AJ133" t="s">
        <v>132</v>
      </c>
      <c r="AK133" t="s">
        <v>948</v>
      </c>
      <c r="AL133" t="s">
        <v>949</v>
      </c>
      <c r="AM133" t="s">
        <v>133</v>
      </c>
      <c r="AN133" s="1">
        <v>45640</v>
      </c>
      <c r="AO133">
        <v>2024</v>
      </c>
      <c r="AP133">
        <v>12</v>
      </c>
      <c r="AQ133" t="s">
        <v>116</v>
      </c>
      <c r="AS133" t="s">
        <v>85</v>
      </c>
      <c r="AT133">
        <v>2025</v>
      </c>
      <c r="AU133" t="s">
        <v>792</v>
      </c>
      <c r="AV133" t="s">
        <v>133</v>
      </c>
      <c r="AW133" t="s">
        <v>1476</v>
      </c>
      <c r="AX133">
        <v>2025</v>
      </c>
      <c r="AY133" t="s">
        <v>1477</v>
      </c>
      <c r="AZ133" t="s">
        <v>1477</v>
      </c>
    </row>
    <row r="134" spans="1:52" x14ac:dyDescent="0.25">
      <c r="A134" t="s">
        <v>1480</v>
      </c>
      <c r="B134" s="1">
        <v>38939</v>
      </c>
      <c r="C134" t="s">
        <v>1481</v>
      </c>
      <c r="D134">
        <v>461827</v>
      </c>
      <c r="E134" t="s">
        <v>46</v>
      </c>
      <c r="F134" t="s">
        <v>109</v>
      </c>
      <c r="G134" t="s">
        <v>88</v>
      </c>
      <c r="H134" t="s">
        <v>1481</v>
      </c>
      <c r="I134">
        <v>59</v>
      </c>
      <c r="J134">
        <v>58</v>
      </c>
      <c r="K134">
        <v>60</v>
      </c>
      <c r="L134">
        <v>62</v>
      </c>
      <c r="M134">
        <v>62</v>
      </c>
      <c r="N134">
        <v>122</v>
      </c>
      <c r="O134" t="s">
        <v>48</v>
      </c>
      <c r="P134">
        <v>68</v>
      </c>
      <c r="Q134">
        <v>71</v>
      </c>
      <c r="R134">
        <v>-74</v>
      </c>
      <c r="S134">
        <v>71</v>
      </c>
      <c r="T134">
        <v>139</v>
      </c>
      <c r="U134" t="s">
        <v>60</v>
      </c>
      <c r="V134">
        <f t="shared" si="6"/>
        <v>5</v>
      </c>
      <c r="W134">
        <f t="shared" si="7"/>
        <v>0</v>
      </c>
      <c r="X134">
        <f t="shared" si="8"/>
        <v>0</v>
      </c>
      <c r="Y134">
        <v>133</v>
      </c>
      <c r="Z134">
        <v>261</v>
      </c>
      <c r="AA134" t="s">
        <v>847</v>
      </c>
      <c r="AB134" t="s">
        <v>1484</v>
      </c>
      <c r="AC134" t="s">
        <v>94</v>
      </c>
      <c r="AD134">
        <v>4</v>
      </c>
      <c r="AE134">
        <v>59</v>
      </c>
      <c r="AF134" t="s">
        <v>113</v>
      </c>
      <c r="AH134" t="s">
        <v>352</v>
      </c>
      <c r="AI134">
        <v>181.98</v>
      </c>
      <c r="AJ134" t="s">
        <v>132</v>
      </c>
      <c r="AK134" t="s">
        <v>109</v>
      </c>
      <c r="AL134" t="s">
        <v>115</v>
      </c>
      <c r="AM134" t="s">
        <v>90</v>
      </c>
      <c r="AN134" s="1">
        <v>45639</v>
      </c>
      <c r="AO134">
        <v>2024</v>
      </c>
      <c r="AP134">
        <v>12</v>
      </c>
      <c r="AQ134" t="s">
        <v>116</v>
      </c>
      <c r="AS134" t="s">
        <v>85</v>
      </c>
      <c r="AT134">
        <v>2025</v>
      </c>
      <c r="AU134" t="s">
        <v>88</v>
      </c>
      <c r="AV134" t="s">
        <v>91</v>
      </c>
      <c r="AW134" t="s">
        <v>1481</v>
      </c>
      <c r="AX134">
        <v>2025</v>
      </c>
      <c r="AY134" t="s">
        <v>1482</v>
      </c>
      <c r="AZ134" t="s">
        <v>847</v>
      </c>
    </row>
    <row r="135" spans="1:52" x14ac:dyDescent="0.25">
      <c r="A135" t="s">
        <v>1485</v>
      </c>
      <c r="B135" s="1">
        <v>38293</v>
      </c>
      <c r="C135" t="s">
        <v>1486</v>
      </c>
      <c r="D135">
        <v>493399</v>
      </c>
      <c r="E135" t="s">
        <v>46</v>
      </c>
      <c r="F135" t="s">
        <v>845</v>
      </c>
      <c r="G135" t="s">
        <v>697</v>
      </c>
      <c r="H135" t="s">
        <v>1486</v>
      </c>
      <c r="I135" t="s">
        <v>241</v>
      </c>
      <c r="J135">
        <v>69</v>
      </c>
      <c r="K135">
        <v>73</v>
      </c>
      <c r="L135">
        <v>-76</v>
      </c>
      <c r="M135">
        <v>73</v>
      </c>
      <c r="N135">
        <v>142</v>
      </c>
      <c r="O135" t="s">
        <v>60</v>
      </c>
      <c r="P135">
        <v>87</v>
      </c>
      <c r="Q135">
        <v>-92</v>
      </c>
      <c r="R135">
        <v>-95</v>
      </c>
      <c r="S135">
        <v>87</v>
      </c>
      <c r="T135">
        <v>0</v>
      </c>
      <c r="U135" t="s">
        <v>55</v>
      </c>
      <c r="V135">
        <f t="shared" si="6"/>
        <v>3</v>
      </c>
      <c r="W135">
        <f t="shared" si="7"/>
        <v>0</v>
      </c>
      <c r="X135">
        <f t="shared" si="8"/>
        <v>0</v>
      </c>
      <c r="Y135">
        <v>160</v>
      </c>
      <c r="Z135">
        <v>142</v>
      </c>
      <c r="AA135" t="s">
        <v>1488</v>
      </c>
      <c r="AB135" t="s">
        <v>928</v>
      </c>
      <c r="AC135" t="s">
        <v>89</v>
      </c>
      <c r="AD135">
        <v>5</v>
      </c>
      <c r="AE135">
        <v>71</v>
      </c>
      <c r="AF135" t="s">
        <v>126</v>
      </c>
      <c r="AH135" t="s">
        <v>226</v>
      </c>
      <c r="AI135">
        <v>199.1</v>
      </c>
      <c r="AJ135" t="s">
        <v>132</v>
      </c>
      <c r="AK135" t="s">
        <v>845</v>
      </c>
      <c r="AL135" t="s">
        <v>848</v>
      </c>
      <c r="AM135" t="s">
        <v>302</v>
      </c>
      <c r="AN135" s="1">
        <v>45640</v>
      </c>
      <c r="AO135">
        <v>2024</v>
      </c>
      <c r="AP135">
        <v>12</v>
      </c>
      <c r="AQ135" t="s">
        <v>116</v>
      </c>
      <c r="AS135" t="s">
        <v>85</v>
      </c>
      <c r="AT135">
        <v>2025</v>
      </c>
      <c r="AU135" t="s">
        <v>697</v>
      </c>
      <c r="AV135" t="s">
        <v>145</v>
      </c>
      <c r="AW135" t="s">
        <v>1486</v>
      </c>
      <c r="AX135">
        <v>2025</v>
      </c>
      <c r="AY135" t="s">
        <v>1487</v>
      </c>
      <c r="AZ135" t="s">
        <v>1487</v>
      </c>
    </row>
    <row r="136" spans="1:52" x14ac:dyDescent="0.25">
      <c r="A136" t="s">
        <v>1490</v>
      </c>
      <c r="B136" s="1">
        <v>33204</v>
      </c>
      <c r="C136" t="s">
        <v>1491</v>
      </c>
      <c r="D136">
        <v>491994</v>
      </c>
      <c r="E136" t="s">
        <v>46</v>
      </c>
      <c r="F136" t="s">
        <v>912</v>
      </c>
      <c r="G136" t="s">
        <v>161</v>
      </c>
      <c r="H136" t="s">
        <v>1491</v>
      </c>
      <c r="I136" t="s">
        <v>211</v>
      </c>
      <c r="J136">
        <v>50</v>
      </c>
      <c r="K136">
        <v>-55</v>
      </c>
      <c r="L136">
        <v>-55</v>
      </c>
      <c r="M136">
        <v>50</v>
      </c>
      <c r="N136">
        <v>0</v>
      </c>
      <c r="O136" t="s">
        <v>55</v>
      </c>
      <c r="P136">
        <v>60</v>
      </c>
      <c r="Q136">
        <v>-63</v>
      </c>
      <c r="R136">
        <v>63</v>
      </c>
      <c r="S136">
        <v>63</v>
      </c>
      <c r="T136">
        <v>123</v>
      </c>
      <c r="U136" t="s">
        <v>65</v>
      </c>
      <c r="V136">
        <f t="shared" si="6"/>
        <v>3</v>
      </c>
      <c r="W136">
        <f t="shared" si="7"/>
        <v>0</v>
      </c>
      <c r="X136">
        <f t="shared" si="8"/>
        <v>0</v>
      </c>
      <c r="Y136">
        <v>113</v>
      </c>
      <c r="Z136">
        <v>123</v>
      </c>
      <c r="AA136" t="s">
        <v>1493</v>
      </c>
      <c r="AB136" t="s">
        <v>1494</v>
      </c>
      <c r="AC136" t="s">
        <v>93</v>
      </c>
      <c r="AD136">
        <v>6</v>
      </c>
      <c r="AE136">
        <v>55</v>
      </c>
      <c r="AF136" t="s">
        <v>126</v>
      </c>
      <c r="AG136">
        <v>35</v>
      </c>
      <c r="AH136" t="s">
        <v>197</v>
      </c>
      <c r="AI136">
        <v>163.63999999999999</v>
      </c>
      <c r="AJ136" t="s">
        <v>132</v>
      </c>
      <c r="AK136" t="s">
        <v>912</v>
      </c>
      <c r="AL136" t="s">
        <v>914</v>
      </c>
      <c r="AM136" t="s">
        <v>128</v>
      </c>
      <c r="AN136" s="1">
        <v>45640</v>
      </c>
      <c r="AO136">
        <v>2024</v>
      </c>
      <c r="AP136">
        <v>12</v>
      </c>
      <c r="AQ136" t="s">
        <v>116</v>
      </c>
      <c r="AS136" t="s">
        <v>85</v>
      </c>
      <c r="AT136">
        <v>2025</v>
      </c>
      <c r="AU136" t="s">
        <v>161</v>
      </c>
      <c r="AV136" t="s">
        <v>128</v>
      </c>
      <c r="AW136" t="s">
        <v>1491</v>
      </c>
      <c r="AX136">
        <v>2025</v>
      </c>
      <c r="AY136" t="s">
        <v>1492</v>
      </c>
      <c r="AZ136" t="s">
        <v>1493</v>
      </c>
    </row>
    <row r="137" spans="1:52" x14ac:dyDescent="0.25">
      <c r="A137" t="s">
        <v>1495</v>
      </c>
      <c r="B137" s="1">
        <v>32202</v>
      </c>
      <c r="C137" t="s">
        <v>1496</v>
      </c>
      <c r="D137">
        <v>480979</v>
      </c>
      <c r="E137" t="s">
        <v>46</v>
      </c>
      <c r="F137" t="s">
        <v>441</v>
      </c>
      <c r="G137" t="s">
        <v>548</v>
      </c>
      <c r="H137" t="s">
        <v>1496</v>
      </c>
      <c r="I137" t="s">
        <v>233</v>
      </c>
      <c r="J137">
        <v>60</v>
      </c>
      <c r="K137">
        <v>64</v>
      </c>
      <c r="L137">
        <v>67</v>
      </c>
      <c r="M137">
        <v>67</v>
      </c>
      <c r="N137">
        <v>131</v>
      </c>
      <c r="O137" t="s">
        <v>48</v>
      </c>
      <c r="P137">
        <v>77</v>
      </c>
      <c r="Q137">
        <v>81</v>
      </c>
      <c r="R137">
        <v>85</v>
      </c>
      <c r="S137">
        <v>85</v>
      </c>
      <c r="T137">
        <v>166</v>
      </c>
      <c r="U137" t="s">
        <v>48</v>
      </c>
      <c r="V137">
        <f t="shared" si="6"/>
        <v>6</v>
      </c>
      <c r="W137">
        <f t="shared" si="7"/>
        <v>0</v>
      </c>
      <c r="X137">
        <f t="shared" si="8"/>
        <v>0</v>
      </c>
      <c r="Y137">
        <v>152</v>
      </c>
      <c r="Z137">
        <v>297</v>
      </c>
      <c r="AA137" t="s">
        <v>1497</v>
      </c>
      <c r="AB137" t="s">
        <v>1498</v>
      </c>
      <c r="AC137" t="s">
        <v>89</v>
      </c>
      <c r="AD137">
        <v>5</v>
      </c>
      <c r="AE137">
        <v>71</v>
      </c>
      <c r="AF137" t="s">
        <v>126</v>
      </c>
      <c r="AG137">
        <v>35</v>
      </c>
      <c r="AH137" t="s">
        <v>226</v>
      </c>
      <c r="AI137">
        <v>190.05</v>
      </c>
      <c r="AJ137" t="s">
        <v>132</v>
      </c>
      <c r="AK137" t="s">
        <v>441</v>
      </c>
      <c r="AL137" t="s">
        <v>445</v>
      </c>
      <c r="AM137" t="s">
        <v>72</v>
      </c>
      <c r="AN137" s="1">
        <v>45640</v>
      </c>
      <c r="AO137">
        <v>2024</v>
      </c>
      <c r="AP137">
        <v>12</v>
      </c>
      <c r="AQ137" t="s">
        <v>116</v>
      </c>
      <c r="AS137" t="s">
        <v>85</v>
      </c>
      <c r="AT137">
        <v>2025</v>
      </c>
      <c r="AU137" t="s">
        <v>548</v>
      </c>
      <c r="AV137" t="s">
        <v>72</v>
      </c>
      <c r="AW137" t="s">
        <v>1496</v>
      </c>
      <c r="AX137">
        <v>2025</v>
      </c>
      <c r="AY137" t="s">
        <v>1497</v>
      </c>
      <c r="AZ137" t="s">
        <v>1497</v>
      </c>
    </row>
    <row r="138" spans="1:52" x14ac:dyDescent="0.25">
      <c r="A138" t="s">
        <v>1499</v>
      </c>
      <c r="B138" s="1">
        <v>34771</v>
      </c>
      <c r="C138" t="s">
        <v>1500</v>
      </c>
      <c r="D138">
        <v>505184</v>
      </c>
      <c r="E138" t="s">
        <v>254</v>
      </c>
      <c r="F138" t="s">
        <v>801</v>
      </c>
      <c r="G138" t="s">
        <v>255</v>
      </c>
      <c r="H138" t="s">
        <v>1500</v>
      </c>
      <c r="I138" t="s">
        <v>1502</v>
      </c>
      <c r="J138">
        <v>60</v>
      </c>
      <c r="K138">
        <v>65</v>
      </c>
      <c r="L138">
        <v>-70</v>
      </c>
      <c r="M138">
        <v>65</v>
      </c>
      <c r="N138">
        <v>125</v>
      </c>
      <c r="O138" t="s">
        <v>60</v>
      </c>
      <c r="P138">
        <v>73</v>
      </c>
      <c r="Q138">
        <v>78</v>
      </c>
      <c r="R138">
        <v>83</v>
      </c>
      <c r="S138">
        <v>83</v>
      </c>
      <c r="T138">
        <v>161</v>
      </c>
      <c r="U138" t="s">
        <v>48</v>
      </c>
      <c r="V138">
        <f t="shared" si="6"/>
        <v>5</v>
      </c>
      <c r="W138">
        <f t="shared" si="7"/>
        <v>0</v>
      </c>
      <c r="X138">
        <f t="shared" si="8"/>
        <v>0</v>
      </c>
      <c r="Y138">
        <v>148</v>
      </c>
      <c r="Z138">
        <v>286</v>
      </c>
      <c r="AA138" t="s">
        <v>1503</v>
      </c>
      <c r="AB138" t="s">
        <v>1504</v>
      </c>
      <c r="AC138" t="s">
        <v>93</v>
      </c>
      <c r="AD138">
        <v>6</v>
      </c>
      <c r="AE138">
        <v>71</v>
      </c>
      <c r="AF138" t="s">
        <v>126</v>
      </c>
      <c r="AH138" t="s">
        <v>226</v>
      </c>
      <c r="AI138">
        <v>183.24</v>
      </c>
      <c r="AJ138" t="s">
        <v>132</v>
      </c>
      <c r="AK138" t="s">
        <v>801</v>
      </c>
      <c r="AL138" t="s">
        <v>804</v>
      </c>
      <c r="AM138" t="s">
        <v>68</v>
      </c>
      <c r="AN138" s="1">
        <v>45640</v>
      </c>
      <c r="AO138">
        <v>2024</v>
      </c>
      <c r="AP138">
        <v>12</v>
      </c>
      <c r="AQ138" t="s">
        <v>116</v>
      </c>
      <c r="AS138" t="s">
        <v>85</v>
      </c>
      <c r="AT138">
        <v>2025</v>
      </c>
      <c r="AU138" t="s">
        <v>255</v>
      </c>
      <c r="AV138" t="s">
        <v>68</v>
      </c>
      <c r="AW138" t="s">
        <v>1500</v>
      </c>
      <c r="AX138">
        <v>2025</v>
      </c>
      <c r="AY138" t="s">
        <v>1501</v>
      </c>
      <c r="AZ138" t="s">
        <v>1501</v>
      </c>
    </row>
    <row r="139" spans="1:52" x14ac:dyDescent="0.25">
      <c r="A139" t="s">
        <v>1507</v>
      </c>
      <c r="B139" s="1">
        <v>35422</v>
      </c>
      <c r="C139" t="s">
        <v>1508</v>
      </c>
      <c r="D139">
        <v>485027</v>
      </c>
      <c r="E139" t="s">
        <v>46</v>
      </c>
      <c r="F139" t="s">
        <v>693</v>
      </c>
      <c r="G139" t="s">
        <v>1004</v>
      </c>
      <c r="H139" t="s">
        <v>1508</v>
      </c>
      <c r="I139" t="s">
        <v>656</v>
      </c>
      <c r="J139">
        <v>67</v>
      </c>
      <c r="K139">
        <v>70</v>
      </c>
      <c r="L139">
        <v>-73</v>
      </c>
      <c r="M139">
        <v>70</v>
      </c>
      <c r="N139">
        <v>137</v>
      </c>
      <c r="O139" t="s">
        <v>60</v>
      </c>
      <c r="P139">
        <v>87</v>
      </c>
      <c r="Q139">
        <v>-90</v>
      </c>
      <c r="R139">
        <v>90</v>
      </c>
      <c r="S139">
        <v>90</v>
      </c>
      <c r="T139">
        <v>177</v>
      </c>
      <c r="U139" t="s">
        <v>65</v>
      </c>
      <c r="V139">
        <f t="shared" si="6"/>
        <v>4</v>
      </c>
      <c r="W139">
        <f t="shared" si="7"/>
        <v>0</v>
      </c>
      <c r="X139">
        <f t="shared" si="8"/>
        <v>0</v>
      </c>
      <c r="Y139">
        <v>160</v>
      </c>
      <c r="Z139">
        <v>314</v>
      </c>
      <c r="AA139" t="s">
        <v>1510</v>
      </c>
      <c r="AB139" t="s">
        <v>1511</v>
      </c>
      <c r="AC139" t="s">
        <v>89</v>
      </c>
      <c r="AD139">
        <v>5</v>
      </c>
      <c r="AE139">
        <v>76</v>
      </c>
      <c r="AF139" t="s">
        <v>126</v>
      </c>
      <c r="AH139" t="s">
        <v>228</v>
      </c>
      <c r="AI139">
        <v>192.48</v>
      </c>
      <c r="AJ139" t="s">
        <v>132</v>
      </c>
      <c r="AK139" t="s">
        <v>693</v>
      </c>
      <c r="AL139" t="s">
        <v>696</v>
      </c>
      <c r="AM139" t="s">
        <v>139</v>
      </c>
      <c r="AN139" s="1">
        <v>45641</v>
      </c>
      <c r="AO139">
        <v>2024</v>
      </c>
      <c r="AP139">
        <v>12</v>
      </c>
      <c r="AQ139" t="s">
        <v>116</v>
      </c>
      <c r="AS139" t="s">
        <v>85</v>
      </c>
      <c r="AT139">
        <v>2025</v>
      </c>
      <c r="AU139" t="s">
        <v>1004</v>
      </c>
      <c r="AV139" t="s">
        <v>140</v>
      </c>
      <c r="AW139" t="s">
        <v>1508</v>
      </c>
      <c r="AX139">
        <v>2025</v>
      </c>
      <c r="AY139" t="s">
        <v>1509</v>
      </c>
      <c r="AZ139" t="s">
        <v>1510</v>
      </c>
    </row>
    <row r="140" spans="1:52" x14ac:dyDescent="0.25">
      <c r="A140" t="s">
        <v>1512</v>
      </c>
      <c r="B140" s="1">
        <v>40509</v>
      </c>
      <c r="C140" t="s">
        <v>1513</v>
      </c>
      <c r="D140">
        <v>501380</v>
      </c>
      <c r="E140" t="s">
        <v>46</v>
      </c>
      <c r="F140" t="s">
        <v>1350</v>
      </c>
      <c r="G140" t="s">
        <v>289</v>
      </c>
      <c r="H140" t="s">
        <v>1513</v>
      </c>
      <c r="I140" t="s">
        <v>1515</v>
      </c>
      <c r="J140">
        <v>-45</v>
      </c>
      <c r="K140">
        <v>45</v>
      </c>
      <c r="L140">
        <v>48</v>
      </c>
      <c r="M140">
        <v>48</v>
      </c>
      <c r="N140">
        <v>93</v>
      </c>
      <c r="O140" t="s">
        <v>63</v>
      </c>
      <c r="P140">
        <v>52</v>
      </c>
      <c r="Q140">
        <v>56</v>
      </c>
      <c r="R140">
        <v>-59</v>
      </c>
      <c r="S140">
        <v>56</v>
      </c>
      <c r="T140">
        <v>108</v>
      </c>
      <c r="U140" t="s">
        <v>60</v>
      </c>
      <c r="V140">
        <f t="shared" si="6"/>
        <v>4</v>
      </c>
      <c r="W140">
        <f t="shared" si="7"/>
        <v>0</v>
      </c>
      <c r="X140">
        <f t="shared" si="8"/>
        <v>0</v>
      </c>
      <c r="Y140">
        <v>104</v>
      </c>
      <c r="Z140">
        <v>201</v>
      </c>
      <c r="AA140" t="s">
        <v>1514</v>
      </c>
      <c r="AB140" t="s">
        <v>1516</v>
      </c>
      <c r="AC140" t="s">
        <v>94</v>
      </c>
      <c r="AD140">
        <v>4</v>
      </c>
      <c r="AE140">
        <v>55</v>
      </c>
      <c r="AF140" t="s">
        <v>57</v>
      </c>
      <c r="AH140" t="s">
        <v>172</v>
      </c>
      <c r="AI140">
        <v>159.22999999999999</v>
      </c>
      <c r="AJ140" t="s">
        <v>132</v>
      </c>
      <c r="AK140" t="s">
        <v>1350</v>
      </c>
      <c r="AL140" t="s">
        <v>1352</v>
      </c>
      <c r="AM140" t="s">
        <v>90</v>
      </c>
      <c r="AN140" s="1">
        <v>45640</v>
      </c>
      <c r="AO140">
        <v>2024</v>
      </c>
      <c r="AP140">
        <v>12</v>
      </c>
      <c r="AQ140" t="s">
        <v>116</v>
      </c>
      <c r="AS140" t="s">
        <v>85</v>
      </c>
      <c r="AT140">
        <v>2025</v>
      </c>
      <c r="AU140" t="s">
        <v>289</v>
      </c>
      <c r="AV140" t="s">
        <v>91</v>
      </c>
      <c r="AW140" t="s">
        <v>1513</v>
      </c>
      <c r="AX140">
        <v>2025</v>
      </c>
      <c r="AY140" t="s">
        <v>1514</v>
      </c>
      <c r="AZ140" t="s">
        <v>1514</v>
      </c>
    </row>
    <row r="141" spans="1:52" x14ac:dyDescent="0.25">
      <c r="A141" t="s">
        <v>1517</v>
      </c>
      <c r="B141" s="1">
        <v>39639</v>
      </c>
      <c r="C141" t="s">
        <v>1518</v>
      </c>
      <c r="D141">
        <v>496947</v>
      </c>
      <c r="E141" t="s">
        <v>46</v>
      </c>
      <c r="F141" t="s">
        <v>1221</v>
      </c>
      <c r="G141" t="s">
        <v>258</v>
      </c>
      <c r="H141" t="s">
        <v>1518</v>
      </c>
      <c r="I141" t="s">
        <v>774</v>
      </c>
      <c r="J141">
        <v>35</v>
      </c>
      <c r="K141">
        <v>38</v>
      </c>
      <c r="L141">
        <v>-40</v>
      </c>
      <c r="M141">
        <v>38</v>
      </c>
      <c r="N141">
        <v>73</v>
      </c>
      <c r="O141" t="s">
        <v>60</v>
      </c>
      <c r="P141">
        <v>45</v>
      </c>
      <c r="Q141">
        <v>49</v>
      </c>
      <c r="R141">
        <v>-52</v>
      </c>
      <c r="S141">
        <v>49</v>
      </c>
      <c r="T141">
        <v>94</v>
      </c>
      <c r="U141" t="s">
        <v>60</v>
      </c>
      <c r="V141">
        <f t="shared" si="6"/>
        <v>4</v>
      </c>
      <c r="W141">
        <f t="shared" si="7"/>
        <v>0</v>
      </c>
      <c r="X141">
        <f t="shared" si="8"/>
        <v>0</v>
      </c>
      <c r="Y141">
        <v>87</v>
      </c>
      <c r="Z141">
        <v>167</v>
      </c>
      <c r="AA141" t="s">
        <v>1519</v>
      </c>
      <c r="AB141" t="s">
        <v>1520</v>
      </c>
      <c r="AC141" t="s">
        <v>93</v>
      </c>
      <c r="AD141">
        <v>6</v>
      </c>
      <c r="AE141">
        <v>55</v>
      </c>
      <c r="AF141" t="s">
        <v>95</v>
      </c>
      <c r="AH141" t="s">
        <v>175</v>
      </c>
      <c r="AI141">
        <v>131.13999999999999</v>
      </c>
      <c r="AJ141" t="s">
        <v>132</v>
      </c>
      <c r="AK141" t="s">
        <v>1221</v>
      </c>
      <c r="AL141" t="s">
        <v>1223</v>
      </c>
      <c r="AM141" t="s">
        <v>128</v>
      </c>
      <c r="AN141" s="1">
        <v>45641</v>
      </c>
      <c r="AO141">
        <v>2024</v>
      </c>
      <c r="AP141">
        <v>12</v>
      </c>
      <c r="AQ141" t="s">
        <v>116</v>
      </c>
      <c r="AS141" t="s">
        <v>85</v>
      </c>
      <c r="AT141">
        <v>2025</v>
      </c>
      <c r="AU141" t="s">
        <v>258</v>
      </c>
      <c r="AV141" t="s">
        <v>128</v>
      </c>
      <c r="AW141" t="s">
        <v>1518</v>
      </c>
      <c r="AX141">
        <v>2025</v>
      </c>
      <c r="AY141" t="s">
        <v>1519</v>
      </c>
      <c r="AZ141" t="s">
        <v>1519</v>
      </c>
    </row>
    <row r="142" spans="1:52" x14ac:dyDescent="0.25">
      <c r="A142" t="s">
        <v>1521</v>
      </c>
      <c r="B142" s="1">
        <v>30546</v>
      </c>
      <c r="C142" t="s">
        <v>1522</v>
      </c>
      <c r="D142">
        <v>421306</v>
      </c>
      <c r="E142" t="s">
        <v>46</v>
      </c>
      <c r="F142" t="s">
        <v>770</v>
      </c>
      <c r="G142" t="s">
        <v>556</v>
      </c>
      <c r="H142" t="s">
        <v>1522</v>
      </c>
      <c r="I142">
        <v>56</v>
      </c>
      <c r="J142">
        <v>50</v>
      </c>
      <c r="K142">
        <v>52</v>
      </c>
      <c r="L142">
        <v>53</v>
      </c>
      <c r="M142">
        <v>53</v>
      </c>
      <c r="N142">
        <v>105</v>
      </c>
      <c r="O142" t="s">
        <v>48</v>
      </c>
      <c r="P142">
        <v>63</v>
      </c>
      <c r="Q142">
        <v>66</v>
      </c>
      <c r="R142">
        <v>68</v>
      </c>
      <c r="S142">
        <v>68</v>
      </c>
      <c r="T142">
        <v>134</v>
      </c>
      <c r="U142" t="s">
        <v>48</v>
      </c>
      <c r="V142">
        <f t="shared" si="6"/>
        <v>6</v>
      </c>
      <c r="W142">
        <f t="shared" si="7"/>
        <v>0</v>
      </c>
      <c r="X142">
        <f t="shared" si="8"/>
        <v>0</v>
      </c>
      <c r="Y142">
        <v>121</v>
      </c>
      <c r="Z142">
        <v>239</v>
      </c>
      <c r="AA142" t="s">
        <v>1523</v>
      </c>
      <c r="AB142" t="s">
        <v>1524</v>
      </c>
      <c r="AC142" t="s">
        <v>93</v>
      </c>
      <c r="AD142">
        <v>6</v>
      </c>
      <c r="AE142">
        <v>59</v>
      </c>
      <c r="AF142" t="s">
        <v>126</v>
      </c>
      <c r="AG142">
        <v>40</v>
      </c>
      <c r="AH142" t="s">
        <v>202</v>
      </c>
      <c r="AI142">
        <v>171.48</v>
      </c>
      <c r="AJ142" t="s">
        <v>132</v>
      </c>
      <c r="AK142" t="s">
        <v>770</v>
      </c>
      <c r="AL142" t="s">
        <v>773</v>
      </c>
      <c r="AM142" t="s">
        <v>302</v>
      </c>
      <c r="AN142" s="1">
        <v>45640</v>
      </c>
      <c r="AO142">
        <v>2024</v>
      </c>
      <c r="AP142">
        <v>12</v>
      </c>
      <c r="AQ142" t="s">
        <v>116</v>
      </c>
      <c r="AS142" t="s">
        <v>85</v>
      </c>
      <c r="AT142">
        <v>2025</v>
      </c>
      <c r="AU142" t="s">
        <v>556</v>
      </c>
      <c r="AV142" t="s">
        <v>303</v>
      </c>
      <c r="AW142" t="s">
        <v>1522</v>
      </c>
      <c r="AX142">
        <v>2025</v>
      </c>
      <c r="AY142" t="s">
        <v>1523</v>
      </c>
      <c r="AZ142" t="s">
        <v>1523</v>
      </c>
    </row>
    <row r="143" spans="1:52" x14ac:dyDescent="0.25">
      <c r="A143" t="s">
        <v>1810</v>
      </c>
      <c r="B143" s="1">
        <v>30767</v>
      </c>
      <c r="C143" t="s">
        <v>1811</v>
      </c>
      <c r="D143">
        <v>430046</v>
      </c>
      <c r="E143" t="s">
        <v>46</v>
      </c>
      <c r="F143" t="s">
        <v>1209</v>
      </c>
      <c r="G143" t="s">
        <v>78</v>
      </c>
      <c r="H143" t="s">
        <v>1811</v>
      </c>
      <c r="I143" t="s">
        <v>853</v>
      </c>
      <c r="J143">
        <v>-47</v>
      </c>
      <c r="K143">
        <v>47</v>
      </c>
      <c r="L143">
        <v>-50</v>
      </c>
      <c r="M143">
        <v>47</v>
      </c>
      <c r="N143">
        <v>0</v>
      </c>
      <c r="O143" t="s">
        <v>104</v>
      </c>
      <c r="P143">
        <v>55</v>
      </c>
      <c r="Q143">
        <v>57</v>
      </c>
      <c r="R143">
        <v>-60</v>
      </c>
      <c r="S143">
        <v>57</v>
      </c>
      <c r="T143">
        <v>112</v>
      </c>
      <c r="U143" t="s">
        <v>60</v>
      </c>
      <c r="V143">
        <f t="shared" si="6"/>
        <v>3</v>
      </c>
      <c r="W143">
        <f t="shared" si="7"/>
        <v>0</v>
      </c>
      <c r="X143">
        <f t="shared" si="8"/>
        <v>0</v>
      </c>
      <c r="Y143">
        <v>104</v>
      </c>
      <c r="Z143">
        <v>112</v>
      </c>
      <c r="AA143" t="s">
        <v>1815</v>
      </c>
      <c r="AB143" t="s">
        <v>1816</v>
      </c>
      <c r="AC143" t="s">
        <v>93</v>
      </c>
      <c r="AD143">
        <v>6</v>
      </c>
      <c r="AE143">
        <v>49</v>
      </c>
      <c r="AF143" t="s">
        <v>126</v>
      </c>
      <c r="AG143">
        <v>40</v>
      </c>
      <c r="AH143" t="s">
        <v>195</v>
      </c>
      <c r="AI143">
        <v>172.94</v>
      </c>
      <c r="AJ143" t="s">
        <v>132</v>
      </c>
      <c r="AK143" t="s">
        <v>1209</v>
      </c>
      <c r="AL143" t="s">
        <v>1213</v>
      </c>
      <c r="AM143" t="s">
        <v>68</v>
      </c>
      <c r="AN143" s="1">
        <v>45640</v>
      </c>
      <c r="AO143">
        <v>2024</v>
      </c>
      <c r="AP143">
        <v>12</v>
      </c>
      <c r="AQ143" t="s">
        <v>116</v>
      </c>
      <c r="AS143" t="s">
        <v>85</v>
      </c>
      <c r="AT143">
        <v>2025</v>
      </c>
      <c r="AU143" t="s">
        <v>78</v>
      </c>
      <c r="AV143" t="s">
        <v>68</v>
      </c>
      <c r="AW143" t="s">
        <v>1811</v>
      </c>
      <c r="AX143">
        <v>2025</v>
      </c>
      <c r="AY143" t="s">
        <v>1812</v>
      </c>
      <c r="AZ143" t="s">
        <v>1813</v>
      </c>
    </row>
    <row r="144" spans="1:52" x14ac:dyDescent="0.25">
      <c r="A144" t="s">
        <v>1525</v>
      </c>
      <c r="B144" s="1">
        <v>39959</v>
      </c>
      <c r="C144" t="s">
        <v>1526</v>
      </c>
      <c r="D144">
        <v>475378</v>
      </c>
      <c r="E144" t="s">
        <v>46</v>
      </c>
      <c r="F144" t="s">
        <v>199</v>
      </c>
      <c r="G144" t="s">
        <v>47</v>
      </c>
      <c r="H144" t="s">
        <v>1526</v>
      </c>
      <c r="I144" t="s">
        <v>540</v>
      </c>
      <c r="J144">
        <v>47</v>
      </c>
      <c r="K144">
        <v>50</v>
      </c>
      <c r="L144">
        <v>-53</v>
      </c>
      <c r="M144">
        <v>50</v>
      </c>
      <c r="N144">
        <v>97</v>
      </c>
      <c r="O144" t="s">
        <v>60</v>
      </c>
      <c r="P144">
        <v>60</v>
      </c>
      <c r="Q144">
        <v>63</v>
      </c>
      <c r="R144">
        <v>65</v>
      </c>
      <c r="S144">
        <v>65</v>
      </c>
      <c r="T144">
        <v>128</v>
      </c>
      <c r="U144" t="s">
        <v>48</v>
      </c>
      <c r="V144">
        <f t="shared" si="6"/>
        <v>5</v>
      </c>
      <c r="W144">
        <f t="shared" si="7"/>
        <v>0</v>
      </c>
      <c r="X144">
        <f t="shared" si="8"/>
        <v>0</v>
      </c>
      <c r="Y144">
        <v>115</v>
      </c>
      <c r="Z144">
        <v>225</v>
      </c>
      <c r="AA144" t="s">
        <v>1528</v>
      </c>
      <c r="AB144" t="s">
        <v>1529</v>
      </c>
      <c r="AC144" t="s">
        <v>94</v>
      </c>
      <c r="AD144">
        <v>4</v>
      </c>
      <c r="AE144">
        <v>55</v>
      </c>
      <c r="AF144" t="s">
        <v>95</v>
      </c>
      <c r="AH144" t="s">
        <v>175</v>
      </c>
      <c r="AI144">
        <v>167.41</v>
      </c>
      <c r="AJ144" t="s">
        <v>132</v>
      </c>
      <c r="AK144" t="s">
        <v>199</v>
      </c>
      <c r="AL144" t="s">
        <v>203</v>
      </c>
      <c r="AM144" t="s">
        <v>53</v>
      </c>
      <c r="AN144" s="1">
        <v>45640</v>
      </c>
      <c r="AO144">
        <v>2024</v>
      </c>
      <c r="AP144">
        <v>12</v>
      </c>
      <c r="AQ144" t="s">
        <v>116</v>
      </c>
      <c r="AS144" t="s">
        <v>85</v>
      </c>
      <c r="AT144">
        <v>2025</v>
      </c>
      <c r="AU144" t="s">
        <v>47</v>
      </c>
      <c r="AV144" t="s">
        <v>54</v>
      </c>
      <c r="AW144" t="s">
        <v>1526</v>
      </c>
      <c r="AX144">
        <v>2025</v>
      </c>
      <c r="AY144" t="s">
        <v>1527</v>
      </c>
      <c r="AZ144" t="s">
        <v>1527</v>
      </c>
    </row>
    <row r="145" spans="1:52" x14ac:dyDescent="0.25">
      <c r="A145" t="s">
        <v>1531</v>
      </c>
      <c r="B145" s="1">
        <v>33409</v>
      </c>
      <c r="C145" t="s">
        <v>1532</v>
      </c>
      <c r="D145">
        <v>462019</v>
      </c>
      <c r="E145" t="s">
        <v>46</v>
      </c>
      <c r="F145" t="s">
        <v>338</v>
      </c>
      <c r="G145" t="s">
        <v>536</v>
      </c>
      <c r="H145" t="s">
        <v>1532</v>
      </c>
      <c r="I145">
        <v>59</v>
      </c>
      <c r="J145">
        <v>-64</v>
      </c>
      <c r="K145">
        <v>64</v>
      </c>
      <c r="L145">
        <v>-67</v>
      </c>
      <c r="M145">
        <v>64</v>
      </c>
      <c r="N145">
        <v>0</v>
      </c>
      <c r="O145" t="s">
        <v>104</v>
      </c>
      <c r="P145">
        <v>-84</v>
      </c>
      <c r="Q145">
        <v>84</v>
      </c>
      <c r="R145">
        <v>-87</v>
      </c>
      <c r="S145">
        <v>84</v>
      </c>
      <c r="T145">
        <v>0</v>
      </c>
      <c r="U145" t="s">
        <v>104</v>
      </c>
      <c r="V145">
        <f t="shared" si="6"/>
        <v>2</v>
      </c>
      <c r="W145">
        <f t="shared" si="7"/>
        <v>0</v>
      </c>
      <c r="X145">
        <f t="shared" si="8"/>
        <v>0</v>
      </c>
      <c r="Y145">
        <v>148</v>
      </c>
      <c r="Z145">
        <v>0</v>
      </c>
      <c r="AA145" t="s">
        <v>1533</v>
      </c>
      <c r="AB145" t="s">
        <v>99</v>
      </c>
      <c r="AC145" t="s">
        <v>89</v>
      </c>
      <c r="AD145">
        <v>5</v>
      </c>
      <c r="AE145">
        <v>59</v>
      </c>
      <c r="AF145" t="s">
        <v>126</v>
      </c>
      <c r="AH145" t="s">
        <v>202</v>
      </c>
      <c r="AI145">
        <v>202.5</v>
      </c>
      <c r="AJ145" t="s">
        <v>132</v>
      </c>
      <c r="AK145" t="s">
        <v>338</v>
      </c>
      <c r="AL145" t="s">
        <v>340</v>
      </c>
      <c r="AM145" t="s">
        <v>128</v>
      </c>
      <c r="AN145" s="1">
        <v>45640</v>
      </c>
      <c r="AO145">
        <v>2024</v>
      </c>
      <c r="AP145">
        <v>12</v>
      </c>
      <c r="AQ145" t="s">
        <v>116</v>
      </c>
      <c r="AS145" t="s">
        <v>85</v>
      </c>
      <c r="AT145">
        <v>2025</v>
      </c>
      <c r="AU145" t="s">
        <v>536</v>
      </c>
      <c r="AV145" t="s">
        <v>128</v>
      </c>
      <c r="AW145" t="s">
        <v>1532</v>
      </c>
      <c r="AX145">
        <v>2025</v>
      </c>
      <c r="AY145" t="s">
        <v>1533</v>
      </c>
      <c r="AZ145" t="s">
        <v>1533</v>
      </c>
    </row>
    <row r="146" spans="1:52" x14ac:dyDescent="0.25">
      <c r="A146" t="s">
        <v>1534</v>
      </c>
      <c r="B146" s="1">
        <v>34425</v>
      </c>
      <c r="C146" t="s">
        <v>1535</v>
      </c>
      <c r="D146">
        <v>436708</v>
      </c>
      <c r="E146" t="s">
        <v>46</v>
      </c>
      <c r="F146" t="s">
        <v>338</v>
      </c>
      <c r="G146" t="s">
        <v>606</v>
      </c>
      <c r="H146" t="s">
        <v>1535</v>
      </c>
      <c r="I146" t="s">
        <v>182</v>
      </c>
      <c r="J146">
        <v>49</v>
      </c>
      <c r="K146">
        <v>-52</v>
      </c>
      <c r="L146">
        <v>-54</v>
      </c>
      <c r="M146">
        <v>49</v>
      </c>
      <c r="N146">
        <v>0</v>
      </c>
      <c r="O146" t="s">
        <v>55</v>
      </c>
      <c r="P146">
        <v>70</v>
      </c>
      <c r="Q146">
        <v>-74</v>
      </c>
      <c r="R146">
        <v>-74</v>
      </c>
      <c r="S146">
        <v>70</v>
      </c>
      <c r="T146">
        <v>0</v>
      </c>
      <c r="U146" t="s">
        <v>55</v>
      </c>
      <c r="V146">
        <f t="shared" si="6"/>
        <v>2</v>
      </c>
      <c r="W146">
        <f t="shared" si="7"/>
        <v>0</v>
      </c>
      <c r="X146">
        <f t="shared" si="8"/>
        <v>0</v>
      </c>
      <c r="Y146">
        <v>119</v>
      </c>
      <c r="Z146">
        <v>0</v>
      </c>
      <c r="AA146" t="s">
        <v>1537</v>
      </c>
      <c r="AB146" t="s">
        <v>99</v>
      </c>
      <c r="AC146" t="s">
        <v>93</v>
      </c>
      <c r="AD146">
        <v>6</v>
      </c>
      <c r="AE146">
        <v>55</v>
      </c>
      <c r="AF146" t="s">
        <v>126</v>
      </c>
      <c r="AH146" t="s">
        <v>197</v>
      </c>
      <c r="AI146">
        <v>172.1</v>
      </c>
      <c r="AJ146" t="s">
        <v>132</v>
      </c>
      <c r="AK146" t="s">
        <v>338</v>
      </c>
      <c r="AL146" t="s">
        <v>340</v>
      </c>
      <c r="AM146" t="s">
        <v>128</v>
      </c>
      <c r="AN146" s="1">
        <v>45640</v>
      </c>
      <c r="AO146">
        <v>2024</v>
      </c>
      <c r="AP146">
        <v>12</v>
      </c>
      <c r="AQ146" t="s">
        <v>116</v>
      </c>
      <c r="AS146" t="s">
        <v>85</v>
      </c>
      <c r="AT146">
        <v>2025</v>
      </c>
      <c r="AU146" t="s">
        <v>606</v>
      </c>
      <c r="AV146" t="s">
        <v>128</v>
      </c>
      <c r="AW146" t="s">
        <v>1535</v>
      </c>
      <c r="AX146">
        <v>2025</v>
      </c>
      <c r="AY146" t="s">
        <v>1536</v>
      </c>
      <c r="AZ146" t="s">
        <v>1536</v>
      </c>
    </row>
    <row r="147" spans="1:52" x14ac:dyDescent="0.25">
      <c r="A147" t="s">
        <v>1538</v>
      </c>
      <c r="B147" s="1">
        <v>35416</v>
      </c>
      <c r="C147" t="s">
        <v>1539</v>
      </c>
      <c r="D147">
        <v>494068</v>
      </c>
      <c r="E147" t="s">
        <v>46</v>
      </c>
      <c r="F147" t="s">
        <v>990</v>
      </c>
      <c r="G147" t="s">
        <v>513</v>
      </c>
      <c r="H147" t="s">
        <v>1539</v>
      </c>
      <c r="I147" t="s">
        <v>377</v>
      </c>
      <c r="J147">
        <v>64</v>
      </c>
      <c r="K147">
        <v>-67</v>
      </c>
      <c r="L147">
        <v>-68</v>
      </c>
      <c r="M147">
        <v>64</v>
      </c>
      <c r="N147">
        <v>0</v>
      </c>
      <c r="O147" t="s">
        <v>55</v>
      </c>
      <c r="P147">
        <v>-78</v>
      </c>
      <c r="Q147">
        <v>80</v>
      </c>
      <c r="R147">
        <v>-84</v>
      </c>
      <c r="S147">
        <v>80</v>
      </c>
      <c r="T147">
        <v>0</v>
      </c>
      <c r="U147" t="s">
        <v>104</v>
      </c>
      <c r="V147">
        <f t="shared" si="6"/>
        <v>2</v>
      </c>
      <c r="W147">
        <f t="shared" si="7"/>
        <v>0</v>
      </c>
      <c r="X147">
        <f t="shared" si="8"/>
        <v>0</v>
      </c>
      <c r="Y147">
        <v>144</v>
      </c>
      <c r="Z147">
        <v>0</v>
      </c>
      <c r="AA147" t="s">
        <v>1541</v>
      </c>
      <c r="AB147" t="s">
        <v>99</v>
      </c>
      <c r="AC147" t="s">
        <v>89</v>
      </c>
      <c r="AD147">
        <v>5</v>
      </c>
      <c r="AE147">
        <v>59</v>
      </c>
      <c r="AF147" t="s">
        <v>126</v>
      </c>
      <c r="AH147" t="s">
        <v>202</v>
      </c>
      <c r="AI147">
        <v>201.14</v>
      </c>
      <c r="AJ147" t="s">
        <v>132</v>
      </c>
      <c r="AK147" t="s">
        <v>990</v>
      </c>
      <c r="AL147" t="s">
        <v>993</v>
      </c>
      <c r="AM147" t="s">
        <v>145</v>
      </c>
      <c r="AN147" s="1">
        <v>45640</v>
      </c>
      <c r="AO147">
        <v>2024</v>
      </c>
      <c r="AP147">
        <v>12</v>
      </c>
      <c r="AQ147" t="s">
        <v>116</v>
      </c>
      <c r="AS147" t="s">
        <v>85</v>
      </c>
      <c r="AT147">
        <v>2025</v>
      </c>
      <c r="AU147" t="s">
        <v>513</v>
      </c>
      <c r="AV147" t="s">
        <v>145</v>
      </c>
      <c r="AW147" t="s">
        <v>1539</v>
      </c>
      <c r="AX147">
        <v>2025</v>
      </c>
      <c r="AY147" t="s">
        <v>1540</v>
      </c>
      <c r="AZ147" t="s">
        <v>1541</v>
      </c>
    </row>
    <row r="148" spans="1:52" x14ac:dyDescent="0.25">
      <c r="A148" t="s">
        <v>1817</v>
      </c>
      <c r="B148" s="1">
        <v>39769</v>
      </c>
      <c r="C148" t="s">
        <v>1818</v>
      </c>
      <c r="D148">
        <v>473594</v>
      </c>
      <c r="E148" t="s">
        <v>661</v>
      </c>
      <c r="F148" t="s">
        <v>456</v>
      </c>
      <c r="G148" t="s">
        <v>917</v>
      </c>
      <c r="H148" t="s">
        <v>1818</v>
      </c>
      <c r="I148" t="s">
        <v>1820</v>
      </c>
      <c r="J148">
        <v>48</v>
      </c>
      <c r="K148">
        <v>50</v>
      </c>
      <c r="L148">
        <v>53</v>
      </c>
      <c r="M148">
        <v>53</v>
      </c>
      <c r="N148">
        <v>103</v>
      </c>
      <c r="O148" t="s">
        <v>48</v>
      </c>
      <c r="P148">
        <v>58</v>
      </c>
      <c r="Q148">
        <v>61</v>
      </c>
      <c r="R148">
        <v>65</v>
      </c>
      <c r="S148">
        <v>65</v>
      </c>
      <c r="T148">
        <v>126</v>
      </c>
      <c r="U148" t="s">
        <v>48</v>
      </c>
      <c r="V148">
        <f t="shared" si="6"/>
        <v>6</v>
      </c>
      <c r="W148">
        <f t="shared" si="7"/>
        <v>0</v>
      </c>
      <c r="X148">
        <f t="shared" si="8"/>
        <v>0</v>
      </c>
      <c r="Y148">
        <v>118</v>
      </c>
      <c r="Z148">
        <v>229</v>
      </c>
      <c r="AA148" t="s">
        <v>1819</v>
      </c>
      <c r="AB148" t="s">
        <v>1821</v>
      </c>
      <c r="AC148" t="s">
        <v>89</v>
      </c>
      <c r="AD148">
        <v>5</v>
      </c>
      <c r="AE148">
        <v>71</v>
      </c>
      <c r="AF148" t="s">
        <v>95</v>
      </c>
      <c r="AH148" t="s">
        <v>301</v>
      </c>
      <c r="AI148">
        <v>150.52000000000001</v>
      </c>
      <c r="AJ148" t="s">
        <v>132</v>
      </c>
      <c r="AK148" t="s">
        <v>456</v>
      </c>
      <c r="AL148" t="s">
        <v>460</v>
      </c>
      <c r="AM148" t="s">
        <v>173</v>
      </c>
      <c r="AN148" s="1">
        <v>45641</v>
      </c>
      <c r="AO148">
        <v>2024</v>
      </c>
      <c r="AP148">
        <v>12</v>
      </c>
      <c r="AQ148" t="s">
        <v>116</v>
      </c>
      <c r="AS148" t="s">
        <v>85</v>
      </c>
      <c r="AT148">
        <v>2025</v>
      </c>
      <c r="AU148" t="s">
        <v>917</v>
      </c>
      <c r="AV148" t="s">
        <v>173</v>
      </c>
      <c r="AW148" t="s">
        <v>1818</v>
      </c>
      <c r="AX148">
        <v>2025</v>
      </c>
      <c r="AY148" t="s">
        <v>1819</v>
      </c>
      <c r="AZ148" t="s">
        <v>1819</v>
      </c>
    </row>
    <row r="149" spans="1:52" x14ac:dyDescent="0.25">
      <c r="A149" t="s">
        <v>1822</v>
      </c>
      <c r="B149" s="1">
        <v>39296</v>
      </c>
      <c r="C149" t="s">
        <v>1823</v>
      </c>
      <c r="D149">
        <v>468642</v>
      </c>
      <c r="E149" t="s">
        <v>661</v>
      </c>
      <c r="F149" t="s">
        <v>456</v>
      </c>
      <c r="G149" t="s">
        <v>917</v>
      </c>
      <c r="H149" t="s">
        <v>1823</v>
      </c>
      <c r="I149" t="s">
        <v>960</v>
      </c>
      <c r="J149">
        <v>-33</v>
      </c>
      <c r="K149">
        <v>-33</v>
      </c>
      <c r="L149">
        <v>33</v>
      </c>
      <c r="M149">
        <v>33</v>
      </c>
      <c r="N149">
        <v>0</v>
      </c>
      <c r="O149" t="s">
        <v>102</v>
      </c>
      <c r="P149">
        <v>-41</v>
      </c>
      <c r="Q149">
        <v>-45</v>
      </c>
      <c r="R149">
        <v>-45</v>
      </c>
      <c r="S149">
        <v>0</v>
      </c>
      <c r="T149">
        <v>0</v>
      </c>
      <c r="U149" t="s">
        <v>108</v>
      </c>
      <c r="V149">
        <f t="shared" si="6"/>
        <v>1</v>
      </c>
      <c r="W149">
        <f t="shared" si="7"/>
        <v>1</v>
      </c>
      <c r="X149">
        <f t="shared" si="8"/>
        <v>0</v>
      </c>
      <c r="Y149">
        <v>33</v>
      </c>
      <c r="Z149">
        <v>0</v>
      </c>
      <c r="AA149" t="s">
        <v>1825</v>
      </c>
      <c r="AB149" t="s">
        <v>99</v>
      </c>
      <c r="AC149" t="s">
        <v>49</v>
      </c>
      <c r="AD149">
        <v>999</v>
      </c>
      <c r="AE149">
        <v>49</v>
      </c>
      <c r="AF149" t="s">
        <v>113</v>
      </c>
      <c r="AH149" t="s">
        <v>821</v>
      </c>
      <c r="AI149">
        <v>0</v>
      </c>
      <c r="AJ149" t="s">
        <v>132</v>
      </c>
      <c r="AK149" t="s">
        <v>456</v>
      </c>
      <c r="AL149" t="s">
        <v>460</v>
      </c>
      <c r="AM149" t="s">
        <v>173</v>
      </c>
      <c r="AN149" s="1">
        <v>45641</v>
      </c>
      <c r="AO149">
        <v>2024</v>
      </c>
      <c r="AP149">
        <v>12</v>
      </c>
      <c r="AQ149" t="s">
        <v>116</v>
      </c>
      <c r="AS149" t="s">
        <v>85</v>
      </c>
      <c r="AT149">
        <v>2025</v>
      </c>
      <c r="AU149" t="s">
        <v>917</v>
      </c>
      <c r="AV149" t="s">
        <v>173</v>
      </c>
      <c r="AW149" t="s">
        <v>1823</v>
      </c>
      <c r="AX149">
        <v>2025</v>
      </c>
      <c r="AY149" t="s">
        <v>1824</v>
      </c>
      <c r="AZ149" t="s">
        <v>1825</v>
      </c>
    </row>
    <row r="150" spans="1:52" x14ac:dyDescent="0.25">
      <c r="A150" t="s">
        <v>1826</v>
      </c>
      <c r="B150" s="1">
        <v>34160</v>
      </c>
      <c r="C150" t="s">
        <v>1827</v>
      </c>
      <c r="D150">
        <v>401465</v>
      </c>
      <c r="E150" t="s">
        <v>46</v>
      </c>
      <c r="F150" t="s">
        <v>518</v>
      </c>
      <c r="G150" t="s">
        <v>1489</v>
      </c>
      <c r="H150" t="s">
        <v>1827</v>
      </c>
      <c r="I150" t="s">
        <v>163</v>
      </c>
      <c r="J150">
        <v>-79</v>
      </c>
      <c r="K150">
        <v>79</v>
      </c>
      <c r="L150">
        <v>-86</v>
      </c>
      <c r="M150">
        <v>79</v>
      </c>
      <c r="N150">
        <v>0</v>
      </c>
      <c r="O150" t="s">
        <v>104</v>
      </c>
      <c r="P150">
        <v>101</v>
      </c>
      <c r="Q150">
        <v>107</v>
      </c>
      <c r="R150">
        <v>112</v>
      </c>
      <c r="S150">
        <v>112</v>
      </c>
      <c r="T150">
        <v>219</v>
      </c>
      <c r="U150" t="s">
        <v>48</v>
      </c>
      <c r="V150">
        <f t="shared" si="6"/>
        <v>4</v>
      </c>
      <c r="W150">
        <f t="shared" si="7"/>
        <v>0</v>
      </c>
      <c r="X150">
        <f t="shared" si="8"/>
        <v>0</v>
      </c>
      <c r="Y150">
        <v>191</v>
      </c>
      <c r="Z150">
        <v>219</v>
      </c>
      <c r="AA150" t="s">
        <v>1530</v>
      </c>
      <c r="AB150" t="s">
        <v>1829</v>
      </c>
      <c r="AC150" t="s">
        <v>94</v>
      </c>
      <c r="AD150">
        <v>4</v>
      </c>
      <c r="AE150">
        <v>81</v>
      </c>
      <c r="AF150" t="s">
        <v>126</v>
      </c>
      <c r="AH150" t="s">
        <v>319</v>
      </c>
      <c r="AI150">
        <v>222.9</v>
      </c>
      <c r="AJ150" t="s">
        <v>132</v>
      </c>
      <c r="AK150" t="s">
        <v>518</v>
      </c>
      <c r="AL150" t="s">
        <v>522</v>
      </c>
      <c r="AM150" t="s">
        <v>177</v>
      </c>
      <c r="AN150" s="1">
        <v>45640</v>
      </c>
      <c r="AO150">
        <v>2024</v>
      </c>
      <c r="AP150">
        <v>12</v>
      </c>
      <c r="AQ150" t="s">
        <v>116</v>
      </c>
      <c r="AS150" t="s">
        <v>85</v>
      </c>
      <c r="AT150">
        <v>2025</v>
      </c>
      <c r="AU150" t="s">
        <v>1489</v>
      </c>
      <c r="AV150" t="s">
        <v>177</v>
      </c>
      <c r="AW150" t="s">
        <v>1827</v>
      </c>
      <c r="AX150">
        <v>2025</v>
      </c>
      <c r="AY150" t="s">
        <v>1828</v>
      </c>
      <c r="AZ150" t="s">
        <v>1830</v>
      </c>
    </row>
    <row r="151" spans="1:52" x14ac:dyDescent="0.25">
      <c r="A151" t="s">
        <v>1831</v>
      </c>
      <c r="B151" s="1">
        <v>35128</v>
      </c>
      <c r="C151" t="s">
        <v>1832</v>
      </c>
      <c r="D151">
        <v>479257</v>
      </c>
      <c r="E151" t="s">
        <v>46</v>
      </c>
      <c r="F151" t="s">
        <v>893</v>
      </c>
      <c r="G151" t="s">
        <v>394</v>
      </c>
      <c r="H151" t="s">
        <v>1832</v>
      </c>
      <c r="I151" t="s">
        <v>278</v>
      </c>
      <c r="J151">
        <v>52</v>
      </c>
      <c r="K151">
        <v>55</v>
      </c>
      <c r="L151">
        <v>-57</v>
      </c>
      <c r="M151">
        <v>55</v>
      </c>
      <c r="N151">
        <v>107</v>
      </c>
      <c r="O151" t="s">
        <v>60</v>
      </c>
      <c r="P151">
        <v>63</v>
      </c>
      <c r="Q151">
        <v>66</v>
      </c>
      <c r="R151">
        <v>-68</v>
      </c>
      <c r="S151">
        <v>66</v>
      </c>
      <c r="T151">
        <v>129</v>
      </c>
      <c r="U151" t="s">
        <v>60</v>
      </c>
      <c r="V151">
        <f t="shared" si="6"/>
        <v>4</v>
      </c>
      <c r="W151">
        <f t="shared" si="7"/>
        <v>0</v>
      </c>
      <c r="X151">
        <f t="shared" si="8"/>
        <v>0</v>
      </c>
      <c r="Y151">
        <v>121</v>
      </c>
      <c r="Z151">
        <v>236</v>
      </c>
      <c r="AA151" t="s">
        <v>1834</v>
      </c>
      <c r="AB151" t="s">
        <v>1835</v>
      </c>
      <c r="AC151" t="s">
        <v>64</v>
      </c>
      <c r="AD151">
        <v>7</v>
      </c>
      <c r="AE151">
        <v>64</v>
      </c>
      <c r="AF151" t="s">
        <v>126</v>
      </c>
      <c r="AH151" t="s">
        <v>167</v>
      </c>
      <c r="AI151">
        <v>164.12</v>
      </c>
      <c r="AJ151" t="s">
        <v>132</v>
      </c>
      <c r="AK151" t="s">
        <v>893</v>
      </c>
      <c r="AL151" t="s">
        <v>897</v>
      </c>
      <c r="AM151" t="s">
        <v>170</v>
      </c>
      <c r="AN151" s="1">
        <v>45640</v>
      </c>
      <c r="AO151">
        <v>2024</v>
      </c>
      <c r="AP151">
        <v>12</v>
      </c>
      <c r="AQ151" t="s">
        <v>116</v>
      </c>
      <c r="AS151" t="s">
        <v>85</v>
      </c>
      <c r="AT151">
        <v>2025</v>
      </c>
      <c r="AU151" t="s">
        <v>394</v>
      </c>
      <c r="AV151" t="s">
        <v>170</v>
      </c>
      <c r="AW151" t="s">
        <v>1832</v>
      </c>
      <c r="AX151">
        <v>2025</v>
      </c>
      <c r="AY151" t="s">
        <v>1833</v>
      </c>
      <c r="AZ151" t="s">
        <v>1833</v>
      </c>
    </row>
    <row r="152" spans="1:52" x14ac:dyDescent="0.25">
      <c r="A152" t="s">
        <v>1559</v>
      </c>
      <c r="B152" s="1">
        <v>40291</v>
      </c>
      <c r="C152" t="s">
        <v>1560</v>
      </c>
      <c r="D152">
        <v>475827</v>
      </c>
      <c r="E152" t="s">
        <v>46</v>
      </c>
      <c r="F152" t="s">
        <v>770</v>
      </c>
      <c r="G152" t="s">
        <v>300</v>
      </c>
      <c r="H152" t="s">
        <v>1560</v>
      </c>
      <c r="I152">
        <v>59</v>
      </c>
      <c r="J152">
        <v>51</v>
      </c>
      <c r="K152">
        <v>54</v>
      </c>
      <c r="L152">
        <v>56</v>
      </c>
      <c r="M152">
        <v>56</v>
      </c>
      <c r="N152">
        <v>110</v>
      </c>
      <c r="O152" t="s">
        <v>48</v>
      </c>
      <c r="P152">
        <v>-62</v>
      </c>
      <c r="Q152">
        <v>-62</v>
      </c>
      <c r="R152">
        <v>64</v>
      </c>
      <c r="S152">
        <v>64</v>
      </c>
      <c r="T152">
        <v>0</v>
      </c>
      <c r="U152" t="s">
        <v>102</v>
      </c>
      <c r="V152">
        <f t="shared" si="6"/>
        <v>4</v>
      </c>
      <c r="W152">
        <f t="shared" si="7"/>
        <v>1</v>
      </c>
      <c r="X152">
        <f t="shared" si="8"/>
        <v>0</v>
      </c>
      <c r="Y152">
        <v>120</v>
      </c>
      <c r="Z152">
        <v>110</v>
      </c>
      <c r="AA152" t="s">
        <v>1188</v>
      </c>
      <c r="AB152" t="s">
        <v>1561</v>
      </c>
      <c r="AC152" t="s">
        <v>98</v>
      </c>
      <c r="AD152">
        <v>3</v>
      </c>
      <c r="AE152">
        <v>59</v>
      </c>
      <c r="AF152" t="s">
        <v>57</v>
      </c>
      <c r="AH152" t="s">
        <v>525</v>
      </c>
      <c r="AI152">
        <v>164.19</v>
      </c>
      <c r="AJ152" t="s">
        <v>132</v>
      </c>
      <c r="AK152" t="s">
        <v>770</v>
      </c>
      <c r="AL152" t="s">
        <v>773</v>
      </c>
      <c r="AM152" t="s">
        <v>302</v>
      </c>
      <c r="AN152" s="1">
        <v>45640</v>
      </c>
      <c r="AO152">
        <v>2024</v>
      </c>
      <c r="AP152">
        <v>12</v>
      </c>
      <c r="AQ152" t="s">
        <v>116</v>
      </c>
      <c r="AS152" t="s">
        <v>85</v>
      </c>
      <c r="AT152">
        <v>2025</v>
      </c>
      <c r="AU152" t="s">
        <v>300</v>
      </c>
      <c r="AV152" t="s">
        <v>303</v>
      </c>
      <c r="AW152" t="s">
        <v>1560</v>
      </c>
      <c r="AX152">
        <v>2025</v>
      </c>
      <c r="AY152" t="s">
        <v>1188</v>
      </c>
      <c r="AZ152" t="s">
        <v>1188</v>
      </c>
    </row>
    <row r="153" spans="1:52" x14ac:dyDescent="0.25">
      <c r="A153" t="s">
        <v>1563</v>
      </c>
      <c r="B153" s="1">
        <v>36497</v>
      </c>
      <c r="C153" t="s">
        <v>1564</v>
      </c>
      <c r="D153">
        <v>446275</v>
      </c>
      <c r="E153" t="s">
        <v>46</v>
      </c>
      <c r="F153" t="s">
        <v>693</v>
      </c>
      <c r="G153" t="s">
        <v>634</v>
      </c>
      <c r="H153" t="s">
        <v>1564</v>
      </c>
      <c r="I153" t="s">
        <v>275</v>
      </c>
      <c r="J153">
        <v>-70</v>
      </c>
      <c r="K153">
        <v>72</v>
      </c>
      <c r="L153">
        <v>75</v>
      </c>
      <c r="M153">
        <v>75</v>
      </c>
      <c r="N153">
        <v>147</v>
      </c>
      <c r="O153" t="s">
        <v>63</v>
      </c>
      <c r="P153">
        <v>97</v>
      </c>
      <c r="Q153">
        <v>-101</v>
      </c>
      <c r="R153">
        <v>-104</v>
      </c>
      <c r="S153">
        <v>97</v>
      </c>
      <c r="T153">
        <v>0</v>
      </c>
      <c r="U153" t="s">
        <v>55</v>
      </c>
      <c r="V153">
        <f t="shared" si="6"/>
        <v>3</v>
      </c>
      <c r="W153">
        <f t="shared" si="7"/>
        <v>0</v>
      </c>
      <c r="X153">
        <f t="shared" si="8"/>
        <v>0</v>
      </c>
      <c r="Y153">
        <v>172</v>
      </c>
      <c r="Z153">
        <v>147</v>
      </c>
      <c r="AA153" t="s">
        <v>1565</v>
      </c>
      <c r="AB153" t="s">
        <v>1566</v>
      </c>
      <c r="AC153" t="s">
        <v>94</v>
      </c>
      <c r="AD153">
        <v>4</v>
      </c>
      <c r="AE153">
        <v>71</v>
      </c>
      <c r="AF153" t="s">
        <v>126</v>
      </c>
      <c r="AH153" t="s">
        <v>226</v>
      </c>
      <c r="AI153">
        <v>214.37</v>
      </c>
      <c r="AJ153" t="s">
        <v>132</v>
      </c>
      <c r="AK153" t="s">
        <v>693</v>
      </c>
      <c r="AL153" t="s">
        <v>696</v>
      </c>
      <c r="AM153" t="s">
        <v>139</v>
      </c>
      <c r="AN153" s="1">
        <v>45641</v>
      </c>
      <c r="AO153">
        <v>2024</v>
      </c>
      <c r="AP153">
        <v>12</v>
      </c>
      <c r="AQ153" t="s">
        <v>116</v>
      </c>
      <c r="AS153" t="s">
        <v>85</v>
      </c>
      <c r="AT153">
        <v>2025</v>
      </c>
      <c r="AU153" t="s">
        <v>634</v>
      </c>
      <c r="AV153" t="s">
        <v>140</v>
      </c>
      <c r="AW153" t="s">
        <v>1564</v>
      </c>
      <c r="AX153">
        <v>2025</v>
      </c>
      <c r="AY153" t="s">
        <v>1565</v>
      </c>
      <c r="AZ153" t="s">
        <v>1565</v>
      </c>
    </row>
    <row r="154" spans="1:52" x14ac:dyDescent="0.25">
      <c r="A154" t="s">
        <v>1569</v>
      </c>
      <c r="B154" s="1">
        <v>35603</v>
      </c>
      <c r="C154" t="s">
        <v>1570</v>
      </c>
      <c r="D154">
        <v>409193</v>
      </c>
      <c r="E154" t="s">
        <v>46</v>
      </c>
      <c r="F154" t="s">
        <v>893</v>
      </c>
      <c r="G154" t="s">
        <v>386</v>
      </c>
      <c r="H154" t="s">
        <v>1570</v>
      </c>
      <c r="I154" t="s">
        <v>805</v>
      </c>
      <c r="J154">
        <v>65</v>
      </c>
      <c r="K154">
        <v>69</v>
      </c>
      <c r="L154">
        <v>-71</v>
      </c>
      <c r="M154">
        <v>69</v>
      </c>
      <c r="N154">
        <v>134</v>
      </c>
      <c r="O154" t="s">
        <v>60</v>
      </c>
      <c r="P154">
        <v>81</v>
      </c>
      <c r="Q154">
        <v>86</v>
      </c>
      <c r="R154">
        <v>0</v>
      </c>
      <c r="S154">
        <v>86</v>
      </c>
      <c r="T154">
        <v>167</v>
      </c>
      <c r="U154" t="s">
        <v>60</v>
      </c>
      <c r="V154">
        <f t="shared" si="6"/>
        <v>4</v>
      </c>
      <c r="W154">
        <f t="shared" si="7"/>
        <v>0</v>
      </c>
      <c r="X154">
        <f t="shared" si="8"/>
        <v>0</v>
      </c>
      <c r="Y154">
        <v>155</v>
      </c>
      <c r="Z154">
        <v>301</v>
      </c>
      <c r="AA154" t="s">
        <v>1025</v>
      </c>
      <c r="AB154" t="s">
        <v>1571</v>
      </c>
      <c r="AC154" t="s">
        <v>89</v>
      </c>
      <c r="AD154">
        <v>5</v>
      </c>
      <c r="AE154">
        <v>76</v>
      </c>
      <c r="AF154" t="s">
        <v>126</v>
      </c>
      <c r="AH154" t="s">
        <v>228</v>
      </c>
      <c r="AI154">
        <v>185.34</v>
      </c>
      <c r="AJ154" t="s">
        <v>132</v>
      </c>
      <c r="AK154" t="s">
        <v>893</v>
      </c>
      <c r="AL154" t="s">
        <v>897</v>
      </c>
      <c r="AM154" t="s">
        <v>170</v>
      </c>
      <c r="AN154" s="1">
        <v>45640</v>
      </c>
      <c r="AO154">
        <v>2024</v>
      </c>
      <c r="AP154">
        <v>12</v>
      </c>
      <c r="AQ154" t="s">
        <v>116</v>
      </c>
      <c r="AS154" t="s">
        <v>85</v>
      </c>
      <c r="AT154">
        <v>2025</v>
      </c>
      <c r="AU154" t="s">
        <v>386</v>
      </c>
      <c r="AV154" t="s">
        <v>170</v>
      </c>
      <c r="AW154" t="s">
        <v>1570</v>
      </c>
      <c r="AX154">
        <v>2025</v>
      </c>
      <c r="AY154" t="s">
        <v>1025</v>
      </c>
      <c r="AZ154" t="s">
        <v>1025</v>
      </c>
    </row>
    <row r="155" spans="1:52" x14ac:dyDescent="0.25">
      <c r="A155" t="s">
        <v>1574</v>
      </c>
      <c r="B155" s="1">
        <v>37839</v>
      </c>
      <c r="C155" t="s">
        <v>1575</v>
      </c>
      <c r="D155">
        <v>377089</v>
      </c>
      <c r="E155" t="s">
        <v>46</v>
      </c>
      <c r="F155" t="s">
        <v>1209</v>
      </c>
      <c r="G155" t="s">
        <v>883</v>
      </c>
      <c r="H155" t="s">
        <v>1575</v>
      </c>
      <c r="I155" t="s">
        <v>1577</v>
      </c>
      <c r="J155">
        <v>60</v>
      </c>
      <c r="K155">
        <v>63</v>
      </c>
      <c r="L155">
        <v>-65</v>
      </c>
      <c r="M155">
        <v>63</v>
      </c>
      <c r="N155">
        <v>123</v>
      </c>
      <c r="O155" t="s">
        <v>60</v>
      </c>
      <c r="P155">
        <v>-77</v>
      </c>
      <c r="Q155">
        <v>-78</v>
      </c>
      <c r="R155">
        <v>78</v>
      </c>
      <c r="S155">
        <v>78</v>
      </c>
      <c r="T155">
        <v>0</v>
      </c>
      <c r="U155" t="s">
        <v>102</v>
      </c>
      <c r="V155">
        <f t="shared" si="6"/>
        <v>3</v>
      </c>
      <c r="W155">
        <f t="shared" si="7"/>
        <v>1</v>
      </c>
      <c r="X155">
        <f t="shared" si="8"/>
        <v>0</v>
      </c>
      <c r="Y155">
        <v>141</v>
      </c>
      <c r="Z155">
        <v>123</v>
      </c>
      <c r="AA155" t="s">
        <v>1576</v>
      </c>
      <c r="AB155" t="s">
        <v>1578</v>
      </c>
      <c r="AC155" t="s">
        <v>94</v>
      </c>
      <c r="AD155">
        <v>4</v>
      </c>
      <c r="AE155">
        <v>49</v>
      </c>
      <c r="AF155" t="s">
        <v>126</v>
      </c>
      <c r="AH155" t="s">
        <v>195</v>
      </c>
      <c r="AI155">
        <v>223.48</v>
      </c>
      <c r="AJ155" t="s">
        <v>132</v>
      </c>
      <c r="AK155" t="s">
        <v>1209</v>
      </c>
      <c r="AL155" t="s">
        <v>1213</v>
      </c>
      <c r="AM155" t="s">
        <v>68</v>
      </c>
      <c r="AN155" s="1">
        <v>45640</v>
      </c>
      <c r="AO155">
        <v>2024</v>
      </c>
      <c r="AP155">
        <v>12</v>
      </c>
      <c r="AQ155" t="s">
        <v>116</v>
      </c>
      <c r="AS155" t="s">
        <v>85</v>
      </c>
      <c r="AT155">
        <v>2025</v>
      </c>
      <c r="AU155" t="s">
        <v>883</v>
      </c>
      <c r="AV155" t="s">
        <v>68</v>
      </c>
      <c r="AW155" t="s">
        <v>1575</v>
      </c>
      <c r="AX155">
        <v>2025</v>
      </c>
      <c r="AY155" t="s">
        <v>1576</v>
      </c>
      <c r="AZ155" t="s">
        <v>1576</v>
      </c>
    </row>
    <row r="156" spans="1:52" x14ac:dyDescent="0.25">
      <c r="A156" t="s">
        <v>1579</v>
      </c>
      <c r="B156" s="1">
        <v>41220</v>
      </c>
      <c r="C156" t="s">
        <v>1580</v>
      </c>
      <c r="D156">
        <v>483126</v>
      </c>
      <c r="E156" t="s">
        <v>46</v>
      </c>
      <c r="F156" t="s">
        <v>867</v>
      </c>
      <c r="G156" t="s">
        <v>66</v>
      </c>
      <c r="H156" t="s">
        <v>1580</v>
      </c>
      <c r="I156" t="s">
        <v>1582</v>
      </c>
      <c r="J156">
        <v>26</v>
      </c>
      <c r="K156">
        <v>28</v>
      </c>
      <c r="L156">
        <v>30</v>
      </c>
      <c r="M156">
        <v>30</v>
      </c>
      <c r="N156">
        <v>58</v>
      </c>
      <c r="O156" t="s">
        <v>48</v>
      </c>
      <c r="P156">
        <v>36</v>
      </c>
      <c r="Q156">
        <v>38</v>
      </c>
      <c r="R156">
        <v>40</v>
      </c>
      <c r="S156">
        <v>40</v>
      </c>
      <c r="T156">
        <v>78</v>
      </c>
      <c r="U156" t="s">
        <v>48</v>
      </c>
      <c r="V156">
        <f t="shared" si="6"/>
        <v>6</v>
      </c>
      <c r="W156">
        <f t="shared" si="7"/>
        <v>0</v>
      </c>
      <c r="X156">
        <f t="shared" si="8"/>
        <v>0</v>
      </c>
      <c r="Y156">
        <v>70</v>
      </c>
      <c r="Z156">
        <v>136</v>
      </c>
      <c r="AA156" t="s">
        <v>1581</v>
      </c>
      <c r="AB156" t="s">
        <v>1583</v>
      </c>
      <c r="AC156" t="s">
        <v>49</v>
      </c>
      <c r="AD156">
        <v>999</v>
      </c>
      <c r="AE156">
        <v>71</v>
      </c>
      <c r="AF156" t="s">
        <v>50</v>
      </c>
      <c r="AH156" t="s">
        <v>467</v>
      </c>
      <c r="AI156">
        <v>167.23</v>
      </c>
      <c r="AJ156" t="s">
        <v>132</v>
      </c>
      <c r="AK156" t="s">
        <v>867</v>
      </c>
      <c r="AL156" t="s">
        <v>869</v>
      </c>
      <c r="AM156" t="s">
        <v>68</v>
      </c>
      <c r="AN156" s="1">
        <v>45641</v>
      </c>
      <c r="AO156">
        <v>2024</v>
      </c>
      <c r="AP156">
        <v>12</v>
      </c>
      <c r="AQ156" t="s">
        <v>116</v>
      </c>
      <c r="AS156" t="s">
        <v>85</v>
      </c>
      <c r="AT156">
        <v>2025</v>
      </c>
      <c r="AU156" t="s">
        <v>66</v>
      </c>
      <c r="AV156" t="s">
        <v>68</v>
      </c>
      <c r="AW156" t="s">
        <v>1580</v>
      </c>
      <c r="AX156">
        <v>2025</v>
      </c>
      <c r="AY156" t="s">
        <v>1581</v>
      </c>
      <c r="AZ156" t="s">
        <v>1581</v>
      </c>
    </row>
    <row r="157" spans="1:52" x14ac:dyDescent="0.25">
      <c r="A157" t="s">
        <v>1597</v>
      </c>
      <c r="B157" s="1">
        <v>35484</v>
      </c>
      <c r="C157" t="s">
        <v>1598</v>
      </c>
      <c r="D157">
        <v>492033</v>
      </c>
      <c r="E157" t="s">
        <v>46</v>
      </c>
      <c r="F157" t="s">
        <v>1173</v>
      </c>
      <c r="G157" t="s">
        <v>501</v>
      </c>
      <c r="H157" t="s">
        <v>1598</v>
      </c>
      <c r="I157" t="s">
        <v>183</v>
      </c>
      <c r="J157">
        <v>57</v>
      </c>
      <c r="K157">
        <v>60</v>
      </c>
      <c r="L157">
        <v>-63</v>
      </c>
      <c r="M157">
        <v>60</v>
      </c>
      <c r="N157">
        <v>117</v>
      </c>
      <c r="O157" t="s">
        <v>60</v>
      </c>
      <c r="P157">
        <v>-68</v>
      </c>
      <c r="Q157">
        <v>-70</v>
      </c>
      <c r="R157">
        <v>-72</v>
      </c>
      <c r="S157">
        <v>0</v>
      </c>
      <c r="T157">
        <v>0</v>
      </c>
      <c r="U157" t="s">
        <v>108</v>
      </c>
      <c r="V157">
        <f t="shared" si="6"/>
        <v>2</v>
      </c>
      <c r="W157">
        <f t="shared" si="7"/>
        <v>0</v>
      </c>
      <c r="X157">
        <f t="shared" si="8"/>
        <v>0</v>
      </c>
      <c r="Y157">
        <v>60</v>
      </c>
      <c r="Z157">
        <v>117</v>
      </c>
      <c r="AA157" t="s">
        <v>1600</v>
      </c>
      <c r="AB157" t="s">
        <v>1601</v>
      </c>
      <c r="AC157" t="s">
        <v>49</v>
      </c>
      <c r="AD157">
        <v>999</v>
      </c>
      <c r="AE157">
        <v>71</v>
      </c>
      <c r="AF157" t="s">
        <v>126</v>
      </c>
      <c r="AH157" t="s">
        <v>226</v>
      </c>
      <c r="AI157">
        <v>0</v>
      </c>
      <c r="AJ157" t="s">
        <v>132</v>
      </c>
      <c r="AK157" t="s">
        <v>1173</v>
      </c>
      <c r="AL157" t="s">
        <v>1177</v>
      </c>
      <c r="AM157" t="s">
        <v>173</v>
      </c>
      <c r="AN157" s="1">
        <v>45641</v>
      </c>
      <c r="AO157">
        <v>2024</v>
      </c>
      <c r="AP157">
        <v>12</v>
      </c>
      <c r="AQ157" t="s">
        <v>116</v>
      </c>
      <c r="AS157" t="s">
        <v>85</v>
      </c>
      <c r="AT157">
        <v>2025</v>
      </c>
      <c r="AU157" t="s">
        <v>501</v>
      </c>
      <c r="AV157" t="s">
        <v>173</v>
      </c>
      <c r="AW157" t="s">
        <v>1598</v>
      </c>
      <c r="AX157">
        <v>2025</v>
      </c>
      <c r="AY157" t="s">
        <v>1599</v>
      </c>
      <c r="AZ157" t="s">
        <v>1599</v>
      </c>
    </row>
    <row r="158" spans="1:52" x14ac:dyDescent="0.25">
      <c r="A158" t="s">
        <v>1602</v>
      </c>
      <c r="B158" s="1">
        <v>38586</v>
      </c>
      <c r="C158" t="s">
        <v>1603</v>
      </c>
      <c r="D158">
        <v>490676</v>
      </c>
      <c r="E158" t="s">
        <v>46</v>
      </c>
      <c r="F158" t="s">
        <v>213</v>
      </c>
      <c r="G158" t="s">
        <v>70</v>
      </c>
      <c r="H158" t="s">
        <v>1603</v>
      </c>
      <c r="I158" t="s">
        <v>466</v>
      </c>
      <c r="J158">
        <v>49</v>
      </c>
      <c r="K158">
        <v>52</v>
      </c>
      <c r="L158">
        <v>55</v>
      </c>
      <c r="M158">
        <v>55</v>
      </c>
      <c r="N158">
        <v>107</v>
      </c>
      <c r="O158" t="s">
        <v>48</v>
      </c>
      <c r="P158">
        <v>60</v>
      </c>
      <c r="Q158">
        <v>64</v>
      </c>
      <c r="R158">
        <v>-67</v>
      </c>
      <c r="S158">
        <v>64</v>
      </c>
      <c r="T158">
        <v>124</v>
      </c>
      <c r="U158" t="s">
        <v>60</v>
      </c>
      <c r="V158">
        <f t="shared" si="6"/>
        <v>5</v>
      </c>
      <c r="W158">
        <f t="shared" si="7"/>
        <v>0</v>
      </c>
      <c r="X158">
        <f t="shared" si="8"/>
        <v>0</v>
      </c>
      <c r="Y158">
        <v>119</v>
      </c>
      <c r="Z158">
        <v>231</v>
      </c>
      <c r="AA158" t="s">
        <v>1604</v>
      </c>
      <c r="AB158" t="s">
        <v>1606</v>
      </c>
      <c r="AC158" t="s">
        <v>89</v>
      </c>
      <c r="AD158">
        <v>5</v>
      </c>
      <c r="AE158">
        <v>55</v>
      </c>
      <c r="AF158" t="s">
        <v>113</v>
      </c>
      <c r="AH158" t="s">
        <v>465</v>
      </c>
      <c r="AI158">
        <v>177.07</v>
      </c>
      <c r="AJ158" t="s">
        <v>132</v>
      </c>
      <c r="AK158" t="s">
        <v>213</v>
      </c>
      <c r="AL158" t="s">
        <v>217</v>
      </c>
      <c r="AM158" t="s">
        <v>72</v>
      </c>
      <c r="AN158" s="1">
        <v>45640</v>
      </c>
      <c r="AO158">
        <v>2024</v>
      </c>
      <c r="AP158">
        <v>12</v>
      </c>
      <c r="AQ158" t="s">
        <v>116</v>
      </c>
      <c r="AS158" t="s">
        <v>85</v>
      </c>
      <c r="AT158">
        <v>2025</v>
      </c>
      <c r="AU158" t="s">
        <v>70</v>
      </c>
      <c r="AV158" t="s">
        <v>72</v>
      </c>
      <c r="AW158" t="s">
        <v>1603</v>
      </c>
      <c r="AX158">
        <v>2025</v>
      </c>
      <c r="AY158" t="s">
        <v>1604</v>
      </c>
      <c r="AZ158" t="s">
        <v>1604</v>
      </c>
    </row>
    <row r="159" spans="1:52" x14ac:dyDescent="0.25">
      <c r="A159" t="s">
        <v>1584</v>
      </c>
      <c r="B159" s="1">
        <v>35475</v>
      </c>
      <c r="C159" t="s">
        <v>1585</v>
      </c>
      <c r="D159">
        <v>479612</v>
      </c>
      <c r="E159" t="s">
        <v>46</v>
      </c>
      <c r="F159" t="s">
        <v>263</v>
      </c>
      <c r="G159" t="s">
        <v>544</v>
      </c>
      <c r="H159" t="s">
        <v>1585</v>
      </c>
      <c r="I159">
        <v>49</v>
      </c>
      <c r="J159">
        <v>50</v>
      </c>
      <c r="K159">
        <v>52</v>
      </c>
      <c r="L159">
        <v>55</v>
      </c>
      <c r="M159">
        <v>55</v>
      </c>
      <c r="N159">
        <v>107</v>
      </c>
      <c r="O159" t="s">
        <v>48</v>
      </c>
      <c r="P159">
        <v>60</v>
      </c>
      <c r="Q159">
        <v>63</v>
      </c>
      <c r="R159">
        <v>-67</v>
      </c>
      <c r="S159">
        <v>63</v>
      </c>
      <c r="T159">
        <v>123</v>
      </c>
      <c r="U159" t="s">
        <v>60</v>
      </c>
      <c r="V159">
        <f t="shared" si="6"/>
        <v>5</v>
      </c>
      <c r="W159">
        <f t="shared" si="7"/>
        <v>0</v>
      </c>
      <c r="X159">
        <f t="shared" si="8"/>
        <v>0</v>
      </c>
      <c r="Y159">
        <v>118</v>
      </c>
      <c r="Z159">
        <v>230</v>
      </c>
      <c r="AA159" t="s">
        <v>1586</v>
      </c>
      <c r="AB159" t="s">
        <v>1587</v>
      </c>
      <c r="AC159" t="s">
        <v>89</v>
      </c>
      <c r="AD159">
        <v>5</v>
      </c>
      <c r="AE159">
        <v>49</v>
      </c>
      <c r="AF159" t="s">
        <v>126</v>
      </c>
      <c r="AH159" t="s">
        <v>195</v>
      </c>
      <c r="AI159">
        <v>184.5</v>
      </c>
      <c r="AJ159" t="s">
        <v>132</v>
      </c>
      <c r="AK159" t="s">
        <v>263</v>
      </c>
      <c r="AL159" t="s">
        <v>267</v>
      </c>
      <c r="AM159" t="s">
        <v>145</v>
      </c>
      <c r="AN159" s="1">
        <v>45640</v>
      </c>
      <c r="AO159">
        <v>2024</v>
      </c>
      <c r="AP159">
        <v>12</v>
      </c>
      <c r="AQ159" t="s">
        <v>116</v>
      </c>
      <c r="AS159" t="s">
        <v>85</v>
      </c>
      <c r="AT159">
        <v>2025</v>
      </c>
      <c r="AU159" t="s">
        <v>544</v>
      </c>
      <c r="AV159" t="s">
        <v>145</v>
      </c>
      <c r="AW159" t="s">
        <v>1585</v>
      </c>
      <c r="AX159">
        <v>2025</v>
      </c>
      <c r="AY159" t="s">
        <v>1305</v>
      </c>
      <c r="AZ159" t="s">
        <v>1305</v>
      </c>
    </row>
    <row r="160" spans="1:52" x14ac:dyDescent="0.25">
      <c r="A160" t="s">
        <v>1588</v>
      </c>
      <c r="B160" s="1">
        <v>40796</v>
      </c>
      <c r="C160" t="s">
        <v>1589</v>
      </c>
      <c r="D160">
        <v>438078</v>
      </c>
      <c r="E160" t="s">
        <v>46</v>
      </c>
      <c r="F160" t="s">
        <v>529</v>
      </c>
      <c r="G160" t="s">
        <v>66</v>
      </c>
      <c r="H160" t="s">
        <v>1589</v>
      </c>
      <c r="I160" t="s">
        <v>1593</v>
      </c>
      <c r="J160">
        <v>-47</v>
      </c>
      <c r="K160">
        <v>47</v>
      </c>
      <c r="L160">
        <v>-50</v>
      </c>
      <c r="M160">
        <v>47</v>
      </c>
      <c r="N160">
        <v>0</v>
      </c>
      <c r="O160" t="s">
        <v>104</v>
      </c>
      <c r="P160">
        <v>60</v>
      </c>
      <c r="Q160">
        <v>65</v>
      </c>
      <c r="R160">
        <v>67</v>
      </c>
      <c r="S160">
        <v>67</v>
      </c>
      <c r="T160">
        <v>132</v>
      </c>
      <c r="U160" t="s">
        <v>48</v>
      </c>
      <c r="V160">
        <f t="shared" si="6"/>
        <v>4</v>
      </c>
      <c r="W160">
        <f t="shared" si="7"/>
        <v>0</v>
      </c>
      <c r="X160">
        <f t="shared" si="8"/>
        <v>0</v>
      </c>
      <c r="Y160">
        <v>114</v>
      </c>
      <c r="Z160">
        <v>132</v>
      </c>
      <c r="AA160" t="s">
        <v>1594</v>
      </c>
      <c r="AB160" t="s">
        <v>1595</v>
      </c>
      <c r="AC160" t="s">
        <v>89</v>
      </c>
      <c r="AD160">
        <v>5</v>
      </c>
      <c r="AE160">
        <v>76</v>
      </c>
      <c r="AF160" t="s">
        <v>57</v>
      </c>
      <c r="AH160" t="s">
        <v>875</v>
      </c>
      <c r="AI160">
        <v>137.12</v>
      </c>
      <c r="AJ160" t="s">
        <v>132</v>
      </c>
      <c r="AK160" t="s">
        <v>529</v>
      </c>
      <c r="AL160" t="s">
        <v>531</v>
      </c>
      <c r="AM160" t="s">
        <v>68</v>
      </c>
      <c r="AN160" s="1">
        <v>45640</v>
      </c>
      <c r="AO160">
        <v>2024</v>
      </c>
      <c r="AP160">
        <v>12</v>
      </c>
      <c r="AQ160" t="s">
        <v>116</v>
      </c>
      <c r="AS160" t="s">
        <v>85</v>
      </c>
      <c r="AT160">
        <v>2025</v>
      </c>
      <c r="AU160" t="s">
        <v>66</v>
      </c>
      <c r="AV160" t="s">
        <v>68</v>
      </c>
      <c r="AW160" t="s">
        <v>1589</v>
      </c>
      <c r="AX160">
        <v>2025</v>
      </c>
      <c r="AY160" t="s">
        <v>1590</v>
      </c>
      <c r="AZ160" t="s">
        <v>1594</v>
      </c>
    </row>
    <row r="161" spans="1:52" x14ac:dyDescent="0.25">
      <c r="A161" t="s">
        <v>1609</v>
      </c>
      <c r="B161" s="1">
        <v>39883</v>
      </c>
      <c r="C161" t="s">
        <v>1610</v>
      </c>
      <c r="D161">
        <v>493247</v>
      </c>
      <c r="E161" t="s">
        <v>46</v>
      </c>
      <c r="F161" t="s">
        <v>518</v>
      </c>
      <c r="G161" t="s">
        <v>1489</v>
      </c>
      <c r="H161" t="s">
        <v>1610</v>
      </c>
      <c r="I161" t="s">
        <v>1612</v>
      </c>
      <c r="J161">
        <v>37</v>
      </c>
      <c r="K161">
        <v>-39</v>
      </c>
      <c r="L161">
        <v>-41</v>
      </c>
      <c r="M161">
        <v>37</v>
      </c>
      <c r="N161">
        <v>0</v>
      </c>
      <c r="O161" t="s">
        <v>55</v>
      </c>
      <c r="P161">
        <v>40</v>
      </c>
      <c r="Q161">
        <v>46</v>
      </c>
      <c r="R161">
        <v>-50</v>
      </c>
      <c r="S161">
        <v>46</v>
      </c>
      <c r="T161">
        <v>86</v>
      </c>
      <c r="U161" t="s">
        <v>60</v>
      </c>
      <c r="V161">
        <f t="shared" si="6"/>
        <v>3</v>
      </c>
      <c r="W161">
        <f t="shared" si="7"/>
        <v>0</v>
      </c>
      <c r="X161">
        <f t="shared" si="8"/>
        <v>0</v>
      </c>
      <c r="Y161">
        <v>83</v>
      </c>
      <c r="Z161">
        <v>86</v>
      </c>
      <c r="AA161" t="s">
        <v>1613</v>
      </c>
      <c r="AB161" t="s">
        <v>1614</v>
      </c>
      <c r="AC161" t="s">
        <v>93</v>
      </c>
      <c r="AD161">
        <v>6</v>
      </c>
      <c r="AE161">
        <v>49</v>
      </c>
      <c r="AF161" t="s">
        <v>95</v>
      </c>
      <c r="AH161" t="s">
        <v>330</v>
      </c>
      <c r="AI161">
        <v>132.88999999999999</v>
      </c>
      <c r="AJ161" t="s">
        <v>132</v>
      </c>
      <c r="AK161" t="s">
        <v>518</v>
      </c>
      <c r="AL161" t="s">
        <v>522</v>
      </c>
      <c r="AM161" t="s">
        <v>177</v>
      </c>
      <c r="AN161" s="1">
        <v>45640</v>
      </c>
      <c r="AO161">
        <v>2024</v>
      </c>
      <c r="AP161">
        <v>12</v>
      </c>
      <c r="AQ161" t="s">
        <v>116</v>
      </c>
      <c r="AS161" t="s">
        <v>85</v>
      </c>
      <c r="AT161">
        <v>2025</v>
      </c>
      <c r="AU161" t="s">
        <v>1489</v>
      </c>
      <c r="AV161" t="s">
        <v>177</v>
      </c>
      <c r="AW161" t="s">
        <v>1610</v>
      </c>
      <c r="AX161">
        <v>2025</v>
      </c>
      <c r="AY161" t="s">
        <v>1611</v>
      </c>
      <c r="AZ161" t="s">
        <v>1613</v>
      </c>
    </row>
    <row r="162" spans="1:52" x14ac:dyDescent="0.25">
      <c r="A162" t="s">
        <v>1616</v>
      </c>
      <c r="B162" s="1">
        <v>35323</v>
      </c>
      <c r="C162" t="s">
        <v>1617</v>
      </c>
      <c r="D162">
        <v>424933</v>
      </c>
      <c r="E162" t="s">
        <v>46</v>
      </c>
      <c r="F162" t="s">
        <v>263</v>
      </c>
      <c r="G162" t="s">
        <v>598</v>
      </c>
      <c r="H162" t="s">
        <v>1617</v>
      </c>
      <c r="I162">
        <v>64</v>
      </c>
      <c r="J162">
        <v>60</v>
      </c>
      <c r="K162">
        <v>-63</v>
      </c>
      <c r="L162">
        <v>63</v>
      </c>
      <c r="M162">
        <v>63</v>
      </c>
      <c r="N162">
        <v>123</v>
      </c>
      <c r="O162" t="s">
        <v>65</v>
      </c>
      <c r="P162">
        <v>72</v>
      </c>
      <c r="Q162">
        <v>75</v>
      </c>
      <c r="R162">
        <v>-78</v>
      </c>
      <c r="S162">
        <v>75</v>
      </c>
      <c r="T162">
        <v>147</v>
      </c>
      <c r="U162" t="s">
        <v>60</v>
      </c>
      <c r="V162">
        <f t="shared" si="6"/>
        <v>4</v>
      </c>
      <c r="W162">
        <f t="shared" si="7"/>
        <v>0</v>
      </c>
      <c r="X162">
        <f t="shared" si="8"/>
        <v>0</v>
      </c>
      <c r="Y162">
        <v>138</v>
      </c>
      <c r="Z162">
        <v>270</v>
      </c>
      <c r="AA162" t="s">
        <v>1553</v>
      </c>
      <c r="AB162" t="s">
        <v>1618</v>
      </c>
      <c r="AC162" t="s">
        <v>93</v>
      </c>
      <c r="AD162">
        <v>6</v>
      </c>
      <c r="AE162">
        <v>64</v>
      </c>
      <c r="AF162" t="s">
        <v>126</v>
      </c>
      <c r="AH162" t="s">
        <v>167</v>
      </c>
      <c r="AI162">
        <v>179.43</v>
      </c>
      <c r="AJ162" t="s">
        <v>132</v>
      </c>
      <c r="AK162" t="s">
        <v>263</v>
      </c>
      <c r="AL162" t="s">
        <v>267</v>
      </c>
      <c r="AM162" t="s">
        <v>145</v>
      </c>
      <c r="AN162" s="1">
        <v>45640</v>
      </c>
      <c r="AO162">
        <v>2024</v>
      </c>
      <c r="AP162">
        <v>12</v>
      </c>
      <c r="AQ162" t="s">
        <v>116</v>
      </c>
      <c r="AS162" t="s">
        <v>85</v>
      </c>
      <c r="AT162">
        <v>2025</v>
      </c>
      <c r="AU162" t="s">
        <v>598</v>
      </c>
      <c r="AV162" t="s">
        <v>145</v>
      </c>
      <c r="AW162" t="s">
        <v>1617</v>
      </c>
      <c r="AX162">
        <v>2025</v>
      </c>
      <c r="AY162" t="s">
        <v>1608</v>
      </c>
      <c r="AZ162" t="s">
        <v>1553</v>
      </c>
    </row>
    <row r="163" spans="1:52" x14ac:dyDescent="0.25">
      <c r="A163" t="s">
        <v>1619</v>
      </c>
      <c r="B163" s="1">
        <v>30994</v>
      </c>
      <c r="C163" t="s">
        <v>1620</v>
      </c>
      <c r="D163">
        <v>454545</v>
      </c>
      <c r="E163" t="s">
        <v>46</v>
      </c>
      <c r="F163" t="s">
        <v>859</v>
      </c>
      <c r="G163" t="s">
        <v>120</v>
      </c>
      <c r="H163" t="s">
        <v>1620</v>
      </c>
      <c r="I163" t="s">
        <v>286</v>
      </c>
      <c r="J163">
        <v>75</v>
      </c>
      <c r="K163">
        <v>80</v>
      </c>
      <c r="L163">
        <v>-82</v>
      </c>
      <c r="M163">
        <v>80</v>
      </c>
      <c r="N163">
        <v>155</v>
      </c>
      <c r="O163" t="s">
        <v>60</v>
      </c>
      <c r="P163">
        <v>90</v>
      </c>
      <c r="Q163">
        <v>95</v>
      </c>
      <c r="R163">
        <v>-100</v>
      </c>
      <c r="S163">
        <v>95</v>
      </c>
      <c r="T163">
        <v>185</v>
      </c>
      <c r="U163" t="s">
        <v>60</v>
      </c>
      <c r="V163">
        <f t="shared" si="6"/>
        <v>4</v>
      </c>
      <c r="W163">
        <f t="shared" si="7"/>
        <v>0</v>
      </c>
      <c r="X163">
        <f t="shared" si="8"/>
        <v>0</v>
      </c>
      <c r="Y163">
        <v>175</v>
      </c>
      <c r="Z163">
        <v>340</v>
      </c>
      <c r="AA163" t="s">
        <v>1622</v>
      </c>
      <c r="AB163" t="s">
        <v>1623</v>
      </c>
      <c r="AC163" t="s">
        <v>94</v>
      </c>
      <c r="AD163">
        <v>4</v>
      </c>
      <c r="AE163">
        <v>71</v>
      </c>
      <c r="AF163" t="s">
        <v>126</v>
      </c>
      <c r="AG163">
        <v>40</v>
      </c>
      <c r="AH163" t="s">
        <v>226</v>
      </c>
      <c r="AI163">
        <v>224.65</v>
      </c>
      <c r="AJ163" t="s">
        <v>132</v>
      </c>
      <c r="AK163" t="s">
        <v>859</v>
      </c>
      <c r="AL163" t="s">
        <v>862</v>
      </c>
      <c r="AM163" t="s">
        <v>123</v>
      </c>
      <c r="AN163" s="1">
        <v>45640</v>
      </c>
      <c r="AO163">
        <v>2024</v>
      </c>
      <c r="AP163">
        <v>12</v>
      </c>
      <c r="AQ163" t="s">
        <v>116</v>
      </c>
      <c r="AS163" t="s">
        <v>85</v>
      </c>
      <c r="AT163">
        <v>2025</v>
      </c>
      <c r="AU163" t="s">
        <v>120</v>
      </c>
      <c r="AV163" t="s">
        <v>123</v>
      </c>
      <c r="AW163" t="s">
        <v>1620</v>
      </c>
      <c r="AX163">
        <v>2025</v>
      </c>
      <c r="AY163" t="s">
        <v>1621</v>
      </c>
      <c r="AZ163" t="s">
        <v>1622</v>
      </c>
    </row>
    <row r="164" spans="1:52" x14ac:dyDescent="0.25">
      <c r="A164" t="s">
        <v>1628</v>
      </c>
      <c r="B164" s="1">
        <v>34403</v>
      </c>
      <c r="C164" t="s">
        <v>1629</v>
      </c>
      <c r="D164">
        <v>281269</v>
      </c>
      <c r="E164" t="s">
        <v>46</v>
      </c>
      <c r="F164" t="s">
        <v>859</v>
      </c>
      <c r="G164" t="s">
        <v>120</v>
      </c>
      <c r="H164" t="s">
        <v>1629</v>
      </c>
      <c r="I164" t="s">
        <v>1632</v>
      </c>
      <c r="J164">
        <v>105</v>
      </c>
      <c r="K164">
        <v>-110</v>
      </c>
      <c r="L164">
        <v>-110</v>
      </c>
      <c r="M164">
        <v>105</v>
      </c>
      <c r="N164">
        <v>0</v>
      </c>
      <c r="O164" t="s">
        <v>55</v>
      </c>
      <c r="P164">
        <v>130</v>
      </c>
      <c r="Q164">
        <v>135</v>
      </c>
      <c r="R164">
        <v>-140</v>
      </c>
      <c r="S164">
        <v>135</v>
      </c>
      <c r="T164">
        <v>265</v>
      </c>
      <c r="U164" t="s">
        <v>60</v>
      </c>
      <c r="V164">
        <f t="shared" si="6"/>
        <v>3</v>
      </c>
      <c r="W164">
        <f t="shared" si="7"/>
        <v>0</v>
      </c>
      <c r="X164">
        <f t="shared" si="8"/>
        <v>0</v>
      </c>
      <c r="Y164">
        <v>240</v>
      </c>
      <c r="Z164">
        <v>265</v>
      </c>
      <c r="AA164" t="s">
        <v>1631</v>
      </c>
      <c r="AB164" t="s">
        <v>1633</v>
      </c>
      <c r="AC164" t="s">
        <v>64</v>
      </c>
      <c r="AD164">
        <v>7</v>
      </c>
      <c r="AE164" t="s">
        <v>125</v>
      </c>
      <c r="AF164" t="s">
        <v>126</v>
      </c>
      <c r="AH164" t="s">
        <v>127</v>
      </c>
      <c r="AI164">
        <v>256.92</v>
      </c>
      <c r="AJ164" t="s">
        <v>52</v>
      </c>
      <c r="AK164" t="s">
        <v>859</v>
      </c>
      <c r="AL164" t="s">
        <v>862</v>
      </c>
      <c r="AM164" t="s">
        <v>123</v>
      </c>
      <c r="AN164" s="1">
        <v>45640</v>
      </c>
      <c r="AO164">
        <v>2024</v>
      </c>
      <c r="AP164">
        <v>12</v>
      </c>
      <c r="AQ164" t="s">
        <v>116</v>
      </c>
      <c r="AS164" t="s">
        <v>85</v>
      </c>
      <c r="AT164">
        <v>2025</v>
      </c>
      <c r="AU164" t="s">
        <v>120</v>
      </c>
      <c r="AV164" t="s">
        <v>123</v>
      </c>
      <c r="AW164" t="s">
        <v>1629</v>
      </c>
      <c r="AX164">
        <v>2025</v>
      </c>
      <c r="AY164" t="s">
        <v>1630</v>
      </c>
      <c r="AZ164" t="s">
        <v>1631</v>
      </c>
    </row>
    <row r="165" spans="1:52" x14ac:dyDescent="0.25">
      <c r="A165" t="s">
        <v>1636</v>
      </c>
      <c r="B165" s="1">
        <v>33785</v>
      </c>
      <c r="C165" t="s">
        <v>1637</v>
      </c>
      <c r="D165">
        <v>492042</v>
      </c>
      <c r="E165" t="s">
        <v>46</v>
      </c>
      <c r="F165" t="s">
        <v>990</v>
      </c>
      <c r="G165" t="s">
        <v>513</v>
      </c>
      <c r="H165" t="s">
        <v>1637</v>
      </c>
      <c r="I165" t="s">
        <v>250</v>
      </c>
      <c r="J165">
        <v>75</v>
      </c>
      <c r="K165">
        <v>-80</v>
      </c>
      <c r="L165">
        <v>80</v>
      </c>
      <c r="M165">
        <v>80</v>
      </c>
      <c r="N165">
        <v>155</v>
      </c>
      <c r="O165" t="s">
        <v>65</v>
      </c>
      <c r="P165">
        <v>95</v>
      </c>
      <c r="Q165">
        <v>100</v>
      </c>
      <c r="R165">
        <v>-105</v>
      </c>
      <c r="S165">
        <v>100</v>
      </c>
      <c r="T165">
        <v>195</v>
      </c>
      <c r="U165" t="s">
        <v>60</v>
      </c>
      <c r="V165">
        <f t="shared" si="6"/>
        <v>4</v>
      </c>
      <c r="W165">
        <f t="shared" si="7"/>
        <v>0</v>
      </c>
      <c r="X165">
        <f t="shared" si="8"/>
        <v>0</v>
      </c>
      <c r="Y165">
        <v>180</v>
      </c>
      <c r="Z165">
        <v>350</v>
      </c>
      <c r="AA165" t="s">
        <v>958</v>
      </c>
      <c r="AB165" t="s">
        <v>1638</v>
      </c>
      <c r="AC165" t="s">
        <v>94</v>
      </c>
      <c r="AD165">
        <v>4</v>
      </c>
      <c r="AE165">
        <v>71</v>
      </c>
      <c r="AF165" t="s">
        <v>126</v>
      </c>
      <c r="AH165" t="s">
        <v>226</v>
      </c>
      <c r="AI165">
        <v>225.24</v>
      </c>
      <c r="AJ165" t="s">
        <v>132</v>
      </c>
      <c r="AK165" t="s">
        <v>990</v>
      </c>
      <c r="AL165" t="s">
        <v>993</v>
      </c>
      <c r="AM165" t="s">
        <v>145</v>
      </c>
      <c r="AN165" s="1">
        <v>45640</v>
      </c>
      <c r="AO165">
        <v>2024</v>
      </c>
      <c r="AP165">
        <v>12</v>
      </c>
      <c r="AQ165" t="s">
        <v>116</v>
      </c>
      <c r="AS165" t="s">
        <v>85</v>
      </c>
      <c r="AT165">
        <v>2025</v>
      </c>
      <c r="AU165" t="s">
        <v>513</v>
      </c>
      <c r="AV165" t="s">
        <v>145</v>
      </c>
      <c r="AW165" t="s">
        <v>1637</v>
      </c>
      <c r="AX165">
        <v>2025</v>
      </c>
      <c r="AY165" t="s">
        <v>958</v>
      </c>
      <c r="AZ165" t="s">
        <v>958</v>
      </c>
    </row>
    <row r="166" spans="1:52" x14ac:dyDescent="0.25">
      <c r="A166" t="s">
        <v>1639</v>
      </c>
      <c r="B166" s="1">
        <v>34311</v>
      </c>
      <c r="C166" t="s">
        <v>1640</v>
      </c>
      <c r="D166">
        <v>452596</v>
      </c>
      <c r="E166" t="s">
        <v>46</v>
      </c>
      <c r="F166" t="s">
        <v>617</v>
      </c>
      <c r="G166" t="s">
        <v>615</v>
      </c>
      <c r="H166" t="s">
        <v>1640</v>
      </c>
      <c r="I166">
        <v>59</v>
      </c>
      <c r="J166">
        <v>72</v>
      </c>
      <c r="K166">
        <v>77</v>
      </c>
      <c r="L166">
        <v>-81</v>
      </c>
      <c r="M166">
        <v>77</v>
      </c>
      <c r="N166">
        <v>149</v>
      </c>
      <c r="O166" t="s">
        <v>60</v>
      </c>
      <c r="P166">
        <v>89</v>
      </c>
      <c r="Q166">
        <v>-93</v>
      </c>
      <c r="R166">
        <v>-95</v>
      </c>
      <c r="S166">
        <v>89</v>
      </c>
      <c r="T166">
        <v>0</v>
      </c>
      <c r="U166" t="s">
        <v>55</v>
      </c>
      <c r="V166">
        <f t="shared" si="6"/>
        <v>3</v>
      </c>
      <c r="W166">
        <f t="shared" si="7"/>
        <v>0</v>
      </c>
      <c r="X166">
        <f t="shared" si="8"/>
        <v>0</v>
      </c>
      <c r="Y166">
        <v>166</v>
      </c>
      <c r="Z166">
        <v>149</v>
      </c>
      <c r="AA166" t="s">
        <v>1642</v>
      </c>
      <c r="AB166" t="s">
        <v>1643</v>
      </c>
      <c r="AC166" t="s">
        <v>94</v>
      </c>
      <c r="AD166">
        <v>4</v>
      </c>
      <c r="AE166">
        <v>59</v>
      </c>
      <c r="AF166" t="s">
        <v>126</v>
      </c>
      <c r="AH166" t="s">
        <v>202</v>
      </c>
      <c r="AI166">
        <v>227.13</v>
      </c>
      <c r="AJ166" t="s">
        <v>132</v>
      </c>
      <c r="AK166" t="s">
        <v>617</v>
      </c>
      <c r="AL166" t="s">
        <v>620</v>
      </c>
      <c r="AM166" t="s">
        <v>90</v>
      </c>
      <c r="AN166" s="1">
        <v>45640</v>
      </c>
      <c r="AO166">
        <v>2024</v>
      </c>
      <c r="AP166">
        <v>12</v>
      </c>
      <c r="AQ166" t="s">
        <v>116</v>
      </c>
      <c r="AS166" t="s">
        <v>85</v>
      </c>
      <c r="AT166">
        <v>2025</v>
      </c>
      <c r="AU166" t="s">
        <v>615</v>
      </c>
      <c r="AV166" t="s">
        <v>91</v>
      </c>
      <c r="AW166" t="s">
        <v>1640</v>
      </c>
      <c r="AX166">
        <v>2025</v>
      </c>
      <c r="AY166" t="s">
        <v>1641</v>
      </c>
      <c r="AZ166" t="s">
        <v>1644</v>
      </c>
    </row>
    <row r="167" spans="1:52" x14ac:dyDescent="0.25">
      <c r="A167" t="s">
        <v>1645</v>
      </c>
      <c r="B167" s="1">
        <v>38483</v>
      </c>
      <c r="C167" t="s">
        <v>1646</v>
      </c>
      <c r="D167">
        <v>474781</v>
      </c>
      <c r="E167" t="s">
        <v>46</v>
      </c>
      <c r="F167" t="s">
        <v>360</v>
      </c>
      <c r="G167" t="s">
        <v>937</v>
      </c>
      <c r="H167" t="s">
        <v>1646</v>
      </c>
      <c r="I167" t="s">
        <v>272</v>
      </c>
      <c r="J167">
        <v>51</v>
      </c>
      <c r="K167">
        <v>-55</v>
      </c>
      <c r="L167">
        <v>55</v>
      </c>
      <c r="M167">
        <v>55</v>
      </c>
      <c r="N167">
        <v>106</v>
      </c>
      <c r="O167" t="s">
        <v>65</v>
      </c>
      <c r="P167">
        <v>70</v>
      </c>
      <c r="Q167">
        <v>-75</v>
      </c>
      <c r="R167">
        <v>-75</v>
      </c>
      <c r="S167">
        <v>70</v>
      </c>
      <c r="T167">
        <v>0</v>
      </c>
      <c r="U167" t="s">
        <v>55</v>
      </c>
      <c r="V167">
        <f t="shared" si="6"/>
        <v>3</v>
      </c>
      <c r="W167">
        <f t="shared" si="7"/>
        <v>0</v>
      </c>
      <c r="X167">
        <f t="shared" si="8"/>
        <v>0</v>
      </c>
      <c r="Y167">
        <v>125</v>
      </c>
      <c r="Z167">
        <v>106</v>
      </c>
      <c r="AA167" t="s">
        <v>1648</v>
      </c>
      <c r="AB167" t="s">
        <v>1649</v>
      </c>
      <c r="AC167" t="s">
        <v>89</v>
      </c>
      <c r="AD167">
        <v>5</v>
      </c>
      <c r="AE167">
        <v>59</v>
      </c>
      <c r="AF167" t="s">
        <v>113</v>
      </c>
      <c r="AH167" t="s">
        <v>352</v>
      </c>
      <c r="AI167">
        <v>173.38</v>
      </c>
      <c r="AJ167" t="s">
        <v>132</v>
      </c>
      <c r="AK167" t="s">
        <v>360</v>
      </c>
      <c r="AL167" t="s">
        <v>363</v>
      </c>
      <c r="AM167" t="s">
        <v>53</v>
      </c>
      <c r="AN167" s="1">
        <v>45640</v>
      </c>
      <c r="AO167">
        <v>2024</v>
      </c>
      <c r="AP167">
        <v>12</v>
      </c>
      <c r="AQ167" t="s">
        <v>116</v>
      </c>
      <c r="AS167" t="s">
        <v>85</v>
      </c>
      <c r="AT167">
        <v>2025</v>
      </c>
      <c r="AU167" t="s">
        <v>937</v>
      </c>
      <c r="AV167" t="s">
        <v>54</v>
      </c>
      <c r="AW167" t="s">
        <v>1646</v>
      </c>
      <c r="AX167">
        <v>2025</v>
      </c>
      <c r="AY167" t="s">
        <v>1647</v>
      </c>
      <c r="AZ167" t="s">
        <v>1650</v>
      </c>
    </row>
    <row r="168" spans="1:52" x14ac:dyDescent="0.25">
      <c r="A168" t="s">
        <v>1652</v>
      </c>
      <c r="B168" s="1">
        <v>36956</v>
      </c>
      <c r="C168" t="s">
        <v>1653</v>
      </c>
      <c r="D168">
        <v>480475</v>
      </c>
      <c r="E168" t="s">
        <v>46</v>
      </c>
      <c r="F168" t="s">
        <v>893</v>
      </c>
      <c r="G168" t="s">
        <v>386</v>
      </c>
      <c r="H168" t="s">
        <v>1653</v>
      </c>
      <c r="I168" t="s">
        <v>632</v>
      </c>
      <c r="J168">
        <v>67</v>
      </c>
      <c r="K168">
        <v>71</v>
      </c>
      <c r="L168">
        <v>-75</v>
      </c>
      <c r="M168">
        <v>71</v>
      </c>
      <c r="N168">
        <v>138</v>
      </c>
      <c r="O168" t="s">
        <v>60</v>
      </c>
      <c r="P168">
        <v>-85</v>
      </c>
      <c r="Q168">
        <v>-86</v>
      </c>
      <c r="R168">
        <v>-89</v>
      </c>
      <c r="S168">
        <v>0</v>
      </c>
      <c r="T168">
        <v>0</v>
      </c>
      <c r="U168" t="s">
        <v>108</v>
      </c>
      <c r="V168">
        <f t="shared" si="6"/>
        <v>2</v>
      </c>
      <c r="W168">
        <f t="shared" si="7"/>
        <v>0</v>
      </c>
      <c r="X168">
        <f t="shared" si="8"/>
        <v>0</v>
      </c>
      <c r="Y168">
        <v>71</v>
      </c>
      <c r="Z168">
        <v>138</v>
      </c>
      <c r="AA168" t="s">
        <v>1655</v>
      </c>
      <c r="AB168" t="s">
        <v>1656</v>
      </c>
      <c r="AC168" t="s">
        <v>49</v>
      </c>
      <c r="AD168">
        <v>999</v>
      </c>
      <c r="AE168">
        <v>87</v>
      </c>
      <c r="AF168" t="s">
        <v>126</v>
      </c>
      <c r="AH168" t="s">
        <v>310</v>
      </c>
      <c r="AI168">
        <v>0</v>
      </c>
      <c r="AJ168" t="s">
        <v>132</v>
      </c>
      <c r="AK168" t="s">
        <v>893</v>
      </c>
      <c r="AL168" t="s">
        <v>897</v>
      </c>
      <c r="AM168" t="s">
        <v>170</v>
      </c>
      <c r="AN168" s="1">
        <v>45640</v>
      </c>
      <c r="AO168">
        <v>2024</v>
      </c>
      <c r="AP168">
        <v>12</v>
      </c>
      <c r="AQ168" t="s">
        <v>116</v>
      </c>
      <c r="AS168" t="s">
        <v>85</v>
      </c>
      <c r="AT168">
        <v>2025</v>
      </c>
      <c r="AU168" t="s">
        <v>386</v>
      </c>
      <c r="AV168" t="s">
        <v>170</v>
      </c>
      <c r="AW168" t="s">
        <v>1653</v>
      </c>
      <c r="AX168">
        <v>2025</v>
      </c>
      <c r="AY168" t="s">
        <v>1654</v>
      </c>
      <c r="AZ168" t="s">
        <v>1657</v>
      </c>
    </row>
    <row r="169" spans="1:52" x14ac:dyDescent="0.25">
      <c r="A169" t="s">
        <v>1658</v>
      </c>
      <c r="B169" s="1">
        <v>40252</v>
      </c>
      <c r="C169" t="s">
        <v>1659</v>
      </c>
      <c r="D169">
        <v>475733</v>
      </c>
      <c r="E169" t="s">
        <v>46</v>
      </c>
      <c r="F169" t="s">
        <v>1163</v>
      </c>
      <c r="G169" t="s">
        <v>749</v>
      </c>
      <c r="H169" t="s">
        <v>1659</v>
      </c>
      <c r="I169" t="s">
        <v>366</v>
      </c>
      <c r="J169">
        <v>36</v>
      </c>
      <c r="K169">
        <v>40</v>
      </c>
      <c r="L169">
        <v>42</v>
      </c>
      <c r="M169">
        <v>42</v>
      </c>
      <c r="N169">
        <v>82</v>
      </c>
      <c r="O169" t="s">
        <v>48</v>
      </c>
      <c r="P169">
        <v>45</v>
      </c>
      <c r="Q169">
        <v>48</v>
      </c>
      <c r="R169">
        <v>-50</v>
      </c>
      <c r="S169">
        <v>48</v>
      </c>
      <c r="T169">
        <v>93</v>
      </c>
      <c r="U169" t="s">
        <v>60</v>
      </c>
      <c r="V169">
        <f t="shared" si="6"/>
        <v>5</v>
      </c>
      <c r="W169">
        <f t="shared" si="7"/>
        <v>0</v>
      </c>
      <c r="X169">
        <f t="shared" si="8"/>
        <v>0</v>
      </c>
      <c r="Y169">
        <v>90</v>
      </c>
      <c r="Z169">
        <v>175</v>
      </c>
      <c r="AA169" t="s">
        <v>748</v>
      </c>
      <c r="AB169" t="s">
        <v>1554</v>
      </c>
      <c r="AC169" t="s">
        <v>89</v>
      </c>
      <c r="AD169">
        <v>5</v>
      </c>
      <c r="AE169">
        <v>59</v>
      </c>
      <c r="AF169" t="s">
        <v>57</v>
      </c>
      <c r="AH169" t="s">
        <v>525</v>
      </c>
      <c r="AI169">
        <v>125.56</v>
      </c>
      <c r="AJ169" t="s">
        <v>132</v>
      </c>
      <c r="AK169" t="s">
        <v>1163</v>
      </c>
      <c r="AL169" t="s">
        <v>1165</v>
      </c>
      <c r="AM169" t="s">
        <v>139</v>
      </c>
      <c r="AN169" s="1">
        <v>45640</v>
      </c>
      <c r="AO169">
        <v>2024</v>
      </c>
      <c r="AP169">
        <v>12</v>
      </c>
      <c r="AQ169" t="s">
        <v>116</v>
      </c>
      <c r="AS169" t="s">
        <v>85</v>
      </c>
      <c r="AT169">
        <v>2025</v>
      </c>
      <c r="AU169" t="s">
        <v>749</v>
      </c>
      <c r="AV169" t="s">
        <v>140</v>
      </c>
      <c r="AW169" t="s">
        <v>1659</v>
      </c>
      <c r="AX169">
        <v>2025</v>
      </c>
      <c r="AY169" t="s">
        <v>748</v>
      </c>
      <c r="AZ169" t="s">
        <v>748</v>
      </c>
    </row>
    <row r="170" spans="1:52" x14ac:dyDescent="0.25">
      <c r="A170" t="s">
        <v>1660</v>
      </c>
      <c r="B170" s="1">
        <v>40513</v>
      </c>
      <c r="C170" t="s">
        <v>1661</v>
      </c>
      <c r="D170">
        <v>475978</v>
      </c>
      <c r="E170" t="s">
        <v>46</v>
      </c>
      <c r="F170" t="s">
        <v>1300</v>
      </c>
      <c r="G170" t="s">
        <v>386</v>
      </c>
      <c r="H170" t="s">
        <v>1661</v>
      </c>
      <c r="I170" t="s">
        <v>844</v>
      </c>
      <c r="J170">
        <v>37</v>
      </c>
      <c r="K170">
        <v>40</v>
      </c>
      <c r="L170">
        <v>-42</v>
      </c>
      <c r="M170">
        <v>40</v>
      </c>
      <c r="N170">
        <v>77</v>
      </c>
      <c r="O170" t="s">
        <v>60</v>
      </c>
      <c r="P170">
        <v>47</v>
      </c>
      <c r="Q170">
        <v>50</v>
      </c>
      <c r="R170">
        <v>-53</v>
      </c>
      <c r="S170">
        <v>50</v>
      </c>
      <c r="T170">
        <v>97</v>
      </c>
      <c r="U170" t="s">
        <v>60</v>
      </c>
      <c r="V170">
        <f t="shared" si="6"/>
        <v>4</v>
      </c>
      <c r="W170">
        <f t="shared" si="7"/>
        <v>0</v>
      </c>
      <c r="X170">
        <f t="shared" si="8"/>
        <v>0</v>
      </c>
      <c r="Y170">
        <v>90</v>
      </c>
      <c r="Z170">
        <v>174</v>
      </c>
      <c r="AA170" t="s">
        <v>1663</v>
      </c>
      <c r="AB170" t="s">
        <v>1665</v>
      </c>
      <c r="AC170" t="s">
        <v>89</v>
      </c>
      <c r="AD170">
        <v>5</v>
      </c>
      <c r="AE170">
        <v>59</v>
      </c>
      <c r="AF170" t="s">
        <v>57</v>
      </c>
      <c r="AH170" t="s">
        <v>525</v>
      </c>
      <c r="AI170">
        <v>124.61</v>
      </c>
      <c r="AJ170" t="s">
        <v>132</v>
      </c>
      <c r="AK170" t="s">
        <v>1300</v>
      </c>
      <c r="AL170" t="s">
        <v>1302</v>
      </c>
      <c r="AM170" t="s">
        <v>170</v>
      </c>
      <c r="AN170" s="1">
        <v>45640</v>
      </c>
      <c r="AO170">
        <v>2024</v>
      </c>
      <c r="AP170">
        <v>12</v>
      </c>
      <c r="AQ170" t="s">
        <v>116</v>
      </c>
      <c r="AS170" t="s">
        <v>85</v>
      </c>
      <c r="AT170">
        <v>2025</v>
      </c>
      <c r="AU170" t="s">
        <v>386</v>
      </c>
      <c r="AV170" t="s">
        <v>170</v>
      </c>
      <c r="AW170" t="s">
        <v>1661</v>
      </c>
      <c r="AX170">
        <v>2025</v>
      </c>
      <c r="AY170" t="s">
        <v>1662</v>
      </c>
      <c r="AZ170" t="s">
        <v>1663</v>
      </c>
    </row>
    <row r="171" spans="1:52" x14ac:dyDescent="0.25">
      <c r="A171" t="s">
        <v>1666</v>
      </c>
      <c r="B171" s="1">
        <v>39169</v>
      </c>
      <c r="C171" t="s">
        <v>1667</v>
      </c>
      <c r="D171">
        <v>472596</v>
      </c>
      <c r="E171" t="s">
        <v>46</v>
      </c>
      <c r="F171" t="s">
        <v>1163</v>
      </c>
      <c r="G171" t="s">
        <v>402</v>
      </c>
      <c r="H171" t="s">
        <v>1667</v>
      </c>
      <c r="I171" t="s">
        <v>388</v>
      </c>
      <c r="J171">
        <v>-63</v>
      </c>
      <c r="K171">
        <v>63</v>
      </c>
      <c r="L171">
        <v>66</v>
      </c>
      <c r="M171">
        <v>66</v>
      </c>
      <c r="N171">
        <v>129</v>
      </c>
      <c r="O171" t="s">
        <v>63</v>
      </c>
      <c r="P171">
        <v>78</v>
      </c>
      <c r="Q171">
        <v>-81</v>
      </c>
      <c r="R171">
        <v>81</v>
      </c>
      <c r="S171">
        <v>81</v>
      </c>
      <c r="T171">
        <v>159</v>
      </c>
      <c r="U171" t="s">
        <v>65</v>
      </c>
      <c r="V171">
        <f t="shared" si="6"/>
        <v>4</v>
      </c>
      <c r="W171">
        <f t="shared" si="7"/>
        <v>0</v>
      </c>
      <c r="X171">
        <f t="shared" si="8"/>
        <v>0</v>
      </c>
      <c r="Y171">
        <v>147</v>
      </c>
      <c r="Z171">
        <v>288</v>
      </c>
      <c r="AA171" t="s">
        <v>1668</v>
      </c>
      <c r="AB171" t="s">
        <v>1669</v>
      </c>
      <c r="AC171" t="s">
        <v>94</v>
      </c>
      <c r="AD171">
        <v>4</v>
      </c>
      <c r="AE171">
        <v>59</v>
      </c>
      <c r="AF171" t="s">
        <v>113</v>
      </c>
      <c r="AH171" t="s">
        <v>352</v>
      </c>
      <c r="AI171">
        <v>202.27</v>
      </c>
      <c r="AJ171" t="s">
        <v>132</v>
      </c>
      <c r="AK171" t="s">
        <v>1163</v>
      </c>
      <c r="AL171" t="s">
        <v>1165</v>
      </c>
      <c r="AM171" t="s">
        <v>139</v>
      </c>
      <c r="AN171" s="1">
        <v>45640</v>
      </c>
      <c r="AO171">
        <v>2024</v>
      </c>
      <c r="AP171">
        <v>12</v>
      </c>
      <c r="AQ171" t="s">
        <v>116</v>
      </c>
      <c r="AS171" t="s">
        <v>85</v>
      </c>
      <c r="AT171">
        <v>2025</v>
      </c>
      <c r="AU171" t="s">
        <v>402</v>
      </c>
      <c r="AV171" t="s">
        <v>140</v>
      </c>
      <c r="AW171" t="s">
        <v>1667</v>
      </c>
      <c r="AX171">
        <v>2025</v>
      </c>
      <c r="AY171" t="s">
        <v>1668</v>
      </c>
      <c r="AZ171" t="s">
        <v>1668</v>
      </c>
    </row>
    <row r="172" spans="1:52" x14ac:dyDescent="0.25">
      <c r="A172" t="s">
        <v>1672</v>
      </c>
      <c r="B172" s="1">
        <v>32324</v>
      </c>
      <c r="C172" t="s">
        <v>1673</v>
      </c>
      <c r="D172">
        <v>443420</v>
      </c>
      <c r="E172" t="s">
        <v>46</v>
      </c>
      <c r="F172" t="s">
        <v>845</v>
      </c>
      <c r="G172" t="s">
        <v>1085</v>
      </c>
      <c r="H172" t="s">
        <v>1673</v>
      </c>
      <c r="I172" t="s">
        <v>499</v>
      </c>
      <c r="J172">
        <v>70</v>
      </c>
      <c r="K172">
        <v>-73</v>
      </c>
      <c r="L172">
        <v>-73</v>
      </c>
      <c r="M172">
        <v>70</v>
      </c>
      <c r="N172">
        <v>0</v>
      </c>
      <c r="O172" t="s">
        <v>55</v>
      </c>
      <c r="P172">
        <v>92</v>
      </c>
      <c r="Q172">
        <v>-96</v>
      </c>
      <c r="R172">
        <v>96</v>
      </c>
      <c r="S172">
        <v>96</v>
      </c>
      <c r="T172">
        <v>188</v>
      </c>
      <c r="U172" t="s">
        <v>65</v>
      </c>
      <c r="V172">
        <f t="shared" si="6"/>
        <v>3</v>
      </c>
      <c r="W172">
        <f t="shared" si="7"/>
        <v>0</v>
      </c>
      <c r="X172">
        <f t="shared" si="8"/>
        <v>0</v>
      </c>
      <c r="Y172">
        <v>166</v>
      </c>
      <c r="Z172">
        <v>188</v>
      </c>
      <c r="AA172" t="s">
        <v>1675</v>
      </c>
      <c r="AB172" t="s">
        <v>1187</v>
      </c>
      <c r="AC172" t="s">
        <v>94</v>
      </c>
      <c r="AD172">
        <v>4</v>
      </c>
      <c r="AE172">
        <v>64</v>
      </c>
      <c r="AF172" t="s">
        <v>126</v>
      </c>
      <c r="AG172">
        <v>35</v>
      </c>
      <c r="AH172" t="s">
        <v>167</v>
      </c>
      <c r="AI172">
        <v>216.45</v>
      </c>
      <c r="AJ172" t="s">
        <v>132</v>
      </c>
      <c r="AK172" t="s">
        <v>845</v>
      </c>
      <c r="AL172" t="s">
        <v>848</v>
      </c>
      <c r="AM172" t="s">
        <v>302</v>
      </c>
      <c r="AN172" s="1">
        <v>45640</v>
      </c>
      <c r="AO172">
        <v>2024</v>
      </c>
      <c r="AP172">
        <v>12</v>
      </c>
      <c r="AQ172" t="s">
        <v>116</v>
      </c>
      <c r="AS172" t="s">
        <v>85</v>
      </c>
      <c r="AT172">
        <v>2025</v>
      </c>
      <c r="AU172" t="s">
        <v>1085</v>
      </c>
      <c r="AV172" t="s">
        <v>303</v>
      </c>
      <c r="AW172" t="s">
        <v>1673</v>
      </c>
      <c r="AX172">
        <v>2025</v>
      </c>
      <c r="AY172" t="s">
        <v>1674</v>
      </c>
      <c r="AZ172" t="s">
        <v>1675</v>
      </c>
    </row>
    <row r="173" spans="1:52" x14ac:dyDescent="0.25">
      <c r="A173" t="s">
        <v>1676</v>
      </c>
      <c r="B173" s="1">
        <v>36806</v>
      </c>
      <c r="C173" t="s">
        <v>1677</v>
      </c>
      <c r="D173">
        <v>497689</v>
      </c>
      <c r="E173" t="s">
        <v>46</v>
      </c>
      <c r="F173" t="s">
        <v>617</v>
      </c>
      <c r="G173" t="s">
        <v>684</v>
      </c>
      <c r="H173" t="s">
        <v>1677</v>
      </c>
      <c r="I173">
        <v>67</v>
      </c>
      <c r="J173">
        <v>-62</v>
      </c>
      <c r="K173">
        <v>-62</v>
      </c>
      <c r="L173">
        <v>62</v>
      </c>
      <c r="M173">
        <v>62</v>
      </c>
      <c r="N173">
        <v>0</v>
      </c>
      <c r="O173" t="s">
        <v>102</v>
      </c>
      <c r="P173">
        <v>70</v>
      </c>
      <c r="Q173">
        <v>75</v>
      </c>
      <c r="R173">
        <v>80</v>
      </c>
      <c r="S173">
        <v>80</v>
      </c>
      <c r="T173">
        <v>155</v>
      </c>
      <c r="U173" t="s">
        <v>48</v>
      </c>
      <c r="V173">
        <f t="shared" si="6"/>
        <v>4</v>
      </c>
      <c r="W173">
        <f t="shared" si="7"/>
        <v>1</v>
      </c>
      <c r="X173">
        <f t="shared" si="8"/>
        <v>0</v>
      </c>
      <c r="Y173">
        <v>142</v>
      </c>
      <c r="Z173">
        <v>155</v>
      </c>
      <c r="AA173" t="s">
        <v>1678</v>
      </c>
      <c r="AB173" t="s">
        <v>977</v>
      </c>
      <c r="AC173" t="s">
        <v>93</v>
      </c>
      <c r="AD173">
        <v>6</v>
      </c>
      <c r="AE173">
        <v>71</v>
      </c>
      <c r="AF173" t="s">
        <v>126</v>
      </c>
      <c r="AH173" t="s">
        <v>226</v>
      </c>
      <c r="AI173">
        <v>179.76</v>
      </c>
      <c r="AJ173" t="s">
        <v>132</v>
      </c>
      <c r="AK173" t="s">
        <v>617</v>
      </c>
      <c r="AL173" t="s">
        <v>620</v>
      </c>
      <c r="AM173" t="s">
        <v>90</v>
      </c>
      <c r="AN173" s="1">
        <v>45640</v>
      </c>
      <c r="AO173">
        <v>2024</v>
      </c>
      <c r="AP173">
        <v>12</v>
      </c>
      <c r="AQ173" t="s">
        <v>116</v>
      </c>
      <c r="AS173" t="s">
        <v>85</v>
      </c>
      <c r="AT173">
        <v>2025</v>
      </c>
      <c r="AU173" t="s">
        <v>684</v>
      </c>
      <c r="AV173" t="s">
        <v>91</v>
      </c>
      <c r="AW173" t="s">
        <v>1677</v>
      </c>
      <c r="AX173">
        <v>2025</v>
      </c>
      <c r="AY173" t="s">
        <v>1678</v>
      </c>
      <c r="AZ173" t="s">
        <v>1678</v>
      </c>
    </row>
    <row r="174" spans="1:52" x14ac:dyDescent="0.25">
      <c r="A174" t="s">
        <v>1679</v>
      </c>
      <c r="B174" s="1">
        <v>37915</v>
      </c>
      <c r="C174" t="s">
        <v>1680</v>
      </c>
      <c r="D174">
        <v>392575</v>
      </c>
      <c r="E174" t="s">
        <v>46</v>
      </c>
      <c r="F174" t="s">
        <v>1173</v>
      </c>
      <c r="G174" t="s">
        <v>538</v>
      </c>
      <c r="H174" t="s">
        <v>1680</v>
      </c>
      <c r="I174" t="s">
        <v>1682</v>
      </c>
      <c r="J174">
        <v>73</v>
      </c>
      <c r="K174">
        <v>-77</v>
      </c>
      <c r="L174">
        <v>-80</v>
      </c>
      <c r="M174">
        <v>73</v>
      </c>
      <c r="N174">
        <v>0</v>
      </c>
      <c r="O174" t="s">
        <v>55</v>
      </c>
      <c r="P174">
        <v>84</v>
      </c>
      <c r="Q174">
        <v>87</v>
      </c>
      <c r="R174">
        <v>90</v>
      </c>
      <c r="S174">
        <v>90</v>
      </c>
      <c r="T174">
        <v>177</v>
      </c>
      <c r="U174" t="s">
        <v>48</v>
      </c>
      <c r="V174">
        <f t="shared" si="6"/>
        <v>4</v>
      </c>
      <c r="W174">
        <f t="shared" si="7"/>
        <v>0</v>
      </c>
      <c r="X174">
        <f t="shared" si="8"/>
        <v>0</v>
      </c>
      <c r="Y174">
        <v>163</v>
      </c>
      <c r="Z174">
        <v>177</v>
      </c>
      <c r="AA174" t="s">
        <v>1683</v>
      </c>
      <c r="AB174" t="s">
        <v>1684</v>
      </c>
      <c r="AC174" t="s">
        <v>89</v>
      </c>
      <c r="AD174">
        <v>5</v>
      </c>
      <c r="AE174">
        <v>76</v>
      </c>
      <c r="AF174" t="s">
        <v>126</v>
      </c>
      <c r="AH174" t="s">
        <v>228</v>
      </c>
      <c r="AI174">
        <v>193.4</v>
      </c>
      <c r="AJ174" t="s">
        <v>132</v>
      </c>
      <c r="AK174" t="s">
        <v>1173</v>
      </c>
      <c r="AL174" t="s">
        <v>1177</v>
      </c>
      <c r="AM174" t="s">
        <v>173</v>
      </c>
      <c r="AN174" s="1">
        <v>45641</v>
      </c>
      <c r="AO174">
        <v>2024</v>
      </c>
      <c r="AP174">
        <v>12</v>
      </c>
      <c r="AQ174" t="s">
        <v>116</v>
      </c>
      <c r="AS174" t="s">
        <v>85</v>
      </c>
      <c r="AT174">
        <v>2025</v>
      </c>
      <c r="AU174" t="s">
        <v>538</v>
      </c>
      <c r="AV174" t="s">
        <v>173</v>
      </c>
      <c r="AW174" t="s">
        <v>1680</v>
      </c>
      <c r="AX174">
        <v>2025</v>
      </c>
      <c r="AY174" t="s">
        <v>1681</v>
      </c>
      <c r="AZ174" t="s">
        <v>1683</v>
      </c>
    </row>
    <row r="175" spans="1:52" x14ac:dyDescent="0.25">
      <c r="A175" t="s">
        <v>1685</v>
      </c>
      <c r="B175" s="1">
        <v>40823</v>
      </c>
      <c r="C175" t="s">
        <v>1686</v>
      </c>
      <c r="D175">
        <v>469517</v>
      </c>
      <c r="E175" t="s">
        <v>46</v>
      </c>
      <c r="F175" t="s">
        <v>1383</v>
      </c>
      <c r="G175" t="s">
        <v>78</v>
      </c>
      <c r="H175" t="s">
        <v>1686</v>
      </c>
      <c r="I175" t="s">
        <v>440</v>
      </c>
      <c r="J175">
        <v>32</v>
      </c>
      <c r="K175">
        <v>-35</v>
      </c>
      <c r="L175">
        <v>-35</v>
      </c>
      <c r="M175">
        <v>32</v>
      </c>
      <c r="N175">
        <v>0</v>
      </c>
      <c r="O175" t="s">
        <v>55</v>
      </c>
      <c r="P175">
        <v>41</v>
      </c>
      <c r="Q175">
        <v>44</v>
      </c>
      <c r="R175">
        <v>46</v>
      </c>
      <c r="S175">
        <v>46</v>
      </c>
      <c r="T175">
        <v>90</v>
      </c>
      <c r="U175" t="s">
        <v>48</v>
      </c>
      <c r="V175">
        <f t="shared" si="6"/>
        <v>4</v>
      </c>
      <c r="W175">
        <f t="shared" si="7"/>
        <v>0</v>
      </c>
      <c r="X175">
        <f t="shared" si="8"/>
        <v>0</v>
      </c>
      <c r="Y175">
        <v>78</v>
      </c>
      <c r="Z175">
        <v>90</v>
      </c>
      <c r="AA175" t="s">
        <v>1687</v>
      </c>
      <c r="AB175" t="s">
        <v>1688</v>
      </c>
      <c r="AC175" t="s">
        <v>93</v>
      </c>
      <c r="AD175">
        <v>6</v>
      </c>
      <c r="AE175">
        <v>59</v>
      </c>
      <c r="AF175" t="s">
        <v>57</v>
      </c>
      <c r="AH175" t="s">
        <v>525</v>
      </c>
      <c r="AI175">
        <v>109.73</v>
      </c>
      <c r="AJ175" t="s">
        <v>132</v>
      </c>
      <c r="AK175" t="s">
        <v>1383</v>
      </c>
      <c r="AL175" t="s">
        <v>1386</v>
      </c>
      <c r="AM175" t="s">
        <v>68</v>
      </c>
      <c r="AN175" s="1">
        <v>45640</v>
      </c>
      <c r="AO175">
        <v>2024</v>
      </c>
      <c r="AP175">
        <v>12</v>
      </c>
      <c r="AQ175" t="s">
        <v>116</v>
      </c>
      <c r="AS175" t="s">
        <v>85</v>
      </c>
      <c r="AT175">
        <v>2025</v>
      </c>
      <c r="AU175" t="s">
        <v>78</v>
      </c>
      <c r="AV175" t="s">
        <v>68</v>
      </c>
      <c r="AW175" t="s">
        <v>1686</v>
      </c>
      <c r="AX175">
        <v>2025</v>
      </c>
      <c r="AY175" t="s">
        <v>1687</v>
      </c>
      <c r="AZ175" t="s">
        <v>1687</v>
      </c>
    </row>
    <row r="176" spans="1:52" x14ac:dyDescent="0.25">
      <c r="A176" t="s">
        <v>1759</v>
      </c>
      <c r="B176" s="1">
        <v>41823</v>
      </c>
      <c r="C176" t="s">
        <v>1760</v>
      </c>
      <c r="D176">
        <v>503069</v>
      </c>
      <c r="E176" t="s">
        <v>46</v>
      </c>
      <c r="F176" t="s">
        <v>1360</v>
      </c>
      <c r="G176" t="s">
        <v>78</v>
      </c>
      <c r="H176" t="s">
        <v>1760</v>
      </c>
      <c r="I176" t="s">
        <v>1762</v>
      </c>
      <c r="J176">
        <v>5</v>
      </c>
      <c r="K176">
        <v>6</v>
      </c>
      <c r="L176">
        <v>7</v>
      </c>
      <c r="M176">
        <v>7</v>
      </c>
      <c r="N176">
        <v>13</v>
      </c>
      <c r="O176" t="s">
        <v>48</v>
      </c>
      <c r="P176">
        <v>8</v>
      </c>
      <c r="Q176">
        <v>9</v>
      </c>
      <c r="R176">
        <v>10</v>
      </c>
      <c r="S176">
        <v>10</v>
      </c>
      <c r="T176">
        <v>19</v>
      </c>
      <c r="U176" t="s">
        <v>48</v>
      </c>
      <c r="V176">
        <f t="shared" si="6"/>
        <v>6</v>
      </c>
      <c r="W176">
        <f t="shared" si="7"/>
        <v>0</v>
      </c>
      <c r="X176">
        <f t="shared" si="8"/>
        <v>0</v>
      </c>
      <c r="Y176">
        <v>17</v>
      </c>
      <c r="Z176">
        <v>32</v>
      </c>
      <c r="AA176" t="s">
        <v>1761</v>
      </c>
      <c r="AB176" t="s">
        <v>1763</v>
      </c>
      <c r="AC176" t="s">
        <v>49</v>
      </c>
      <c r="AD176">
        <v>999</v>
      </c>
      <c r="AE176">
        <v>35</v>
      </c>
      <c r="AF176" t="s">
        <v>50</v>
      </c>
      <c r="AH176" t="s">
        <v>450</v>
      </c>
      <c r="AI176">
        <v>70.849999999999994</v>
      </c>
      <c r="AJ176" t="s">
        <v>132</v>
      </c>
      <c r="AK176" t="s">
        <v>1360</v>
      </c>
      <c r="AL176" t="s">
        <v>1364</v>
      </c>
      <c r="AM176" t="s">
        <v>68</v>
      </c>
      <c r="AN176" s="1">
        <v>45640</v>
      </c>
      <c r="AO176">
        <v>2024</v>
      </c>
      <c r="AP176">
        <v>12</v>
      </c>
      <c r="AQ176" t="s">
        <v>116</v>
      </c>
      <c r="AS176" t="s">
        <v>85</v>
      </c>
      <c r="AT176">
        <v>2025</v>
      </c>
      <c r="AU176" t="s">
        <v>78</v>
      </c>
      <c r="AV176" t="s">
        <v>68</v>
      </c>
      <c r="AW176" t="s">
        <v>1760</v>
      </c>
      <c r="AX176">
        <v>2025</v>
      </c>
      <c r="AY176" t="s">
        <v>1761</v>
      </c>
      <c r="AZ176" t="s">
        <v>1761</v>
      </c>
    </row>
    <row r="177" spans="1:52" x14ac:dyDescent="0.25">
      <c r="A177" t="s">
        <v>1764</v>
      </c>
      <c r="B177" s="1">
        <v>40270</v>
      </c>
      <c r="C177" t="s">
        <v>1765</v>
      </c>
      <c r="D177">
        <v>502062</v>
      </c>
      <c r="E177" t="s">
        <v>46</v>
      </c>
      <c r="F177" t="s">
        <v>859</v>
      </c>
      <c r="G177" t="s">
        <v>120</v>
      </c>
      <c r="H177" t="s">
        <v>1765</v>
      </c>
      <c r="I177">
        <v>58</v>
      </c>
      <c r="J177">
        <v>28</v>
      </c>
      <c r="K177">
        <v>32</v>
      </c>
      <c r="L177">
        <v>-35</v>
      </c>
      <c r="M177">
        <v>32</v>
      </c>
      <c r="N177">
        <v>60</v>
      </c>
      <c r="O177" t="s">
        <v>60</v>
      </c>
      <c r="P177">
        <v>38</v>
      </c>
      <c r="Q177">
        <v>42</v>
      </c>
      <c r="R177">
        <v>-45</v>
      </c>
      <c r="S177">
        <v>42</v>
      </c>
      <c r="T177">
        <v>80</v>
      </c>
      <c r="U177" t="s">
        <v>60</v>
      </c>
      <c r="V177">
        <f t="shared" si="6"/>
        <v>4</v>
      </c>
      <c r="W177">
        <f t="shared" si="7"/>
        <v>0</v>
      </c>
      <c r="X177">
        <f t="shared" si="8"/>
        <v>0</v>
      </c>
      <c r="Y177">
        <v>74</v>
      </c>
      <c r="Z177">
        <v>140</v>
      </c>
      <c r="AA177" t="s">
        <v>1181</v>
      </c>
      <c r="AB177" t="s">
        <v>1767</v>
      </c>
      <c r="AC177" t="s">
        <v>64</v>
      </c>
      <c r="AD177">
        <v>7</v>
      </c>
      <c r="AE177">
        <v>59</v>
      </c>
      <c r="AF177" t="s">
        <v>57</v>
      </c>
      <c r="AH177" t="s">
        <v>525</v>
      </c>
      <c r="AI177">
        <v>102.4</v>
      </c>
      <c r="AJ177" t="s">
        <v>132</v>
      </c>
      <c r="AK177" t="s">
        <v>859</v>
      </c>
      <c r="AL177" t="s">
        <v>862</v>
      </c>
      <c r="AM177" t="s">
        <v>123</v>
      </c>
      <c r="AN177" s="1">
        <v>45640</v>
      </c>
      <c r="AO177">
        <v>2024</v>
      </c>
      <c r="AP177">
        <v>12</v>
      </c>
      <c r="AQ177" t="s">
        <v>116</v>
      </c>
      <c r="AS177" t="s">
        <v>85</v>
      </c>
      <c r="AT177">
        <v>2025</v>
      </c>
      <c r="AU177" t="s">
        <v>120</v>
      </c>
      <c r="AV177" t="s">
        <v>123</v>
      </c>
      <c r="AW177" t="s">
        <v>1765</v>
      </c>
      <c r="AX177">
        <v>2025</v>
      </c>
      <c r="AY177" t="s">
        <v>1766</v>
      </c>
      <c r="AZ177" t="s">
        <v>1766</v>
      </c>
    </row>
    <row r="178" spans="1:52" x14ac:dyDescent="0.25">
      <c r="A178" t="s">
        <v>1689</v>
      </c>
      <c r="B178" s="1">
        <v>40627</v>
      </c>
      <c r="C178" t="s">
        <v>1690</v>
      </c>
      <c r="D178">
        <v>478489</v>
      </c>
      <c r="E178" t="s">
        <v>46</v>
      </c>
      <c r="F178" t="s">
        <v>1383</v>
      </c>
      <c r="G178" t="s">
        <v>240</v>
      </c>
      <c r="H178" t="s">
        <v>1690</v>
      </c>
      <c r="I178" t="s">
        <v>1021</v>
      </c>
      <c r="J178">
        <v>30</v>
      </c>
      <c r="K178">
        <v>33</v>
      </c>
      <c r="L178">
        <v>-36</v>
      </c>
      <c r="M178">
        <v>33</v>
      </c>
      <c r="N178">
        <v>63</v>
      </c>
      <c r="O178" t="s">
        <v>60</v>
      </c>
      <c r="P178">
        <v>38</v>
      </c>
      <c r="Q178">
        <v>-41</v>
      </c>
      <c r="R178">
        <v>41</v>
      </c>
      <c r="S178">
        <v>41</v>
      </c>
      <c r="T178">
        <v>79</v>
      </c>
      <c r="U178" t="s">
        <v>65</v>
      </c>
      <c r="V178">
        <f t="shared" si="6"/>
        <v>4</v>
      </c>
      <c r="W178">
        <f t="shared" si="7"/>
        <v>0</v>
      </c>
      <c r="X178">
        <f t="shared" si="8"/>
        <v>0</v>
      </c>
      <c r="Y178">
        <v>74</v>
      </c>
      <c r="Z178">
        <v>142</v>
      </c>
      <c r="AA178" t="s">
        <v>1694</v>
      </c>
      <c r="AB178" t="s">
        <v>1695</v>
      </c>
      <c r="AC178" t="s">
        <v>93</v>
      </c>
      <c r="AD178">
        <v>6</v>
      </c>
      <c r="AE178">
        <v>55</v>
      </c>
      <c r="AF178" t="s">
        <v>57</v>
      </c>
      <c r="AH178" t="s">
        <v>172</v>
      </c>
      <c r="AI178">
        <v>108.42</v>
      </c>
      <c r="AJ178" t="s">
        <v>132</v>
      </c>
      <c r="AK178" t="s">
        <v>1383</v>
      </c>
      <c r="AL178" t="s">
        <v>1386</v>
      </c>
      <c r="AM178" t="s">
        <v>68</v>
      </c>
      <c r="AN178" s="1">
        <v>45640</v>
      </c>
      <c r="AO178">
        <v>2024</v>
      </c>
      <c r="AP178">
        <v>12</v>
      </c>
      <c r="AQ178" t="s">
        <v>116</v>
      </c>
      <c r="AS178" t="s">
        <v>85</v>
      </c>
      <c r="AT178">
        <v>2025</v>
      </c>
      <c r="AU178" t="s">
        <v>240</v>
      </c>
      <c r="AV178" t="s">
        <v>68</v>
      </c>
      <c r="AW178" t="s">
        <v>1690</v>
      </c>
      <c r="AX178">
        <v>2025</v>
      </c>
      <c r="AY178" t="s">
        <v>1691</v>
      </c>
      <c r="AZ178" t="s">
        <v>1696</v>
      </c>
    </row>
    <row r="179" spans="1:52" x14ac:dyDescent="0.25">
      <c r="A179" t="s">
        <v>1697</v>
      </c>
      <c r="B179" s="1">
        <v>37146</v>
      </c>
      <c r="C179" t="s">
        <v>1698</v>
      </c>
      <c r="D179">
        <v>475533</v>
      </c>
      <c r="E179" t="s">
        <v>46</v>
      </c>
      <c r="F179" t="s">
        <v>948</v>
      </c>
      <c r="G179" t="s">
        <v>419</v>
      </c>
      <c r="H179" t="s">
        <v>1698</v>
      </c>
      <c r="I179" t="s">
        <v>983</v>
      </c>
      <c r="J179">
        <v>-53</v>
      </c>
      <c r="K179">
        <v>-53</v>
      </c>
      <c r="L179">
        <v>53</v>
      </c>
      <c r="M179">
        <v>53</v>
      </c>
      <c r="N179">
        <v>0</v>
      </c>
      <c r="O179" t="s">
        <v>102</v>
      </c>
      <c r="P179">
        <v>-70</v>
      </c>
      <c r="Q179">
        <v>73</v>
      </c>
      <c r="R179">
        <v>76</v>
      </c>
      <c r="S179">
        <v>76</v>
      </c>
      <c r="T179">
        <v>149</v>
      </c>
      <c r="U179" t="s">
        <v>63</v>
      </c>
      <c r="V179">
        <f t="shared" si="6"/>
        <v>3</v>
      </c>
      <c r="W179">
        <f t="shared" si="7"/>
        <v>1</v>
      </c>
      <c r="X179">
        <f t="shared" si="8"/>
        <v>0</v>
      </c>
      <c r="Y179">
        <v>129</v>
      </c>
      <c r="Z179">
        <v>149</v>
      </c>
      <c r="AA179" t="s">
        <v>1701</v>
      </c>
      <c r="AB179" t="s">
        <v>1702</v>
      </c>
      <c r="AC179" t="s">
        <v>93</v>
      </c>
      <c r="AD179">
        <v>6</v>
      </c>
      <c r="AE179">
        <v>64</v>
      </c>
      <c r="AF179" t="s">
        <v>126</v>
      </c>
      <c r="AH179" t="s">
        <v>167</v>
      </c>
      <c r="AI179">
        <v>173.27</v>
      </c>
      <c r="AJ179" t="s">
        <v>132</v>
      </c>
      <c r="AK179" t="s">
        <v>948</v>
      </c>
      <c r="AL179" t="s">
        <v>949</v>
      </c>
      <c r="AM179" t="s">
        <v>133</v>
      </c>
      <c r="AN179" s="1">
        <v>45640</v>
      </c>
      <c r="AO179">
        <v>2024</v>
      </c>
      <c r="AP179">
        <v>12</v>
      </c>
      <c r="AQ179" t="s">
        <v>116</v>
      </c>
      <c r="AS179" t="s">
        <v>85</v>
      </c>
      <c r="AT179">
        <v>2025</v>
      </c>
      <c r="AU179" t="s">
        <v>419</v>
      </c>
      <c r="AV179" t="s">
        <v>133</v>
      </c>
      <c r="AW179" t="s">
        <v>1698</v>
      </c>
      <c r="AX179">
        <v>2025</v>
      </c>
      <c r="AY179" t="s">
        <v>1699</v>
      </c>
      <c r="AZ179" t="s">
        <v>1703</v>
      </c>
    </row>
    <row r="180" spans="1:52" x14ac:dyDescent="0.25">
      <c r="A180" t="s">
        <v>1706</v>
      </c>
      <c r="B180" s="1">
        <v>39250</v>
      </c>
      <c r="C180" t="s">
        <v>1707</v>
      </c>
      <c r="D180">
        <v>490667</v>
      </c>
      <c r="E180" t="s">
        <v>46</v>
      </c>
      <c r="F180" t="s">
        <v>360</v>
      </c>
      <c r="G180" t="s">
        <v>134</v>
      </c>
      <c r="H180" t="s">
        <v>1707</v>
      </c>
      <c r="I180" t="s">
        <v>1002</v>
      </c>
      <c r="J180">
        <v>41</v>
      </c>
      <c r="K180">
        <v>44</v>
      </c>
      <c r="L180">
        <v>46</v>
      </c>
      <c r="M180">
        <v>46</v>
      </c>
      <c r="N180">
        <v>90</v>
      </c>
      <c r="O180" t="s">
        <v>48</v>
      </c>
      <c r="P180">
        <v>51</v>
      </c>
      <c r="Q180">
        <v>-54</v>
      </c>
      <c r="R180">
        <v>54</v>
      </c>
      <c r="S180">
        <v>54</v>
      </c>
      <c r="T180">
        <v>105</v>
      </c>
      <c r="U180" t="s">
        <v>65</v>
      </c>
      <c r="V180">
        <f t="shared" si="6"/>
        <v>5</v>
      </c>
      <c r="W180">
        <f t="shared" si="7"/>
        <v>0</v>
      </c>
      <c r="X180">
        <f t="shared" si="8"/>
        <v>0</v>
      </c>
      <c r="Y180">
        <v>100</v>
      </c>
      <c r="Z180">
        <v>195</v>
      </c>
      <c r="AA180" t="s">
        <v>1708</v>
      </c>
      <c r="AB180" t="s">
        <v>1709</v>
      </c>
      <c r="AC180" t="s">
        <v>93</v>
      </c>
      <c r="AD180">
        <v>6</v>
      </c>
      <c r="AE180">
        <v>55</v>
      </c>
      <c r="AF180" t="s">
        <v>113</v>
      </c>
      <c r="AH180" t="s">
        <v>465</v>
      </c>
      <c r="AI180">
        <v>154.11000000000001</v>
      </c>
      <c r="AJ180" t="s">
        <v>132</v>
      </c>
      <c r="AK180" t="s">
        <v>360</v>
      </c>
      <c r="AL180" t="s">
        <v>363</v>
      </c>
      <c r="AM180" t="s">
        <v>53</v>
      </c>
      <c r="AN180" s="1">
        <v>45640</v>
      </c>
      <c r="AO180">
        <v>2024</v>
      </c>
      <c r="AP180">
        <v>12</v>
      </c>
      <c r="AQ180" t="s">
        <v>116</v>
      </c>
      <c r="AS180" t="s">
        <v>85</v>
      </c>
      <c r="AT180">
        <v>2025</v>
      </c>
      <c r="AU180" t="s">
        <v>134</v>
      </c>
      <c r="AV180" t="s">
        <v>54</v>
      </c>
      <c r="AW180" t="s">
        <v>1707</v>
      </c>
      <c r="AX180">
        <v>2025</v>
      </c>
      <c r="AY180" t="s">
        <v>1708</v>
      </c>
      <c r="AZ180" t="s">
        <v>1708</v>
      </c>
    </row>
    <row r="181" spans="1:52" x14ac:dyDescent="0.25">
      <c r="A181" t="s">
        <v>1727</v>
      </c>
      <c r="B181" s="1">
        <v>38312</v>
      </c>
      <c r="C181" t="s">
        <v>1728</v>
      </c>
      <c r="D181">
        <v>490359</v>
      </c>
      <c r="E181" t="s">
        <v>46</v>
      </c>
      <c r="F181" t="s">
        <v>390</v>
      </c>
      <c r="G181" t="s">
        <v>394</v>
      </c>
      <c r="H181" t="s">
        <v>1728</v>
      </c>
      <c r="I181" t="s">
        <v>275</v>
      </c>
      <c r="J181">
        <v>-68</v>
      </c>
      <c r="K181">
        <v>68</v>
      </c>
      <c r="L181">
        <v>73</v>
      </c>
      <c r="M181">
        <v>73</v>
      </c>
      <c r="N181">
        <v>141</v>
      </c>
      <c r="O181" t="s">
        <v>63</v>
      </c>
      <c r="P181">
        <v>95</v>
      </c>
      <c r="Q181">
        <v>-100</v>
      </c>
      <c r="R181">
        <v>102</v>
      </c>
      <c r="S181">
        <v>102</v>
      </c>
      <c r="T181">
        <v>197</v>
      </c>
      <c r="U181" t="s">
        <v>65</v>
      </c>
      <c r="V181">
        <f t="shared" si="6"/>
        <v>4</v>
      </c>
      <c r="W181">
        <f t="shared" si="7"/>
        <v>0</v>
      </c>
      <c r="X181">
        <f t="shared" si="8"/>
        <v>0</v>
      </c>
      <c r="Y181">
        <v>175</v>
      </c>
      <c r="Z181">
        <v>338</v>
      </c>
      <c r="AA181" t="s">
        <v>658</v>
      </c>
      <c r="AB181" t="s">
        <v>1729</v>
      </c>
      <c r="AC181" t="s">
        <v>56</v>
      </c>
      <c r="AD181">
        <v>8</v>
      </c>
      <c r="AE181">
        <v>73</v>
      </c>
      <c r="AF181" t="s">
        <v>126</v>
      </c>
      <c r="AH181" t="s">
        <v>141</v>
      </c>
      <c r="AI181">
        <v>244.65</v>
      </c>
      <c r="AJ181" t="s">
        <v>52</v>
      </c>
      <c r="AK181" t="s">
        <v>390</v>
      </c>
      <c r="AL181" t="s">
        <v>392</v>
      </c>
      <c r="AM181" t="s">
        <v>170</v>
      </c>
      <c r="AN181" s="1">
        <v>45641</v>
      </c>
      <c r="AO181">
        <v>2024</v>
      </c>
      <c r="AP181">
        <v>12</v>
      </c>
      <c r="AQ181" t="s">
        <v>116</v>
      </c>
      <c r="AS181" t="s">
        <v>85</v>
      </c>
      <c r="AT181">
        <v>2025</v>
      </c>
      <c r="AU181" t="s">
        <v>394</v>
      </c>
      <c r="AV181" t="s">
        <v>170</v>
      </c>
      <c r="AW181" t="s">
        <v>1728</v>
      </c>
      <c r="AX181">
        <v>2025</v>
      </c>
      <c r="AY181" t="s">
        <v>658</v>
      </c>
      <c r="AZ181" t="s">
        <v>658</v>
      </c>
    </row>
    <row r="182" spans="1:52" x14ac:dyDescent="0.25">
      <c r="A182" t="s">
        <v>1730</v>
      </c>
      <c r="B182" s="1">
        <v>35779</v>
      </c>
      <c r="C182" t="s">
        <v>1731</v>
      </c>
      <c r="D182">
        <v>322351</v>
      </c>
      <c r="E182" t="s">
        <v>46</v>
      </c>
      <c r="F182" t="s">
        <v>1254</v>
      </c>
      <c r="G182" t="s">
        <v>70</v>
      </c>
      <c r="H182" t="s">
        <v>1731</v>
      </c>
      <c r="I182" t="s">
        <v>1326</v>
      </c>
      <c r="J182">
        <v>120</v>
      </c>
      <c r="K182">
        <v>126</v>
      </c>
      <c r="L182">
        <v>-132</v>
      </c>
      <c r="M182">
        <v>126</v>
      </c>
      <c r="N182">
        <v>246</v>
      </c>
      <c r="O182" t="s">
        <v>60</v>
      </c>
      <c r="P182">
        <v>-144</v>
      </c>
      <c r="Q182">
        <v>144</v>
      </c>
      <c r="R182">
        <v>0</v>
      </c>
      <c r="S182">
        <v>144</v>
      </c>
      <c r="T182">
        <v>0</v>
      </c>
      <c r="U182" t="s">
        <v>104</v>
      </c>
      <c r="V182">
        <f t="shared" si="6"/>
        <v>3</v>
      </c>
      <c r="W182">
        <f t="shared" si="7"/>
        <v>0</v>
      </c>
      <c r="X182">
        <f t="shared" si="8"/>
        <v>0</v>
      </c>
      <c r="Y182">
        <v>270</v>
      </c>
      <c r="Z182">
        <v>246</v>
      </c>
      <c r="AA182" t="s">
        <v>1732</v>
      </c>
      <c r="AB182" t="s">
        <v>1733</v>
      </c>
      <c r="AC182" t="s">
        <v>89</v>
      </c>
      <c r="AD182">
        <v>5</v>
      </c>
      <c r="AE182">
        <v>102</v>
      </c>
      <c r="AF182" t="s">
        <v>126</v>
      </c>
      <c r="AH182" t="s">
        <v>148</v>
      </c>
      <c r="AI182">
        <v>309.39</v>
      </c>
      <c r="AJ182" t="s">
        <v>52</v>
      </c>
      <c r="AK182" t="s">
        <v>1254</v>
      </c>
      <c r="AL182" t="s">
        <v>1256</v>
      </c>
      <c r="AM182" t="s">
        <v>72</v>
      </c>
      <c r="AN182" s="1">
        <v>45640</v>
      </c>
      <c r="AO182">
        <v>2024</v>
      </c>
      <c r="AP182">
        <v>12</v>
      </c>
      <c r="AQ182" t="s">
        <v>116</v>
      </c>
      <c r="AS182" t="s">
        <v>85</v>
      </c>
      <c r="AT182">
        <v>2025</v>
      </c>
      <c r="AU182" t="s">
        <v>70</v>
      </c>
      <c r="AV182" t="s">
        <v>72</v>
      </c>
      <c r="AW182" t="s">
        <v>1731</v>
      </c>
      <c r="AX182">
        <v>2025</v>
      </c>
      <c r="AY182" t="s">
        <v>1732</v>
      </c>
      <c r="AZ182" t="s">
        <v>1732</v>
      </c>
    </row>
    <row r="183" spans="1:52" x14ac:dyDescent="0.25">
      <c r="A183" t="s">
        <v>1734</v>
      </c>
      <c r="B183" s="1">
        <v>37520</v>
      </c>
      <c r="C183" t="s">
        <v>1735</v>
      </c>
      <c r="D183">
        <v>421305</v>
      </c>
      <c r="E183" t="s">
        <v>46</v>
      </c>
      <c r="F183" t="s">
        <v>1737</v>
      </c>
      <c r="G183" t="s">
        <v>329</v>
      </c>
      <c r="H183" t="s">
        <v>1735</v>
      </c>
      <c r="I183" t="s">
        <v>984</v>
      </c>
      <c r="J183">
        <v>83</v>
      </c>
      <c r="K183">
        <v>87</v>
      </c>
      <c r="L183">
        <v>89</v>
      </c>
      <c r="M183">
        <v>89</v>
      </c>
      <c r="N183">
        <v>176</v>
      </c>
      <c r="O183" t="s">
        <v>48</v>
      </c>
      <c r="P183">
        <v>100</v>
      </c>
      <c r="Q183">
        <v>104</v>
      </c>
      <c r="R183">
        <v>106</v>
      </c>
      <c r="S183">
        <v>106</v>
      </c>
      <c r="T183">
        <v>210</v>
      </c>
      <c r="U183" t="s">
        <v>48</v>
      </c>
      <c r="V183">
        <f t="shared" si="6"/>
        <v>6</v>
      </c>
      <c r="W183">
        <f t="shared" si="7"/>
        <v>0</v>
      </c>
      <c r="X183">
        <f t="shared" si="8"/>
        <v>0</v>
      </c>
      <c r="Y183">
        <v>195</v>
      </c>
      <c r="Z183">
        <v>386</v>
      </c>
      <c r="AA183" t="s">
        <v>1736</v>
      </c>
      <c r="AB183" t="s">
        <v>1738</v>
      </c>
      <c r="AC183" t="s">
        <v>89</v>
      </c>
      <c r="AD183">
        <v>5</v>
      </c>
      <c r="AE183">
        <v>61</v>
      </c>
      <c r="AF183" t="s">
        <v>126</v>
      </c>
      <c r="AH183" t="s">
        <v>144</v>
      </c>
      <c r="AI183">
        <v>309.58999999999997</v>
      </c>
      <c r="AJ183" t="s">
        <v>52</v>
      </c>
      <c r="AK183" t="s">
        <v>1737</v>
      </c>
      <c r="AL183" t="s">
        <v>1739</v>
      </c>
      <c r="AM183" t="s">
        <v>133</v>
      </c>
      <c r="AN183" s="1">
        <v>45640</v>
      </c>
      <c r="AO183">
        <v>2024</v>
      </c>
      <c r="AP183">
        <v>12</v>
      </c>
      <c r="AQ183" t="s">
        <v>116</v>
      </c>
      <c r="AS183" t="s">
        <v>85</v>
      </c>
      <c r="AT183">
        <v>2025</v>
      </c>
      <c r="AU183" t="s">
        <v>329</v>
      </c>
      <c r="AV183" t="s">
        <v>133</v>
      </c>
      <c r="AW183" t="s">
        <v>1735</v>
      </c>
      <c r="AX183">
        <v>2025</v>
      </c>
      <c r="AY183" t="s">
        <v>1736</v>
      </c>
      <c r="AZ183" t="s">
        <v>1736</v>
      </c>
    </row>
    <row r="184" spans="1:52" x14ac:dyDescent="0.25">
      <c r="A184" t="s">
        <v>1740</v>
      </c>
      <c r="B184" s="1">
        <v>41582</v>
      </c>
      <c r="C184" t="s">
        <v>1741</v>
      </c>
      <c r="D184">
        <v>484512</v>
      </c>
      <c r="E184" t="s">
        <v>46</v>
      </c>
      <c r="F184" t="s">
        <v>964</v>
      </c>
      <c r="G184" t="s">
        <v>66</v>
      </c>
      <c r="H184" t="s">
        <v>1741</v>
      </c>
      <c r="I184" t="s">
        <v>510</v>
      </c>
      <c r="J184">
        <v>18</v>
      </c>
      <c r="K184">
        <v>20</v>
      </c>
      <c r="L184">
        <v>21</v>
      </c>
      <c r="M184">
        <v>21</v>
      </c>
      <c r="N184">
        <v>41</v>
      </c>
      <c r="O184" t="s">
        <v>48</v>
      </c>
      <c r="P184">
        <v>-24</v>
      </c>
      <c r="Q184">
        <v>24</v>
      </c>
      <c r="R184">
        <v>25</v>
      </c>
      <c r="S184">
        <v>25</v>
      </c>
      <c r="T184">
        <v>49</v>
      </c>
      <c r="U184" t="s">
        <v>63</v>
      </c>
      <c r="V184">
        <f t="shared" si="6"/>
        <v>5</v>
      </c>
      <c r="W184">
        <f t="shared" si="7"/>
        <v>0</v>
      </c>
      <c r="X184">
        <f t="shared" si="8"/>
        <v>0</v>
      </c>
      <c r="Y184">
        <v>46</v>
      </c>
      <c r="Z184">
        <v>90</v>
      </c>
      <c r="AA184" t="s">
        <v>1743</v>
      </c>
      <c r="AB184" t="s">
        <v>1744</v>
      </c>
      <c r="AC184" t="s">
        <v>49</v>
      </c>
      <c r="AD184">
        <v>999</v>
      </c>
      <c r="AE184">
        <v>49</v>
      </c>
      <c r="AF184" t="s">
        <v>50</v>
      </c>
      <c r="AH184" t="s">
        <v>74</v>
      </c>
      <c r="AI184">
        <v>166.94</v>
      </c>
      <c r="AJ184" t="s">
        <v>52</v>
      </c>
      <c r="AK184" t="s">
        <v>964</v>
      </c>
      <c r="AL184" t="s">
        <v>967</v>
      </c>
      <c r="AM184" t="s">
        <v>68</v>
      </c>
      <c r="AN184" s="1">
        <v>45641</v>
      </c>
      <c r="AO184">
        <v>2024</v>
      </c>
      <c r="AP184">
        <v>12</v>
      </c>
      <c r="AQ184" t="s">
        <v>116</v>
      </c>
      <c r="AS184" t="s">
        <v>85</v>
      </c>
      <c r="AT184">
        <v>2025</v>
      </c>
      <c r="AU184" t="s">
        <v>66</v>
      </c>
      <c r="AV184" t="s">
        <v>68</v>
      </c>
      <c r="AW184" t="s">
        <v>1741</v>
      </c>
      <c r="AX184">
        <v>2025</v>
      </c>
      <c r="AY184" t="s">
        <v>1742</v>
      </c>
      <c r="AZ184" t="s">
        <v>1743</v>
      </c>
    </row>
    <row r="185" spans="1:52" x14ac:dyDescent="0.25">
      <c r="A185" t="s">
        <v>1769</v>
      </c>
      <c r="B185" s="1">
        <v>37441</v>
      </c>
      <c r="C185" t="s">
        <v>1770</v>
      </c>
      <c r="D185">
        <v>442960</v>
      </c>
      <c r="E185" t="s">
        <v>46</v>
      </c>
      <c r="F185" t="s">
        <v>492</v>
      </c>
      <c r="G185" t="s">
        <v>1046</v>
      </c>
      <c r="H185" t="s">
        <v>1770</v>
      </c>
      <c r="I185" t="s">
        <v>723</v>
      </c>
      <c r="J185">
        <v>107</v>
      </c>
      <c r="K185">
        <v>112</v>
      </c>
      <c r="L185">
        <v>-117</v>
      </c>
      <c r="M185">
        <v>112</v>
      </c>
      <c r="N185">
        <v>219</v>
      </c>
      <c r="O185" t="s">
        <v>60</v>
      </c>
      <c r="P185">
        <v>-125</v>
      </c>
      <c r="Q185">
        <v>-125</v>
      </c>
      <c r="R185">
        <v>-125</v>
      </c>
      <c r="S185">
        <v>0</v>
      </c>
      <c r="T185">
        <v>0</v>
      </c>
      <c r="U185" t="s">
        <v>108</v>
      </c>
      <c r="V185">
        <f t="shared" si="6"/>
        <v>2</v>
      </c>
      <c r="W185">
        <f t="shared" si="7"/>
        <v>0</v>
      </c>
      <c r="X185">
        <f t="shared" si="8"/>
        <v>0</v>
      </c>
      <c r="Y185">
        <v>112</v>
      </c>
      <c r="Z185">
        <v>219</v>
      </c>
      <c r="AA185" t="s">
        <v>1340</v>
      </c>
      <c r="AB185" t="s">
        <v>1154</v>
      </c>
      <c r="AC185" t="s">
        <v>49</v>
      </c>
      <c r="AD185">
        <v>999</v>
      </c>
      <c r="AE185">
        <v>96</v>
      </c>
      <c r="AF185" t="s">
        <v>126</v>
      </c>
      <c r="AH185" t="s">
        <v>222</v>
      </c>
      <c r="AI185">
        <v>0</v>
      </c>
      <c r="AJ185" t="s">
        <v>52</v>
      </c>
      <c r="AK185" t="s">
        <v>492</v>
      </c>
      <c r="AL185" t="s">
        <v>494</v>
      </c>
      <c r="AM185" t="s">
        <v>90</v>
      </c>
      <c r="AN185" s="1">
        <v>45640</v>
      </c>
      <c r="AO185">
        <v>2024</v>
      </c>
      <c r="AP185">
        <v>12</v>
      </c>
      <c r="AQ185" t="s">
        <v>116</v>
      </c>
      <c r="AS185" t="s">
        <v>85</v>
      </c>
      <c r="AT185">
        <v>2025</v>
      </c>
      <c r="AU185" t="s">
        <v>1046</v>
      </c>
      <c r="AV185" t="s">
        <v>91</v>
      </c>
      <c r="AW185" t="s">
        <v>1770</v>
      </c>
      <c r="AX185">
        <v>2025</v>
      </c>
      <c r="AY185" t="s">
        <v>1771</v>
      </c>
      <c r="AZ185" t="s">
        <v>1772</v>
      </c>
    </row>
    <row r="186" spans="1:52" x14ac:dyDescent="0.25">
      <c r="A186" t="s">
        <v>1745</v>
      </c>
      <c r="B186" s="1">
        <v>41617</v>
      </c>
      <c r="C186" t="s">
        <v>1746</v>
      </c>
      <c r="D186">
        <v>501728</v>
      </c>
      <c r="E186" t="s">
        <v>46</v>
      </c>
      <c r="F186" t="s">
        <v>1360</v>
      </c>
      <c r="G186" t="s">
        <v>84</v>
      </c>
      <c r="H186" t="s">
        <v>1746</v>
      </c>
      <c r="I186" t="s">
        <v>380</v>
      </c>
      <c r="J186">
        <v>12</v>
      </c>
      <c r="K186">
        <v>14</v>
      </c>
      <c r="L186">
        <v>15</v>
      </c>
      <c r="M186">
        <v>15</v>
      </c>
      <c r="N186">
        <v>29</v>
      </c>
      <c r="O186" t="s">
        <v>48</v>
      </c>
      <c r="P186">
        <v>16</v>
      </c>
      <c r="Q186">
        <v>18</v>
      </c>
      <c r="R186">
        <v>-19</v>
      </c>
      <c r="S186">
        <v>18</v>
      </c>
      <c r="T186">
        <v>34</v>
      </c>
      <c r="U186" t="s">
        <v>60</v>
      </c>
      <c r="V186">
        <f t="shared" si="6"/>
        <v>5</v>
      </c>
      <c r="W186">
        <f t="shared" si="7"/>
        <v>0</v>
      </c>
      <c r="X186">
        <f t="shared" si="8"/>
        <v>0</v>
      </c>
      <c r="Y186">
        <v>33</v>
      </c>
      <c r="Z186">
        <v>63</v>
      </c>
      <c r="AA186" t="s">
        <v>1747</v>
      </c>
      <c r="AB186" t="s">
        <v>1748</v>
      </c>
      <c r="AC186" t="s">
        <v>49</v>
      </c>
      <c r="AD186">
        <v>999</v>
      </c>
      <c r="AE186">
        <v>40</v>
      </c>
      <c r="AF186" t="s">
        <v>50</v>
      </c>
      <c r="AH186" t="s">
        <v>51</v>
      </c>
      <c r="AI186">
        <v>150.09</v>
      </c>
      <c r="AJ186" t="s">
        <v>52</v>
      </c>
      <c r="AK186" t="s">
        <v>1360</v>
      </c>
      <c r="AL186" t="s">
        <v>1364</v>
      </c>
      <c r="AM186" t="s">
        <v>68</v>
      </c>
      <c r="AN186" s="1">
        <v>45640</v>
      </c>
      <c r="AO186">
        <v>2024</v>
      </c>
      <c r="AP186">
        <v>12</v>
      </c>
      <c r="AQ186" t="s">
        <v>116</v>
      </c>
      <c r="AS186" t="s">
        <v>85</v>
      </c>
      <c r="AT186">
        <v>2025</v>
      </c>
      <c r="AU186" t="s">
        <v>84</v>
      </c>
      <c r="AV186" t="s">
        <v>68</v>
      </c>
      <c r="AW186" t="s">
        <v>1746</v>
      </c>
      <c r="AX186">
        <v>2025</v>
      </c>
      <c r="AY186" t="s">
        <v>1747</v>
      </c>
      <c r="AZ186" t="s">
        <v>1747</v>
      </c>
    </row>
    <row r="187" spans="1:52" x14ac:dyDescent="0.25">
      <c r="A187" t="s">
        <v>1773</v>
      </c>
      <c r="B187" s="1">
        <v>40058</v>
      </c>
      <c r="C187" t="s">
        <v>1774</v>
      </c>
      <c r="D187">
        <v>442974</v>
      </c>
      <c r="E187" t="s">
        <v>46</v>
      </c>
      <c r="F187" t="s">
        <v>547</v>
      </c>
      <c r="G187" t="s">
        <v>687</v>
      </c>
      <c r="H187" t="s">
        <v>1774</v>
      </c>
      <c r="I187" t="s">
        <v>214</v>
      </c>
      <c r="J187">
        <v>57</v>
      </c>
      <c r="K187">
        <v>62</v>
      </c>
      <c r="L187">
        <v>65</v>
      </c>
      <c r="M187">
        <v>65</v>
      </c>
      <c r="N187">
        <v>127</v>
      </c>
      <c r="O187" t="s">
        <v>48</v>
      </c>
      <c r="P187">
        <v>72</v>
      </c>
      <c r="Q187">
        <v>77</v>
      </c>
      <c r="R187">
        <v>-80</v>
      </c>
      <c r="S187">
        <v>77</v>
      </c>
      <c r="T187">
        <v>149</v>
      </c>
      <c r="U187" t="s">
        <v>60</v>
      </c>
      <c r="V187">
        <f t="shared" si="6"/>
        <v>5</v>
      </c>
      <c r="W187">
        <f t="shared" si="7"/>
        <v>0</v>
      </c>
      <c r="X187">
        <f t="shared" si="8"/>
        <v>0</v>
      </c>
      <c r="Y187">
        <v>142</v>
      </c>
      <c r="Z187">
        <v>276</v>
      </c>
      <c r="AA187" t="s">
        <v>1775</v>
      </c>
      <c r="AB187" t="s">
        <v>1776</v>
      </c>
      <c r="AC187" t="s">
        <v>89</v>
      </c>
      <c r="AD187">
        <v>5</v>
      </c>
      <c r="AE187">
        <v>55</v>
      </c>
      <c r="AF187" t="s">
        <v>95</v>
      </c>
      <c r="AH187" t="s">
        <v>122</v>
      </c>
      <c r="AI187">
        <v>238.66</v>
      </c>
      <c r="AJ187" t="s">
        <v>52</v>
      </c>
      <c r="AK187" t="s">
        <v>547</v>
      </c>
      <c r="AL187" t="s">
        <v>551</v>
      </c>
      <c r="AM187" t="s">
        <v>72</v>
      </c>
      <c r="AN187" s="1">
        <v>45640</v>
      </c>
      <c r="AO187">
        <v>2024</v>
      </c>
      <c r="AP187">
        <v>12</v>
      </c>
      <c r="AQ187" t="s">
        <v>116</v>
      </c>
      <c r="AS187" t="s">
        <v>85</v>
      </c>
      <c r="AT187">
        <v>2025</v>
      </c>
      <c r="AU187" t="s">
        <v>687</v>
      </c>
      <c r="AV187" t="s">
        <v>72</v>
      </c>
      <c r="AW187" t="s">
        <v>1774</v>
      </c>
      <c r="AX187">
        <v>2025</v>
      </c>
      <c r="AY187" t="s">
        <v>1775</v>
      </c>
      <c r="AZ187" t="s">
        <v>1775</v>
      </c>
    </row>
    <row r="188" spans="1:52" x14ac:dyDescent="0.25">
      <c r="A188" t="s">
        <v>1710</v>
      </c>
      <c r="B188" s="1">
        <v>40824</v>
      </c>
      <c r="C188" t="s">
        <v>1711</v>
      </c>
      <c r="D188">
        <v>491306</v>
      </c>
      <c r="E188" t="s">
        <v>46</v>
      </c>
      <c r="F188" t="s">
        <v>1383</v>
      </c>
      <c r="G188" t="s">
        <v>1169</v>
      </c>
      <c r="H188" t="s">
        <v>1711</v>
      </c>
      <c r="I188" t="s">
        <v>1713</v>
      </c>
      <c r="J188">
        <v>22</v>
      </c>
      <c r="K188">
        <v>-24</v>
      </c>
      <c r="L188">
        <v>-24</v>
      </c>
      <c r="M188">
        <v>22</v>
      </c>
      <c r="N188">
        <v>0</v>
      </c>
      <c r="O188" t="s">
        <v>55</v>
      </c>
      <c r="P188">
        <v>-28</v>
      </c>
      <c r="Q188">
        <v>29</v>
      </c>
      <c r="R188">
        <v>-31</v>
      </c>
      <c r="S188">
        <v>29</v>
      </c>
      <c r="T188">
        <v>0</v>
      </c>
      <c r="U188" t="s">
        <v>104</v>
      </c>
      <c r="V188">
        <f t="shared" si="6"/>
        <v>2</v>
      </c>
      <c r="W188">
        <f t="shared" si="7"/>
        <v>0</v>
      </c>
      <c r="X188">
        <f t="shared" si="8"/>
        <v>0</v>
      </c>
      <c r="Y188">
        <v>51</v>
      </c>
      <c r="Z188">
        <v>0</v>
      </c>
      <c r="AA188" t="s">
        <v>1714</v>
      </c>
      <c r="AB188" t="s">
        <v>99</v>
      </c>
      <c r="AC188" t="s">
        <v>93</v>
      </c>
      <c r="AD188">
        <v>6</v>
      </c>
      <c r="AE188">
        <v>40</v>
      </c>
      <c r="AF188" t="s">
        <v>57</v>
      </c>
      <c r="AH188" t="s">
        <v>314</v>
      </c>
      <c r="AI188">
        <v>97.07</v>
      </c>
      <c r="AJ188" t="s">
        <v>132</v>
      </c>
      <c r="AK188" t="s">
        <v>1383</v>
      </c>
      <c r="AL188" t="s">
        <v>1386</v>
      </c>
      <c r="AM188" t="s">
        <v>68</v>
      </c>
      <c r="AN188" s="1">
        <v>45640</v>
      </c>
      <c r="AO188">
        <v>2024</v>
      </c>
      <c r="AP188">
        <v>12</v>
      </c>
      <c r="AQ188" t="s">
        <v>116</v>
      </c>
      <c r="AS188" t="s">
        <v>85</v>
      </c>
      <c r="AT188">
        <v>2025</v>
      </c>
      <c r="AU188" t="s">
        <v>1169</v>
      </c>
      <c r="AV188" t="s">
        <v>68</v>
      </c>
      <c r="AW188" t="s">
        <v>1711</v>
      </c>
      <c r="AX188">
        <v>2025</v>
      </c>
      <c r="AY188" t="s">
        <v>1712</v>
      </c>
      <c r="AZ188" t="s">
        <v>1712</v>
      </c>
    </row>
    <row r="189" spans="1:52" x14ac:dyDescent="0.25">
      <c r="A189" t="s">
        <v>1715</v>
      </c>
      <c r="B189" s="1">
        <v>38363</v>
      </c>
      <c r="C189" t="s">
        <v>1716</v>
      </c>
      <c r="D189">
        <v>477125</v>
      </c>
      <c r="E189" t="s">
        <v>46</v>
      </c>
      <c r="F189" t="s">
        <v>109</v>
      </c>
      <c r="G189" t="s">
        <v>413</v>
      </c>
      <c r="H189" t="s">
        <v>1716</v>
      </c>
      <c r="I189" t="s">
        <v>1719</v>
      </c>
      <c r="J189">
        <v>-63</v>
      </c>
      <c r="K189">
        <v>63</v>
      </c>
      <c r="L189">
        <v>66</v>
      </c>
      <c r="M189">
        <v>66</v>
      </c>
      <c r="N189">
        <v>129</v>
      </c>
      <c r="O189" t="s">
        <v>63</v>
      </c>
      <c r="P189">
        <v>79</v>
      </c>
      <c r="Q189">
        <v>-82</v>
      </c>
      <c r="R189">
        <v>-82</v>
      </c>
      <c r="S189">
        <v>79</v>
      </c>
      <c r="T189">
        <v>0</v>
      </c>
      <c r="U189" t="s">
        <v>55</v>
      </c>
      <c r="V189">
        <f t="shared" si="6"/>
        <v>3</v>
      </c>
      <c r="W189">
        <f t="shared" si="7"/>
        <v>0</v>
      </c>
      <c r="X189">
        <f t="shared" si="8"/>
        <v>0</v>
      </c>
      <c r="Y189">
        <v>145</v>
      </c>
      <c r="Z189">
        <v>129</v>
      </c>
      <c r="AA189" t="s">
        <v>1720</v>
      </c>
      <c r="AB189" t="s">
        <v>1721</v>
      </c>
      <c r="AC189" t="s">
        <v>98</v>
      </c>
      <c r="AD189">
        <v>3</v>
      </c>
      <c r="AE189">
        <v>55</v>
      </c>
      <c r="AF189" t="s">
        <v>113</v>
      </c>
      <c r="AH189" t="s">
        <v>465</v>
      </c>
      <c r="AI189">
        <v>208.16</v>
      </c>
      <c r="AJ189" t="s">
        <v>132</v>
      </c>
      <c r="AK189" t="s">
        <v>109</v>
      </c>
      <c r="AL189" t="s">
        <v>115</v>
      </c>
      <c r="AM189" t="s">
        <v>90</v>
      </c>
      <c r="AN189" s="1">
        <v>45639</v>
      </c>
      <c r="AO189">
        <v>2024</v>
      </c>
      <c r="AP189">
        <v>12</v>
      </c>
      <c r="AQ189" t="s">
        <v>116</v>
      </c>
      <c r="AS189" t="s">
        <v>85</v>
      </c>
      <c r="AT189">
        <v>2025</v>
      </c>
      <c r="AU189" t="s">
        <v>413</v>
      </c>
      <c r="AV189" t="s">
        <v>91</v>
      </c>
      <c r="AW189" t="s">
        <v>1716</v>
      </c>
      <c r="AX189">
        <v>2025</v>
      </c>
      <c r="AY189" t="s">
        <v>1717</v>
      </c>
      <c r="AZ189" t="s">
        <v>1722</v>
      </c>
    </row>
    <row r="190" spans="1:52" x14ac:dyDescent="0.25">
      <c r="A190" t="s">
        <v>1749</v>
      </c>
      <c r="B190" s="1">
        <v>26469</v>
      </c>
      <c r="C190" t="s">
        <v>1750</v>
      </c>
      <c r="D190">
        <v>344126</v>
      </c>
      <c r="E190" t="s">
        <v>46</v>
      </c>
      <c r="F190" t="s">
        <v>338</v>
      </c>
      <c r="G190" t="s">
        <v>1004</v>
      </c>
      <c r="H190" t="s">
        <v>1750</v>
      </c>
      <c r="I190" t="s">
        <v>356</v>
      </c>
      <c r="J190">
        <v>43</v>
      </c>
      <c r="K190">
        <v>-45</v>
      </c>
      <c r="L190">
        <v>-45</v>
      </c>
      <c r="M190">
        <v>43</v>
      </c>
      <c r="N190">
        <v>0</v>
      </c>
      <c r="O190" t="s">
        <v>55</v>
      </c>
      <c r="P190">
        <v>54</v>
      </c>
      <c r="Q190">
        <v>-57</v>
      </c>
      <c r="R190">
        <v>-57</v>
      </c>
      <c r="S190">
        <v>54</v>
      </c>
      <c r="T190">
        <v>0</v>
      </c>
      <c r="U190" t="s">
        <v>55</v>
      </c>
      <c r="V190">
        <f t="shared" si="6"/>
        <v>2</v>
      </c>
      <c r="W190">
        <f t="shared" si="7"/>
        <v>0</v>
      </c>
      <c r="X190">
        <f t="shared" si="8"/>
        <v>0</v>
      </c>
      <c r="Y190">
        <v>97</v>
      </c>
      <c r="Z190">
        <v>0</v>
      </c>
      <c r="AA190" t="s">
        <v>1753</v>
      </c>
      <c r="AB190" t="s">
        <v>99</v>
      </c>
      <c r="AC190" t="s">
        <v>64</v>
      </c>
      <c r="AD190">
        <v>7</v>
      </c>
      <c r="AE190">
        <v>59</v>
      </c>
      <c r="AF190" t="s">
        <v>126</v>
      </c>
      <c r="AG190">
        <v>50</v>
      </c>
      <c r="AH190" t="s">
        <v>202</v>
      </c>
      <c r="AI190">
        <v>135.01</v>
      </c>
      <c r="AJ190" t="s">
        <v>132</v>
      </c>
      <c r="AK190" t="s">
        <v>338</v>
      </c>
      <c r="AL190" t="s">
        <v>340</v>
      </c>
      <c r="AM190" t="s">
        <v>128</v>
      </c>
      <c r="AN190" s="1">
        <v>45640</v>
      </c>
      <c r="AO190">
        <v>2024</v>
      </c>
      <c r="AP190">
        <v>12</v>
      </c>
      <c r="AQ190" t="s">
        <v>116</v>
      </c>
      <c r="AS190" t="s">
        <v>85</v>
      </c>
      <c r="AT190">
        <v>2025</v>
      </c>
      <c r="AU190" t="s">
        <v>1004</v>
      </c>
      <c r="AV190" t="s">
        <v>140</v>
      </c>
      <c r="AW190" t="s">
        <v>1750</v>
      </c>
      <c r="AX190">
        <v>2025</v>
      </c>
      <c r="AY190" t="s">
        <v>1752</v>
      </c>
      <c r="AZ190" t="s">
        <v>1751</v>
      </c>
    </row>
    <row r="191" spans="1:52" x14ac:dyDescent="0.25">
      <c r="A191" t="s">
        <v>1754</v>
      </c>
      <c r="B191" s="1">
        <v>36840</v>
      </c>
      <c r="C191" t="s">
        <v>1755</v>
      </c>
      <c r="D191">
        <v>504643</v>
      </c>
      <c r="E191" t="s">
        <v>46</v>
      </c>
      <c r="F191" t="s">
        <v>693</v>
      </c>
      <c r="G191" t="s">
        <v>1285</v>
      </c>
      <c r="H191" t="s">
        <v>1755</v>
      </c>
      <c r="I191" t="s">
        <v>389</v>
      </c>
      <c r="J191">
        <v>60</v>
      </c>
      <c r="K191">
        <v>64</v>
      </c>
      <c r="L191">
        <v>67</v>
      </c>
      <c r="M191">
        <v>67</v>
      </c>
      <c r="N191">
        <v>131</v>
      </c>
      <c r="O191" t="s">
        <v>48</v>
      </c>
      <c r="P191">
        <v>79</v>
      </c>
      <c r="Q191">
        <v>83</v>
      </c>
      <c r="R191">
        <v>-85</v>
      </c>
      <c r="S191">
        <v>83</v>
      </c>
      <c r="T191">
        <v>162</v>
      </c>
      <c r="U191" t="s">
        <v>60</v>
      </c>
      <c r="V191">
        <f t="shared" si="6"/>
        <v>5</v>
      </c>
      <c r="W191">
        <f t="shared" si="7"/>
        <v>0</v>
      </c>
      <c r="X191">
        <f t="shared" si="8"/>
        <v>0</v>
      </c>
      <c r="Y191">
        <v>150</v>
      </c>
      <c r="Z191">
        <v>293</v>
      </c>
      <c r="AA191" t="s">
        <v>1756</v>
      </c>
      <c r="AB191" t="s">
        <v>1757</v>
      </c>
      <c r="AC191" t="s">
        <v>93</v>
      </c>
      <c r="AD191">
        <v>6</v>
      </c>
      <c r="AE191">
        <v>71</v>
      </c>
      <c r="AF191" t="s">
        <v>126</v>
      </c>
      <c r="AH191" t="s">
        <v>226</v>
      </c>
      <c r="AI191">
        <v>193.42</v>
      </c>
      <c r="AJ191" t="s">
        <v>132</v>
      </c>
      <c r="AK191" t="s">
        <v>693</v>
      </c>
      <c r="AL191" t="s">
        <v>696</v>
      </c>
      <c r="AM191" t="s">
        <v>139</v>
      </c>
      <c r="AN191" s="1">
        <v>45641</v>
      </c>
      <c r="AO191">
        <v>2024</v>
      </c>
      <c r="AP191">
        <v>12</v>
      </c>
      <c r="AQ191" t="s">
        <v>116</v>
      </c>
      <c r="AS191" t="s">
        <v>85</v>
      </c>
      <c r="AT191">
        <v>2025</v>
      </c>
      <c r="AU191" t="s">
        <v>1285</v>
      </c>
      <c r="AV191" t="s">
        <v>140</v>
      </c>
      <c r="AW191" t="s">
        <v>1755</v>
      </c>
      <c r="AX191">
        <v>2025</v>
      </c>
      <c r="AY191" t="s">
        <v>1756</v>
      </c>
      <c r="AZ191" t="s">
        <v>1756</v>
      </c>
    </row>
    <row r="192" spans="1:52" x14ac:dyDescent="0.25">
      <c r="A192" t="s">
        <v>1777</v>
      </c>
      <c r="B192" s="1">
        <v>39089</v>
      </c>
      <c r="C192" t="s">
        <v>1778</v>
      </c>
      <c r="D192">
        <v>501799</v>
      </c>
      <c r="E192" t="s">
        <v>46</v>
      </c>
      <c r="F192" t="s">
        <v>954</v>
      </c>
      <c r="G192" t="s">
        <v>327</v>
      </c>
      <c r="H192" t="s">
        <v>1778</v>
      </c>
      <c r="I192" t="s">
        <v>675</v>
      </c>
      <c r="J192">
        <v>45</v>
      </c>
      <c r="K192">
        <v>50</v>
      </c>
      <c r="L192">
        <v>-53</v>
      </c>
      <c r="M192">
        <v>50</v>
      </c>
      <c r="N192">
        <v>95</v>
      </c>
      <c r="O192" t="s">
        <v>60</v>
      </c>
      <c r="P192">
        <v>68</v>
      </c>
      <c r="Q192">
        <v>70</v>
      </c>
      <c r="R192">
        <v>-74</v>
      </c>
      <c r="S192">
        <v>70</v>
      </c>
      <c r="T192">
        <v>138</v>
      </c>
      <c r="U192" t="s">
        <v>60</v>
      </c>
      <c r="V192">
        <f t="shared" si="6"/>
        <v>4</v>
      </c>
      <c r="W192">
        <f t="shared" si="7"/>
        <v>0</v>
      </c>
      <c r="X192">
        <f t="shared" si="8"/>
        <v>0</v>
      </c>
      <c r="Y192">
        <v>120</v>
      </c>
      <c r="Z192">
        <v>233</v>
      </c>
      <c r="AA192" t="s">
        <v>1779</v>
      </c>
      <c r="AB192" t="s">
        <v>1780</v>
      </c>
      <c r="AC192" t="s">
        <v>93</v>
      </c>
      <c r="AD192">
        <v>6</v>
      </c>
      <c r="AE192">
        <v>71</v>
      </c>
      <c r="AF192" t="s">
        <v>113</v>
      </c>
      <c r="AH192" t="s">
        <v>305</v>
      </c>
      <c r="AI192">
        <v>150.28</v>
      </c>
      <c r="AJ192" t="s">
        <v>132</v>
      </c>
      <c r="AK192" t="s">
        <v>954</v>
      </c>
      <c r="AL192" t="s">
        <v>957</v>
      </c>
      <c r="AM192" t="s">
        <v>133</v>
      </c>
      <c r="AN192" s="1">
        <v>45641</v>
      </c>
      <c r="AO192">
        <v>2024</v>
      </c>
      <c r="AP192">
        <v>12</v>
      </c>
      <c r="AQ192" t="s">
        <v>116</v>
      </c>
      <c r="AS192" t="s">
        <v>85</v>
      </c>
      <c r="AT192">
        <v>2025</v>
      </c>
      <c r="AU192" t="s">
        <v>327</v>
      </c>
      <c r="AV192" t="s">
        <v>133</v>
      </c>
      <c r="AW192" t="s">
        <v>1778</v>
      </c>
      <c r="AX192">
        <v>2025</v>
      </c>
      <c r="AY192" t="s">
        <v>1779</v>
      </c>
      <c r="AZ192" t="s">
        <v>1779</v>
      </c>
    </row>
    <row r="193" spans="1:52" x14ac:dyDescent="0.25">
      <c r="A193" t="s">
        <v>1781</v>
      </c>
      <c r="B193" s="1">
        <v>37086</v>
      </c>
      <c r="C193" t="s">
        <v>1782</v>
      </c>
      <c r="D193">
        <v>479327</v>
      </c>
      <c r="E193" t="s">
        <v>46</v>
      </c>
      <c r="F193" t="s">
        <v>1173</v>
      </c>
      <c r="G193" t="s">
        <v>538</v>
      </c>
      <c r="H193" t="s">
        <v>1782</v>
      </c>
      <c r="I193" t="s">
        <v>367</v>
      </c>
      <c r="J193">
        <v>54</v>
      </c>
      <c r="K193">
        <v>57</v>
      </c>
      <c r="L193">
        <v>60</v>
      </c>
      <c r="M193">
        <v>60</v>
      </c>
      <c r="N193">
        <v>117</v>
      </c>
      <c r="O193" t="s">
        <v>48</v>
      </c>
      <c r="P193">
        <v>74</v>
      </c>
      <c r="Q193">
        <v>77</v>
      </c>
      <c r="R193">
        <v>80</v>
      </c>
      <c r="S193">
        <v>80</v>
      </c>
      <c r="T193">
        <v>157</v>
      </c>
      <c r="U193" t="s">
        <v>48</v>
      </c>
      <c r="V193">
        <f t="shared" si="6"/>
        <v>6</v>
      </c>
      <c r="W193">
        <f t="shared" si="7"/>
        <v>0</v>
      </c>
      <c r="X193">
        <f t="shared" si="8"/>
        <v>0</v>
      </c>
      <c r="Y193">
        <v>140</v>
      </c>
      <c r="Z193">
        <v>274</v>
      </c>
      <c r="AA193" t="s">
        <v>1368</v>
      </c>
      <c r="AB193" t="s">
        <v>1784</v>
      </c>
      <c r="AC193" t="s">
        <v>89</v>
      </c>
      <c r="AD193">
        <v>5</v>
      </c>
      <c r="AE193">
        <v>59</v>
      </c>
      <c r="AF193" t="s">
        <v>126</v>
      </c>
      <c r="AH193" t="s">
        <v>202</v>
      </c>
      <c r="AI193">
        <v>193.29</v>
      </c>
      <c r="AJ193" t="s">
        <v>132</v>
      </c>
      <c r="AK193" t="s">
        <v>1173</v>
      </c>
      <c r="AL193" t="s">
        <v>1177</v>
      </c>
      <c r="AM193" t="s">
        <v>173</v>
      </c>
      <c r="AN193" s="1">
        <v>45641</v>
      </c>
      <c r="AO193">
        <v>2024</v>
      </c>
      <c r="AP193">
        <v>12</v>
      </c>
      <c r="AQ193" t="s">
        <v>116</v>
      </c>
      <c r="AS193" t="s">
        <v>85</v>
      </c>
      <c r="AT193">
        <v>2025</v>
      </c>
      <c r="AU193" t="s">
        <v>538</v>
      </c>
      <c r="AV193" t="s">
        <v>173</v>
      </c>
      <c r="AW193" t="s">
        <v>1782</v>
      </c>
      <c r="AX193">
        <v>2025</v>
      </c>
      <c r="AY193" t="s">
        <v>1368</v>
      </c>
      <c r="AZ193" t="s">
        <v>1368</v>
      </c>
    </row>
    <row r="194" spans="1:52" x14ac:dyDescent="0.25">
      <c r="A194" t="s">
        <v>1785</v>
      </c>
      <c r="B194" s="1">
        <v>42233</v>
      </c>
      <c r="C194" t="s">
        <v>1786</v>
      </c>
      <c r="D194">
        <v>480136</v>
      </c>
      <c r="E194" t="s">
        <v>46</v>
      </c>
      <c r="F194" t="s">
        <v>1788</v>
      </c>
      <c r="G194" t="s">
        <v>124</v>
      </c>
      <c r="H194" t="s">
        <v>1786</v>
      </c>
      <c r="I194" t="s">
        <v>753</v>
      </c>
      <c r="J194">
        <v>11</v>
      </c>
      <c r="K194">
        <v>13</v>
      </c>
      <c r="L194">
        <v>15</v>
      </c>
      <c r="M194">
        <v>15</v>
      </c>
      <c r="N194">
        <v>28</v>
      </c>
      <c r="O194" t="s">
        <v>48</v>
      </c>
      <c r="P194">
        <v>17</v>
      </c>
      <c r="Q194">
        <v>19</v>
      </c>
      <c r="R194">
        <v>21</v>
      </c>
      <c r="S194">
        <v>21</v>
      </c>
      <c r="T194">
        <v>40</v>
      </c>
      <c r="U194" t="s">
        <v>48</v>
      </c>
      <c r="V194">
        <f t="shared" si="6"/>
        <v>6</v>
      </c>
      <c r="W194">
        <f t="shared" si="7"/>
        <v>0</v>
      </c>
      <c r="X194">
        <f t="shared" si="8"/>
        <v>0</v>
      </c>
      <c r="Y194">
        <v>36</v>
      </c>
      <c r="Z194">
        <v>68</v>
      </c>
      <c r="AA194" t="s">
        <v>1789</v>
      </c>
      <c r="AB194" t="s">
        <v>1790</v>
      </c>
      <c r="AC194" t="s">
        <v>49</v>
      </c>
      <c r="AD194">
        <v>999</v>
      </c>
      <c r="AE194" t="s">
        <v>79</v>
      </c>
      <c r="AF194" t="s">
        <v>80</v>
      </c>
      <c r="AH194" t="s">
        <v>81</v>
      </c>
      <c r="AI194">
        <v>235.31</v>
      </c>
      <c r="AJ194" t="s">
        <v>52</v>
      </c>
      <c r="AK194" t="s">
        <v>1788</v>
      </c>
      <c r="AL194" t="s">
        <v>1791</v>
      </c>
      <c r="AM194" t="s">
        <v>128</v>
      </c>
      <c r="AN194" s="1">
        <v>45641</v>
      </c>
      <c r="AO194">
        <v>2024</v>
      </c>
      <c r="AP194">
        <v>12</v>
      </c>
      <c r="AQ194" t="s">
        <v>116</v>
      </c>
      <c r="AS194" t="s">
        <v>85</v>
      </c>
      <c r="AT194">
        <v>2025</v>
      </c>
      <c r="AU194" t="s">
        <v>124</v>
      </c>
      <c r="AV194" t="s">
        <v>128</v>
      </c>
      <c r="AW194" t="s">
        <v>1786</v>
      </c>
      <c r="AX194">
        <v>2025</v>
      </c>
      <c r="AY194" t="s">
        <v>1787</v>
      </c>
      <c r="AZ194" t="s">
        <v>1787</v>
      </c>
    </row>
    <row r="195" spans="1:52" x14ac:dyDescent="0.25">
      <c r="A195" t="s">
        <v>1792</v>
      </c>
      <c r="B195" s="1">
        <v>32138</v>
      </c>
      <c r="C195" t="s">
        <v>1793</v>
      </c>
      <c r="D195">
        <v>452718</v>
      </c>
      <c r="E195" t="s">
        <v>46</v>
      </c>
      <c r="F195" t="s">
        <v>199</v>
      </c>
      <c r="G195" t="s">
        <v>194</v>
      </c>
      <c r="H195" t="s">
        <v>1793</v>
      </c>
      <c r="I195" t="s">
        <v>446</v>
      </c>
      <c r="J195">
        <v>44</v>
      </c>
      <c r="K195">
        <v>47</v>
      </c>
      <c r="L195">
        <v>50</v>
      </c>
      <c r="M195">
        <v>50</v>
      </c>
      <c r="N195">
        <v>97</v>
      </c>
      <c r="O195" t="s">
        <v>48</v>
      </c>
      <c r="P195">
        <v>60</v>
      </c>
      <c r="Q195">
        <v>63</v>
      </c>
      <c r="R195">
        <v>-65</v>
      </c>
      <c r="S195">
        <v>63</v>
      </c>
      <c r="T195">
        <v>123</v>
      </c>
      <c r="U195" t="s">
        <v>60</v>
      </c>
      <c r="V195">
        <f t="shared" ref="V195:V258" si="9">IF(O195="OOO",3,IF(O195="XXX",0,IF(OR(O195="OOX",O195="OXO",O195="XOO"),2,1)))+IF(U195="OOO",3,IF(U195="XXX",0,IF(OR(U195="OOX",U195="OXO",U195="XOO"),2,1)))</f>
        <v>5</v>
      </c>
      <c r="W195">
        <f t="shared" ref="W195:W258" si="10">IF(OR(O195="XXO",U195="XXO"),1,0)</f>
        <v>0</v>
      </c>
      <c r="X195">
        <f t="shared" ref="X195:X258" si="11">IF(AND(O195="XXO",U195="XXO"),1,0)</f>
        <v>0</v>
      </c>
      <c r="Y195">
        <v>113</v>
      </c>
      <c r="Z195">
        <v>220</v>
      </c>
      <c r="AA195" t="s">
        <v>1794</v>
      </c>
      <c r="AB195" t="s">
        <v>1795</v>
      </c>
      <c r="AC195" t="s">
        <v>93</v>
      </c>
      <c r="AD195">
        <v>6</v>
      </c>
      <c r="AE195">
        <v>55</v>
      </c>
      <c r="AF195" t="s">
        <v>126</v>
      </c>
      <c r="AG195">
        <v>35</v>
      </c>
      <c r="AH195" t="s">
        <v>197</v>
      </c>
      <c r="AI195">
        <v>165.16</v>
      </c>
      <c r="AJ195" t="s">
        <v>132</v>
      </c>
      <c r="AK195" t="s">
        <v>199</v>
      </c>
      <c r="AL195" t="s">
        <v>203</v>
      </c>
      <c r="AM195" t="s">
        <v>53</v>
      </c>
      <c r="AN195" s="1">
        <v>45640</v>
      </c>
      <c r="AO195">
        <v>2024</v>
      </c>
      <c r="AP195">
        <v>12</v>
      </c>
      <c r="AQ195" t="s">
        <v>116</v>
      </c>
      <c r="AS195" t="s">
        <v>85</v>
      </c>
      <c r="AT195">
        <v>2025</v>
      </c>
      <c r="AU195" t="s">
        <v>194</v>
      </c>
      <c r="AV195" t="s">
        <v>54</v>
      </c>
      <c r="AW195" t="s">
        <v>1793</v>
      </c>
      <c r="AX195">
        <v>2025</v>
      </c>
      <c r="AY195" t="s">
        <v>1794</v>
      </c>
      <c r="AZ195" t="s">
        <v>1794</v>
      </c>
    </row>
    <row r="196" spans="1:52" x14ac:dyDescent="0.25">
      <c r="A196" t="s">
        <v>1797</v>
      </c>
      <c r="B196" s="1">
        <v>39167</v>
      </c>
      <c r="C196" t="s">
        <v>1798</v>
      </c>
      <c r="D196">
        <v>480379</v>
      </c>
      <c r="E196" t="s">
        <v>46</v>
      </c>
      <c r="F196" t="s">
        <v>1300</v>
      </c>
      <c r="G196" t="s">
        <v>168</v>
      </c>
      <c r="H196" t="s">
        <v>1798</v>
      </c>
      <c r="I196" t="s">
        <v>688</v>
      </c>
      <c r="J196">
        <v>55</v>
      </c>
      <c r="K196">
        <v>58</v>
      </c>
      <c r="L196">
        <v>-61</v>
      </c>
      <c r="M196">
        <v>58</v>
      </c>
      <c r="N196">
        <v>113</v>
      </c>
      <c r="O196" t="s">
        <v>60</v>
      </c>
      <c r="P196">
        <v>70</v>
      </c>
      <c r="Q196">
        <v>74</v>
      </c>
      <c r="R196">
        <v>77</v>
      </c>
      <c r="S196">
        <v>77</v>
      </c>
      <c r="T196">
        <v>151</v>
      </c>
      <c r="U196" t="s">
        <v>48</v>
      </c>
      <c r="V196">
        <f t="shared" si="9"/>
        <v>5</v>
      </c>
      <c r="W196">
        <f t="shared" si="10"/>
        <v>0</v>
      </c>
      <c r="X196">
        <f t="shared" si="11"/>
        <v>0</v>
      </c>
      <c r="Y196">
        <v>135</v>
      </c>
      <c r="Z196">
        <v>264</v>
      </c>
      <c r="AA196" t="s">
        <v>1800</v>
      </c>
      <c r="AB196" t="s">
        <v>1801</v>
      </c>
      <c r="AC196" t="s">
        <v>89</v>
      </c>
      <c r="AD196">
        <v>5</v>
      </c>
      <c r="AE196">
        <v>64</v>
      </c>
      <c r="AF196" t="s">
        <v>113</v>
      </c>
      <c r="AH196" t="s">
        <v>355</v>
      </c>
      <c r="AI196">
        <v>177.13</v>
      </c>
      <c r="AJ196" t="s">
        <v>132</v>
      </c>
      <c r="AK196" t="s">
        <v>1300</v>
      </c>
      <c r="AL196" t="s">
        <v>1302</v>
      </c>
      <c r="AM196" t="s">
        <v>170</v>
      </c>
      <c r="AN196" s="1">
        <v>45640</v>
      </c>
      <c r="AO196">
        <v>2024</v>
      </c>
      <c r="AP196">
        <v>12</v>
      </c>
      <c r="AQ196" t="s">
        <v>116</v>
      </c>
      <c r="AS196" t="s">
        <v>85</v>
      </c>
      <c r="AT196">
        <v>2025</v>
      </c>
      <c r="AU196" t="s">
        <v>168</v>
      </c>
      <c r="AV196" t="s">
        <v>170</v>
      </c>
      <c r="AW196" t="s">
        <v>1798</v>
      </c>
      <c r="AX196">
        <v>2025</v>
      </c>
      <c r="AY196" t="s">
        <v>1799</v>
      </c>
      <c r="AZ196" t="s">
        <v>1800</v>
      </c>
    </row>
    <row r="197" spans="1:52" x14ac:dyDescent="0.25">
      <c r="A197" t="s">
        <v>1804</v>
      </c>
      <c r="B197" s="1">
        <v>38466</v>
      </c>
      <c r="C197" t="s">
        <v>1805</v>
      </c>
      <c r="D197">
        <v>438946</v>
      </c>
      <c r="E197" t="s">
        <v>46</v>
      </c>
      <c r="F197" t="s">
        <v>109</v>
      </c>
      <c r="G197" t="s">
        <v>490</v>
      </c>
      <c r="H197" t="s">
        <v>1805</v>
      </c>
      <c r="I197" t="s">
        <v>274</v>
      </c>
      <c r="J197">
        <v>70</v>
      </c>
      <c r="K197">
        <v>75</v>
      </c>
      <c r="L197">
        <v>78</v>
      </c>
      <c r="M197">
        <v>78</v>
      </c>
      <c r="N197">
        <v>153</v>
      </c>
      <c r="O197" t="s">
        <v>48</v>
      </c>
      <c r="P197">
        <v>88</v>
      </c>
      <c r="Q197">
        <v>92</v>
      </c>
      <c r="R197">
        <v>-100</v>
      </c>
      <c r="S197">
        <v>92</v>
      </c>
      <c r="T197">
        <v>180</v>
      </c>
      <c r="U197" t="s">
        <v>60</v>
      </c>
      <c r="V197">
        <f t="shared" si="9"/>
        <v>5</v>
      </c>
      <c r="W197">
        <f t="shared" si="10"/>
        <v>0</v>
      </c>
      <c r="X197">
        <f t="shared" si="11"/>
        <v>0</v>
      </c>
      <c r="Y197">
        <v>170</v>
      </c>
      <c r="Z197">
        <v>333</v>
      </c>
      <c r="AA197" t="s">
        <v>1807</v>
      </c>
      <c r="AB197" t="s">
        <v>1808</v>
      </c>
      <c r="AC197" t="s">
        <v>89</v>
      </c>
      <c r="AD197">
        <v>5</v>
      </c>
      <c r="AE197">
        <v>61</v>
      </c>
      <c r="AF197" t="s">
        <v>113</v>
      </c>
      <c r="AH197" t="s">
        <v>737</v>
      </c>
      <c r="AI197">
        <v>266.85000000000002</v>
      </c>
      <c r="AJ197" t="s">
        <v>52</v>
      </c>
      <c r="AK197" t="s">
        <v>109</v>
      </c>
      <c r="AL197" t="s">
        <v>115</v>
      </c>
      <c r="AM197" t="s">
        <v>90</v>
      </c>
      <c r="AN197" s="1">
        <v>45639</v>
      </c>
      <c r="AO197">
        <v>2024</v>
      </c>
      <c r="AP197">
        <v>12</v>
      </c>
      <c r="AQ197" t="s">
        <v>116</v>
      </c>
      <c r="AS197" t="s">
        <v>85</v>
      </c>
      <c r="AT197">
        <v>2025</v>
      </c>
      <c r="AU197" t="s">
        <v>490</v>
      </c>
      <c r="AV197" t="s">
        <v>91</v>
      </c>
      <c r="AW197" t="s">
        <v>1805</v>
      </c>
      <c r="AX197">
        <v>2025</v>
      </c>
      <c r="AY197" t="s">
        <v>1806</v>
      </c>
      <c r="AZ197" t="s">
        <v>1807</v>
      </c>
    </row>
    <row r="198" spans="1:52" x14ac:dyDescent="0.25">
      <c r="A198" t="s">
        <v>1837</v>
      </c>
      <c r="B198" s="1">
        <v>36297</v>
      </c>
      <c r="C198" t="s">
        <v>1838</v>
      </c>
      <c r="D198">
        <v>409537</v>
      </c>
      <c r="E198" t="s">
        <v>46</v>
      </c>
      <c r="F198" t="s">
        <v>1400</v>
      </c>
      <c r="G198" t="s">
        <v>536</v>
      </c>
      <c r="H198" t="s">
        <v>1838</v>
      </c>
      <c r="I198" t="s">
        <v>373</v>
      </c>
      <c r="J198">
        <v>-127</v>
      </c>
      <c r="K198">
        <v>127</v>
      </c>
      <c r="L198">
        <v>-132</v>
      </c>
      <c r="M198">
        <v>127</v>
      </c>
      <c r="N198">
        <v>0</v>
      </c>
      <c r="O198" t="s">
        <v>104</v>
      </c>
      <c r="P198">
        <v>-160</v>
      </c>
      <c r="Q198">
        <v>-160</v>
      </c>
      <c r="R198">
        <v>-160</v>
      </c>
      <c r="S198">
        <v>0</v>
      </c>
      <c r="T198">
        <v>0</v>
      </c>
      <c r="U198" t="s">
        <v>108</v>
      </c>
      <c r="V198">
        <f t="shared" si="9"/>
        <v>1</v>
      </c>
      <c r="W198">
        <f t="shared" si="10"/>
        <v>0</v>
      </c>
      <c r="X198">
        <f t="shared" si="11"/>
        <v>0</v>
      </c>
      <c r="Y198">
        <v>127</v>
      </c>
      <c r="Z198">
        <v>0</v>
      </c>
      <c r="AA198" t="s">
        <v>1840</v>
      </c>
      <c r="AB198" t="s">
        <v>99</v>
      </c>
      <c r="AC198" t="s">
        <v>49</v>
      </c>
      <c r="AD198">
        <v>999</v>
      </c>
      <c r="AE198">
        <v>89</v>
      </c>
      <c r="AF198" t="s">
        <v>126</v>
      </c>
      <c r="AH198" t="s">
        <v>155</v>
      </c>
      <c r="AI198">
        <v>0</v>
      </c>
      <c r="AJ198" t="s">
        <v>52</v>
      </c>
      <c r="AK198" t="s">
        <v>1400</v>
      </c>
      <c r="AL198" t="s">
        <v>1402</v>
      </c>
      <c r="AM198" t="s">
        <v>128</v>
      </c>
      <c r="AN198" s="1">
        <v>45640</v>
      </c>
      <c r="AO198">
        <v>2024</v>
      </c>
      <c r="AP198">
        <v>12</v>
      </c>
      <c r="AQ198" t="s">
        <v>116</v>
      </c>
      <c r="AS198" t="s">
        <v>85</v>
      </c>
      <c r="AT198">
        <v>2025</v>
      </c>
      <c r="AU198" t="s">
        <v>536</v>
      </c>
      <c r="AV198" t="s">
        <v>128</v>
      </c>
      <c r="AW198" t="s">
        <v>1838</v>
      </c>
      <c r="AX198">
        <v>2025</v>
      </c>
      <c r="AY198" t="s">
        <v>1839</v>
      </c>
      <c r="AZ198" t="s">
        <v>1841</v>
      </c>
    </row>
    <row r="199" spans="1:52" x14ac:dyDescent="0.25">
      <c r="A199" t="s">
        <v>1843</v>
      </c>
      <c r="B199" s="1">
        <v>33506</v>
      </c>
      <c r="C199" t="s">
        <v>1844</v>
      </c>
      <c r="D199">
        <v>389172</v>
      </c>
      <c r="E199" t="s">
        <v>46</v>
      </c>
      <c r="F199" t="s">
        <v>710</v>
      </c>
      <c r="G199" t="s">
        <v>161</v>
      </c>
      <c r="H199" t="s">
        <v>1844</v>
      </c>
      <c r="I199" t="s">
        <v>1264</v>
      </c>
      <c r="J199">
        <v>132</v>
      </c>
      <c r="K199">
        <v>136</v>
      </c>
      <c r="L199">
        <v>-140</v>
      </c>
      <c r="M199">
        <v>136</v>
      </c>
      <c r="N199">
        <v>268</v>
      </c>
      <c r="O199" t="s">
        <v>60</v>
      </c>
      <c r="P199">
        <v>168</v>
      </c>
      <c r="Q199">
        <v>0</v>
      </c>
      <c r="R199">
        <v>0</v>
      </c>
      <c r="S199">
        <v>168</v>
      </c>
      <c r="T199">
        <v>0</v>
      </c>
      <c r="U199" t="s">
        <v>55</v>
      </c>
      <c r="V199">
        <f t="shared" si="9"/>
        <v>3</v>
      </c>
      <c r="W199">
        <f t="shared" si="10"/>
        <v>0</v>
      </c>
      <c r="X199">
        <f t="shared" si="11"/>
        <v>0</v>
      </c>
      <c r="Y199">
        <v>304</v>
      </c>
      <c r="Z199">
        <v>268</v>
      </c>
      <c r="AA199" t="s">
        <v>1846</v>
      </c>
      <c r="AB199" t="s">
        <v>1847</v>
      </c>
      <c r="AC199" t="s">
        <v>89</v>
      </c>
      <c r="AD199">
        <v>5</v>
      </c>
      <c r="AE199">
        <v>109</v>
      </c>
      <c r="AF199" t="s">
        <v>126</v>
      </c>
      <c r="AH199" t="s">
        <v>151</v>
      </c>
      <c r="AI199">
        <v>339.71</v>
      </c>
      <c r="AJ199" t="s">
        <v>52</v>
      </c>
      <c r="AK199" t="s">
        <v>710</v>
      </c>
      <c r="AL199" t="s">
        <v>712</v>
      </c>
      <c r="AM199" t="s">
        <v>128</v>
      </c>
      <c r="AN199" s="1">
        <v>45640</v>
      </c>
      <c r="AO199">
        <v>2024</v>
      </c>
      <c r="AP199">
        <v>12</v>
      </c>
      <c r="AQ199" t="s">
        <v>116</v>
      </c>
      <c r="AS199" t="s">
        <v>85</v>
      </c>
      <c r="AT199">
        <v>2025</v>
      </c>
      <c r="AU199" t="s">
        <v>161</v>
      </c>
      <c r="AV199" t="s">
        <v>128</v>
      </c>
      <c r="AW199" t="s">
        <v>1844</v>
      </c>
      <c r="AX199">
        <v>2025</v>
      </c>
      <c r="AY199" t="s">
        <v>1845</v>
      </c>
      <c r="AZ199" t="s">
        <v>1846</v>
      </c>
    </row>
    <row r="200" spans="1:52" x14ac:dyDescent="0.25">
      <c r="A200" t="s">
        <v>1850</v>
      </c>
      <c r="B200" s="1">
        <v>35066</v>
      </c>
      <c r="C200" t="s">
        <v>1851</v>
      </c>
      <c r="D200">
        <v>476117</v>
      </c>
      <c r="E200" t="s">
        <v>46</v>
      </c>
      <c r="F200" t="s">
        <v>837</v>
      </c>
      <c r="G200" t="s">
        <v>416</v>
      </c>
      <c r="H200" t="s">
        <v>1851</v>
      </c>
      <c r="I200" t="s">
        <v>430</v>
      </c>
      <c r="J200">
        <v>102</v>
      </c>
      <c r="K200">
        <v>106</v>
      </c>
      <c r="L200">
        <v>-110</v>
      </c>
      <c r="M200">
        <v>106</v>
      </c>
      <c r="N200">
        <v>208</v>
      </c>
      <c r="O200" t="s">
        <v>60</v>
      </c>
      <c r="P200">
        <v>122</v>
      </c>
      <c r="Q200">
        <v>-127</v>
      </c>
      <c r="R200">
        <v>130</v>
      </c>
      <c r="S200">
        <v>130</v>
      </c>
      <c r="T200">
        <v>252</v>
      </c>
      <c r="U200" t="s">
        <v>65</v>
      </c>
      <c r="V200">
        <f t="shared" si="9"/>
        <v>4</v>
      </c>
      <c r="W200">
        <f t="shared" si="10"/>
        <v>0</v>
      </c>
      <c r="X200">
        <f t="shared" si="11"/>
        <v>0</v>
      </c>
      <c r="Y200">
        <v>236</v>
      </c>
      <c r="Z200">
        <v>460</v>
      </c>
      <c r="AA200" t="s">
        <v>1853</v>
      </c>
      <c r="AB200" t="s">
        <v>1854</v>
      </c>
      <c r="AC200" t="s">
        <v>93</v>
      </c>
      <c r="AD200">
        <v>6</v>
      </c>
      <c r="AE200">
        <v>89</v>
      </c>
      <c r="AF200" t="s">
        <v>126</v>
      </c>
      <c r="AH200" t="s">
        <v>155</v>
      </c>
      <c r="AI200">
        <v>290.7</v>
      </c>
      <c r="AJ200" t="s">
        <v>52</v>
      </c>
      <c r="AK200" t="s">
        <v>837</v>
      </c>
      <c r="AL200" t="s">
        <v>840</v>
      </c>
      <c r="AM200" t="s">
        <v>173</v>
      </c>
      <c r="AN200" s="1">
        <v>45640</v>
      </c>
      <c r="AO200">
        <v>2024</v>
      </c>
      <c r="AP200">
        <v>12</v>
      </c>
      <c r="AQ200" t="s">
        <v>116</v>
      </c>
      <c r="AS200" t="s">
        <v>85</v>
      </c>
      <c r="AT200">
        <v>2025</v>
      </c>
      <c r="AU200" t="s">
        <v>416</v>
      </c>
      <c r="AV200" t="s">
        <v>173</v>
      </c>
      <c r="AW200" t="s">
        <v>1851</v>
      </c>
      <c r="AX200">
        <v>2025</v>
      </c>
      <c r="AY200" t="s">
        <v>1852</v>
      </c>
      <c r="AZ200" t="s">
        <v>1853</v>
      </c>
    </row>
    <row r="201" spans="1:52" x14ac:dyDescent="0.25">
      <c r="A201" t="s">
        <v>1857</v>
      </c>
      <c r="B201" s="1">
        <v>38787</v>
      </c>
      <c r="C201" t="s">
        <v>1858</v>
      </c>
      <c r="D201">
        <v>436427</v>
      </c>
      <c r="E201" t="s">
        <v>46</v>
      </c>
      <c r="F201" t="s">
        <v>263</v>
      </c>
      <c r="G201" t="s">
        <v>147</v>
      </c>
      <c r="H201" t="s">
        <v>1858</v>
      </c>
      <c r="I201" t="s">
        <v>462</v>
      </c>
      <c r="J201">
        <v>55</v>
      </c>
      <c r="K201">
        <v>58</v>
      </c>
      <c r="L201">
        <v>-61</v>
      </c>
      <c r="M201">
        <v>58</v>
      </c>
      <c r="N201">
        <v>113</v>
      </c>
      <c r="O201" t="s">
        <v>60</v>
      </c>
      <c r="P201">
        <v>65</v>
      </c>
      <c r="Q201">
        <v>68</v>
      </c>
      <c r="R201">
        <v>72</v>
      </c>
      <c r="S201">
        <v>72</v>
      </c>
      <c r="T201">
        <v>140</v>
      </c>
      <c r="U201" t="s">
        <v>48</v>
      </c>
      <c r="V201">
        <f t="shared" si="9"/>
        <v>5</v>
      </c>
      <c r="W201">
        <f t="shared" si="10"/>
        <v>0</v>
      </c>
      <c r="X201">
        <f t="shared" si="11"/>
        <v>0</v>
      </c>
      <c r="Y201">
        <v>130</v>
      </c>
      <c r="Z201">
        <v>253</v>
      </c>
      <c r="AA201" t="s">
        <v>1859</v>
      </c>
      <c r="AB201" t="s">
        <v>1860</v>
      </c>
      <c r="AC201" t="s">
        <v>94</v>
      </c>
      <c r="AD201">
        <v>4</v>
      </c>
      <c r="AE201">
        <v>55</v>
      </c>
      <c r="AF201" t="s">
        <v>113</v>
      </c>
      <c r="AH201" t="s">
        <v>465</v>
      </c>
      <c r="AI201">
        <v>187.76</v>
      </c>
      <c r="AJ201" t="s">
        <v>132</v>
      </c>
      <c r="AK201" t="s">
        <v>263</v>
      </c>
      <c r="AL201" t="s">
        <v>267</v>
      </c>
      <c r="AM201" t="s">
        <v>145</v>
      </c>
      <c r="AN201" s="1">
        <v>45640</v>
      </c>
      <c r="AO201">
        <v>2024</v>
      </c>
      <c r="AP201">
        <v>12</v>
      </c>
      <c r="AQ201" t="s">
        <v>116</v>
      </c>
      <c r="AS201" t="s">
        <v>85</v>
      </c>
      <c r="AT201">
        <v>2025</v>
      </c>
      <c r="AU201" t="s">
        <v>147</v>
      </c>
      <c r="AV201" t="s">
        <v>145</v>
      </c>
      <c r="AW201" t="s">
        <v>1858</v>
      </c>
      <c r="AX201">
        <v>2025</v>
      </c>
      <c r="AY201" t="s">
        <v>1726</v>
      </c>
      <c r="AZ201" t="s">
        <v>1726</v>
      </c>
    </row>
    <row r="202" spans="1:52" x14ac:dyDescent="0.25">
      <c r="A202" t="s">
        <v>1863</v>
      </c>
      <c r="B202" s="1">
        <v>40921</v>
      </c>
      <c r="C202" t="s">
        <v>1864</v>
      </c>
      <c r="D202">
        <v>502831</v>
      </c>
      <c r="E202" t="s">
        <v>46</v>
      </c>
      <c r="F202" t="s">
        <v>837</v>
      </c>
      <c r="G202" t="s">
        <v>660</v>
      </c>
      <c r="H202" t="s">
        <v>1864</v>
      </c>
      <c r="I202" t="s">
        <v>1634</v>
      </c>
      <c r="J202">
        <v>27</v>
      </c>
      <c r="K202">
        <v>-29</v>
      </c>
      <c r="L202">
        <v>29</v>
      </c>
      <c r="M202">
        <v>29</v>
      </c>
      <c r="N202">
        <v>56</v>
      </c>
      <c r="O202" t="s">
        <v>65</v>
      </c>
      <c r="P202">
        <v>36</v>
      </c>
      <c r="Q202">
        <v>38</v>
      </c>
      <c r="R202">
        <v>40</v>
      </c>
      <c r="S202">
        <v>40</v>
      </c>
      <c r="T202">
        <v>78</v>
      </c>
      <c r="U202" t="s">
        <v>48</v>
      </c>
      <c r="V202">
        <f t="shared" si="9"/>
        <v>5</v>
      </c>
      <c r="W202">
        <f t="shared" si="10"/>
        <v>0</v>
      </c>
      <c r="X202">
        <f t="shared" si="11"/>
        <v>0</v>
      </c>
      <c r="Y202">
        <v>69</v>
      </c>
      <c r="Z202">
        <v>134</v>
      </c>
      <c r="AA202" t="s">
        <v>1865</v>
      </c>
      <c r="AB202" t="s">
        <v>1866</v>
      </c>
      <c r="AC202" t="s">
        <v>49</v>
      </c>
      <c r="AD202">
        <v>999</v>
      </c>
      <c r="AE202" t="s">
        <v>1086</v>
      </c>
      <c r="AF202" t="s">
        <v>50</v>
      </c>
      <c r="AH202" t="s">
        <v>1087</v>
      </c>
      <c r="AI202">
        <v>175.58</v>
      </c>
      <c r="AJ202" t="s">
        <v>52</v>
      </c>
      <c r="AK202" t="s">
        <v>837</v>
      </c>
      <c r="AL202" t="s">
        <v>840</v>
      </c>
      <c r="AM202" t="s">
        <v>173</v>
      </c>
      <c r="AN202" s="1">
        <v>45640</v>
      </c>
      <c r="AO202">
        <v>2024</v>
      </c>
      <c r="AP202">
        <v>12</v>
      </c>
      <c r="AQ202" t="s">
        <v>116</v>
      </c>
      <c r="AS202" t="s">
        <v>85</v>
      </c>
      <c r="AT202">
        <v>2025</v>
      </c>
      <c r="AU202" t="s">
        <v>660</v>
      </c>
      <c r="AV202" t="s">
        <v>173</v>
      </c>
      <c r="AW202" t="s">
        <v>1864</v>
      </c>
      <c r="AX202">
        <v>2025</v>
      </c>
      <c r="AY202" t="s">
        <v>1865</v>
      </c>
      <c r="AZ202" t="s">
        <v>1865</v>
      </c>
    </row>
    <row r="203" spans="1:52" x14ac:dyDescent="0.25">
      <c r="A203" t="s">
        <v>1867</v>
      </c>
      <c r="B203" s="1">
        <v>33781</v>
      </c>
      <c r="C203" t="s">
        <v>1868</v>
      </c>
      <c r="D203">
        <v>218733</v>
      </c>
      <c r="E203" t="s">
        <v>46</v>
      </c>
      <c r="F203" t="s">
        <v>588</v>
      </c>
      <c r="G203" t="s">
        <v>478</v>
      </c>
      <c r="H203" t="s">
        <v>1868</v>
      </c>
      <c r="I203" t="s">
        <v>1870</v>
      </c>
      <c r="J203">
        <v>110</v>
      </c>
      <c r="K203">
        <v>115</v>
      </c>
      <c r="L203">
        <v>-120</v>
      </c>
      <c r="M203">
        <v>115</v>
      </c>
      <c r="N203">
        <v>225</v>
      </c>
      <c r="O203" t="s">
        <v>60</v>
      </c>
      <c r="P203">
        <v>0</v>
      </c>
      <c r="Q203">
        <v>0</v>
      </c>
      <c r="R203">
        <v>0</v>
      </c>
      <c r="S203">
        <v>0</v>
      </c>
      <c r="T203">
        <v>0</v>
      </c>
      <c r="U203" t="s">
        <v>108</v>
      </c>
      <c r="V203">
        <f t="shared" si="9"/>
        <v>2</v>
      </c>
      <c r="W203">
        <f t="shared" si="10"/>
        <v>0</v>
      </c>
      <c r="X203">
        <f t="shared" si="11"/>
        <v>0</v>
      </c>
      <c r="Y203">
        <v>115</v>
      </c>
      <c r="Z203">
        <v>225</v>
      </c>
      <c r="AA203" t="s">
        <v>1871</v>
      </c>
      <c r="AB203" t="s">
        <v>1872</v>
      </c>
      <c r="AC203" t="s">
        <v>49</v>
      </c>
      <c r="AD203">
        <v>999</v>
      </c>
      <c r="AE203">
        <v>96</v>
      </c>
      <c r="AF203" t="s">
        <v>126</v>
      </c>
      <c r="AH203" t="s">
        <v>222</v>
      </c>
      <c r="AI203">
        <v>0</v>
      </c>
      <c r="AJ203" t="s">
        <v>52</v>
      </c>
      <c r="AK203" t="s">
        <v>588</v>
      </c>
      <c r="AL203" t="s">
        <v>592</v>
      </c>
      <c r="AM203" t="s">
        <v>68</v>
      </c>
      <c r="AN203" s="1">
        <v>45640</v>
      </c>
      <c r="AO203">
        <v>2024</v>
      </c>
      <c r="AP203">
        <v>12</v>
      </c>
      <c r="AQ203" t="s">
        <v>116</v>
      </c>
      <c r="AS203" t="s">
        <v>85</v>
      </c>
      <c r="AT203">
        <v>2025</v>
      </c>
      <c r="AU203" t="s">
        <v>478</v>
      </c>
      <c r="AV203" t="s">
        <v>68</v>
      </c>
      <c r="AW203" t="s">
        <v>1868</v>
      </c>
      <c r="AX203">
        <v>2025</v>
      </c>
      <c r="AY203" t="s">
        <v>1869</v>
      </c>
      <c r="AZ203" t="s">
        <v>1869</v>
      </c>
    </row>
    <row r="204" spans="1:52" x14ac:dyDescent="0.25">
      <c r="A204" t="s">
        <v>1873</v>
      </c>
      <c r="B204" s="1">
        <v>32330</v>
      </c>
      <c r="C204" t="s">
        <v>1874</v>
      </c>
      <c r="D204">
        <v>335170</v>
      </c>
      <c r="E204" t="s">
        <v>46</v>
      </c>
      <c r="F204" t="s">
        <v>547</v>
      </c>
      <c r="G204" t="s">
        <v>153</v>
      </c>
      <c r="H204" t="s">
        <v>1874</v>
      </c>
      <c r="I204" t="s">
        <v>564</v>
      </c>
      <c r="J204">
        <v>94</v>
      </c>
      <c r="K204">
        <v>-97</v>
      </c>
      <c r="L204">
        <v>98</v>
      </c>
      <c r="M204">
        <v>98</v>
      </c>
      <c r="N204">
        <v>192</v>
      </c>
      <c r="O204" t="s">
        <v>65</v>
      </c>
      <c r="P204">
        <v>116</v>
      </c>
      <c r="Q204">
        <v>119</v>
      </c>
      <c r="R204">
        <v>-124</v>
      </c>
      <c r="S204">
        <v>119</v>
      </c>
      <c r="T204">
        <v>235</v>
      </c>
      <c r="U204" t="s">
        <v>60</v>
      </c>
      <c r="V204">
        <f t="shared" si="9"/>
        <v>4</v>
      </c>
      <c r="W204">
        <f t="shared" si="10"/>
        <v>0</v>
      </c>
      <c r="X204">
        <f t="shared" si="11"/>
        <v>0</v>
      </c>
      <c r="Y204">
        <v>217</v>
      </c>
      <c r="Z204">
        <v>427</v>
      </c>
      <c r="AA204" t="s">
        <v>1875</v>
      </c>
      <c r="AB204" t="s">
        <v>1876</v>
      </c>
      <c r="AC204" t="s">
        <v>93</v>
      </c>
      <c r="AD204">
        <v>6</v>
      </c>
      <c r="AE204">
        <v>73</v>
      </c>
      <c r="AF204" t="s">
        <v>126</v>
      </c>
      <c r="AG204">
        <v>35</v>
      </c>
      <c r="AH204" t="s">
        <v>141</v>
      </c>
      <c r="AI204">
        <v>294.5</v>
      </c>
      <c r="AJ204" t="s">
        <v>52</v>
      </c>
      <c r="AK204" t="s">
        <v>547</v>
      </c>
      <c r="AL204" t="s">
        <v>551</v>
      </c>
      <c r="AM204" t="s">
        <v>72</v>
      </c>
      <c r="AN204" s="1">
        <v>45640</v>
      </c>
      <c r="AO204">
        <v>2024</v>
      </c>
      <c r="AP204">
        <v>12</v>
      </c>
      <c r="AQ204" t="s">
        <v>116</v>
      </c>
      <c r="AS204" t="s">
        <v>85</v>
      </c>
      <c r="AT204">
        <v>2025</v>
      </c>
      <c r="AU204" t="s">
        <v>153</v>
      </c>
      <c r="AV204" t="s">
        <v>72</v>
      </c>
      <c r="AW204" t="s">
        <v>1874</v>
      </c>
      <c r="AX204">
        <v>2025</v>
      </c>
      <c r="AY204" t="s">
        <v>1875</v>
      </c>
      <c r="AZ204" t="s">
        <v>1875</v>
      </c>
    </row>
    <row r="205" spans="1:52" x14ac:dyDescent="0.25">
      <c r="A205" t="s">
        <v>1877</v>
      </c>
      <c r="B205" s="1">
        <v>32895</v>
      </c>
      <c r="C205" t="s">
        <v>1878</v>
      </c>
      <c r="D205">
        <v>407595</v>
      </c>
      <c r="E205" t="s">
        <v>46</v>
      </c>
      <c r="F205" t="s">
        <v>999</v>
      </c>
      <c r="G205" t="s">
        <v>134</v>
      </c>
      <c r="H205" t="s">
        <v>1878</v>
      </c>
      <c r="I205" t="s">
        <v>1880</v>
      </c>
      <c r="J205">
        <v>92</v>
      </c>
      <c r="K205">
        <v>95</v>
      </c>
      <c r="L205">
        <v>-98</v>
      </c>
      <c r="M205">
        <v>95</v>
      </c>
      <c r="N205">
        <v>187</v>
      </c>
      <c r="O205" t="s">
        <v>60</v>
      </c>
      <c r="P205">
        <v>112</v>
      </c>
      <c r="Q205">
        <v>116</v>
      </c>
      <c r="R205">
        <v>-120</v>
      </c>
      <c r="S205">
        <v>116</v>
      </c>
      <c r="T205">
        <v>228</v>
      </c>
      <c r="U205" t="s">
        <v>60</v>
      </c>
      <c r="V205">
        <f t="shared" si="9"/>
        <v>4</v>
      </c>
      <c r="W205">
        <f t="shared" si="10"/>
        <v>0</v>
      </c>
      <c r="X205">
        <f t="shared" si="11"/>
        <v>0</v>
      </c>
      <c r="Y205">
        <v>211</v>
      </c>
      <c r="Z205">
        <v>415</v>
      </c>
      <c r="AA205" t="s">
        <v>1881</v>
      </c>
      <c r="AB205" t="s">
        <v>1882</v>
      </c>
      <c r="AC205" t="s">
        <v>89</v>
      </c>
      <c r="AD205">
        <v>5</v>
      </c>
      <c r="AE205">
        <v>61</v>
      </c>
      <c r="AF205" t="s">
        <v>126</v>
      </c>
      <c r="AG205">
        <v>35</v>
      </c>
      <c r="AH205" t="s">
        <v>144</v>
      </c>
      <c r="AI205">
        <v>324.52999999999997</v>
      </c>
      <c r="AJ205" t="s">
        <v>52</v>
      </c>
      <c r="AK205" t="s">
        <v>999</v>
      </c>
      <c r="AL205" t="s">
        <v>1001</v>
      </c>
      <c r="AM205" t="s">
        <v>53</v>
      </c>
      <c r="AN205" s="1">
        <v>45640</v>
      </c>
      <c r="AO205">
        <v>2024</v>
      </c>
      <c r="AP205">
        <v>12</v>
      </c>
      <c r="AQ205" t="s">
        <v>116</v>
      </c>
      <c r="AS205" t="s">
        <v>85</v>
      </c>
      <c r="AT205">
        <v>2025</v>
      </c>
      <c r="AU205" t="s">
        <v>134</v>
      </c>
      <c r="AV205" t="s">
        <v>54</v>
      </c>
      <c r="AW205" t="s">
        <v>1878</v>
      </c>
      <c r="AX205">
        <v>2025</v>
      </c>
      <c r="AY205" t="s">
        <v>1879</v>
      </c>
      <c r="AZ205" t="s">
        <v>1883</v>
      </c>
    </row>
    <row r="206" spans="1:52" x14ac:dyDescent="0.25">
      <c r="A206" t="s">
        <v>1885</v>
      </c>
      <c r="B206" s="1">
        <v>33574</v>
      </c>
      <c r="C206" t="s">
        <v>1886</v>
      </c>
      <c r="D206">
        <v>466433</v>
      </c>
      <c r="E206" t="s">
        <v>46</v>
      </c>
      <c r="F206" t="s">
        <v>199</v>
      </c>
      <c r="G206" t="s">
        <v>535</v>
      </c>
      <c r="H206" t="s">
        <v>1886</v>
      </c>
      <c r="I206" t="s">
        <v>292</v>
      </c>
      <c r="J206">
        <v>60</v>
      </c>
      <c r="K206">
        <v>64</v>
      </c>
      <c r="L206">
        <v>67</v>
      </c>
      <c r="M206">
        <v>67</v>
      </c>
      <c r="N206">
        <v>131</v>
      </c>
      <c r="O206" t="s">
        <v>48</v>
      </c>
      <c r="P206">
        <v>71</v>
      </c>
      <c r="Q206">
        <v>76</v>
      </c>
      <c r="R206">
        <v>-80</v>
      </c>
      <c r="S206">
        <v>76</v>
      </c>
      <c r="T206">
        <v>147</v>
      </c>
      <c r="U206" t="s">
        <v>60</v>
      </c>
      <c r="V206">
        <f t="shared" si="9"/>
        <v>5</v>
      </c>
      <c r="W206">
        <f t="shared" si="10"/>
        <v>0</v>
      </c>
      <c r="X206">
        <f t="shared" si="11"/>
        <v>0</v>
      </c>
      <c r="Y206">
        <v>143</v>
      </c>
      <c r="Z206">
        <v>278</v>
      </c>
      <c r="AA206" t="s">
        <v>1887</v>
      </c>
      <c r="AB206" t="s">
        <v>1888</v>
      </c>
      <c r="AC206" t="s">
        <v>93</v>
      </c>
      <c r="AD206">
        <v>6</v>
      </c>
      <c r="AE206">
        <v>64</v>
      </c>
      <c r="AF206" t="s">
        <v>126</v>
      </c>
      <c r="AH206" t="s">
        <v>167</v>
      </c>
      <c r="AI206">
        <v>186.81</v>
      </c>
      <c r="AJ206" t="s">
        <v>132</v>
      </c>
      <c r="AK206" t="s">
        <v>199</v>
      </c>
      <c r="AL206" t="s">
        <v>203</v>
      </c>
      <c r="AM206" t="s">
        <v>53</v>
      </c>
      <c r="AN206" s="1">
        <v>45640</v>
      </c>
      <c r="AO206">
        <v>2024</v>
      </c>
      <c r="AP206">
        <v>12</v>
      </c>
      <c r="AQ206" t="s">
        <v>116</v>
      </c>
      <c r="AS206" t="s">
        <v>85</v>
      </c>
      <c r="AT206">
        <v>2025</v>
      </c>
      <c r="AU206" t="s">
        <v>535</v>
      </c>
      <c r="AV206" t="s">
        <v>54</v>
      </c>
      <c r="AW206" t="s">
        <v>1886</v>
      </c>
      <c r="AX206">
        <v>2025</v>
      </c>
      <c r="AY206" t="s">
        <v>1887</v>
      </c>
      <c r="AZ206" t="s">
        <v>1887</v>
      </c>
    </row>
    <row r="207" spans="1:52" x14ac:dyDescent="0.25">
      <c r="A207" t="s">
        <v>1891</v>
      </c>
      <c r="B207" s="1">
        <v>30107</v>
      </c>
      <c r="C207" t="s">
        <v>1892</v>
      </c>
      <c r="D207">
        <v>481375</v>
      </c>
      <c r="E207" t="s">
        <v>46</v>
      </c>
      <c r="F207" t="s">
        <v>199</v>
      </c>
      <c r="G207" t="s">
        <v>1894</v>
      </c>
      <c r="H207" t="s">
        <v>1892</v>
      </c>
      <c r="I207" t="s">
        <v>366</v>
      </c>
      <c r="J207">
        <v>57</v>
      </c>
      <c r="K207">
        <v>61</v>
      </c>
      <c r="L207">
        <v>-66</v>
      </c>
      <c r="M207">
        <v>61</v>
      </c>
      <c r="N207">
        <v>118</v>
      </c>
      <c r="O207" t="s">
        <v>60</v>
      </c>
      <c r="P207">
        <v>75</v>
      </c>
      <c r="Q207">
        <v>79</v>
      </c>
      <c r="R207">
        <v>84</v>
      </c>
      <c r="S207">
        <v>84</v>
      </c>
      <c r="T207">
        <v>163</v>
      </c>
      <c r="U207" t="s">
        <v>48</v>
      </c>
      <c r="V207">
        <f t="shared" si="9"/>
        <v>5</v>
      </c>
      <c r="W207">
        <f t="shared" si="10"/>
        <v>0</v>
      </c>
      <c r="X207">
        <f t="shared" si="11"/>
        <v>0</v>
      </c>
      <c r="Y207">
        <v>145</v>
      </c>
      <c r="Z207">
        <v>281</v>
      </c>
      <c r="AA207" t="s">
        <v>1555</v>
      </c>
      <c r="AB207" t="s">
        <v>1895</v>
      </c>
      <c r="AC207" t="s">
        <v>89</v>
      </c>
      <c r="AD207">
        <v>5</v>
      </c>
      <c r="AE207">
        <v>59</v>
      </c>
      <c r="AF207" t="s">
        <v>126</v>
      </c>
      <c r="AG207">
        <v>40</v>
      </c>
      <c r="AH207" t="s">
        <v>202</v>
      </c>
      <c r="AI207">
        <v>202.29</v>
      </c>
      <c r="AJ207" t="s">
        <v>132</v>
      </c>
      <c r="AK207" t="s">
        <v>199</v>
      </c>
      <c r="AL207" t="s">
        <v>203</v>
      </c>
      <c r="AM207" t="s">
        <v>53</v>
      </c>
      <c r="AN207" s="1">
        <v>45640</v>
      </c>
      <c r="AO207">
        <v>2024</v>
      </c>
      <c r="AP207">
        <v>12</v>
      </c>
      <c r="AQ207" t="s">
        <v>116</v>
      </c>
      <c r="AS207" t="s">
        <v>85</v>
      </c>
      <c r="AT207">
        <v>2025</v>
      </c>
      <c r="AU207" t="s">
        <v>1894</v>
      </c>
      <c r="AV207" t="s">
        <v>54</v>
      </c>
      <c r="AW207" t="s">
        <v>1892</v>
      </c>
      <c r="AX207">
        <v>2025</v>
      </c>
      <c r="AY207" t="s">
        <v>1893</v>
      </c>
      <c r="AZ207" t="s">
        <v>1555</v>
      </c>
    </row>
    <row r="208" spans="1:52" x14ac:dyDescent="0.25">
      <c r="A208" t="s">
        <v>1897</v>
      </c>
      <c r="B208" s="1">
        <v>33812</v>
      </c>
      <c r="C208" t="s">
        <v>1898</v>
      </c>
      <c r="D208">
        <v>481106</v>
      </c>
      <c r="E208" t="s">
        <v>46</v>
      </c>
      <c r="F208" t="s">
        <v>263</v>
      </c>
      <c r="G208" t="s">
        <v>147</v>
      </c>
      <c r="H208" t="s">
        <v>1898</v>
      </c>
      <c r="I208">
        <v>89</v>
      </c>
      <c r="J208">
        <v>115</v>
      </c>
      <c r="K208">
        <v>120</v>
      </c>
      <c r="L208">
        <v>-125</v>
      </c>
      <c r="M208">
        <v>120</v>
      </c>
      <c r="N208">
        <v>235</v>
      </c>
      <c r="O208" t="s">
        <v>60</v>
      </c>
      <c r="P208">
        <v>145</v>
      </c>
      <c r="Q208">
        <v>150</v>
      </c>
      <c r="R208">
        <v>-155</v>
      </c>
      <c r="S208">
        <v>150</v>
      </c>
      <c r="T208">
        <v>295</v>
      </c>
      <c r="U208" t="s">
        <v>60</v>
      </c>
      <c r="V208">
        <f t="shared" si="9"/>
        <v>4</v>
      </c>
      <c r="W208">
        <f t="shared" si="10"/>
        <v>0</v>
      </c>
      <c r="X208">
        <f t="shared" si="11"/>
        <v>0</v>
      </c>
      <c r="Y208">
        <v>270</v>
      </c>
      <c r="Z208">
        <v>530</v>
      </c>
      <c r="AA208" t="s">
        <v>1900</v>
      </c>
      <c r="AB208" t="s">
        <v>1901</v>
      </c>
      <c r="AC208" t="s">
        <v>89</v>
      </c>
      <c r="AD208">
        <v>5</v>
      </c>
      <c r="AE208">
        <v>89</v>
      </c>
      <c r="AF208" t="s">
        <v>126</v>
      </c>
      <c r="AH208" t="s">
        <v>155</v>
      </c>
      <c r="AI208">
        <v>326.36</v>
      </c>
      <c r="AJ208" t="s">
        <v>52</v>
      </c>
      <c r="AK208" t="s">
        <v>263</v>
      </c>
      <c r="AL208" t="s">
        <v>267</v>
      </c>
      <c r="AM208" t="s">
        <v>145</v>
      </c>
      <c r="AN208" s="1">
        <v>45640</v>
      </c>
      <c r="AO208">
        <v>2024</v>
      </c>
      <c r="AP208">
        <v>12</v>
      </c>
      <c r="AQ208" t="s">
        <v>116</v>
      </c>
      <c r="AS208" t="s">
        <v>85</v>
      </c>
      <c r="AT208">
        <v>2025</v>
      </c>
      <c r="AU208" t="s">
        <v>147</v>
      </c>
      <c r="AV208" t="s">
        <v>145</v>
      </c>
      <c r="AW208" t="s">
        <v>1898</v>
      </c>
      <c r="AX208">
        <v>2025</v>
      </c>
      <c r="AY208" t="s">
        <v>1899</v>
      </c>
      <c r="AZ208" t="s">
        <v>1900</v>
      </c>
    </row>
    <row r="209" spans="1:52" x14ac:dyDescent="0.25">
      <c r="A209" t="s">
        <v>1903</v>
      </c>
      <c r="B209" s="1">
        <v>34565</v>
      </c>
      <c r="C209" t="s">
        <v>1904</v>
      </c>
      <c r="D209">
        <v>490403</v>
      </c>
      <c r="E209" t="s">
        <v>46</v>
      </c>
      <c r="F209" t="s">
        <v>999</v>
      </c>
      <c r="G209" t="s">
        <v>490</v>
      </c>
      <c r="H209" t="s">
        <v>1904</v>
      </c>
      <c r="I209" t="s">
        <v>248</v>
      </c>
      <c r="J209">
        <v>105</v>
      </c>
      <c r="K209">
        <v>109</v>
      </c>
      <c r="L209">
        <v>-112</v>
      </c>
      <c r="M209">
        <v>109</v>
      </c>
      <c r="N209">
        <v>214</v>
      </c>
      <c r="O209" t="s">
        <v>60</v>
      </c>
      <c r="P209">
        <v>131</v>
      </c>
      <c r="Q209">
        <v>135</v>
      </c>
      <c r="R209">
        <v>138</v>
      </c>
      <c r="S209">
        <v>138</v>
      </c>
      <c r="T209">
        <v>273</v>
      </c>
      <c r="U209" t="s">
        <v>48</v>
      </c>
      <c r="V209">
        <f t="shared" si="9"/>
        <v>5</v>
      </c>
      <c r="W209">
        <f t="shared" si="10"/>
        <v>0</v>
      </c>
      <c r="X209">
        <f t="shared" si="11"/>
        <v>0</v>
      </c>
      <c r="Y209">
        <v>247</v>
      </c>
      <c r="Z209">
        <v>487</v>
      </c>
      <c r="AA209" t="s">
        <v>1905</v>
      </c>
      <c r="AB209" t="s">
        <v>1906</v>
      </c>
      <c r="AC209" t="s">
        <v>89</v>
      </c>
      <c r="AD209">
        <v>5</v>
      </c>
      <c r="AE209">
        <v>73</v>
      </c>
      <c r="AF209" t="s">
        <v>126</v>
      </c>
      <c r="AH209" t="s">
        <v>141</v>
      </c>
      <c r="AI209">
        <v>333.23</v>
      </c>
      <c r="AJ209" t="s">
        <v>52</v>
      </c>
      <c r="AK209" t="s">
        <v>999</v>
      </c>
      <c r="AL209" t="s">
        <v>1001</v>
      </c>
      <c r="AM209" t="s">
        <v>53</v>
      </c>
      <c r="AN209" s="1">
        <v>45640</v>
      </c>
      <c r="AO209">
        <v>2024</v>
      </c>
      <c r="AP209">
        <v>12</v>
      </c>
      <c r="AQ209" t="s">
        <v>116</v>
      </c>
      <c r="AS209" t="s">
        <v>85</v>
      </c>
      <c r="AT209">
        <v>2025</v>
      </c>
      <c r="AU209" t="s">
        <v>490</v>
      </c>
      <c r="AV209" t="s">
        <v>91</v>
      </c>
      <c r="AW209" t="s">
        <v>1904</v>
      </c>
      <c r="AX209">
        <v>2025</v>
      </c>
      <c r="AY209" t="s">
        <v>1905</v>
      </c>
      <c r="AZ209" t="s">
        <v>1905</v>
      </c>
    </row>
    <row r="210" spans="1:52" x14ac:dyDescent="0.25">
      <c r="A210" t="s">
        <v>1907</v>
      </c>
      <c r="B210" s="1">
        <v>38387</v>
      </c>
      <c r="C210" t="s">
        <v>1908</v>
      </c>
      <c r="D210">
        <v>496540</v>
      </c>
      <c r="E210" t="s">
        <v>46</v>
      </c>
      <c r="F210" t="s">
        <v>1071</v>
      </c>
      <c r="G210" t="s">
        <v>374</v>
      </c>
      <c r="H210" t="s">
        <v>1908</v>
      </c>
      <c r="I210" t="s">
        <v>564</v>
      </c>
      <c r="J210">
        <v>88</v>
      </c>
      <c r="K210">
        <v>91</v>
      </c>
      <c r="L210">
        <v>95</v>
      </c>
      <c r="M210">
        <v>95</v>
      </c>
      <c r="N210">
        <v>186</v>
      </c>
      <c r="O210" t="s">
        <v>48</v>
      </c>
      <c r="P210">
        <v>-118</v>
      </c>
      <c r="Q210">
        <v>118</v>
      </c>
      <c r="R210">
        <v>121</v>
      </c>
      <c r="S210">
        <v>121</v>
      </c>
      <c r="T210">
        <v>239</v>
      </c>
      <c r="U210" t="s">
        <v>63</v>
      </c>
      <c r="V210">
        <f t="shared" si="9"/>
        <v>5</v>
      </c>
      <c r="W210">
        <f t="shared" si="10"/>
        <v>0</v>
      </c>
      <c r="X210">
        <f t="shared" si="11"/>
        <v>0</v>
      </c>
      <c r="Y210">
        <v>216</v>
      </c>
      <c r="Z210">
        <v>425</v>
      </c>
      <c r="AA210" t="s">
        <v>1909</v>
      </c>
      <c r="AB210" t="s">
        <v>1910</v>
      </c>
      <c r="AC210" t="s">
        <v>89</v>
      </c>
      <c r="AD210">
        <v>5</v>
      </c>
      <c r="AE210">
        <v>73</v>
      </c>
      <c r="AF210" t="s">
        <v>113</v>
      </c>
      <c r="AH210" t="s">
        <v>218</v>
      </c>
      <c r="AI210">
        <v>293.14999999999998</v>
      </c>
      <c r="AJ210" t="s">
        <v>52</v>
      </c>
      <c r="AK210" t="s">
        <v>1071</v>
      </c>
      <c r="AL210" t="s">
        <v>1073</v>
      </c>
      <c r="AM210" t="s">
        <v>68</v>
      </c>
      <c r="AN210" s="1">
        <v>45640</v>
      </c>
      <c r="AO210">
        <v>2024</v>
      </c>
      <c r="AP210">
        <v>12</v>
      </c>
      <c r="AQ210" t="s">
        <v>116</v>
      </c>
      <c r="AS210" t="s">
        <v>85</v>
      </c>
      <c r="AT210">
        <v>2025</v>
      </c>
      <c r="AU210" t="s">
        <v>374</v>
      </c>
      <c r="AV210" t="s">
        <v>68</v>
      </c>
      <c r="AW210" t="s">
        <v>1908</v>
      </c>
      <c r="AX210">
        <v>2025</v>
      </c>
      <c r="AY210" t="s">
        <v>1909</v>
      </c>
      <c r="AZ210" t="s">
        <v>1909</v>
      </c>
    </row>
    <row r="211" spans="1:52" x14ac:dyDescent="0.25">
      <c r="A211" t="s">
        <v>1912</v>
      </c>
      <c r="B211" s="1">
        <v>36757</v>
      </c>
      <c r="C211" t="s">
        <v>1913</v>
      </c>
      <c r="D211">
        <v>496351</v>
      </c>
      <c r="E211" t="s">
        <v>46</v>
      </c>
      <c r="F211" t="s">
        <v>837</v>
      </c>
      <c r="G211" t="s">
        <v>660</v>
      </c>
      <c r="H211" t="s">
        <v>1913</v>
      </c>
      <c r="I211" t="s">
        <v>648</v>
      </c>
      <c r="J211">
        <v>100</v>
      </c>
      <c r="K211">
        <v>110</v>
      </c>
      <c r="L211">
        <v>-114</v>
      </c>
      <c r="M211">
        <v>110</v>
      </c>
      <c r="N211">
        <v>210</v>
      </c>
      <c r="O211" t="s">
        <v>60</v>
      </c>
      <c r="P211">
        <v>110</v>
      </c>
      <c r="Q211">
        <v>115</v>
      </c>
      <c r="R211">
        <v>120</v>
      </c>
      <c r="S211">
        <v>120</v>
      </c>
      <c r="T211">
        <v>235</v>
      </c>
      <c r="U211" t="s">
        <v>48</v>
      </c>
      <c r="V211">
        <f t="shared" si="9"/>
        <v>5</v>
      </c>
      <c r="W211">
        <f t="shared" si="10"/>
        <v>0</v>
      </c>
      <c r="X211">
        <f t="shared" si="11"/>
        <v>0</v>
      </c>
      <c r="Y211">
        <v>230</v>
      </c>
      <c r="Z211">
        <v>445</v>
      </c>
      <c r="AA211" t="s">
        <v>1915</v>
      </c>
      <c r="AB211" t="s">
        <v>1916</v>
      </c>
      <c r="AC211" t="s">
        <v>93</v>
      </c>
      <c r="AD211">
        <v>6</v>
      </c>
      <c r="AE211">
        <v>89</v>
      </c>
      <c r="AF211" t="s">
        <v>126</v>
      </c>
      <c r="AH211" t="s">
        <v>155</v>
      </c>
      <c r="AI211">
        <v>281.64999999999998</v>
      </c>
      <c r="AJ211" t="s">
        <v>52</v>
      </c>
      <c r="AK211" t="s">
        <v>837</v>
      </c>
      <c r="AL211" t="s">
        <v>840</v>
      </c>
      <c r="AM211" t="s">
        <v>173</v>
      </c>
      <c r="AN211" s="1">
        <v>45640</v>
      </c>
      <c r="AO211">
        <v>2024</v>
      </c>
      <c r="AP211">
        <v>12</v>
      </c>
      <c r="AQ211" t="s">
        <v>116</v>
      </c>
      <c r="AS211" t="s">
        <v>85</v>
      </c>
      <c r="AT211">
        <v>2025</v>
      </c>
      <c r="AU211" t="s">
        <v>660</v>
      </c>
      <c r="AV211" t="s">
        <v>173</v>
      </c>
      <c r="AW211" t="s">
        <v>1913</v>
      </c>
      <c r="AX211">
        <v>2025</v>
      </c>
      <c r="AY211" t="s">
        <v>1914</v>
      </c>
      <c r="AZ211" t="s">
        <v>1914</v>
      </c>
    </row>
    <row r="212" spans="1:52" x14ac:dyDescent="0.25">
      <c r="A212" t="s">
        <v>1919</v>
      </c>
      <c r="B212" s="1">
        <v>38213</v>
      </c>
      <c r="C212" t="s">
        <v>1920</v>
      </c>
      <c r="D212">
        <v>448331</v>
      </c>
      <c r="E212" t="s">
        <v>46</v>
      </c>
      <c r="F212" t="s">
        <v>109</v>
      </c>
      <c r="G212" t="s">
        <v>88</v>
      </c>
      <c r="H212" t="s">
        <v>1920</v>
      </c>
      <c r="I212">
        <v>82</v>
      </c>
      <c r="J212">
        <v>113</v>
      </c>
      <c r="K212">
        <v>118</v>
      </c>
      <c r="L212">
        <v>-122</v>
      </c>
      <c r="M212">
        <v>118</v>
      </c>
      <c r="N212">
        <v>231</v>
      </c>
      <c r="O212" t="s">
        <v>60</v>
      </c>
      <c r="P212">
        <v>140</v>
      </c>
      <c r="Q212">
        <v>-145</v>
      </c>
      <c r="R212">
        <v>145</v>
      </c>
      <c r="S212">
        <v>145</v>
      </c>
      <c r="T212">
        <v>285</v>
      </c>
      <c r="U212" t="s">
        <v>65</v>
      </c>
      <c r="V212">
        <f t="shared" si="9"/>
        <v>4</v>
      </c>
      <c r="W212">
        <f t="shared" si="10"/>
        <v>0</v>
      </c>
      <c r="X212">
        <f t="shared" si="11"/>
        <v>0</v>
      </c>
      <c r="Y212">
        <v>263</v>
      </c>
      <c r="Z212">
        <v>516</v>
      </c>
      <c r="AA212" t="s">
        <v>1923</v>
      </c>
      <c r="AB212" t="s">
        <v>1924</v>
      </c>
      <c r="AC212" t="s">
        <v>89</v>
      </c>
      <c r="AD212">
        <v>5</v>
      </c>
      <c r="AE212">
        <v>89</v>
      </c>
      <c r="AF212" t="s">
        <v>126</v>
      </c>
      <c r="AH212" t="s">
        <v>155</v>
      </c>
      <c r="AI212">
        <v>331.56</v>
      </c>
      <c r="AJ212" t="s">
        <v>52</v>
      </c>
      <c r="AK212" t="s">
        <v>109</v>
      </c>
      <c r="AL212" t="s">
        <v>115</v>
      </c>
      <c r="AM212" t="s">
        <v>90</v>
      </c>
      <c r="AN212" s="1">
        <v>45639</v>
      </c>
      <c r="AO212">
        <v>2024</v>
      </c>
      <c r="AP212">
        <v>12</v>
      </c>
      <c r="AQ212" t="s">
        <v>116</v>
      </c>
      <c r="AS212" t="s">
        <v>85</v>
      </c>
      <c r="AT212">
        <v>2025</v>
      </c>
      <c r="AU212" t="s">
        <v>88</v>
      </c>
      <c r="AV212" t="s">
        <v>91</v>
      </c>
      <c r="AW212" t="s">
        <v>1920</v>
      </c>
      <c r="AX212">
        <v>2025</v>
      </c>
      <c r="AY212" t="s">
        <v>1921</v>
      </c>
      <c r="AZ212" t="s">
        <v>1923</v>
      </c>
    </row>
    <row r="213" spans="1:52" x14ac:dyDescent="0.25">
      <c r="A213" t="s">
        <v>1926</v>
      </c>
      <c r="B213" s="1">
        <v>35943</v>
      </c>
      <c r="C213" t="s">
        <v>1927</v>
      </c>
      <c r="D213">
        <v>222911</v>
      </c>
      <c r="E213" t="s">
        <v>46</v>
      </c>
      <c r="F213" t="s">
        <v>199</v>
      </c>
      <c r="G213" t="s">
        <v>535</v>
      </c>
      <c r="H213" t="s">
        <v>1927</v>
      </c>
      <c r="I213" t="s">
        <v>503</v>
      </c>
      <c r="J213">
        <v>-133</v>
      </c>
      <c r="K213">
        <v>135</v>
      </c>
      <c r="L213">
        <v>-141</v>
      </c>
      <c r="M213">
        <v>135</v>
      </c>
      <c r="N213">
        <v>0</v>
      </c>
      <c r="O213" t="s">
        <v>104</v>
      </c>
      <c r="P213">
        <v>160</v>
      </c>
      <c r="Q213">
        <v>-173</v>
      </c>
      <c r="R213">
        <v>-173</v>
      </c>
      <c r="S213">
        <v>160</v>
      </c>
      <c r="T213">
        <v>0</v>
      </c>
      <c r="U213" t="s">
        <v>55</v>
      </c>
      <c r="V213">
        <f t="shared" si="9"/>
        <v>2</v>
      </c>
      <c r="W213">
        <f t="shared" si="10"/>
        <v>0</v>
      </c>
      <c r="X213">
        <f t="shared" si="11"/>
        <v>0</v>
      </c>
      <c r="Y213">
        <v>295</v>
      </c>
      <c r="Z213">
        <v>0</v>
      </c>
      <c r="AA213" t="s">
        <v>1929</v>
      </c>
      <c r="AB213" t="s">
        <v>99</v>
      </c>
      <c r="AC213" t="s">
        <v>94</v>
      </c>
      <c r="AD213">
        <v>4</v>
      </c>
      <c r="AE213">
        <v>96</v>
      </c>
      <c r="AF213" t="s">
        <v>126</v>
      </c>
      <c r="AH213" t="s">
        <v>222</v>
      </c>
      <c r="AI213">
        <v>345.06</v>
      </c>
      <c r="AJ213" t="s">
        <v>52</v>
      </c>
      <c r="AK213" t="s">
        <v>199</v>
      </c>
      <c r="AL213" t="s">
        <v>203</v>
      </c>
      <c r="AM213" t="s">
        <v>53</v>
      </c>
      <c r="AN213" s="1">
        <v>45640</v>
      </c>
      <c r="AO213">
        <v>2024</v>
      </c>
      <c r="AP213">
        <v>12</v>
      </c>
      <c r="AQ213" t="s">
        <v>116</v>
      </c>
      <c r="AS213" t="s">
        <v>85</v>
      </c>
      <c r="AT213">
        <v>2025</v>
      </c>
      <c r="AU213" t="s">
        <v>535</v>
      </c>
      <c r="AV213" t="s">
        <v>54</v>
      </c>
      <c r="AW213" t="s">
        <v>1927</v>
      </c>
      <c r="AX213">
        <v>2025</v>
      </c>
      <c r="AY213" t="s">
        <v>1928</v>
      </c>
      <c r="AZ213" t="s">
        <v>1928</v>
      </c>
    </row>
    <row r="214" spans="1:52" x14ac:dyDescent="0.25">
      <c r="A214" t="s">
        <v>1931</v>
      </c>
      <c r="B214" s="1">
        <v>37162</v>
      </c>
      <c r="C214" t="s">
        <v>1932</v>
      </c>
      <c r="D214">
        <v>469738</v>
      </c>
      <c r="E214" t="s">
        <v>46</v>
      </c>
      <c r="F214" t="s">
        <v>999</v>
      </c>
      <c r="G214" t="s">
        <v>134</v>
      </c>
      <c r="H214" t="s">
        <v>1932</v>
      </c>
      <c r="I214" t="s">
        <v>231</v>
      </c>
      <c r="J214">
        <v>90</v>
      </c>
      <c r="K214">
        <v>-95</v>
      </c>
      <c r="L214">
        <v>-100</v>
      </c>
      <c r="M214">
        <v>90</v>
      </c>
      <c r="N214">
        <v>0</v>
      </c>
      <c r="O214" t="s">
        <v>55</v>
      </c>
      <c r="P214">
        <v>111</v>
      </c>
      <c r="Q214">
        <v>-115</v>
      </c>
      <c r="R214">
        <v>118</v>
      </c>
      <c r="S214">
        <v>118</v>
      </c>
      <c r="T214">
        <v>229</v>
      </c>
      <c r="U214" t="s">
        <v>65</v>
      </c>
      <c r="V214">
        <f t="shared" si="9"/>
        <v>3</v>
      </c>
      <c r="W214">
        <f t="shared" si="10"/>
        <v>0</v>
      </c>
      <c r="X214">
        <f t="shared" si="11"/>
        <v>0</v>
      </c>
      <c r="Y214">
        <v>208</v>
      </c>
      <c r="Z214">
        <v>229</v>
      </c>
      <c r="AA214" t="s">
        <v>1934</v>
      </c>
      <c r="AB214" t="s">
        <v>1935</v>
      </c>
      <c r="AC214" t="s">
        <v>64</v>
      </c>
      <c r="AD214">
        <v>7</v>
      </c>
      <c r="AE214">
        <v>73</v>
      </c>
      <c r="AF214" t="s">
        <v>126</v>
      </c>
      <c r="AH214" t="s">
        <v>141</v>
      </c>
      <c r="AI214">
        <v>282.52999999999997</v>
      </c>
      <c r="AJ214" t="s">
        <v>52</v>
      </c>
      <c r="AK214" t="s">
        <v>999</v>
      </c>
      <c r="AL214" t="s">
        <v>1001</v>
      </c>
      <c r="AM214" t="s">
        <v>53</v>
      </c>
      <c r="AN214" s="1">
        <v>45640</v>
      </c>
      <c r="AO214">
        <v>2024</v>
      </c>
      <c r="AP214">
        <v>12</v>
      </c>
      <c r="AQ214" t="s">
        <v>116</v>
      </c>
      <c r="AS214" t="s">
        <v>85</v>
      </c>
      <c r="AT214">
        <v>2025</v>
      </c>
      <c r="AU214" t="s">
        <v>134</v>
      </c>
      <c r="AV214" t="s">
        <v>54</v>
      </c>
      <c r="AW214" t="s">
        <v>1932</v>
      </c>
      <c r="AX214">
        <v>2025</v>
      </c>
      <c r="AY214" t="s">
        <v>1933</v>
      </c>
      <c r="AZ214" t="s">
        <v>1933</v>
      </c>
    </row>
    <row r="215" spans="1:52" x14ac:dyDescent="0.25">
      <c r="A215" t="s">
        <v>1936</v>
      </c>
      <c r="B215" s="1">
        <v>41815</v>
      </c>
      <c r="C215" t="s">
        <v>1937</v>
      </c>
      <c r="D215">
        <v>502981</v>
      </c>
      <c r="E215" t="s">
        <v>46</v>
      </c>
      <c r="F215" t="s">
        <v>1360</v>
      </c>
      <c r="G215" t="s">
        <v>1169</v>
      </c>
      <c r="H215" t="s">
        <v>1937</v>
      </c>
      <c r="I215" t="s">
        <v>1939</v>
      </c>
      <c r="J215">
        <v>13</v>
      </c>
      <c r="K215">
        <v>15</v>
      </c>
      <c r="L215">
        <v>-17</v>
      </c>
      <c r="M215">
        <v>15</v>
      </c>
      <c r="N215">
        <v>28</v>
      </c>
      <c r="O215" t="s">
        <v>60</v>
      </c>
      <c r="P215">
        <v>15</v>
      </c>
      <c r="Q215">
        <v>17</v>
      </c>
      <c r="R215">
        <v>19</v>
      </c>
      <c r="S215">
        <v>19</v>
      </c>
      <c r="T215">
        <v>36</v>
      </c>
      <c r="U215" t="s">
        <v>48</v>
      </c>
      <c r="V215">
        <f t="shared" si="9"/>
        <v>5</v>
      </c>
      <c r="W215">
        <f t="shared" si="10"/>
        <v>0</v>
      </c>
      <c r="X215">
        <f t="shared" si="11"/>
        <v>0</v>
      </c>
      <c r="Y215">
        <v>34</v>
      </c>
      <c r="Z215">
        <v>64</v>
      </c>
      <c r="AA215" t="s">
        <v>1938</v>
      </c>
      <c r="AB215" t="s">
        <v>1940</v>
      </c>
      <c r="AC215" t="s">
        <v>49</v>
      </c>
      <c r="AD215">
        <v>999</v>
      </c>
      <c r="AE215">
        <v>35</v>
      </c>
      <c r="AF215" t="s">
        <v>50</v>
      </c>
      <c r="AH215" t="s">
        <v>450</v>
      </c>
      <c r="AI215">
        <v>173.06</v>
      </c>
      <c r="AJ215" t="s">
        <v>132</v>
      </c>
      <c r="AK215" t="s">
        <v>1360</v>
      </c>
      <c r="AL215" t="s">
        <v>1364</v>
      </c>
      <c r="AM215" t="s">
        <v>68</v>
      </c>
      <c r="AN215" s="1">
        <v>45640</v>
      </c>
      <c r="AO215">
        <v>2024</v>
      </c>
      <c r="AP215">
        <v>12</v>
      </c>
      <c r="AQ215" t="s">
        <v>116</v>
      </c>
      <c r="AS215" t="s">
        <v>85</v>
      </c>
      <c r="AT215">
        <v>2025</v>
      </c>
      <c r="AU215" t="s">
        <v>1169</v>
      </c>
      <c r="AV215" t="s">
        <v>68</v>
      </c>
      <c r="AW215" t="s">
        <v>1937</v>
      </c>
      <c r="AX215">
        <v>2025</v>
      </c>
      <c r="AY215" t="s">
        <v>1938</v>
      </c>
      <c r="AZ215" t="s">
        <v>1938</v>
      </c>
    </row>
    <row r="216" spans="1:52" x14ac:dyDescent="0.25">
      <c r="A216" t="s">
        <v>1941</v>
      </c>
      <c r="B216" s="1">
        <v>35879</v>
      </c>
      <c r="C216" t="s">
        <v>1942</v>
      </c>
      <c r="D216">
        <v>430917</v>
      </c>
      <c r="E216" t="s">
        <v>46</v>
      </c>
      <c r="F216" t="s">
        <v>1007</v>
      </c>
      <c r="G216" t="s">
        <v>1004</v>
      </c>
      <c r="H216" t="s">
        <v>1942</v>
      </c>
      <c r="I216">
        <v>59</v>
      </c>
      <c r="J216">
        <v>72</v>
      </c>
      <c r="K216">
        <v>-75</v>
      </c>
      <c r="L216">
        <v>77</v>
      </c>
      <c r="M216">
        <v>77</v>
      </c>
      <c r="N216">
        <v>149</v>
      </c>
      <c r="O216" t="s">
        <v>65</v>
      </c>
      <c r="P216">
        <v>95</v>
      </c>
      <c r="Q216">
        <v>-99</v>
      </c>
      <c r="R216">
        <v>-100</v>
      </c>
      <c r="S216">
        <v>95</v>
      </c>
      <c r="T216">
        <v>0</v>
      </c>
      <c r="U216" t="s">
        <v>55</v>
      </c>
      <c r="V216">
        <f t="shared" si="9"/>
        <v>3</v>
      </c>
      <c r="W216">
        <f t="shared" si="10"/>
        <v>0</v>
      </c>
      <c r="X216">
        <f t="shared" si="11"/>
        <v>0</v>
      </c>
      <c r="Y216">
        <v>172</v>
      </c>
      <c r="Z216">
        <v>149</v>
      </c>
      <c r="AA216" t="s">
        <v>1944</v>
      </c>
      <c r="AB216" t="s">
        <v>1643</v>
      </c>
      <c r="AC216" t="s">
        <v>94</v>
      </c>
      <c r="AD216">
        <v>4</v>
      </c>
      <c r="AE216">
        <v>59</v>
      </c>
      <c r="AF216" t="s">
        <v>126</v>
      </c>
      <c r="AH216" t="s">
        <v>202</v>
      </c>
      <c r="AI216">
        <v>235.34</v>
      </c>
      <c r="AJ216" t="s">
        <v>132</v>
      </c>
      <c r="AK216" t="s">
        <v>1007</v>
      </c>
      <c r="AL216" t="s">
        <v>1009</v>
      </c>
      <c r="AM216" t="s">
        <v>139</v>
      </c>
      <c r="AN216" s="1">
        <v>45641</v>
      </c>
      <c r="AO216">
        <v>2024</v>
      </c>
      <c r="AP216">
        <v>12</v>
      </c>
      <c r="AQ216" t="s">
        <v>116</v>
      </c>
      <c r="AS216" t="s">
        <v>85</v>
      </c>
      <c r="AT216">
        <v>2025</v>
      </c>
      <c r="AU216" t="s">
        <v>1004</v>
      </c>
      <c r="AV216" t="s">
        <v>140</v>
      </c>
      <c r="AW216" t="s">
        <v>1942</v>
      </c>
      <c r="AX216">
        <v>2025</v>
      </c>
      <c r="AY216" t="s">
        <v>1943</v>
      </c>
      <c r="AZ216" t="s">
        <v>1944</v>
      </c>
    </row>
    <row r="217" spans="1:52" x14ac:dyDescent="0.25">
      <c r="A217" t="s">
        <v>1945</v>
      </c>
      <c r="B217" s="1">
        <v>41752</v>
      </c>
      <c r="C217" t="s">
        <v>1946</v>
      </c>
      <c r="D217">
        <v>490666</v>
      </c>
      <c r="E217" t="s">
        <v>46</v>
      </c>
      <c r="F217" t="s">
        <v>837</v>
      </c>
      <c r="G217" t="s">
        <v>538</v>
      </c>
      <c r="H217" t="s">
        <v>1946</v>
      </c>
      <c r="I217" t="s">
        <v>164</v>
      </c>
      <c r="J217">
        <v>14</v>
      </c>
      <c r="K217">
        <v>16</v>
      </c>
      <c r="L217">
        <v>18</v>
      </c>
      <c r="M217">
        <v>18</v>
      </c>
      <c r="N217">
        <v>34</v>
      </c>
      <c r="O217" t="s">
        <v>48</v>
      </c>
      <c r="P217">
        <v>18</v>
      </c>
      <c r="Q217">
        <v>20</v>
      </c>
      <c r="R217">
        <v>22</v>
      </c>
      <c r="S217">
        <v>22</v>
      </c>
      <c r="T217">
        <v>42</v>
      </c>
      <c r="U217" t="s">
        <v>48</v>
      </c>
      <c r="V217">
        <f t="shared" si="9"/>
        <v>6</v>
      </c>
      <c r="W217">
        <f t="shared" si="10"/>
        <v>0</v>
      </c>
      <c r="X217">
        <f t="shared" si="11"/>
        <v>0</v>
      </c>
      <c r="Y217">
        <v>40</v>
      </c>
      <c r="Z217">
        <v>76</v>
      </c>
      <c r="AA217" t="s">
        <v>1947</v>
      </c>
      <c r="AB217" t="s">
        <v>1948</v>
      </c>
      <c r="AC217" t="s">
        <v>49</v>
      </c>
      <c r="AD217">
        <v>999</v>
      </c>
      <c r="AE217">
        <v>40</v>
      </c>
      <c r="AF217" t="s">
        <v>50</v>
      </c>
      <c r="AH217" t="s">
        <v>452</v>
      </c>
      <c r="AI217">
        <v>157.51</v>
      </c>
      <c r="AJ217" t="s">
        <v>132</v>
      </c>
      <c r="AK217" t="s">
        <v>837</v>
      </c>
      <c r="AL217" t="s">
        <v>840</v>
      </c>
      <c r="AM217" t="s">
        <v>173</v>
      </c>
      <c r="AN217" s="1">
        <v>45640</v>
      </c>
      <c r="AO217">
        <v>2024</v>
      </c>
      <c r="AP217">
        <v>12</v>
      </c>
      <c r="AQ217" t="s">
        <v>116</v>
      </c>
      <c r="AS217" t="s">
        <v>85</v>
      </c>
      <c r="AT217">
        <v>2025</v>
      </c>
      <c r="AU217" t="s">
        <v>538</v>
      </c>
      <c r="AV217" t="s">
        <v>173</v>
      </c>
      <c r="AW217" t="s">
        <v>1946</v>
      </c>
      <c r="AX217">
        <v>2025</v>
      </c>
      <c r="AY217" t="s">
        <v>1947</v>
      </c>
      <c r="AZ217" t="s">
        <v>1947</v>
      </c>
    </row>
    <row r="218" spans="1:52" x14ac:dyDescent="0.25">
      <c r="A218" t="s">
        <v>2026</v>
      </c>
      <c r="B218" s="1">
        <v>41626</v>
      </c>
      <c r="C218" t="s">
        <v>2027</v>
      </c>
      <c r="D218">
        <v>491505</v>
      </c>
      <c r="E218" t="s">
        <v>46</v>
      </c>
      <c r="F218" t="s">
        <v>2029</v>
      </c>
      <c r="G218" t="s">
        <v>386</v>
      </c>
      <c r="H218" t="s">
        <v>2027</v>
      </c>
      <c r="I218">
        <v>36</v>
      </c>
      <c r="J218">
        <v>-18</v>
      </c>
      <c r="K218">
        <v>18</v>
      </c>
      <c r="L218">
        <v>20</v>
      </c>
      <c r="M218">
        <v>20</v>
      </c>
      <c r="N218">
        <v>38</v>
      </c>
      <c r="O218" t="s">
        <v>63</v>
      </c>
      <c r="P218">
        <v>26</v>
      </c>
      <c r="Q218">
        <v>28</v>
      </c>
      <c r="R218">
        <v>30</v>
      </c>
      <c r="S218">
        <v>30</v>
      </c>
      <c r="T218">
        <v>58</v>
      </c>
      <c r="U218" t="s">
        <v>48</v>
      </c>
      <c r="V218">
        <f t="shared" si="9"/>
        <v>5</v>
      </c>
      <c r="W218">
        <f t="shared" si="10"/>
        <v>0</v>
      </c>
      <c r="X218">
        <f t="shared" si="11"/>
        <v>0</v>
      </c>
      <c r="Y218">
        <v>50</v>
      </c>
      <c r="Z218">
        <v>96</v>
      </c>
      <c r="AA218" t="s">
        <v>2030</v>
      </c>
      <c r="AB218" t="s">
        <v>2031</v>
      </c>
      <c r="AC218" t="s">
        <v>49</v>
      </c>
      <c r="AD218">
        <v>999</v>
      </c>
      <c r="AE218">
        <v>40</v>
      </c>
      <c r="AF218" t="s">
        <v>50</v>
      </c>
      <c r="AH218" t="s">
        <v>452</v>
      </c>
      <c r="AI218">
        <v>197.31</v>
      </c>
      <c r="AJ218" t="s">
        <v>132</v>
      </c>
      <c r="AK218" t="s">
        <v>2029</v>
      </c>
      <c r="AL218" t="s">
        <v>2032</v>
      </c>
      <c r="AM218" t="s">
        <v>170</v>
      </c>
      <c r="AN218" s="1">
        <v>45641</v>
      </c>
      <c r="AO218">
        <v>2024</v>
      </c>
      <c r="AP218">
        <v>12</v>
      </c>
      <c r="AQ218" t="s">
        <v>116</v>
      </c>
      <c r="AS218" t="s">
        <v>85</v>
      </c>
      <c r="AT218">
        <v>2025</v>
      </c>
      <c r="AU218" t="s">
        <v>386</v>
      </c>
      <c r="AV218" t="s">
        <v>170</v>
      </c>
      <c r="AW218" t="s">
        <v>2027</v>
      </c>
      <c r="AX218">
        <v>2025</v>
      </c>
      <c r="AY218" t="s">
        <v>2028</v>
      </c>
      <c r="AZ218" t="s">
        <v>2028</v>
      </c>
    </row>
    <row r="219" spans="1:52" x14ac:dyDescent="0.25">
      <c r="A219" t="s">
        <v>1949</v>
      </c>
      <c r="B219" s="1">
        <v>36940</v>
      </c>
      <c r="C219" t="s">
        <v>1950</v>
      </c>
      <c r="D219">
        <v>468643</v>
      </c>
      <c r="E219" t="s">
        <v>46</v>
      </c>
      <c r="F219" t="s">
        <v>263</v>
      </c>
      <c r="G219" t="s">
        <v>513</v>
      </c>
      <c r="H219" t="s">
        <v>1950</v>
      </c>
      <c r="I219">
        <v>58</v>
      </c>
      <c r="J219">
        <v>63</v>
      </c>
      <c r="K219">
        <v>67</v>
      </c>
      <c r="L219">
        <v>-70</v>
      </c>
      <c r="M219">
        <v>67</v>
      </c>
      <c r="N219">
        <v>130</v>
      </c>
      <c r="O219" t="s">
        <v>60</v>
      </c>
      <c r="P219">
        <v>80</v>
      </c>
      <c r="Q219">
        <v>83</v>
      </c>
      <c r="R219">
        <v>85</v>
      </c>
      <c r="S219">
        <v>85</v>
      </c>
      <c r="T219">
        <v>168</v>
      </c>
      <c r="U219" t="s">
        <v>48</v>
      </c>
      <c r="V219">
        <f t="shared" si="9"/>
        <v>5</v>
      </c>
      <c r="W219">
        <f t="shared" si="10"/>
        <v>0</v>
      </c>
      <c r="X219">
        <f t="shared" si="11"/>
        <v>0</v>
      </c>
      <c r="Y219">
        <v>152</v>
      </c>
      <c r="Z219">
        <v>298</v>
      </c>
      <c r="AA219" t="s">
        <v>1556</v>
      </c>
      <c r="AB219" t="s">
        <v>1557</v>
      </c>
      <c r="AC219" t="s">
        <v>89</v>
      </c>
      <c r="AD219">
        <v>5</v>
      </c>
      <c r="AE219">
        <v>59</v>
      </c>
      <c r="AF219" t="s">
        <v>126</v>
      </c>
      <c r="AH219" t="s">
        <v>202</v>
      </c>
      <c r="AI219">
        <v>210.34</v>
      </c>
      <c r="AJ219" t="s">
        <v>132</v>
      </c>
      <c r="AK219" t="s">
        <v>263</v>
      </c>
      <c r="AL219" t="s">
        <v>267</v>
      </c>
      <c r="AM219" t="s">
        <v>145</v>
      </c>
      <c r="AN219" s="1">
        <v>45640</v>
      </c>
      <c r="AO219">
        <v>2024</v>
      </c>
      <c r="AP219">
        <v>12</v>
      </c>
      <c r="AQ219" t="s">
        <v>116</v>
      </c>
      <c r="AS219" t="s">
        <v>85</v>
      </c>
      <c r="AT219">
        <v>2025</v>
      </c>
      <c r="AU219" t="s">
        <v>513</v>
      </c>
      <c r="AV219" t="s">
        <v>145</v>
      </c>
      <c r="AW219" t="s">
        <v>1950</v>
      </c>
      <c r="AX219">
        <v>2025</v>
      </c>
      <c r="AY219" t="s">
        <v>1556</v>
      </c>
      <c r="AZ219" t="s">
        <v>1556</v>
      </c>
    </row>
    <row r="220" spans="1:52" x14ac:dyDescent="0.25">
      <c r="A220" t="s">
        <v>1953</v>
      </c>
      <c r="B220" s="1">
        <v>37635</v>
      </c>
      <c r="C220" t="s">
        <v>1954</v>
      </c>
      <c r="D220">
        <v>489965</v>
      </c>
      <c r="E220" t="s">
        <v>46</v>
      </c>
      <c r="F220" t="s">
        <v>213</v>
      </c>
      <c r="G220" t="s">
        <v>417</v>
      </c>
      <c r="H220" t="s">
        <v>1954</v>
      </c>
      <c r="I220" t="s">
        <v>182</v>
      </c>
      <c r="J220">
        <v>56</v>
      </c>
      <c r="K220">
        <v>-59</v>
      </c>
      <c r="L220">
        <v>-60</v>
      </c>
      <c r="M220">
        <v>56</v>
      </c>
      <c r="N220">
        <v>0</v>
      </c>
      <c r="O220" t="s">
        <v>55</v>
      </c>
      <c r="P220">
        <v>67</v>
      </c>
      <c r="Q220">
        <v>70</v>
      </c>
      <c r="R220">
        <v>-74</v>
      </c>
      <c r="S220">
        <v>70</v>
      </c>
      <c r="T220">
        <v>137</v>
      </c>
      <c r="U220" t="s">
        <v>60</v>
      </c>
      <c r="V220">
        <f t="shared" si="9"/>
        <v>3</v>
      </c>
      <c r="W220">
        <f t="shared" si="10"/>
        <v>0</v>
      </c>
      <c r="X220">
        <f t="shared" si="11"/>
        <v>0</v>
      </c>
      <c r="Y220">
        <v>126</v>
      </c>
      <c r="Z220">
        <v>137</v>
      </c>
      <c r="AA220" t="s">
        <v>1955</v>
      </c>
      <c r="AB220" t="s">
        <v>1956</v>
      </c>
      <c r="AC220" t="s">
        <v>93</v>
      </c>
      <c r="AD220">
        <v>6</v>
      </c>
      <c r="AE220">
        <v>55</v>
      </c>
      <c r="AF220" t="s">
        <v>126</v>
      </c>
      <c r="AH220" t="s">
        <v>197</v>
      </c>
      <c r="AI220">
        <v>182.22</v>
      </c>
      <c r="AJ220" t="s">
        <v>132</v>
      </c>
      <c r="AK220" t="s">
        <v>213</v>
      </c>
      <c r="AL220" t="s">
        <v>217</v>
      </c>
      <c r="AM220" t="s">
        <v>72</v>
      </c>
      <c r="AN220" s="1">
        <v>45640</v>
      </c>
      <c r="AO220">
        <v>2024</v>
      </c>
      <c r="AP220">
        <v>12</v>
      </c>
      <c r="AQ220" t="s">
        <v>116</v>
      </c>
      <c r="AS220" t="s">
        <v>85</v>
      </c>
      <c r="AT220">
        <v>2025</v>
      </c>
      <c r="AU220" t="s">
        <v>417</v>
      </c>
      <c r="AV220" t="s">
        <v>72</v>
      </c>
      <c r="AW220" t="s">
        <v>1954</v>
      </c>
      <c r="AX220">
        <v>2025</v>
      </c>
      <c r="AY220" t="s">
        <v>1955</v>
      </c>
      <c r="AZ220" t="s">
        <v>1955</v>
      </c>
    </row>
    <row r="221" spans="1:52" x14ac:dyDescent="0.25">
      <c r="A221" t="s">
        <v>1957</v>
      </c>
      <c r="B221" s="1">
        <v>40025</v>
      </c>
      <c r="C221" t="s">
        <v>1958</v>
      </c>
      <c r="D221">
        <v>477302</v>
      </c>
      <c r="E221" t="s">
        <v>46</v>
      </c>
      <c r="F221" t="s">
        <v>1300</v>
      </c>
      <c r="G221" t="s">
        <v>386</v>
      </c>
      <c r="H221" t="s">
        <v>1958</v>
      </c>
      <c r="I221" t="s">
        <v>1028</v>
      </c>
      <c r="J221">
        <v>37</v>
      </c>
      <c r="K221">
        <v>40</v>
      </c>
      <c r="L221">
        <v>-42</v>
      </c>
      <c r="M221">
        <v>40</v>
      </c>
      <c r="N221">
        <v>77</v>
      </c>
      <c r="O221" t="s">
        <v>60</v>
      </c>
      <c r="P221">
        <v>48</v>
      </c>
      <c r="Q221">
        <v>51</v>
      </c>
      <c r="R221">
        <v>54</v>
      </c>
      <c r="S221">
        <v>54</v>
      </c>
      <c r="T221">
        <v>105</v>
      </c>
      <c r="U221" t="s">
        <v>48</v>
      </c>
      <c r="V221">
        <f t="shared" si="9"/>
        <v>5</v>
      </c>
      <c r="W221">
        <f t="shared" si="10"/>
        <v>0</v>
      </c>
      <c r="X221">
        <f t="shared" si="11"/>
        <v>0</v>
      </c>
      <c r="Y221">
        <v>94</v>
      </c>
      <c r="Z221">
        <v>182</v>
      </c>
      <c r="AA221" t="s">
        <v>1959</v>
      </c>
      <c r="AB221" t="s">
        <v>1960</v>
      </c>
      <c r="AC221" t="s">
        <v>93</v>
      </c>
      <c r="AD221">
        <v>6</v>
      </c>
      <c r="AE221">
        <v>55</v>
      </c>
      <c r="AF221" t="s">
        <v>95</v>
      </c>
      <c r="AH221" t="s">
        <v>175</v>
      </c>
      <c r="AI221">
        <v>138.99</v>
      </c>
      <c r="AJ221" t="s">
        <v>132</v>
      </c>
      <c r="AK221" t="s">
        <v>1300</v>
      </c>
      <c r="AL221" t="s">
        <v>1302</v>
      </c>
      <c r="AM221" t="s">
        <v>170</v>
      </c>
      <c r="AN221" s="1">
        <v>45640</v>
      </c>
      <c r="AO221">
        <v>2024</v>
      </c>
      <c r="AP221">
        <v>12</v>
      </c>
      <c r="AQ221" t="s">
        <v>116</v>
      </c>
      <c r="AS221" t="s">
        <v>85</v>
      </c>
      <c r="AT221">
        <v>2025</v>
      </c>
      <c r="AU221" t="s">
        <v>386</v>
      </c>
      <c r="AV221" t="s">
        <v>170</v>
      </c>
      <c r="AW221" t="s">
        <v>1958</v>
      </c>
      <c r="AX221">
        <v>2025</v>
      </c>
      <c r="AY221" t="s">
        <v>1959</v>
      </c>
      <c r="AZ221" t="s">
        <v>1959</v>
      </c>
    </row>
    <row r="222" spans="1:52" x14ac:dyDescent="0.25">
      <c r="A222" t="s">
        <v>4423</v>
      </c>
      <c r="B222" s="1">
        <v>35413</v>
      </c>
      <c r="C222" t="s">
        <v>4424</v>
      </c>
      <c r="D222">
        <v>462007</v>
      </c>
      <c r="E222" t="s">
        <v>46</v>
      </c>
      <c r="F222" t="s">
        <v>1173</v>
      </c>
      <c r="G222" t="s">
        <v>660</v>
      </c>
      <c r="H222" t="s">
        <v>4424</v>
      </c>
      <c r="I222" t="s">
        <v>817</v>
      </c>
      <c r="J222">
        <v>52</v>
      </c>
      <c r="K222">
        <v>-55</v>
      </c>
      <c r="L222">
        <v>-55</v>
      </c>
      <c r="M222">
        <v>52</v>
      </c>
      <c r="N222">
        <v>0</v>
      </c>
      <c r="O222" t="s">
        <v>55</v>
      </c>
      <c r="P222">
        <v>-65</v>
      </c>
      <c r="Q222">
        <v>-65</v>
      </c>
      <c r="R222">
        <v>65</v>
      </c>
      <c r="S222">
        <v>65</v>
      </c>
      <c r="T222">
        <v>0</v>
      </c>
      <c r="U222" t="s">
        <v>102</v>
      </c>
      <c r="V222">
        <f t="shared" si="9"/>
        <v>2</v>
      </c>
      <c r="W222">
        <f t="shared" si="10"/>
        <v>1</v>
      </c>
      <c r="X222">
        <f t="shared" si="11"/>
        <v>0</v>
      </c>
      <c r="Y222">
        <v>117</v>
      </c>
      <c r="Z222">
        <v>0</v>
      </c>
      <c r="AA222" t="s">
        <v>4426</v>
      </c>
      <c r="AB222" t="s">
        <v>99</v>
      </c>
      <c r="AC222" t="s">
        <v>94</v>
      </c>
      <c r="AD222">
        <v>4</v>
      </c>
      <c r="AE222">
        <v>45</v>
      </c>
      <c r="AF222" t="s">
        <v>126</v>
      </c>
      <c r="AH222" t="s">
        <v>509</v>
      </c>
      <c r="AI222">
        <v>202.35</v>
      </c>
      <c r="AJ222" t="s">
        <v>132</v>
      </c>
      <c r="AK222" t="s">
        <v>1173</v>
      </c>
      <c r="AL222" t="s">
        <v>1177</v>
      </c>
      <c r="AM222" t="s">
        <v>173</v>
      </c>
      <c r="AN222" s="1">
        <v>45641</v>
      </c>
      <c r="AO222">
        <v>2024</v>
      </c>
      <c r="AP222">
        <v>12</v>
      </c>
      <c r="AQ222" t="s">
        <v>116</v>
      </c>
      <c r="AS222" t="s">
        <v>85</v>
      </c>
      <c r="AT222">
        <v>2025</v>
      </c>
      <c r="AU222" t="s">
        <v>660</v>
      </c>
      <c r="AV222" t="s">
        <v>173</v>
      </c>
      <c r="AW222" t="s">
        <v>4424</v>
      </c>
      <c r="AX222">
        <v>2025</v>
      </c>
      <c r="AY222" t="s">
        <v>4425</v>
      </c>
      <c r="AZ222" t="s">
        <v>4426</v>
      </c>
    </row>
    <row r="223" spans="1:52" x14ac:dyDescent="0.25">
      <c r="A223" t="s">
        <v>1961</v>
      </c>
      <c r="B223" s="1">
        <v>28699</v>
      </c>
      <c r="C223" t="s">
        <v>1962</v>
      </c>
      <c r="D223">
        <v>274983</v>
      </c>
      <c r="E223" t="s">
        <v>46</v>
      </c>
      <c r="F223" t="s">
        <v>770</v>
      </c>
      <c r="G223" t="s">
        <v>556</v>
      </c>
      <c r="H223" t="s">
        <v>1962</v>
      </c>
      <c r="I223" t="s">
        <v>214</v>
      </c>
      <c r="J223">
        <v>50</v>
      </c>
      <c r="K223">
        <v>-52</v>
      </c>
      <c r="L223">
        <v>53</v>
      </c>
      <c r="M223">
        <v>53</v>
      </c>
      <c r="N223">
        <v>103</v>
      </c>
      <c r="O223" t="s">
        <v>65</v>
      </c>
      <c r="P223">
        <v>-64</v>
      </c>
      <c r="Q223">
        <v>67</v>
      </c>
      <c r="R223">
        <v>-70</v>
      </c>
      <c r="S223">
        <v>67</v>
      </c>
      <c r="T223">
        <v>0</v>
      </c>
      <c r="U223" t="s">
        <v>104</v>
      </c>
      <c r="V223">
        <f t="shared" si="9"/>
        <v>3</v>
      </c>
      <c r="W223">
        <f t="shared" si="10"/>
        <v>0</v>
      </c>
      <c r="X223">
        <f t="shared" si="11"/>
        <v>0</v>
      </c>
      <c r="Y223">
        <v>120</v>
      </c>
      <c r="Z223">
        <v>103</v>
      </c>
      <c r="AA223" t="s">
        <v>1964</v>
      </c>
      <c r="AB223" t="s">
        <v>903</v>
      </c>
      <c r="AC223" t="s">
        <v>93</v>
      </c>
      <c r="AD223">
        <v>6</v>
      </c>
      <c r="AE223">
        <v>55</v>
      </c>
      <c r="AF223" t="s">
        <v>126</v>
      </c>
      <c r="AG223">
        <v>45</v>
      </c>
      <c r="AH223" t="s">
        <v>197</v>
      </c>
      <c r="AI223">
        <v>175.63</v>
      </c>
      <c r="AJ223" t="s">
        <v>132</v>
      </c>
      <c r="AK223" t="s">
        <v>770</v>
      </c>
      <c r="AL223" t="s">
        <v>773</v>
      </c>
      <c r="AM223" t="s">
        <v>302</v>
      </c>
      <c r="AN223" s="1">
        <v>45640</v>
      </c>
      <c r="AO223">
        <v>2024</v>
      </c>
      <c r="AP223">
        <v>12</v>
      </c>
      <c r="AQ223" t="s">
        <v>116</v>
      </c>
      <c r="AS223" t="s">
        <v>85</v>
      </c>
      <c r="AT223">
        <v>2025</v>
      </c>
      <c r="AU223" t="s">
        <v>556</v>
      </c>
      <c r="AV223" t="s">
        <v>303</v>
      </c>
      <c r="AW223" t="s">
        <v>1962</v>
      </c>
      <c r="AX223">
        <v>2025</v>
      </c>
      <c r="AY223" t="s">
        <v>1963</v>
      </c>
      <c r="AZ223" t="s">
        <v>1964</v>
      </c>
    </row>
    <row r="224" spans="1:52" x14ac:dyDescent="0.25">
      <c r="A224" t="s">
        <v>4427</v>
      </c>
      <c r="B224" s="1">
        <v>36095</v>
      </c>
      <c r="C224" t="s">
        <v>4428</v>
      </c>
      <c r="D224">
        <v>492105</v>
      </c>
      <c r="E224" t="s">
        <v>46</v>
      </c>
      <c r="F224" t="s">
        <v>1350</v>
      </c>
      <c r="G224" t="s">
        <v>684</v>
      </c>
      <c r="H224" t="s">
        <v>4428</v>
      </c>
      <c r="I224" t="s">
        <v>608</v>
      </c>
      <c r="J224">
        <v>48</v>
      </c>
      <c r="K224">
        <v>51</v>
      </c>
      <c r="L224">
        <v>-53</v>
      </c>
      <c r="M224">
        <v>51</v>
      </c>
      <c r="N224">
        <v>99</v>
      </c>
      <c r="O224" t="s">
        <v>60</v>
      </c>
      <c r="P224">
        <v>62</v>
      </c>
      <c r="Q224">
        <v>64</v>
      </c>
      <c r="R224">
        <v>-66</v>
      </c>
      <c r="S224">
        <v>64</v>
      </c>
      <c r="T224">
        <v>126</v>
      </c>
      <c r="U224" t="s">
        <v>60</v>
      </c>
      <c r="V224">
        <f t="shared" si="9"/>
        <v>4</v>
      </c>
      <c r="W224">
        <f t="shared" si="10"/>
        <v>0</v>
      </c>
      <c r="X224">
        <f t="shared" si="11"/>
        <v>0</v>
      </c>
      <c r="Y224">
        <v>115</v>
      </c>
      <c r="Z224">
        <v>225</v>
      </c>
      <c r="AA224" t="s">
        <v>939</v>
      </c>
      <c r="AB224" t="s">
        <v>4429</v>
      </c>
      <c r="AC224" t="s">
        <v>89</v>
      </c>
      <c r="AD224">
        <v>5</v>
      </c>
      <c r="AE224">
        <v>49</v>
      </c>
      <c r="AF224" t="s">
        <v>126</v>
      </c>
      <c r="AH224" t="s">
        <v>195</v>
      </c>
      <c r="AI224">
        <v>180.09</v>
      </c>
      <c r="AJ224" t="s">
        <v>132</v>
      </c>
      <c r="AK224" t="s">
        <v>1350</v>
      </c>
      <c r="AL224" t="s">
        <v>1352</v>
      </c>
      <c r="AM224" t="s">
        <v>90</v>
      </c>
      <c r="AN224" s="1">
        <v>45640</v>
      </c>
      <c r="AO224">
        <v>2024</v>
      </c>
      <c r="AP224">
        <v>12</v>
      </c>
      <c r="AQ224" t="s">
        <v>116</v>
      </c>
      <c r="AS224" t="s">
        <v>85</v>
      </c>
      <c r="AT224">
        <v>2025</v>
      </c>
      <c r="AU224" t="s">
        <v>684</v>
      </c>
      <c r="AV224" t="s">
        <v>91</v>
      </c>
      <c r="AW224" t="s">
        <v>4428</v>
      </c>
      <c r="AX224">
        <v>2025</v>
      </c>
      <c r="AY224" t="s">
        <v>939</v>
      </c>
      <c r="AZ224" t="s">
        <v>939</v>
      </c>
    </row>
    <row r="225" spans="1:52" x14ac:dyDescent="0.25">
      <c r="A225" t="s">
        <v>1966</v>
      </c>
      <c r="B225" s="1">
        <v>34800</v>
      </c>
      <c r="C225" t="s">
        <v>1967</v>
      </c>
      <c r="D225">
        <v>489721</v>
      </c>
      <c r="E225" t="s">
        <v>46</v>
      </c>
      <c r="F225" t="s">
        <v>1400</v>
      </c>
      <c r="G225" t="s">
        <v>124</v>
      </c>
      <c r="H225" t="s">
        <v>1967</v>
      </c>
      <c r="I225" t="s">
        <v>322</v>
      </c>
      <c r="J225">
        <v>95</v>
      </c>
      <c r="K225">
        <v>-100</v>
      </c>
      <c r="L225">
        <v>-100</v>
      </c>
      <c r="M225">
        <v>95</v>
      </c>
      <c r="N225">
        <v>0</v>
      </c>
      <c r="O225" t="s">
        <v>55</v>
      </c>
      <c r="P225">
        <v>-120</v>
      </c>
      <c r="Q225">
        <v>-120</v>
      </c>
      <c r="R225">
        <v>-120</v>
      </c>
      <c r="S225">
        <v>0</v>
      </c>
      <c r="T225">
        <v>0</v>
      </c>
      <c r="U225" t="s">
        <v>108</v>
      </c>
      <c r="V225">
        <f t="shared" si="9"/>
        <v>1</v>
      </c>
      <c r="W225">
        <f t="shared" si="10"/>
        <v>0</v>
      </c>
      <c r="X225">
        <f t="shared" si="11"/>
        <v>0</v>
      </c>
      <c r="Y225">
        <v>95</v>
      </c>
      <c r="Z225">
        <v>0</v>
      </c>
      <c r="AA225" t="s">
        <v>1969</v>
      </c>
      <c r="AB225" t="s">
        <v>99</v>
      </c>
      <c r="AC225" t="s">
        <v>49</v>
      </c>
      <c r="AD225">
        <v>999</v>
      </c>
      <c r="AE225">
        <v>81</v>
      </c>
      <c r="AF225" t="s">
        <v>126</v>
      </c>
      <c r="AH225" t="s">
        <v>138</v>
      </c>
      <c r="AI225">
        <v>0</v>
      </c>
      <c r="AJ225" t="s">
        <v>52</v>
      </c>
      <c r="AK225" t="s">
        <v>1400</v>
      </c>
      <c r="AL225" t="s">
        <v>1402</v>
      </c>
      <c r="AM225" t="s">
        <v>128</v>
      </c>
      <c r="AN225" s="1">
        <v>45640</v>
      </c>
      <c r="AO225">
        <v>2024</v>
      </c>
      <c r="AP225">
        <v>12</v>
      </c>
      <c r="AQ225" t="s">
        <v>116</v>
      </c>
      <c r="AS225" t="s">
        <v>85</v>
      </c>
      <c r="AT225">
        <v>2025</v>
      </c>
      <c r="AU225" t="s">
        <v>124</v>
      </c>
      <c r="AV225" t="s">
        <v>128</v>
      </c>
      <c r="AW225" t="s">
        <v>1967</v>
      </c>
      <c r="AX225">
        <v>2025</v>
      </c>
      <c r="AY225" t="s">
        <v>1968</v>
      </c>
      <c r="AZ225" t="s">
        <v>1970</v>
      </c>
    </row>
    <row r="226" spans="1:52" x14ac:dyDescent="0.25">
      <c r="A226" t="s">
        <v>1971</v>
      </c>
      <c r="B226" s="1">
        <v>37924</v>
      </c>
      <c r="C226" t="s">
        <v>1972</v>
      </c>
      <c r="D226">
        <v>501487</v>
      </c>
      <c r="E226" t="s">
        <v>46</v>
      </c>
      <c r="F226" t="s">
        <v>801</v>
      </c>
      <c r="G226" t="s">
        <v>589</v>
      </c>
      <c r="H226" t="s">
        <v>1972</v>
      </c>
      <c r="I226" t="s">
        <v>1973</v>
      </c>
      <c r="J226">
        <v>55</v>
      </c>
      <c r="K226">
        <v>59</v>
      </c>
      <c r="L226">
        <v>-62</v>
      </c>
      <c r="M226">
        <v>59</v>
      </c>
      <c r="N226">
        <v>114</v>
      </c>
      <c r="O226" t="s">
        <v>60</v>
      </c>
      <c r="P226">
        <v>75</v>
      </c>
      <c r="Q226">
        <v>-78</v>
      </c>
      <c r="R226">
        <v>81</v>
      </c>
      <c r="S226">
        <v>81</v>
      </c>
      <c r="T226">
        <v>156</v>
      </c>
      <c r="U226" t="s">
        <v>65</v>
      </c>
      <c r="V226">
        <f t="shared" si="9"/>
        <v>4</v>
      </c>
      <c r="W226">
        <f t="shared" si="10"/>
        <v>0</v>
      </c>
      <c r="X226">
        <f t="shared" si="11"/>
        <v>0</v>
      </c>
      <c r="Y226">
        <v>140</v>
      </c>
      <c r="Z226">
        <v>270</v>
      </c>
      <c r="AA226" t="s">
        <v>1974</v>
      </c>
      <c r="AB226" t="s">
        <v>1975</v>
      </c>
      <c r="AC226" t="s">
        <v>89</v>
      </c>
      <c r="AD226">
        <v>5</v>
      </c>
      <c r="AE226">
        <v>59</v>
      </c>
      <c r="AF226" t="s">
        <v>126</v>
      </c>
      <c r="AH226" t="s">
        <v>202</v>
      </c>
      <c r="AI226">
        <v>192.83</v>
      </c>
      <c r="AJ226" t="s">
        <v>132</v>
      </c>
      <c r="AK226" t="s">
        <v>801</v>
      </c>
      <c r="AL226" t="s">
        <v>804</v>
      </c>
      <c r="AM226" t="s">
        <v>68</v>
      </c>
      <c r="AN226" s="1">
        <v>45640</v>
      </c>
      <c r="AO226">
        <v>2024</v>
      </c>
      <c r="AP226">
        <v>12</v>
      </c>
      <c r="AQ226" t="s">
        <v>116</v>
      </c>
      <c r="AS226" t="s">
        <v>85</v>
      </c>
      <c r="AT226">
        <v>2025</v>
      </c>
      <c r="AU226" t="s">
        <v>589</v>
      </c>
      <c r="AV226" t="s">
        <v>68</v>
      </c>
      <c r="AW226" t="s">
        <v>1972</v>
      </c>
      <c r="AX226">
        <v>2025</v>
      </c>
      <c r="AY226" t="s">
        <v>1974</v>
      </c>
      <c r="AZ226" t="s">
        <v>1974</v>
      </c>
    </row>
    <row r="227" spans="1:52" x14ac:dyDescent="0.25">
      <c r="A227" t="s">
        <v>1977</v>
      </c>
      <c r="B227" s="1">
        <v>38716</v>
      </c>
      <c r="C227" t="s">
        <v>1978</v>
      </c>
      <c r="D227">
        <v>495201</v>
      </c>
      <c r="E227" t="s">
        <v>46</v>
      </c>
      <c r="F227" t="s">
        <v>518</v>
      </c>
      <c r="G227" t="s">
        <v>901</v>
      </c>
      <c r="H227" t="s">
        <v>1978</v>
      </c>
      <c r="I227" t="s">
        <v>186</v>
      </c>
      <c r="J227">
        <v>64</v>
      </c>
      <c r="K227">
        <v>-67</v>
      </c>
      <c r="L227">
        <v>70</v>
      </c>
      <c r="M227">
        <v>70</v>
      </c>
      <c r="N227">
        <v>134</v>
      </c>
      <c r="O227" t="s">
        <v>65</v>
      </c>
      <c r="P227">
        <v>78</v>
      </c>
      <c r="Q227">
        <v>-84</v>
      </c>
      <c r="R227">
        <v>-85</v>
      </c>
      <c r="S227">
        <v>78</v>
      </c>
      <c r="T227">
        <v>0</v>
      </c>
      <c r="U227" t="s">
        <v>55</v>
      </c>
      <c r="V227">
        <f t="shared" si="9"/>
        <v>3</v>
      </c>
      <c r="W227">
        <f t="shared" si="10"/>
        <v>0</v>
      </c>
      <c r="X227">
        <f t="shared" si="11"/>
        <v>0</v>
      </c>
      <c r="Y227">
        <v>148</v>
      </c>
      <c r="Z227">
        <v>134</v>
      </c>
      <c r="AA227" t="s">
        <v>1980</v>
      </c>
      <c r="AB227" t="s">
        <v>1981</v>
      </c>
      <c r="AC227" t="s">
        <v>94</v>
      </c>
      <c r="AD227">
        <v>4</v>
      </c>
      <c r="AE227">
        <v>71</v>
      </c>
      <c r="AF227" t="s">
        <v>113</v>
      </c>
      <c r="AH227" t="s">
        <v>305</v>
      </c>
      <c r="AI227">
        <v>188.32</v>
      </c>
      <c r="AJ227" t="s">
        <v>132</v>
      </c>
      <c r="AK227" t="s">
        <v>518</v>
      </c>
      <c r="AL227" t="s">
        <v>522</v>
      </c>
      <c r="AM227" t="s">
        <v>177</v>
      </c>
      <c r="AN227" s="1">
        <v>45640</v>
      </c>
      <c r="AO227">
        <v>2024</v>
      </c>
      <c r="AP227">
        <v>12</v>
      </c>
      <c r="AQ227" t="s">
        <v>116</v>
      </c>
      <c r="AS227" t="s">
        <v>85</v>
      </c>
      <c r="AT227">
        <v>2025</v>
      </c>
      <c r="AU227" t="s">
        <v>901</v>
      </c>
      <c r="AV227" t="s">
        <v>177</v>
      </c>
      <c r="AW227" t="s">
        <v>1978</v>
      </c>
      <c r="AX227">
        <v>2025</v>
      </c>
      <c r="AY227" t="s">
        <v>1979</v>
      </c>
      <c r="AZ227" t="s">
        <v>1979</v>
      </c>
    </row>
    <row r="228" spans="1:52" x14ac:dyDescent="0.25">
      <c r="A228" t="s">
        <v>1984</v>
      </c>
      <c r="B228" s="1">
        <v>37139</v>
      </c>
      <c r="C228" t="s">
        <v>1985</v>
      </c>
      <c r="D228">
        <v>491217</v>
      </c>
      <c r="E228" t="s">
        <v>46</v>
      </c>
      <c r="F228" t="s">
        <v>338</v>
      </c>
      <c r="G228" t="s">
        <v>606</v>
      </c>
      <c r="H228" t="s">
        <v>1985</v>
      </c>
      <c r="I228" t="s">
        <v>345</v>
      </c>
      <c r="J228">
        <v>-64</v>
      </c>
      <c r="K228">
        <v>64</v>
      </c>
      <c r="L228">
        <v>-67</v>
      </c>
      <c r="M228">
        <v>64</v>
      </c>
      <c r="N228">
        <v>0</v>
      </c>
      <c r="O228" t="s">
        <v>104</v>
      </c>
      <c r="P228">
        <v>80</v>
      </c>
      <c r="Q228">
        <v>-88</v>
      </c>
      <c r="R228">
        <v>-88</v>
      </c>
      <c r="S228">
        <v>80</v>
      </c>
      <c r="T228">
        <v>0</v>
      </c>
      <c r="U228" t="s">
        <v>55</v>
      </c>
      <c r="V228">
        <f t="shared" si="9"/>
        <v>2</v>
      </c>
      <c r="W228">
        <f t="shared" si="10"/>
        <v>0</v>
      </c>
      <c r="X228">
        <f t="shared" si="11"/>
        <v>0</v>
      </c>
      <c r="Y228">
        <v>144</v>
      </c>
      <c r="Z228">
        <v>0</v>
      </c>
      <c r="AA228" t="s">
        <v>1986</v>
      </c>
      <c r="AB228" t="s">
        <v>99</v>
      </c>
      <c r="AC228" t="s">
        <v>93</v>
      </c>
      <c r="AD228">
        <v>6</v>
      </c>
      <c r="AE228">
        <v>71</v>
      </c>
      <c r="AF228" t="s">
        <v>126</v>
      </c>
      <c r="AH228" t="s">
        <v>226</v>
      </c>
      <c r="AI228">
        <v>180.49</v>
      </c>
      <c r="AJ228" t="s">
        <v>132</v>
      </c>
      <c r="AK228" t="s">
        <v>338</v>
      </c>
      <c r="AL228" t="s">
        <v>340</v>
      </c>
      <c r="AM228" t="s">
        <v>128</v>
      </c>
      <c r="AN228" s="1">
        <v>45640</v>
      </c>
      <c r="AO228">
        <v>2024</v>
      </c>
      <c r="AP228">
        <v>12</v>
      </c>
      <c r="AQ228" t="s">
        <v>116</v>
      </c>
      <c r="AS228" t="s">
        <v>85</v>
      </c>
      <c r="AT228">
        <v>2025</v>
      </c>
      <c r="AU228" t="s">
        <v>606</v>
      </c>
      <c r="AV228" t="s">
        <v>128</v>
      </c>
      <c r="AW228" t="s">
        <v>1985</v>
      </c>
      <c r="AX228">
        <v>2025</v>
      </c>
      <c r="AY228" t="s">
        <v>1987</v>
      </c>
      <c r="AZ228" t="s">
        <v>1987</v>
      </c>
    </row>
    <row r="229" spans="1:52" x14ac:dyDescent="0.25">
      <c r="A229" t="s">
        <v>1990</v>
      </c>
      <c r="B229" s="1">
        <v>36711</v>
      </c>
      <c r="C229" t="s">
        <v>1991</v>
      </c>
      <c r="D229">
        <v>403855</v>
      </c>
      <c r="E229" t="s">
        <v>46</v>
      </c>
      <c r="F229" t="s">
        <v>801</v>
      </c>
      <c r="G229" t="s">
        <v>88</v>
      </c>
      <c r="H229" t="s">
        <v>1991</v>
      </c>
      <c r="I229">
        <v>55</v>
      </c>
      <c r="J229">
        <v>62</v>
      </c>
      <c r="K229">
        <v>65</v>
      </c>
      <c r="L229">
        <v>67</v>
      </c>
      <c r="M229">
        <v>67</v>
      </c>
      <c r="N229">
        <v>132</v>
      </c>
      <c r="O229" t="s">
        <v>48</v>
      </c>
      <c r="P229">
        <v>78</v>
      </c>
      <c r="Q229">
        <v>81</v>
      </c>
      <c r="R229">
        <v>-83</v>
      </c>
      <c r="S229">
        <v>81</v>
      </c>
      <c r="T229">
        <v>159</v>
      </c>
      <c r="U229" t="s">
        <v>60</v>
      </c>
      <c r="V229">
        <f t="shared" si="9"/>
        <v>5</v>
      </c>
      <c r="W229">
        <f t="shared" si="10"/>
        <v>0</v>
      </c>
      <c r="X229">
        <f t="shared" si="11"/>
        <v>0</v>
      </c>
      <c r="Y229">
        <v>148</v>
      </c>
      <c r="Z229">
        <v>291</v>
      </c>
      <c r="AA229" t="s">
        <v>1591</v>
      </c>
      <c r="AB229" t="s">
        <v>1992</v>
      </c>
      <c r="AC229" t="s">
        <v>94</v>
      </c>
      <c r="AD229">
        <v>4</v>
      </c>
      <c r="AE229">
        <v>55</v>
      </c>
      <c r="AF229" t="s">
        <v>126</v>
      </c>
      <c r="AH229" t="s">
        <v>197</v>
      </c>
      <c r="AI229">
        <v>212.39</v>
      </c>
      <c r="AJ229" t="s">
        <v>132</v>
      </c>
      <c r="AK229" t="s">
        <v>801</v>
      </c>
      <c r="AL229" t="s">
        <v>804</v>
      </c>
      <c r="AM229" t="s">
        <v>68</v>
      </c>
      <c r="AN229" s="1">
        <v>45640</v>
      </c>
      <c r="AO229">
        <v>2024</v>
      </c>
      <c r="AP229">
        <v>12</v>
      </c>
      <c r="AQ229" t="s">
        <v>116</v>
      </c>
      <c r="AS229" t="s">
        <v>85</v>
      </c>
      <c r="AT229">
        <v>2025</v>
      </c>
      <c r="AU229" t="s">
        <v>88</v>
      </c>
      <c r="AV229" t="s">
        <v>91</v>
      </c>
      <c r="AW229" t="s">
        <v>1991</v>
      </c>
      <c r="AX229">
        <v>2025</v>
      </c>
      <c r="AY229" t="s">
        <v>1591</v>
      </c>
      <c r="AZ229" t="s">
        <v>1591</v>
      </c>
    </row>
    <row r="230" spans="1:52" x14ac:dyDescent="0.25">
      <c r="A230" t="s">
        <v>1994</v>
      </c>
      <c r="B230" s="1">
        <v>41435</v>
      </c>
      <c r="C230" t="s">
        <v>1995</v>
      </c>
      <c r="D230">
        <v>489772</v>
      </c>
      <c r="E230" t="s">
        <v>46</v>
      </c>
      <c r="F230" t="s">
        <v>1997</v>
      </c>
      <c r="G230" t="s">
        <v>490</v>
      </c>
      <c r="H230" t="s">
        <v>1995</v>
      </c>
      <c r="I230" t="s">
        <v>174</v>
      </c>
      <c r="J230">
        <v>22</v>
      </c>
      <c r="K230">
        <v>24</v>
      </c>
      <c r="L230">
        <v>26</v>
      </c>
      <c r="M230">
        <v>26</v>
      </c>
      <c r="N230">
        <v>50</v>
      </c>
      <c r="O230" t="s">
        <v>48</v>
      </c>
      <c r="P230">
        <v>32</v>
      </c>
      <c r="Q230">
        <v>34</v>
      </c>
      <c r="R230">
        <v>36</v>
      </c>
      <c r="S230">
        <v>36</v>
      </c>
      <c r="T230">
        <v>70</v>
      </c>
      <c r="U230" t="s">
        <v>48</v>
      </c>
      <c r="V230">
        <f t="shared" si="9"/>
        <v>6</v>
      </c>
      <c r="W230">
        <f t="shared" si="10"/>
        <v>0</v>
      </c>
      <c r="X230">
        <f t="shared" si="11"/>
        <v>0</v>
      </c>
      <c r="Y230">
        <v>62</v>
      </c>
      <c r="Z230">
        <v>120</v>
      </c>
      <c r="AA230" t="s">
        <v>1998</v>
      </c>
      <c r="AB230" t="s">
        <v>1999</v>
      </c>
      <c r="AC230" t="s">
        <v>49</v>
      </c>
      <c r="AD230">
        <v>999</v>
      </c>
      <c r="AE230">
        <v>55</v>
      </c>
      <c r="AF230" t="s">
        <v>50</v>
      </c>
      <c r="AH230" t="s">
        <v>209</v>
      </c>
      <c r="AI230">
        <v>176.11</v>
      </c>
      <c r="AJ230" t="s">
        <v>132</v>
      </c>
      <c r="AK230" t="s">
        <v>1997</v>
      </c>
      <c r="AL230" t="s">
        <v>2000</v>
      </c>
      <c r="AM230" t="s">
        <v>90</v>
      </c>
      <c r="AN230" s="1">
        <v>45640</v>
      </c>
      <c r="AO230">
        <v>2024</v>
      </c>
      <c r="AP230">
        <v>12</v>
      </c>
      <c r="AQ230" t="s">
        <v>116</v>
      </c>
      <c r="AS230" t="s">
        <v>85</v>
      </c>
      <c r="AT230">
        <v>2025</v>
      </c>
      <c r="AU230" t="s">
        <v>490</v>
      </c>
      <c r="AV230" t="s">
        <v>91</v>
      </c>
      <c r="AW230" t="s">
        <v>1995</v>
      </c>
      <c r="AX230">
        <v>2025</v>
      </c>
      <c r="AY230" t="s">
        <v>1996</v>
      </c>
      <c r="AZ230" t="s">
        <v>1996</v>
      </c>
    </row>
    <row r="231" spans="1:52" x14ac:dyDescent="0.25">
      <c r="A231" t="s">
        <v>2004</v>
      </c>
      <c r="B231" s="1">
        <v>39036</v>
      </c>
      <c r="C231" t="s">
        <v>2005</v>
      </c>
      <c r="D231">
        <v>402002</v>
      </c>
      <c r="E231" t="s">
        <v>46</v>
      </c>
      <c r="F231" t="s">
        <v>518</v>
      </c>
      <c r="G231" t="s">
        <v>639</v>
      </c>
      <c r="H231" t="s">
        <v>2005</v>
      </c>
      <c r="I231" t="s">
        <v>884</v>
      </c>
      <c r="J231">
        <v>56</v>
      </c>
      <c r="K231">
        <v>59</v>
      </c>
      <c r="L231">
        <v>-61</v>
      </c>
      <c r="M231">
        <v>59</v>
      </c>
      <c r="N231">
        <v>115</v>
      </c>
      <c r="O231" t="s">
        <v>60</v>
      </c>
      <c r="P231">
        <v>68</v>
      </c>
      <c r="Q231">
        <v>72</v>
      </c>
      <c r="R231">
        <v>75</v>
      </c>
      <c r="S231">
        <v>75</v>
      </c>
      <c r="T231">
        <v>147</v>
      </c>
      <c r="U231" t="s">
        <v>48</v>
      </c>
      <c r="V231">
        <f t="shared" si="9"/>
        <v>5</v>
      </c>
      <c r="W231">
        <f t="shared" si="10"/>
        <v>0</v>
      </c>
      <c r="X231">
        <f t="shared" si="11"/>
        <v>0</v>
      </c>
      <c r="Y231">
        <v>134</v>
      </c>
      <c r="Z231">
        <v>262</v>
      </c>
      <c r="AA231" t="s">
        <v>2008</v>
      </c>
      <c r="AB231" t="s">
        <v>2009</v>
      </c>
      <c r="AC231" t="s">
        <v>89</v>
      </c>
      <c r="AD231">
        <v>5</v>
      </c>
      <c r="AE231">
        <v>71</v>
      </c>
      <c r="AF231" t="s">
        <v>113</v>
      </c>
      <c r="AH231" t="s">
        <v>305</v>
      </c>
      <c r="AI231">
        <v>168.44</v>
      </c>
      <c r="AJ231" t="s">
        <v>132</v>
      </c>
      <c r="AK231" t="s">
        <v>518</v>
      </c>
      <c r="AL231" t="s">
        <v>522</v>
      </c>
      <c r="AM231" t="s">
        <v>177</v>
      </c>
      <c r="AN231" s="1">
        <v>45640</v>
      </c>
      <c r="AO231">
        <v>2024</v>
      </c>
      <c r="AP231">
        <v>12</v>
      </c>
      <c r="AQ231" t="s">
        <v>116</v>
      </c>
      <c r="AS231" t="s">
        <v>85</v>
      </c>
      <c r="AT231">
        <v>2025</v>
      </c>
      <c r="AU231" t="s">
        <v>639</v>
      </c>
      <c r="AV231" t="s">
        <v>177</v>
      </c>
      <c r="AW231" t="s">
        <v>2005</v>
      </c>
      <c r="AX231">
        <v>2025</v>
      </c>
      <c r="AY231" t="s">
        <v>2006</v>
      </c>
      <c r="AZ231" t="s">
        <v>2010</v>
      </c>
    </row>
    <row r="232" spans="1:52" x14ac:dyDescent="0.25">
      <c r="A232" t="s">
        <v>2001</v>
      </c>
      <c r="B232" s="1">
        <v>34593</v>
      </c>
      <c r="C232" t="s">
        <v>2002</v>
      </c>
      <c r="D232">
        <v>484065</v>
      </c>
      <c r="E232" t="s">
        <v>46</v>
      </c>
      <c r="F232" t="s">
        <v>441</v>
      </c>
      <c r="G232" t="s">
        <v>548</v>
      </c>
      <c r="H232" t="s">
        <v>2002</v>
      </c>
      <c r="I232" t="s">
        <v>358</v>
      </c>
      <c r="J232">
        <v>-63</v>
      </c>
      <c r="K232">
        <v>-63</v>
      </c>
      <c r="L232">
        <v>-63</v>
      </c>
      <c r="M232">
        <v>0</v>
      </c>
      <c r="N232">
        <v>0</v>
      </c>
      <c r="O232" t="s">
        <v>108</v>
      </c>
      <c r="P232">
        <v>0</v>
      </c>
      <c r="Q232">
        <v>0</v>
      </c>
      <c r="R232">
        <v>0</v>
      </c>
      <c r="S232">
        <v>0</v>
      </c>
      <c r="T232">
        <v>0</v>
      </c>
      <c r="U232" t="s">
        <v>108</v>
      </c>
      <c r="V232">
        <f t="shared" si="9"/>
        <v>0</v>
      </c>
      <c r="W232">
        <f t="shared" si="10"/>
        <v>0</v>
      </c>
      <c r="X232">
        <f t="shared" si="11"/>
        <v>0</v>
      </c>
      <c r="Y232">
        <v>0</v>
      </c>
      <c r="Z232">
        <v>0</v>
      </c>
      <c r="AA232" t="s">
        <v>99</v>
      </c>
      <c r="AB232" t="s">
        <v>99</v>
      </c>
      <c r="AC232" t="s">
        <v>49</v>
      </c>
      <c r="AD232">
        <v>999</v>
      </c>
      <c r="AE232">
        <v>59</v>
      </c>
      <c r="AF232" t="s">
        <v>126</v>
      </c>
      <c r="AH232" t="s">
        <v>202</v>
      </c>
      <c r="AI232">
        <v>0</v>
      </c>
      <c r="AJ232" t="s">
        <v>132</v>
      </c>
      <c r="AK232" t="s">
        <v>441</v>
      </c>
      <c r="AL232" t="s">
        <v>445</v>
      </c>
      <c r="AM232" t="s">
        <v>72</v>
      </c>
      <c r="AN232" s="1">
        <v>45640</v>
      </c>
      <c r="AO232">
        <v>2024</v>
      </c>
      <c r="AP232">
        <v>12</v>
      </c>
      <c r="AQ232" t="s">
        <v>116</v>
      </c>
      <c r="AS232" t="s">
        <v>85</v>
      </c>
      <c r="AT232">
        <v>2025</v>
      </c>
      <c r="AU232" t="s">
        <v>548</v>
      </c>
      <c r="AV232" t="s">
        <v>72</v>
      </c>
      <c r="AW232" t="s">
        <v>2002</v>
      </c>
      <c r="AX232">
        <v>2025</v>
      </c>
      <c r="AY232" t="s">
        <v>471</v>
      </c>
      <c r="AZ232" t="s">
        <v>99</v>
      </c>
    </row>
    <row r="233" spans="1:52" x14ac:dyDescent="0.25">
      <c r="A233" t="s">
        <v>2011</v>
      </c>
      <c r="B233" s="1">
        <v>34081</v>
      </c>
      <c r="C233" t="s">
        <v>2012</v>
      </c>
      <c r="D233">
        <v>498201</v>
      </c>
      <c r="E233" t="s">
        <v>46</v>
      </c>
      <c r="F233" t="s">
        <v>1173</v>
      </c>
      <c r="G233" t="s">
        <v>416</v>
      </c>
      <c r="H233" t="s">
        <v>2012</v>
      </c>
      <c r="I233" t="s">
        <v>1474</v>
      </c>
      <c r="J233">
        <v>59</v>
      </c>
      <c r="K233">
        <v>-62</v>
      </c>
      <c r="L233">
        <v>62</v>
      </c>
      <c r="M233">
        <v>62</v>
      </c>
      <c r="N233">
        <v>121</v>
      </c>
      <c r="O233" t="s">
        <v>65</v>
      </c>
      <c r="P233">
        <v>-70</v>
      </c>
      <c r="Q233">
        <v>73</v>
      </c>
      <c r="R233">
        <v>76</v>
      </c>
      <c r="S233">
        <v>76</v>
      </c>
      <c r="T233">
        <v>149</v>
      </c>
      <c r="U233" t="s">
        <v>63</v>
      </c>
      <c r="V233">
        <f t="shared" si="9"/>
        <v>4</v>
      </c>
      <c r="W233">
        <f t="shared" si="10"/>
        <v>0</v>
      </c>
      <c r="X233">
        <f t="shared" si="11"/>
        <v>0</v>
      </c>
      <c r="Y233">
        <v>138</v>
      </c>
      <c r="Z233">
        <v>270</v>
      </c>
      <c r="AA233" t="s">
        <v>2013</v>
      </c>
      <c r="AB233" t="s">
        <v>2014</v>
      </c>
      <c r="AC233" t="s">
        <v>89</v>
      </c>
      <c r="AD233">
        <v>5</v>
      </c>
      <c r="AE233">
        <v>55</v>
      </c>
      <c r="AF233" t="s">
        <v>126</v>
      </c>
      <c r="AH233" t="s">
        <v>197</v>
      </c>
      <c r="AI233">
        <v>200.76</v>
      </c>
      <c r="AJ233" t="s">
        <v>132</v>
      </c>
      <c r="AK233" t="s">
        <v>1173</v>
      </c>
      <c r="AL233" t="s">
        <v>1177</v>
      </c>
      <c r="AM233" t="s">
        <v>173</v>
      </c>
      <c r="AN233" s="1">
        <v>45641</v>
      </c>
      <c r="AO233">
        <v>2024</v>
      </c>
      <c r="AP233">
        <v>12</v>
      </c>
      <c r="AQ233" t="s">
        <v>116</v>
      </c>
      <c r="AS233" t="s">
        <v>85</v>
      </c>
      <c r="AT233">
        <v>2025</v>
      </c>
      <c r="AU233" t="s">
        <v>416</v>
      </c>
      <c r="AV233" t="s">
        <v>173</v>
      </c>
      <c r="AW233" t="s">
        <v>2012</v>
      </c>
      <c r="AX233">
        <v>2025</v>
      </c>
      <c r="AY233" t="s">
        <v>2013</v>
      </c>
      <c r="AZ233" t="s">
        <v>2013</v>
      </c>
    </row>
    <row r="234" spans="1:52" x14ac:dyDescent="0.25">
      <c r="A234" t="s">
        <v>2016</v>
      </c>
      <c r="B234" s="1">
        <v>35862</v>
      </c>
      <c r="C234" t="s">
        <v>2017</v>
      </c>
      <c r="D234">
        <v>490037</v>
      </c>
      <c r="E234" t="s">
        <v>46</v>
      </c>
      <c r="F234" t="s">
        <v>893</v>
      </c>
      <c r="G234" t="s">
        <v>386</v>
      </c>
      <c r="H234" t="s">
        <v>2017</v>
      </c>
      <c r="I234" t="s">
        <v>229</v>
      </c>
      <c r="J234">
        <v>61</v>
      </c>
      <c r="K234">
        <v>65</v>
      </c>
      <c r="L234">
        <v>70</v>
      </c>
      <c r="M234">
        <v>70</v>
      </c>
      <c r="N234">
        <v>135</v>
      </c>
      <c r="O234" t="s">
        <v>48</v>
      </c>
      <c r="P234">
        <v>74</v>
      </c>
      <c r="Q234">
        <v>78</v>
      </c>
      <c r="R234">
        <v>82</v>
      </c>
      <c r="S234">
        <v>82</v>
      </c>
      <c r="T234">
        <v>160</v>
      </c>
      <c r="U234" t="s">
        <v>48</v>
      </c>
      <c r="V234">
        <f t="shared" si="9"/>
        <v>6</v>
      </c>
      <c r="W234">
        <f t="shared" si="10"/>
        <v>0</v>
      </c>
      <c r="X234">
        <f t="shared" si="11"/>
        <v>0</v>
      </c>
      <c r="Y234">
        <v>152</v>
      </c>
      <c r="Z234">
        <v>295</v>
      </c>
      <c r="AA234" t="s">
        <v>2018</v>
      </c>
      <c r="AB234" t="s">
        <v>2019</v>
      </c>
      <c r="AC234" t="s">
        <v>89</v>
      </c>
      <c r="AD234">
        <v>5</v>
      </c>
      <c r="AE234">
        <v>71</v>
      </c>
      <c r="AF234" t="s">
        <v>126</v>
      </c>
      <c r="AH234" t="s">
        <v>226</v>
      </c>
      <c r="AI234">
        <v>186.54</v>
      </c>
      <c r="AJ234" t="s">
        <v>132</v>
      </c>
      <c r="AK234" t="s">
        <v>893</v>
      </c>
      <c r="AL234" t="s">
        <v>897</v>
      </c>
      <c r="AM234" t="s">
        <v>170</v>
      </c>
      <c r="AN234" s="1">
        <v>45640</v>
      </c>
      <c r="AO234">
        <v>2024</v>
      </c>
      <c r="AP234">
        <v>12</v>
      </c>
      <c r="AQ234" t="s">
        <v>116</v>
      </c>
      <c r="AS234" t="s">
        <v>85</v>
      </c>
      <c r="AT234">
        <v>2025</v>
      </c>
      <c r="AU234" t="s">
        <v>386</v>
      </c>
      <c r="AV234" t="s">
        <v>170</v>
      </c>
      <c r="AW234" t="s">
        <v>2017</v>
      </c>
      <c r="AX234">
        <v>2025</v>
      </c>
      <c r="AY234" t="s">
        <v>2018</v>
      </c>
      <c r="AZ234" t="s">
        <v>2018</v>
      </c>
    </row>
    <row r="235" spans="1:52" x14ac:dyDescent="0.25">
      <c r="A235" t="s">
        <v>2020</v>
      </c>
      <c r="B235" s="1">
        <v>38734</v>
      </c>
      <c r="C235" t="s">
        <v>2021</v>
      </c>
      <c r="D235">
        <v>475601</v>
      </c>
      <c r="E235" t="s">
        <v>46</v>
      </c>
      <c r="F235" t="s">
        <v>263</v>
      </c>
      <c r="G235" t="s">
        <v>147</v>
      </c>
      <c r="H235" t="s">
        <v>2021</v>
      </c>
      <c r="I235" t="s">
        <v>83</v>
      </c>
      <c r="J235">
        <v>-45</v>
      </c>
      <c r="K235">
        <v>45</v>
      </c>
      <c r="L235">
        <v>48</v>
      </c>
      <c r="M235">
        <v>48</v>
      </c>
      <c r="N235">
        <v>93</v>
      </c>
      <c r="O235" t="s">
        <v>63</v>
      </c>
      <c r="P235">
        <v>-55</v>
      </c>
      <c r="Q235">
        <v>-56</v>
      </c>
      <c r="R235">
        <v>-60</v>
      </c>
      <c r="S235">
        <v>0</v>
      </c>
      <c r="T235">
        <v>0</v>
      </c>
      <c r="U235" t="s">
        <v>108</v>
      </c>
      <c r="V235">
        <f t="shared" si="9"/>
        <v>2</v>
      </c>
      <c r="W235">
        <f t="shared" si="10"/>
        <v>0</v>
      </c>
      <c r="X235">
        <f t="shared" si="11"/>
        <v>0</v>
      </c>
      <c r="Y235">
        <v>48</v>
      </c>
      <c r="Z235">
        <v>93</v>
      </c>
      <c r="AA235" t="s">
        <v>2023</v>
      </c>
      <c r="AB235" t="s">
        <v>2024</v>
      </c>
      <c r="AC235" t="s">
        <v>49</v>
      </c>
      <c r="AD235">
        <v>999</v>
      </c>
      <c r="AE235">
        <v>55</v>
      </c>
      <c r="AF235" t="s">
        <v>113</v>
      </c>
      <c r="AH235" t="s">
        <v>465</v>
      </c>
      <c r="AI235">
        <v>0</v>
      </c>
      <c r="AJ235" t="s">
        <v>132</v>
      </c>
      <c r="AK235" t="s">
        <v>263</v>
      </c>
      <c r="AL235" t="s">
        <v>267</v>
      </c>
      <c r="AM235" t="s">
        <v>145</v>
      </c>
      <c r="AN235" s="1">
        <v>45640</v>
      </c>
      <c r="AO235">
        <v>2024</v>
      </c>
      <c r="AP235">
        <v>12</v>
      </c>
      <c r="AQ235" t="s">
        <v>116</v>
      </c>
      <c r="AS235" t="s">
        <v>85</v>
      </c>
      <c r="AT235">
        <v>2025</v>
      </c>
      <c r="AU235" t="s">
        <v>147</v>
      </c>
      <c r="AV235" t="s">
        <v>145</v>
      </c>
      <c r="AW235" t="s">
        <v>2021</v>
      </c>
      <c r="AX235">
        <v>2025</v>
      </c>
      <c r="AY235" t="s">
        <v>2022</v>
      </c>
      <c r="AZ235" t="s">
        <v>2022</v>
      </c>
    </row>
    <row r="236" spans="1:52" x14ac:dyDescent="0.25">
      <c r="A236" t="s">
        <v>2033</v>
      </c>
      <c r="B236" s="1">
        <v>40299</v>
      </c>
      <c r="C236" t="s">
        <v>2034</v>
      </c>
      <c r="D236">
        <v>453274</v>
      </c>
      <c r="E236" t="s">
        <v>46</v>
      </c>
      <c r="F236" t="s">
        <v>529</v>
      </c>
      <c r="G236" t="s">
        <v>255</v>
      </c>
      <c r="H236" t="s">
        <v>2034</v>
      </c>
      <c r="I236" t="s">
        <v>484</v>
      </c>
      <c r="J236">
        <v>40</v>
      </c>
      <c r="K236">
        <v>-42</v>
      </c>
      <c r="L236">
        <v>42</v>
      </c>
      <c r="M236">
        <v>42</v>
      </c>
      <c r="N236">
        <v>82</v>
      </c>
      <c r="O236" t="s">
        <v>65</v>
      </c>
      <c r="P236">
        <v>50</v>
      </c>
      <c r="Q236">
        <v>53</v>
      </c>
      <c r="R236">
        <v>-55</v>
      </c>
      <c r="S236">
        <v>53</v>
      </c>
      <c r="T236">
        <v>103</v>
      </c>
      <c r="U236" t="s">
        <v>60</v>
      </c>
      <c r="V236">
        <f t="shared" si="9"/>
        <v>4</v>
      </c>
      <c r="W236">
        <f t="shared" si="10"/>
        <v>0</v>
      </c>
      <c r="X236">
        <f t="shared" si="11"/>
        <v>0</v>
      </c>
      <c r="Y236">
        <v>95</v>
      </c>
      <c r="Z236">
        <v>185</v>
      </c>
      <c r="AA236" t="s">
        <v>2035</v>
      </c>
      <c r="AB236" t="s">
        <v>2036</v>
      </c>
      <c r="AC236" t="s">
        <v>89</v>
      </c>
      <c r="AD236">
        <v>5</v>
      </c>
      <c r="AE236">
        <v>64</v>
      </c>
      <c r="AF236" t="s">
        <v>57</v>
      </c>
      <c r="AH236" t="s">
        <v>486</v>
      </c>
      <c r="AI236">
        <v>123.99</v>
      </c>
      <c r="AJ236" t="s">
        <v>132</v>
      </c>
      <c r="AK236" t="s">
        <v>529</v>
      </c>
      <c r="AL236" t="s">
        <v>531</v>
      </c>
      <c r="AM236" t="s">
        <v>68</v>
      </c>
      <c r="AN236" s="1">
        <v>45640</v>
      </c>
      <c r="AO236">
        <v>2024</v>
      </c>
      <c r="AP236">
        <v>12</v>
      </c>
      <c r="AQ236" t="s">
        <v>116</v>
      </c>
      <c r="AS236" t="s">
        <v>85</v>
      </c>
      <c r="AT236">
        <v>2025</v>
      </c>
      <c r="AU236" t="s">
        <v>255</v>
      </c>
      <c r="AV236" t="s">
        <v>68</v>
      </c>
      <c r="AW236" t="s">
        <v>2034</v>
      </c>
      <c r="AX236">
        <v>2025</v>
      </c>
      <c r="AY236" t="s">
        <v>2035</v>
      </c>
      <c r="AZ236" t="s">
        <v>2035</v>
      </c>
    </row>
    <row r="237" spans="1:52" x14ac:dyDescent="0.25">
      <c r="A237" t="s">
        <v>2037</v>
      </c>
      <c r="B237" s="1">
        <v>40932</v>
      </c>
      <c r="C237" t="s">
        <v>2038</v>
      </c>
      <c r="D237">
        <v>461780</v>
      </c>
      <c r="E237" t="s">
        <v>46</v>
      </c>
      <c r="F237" t="s">
        <v>2029</v>
      </c>
      <c r="G237" t="s">
        <v>386</v>
      </c>
      <c r="H237" t="s">
        <v>2038</v>
      </c>
      <c r="I237" t="s">
        <v>755</v>
      </c>
      <c r="J237">
        <v>45</v>
      </c>
      <c r="K237">
        <v>47</v>
      </c>
      <c r="L237">
        <v>49</v>
      </c>
      <c r="M237">
        <v>49</v>
      </c>
      <c r="N237">
        <v>96</v>
      </c>
      <c r="O237" t="s">
        <v>48</v>
      </c>
      <c r="P237">
        <v>56</v>
      </c>
      <c r="Q237">
        <v>58</v>
      </c>
      <c r="R237">
        <v>60</v>
      </c>
      <c r="S237">
        <v>60</v>
      </c>
      <c r="T237">
        <v>118</v>
      </c>
      <c r="U237" t="s">
        <v>48</v>
      </c>
      <c r="V237">
        <f t="shared" si="9"/>
        <v>6</v>
      </c>
      <c r="W237">
        <f t="shared" si="10"/>
        <v>0</v>
      </c>
      <c r="X237">
        <f t="shared" si="11"/>
        <v>0</v>
      </c>
      <c r="Y237">
        <v>109</v>
      </c>
      <c r="Z237">
        <v>214</v>
      </c>
      <c r="AA237" t="s">
        <v>2039</v>
      </c>
      <c r="AB237" t="s">
        <v>2040</v>
      </c>
      <c r="AC237" t="s">
        <v>49</v>
      </c>
      <c r="AD237">
        <v>999</v>
      </c>
      <c r="AE237">
        <v>55</v>
      </c>
      <c r="AF237" t="s">
        <v>50</v>
      </c>
      <c r="AH237" t="s">
        <v>209</v>
      </c>
      <c r="AI237">
        <v>332.48</v>
      </c>
      <c r="AJ237" t="s">
        <v>132</v>
      </c>
      <c r="AK237" t="s">
        <v>2029</v>
      </c>
      <c r="AL237" t="s">
        <v>2032</v>
      </c>
      <c r="AM237" t="s">
        <v>170</v>
      </c>
      <c r="AN237" s="1">
        <v>45641</v>
      </c>
      <c r="AO237">
        <v>2024</v>
      </c>
      <c r="AP237">
        <v>12</v>
      </c>
      <c r="AQ237" t="s">
        <v>116</v>
      </c>
      <c r="AS237" t="s">
        <v>85</v>
      </c>
      <c r="AT237">
        <v>2025</v>
      </c>
      <c r="AU237" t="s">
        <v>386</v>
      </c>
      <c r="AV237" t="s">
        <v>170</v>
      </c>
      <c r="AW237" t="s">
        <v>2038</v>
      </c>
      <c r="AX237">
        <v>2025</v>
      </c>
      <c r="AY237" t="s">
        <v>2039</v>
      </c>
      <c r="AZ237" t="s">
        <v>2039</v>
      </c>
    </row>
    <row r="238" spans="1:52" x14ac:dyDescent="0.25">
      <c r="A238" t="s">
        <v>2041</v>
      </c>
      <c r="B238" s="1">
        <v>39090</v>
      </c>
      <c r="C238" t="s">
        <v>2042</v>
      </c>
      <c r="D238">
        <v>481075</v>
      </c>
      <c r="E238" t="s">
        <v>46</v>
      </c>
      <c r="F238" t="s">
        <v>1163</v>
      </c>
      <c r="G238" t="s">
        <v>713</v>
      </c>
      <c r="H238" t="s">
        <v>2042</v>
      </c>
      <c r="I238" t="s">
        <v>643</v>
      </c>
      <c r="J238">
        <v>74</v>
      </c>
      <c r="K238">
        <v>-78</v>
      </c>
      <c r="L238">
        <v>80</v>
      </c>
      <c r="M238">
        <v>80</v>
      </c>
      <c r="N238">
        <v>154</v>
      </c>
      <c r="O238" t="s">
        <v>65</v>
      </c>
      <c r="P238">
        <v>90</v>
      </c>
      <c r="Q238">
        <v>96</v>
      </c>
      <c r="R238">
        <v>-100</v>
      </c>
      <c r="S238">
        <v>96</v>
      </c>
      <c r="T238">
        <v>186</v>
      </c>
      <c r="U238" t="s">
        <v>60</v>
      </c>
      <c r="V238">
        <f t="shared" si="9"/>
        <v>4</v>
      </c>
      <c r="W238">
        <f t="shared" si="10"/>
        <v>0</v>
      </c>
      <c r="X238">
        <f t="shared" si="11"/>
        <v>0</v>
      </c>
      <c r="Y238">
        <v>176</v>
      </c>
      <c r="Z238">
        <v>340</v>
      </c>
      <c r="AA238" t="s">
        <v>2043</v>
      </c>
      <c r="AB238" t="s">
        <v>2044</v>
      </c>
      <c r="AC238" t="s">
        <v>98</v>
      </c>
      <c r="AD238">
        <v>3</v>
      </c>
      <c r="AE238">
        <v>76</v>
      </c>
      <c r="AF238" t="s">
        <v>113</v>
      </c>
      <c r="AH238" t="s">
        <v>916</v>
      </c>
      <c r="AI238">
        <v>213.8</v>
      </c>
      <c r="AJ238" t="s">
        <v>132</v>
      </c>
      <c r="AK238" t="s">
        <v>1163</v>
      </c>
      <c r="AL238" t="s">
        <v>1165</v>
      </c>
      <c r="AM238" t="s">
        <v>139</v>
      </c>
      <c r="AN238" s="1">
        <v>45640</v>
      </c>
      <c r="AO238">
        <v>2024</v>
      </c>
      <c r="AP238">
        <v>12</v>
      </c>
      <c r="AQ238" t="s">
        <v>116</v>
      </c>
      <c r="AS238" t="s">
        <v>85</v>
      </c>
      <c r="AT238">
        <v>2025</v>
      </c>
      <c r="AU238" t="s">
        <v>713</v>
      </c>
      <c r="AV238" t="s">
        <v>140</v>
      </c>
      <c r="AW238" t="s">
        <v>2042</v>
      </c>
      <c r="AX238">
        <v>2025</v>
      </c>
      <c r="AY238" t="s">
        <v>2043</v>
      </c>
      <c r="AZ238" t="s">
        <v>2043</v>
      </c>
    </row>
    <row r="239" spans="1:52" x14ac:dyDescent="0.25">
      <c r="A239" t="s">
        <v>2046</v>
      </c>
      <c r="B239" s="1">
        <v>31868</v>
      </c>
      <c r="C239" t="s">
        <v>2047</v>
      </c>
      <c r="D239">
        <v>16592</v>
      </c>
      <c r="E239" t="s">
        <v>46</v>
      </c>
      <c r="F239" t="s">
        <v>729</v>
      </c>
      <c r="G239" t="s">
        <v>883</v>
      </c>
      <c r="H239" t="s">
        <v>2047</v>
      </c>
      <c r="I239" t="s">
        <v>2049</v>
      </c>
      <c r="J239">
        <v>103</v>
      </c>
      <c r="K239">
        <v>107</v>
      </c>
      <c r="L239">
        <v>111</v>
      </c>
      <c r="M239">
        <v>111</v>
      </c>
      <c r="N239">
        <v>218</v>
      </c>
      <c r="O239" t="s">
        <v>48</v>
      </c>
      <c r="P239">
        <v>125</v>
      </c>
      <c r="Q239">
        <v>130</v>
      </c>
      <c r="R239">
        <v>135</v>
      </c>
      <c r="S239">
        <v>135</v>
      </c>
      <c r="T239">
        <v>265</v>
      </c>
      <c r="U239" t="s">
        <v>48</v>
      </c>
      <c r="V239">
        <f t="shared" si="9"/>
        <v>6</v>
      </c>
      <c r="W239">
        <f t="shared" si="10"/>
        <v>0</v>
      </c>
      <c r="X239">
        <f t="shared" si="11"/>
        <v>0</v>
      </c>
      <c r="Y239">
        <v>246</v>
      </c>
      <c r="Z239">
        <v>483</v>
      </c>
      <c r="AA239" t="s">
        <v>2048</v>
      </c>
      <c r="AB239" t="s">
        <v>2050</v>
      </c>
      <c r="AC239" t="s">
        <v>93</v>
      </c>
      <c r="AD239">
        <v>6</v>
      </c>
      <c r="AE239">
        <v>89</v>
      </c>
      <c r="AF239" t="s">
        <v>126</v>
      </c>
      <c r="AG239">
        <v>35</v>
      </c>
      <c r="AH239" t="s">
        <v>155</v>
      </c>
      <c r="AI239">
        <v>298.81</v>
      </c>
      <c r="AJ239" t="s">
        <v>52</v>
      </c>
      <c r="AK239" t="s">
        <v>729</v>
      </c>
      <c r="AL239" t="s">
        <v>732</v>
      </c>
      <c r="AM239" t="s">
        <v>68</v>
      </c>
      <c r="AN239" s="1">
        <v>45640</v>
      </c>
      <c r="AO239">
        <v>2024</v>
      </c>
      <c r="AP239">
        <v>12</v>
      </c>
      <c r="AQ239" t="s">
        <v>116</v>
      </c>
      <c r="AS239" t="s">
        <v>85</v>
      </c>
      <c r="AT239">
        <v>2025</v>
      </c>
      <c r="AU239" t="s">
        <v>883</v>
      </c>
      <c r="AV239" t="s">
        <v>68</v>
      </c>
      <c r="AW239" t="s">
        <v>2047</v>
      </c>
      <c r="AX239">
        <v>2025</v>
      </c>
      <c r="AY239" t="s">
        <v>2048</v>
      </c>
      <c r="AZ239" t="s">
        <v>2048</v>
      </c>
    </row>
    <row r="240" spans="1:52" x14ac:dyDescent="0.25">
      <c r="A240" t="s">
        <v>2052</v>
      </c>
      <c r="B240" s="1">
        <v>34049</v>
      </c>
      <c r="C240" t="s">
        <v>2053</v>
      </c>
      <c r="D240">
        <v>432506</v>
      </c>
      <c r="E240" t="s">
        <v>46</v>
      </c>
      <c r="F240" t="s">
        <v>990</v>
      </c>
      <c r="G240" t="s">
        <v>697</v>
      </c>
      <c r="H240" t="s">
        <v>2053</v>
      </c>
      <c r="I240" t="s">
        <v>483</v>
      </c>
      <c r="J240">
        <v>75</v>
      </c>
      <c r="K240">
        <v>-80</v>
      </c>
      <c r="L240">
        <v>-80</v>
      </c>
      <c r="M240">
        <v>75</v>
      </c>
      <c r="N240">
        <v>0</v>
      </c>
      <c r="O240" t="s">
        <v>55</v>
      </c>
      <c r="P240">
        <v>90</v>
      </c>
      <c r="Q240">
        <v>-100</v>
      </c>
      <c r="R240">
        <v>-100</v>
      </c>
      <c r="S240">
        <v>90</v>
      </c>
      <c r="T240">
        <v>0</v>
      </c>
      <c r="U240" t="s">
        <v>55</v>
      </c>
      <c r="V240">
        <f t="shared" si="9"/>
        <v>2</v>
      </c>
      <c r="W240">
        <f t="shared" si="10"/>
        <v>0</v>
      </c>
      <c r="X240">
        <f t="shared" si="11"/>
        <v>0</v>
      </c>
      <c r="Y240">
        <v>165</v>
      </c>
      <c r="Z240">
        <v>0</v>
      </c>
      <c r="AA240" t="s">
        <v>2056</v>
      </c>
      <c r="AB240" t="s">
        <v>99</v>
      </c>
      <c r="AC240" t="s">
        <v>94</v>
      </c>
      <c r="AD240">
        <v>4</v>
      </c>
      <c r="AE240">
        <v>64</v>
      </c>
      <c r="AF240" t="s">
        <v>126</v>
      </c>
      <c r="AH240" t="s">
        <v>167</v>
      </c>
      <c r="AI240">
        <v>216.18</v>
      </c>
      <c r="AJ240" t="s">
        <v>132</v>
      </c>
      <c r="AK240" t="s">
        <v>990</v>
      </c>
      <c r="AL240" t="s">
        <v>993</v>
      </c>
      <c r="AM240" t="s">
        <v>145</v>
      </c>
      <c r="AN240" s="1">
        <v>45640</v>
      </c>
      <c r="AO240">
        <v>2024</v>
      </c>
      <c r="AP240">
        <v>12</v>
      </c>
      <c r="AQ240" t="s">
        <v>116</v>
      </c>
      <c r="AS240" t="s">
        <v>85</v>
      </c>
      <c r="AT240">
        <v>2025</v>
      </c>
      <c r="AU240" t="s">
        <v>697</v>
      </c>
      <c r="AV240" t="s">
        <v>145</v>
      </c>
      <c r="AW240" t="s">
        <v>2053</v>
      </c>
      <c r="AX240">
        <v>2025</v>
      </c>
      <c r="AY240" t="s">
        <v>2054</v>
      </c>
      <c r="AZ240" t="s">
        <v>2057</v>
      </c>
    </row>
    <row r="241" spans="1:52" x14ac:dyDescent="0.25">
      <c r="A241" t="s">
        <v>2058</v>
      </c>
      <c r="B241" s="1">
        <v>37484</v>
      </c>
      <c r="C241" t="s">
        <v>2059</v>
      </c>
      <c r="D241">
        <v>470192</v>
      </c>
      <c r="E241" t="s">
        <v>46</v>
      </c>
      <c r="F241" t="s">
        <v>109</v>
      </c>
      <c r="G241" t="s">
        <v>88</v>
      </c>
      <c r="H241" t="s">
        <v>2059</v>
      </c>
      <c r="I241" t="s">
        <v>2061</v>
      </c>
      <c r="J241">
        <v>72</v>
      </c>
      <c r="K241">
        <v>75</v>
      </c>
      <c r="L241">
        <v>-78</v>
      </c>
      <c r="M241">
        <v>75</v>
      </c>
      <c r="N241">
        <v>147</v>
      </c>
      <c r="O241" t="s">
        <v>60</v>
      </c>
      <c r="P241">
        <v>90</v>
      </c>
      <c r="Q241">
        <v>-93</v>
      </c>
      <c r="R241">
        <v>-94</v>
      </c>
      <c r="S241">
        <v>90</v>
      </c>
      <c r="T241">
        <v>0</v>
      </c>
      <c r="U241" t="s">
        <v>55</v>
      </c>
      <c r="V241">
        <f t="shared" si="9"/>
        <v>3</v>
      </c>
      <c r="W241">
        <f t="shared" si="10"/>
        <v>0</v>
      </c>
      <c r="X241">
        <f t="shared" si="11"/>
        <v>0</v>
      </c>
      <c r="Y241">
        <v>165</v>
      </c>
      <c r="Z241">
        <v>147</v>
      </c>
      <c r="AA241" t="s">
        <v>2060</v>
      </c>
      <c r="AB241" t="s">
        <v>2062</v>
      </c>
      <c r="AC241" t="s">
        <v>94</v>
      </c>
      <c r="AD241">
        <v>4</v>
      </c>
      <c r="AE241">
        <v>64</v>
      </c>
      <c r="AF241" t="s">
        <v>126</v>
      </c>
      <c r="AH241" t="s">
        <v>167</v>
      </c>
      <c r="AI241">
        <v>216.99</v>
      </c>
      <c r="AJ241" t="s">
        <v>132</v>
      </c>
      <c r="AK241" t="s">
        <v>109</v>
      </c>
      <c r="AL241" t="s">
        <v>115</v>
      </c>
      <c r="AM241" t="s">
        <v>90</v>
      </c>
      <c r="AN241" s="1">
        <v>45639</v>
      </c>
      <c r="AO241">
        <v>2024</v>
      </c>
      <c r="AP241">
        <v>12</v>
      </c>
      <c r="AQ241" t="s">
        <v>116</v>
      </c>
      <c r="AS241" t="s">
        <v>85</v>
      </c>
      <c r="AT241">
        <v>2025</v>
      </c>
      <c r="AU241" t="s">
        <v>88</v>
      </c>
      <c r="AV241" t="s">
        <v>91</v>
      </c>
      <c r="AW241" t="s">
        <v>2059</v>
      </c>
      <c r="AX241">
        <v>2025</v>
      </c>
      <c r="AY241" t="s">
        <v>2060</v>
      </c>
      <c r="AZ241" t="s">
        <v>2060</v>
      </c>
    </row>
    <row r="242" spans="1:52" x14ac:dyDescent="0.25">
      <c r="A242" t="s">
        <v>2063</v>
      </c>
      <c r="B242" s="1">
        <v>33441</v>
      </c>
      <c r="C242" t="s">
        <v>2064</v>
      </c>
      <c r="D242">
        <v>448523</v>
      </c>
      <c r="E242" t="s">
        <v>46</v>
      </c>
      <c r="F242" t="s">
        <v>1350</v>
      </c>
      <c r="G242" t="s">
        <v>165</v>
      </c>
      <c r="H242" t="s">
        <v>2064</v>
      </c>
      <c r="I242" t="s">
        <v>595</v>
      </c>
      <c r="J242">
        <v>52</v>
      </c>
      <c r="K242">
        <v>54</v>
      </c>
      <c r="L242">
        <v>-56</v>
      </c>
      <c r="M242">
        <v>54</v>
      </c>
      <c r="N242">
        <v>106</v>
      </c>
      <c r="O242" t="s">
        <v>60</v>
      </c>
      <c r="P242">
        <v>63</v>
      </c>
      <c r="Q242">
        <v>66</v>
      </c>
      <c r="R242">
        <v>-68</v>
      </c>
      <c r="S242">
        <v>66</v>
      </c>
      <c r="T242">
        <v>129</v>
      </c>
      <c r="U242" t="s">
        <v>60</v>
      </c>
      <c r="V242">
        <f t="shared" si="9"/>
        <v>4</v>
      </c>
      <c r="W242">
        <f t="shared" si="10"/>
        <v>0</v>
      </c>
      <c r="X242">
        <f t="shared" si="11"/>
        <v>0</v>
      </c>
      <c r="Y242">
        <v>120</v>
      </c>
      <c r="Z242">
        <v>235</v>
      </c>
      <c r="AA242" t="s">
        <v>2066</v>
      </c>
      <c r="AB242" t="s">
        <v>2067</v>
      </c>
      <c r="AC242" t="s">
        <v>94</v>
      </c>
      <c r="AD242">
        <v>4</v>
      </c>
      <c r="AE242">
        <v>45</v>
      </c>
      <c r="AF242" t="s">
        <v>126</v>
      </c>
      <c r="AH242" t="s">
        <v>509</v>
      </c>
      <c r="AI242">
        <v>202.17</v>
      </c>
      <c r="AJ242" t="s">
        <v>132</v>
      </c>
      <c r="AK242" t="s">
        <v>1350</v>
      </c>
      <c r="AL242" t="s">
        <v>1352</v>
      </c>
      <c r="AM242" t="s">
        <v>90</v>
      </c>
      <c r="AN242" s="1">
        <v>45640</v>
      </c>
      <c r="AO242">
        <v>2024</v>
      </c>
      <c r="AP242">
        <v>12</v>
      </c>
      <c r="AQ242" t="s">
        <v>116</v>
      </c>
      <c r="AS242" t="s">
        <v>85</v>
      </c>
      <c r="AT242">
        <v>2025</v>
      </c>
      <c r="AU242" t="s">
        <v>165</v>
      </c>
      <c r="AV242" t="s">
        <v>91</v>
      </c>
      <c r="AW242" t="s">
        <v>2064</v>
      </c>
      <c r="AX242">
        <v>2025</v>
      </c>
      <c r="AY242" t="s">
        <v>2065</v>
      </c>
      <c r="AZ242" t="s">
        <v>1889</v>
      </c>
    </row>
    <row r="243" spans="1:52" x14ac:dyDescent="0.25">
      <c r="A243" t="s">
        <v>2081</v>
      </c>
      <c r="B243" s="1">
        <v>36656</v>
      </c>
      <c r="C243" t="s">
        <v>2082</v>
      </c>
      <c r="D243">
        <v>478371</v>
      </c>
      <c r="E243" t="s">
        <v>46</v>
      </c>
      <c r="F243" t="s">
        <v>617</v>
      </c>
      <c r="G243" t="s">
        <v>1202</v>
      </c>
      <c r="H243" t="s">
        <v>2082</v>
      </c>
      <c r="I243" t="s">
        <v>159</v>
      </c>
      <c r="J243">
        <v>64</v>
      </c>
      <c r="K243">
        <v>67</v>
      </c>
      <c r="L243">
        <v>-70</v>
      </c>
      <c r="M243">
        <v>67</v>
      </c>
      <c r="N243">
        <v>131</v>
      </c>
      <c r="O243" t="s">
        <v>60</v>
      </c>
      <c r="P243">
        <v>84</v>
      </c>
      <c r="Q243">
        <v>-87</v>
      </c>
      <c r="R243">
        <v>-90</v>
      </c>
      <c r="S243">
        <v>84</v>
      </c>
      <c r="T243">
        <v>0</v>
      </c>
      <c r="U243" t="s">
        <v>55</v>
      </c>
      <c r="V243">
        <f t="shared" si="9"/>
        <v>3</v>
      </c>
      <c r="W243">
        <f t="shared" si="10"/>
        <v>0</v>
      </c>
      <c r="X243">
        <f t="shared" si="11"/>
        <v>0</v>
      </c>
      <c r="Y243">
        <v>151</v>
      </c>
      <c r="Z243">
        <v>131</v>
      </c>
      <c r="AA243" t="s">
        <v>2084</v>
      </c>
      <c r="AB243" t="s">
        <v>2085</v>
      </c>
      <c r="AC243" t="s">
        <v>93</v>
      </c>
      <c r="AD243">
        <v>6</v>
      </c>
      <c r="AE243">
        <v>87</v>
      </c>
      <c r="AF243" t="s">
        <v>126</v>
      </c>
      <c r="AH243" t="s">
        <v>310</v>
      </c>
      <c r="AI243">
        <v>172.21</v>
      </c>
      <c r="AJ243" t="s">
        <v>132</v>
      </c>
      <c r="AK243" t="s">
        <v>617</v>
      </c>
      <c r="AL243" t="s">
        <v>620</v>
      </c>
      <c r="AM243" t="s">
        <v>90</v>
      </c>
      <c r="AN243" s="1">
        <v>45640</v>
      </c>
      <c r="AO243">
        <v>2024</v>
      </c>
      <c r="AP243">
        <v>12</v>
      </c>
      <c r="AQ243" t="s">
        <v>116</v>
      </c>
      <c r="AS243" t="s">
        <v>85</v>
      </c>
      <c r="AT243">
        <v>2025</v>
      </c>
      <c r="AU243" t="s">
        <v>1202</v>
      </c>
      <c r="AV243" t="s">
        <v>91</v>
      </c>
      <c r="AW243" t="s">
        <v>2082</v>
      </c>
      <c r="AX243">
        <v>2025</v>
      </c>
      <c r="AY243" t="s">
        <v>2083</v>
      </c>
      <c r="AZ243" t="s">
        <v>2084</v>
      </c>
    </row>
    <row r="244" spans="1:52" x14ac:dyDescent="0.25">
      <c r="A244" t="s">
        <v>2086</v>
      </c>
      <c r="B244" s="1">
        <v>40886</v>
      </c>
      <c r="C244" t="s">
        <v>2087</v>
      </c>
      <c r="D244">
        <v>479034</v>
      </c>
      <c r="E244" t="s">
        <v>46</v>
      </c>
      <c r="F244" t="s">
        <v>213</v>
      </c>
      <c r="G244" t="s">
        <v>70</v>
      </c>
      <c r="H244" t="s">
        <v>2087</v>
      </c>
      <c r="I244" t="s">
        <v>512</v>
      </c>
      <c r="J244">
        <v>33</v>
      </c>
      <c r="K244">
        <v>36</v>
      </c>
      <c r="L244">
        <v>39</v>
      </c>
      <c r="M244">
        <v>39</v>
      </c>
      <c r="N244">
        <v>75</v>
      </c>
      <c r="O244" t="s">
        <v>48</v>
      </c>
      <c r="P244">
        <v>44</v>
      </c>
      <c r="Q244">
        <v>47</v>
      </c>
      <c r="R244">
        <v>51</v>
      </c>
      <c r="S244">
        <v>51</v>
      </c>
      <c r="T244">
        <v>98</v>
      </c>
      <c r="U244" t="s">
        <v>48</v>
      </c>
      <c r="V244">
        <f t="shared" si="9"/>
        <v>6</v>
      </c>
      <c r="W244">
        <f t="shared" si="10"/>
        <v>0</v>
      </c>
      <c r="X244">
        <f t="shared" si="11"/>
        <v>0</v>
      </c>
      <c r="Y244">
        <v>90</v>
      </c>
      <c r="Z244">
        <v>173</v>
      </c>
      <c r="AA244" t="s">
        <v>2088</v>
      </c>
      <c r="AB244" t="s">
        <v>2089</v>
      </c>
      <c r="AC244" t="s">
        <v>94</v>
      </c>
      <c r="AD244">
        <v>4</v>
      </c>
      <c r="AE244">
        <v>49</v>
      </c>
      <c r="AF244" t="s">
        <v>57</v>
      </c>
      <c r="AH244" t="s">
        <v>784</v>
      </c>
      <c r="AI244">
        <v>141.62</v>
      </c>
      <c r="AJ244" t="s">
        <v>132</v>
      </c>
      <c r="AK244" t="s">
        <v>213</v>
      </c>
      <c r="AL244" t="s">
        <v>217</v>
      </c>
      <c r="AM244" t="s">
        <v>72</v>
      </c>
      <c r="AN244" s="1">
        <v>45640</v>
      </c>
      <c r="AO244">
        <v>2024</v>
      </c>
      <c r="AP244">
        <v>12</v>
      </c>
      <c r="AQ244" t="s">
        <v>116</v>
      </c>
      <c r="AS244" t="s">
        <v>85</v>
      </c>
      <c r="AT244">
        <v>2025</v>
      </c>
      <c r="AU244" t="s">
        <v>70</v>
      </c>
      <c r="AV244" t="s">
        <v>72</v>
      </c>
      <c r="AW244" t="s">
        <v>2087</v>
      </c>
      <c r="AX244">
        <v>2025</v>
      </c>
      <c r="AY244" t="s">
        <v>2088</v>
      </c>
      <c r="AZ244" t="s">
        <v>2088</v>
      </c>
    </row>
    <row r="245" spans="1:52" x14ac:dyDescent="0.25">
      <c r="A245" t="s">
        <v>2092</v>
      </c>
      <c r="B245" s="1">
        <v>36516</v>
      </c>
      <c r="C245" t="s">
        <v>2093</v>
      </c>
      <c r="D245">
        <v>492831</v>
      </c>
      <c r="E245" t="s">
        <v>46</v>
      </c>
      <c r="F245" t="s">
        <v>948</v>
      </c>
      <c r="G245" t="s">
        <v>714</v>
      </c>
      <c r="H245" t="s">
        <v>2093</v>
      </c>
      <c r="I245" t="s">
        <v>2095</v>
      </c>
      <c r="J245">
        <v>50</v>
      </c>
      <c r="K245">
        <v>-52</v>
      </c>
      <c r="L245">
        <v>-52</v>
      </c>
      <c r="M245">
        <v>50</v>
      </c>
      <c r="N245">
        <v>0</v>
      </c>
      <c r="O245" t="s">
        <v>55</v>
      </c>
      <c r="P245">
        <v>-63</v>
      </c>
      <c r="Q245">
        <v>-65</v>
      </c>
      <c r="R245">
        <v>-65</v>
      </c>
      <c r="S245">
        <v>0</v>
      </c>
      <c r="T245">
        <v>0</v>
      </c>
      <c r="U245" t="s">
        <v>108</v>
      </c>
      <c r="V245">
        <f t="shared" si="9"/>
        <v>1</v>
      </c>
      <c r="W245">
        <f t="shared" si="10"/>
        <v>0</v>
      </c>
      <c r="X245">
        <f t="shared" si="11"/>
        <v>0</v>
      </c>
      <c r="Y245">
        <v>50</v>
      </c>
      <c r="Z245">
        <v>0</v>
      </c>
      <c r="AA245" t="s">
        <v>2096</v>
      </c>
      <c r="AB245" t="s">
        <v>99</v>
      </c>
      <c r="AC245" t="s">
        <v>49</v>
      </c>
      <c r="AD245">
        <v>999</v>
      </c>
      <c r="AE245">
        <v>49</v>
      </c>
      <c r="AF245" t="s">
        <v>126</v>
      </c>
      <c r="AH245" t="s">
        <v>195</v>
      </c>
      <c r="AI245">
        <v>0</v>
      </c>
      <c r="AJ245" t="s">
        <v>132</v>
      </c>
      <c r="AK245" t="s">
        <v>948</v>
      </c>
      <c r="AL245" t="s">
        <v>949</v>
      </c>
      <c r="AM245" t="s">
        <v>133</v>
      </c>
      <c r="AN245" s="1">
        <v>45640</v>
      </c>
      <c r="AO245">
        <v>2024</v>
      </c>
      <c r="AP245">
        <v>12</v>
      </c>
      <c r="AQ245" t="s">
        <v>116</v>
      </c>
      <c r="AS245" t="s">
        <v>85</v>
      </c>
      <c r="AT245">
        <v>2025</v>
      </c>
      <c r="AU245" t="s">
        <v>714</v>
      </c>
      <c r="AV245" t="s">
        <v>133</v>
      </c>
      <c r="AW245" t="s">
        <v>2093</v>
      </c>
      <c r="AX245">
        <v>2025</v>
      </c>
      <c r="AY245" t="s">
        <v>2094</v>
      </c>
      <c r="AZ245" t="s">
        <v>2094</v>
      </c>
    </row>
    <row r="246" spans="1:52" x14ac:dyDescent="0.25">
      <c r="A246" t="s">
        <v>2097</v>
      </c>
      <c r="B246" s="1">
        <v>34779</v>
      </c>
      <c r="C246" t="s">
        <v>2098</v>
      </c>
      <c r="D246">
        <v>469631</v>
      </c>
      <c r="E246" t="s">
        <v>46</v>
      </c>
      <c r="F246" t="s">
        <v>1173</v>
      </c>
      <c r="G246" t="s">
        <v>660</v>
      </c>
      <c r="H246" t="s">
        <v>2098</v>
      </c>
      <c r="I246" t="s">
        <v>2100</v>
      </c>
      <c r="J246">
        <v>62</v>
      </c>
      <c r="K246">
        <v>65</v>
      </c>
      <c r="L246">
        <v>68</v>
      </c>
      <c r="M246">
        <v>68</v>
      </c>
      <c r="N246">
        <v>133</v>
      </c>
      <c r="O246" t="s">
        <v>48</v>
      </c>
      <c r="P246">
        <v>87</v>
      </c>
      <c r="Q246">
        <v>-90</v>
      </c>
      <c r="R246">
        <v>-91</v>
      </c>
      <c r="S246">
        <v>87</v>
      </c>
      <c r="T246">
        <v>0</v>
      </c>
      <c r="U246" t="s">
        <v>55</v>
      </c>
      <c r="V246">
        <f t="shared" si="9"/>
        <v>4</v>
      </c>
      <c r="W246">
        <f t="shared" si="10"/>
        <v>0</v>
      </c>
      <c r="X246">
        <f t="shared" si="11"/>
        <v>0</v>
      </c>
      <c r="Y246">
        <v>155</v>
      </c>
      <c r="Z246">
        <v>133</v>
      </c>
      <c r="AA246" t="s">
        <v>2101</v>
      </c>
      <c r="AB246" t="s">
        <v>2102</v>
      </c>
      <c r="AC246" t="s">
        <v>94</v>
      </c>
      <c r="AD246">
        <v>4</v>
      </c>
      <c r="AE246">
        <v>59</v>
      </c>
      <c r="AF246" t="s">
        <v>126</v>
      </c>
      <c r="AH246" t="s">
        <v>202</v>
      </c>
      <c r="AI246">
        <v>213.13</v>
      </c>
      <c r="AJ246" t="s">
        <v>132</v>
      </c>
      <c r="AK246" t="s">
        <v>1173</v>
      </c>
      <c r="AL246" t="s">
        <v>1177</v>
      </c>
      <c r="AM246" t="s">
        <v>173</v>
      </c>
      <c r="AN246" s="1">
        <v>45641</v>
      </c>
      <c r="AO246">
        <v>2024</v>
      </c>
      <c r="AP246">
        <v>12</v>
      </c>
      <c r="AQ246" t="s">
        <v>116</v>
      </c>
      <c r="AS246" t="s">
        <v>85</v>
      </c>
      <c r="AT246">
        <v>2025</v>
      </c>
      <c r="AU246" t="s">
        <v>660</v>
      </c>
      <c r="AV246" t="s">
        <v>173</v>
      </c>
      <c r="AW246" t="s">
        <v>2098</v>
      </c>
      <c r="AX246">
        <v>2025</v>
      </c>
      <c r="AY246" t="s">
        <v>2099</v>
      </c>
      <c r="AZ246" t="s">
        <v>2101</v>
      </c>
    </row>
    <row r="247" spans="1:52" x14ac:dyDescent="0.25">
      <c r="A247" t="s">
        <v>2104</v>
      </c>
      <c r="B247" s="1">
        <v>36738</v>
      </c>
      <c r="C247" t="s">
        <v>2105</v>
      </c>
      <c r="D247">
        <v>481933</v>
      </c>
      <c r="E247" t="s">
        <v>46</v>
      </c>
      <c r="F247" t="s">
        <v>617</v>
      </c>
      <c r="G247" t="s">
        <v>1135</v>
      </c>
      <c r="H247" t="s">
        <v>2105</v>
      </c>
      <c r="I247" t="s">
        <v>747</v>
      </c>
      <c r="J247">
        <v>68</v>
      </c>
      <c r="K247">
        <v>71</v>
      </c>
      <c r="L247">
        <v>-74</v>
      </c>
      <c r="M247">
        <v>71</v>
      </c>
      <c r="N247">
        <v>139</v>
      </c>
      <c r="O247" t="s">
        <v>60</v>
      </c>
      <c r="P247">
        <v>86</v>
      </c>
      <c r="Q247">
        <v>90</v>
      </c>
      <c r="R247">
        <v>93</v>
      </c>
      <c r="S247">
        <v>93</v>
      </c>
      <c r="T247">
        <v>183</v>
      </c>
      <c r="U247" t="s">
        <v>48</v>
      </c>
      <c r="V247">
        <f t="shared" si="9"/>
        <v>5</v>
      </c>
      <c r="W247">
        <f t="shared" si="10"/>
        <v>0</v>
      </c>
      <c r="X247">
        <f t="shared" si="11"/>
        <v>0</v>
      </c>
      <c r="Y247">
        <v>164</v>
      </c>
      <c r="Z247">
        <v>322</v>
      </c>
      <c r="AA247" t="s">
        <v>2106</v>
      </c>
      <c r="AB247" t="s">
        <v>2109</v>
      </c>
      <c r="AC247" t="s">
        <v>94</v>
      </c>
      <c r="AD247">
        <v>4</v>
      </c>
      <c r="AE247">
        <v>59</v>
      </c>
      <c r="AF247" t="s">
        <v>126</v>
      </c>
      <c r="AH247" t="s">
        <v>202</v>
      </c>
      <c r="AI247">
        <v>225.4</v>
      </c>
      <c r="AJ247" t="s">
        <v>132</v>
      </c>
      <c r="AK247" t="s">
        <v>617</v>
      </c>
      <c r="AL247" t="s">
        <v>620</v>
      </c>
      <c r="AM247" t="s">
        <v>90</v>
      </c>
      <c r="AN247" s="1">
        <v>45640</v>
      </c>
      <c r="AO247">
        <v>2024</v>
      </c>
      <c r="AP247">
        <v>12</v>
      </c>
      <c r="AQ247" t="s">
        <v>116</v>
      </c>
      <c r="AS247" t="s">
        <v>85</v>
      </c>
      <c r="AT247">
        <v>2025</v>
      </c>
      <c r="AU247" t="s">
        <v>1135</v>
      </c>
      <c r="AV247" t="s">
        <v>91</v>
      </c>
      <c r="AW247" t="s">
        <v>2105</v>
      </c>
      <c r="AX247">
        <v>2025</v>
      </c>
      <c r="AY247" t="s">
        <v>2106</v>
      </c>
      <c r="AZ247" t="s">
        <v>2106</v>
      </c>
    </row>
    <row r="248" spans="1:52" x14ac:dyDescent="0.25">
      <c r="A248" t="s">
        <v>2075</v>
      </c>
      <c r="B248" s="1">
        <v>33254</v>
      </c>
      <c r="C248" t="s">
        <v>2076</v>
      </c>
      <c r="D248">
        <v>94944</v>
      </c>
      <c r="E248" t="s">
        <v>46</v>
      </c>
      <c r="F248" t="s">
        <v>582</v>
      </c>
      <c r="G248" t="s">
        <v>386</v>
      </c>
      <c r="H248" t="s">
        <v>2076</v>
      </c>
      <c r="I248" t="s">
        <v>1048</v>
      </c>
      <c r="J248">
        <v>115</v>
      </c>
      <c r="K248">
        <v>120</v>
      </c>
      <c r="L248">
        <v>125</v>
      </c>
      <c r="M248">
        <v>125</v>
      </c>
      <c r="N248">
        <v>245</v>
      </c>
      <c r="O248" t="s">
        <v>48</v>
      </c>
      <c r="P248">
        <v>-145</v>
      </c>
      <c r="Q248">
        <v>150</v>
      </c>
      <c r="R248">
        <v>161</v>
      </c>
      <c r="S248">
        <v>161</v>
      </c>
      <c r="T248">
        <v>311</v>
      </c>
      <c r="U248" t="s">
        <v>63</v>
      </c>
      <c r="V248">
        <f t="shared" si="9"/>
        <v>5</v>
      </c>
      <c r="W248">
        <f t="shared" si="10"/>
        <v>0</v>
      </c>
      <c r="X248">
        <f t="shared" si="11"/>
        <v>0</v>
      </c>
      <c r="Y248">
        <v>286</v>
      </c>
      <c r="Z248">
        <v>556</v>
      </c>
      <c r="AA248" t="s">
        <v>2078</v>
      </c>
      <c r="AB248" t="s">
        <v>2079</v>
      </c>
      <c r="AC248" t="s">
        <v>94</v>
      </c>
      <c r="AD248">
        <v>4</v>
      </c>
      <c r="AE248">
        <v>81</v>
      </c>
      <c r="AF248" t="s">
        <v>126</v>
      </c>
      <c r="AH248" t="s">
        <v>138</v>
      </c>
      <c r="AI248">
        <v>370.57</v>
      </c>
      <c r="AJ248" t="s">
        <v>52</v>
      </c>
      <c r="AK248" t="s">
        <v>582</v>
      </c>
      <c r="AL248" t="s">
        <v>585</v>
      </c>
      <c r="AM248" t="s">
        <v>170</v>
      </c>
      <c r="AN248" s="1">
        <v>45640</v>
      </c>
      <c r="AO248">
        <v>2024</v>
      </c>
      <c r="AP248">
        <v>12</v>
      </c>
      <c r="AQ248" t="s">
        <v>116</v>
      </c>
      <c r="AS248" t="s">
        <v>85</v>
      </c>
      <c r="AT248">
        <v>2025</v>
      </c>
      <c r="AU248" t="s">
        <v>386</v>
      </c>
      <c r="AV248" t="s">
        <v>170</v>
      </c>
      <c r="AW248" t="s">
        <v>2076</v>
      </c>
      <c r="AX248">
        <v>2025</v>
      </c>
      <c r="AY248" t="s">
        <v>2077</v>
      </c>
      <c r="AZ248" t="s">
        <v>2080</v>
      </c>
    </row>
    <row r="249" spans="1:52" x14ac:dyDescent="0.25">
      <c r="A249" t="s">
        <v>2068</v>
      </c>
      <c r="B249" s="1">
        <v>34079</v>
      </c>
      <c r="C249" t="s">
        <v>2069</v>
      </c>
      <c r="D249">
        <v>481073</v>
      </c>
      <c r="E249" t="s">
        <v>46</v>
      </c>
      <c r="F249" t="s">
        <v>625</v>
      </c>
      <c r="G249" t="s">
        <v>713</v>
      </c>
      <c r="H249" t="s">
        <v>2069</v>
      </c>
      <c r="I249" t="s">
        <v>101</v>
      </c>
      <c r="J249">
        <v>55</v>
      </c>
      <c r="K249">
        <v>58</v>
      </c>
      <c r="L249">
        <v>60</v>
      </c>
      <c r="M249">
        <v>60</v>
      </c>
      <c r="N249">
        <v>118</v>
      </c>
      <c r="O249" t="s">
        <v>48</v>
      </c>
      <c r="P249">
        <v>70</v>
      </c>
      <c r="Q249">
        <v>73</v>
      </c>
      <c r="R249">
        <v>-76</v>
      </c>
      <c r="S249">
        <v>73</v>
      </c>
      <c r="T249">
        <v>143</v>
      </c>
      <c r="U249" t="s">
        <v>60</v>
      </c>
      <c r="V249">
        <f t="shared" si="9"/>
        <v>5</v>
      </c>
      <c r="W249">
        <f t="shared" si="10"/>
        <v>0</v>
      </c>
      <c r="X249">
        <f t="shared" si="11"/>
        <v>0</v>
      </c>
      <c r="Y249">
        <v>133</v>
      </c>
      <c r="Z249">
        <v>261</v>
      </c>
      <c r="AA249" t="s">
        <v>2071</v>
      </c>
      <c r="AB249" t="s">
        <v>2072</v>
      </c>
      <c r="AC249" t="s">
        <v>89</v>
      </c>
      <c r="AD249">
        <v>5</v>
      </c>
      <c r="AE249">
        <v>55</v>
      </c>
      <c r="AF249" t="s">
        <v>126</v>
      </c>
      <c r="AH249" t="s">
        <v>197</v>
      </c>
      <c r="AI249">
        <v>193.11</v>
      </c>
      <c r="AJ249" t="s">
        <v>132</v>
      </c>
      <c r="AK249" t="s">
        <v>625</v>
      </c>
      <c r="AL249" t="s">
        <v>627</v>
      </c>
      <c r="AM249" t="s">
        <v>139</v>
      </c>
      <c r="AN249" s="1">
        <v>45641</v>
      </c>
      <c r="AO249">
        <v>2024</v>
      </c>
      <c r="AP249">
        <v>12</v>
      </c>
      <c r="AQ249" t="s">
        <v>116</v>
      </c>
      <c r="AS249" t="s">
        <v>85</v>
      </c>
      <c r="AT249">
        <v>2025</v>
      </c>
      <c r="AU249" t="s">
        <v>713</v>
      </c>
      <c r="AV249" t="s">
        <v>140</v>
      </c>
      <c r="AW249" t="s">
        <v>2069</v>
      </c>
      <c r="AX249">
        <v>2025</v>
      </c>
      <c r="AY249" t="s">
        <v>2070</v>
      </c>
      <c r="AZ249" t="s">
        <v>2073</v>
      </c>
    </row>
    <row r="250" spans="1:52" x14ac:dyDescent="0.25">
      <c r="A250" t="s">
        <v>2110</v>
      </c>
      <c r="B250" s="1">
        <v>41084</v>
      </c>
      <c r="C250" t="s">
        <v>2111</v>
      </c>
      <c r="D250">
        <v>497766</v>
      </c>
      <c r="E250" t="s">
        <v>46</v>
      </c>
      <c r="F250" t="s">
        <v>1360</v>
      </c>
      <c r="G250" t="s">
        <v>240</v>
      </c>
      <c r="H250" t="s">
        <v>2111</v>
      </c>
      <c r="I250" t="s">
        <v>2113</v>
      </c>
      <c r="J250">
        <v>13</v>
      </c>
      <c r="K250">
        <v>14</v>
      </c>
      <c r="L250">
        <v>15</v>
      </c>
      <c r="M250">
        <v>15</v>
      </c>
      <c r="N250">
        <v>29</v>
      </c>
      <c r="O250" t="s">
        <v>48</v>
      </c>
      <c r="P250">
        <v>15</v>
      </c>
      <c r="Q250">
        <v>17</v>
      </c>
      <c r="R250">
        <v>19</v>
      </c>
      <c r="S250">
        <v>19</v>
      </c>
      <c r="T250">
        <v>36</v>
      </c>
      <c r="U250" t="s">
        <v>48</v>
      </c>
      <c r="V250">
        <f t="shared" si="9"/>
        <v>6</v>
      </c>
      <c r="W250">
        <f t="shared" si="10"/>
        <v>0</v>
      </c>
      <c r="X250">
        <f t="shared" si="11"/>
        <v>0</v>
      </c>
      <c r="Y250">
        <v>34</v>
      </c>
      <c r="Z250">
        <v>65</v>
      </c>
      <c r="AA250" t="s">
        <v>2112</v>
      </c>
      <c r="AB250" t="s">
        <v>2114</v>
      </c>
      <c r="AC250" t="s">
        <v>49</v>
      </c>
      <c r="AD250">
        <v>999</v>
      </c>
      <c r="AE250">
        <v>35</v>
      </c>
      <c r="AF250" t="s">
        <v>50</v>
      </c>
      <c r="AH250" t="s">
        <v>450</v>
      </c>
      <c r="AI250">
        <v>152.83000000000001</v>
      </c>
      <c r="AJ250" t="s">
        <v>132</v>
      </c>
      <c r="AK250" t="s">
        <v>1360</v>
      </c>
      <c r="AL250" t="s">
        <v>1364</v>
      </c>
      <c r="AM250" t="s">
        <v>68</v>
      </c>
      <c r="AN250" s="1">
        <v>45640</v>
      </c>
      <c r="AO250">
        <v>2024</v>
      </c>
      <c r="AP250">
        <v>12</v>
      </c>
      <c r="AQ250" t="s">
        <v>116</v>
      </c>
      <c r="AS250" t="s">
        <v>85</v>
      </c>
      <c r="AT250">
        <v>2025</v>
      </c>
      <c r="AU250" t="s">
        <v>240</v>
      </c>
      <c r="AV250" t="s">
        <v>68</v>
      </c>
      <c r="AW250" t="s">
        <v>2111</v>
      </c>
      <c r="AX250">
        <v>2025</v>
      </c>
      <c r="AY250" t="s">
        <v>2112</v>
      </c>
      <c r="AZ250" t="s">
        <v>2112</v>
      </c>
    </row>
    <row r="251" spans="1:52" x14ac:dyDescent="0.25">
      <c r="A251" t="s">
        <v>2115</v>
      </c>
      <c r="B251" s="1">
        <v>40750</v>
      </c>
      <c r="C251" t="s">
        <v>2116</v>
      </c>
      <c r="D251">
        <v>467470</v>
      </c>
      <c r="E251" t="s">
        <v>46</v>
      </c>
      <c r="F251" t="s">
        <v>1071</v>
      </c>
      <c r="G251" t="s">
        <v>255</v>
      </c>
      <c r="H251" t="s">
        <v>2116</v>
      </c>
      <c r="I251" t="s">
        <v>720</v>
      </c>
      <c r="J251">
        <v>60</v>
      </c>
      <c r="K251">
        <v>64</v>
      </c>
      <c r="L251">
        <v>-67</v>
      </c>
      <c r="M251">
        <v>64</v>
      </c>
      <c r="N251">
        <v>124</v>
      </c>
      <c r="O251" t="s">
        <v>60</v>
      </c>
      <c r="P251">
        <v>70</v>
      </c>
      <c r="Q251">
        <v>74</v>
      </c>
      <c r="R251">
        <v>-77</v>
      </c>
      <c r="S251">
        <v>74</v>
      </c>
      <c r="T251">
        <v>144</v>
      </c>
      <c r="U251" t="s">
        <v>60</v>
      </c>
      <c r="V251">
        <f t="shared" si="9"/>
        <v>4</v>
      </c>
      <c r="W251">
        <f t="shared" si="10"/>
        <v>0</v>
      </c>
      <c r="X251">
        <f t="shared" si="11"/>
        <v>0</v>
      </c>
      <c r="Y251">
        <v>138</v>
      </c>
      <c r="Z251">
        <v>268</v>
      </c>
      <c r="AA251" t="s">
        <v>2118</v>
      </c>
      <c r="AB251" t="s">
        <v>2119</v>
      </c>
      <c r="AC251" t="s">
        <v>89</v>
      </c>
      <c r="AD251">
        <v>5</v>
      </c>
      <c r="AE251">
        <v>61</v>
      </c>
      <c r="AF251" t="s">
        <v>57</v>
      </c>
      <c r="AH251" t="s">
        <v>73</v>
      </c>
      <c r="AI251">
        <v>213.09</v>
      </c>
      <c r="AJ251" t="s">
        <v>52</v>
      </c>
      <c r="AK251" t="s">
        <v>1071</v>
      </c>
      <c r="AL251" t="s">
        <v>1073</v>
      </c>
      <c r="AM251" t="s">
        <v>68</v>
      </c>
      <c r="AN251" s="1">
        <v>45640</v>
      </c>
      <c r="AO251">
        <v>2024</v>
      </c>
      <c r="AP251">
        <v>12</v>
      </c>
      <c r="AQ251" t="s">
        <v>116</v>
      </c>
      <c r="AS251" t="s">
        <v>85</v>
      </c>
      <c r="AT251">
        <v>2025</v>
      </c>
      <c r="AU251" t="s">
        <v>255</v>
      </c>
      <c r="AV251" t="s">
        <v>68</v>
      </c>
      <c r="AW251" t="s">
        <v>2116</v>
      </c>
      <c r="AX251">
        <v>2025</v>
      </c>
      <c r="AY251" t="s">
        <v>2117</v>
      </c>
      <c r="AZ251" t="s">
        <v>2117</v>
      </c>
    </row>
    <row r="252" spans="1:52" x14ac:dyDescent="0.25">
      <c r="A252" t="s">
        <v>4430</v>
      </c>
      <c r="B252" s="1">
        <v>34710</v>
      </c>
      <c r="C252" t="s">
        <v>4431</v>
      </c>
      <c r="D252">
        <v>441255</v>
      </c>
      <c r="E252" t="s">
        <v>46</v>
      </c>
      <c r="F252" t="s">
        <v>518</v>
      </c>
      <c r="G252" t="s">
        <v>621</v>
      </c>
      <c r="H252" t="s">
        <v>4431</v>
      </c>
      <c r="I252">
        <v>62</v>
      </c>
      <c r="J252">
        <v>63</v>
      </c>
      <c r="K252">
        <v>-67</v>
      </c>
      <c r="L252">
        <v>-67</v>
      </c>
      <c r="M252">
        <v>63</v>
      </c>
      <c r="N252">
        <v>0</v>
      </c>
      <c r="O252" t="s">
        <v>55</v>
      </c>
      <c r="P252">
        <v>75</v>
      </c>
      <c r="Q252">
        <v>-80</v>
      </c>
      <c r="R252">
        <v>-80</v>
      </c>
      <c r="S252">
        <v>75</v>
      </c>
      <c r="T252">
        <v>0</v>
      </c>
      <c r="U252" t="s">
        <v>55</v>
      </c>
      <c r="V252">
        <f t="shared" si="9"/>
        <v>2</v>
      </c>
      <c r="W252">
        <f t="shared" si="10"/>
        <v>0</v>
      </c>
      <c r="X252">
        <f t="shared" si="11"/>
        <v>0</v>
      </c>
      <c r="Y252">
        <v>138</v>
      </c>
      <c r="Z252">
        <v>0</v>
      </c>
      <c r="AA252" t="s">
        <v>3461</v>
      </c>
      <c r="AB252" t="s">
        <v>99</v>
      </c>
      <c r="AC252" t="s">
        <v>93</v>
      </c>
      <c r="AD252">
        <v>6</v>
      </c>
      <c r="AE252">
        <v>64</v>
      </c>
      <c r="AF252" t="s">
        <v>126</v>
      </c>
      <c r="AH252" t="s">
        <v>167</v>
      </c>
      <c r="AI252">
        <v>182.94</v>
      </c>
      <c r="AJ252" t="s">
        <v>132</v>
      </c>
      <c r="AK252" t="s">
        <v>518</v>
      </c>
      <c r="AL252" t="s">
        <v>522</v>
      </c>
      <c r="AM252" t="s">
        <v>177</v>
      </c>
      <c r="AN252" s="1">
        <v>45640</v>
      </c>
      <c r="AO252">
        <v>2024</v>
      </c>
      <c r="AP252">
        <v>12</v>
      </c>
      <c r="AQ252" t="s">
        <v>116</v>
      </c>
      <c r="AS252" t="s">
        <v>85</v>
      </c>
      <c r="AT252">
        <v>2025</v>
      </c>
      <c r="AU252" t="s">
        <v>621</v>
      </c>
      <c r="AV252" t="s">
        <v>177</v>
      </c>
      <c r="AW252" t="s">
        <v>4431</v>
      </c>
      <c r="AX252">
        <v>2025</v>
      </c>
      <c r="AY252" t="s">
        <v>4432</v>
      </c>
      <c r="AZ252" t="s">
        <v>3461</v>
      </c>
    </row>
    <row r="253" spans="1:52" x14ac:dyDescent="0.25">
      <c r="A253" t="s">
        <v>2122</v>
      </c>
      <c r="B253" s="1">
        <v>41740</v>
      </c>
      <c r="C253" t="s">
        <v>2123</v>
      </c>
      <c r="D253">
        <v>492528</v>
      </c>
      <c r="E253" t="s">
        <v>831</v>
      </c>
      <c r="F253" t="s">
        <v>1788</v>
      </c>
      <c r="G253" t="s">
        <v>124</v>
      </c>
      <c r="H253" t="s">
        <v>2123</v>
      </c>
      <c r="I253" t="s">
        <v>824</v>
      </c>
      <c r="J253">
        <v>10</v>
      </c>
      <c r="K253">
        <v>12</v>
      </c>
      <c r="L253">
        <v>13</v>
      </c>
      <c r="M253">
        <v>13</v>
      </c>
      <c r="N253">
        <v>25</v>
      </c>
      <c r="O253" t="s">
        <v>48</v>
      </c>
      <c r="P253">
        <v>16</v>
      </c>
      <c r="Q253">
        <v>18</v>
      </c>
      <c r="R253">
        <v>19</v>
      </c>
      <c r="S253">
        <v>19</v>
      </c>
      <c r="T253">
        <v>37</v>
      </c>
      <c r="U253" t="s">
        <v>48</v>
      </c>
      <c r="V253">
        <f t="shared" si="9"/>
        <v>6</v>
      </c>
      <c r="W253">
        <f t="shared" si="10"/>
        <v>0</v>
      </c>
      <c r="X253">
        <f t="shared" si="11"/>
        <v>0</v>
      </c>
      <c r="Y253">
        <v>32</v>
      </c>
      <c r="Z253">
        <v>62</v>
      </c>
      <c r="AA253" t="s">
        <v>2124</v>
      </c>
      <c r="AB253" t="s">
        <v>2125</v>
      </c>
      <c r="AC253" t="s">
        <v>49</v>
      </c>
      <c r="AD253">
        <v>999</v>
      </c>
      <c r="AE253">
        <v>40</v>
      </c>
      <c r="AF253" t="s">
        <v>50</v>
      </c>
      <c r="AH253" t="s">
        <v>51</v>
      </c>
      <c r="AI253">
        <v>148.99</v>
      </c>
      <c r="AJ253" t="s">
        <v>52</v>
      </c>
      <c r="AK253" t="s">
        <v>1788</v>
      </c>
      <c r="AL253" t="s">
        <v>1791</v>
      </c>
      <c r="AM253" t="s">
        <v>128</v>
      </c>
      <c r="AN253" s="1">
        <v>45641</v>
      </c>
      <c r="AO253">
        <v>2024</v>
      </c>
      <c r="AP253">
        <v>12</v>
      </c>
      <c r="AQ253" t="s">
        <v>116</v>
      </c>
      <c r="AS253" t="s">
        <v>85</v>
      </c>
      <c r="AT253">
        <v>2025</v>
      </c>
      <c r="AU253" t="s">
        <v>124</v>
      </c>
      <c r="AV253" t="s">
        <v>128</v>
      </c>
      <c r="AW253" t="s">
        <v>2123</v>
      </c>
      <c r="AX253">
        <v>2025</v>
      </c>
      <c r="AY253" t="s">
        <v>2124</v>
      </c>
      <c r="AZ253" t="s">
        <v>2124</v>
      </c>
    </row>
    <row r="254" spans="1:52" x14ac:dyDescent="0.25">
      <c r="A254" t="s">
        <v>2126</v>
      </c>
      <c r="B254" s="1">
        <v>35644</v>
      </c>
      <c r="C254" t="s">
        <v>2127</v>
      </c>
      <c r="D254">
        <v>141368</v>
      </c>
      <c r="E254" t="s">
        <v>46</v>
      </c>
      <c r="F254" t="s">
        <v>633</v>
      </c>
      <c r="G254" t="s">
        <v>402</v>
      </c>
      <c r="H254" t="s">
        <v>2127</v>
      </c>
      <c r="I254" t="s">
        <v>601</v>
      </c>
      <c r="J254">
        <v>130</v>
      </c>
      <c r="K254">
        <v>135</v>
      </c>
      <c r="L254">
        <v>-139</v>
      </c>
      <c r="M254">
        <v>135</v>
      </c>
      <c r="N254">
        <v>265</v>
      </c>
      <c r="O254" t="s">
        <v>60</v>
      </c>
      <c r="P254">
        <v>145</v>
      </c>
      <c r="Q254">
        <v>-149</v>
      </c>
      <c r="R254">
        <v>154</v>
      </c>
      <c r="S254">
        <v>154</v>
      </c>
      <c r="T254">
        <v>299</v>
      </c>
      <c r="U254" t="s">
        <v>65</v>
      </c>
      <c r="V254">
        <f t="shared" si="9"/>
        <v>4</v>
      </c>
      <c r="W254">
        <f t="shared" si="10"/>
        <v>0</v>
      </c>
      <c r="X254">
        <f t="shared" si="11"/>
        <v>0</v>
      </c>
      <c r="Y254">
        <v>289</v>
      </c>
      <c r="Z254">
        <v>564</v>
      </c>
      <c r="AA254" t="s">
        <v>2129</v>
      </c>
      <c r="AB254" t="s">
        <v>2130</v>
      </c>
      <c r="AC254" t="s">
        <v>89</v>
      </c>
      <c r="AD254">
        <v>5</v>
      </c>
      <c r="AE254">
        <v>96</v>
      </c>
      <c r="AF254" t="s">
        <v>126</v>
      </c>
      <c r="AH254" t="s">
        <v>222</v>
      </c>
      <c r="AI254">
        <v>344.37</v>
      </c>
      <c r="AJ254" t="s">
        <v>52</v>
      </c>
      <c r="AK254" t="s">
        <v>633</v>
      </c>
      <c r="AL254" t="s">
        <v>637</v>
      </c>
      <c r="AM254" t="s">
        <v>139</v>
      </c>
      <c r="AN254" s="1">
        <v>45640</v>
      </c>
      <c r="AO254">
        <v>2024</v>
      </c>
      <c r="AP254">
        <v>12</v>
      </c>
      <c r="AQ254" t="s">
        <v>116</v>
      </c>
      <c r="AS254" t="s">
        <v>85</v>
      </c>
      <c r="AT254">
        <v>2025</v>
      </c>
      <c r="AU254" t="s">
        <v>402</v>
      </c>
      <c r="AV254" t="s">
        <v>140</v>
      </c>
      <c r="AW254" t="s">
        <v>2127</v>
      </c>
      <c r="AX254">
        <v>2025</v>
      </c>
      <c r="AY254" t="s">
        <v>2128</v>
      </c>
      <c r="AZ254" t="s">
        <v>2129</v>
      </c>
    </row>
    <row r="255" spans="1:52" x14ac:dyDescent="0.25">
      <c r="A255" t="s">
        <v>2131</v>
      </c>
      <c r="B255" s="1">
        <v>39882</v>
      </c>
      <c r="C255" t="s">
        <v>2132</v>
      </c>
      <c r="D255">
        <v>467523</v>
      </c>
      <c r="E255" t="s">
        <v>46</v>
      </c>
      <c r="F255" t="s">
        <v>1240</v>
      </c>
      <c r="G255" t="s">
        <v>329</v>
      </c>
      <c r="H255" t="s">
        <v>2132</v>
      </c>
      <c r="I255" t="s">
        <v>307</v>
      </c>
      <c r="J255">
        <v>83</v>
      </c>
      <c r="K255">
        <v>86</v>
      </c>
      <c r="L255">
        <v>88</v>
      </c>
      <c r="M255">
        <v>88</v>
      </c>
      <c r="N255">
        <v>174</v>
      </c>
      <c r="O255" t="s">
        <v>48</v>
      </c>
      <c r="P255">
        <v>-97</v>
      </c>
      <c r="Q255">
        <v>97</v>
      </c>
      <c r="R255">
        <v>-102</v>
      </c>
      <c r="S255">
        <v>97</v>
      </c>
      <c r="T255">
        <v>0</v>
      </c>
      <c r="U255" t="s">
        <v>104</v>
      </c>
      <c r="V255">
        <f t="shared" si="9"/>
        <v>4</v>
      </c>
      <c r="W255">
        <f t="shared" si="10"/>
        <v>0</v>
      </c>
      <c r="X255">
        <f t="shared" si="11"/>
        <v>0</v>
      </c>
      <c r="Y255">
        <v>185</v>
      </c>
      <c r="Z255">
        <v>174</v>
      </c>
      <c r="AA255" t="s">
        <v>2133</v>
      </c>
      <c r="AB255" t="s">
        <v>2134</v>
      </c>
      <c r="AC255" t="s">
        <v>89</v>
      </c>
      <c r="AD255">
        <v>5</v>
      </c>
      <c r="AE255">
        <v>73</v>
      </c>
      <c r="AF255" t="s">
        <v>95</v>
      </c>
      <c r="AH255" t="s">
        <v>276</v>
      </c>
      <c r="AI255">
        <v>255.54</v>
      </c>
      <c r="AJ255" t="s">
        <v>52</v>
      </c>
      <c r="AK255" t="s">
        <v>1240</v>
      </c>
      <c r="AL255" t="s">
        <v>1243</v>
      </c>
      <c r="AM255" t="s">
        <v>133</v>
      </c>
      <c r="AN255" s="1">
        <v>45641</v>
      </c>
      <c r="AO255">
        <v>2024</v>
      </c>
      <c r="AP255">
        <v>12</v>
      </c>
      <c r="AQ255" t="s">
        <v>116</v>
      </c>
      <c r="AS255" t="s">
        <v>85</v>
      </c>
      <c r="AT255">
        <v>2025</v>
      </c>
      <c r="AU255" t="s">
        <v>329</v>
      </c>
      <c r="AV255" t="s">
        <v>133</v>
      </c>
      <c r="AW255" t="s">
        <v>2132</v>
      </c>
      <c r="AX255">
        <v>2025</v>
      </c>
      <c r="AY255" t="s">
        <v>2133</v>
      </c>
      <c r="AZ255" t="s">
        <v>2133</v>
      </c>
    </row>
    <row r="256" spans="1:52" x14ac:dyDescent="0.25">
      <c r="A256" t="s">
        <v>2137</v>
      </c>
      <c r="B256" s="1">
        <v>36669</v>
      </c>
      <c r="C256" t="s">
        <v>2138</v>
      </c>
      <c r="D256">
        <v>478296</v>
      </c>
      <c r="E256" t="s">
        <v>46</v>
      </c>
      <c r="F256" t="s">
        <v>625</v>
      </c>
      <c r="G256" t="s">
        <v>566</v>
      </c>
      <c r="H256" t="s">
        <v>2138</v>
      </c>
      <c r="I256" t="s">
        <v>182</v>
      </c>
      <c r="J256">
        <v>65</v>
      </c>
      <c r="K256">
        <v>67</v>
      </c>
      <c r="L256">
        <v>70</v>
      </c>
      <c r="M256">
        <v>70</v>
      </c>
      <c r="N256">
        <v>137</v>
      </c>
      <c r="O256" t="s">
        <v>48</v>
      </c>
      <c r="P256">
        <v>78</v>
      </c>
      <c r="Q256">
        <v>82</v>
      </c>
      <c r="R256">
        <v>-85</v>
      </c>
      <c r="S256">
        <v>82</v>
      </c>
      <c r="T256">
        <v>160</v>
      </c>
      <c r="U256" t="s">
        <v>60</v>
      </c>
      <c r="V256">
        <f t="shared" si="9"/>
        <v>5</v>
      </c>
      <c r="W256">
        <f t="shared" si="10"/>
        <v>0</v>
      </c>
      <c r="X256">
        <f t="shared" si="11"/>
        <v>0</v>
      </c>
      <c r="Y256">
        <v>152</v>
      </c>
      <c r="Z256">
        <v>297</v>
      </c>
      <c r="AA256" t="s">
        <v>2139</v>
      </c>
      <c r="AB256" t="s">
        <v>2140</v>
      </c>
      <c r="AC256" t="s">
        <v>94</v>
      </c>
      <c r="AD256">
        <v>4</v>
      </c>
      <c r="AE256">
        <v>55</v>
      </c>
      <c r="AF256" t="s">
        <v>126</v>
      </c>
      <c r="AH256" t="s">
        <v>197</v>
      </c>
      <c r="AI256">
        <v>219.83</v>
      </c>
      <c r="AJ256" t="s">
        <v>132</v>
      </c>
      <c r="AK256" t="s">
        <v>625</v>
      </c>
      <c r="AL256" t="s">
        <v>627</v>
      </c>
      <c r="AM256" t="s">
        <v>139</v>
      </c>
      <c r="AN256" s="1">
        <v>45641</v>
      </c>
      <c r="AO256">
        <v>2024</v>
      </c>
      <c r="AP256">
        <v>12</v>
      </c>
      <c r="AQ256" t="s">
        <v>116</v>
      </c>
      <c r="AS256" t="s">
        <v>85</v>
      </c>
      <c r="AT256">
        <v>2025</v>
      </c>
      <c r="AU256" t="s">
        <v>566</v>
      </c>
      <c r="AV256" t="s">
        <v>140</v>
      </c>
      <c r="AW256" t="s">
        <v>2138</v>
      </c>
      <c r="AX256">
        <v>2025</v>
      </c>
      <c r="AY256" t="s">
        <v>2139</v>
      </c>
      <c r="AZ256" t="s">
        <v>2139</v>
      </c>
    </row>
    <row r="257" spans="1:52" x14ac:dyDescent="0.25">
      <c r="A257" t="s">
        <v>2142</v>
      </c>
      <c r="B257" s="1">
        <v>41108</v>
      </c>
      <c r="C257" t="s">
        <v>2143</v>
      </c>
      <c r="D257">
        <v>494989</v>
      </c>
      <c r="E257" t="s">
        <v>46</v>
      </c>
      <c r="F257" t="s">
        <v>2029</v>
      </c>
      <c r="G257" t="s">
        <v>168</v>
      </c>
      <c r="H257" t="s">
        <v>2143</v>
      </c>
      <c r="I257" t="s">
        <v>376</v>
      </c>
      <c r="J257">
        <v>28</v>
      </c>
      <c r="K257">
        <v>30</v>
      </c>
      <c r="L257">
        <v>32</v>
      </c>
      <c r="M257">
        <v>32</v>
      </c>
      <c r="N257">
        <v>62</v>
      </c>
      <c r="O257" t="s">
        <v>48</v>
      </c>
      <c r="P257">
        <v>34</v>
      </c>
      <c r="Q257">
        <v>36</v>
      </c>
      <c r="R257">
        <v>38</v>
      </c>
      <c r="S257">
        <v>38</v>
      </c>
      <c r="T257">
        <v>74</v>
      </c>
      <c r="U257" t="s">
        <v>48</v>
      </c>
      <c r="V257">
        <f t="shared" si="9"/>
        <v>6</v>
      </c>
      <c r="W257">
        <f t="shared" si="10"/>
        <v>0</v>
      </c>
      <c r="X257">
        <f t="shared" si="11"/>
        <v>0</v>
      </c>
      <c r="Y257">
        <v>70</v>
      </c>
      <c r="Z257">
        <v>136</v>
      </c>
      <c r="AA257" t="s">
        <v>2144</v>
      </c>
      <c r="AB257" t="s">
        <v>2145</v>
      </c>
      <c r="AC257" t="s">
        <v>49</v>
      </c>
      <c r="AD257">
        <v>999</v>
      </c>
      <c r="AE257">
        <v>67</v>
      </c>
      <c r="AF257" t="s">
        <v>50</v>
      </c>
      <c r="AH257" t="s">
        <v>249</v>
      </c>
      <c r="AI257">
        <v>205.02</v>
      </c>
      <c r="AJ257" t="s">
        <v>52</v>
      </c>
      <c r="AK257" t="s">
        <v>2029</v>
      </c>
      <c r="AL257" t="s">
        <v>2032</v>
      </c>
      <c r="AM257" t="s">
        <v>170</v>
      </c>
      <c r="AN257" s="1">
        <v>45641</v>
      </c>
      <c r="AO257">
        <v>2024</v>
      </c>
      <c r="AP257">
        <v>12</v>
      </c>
      <c r="AQ257" t="s">
        <v>116</v>
      </c>
      <c r="AS257" t="s">
        <v>85</v>
      </c>
      <c r="AT257">
        <v>2025</v>
      </c>
      <c r="AU257" t="s">
        <v>168</v>
      </c>
      <c r="AV257" t="s">
        <v>170</v>
      </c>
      <c r="AW257" t="s">
        <v>2143</v>
      </c>
      <c r="AX257">
        <v>2025</v>
      </c>
      <c r="AY257" t="s">
        <v>2144</v>
      </c>
      <c r="AZ257" t="s">
        <v>2144</v>
      </c>
    </row>
    <row r="258" spans="1:52" x14ac:dyDescent="0.25">
      <c r="A258" t="s">
        <v>2146</v>
      </c>
      <c r="B258" s="1">
        <v>39543</v>
      </c>
      <c r="C258" t="s">
        <v>2147</v>
      </c>
      <c r="D258">
        <v>481924</v>
      </c>
      <c r="E258" t="s">
        <v>46</v>
      </c>
      <c r="F258" t="s">
        <v>109</v>
      </c>
      <c r="G258" t="s">
        <v>413</v>
      </c>
      <c r="H258" t="s">
        <v>2147</v>
      </c>
      <c r="I258" t="s">
        <v>1179</v>
      </c>
      <c r="J258">
        <v>50</v>
      </c>
      <c r="K258">
        <v>53</v>
      </c>
      <c r="L258">
        <v>56</v>
      </c>
      <c r="M258">
        <v>56</v>
      </c>
      <c r="N258">
        <v>109</v>
      </c>
      <c r="O258" t="s">
        <v>48</v>
      </c>
      <c r="P258">
        <v>60</v>
      </c>
      <c r="Q258">
        <v>63</v>
      </c>
      <c r="R258">
        <v>67</v>
      </c>
      <c r="S258">
        <v>67</v>
      </c>
      <c r="T258">
        <v>130</v>
      </c>
      <c r="U258" t="s">
        <v>48</v>
      </c>
      <c r="V258">
        <f t="shared" si="9"/>
        <v>6</v>
      </c>
      <c r="W258">
        <f t="shared" si="10"/>
        <v>0</v>
      </c>
      <c r="X258">
        <f t="shared" si="11"/>
        <v>0</v>
      </c>
      <c r="Y258">
        <v>123</v>
      </c>
      <c r="Z258">
        <v>239</v>
      </c>
      <c r="AA258" t="s">
        <v>2148</v>
      </c>
      <c r="AB258" t="s">
        <v>2149</v>
      </c>
      <c r="AC258" t="s">
        <v>98</v>
      </c>
      <c r="AD258">
        <v>3</v>
      </c>
      <c r="AE258">
        <v>49</v>
      </c>
      <c r="AF258" t="s">
        <v>95</v>
      </c>
      <c r="AH258" t="s">
        <v>330</v>
      </c>
      <c r="AI258">
        <v>192.56</v>
      </c>
      <c r="AJ258" t="s">
        <v>132</v>
      </c>
      <c r="AK258" t="s">
        <v>109</v>
      </c>
      <c r="AL258" t="s">
        <v>115</v>
      </c>
      <c r="AM258" t="s">
        <v>90</v>
      </c>
      <c r="AN258" s="1">
        <v>45639</v>
      </c>
      <c r="AO258">
        <v>2024</v>
      </c>
      <c r="AP258">
        <v>12</v>
      </c>
      <c r="AQ258" t="s">
        <v>116</v>
      </c>
      <c r="AS258" t="s">
        <v>85</v>
      </c>
      <c r="AT258">
        <v>2025</v>
      </c>
      <c r="AU258" t="s">
        <v>413</v>
      </c>
      <c r="AV258" t="s">
        <v>91</v>
      </c>
      <c r="AW258" t="s">
        <v>2147</v>
      </c>
      <c r="AX258">
        <v>2025</v>
      </c>
      <c r="AY258" t="s">
        <v>2148</v>
      </c>
      <c r="AZ258" t="s">
        <v>2148</v>
      </c>
    </row>
    <row r="259" spans="1:52" x14ac:dyDescent="0.25">
      <c r="A259" t="s">
        <v>2151</v>
      </c>
      <c r="B259" s="1">
        <v>41122</v>
      </c>
      <c r="C259" t="s">
        <v>2152</v>
      </c>
      <c r="D259">
        <v>490682</v>
      </c>
      <c r="E259" t="s">
        <v>46</v>
      </c>
      <c r="F259" t="s">
        <v>837</v>
      </c>
      <c r="G259" t="s">
        <v>538</v>
      </c>
      <c r="H259" t="s">
        <v>2152</v>
      </c>
      <c r="I259" t="s">
        <v>2154</v>
      </c>
      <c r="J259">
        <v>14</v>
      </c>
      <c r="K259">
        <v>16</v>
      </c>
      <c r="L259">
        <v>18</v>
      </c>
      <c r="M259">
        <v>18</v>
      </c>
      <c r="N259">
        <v>34</v>
      </c>
      <c r="O259" t="s">
        <v>48</v>
      </c>
      <c r="P259">
        <v>18</v>
      </c>
      <c r="Q259">
        <v>20</v>
      </c>
      <c r="R259">
        <v>-22</v>
      </c>
      <c r="S259">
        <v>20</v>
      </c>
      <c r="T259">
        <v>38</v>
      </c>
      <c r="U259" t="s">
        <v>60</v>
      </c>
      <c r="V259">
        <f t="shared" ref="V259:V322" si="12">IF(O259="OOO",3,IF(O259="XXX",0,IF(OR(O259="OOX",O259="OXO",O259="XOO"),2,1)))+IF(U259="OOO",3,IF(U259="XXX",0,IF(OR(U259="OOX",U259="OXO",U259="XOO"),2,1)))</f>
        <v>5</v>
      </c>
      <c r="W259">
        <f t="shared" ref="W259:W322" si="13">IF(OR(O259="XXO",U259="XXO"),1,0)</f>
        <v>0</v>
      </c>
      <c r="X259">
        <f t="shared" ref="X259:X322" si="14">IF(AND(O259="XXO",U259="XXO"),1,0)</f>
        <v>0</v>
      </c>
      <c r="Y259">
        <v>38</v>
      </c>
      <c r="Z259">
        <v>72</v>
      </c>
      <c r="AA259" t="s">
        <v>2153</v>
      </c>
      <c r="AB259" t="s">
        <v>2155</v>
      </c>
      <c r="AC259" t="s">
        <v>49</v>
      </c>
      <c r="AD259">
        <v>999</v>
      </c>
      <c r="AE259">
        <v>40</v>
      </c>
      <c r="AF259" t="s">
        <v>50</v>
      </c>
      <c r="AH259" t="s">
        <v>51</v>
      </c>
      <c r="AI259">
        <v>166.19</v>
      </c>
      <c r="AJ259" t="s">
        <v>52</v>
      </c>
      <c r="AK259" t="s">
        <v>837</v>
      </c>
      <c r="AL259" t="s">
        <v>840</v>
      </c>
      <c r="AM259" t="s">
        <v>173</v>
      </c>
      <c r="AN259" s="1">
        <v>45640</v>
      </c>
      <c r="AO259">
        <v>2024</v>
      </c>
      <c r="AP259">
        <v>12</v>
      </c>
      <c r="AQ259" t="s">
        <v>116</v>
      </c>
      <c r="AS259" t="s">
        <v>85</v>
      </c>
      <c r="AT259">
        <v>2025</v>
      </c>
      <c r="AU259" t="s">
        <v>538</v>
      </c>
      <c r="AV259" t="s">
        <v>173</v>
      </c>
      <c r="AW259" t="s">
        <v>2152</v>
      </c>
      <c r="AX259">
        <v>2025</v>
      </c>
      <c r="AY259" t="s">
        <v>2153</v>
      </c>
      <c r="AZ259" t="s">
        <v>2153</v>
      </c>
    </row>
    <row r="260" spans="1:52" x14ac:dyDescent="0.25">
      <c r="A260" t="s">
        <v>2156</v>
      </c>
      <c r="B260" s="1">
        <v>40822</v>
      </c>
      <c r="C260" t="s">
        <v>2157</v>
      </c>
      <c r="D260">
        <v>462052</v>
      </c>
      <c r="E260" t="s">
        <v>46</v>
      </c>
      <c r="F260" t="s">
        <v>810</v>
      </c>
      <c r="G260" t="s">
        <v>639</v>
      </c>
      <c r="H260" t="s">
        <v>2157</v>
      </c>
      <c r="I260" t="s">
        <v>294</v>
      </c>
      <c r="J260">
        <v>42</v>
      </c>
      <c r="K260">
        <v>45</v>
      </c>
      <c r="L260">
        <v>-47</v>
      </c>
      <c r="M260">
        <v>45</v>
      </c>
      <c r="N260">
        <v>87</v>
      </c>
      <c r="O260" t="s">
        <v>60</v>
      </c>
      <c r="P260">
        <v>-52</v>
      </c>
      <c r="Q260">
        <v>52</v>
      </c>
      <c r="R260">
        <v>55</v>
      </c>
      <c r="S260">
        <v>55</v>
      </c>
      <c r="T260">
        <v>107</v>
      </c>
      <c r="U260" t="s">
        <v>63</v>
      </c>
      <c r="V260">
        <f t="shared" si="12"/>
        <v>4</v>
      </c>
      <c r="W260">
        <f t="shared" si="13"/>
        <v>0</v>
      </c>
      <c r="X260">
        <f t="shared" si="14"/>
        <v>0</v>
      </c>
      <c r="Y260">
        <v>100</v>
      </c>
      <c r="Z260">
        <v>194</v>
      </c>
      <c r="AA260" t="s">
        <v>2158</v>
      </c>
      <c r="AB260" t="s">
        <v>2159</v>
      </c>
      <c r="AC260" t="s">
        <v>89</v>
      </c>
      <c r="AD260">
        <v>5</v>
      </c>
      <c r="AE260">
        <v>49</v>
      </c>
      <c r="AF260" t="s">
        <v>57</v>
      </c>
      <c r="AH260" t="s">
        <v>58</v>
      </c>
      <c r="AI260">
        <v>182.64</v>
      </c>
      <c r="AJ260" t="s">
        <v>52</v>
      </c>
      <c r="AK260" t="s">
        <v>810</v>
      </c>
      <c r="AL260" t="s">
        <v>812</v>
      </c>
      <c r="AM260" t="s">
        <v>177</v>
      </c>
      <c r="AN260" s="1">
        <v>45640</v>
      </c>
      <c r="AO260">
        <v>2024</v>
      </c>
      <c r="AP260">
        <v>12</v>
      </c>
      <c r="AQ260" t="s">
        <v>116</v>
      </c>
      <c r="AS260" t="s">
        <v>85</v>
      </c>
      <c r="AT260">
        <v>2025</v>
      </c>
      <c r="AU260" t="s">
        <v>639</v>
      </c>
      <c r="AV260" t="s">
        <v>177</v>
      </c>
      <c r="AW260" t="s">
        <v>2157</v>
      </c>
      <c r="AX260">
        <v>2025</v>
      </c>
      <c r="AY260" t="s">
        <v>2158</v>
      </c>
      <c r="AZ260" t="s">
        <v>2158</v>
      </c>
    </row>
    <row r="261" spans="1:52" x14ac:dyDescent="0.25">
      <c r="A261" t="s">
        <v>2160</v>
      </c>
      <c r="B261" s="1">
        <v>37163</v>
      </c>
      <c r="C261" t="s">
        <v>2161</v>
      </c>
      <c r="D261">
        <v>444020</v>
      </c>
      <c r="E261" t="s">
        <v>46</v>
      </c>
      <c r="F261" t="s">
        <v>837</v>
      </c>
      <c r="G261" t="s">
        <v>449</v>
      </c>
      <c r="H261" t="s">
        <v>2161</v>
      </c>
      <c r="I261" t="s">
        <v>1549</v>
      </c>
      <c r="J261">
        <v>80</v>
      </c>
      <c r="K261">
        <v>-84</v>
      </c>
      <c r="L261">
        <v>85</v>
      </c>
      <c r="M261">
        <v>85</v>
      </c>
      <c r="N261">
        <v>165</v>
      </c>
      <c r="O261" t="s">
        <v>65</v>
      </c>
      <c r="P261">
        <v>98</v>
      </c>
      <c r="Q261">
        <v>-105</v>
      </c>
      <c r="R261">
        <v>-105</v>
      </c>
      <c r="S261">
        <v>98</v>
      </c>
      <c r="T261">
        <v>0</v>
      </c>
      <c r="U261" t="s">
        <v>55</v>
      </c>
      <c r="V261">
        <f t="shared" si="12"/>
        <v>3</v>
      </c>
      <c r="W261">
        <f t="shared" si="13"/>
        <v>0</v>
      </c>
      <c r="X261">
        <f t="shared" si="14"/>
        <v>0</v>
      </c>
      <c r="Y261">
        <v>183</v>
      </c>
      <c r="Z261">
        <v>165</v>
      </c>
      <c r="AA261" t="s">
        <v>2163</v>
      </c>
      <c r="AB261" t="s">
        <v>2164</v>
      </c>
      <c r="AC261" t="s">
        <v>89</v>
      </c>
      <c r="AD261">
        <v>5</v>
      </c>
      <c r="AE261">
        <v>55</v>
      </c>
      <c r="AF261" t="s">
        <v>126</v>
      </c>
      <c r="AH261" t="s">
        <v>1548</v>
      </c>
      <c r="AI261">
        <v>303.62</v>
      </c>
      <c r="AJ261" t="s">
        <v>52</v>
      </c>
      <c r="AK261" t="s">
        <v>837</v>
      </c>
      <c r="AL261" t="s">
        <v>840</v>
      </c>
      <c r="AM261" t="s">
        <v>173</v>
      </c>
      <c r="AN261" s="1">
        <v>45640</v>
      </c>
      <c r="AO261">
        <v>2024</v>
      </c>
      <c r="AP261">
        <v>12</v>
      </c>
      <c r="AQ261" t="s">
        <v>116</v>
      </c>
      <c r="AS261" t="s">
        <v>85</v>
      </c>
      <c r="AT261">
        <v>2025</v>
      </c>
      <c r="AU261" t="s">
        <v>449</v>
      </c>
      <c r="AV261" t="s">
        <v>173</v>
      </c>
      <c r="AW261" t="s">
        <v>2161</v>
      </c>
      <c r="AX261">
        <v>2025</v>
      </c>
      <c r="AY261" t="s">
        <v>2162</v>
      </c>
      <c r="AZ261" t="s">
        <v>2163</v>
      </c>
    </row>
    <row r="262" spans="1:52" x14ac:dyDescent="0.25">
      <c r="A262" t="s">
        <v>2165</v>
      </c>
      <c r="B262" s="1">
        <v>38179</v>
      </c>
      <c r="C262" t="s">
        <v>2166</v>
      </c>
      <c r="D262">
        <v>476026</v>
      </c>
      <c r="E262" t="s">
        <v>46</v>
      </c>
      <c r="F262" t="s">
        <v>801</v>
      </c>
      <c r="G262" t="s">
        <v>66</v>
      </c>
      <c r="H262" t="s">
        <v>2166</v>
      </c>
      <c r="I262" t="s">
        <v>1651</v>
      </c>
      <c r="J262">
        <v>66</v>
      </c>
      <c r="K262">
        <v>70</v>
      </c>
      <c r="L262">
        <v>73</v>
      </c>
      <c r="M262">
        <v>73</v>
      </c>
      <c r="N262">
        <v>143</v>
      </c>
      <c r="O262" t="s">
        <v>48</v>
      </c>
      <c r="P262">
        <v>78</v>
      </c>
      <c r="Q262">
        <v>82</v>
      </c>
      <c r="R262">
        <v>-85</v>
      </c>
      <c r="S262">
        <v>82</v>
      </c>
      <c r="T262">
        <v>160</v>
      </c>
      <c r="U262" t="s">
        <v>60</v>
      </c>
      <c r="V262">
        <f t="shared" si="12"/>
        <v>5</v>
      </c>
      <c r="W262">
        <f t="shared" si="13"/>
        <v>0</v>
      </c>
      <c r="X262">
        <f t="shared" si="14"/>
        <v>0</v>
      </c>
      <c r="Y262">
        <v>155</v>
      </c>
      <c r="Z262">
        <v>303</v>
      </c>
      <c r="AA262" t="s">
        <v>2167</v>
      </c>
      <c r="AB262" t="s">
        <v>2168</v>
      </c>
      <c r="AC262" t="s">
        <v>94</v>
      </c>
      <c r="AD262">
        <v>4</v>
      </c>
      <c r="AE262">
        <v>59</v>
      </c>
      <c r="AF262" t="s">
        <v>126</v>
      </c>
      <c r="AH262" t="s">
        <v>202</v>
      </c>
      <c r="AI262">
        <v>215.19</v>
      </c>
      <c r="AJ262" t="s">
        <v>132</v>
      </c>
      <c r="AK262" t="s">
        <v>801</v>
      </c>
      <c r="AL262" t="s">
        <v>804</v>
      </c>
      <c r="AM262" t="s">
        <v>68</v>
      </c>
      <c r="AN262" s="1">
        <v>45640</v>
      </c>
      <c r="AO262">
        <v>2024</v>
      </c>
      <c r="AP262">
        <v>12</v>
      </c>
      <c r="AQ262" t="s">
        <v>116</v>
      </c>
      <c r="AS262" t="s">
        <v>85</v>
      </c>
      <c r="AT262">
        <v>2025</v>
      </c>
      <c r="AU262" t="s">
        <v>66</v>
      </c>
      <c r="AV262" t="s">
        <v>68</v>
      </c>
      <c r="AW262" t="s">
        <v>2166</v>
      </c>
      <c r="AX262">
        <v>2025</v>
      </c>
      <c r="AY262" t="s">
        <v>2167</v>
      </c>
      <c r="AZ262" t="s">
        <v>2167</v>
      </c>
    </row>
    <row r="263" spans="1:52" x14ac:dyDescent="0.25">
      <c r="A263" t="s">
        <v>2170</v>
      </c>
      <c r="B263" s="1">
        <v>33198</v>
      </c>
      <c r="C263" t="s">
        <v>2171</v>
      </c>
      <c r="D263">
        <v>484910</v>
      </c>
      <c r="E263" t="s">
        <v>46</v>
      </c>
      <c r="F263" t="s">
        <v>338</v>
      </c>
      <c r="G263" t="s">
        <v>124</v>
      </c>
      <c r="H263" t="s">
        <v>2171</v>
      </c>
      <c r="I263" t="s">
        <v>739</v>
      </c>
      <c r="J263">
        <v>60</v>
      </c>
      <c r="K263">
        <v>-63</v>
      </c>
      <c r="L263">
        <v>65</v>
      </c>
      <c r="M263">
        <v>65</v>
      </c>
      <c r="N263">
        <v>125</v>
      </c>
      <c r="O263" t="s">
        <v>65</v>
      </c>
      <c r="P263">
        <v>87</v>
      </c>
      <c r="Q263">
        <v>90</v>
      </c>
      <c r="R263">
        <v>-92</v>
      </c>
      <c r="S263">
        <v>90</v>
      </c>
      <c r="T263">
        <v>177</v>
      </c>
      <c r="U263" t="s">
        <v>60</v>
      </c>
      <c r="V263">
        <f t="shared" si="12"/>
        <v>4</v>
      </c>
      <c r="W263">
        <f t="shared" si="13"/>
        <v>0</v>
      </c>
      <c r="X263">
        <f t="shared" si="14"/>
        <v>0</v>
      </c>
      <c r="Y263">
        <v>155</v>
      </c>
      <c r="Z263">
        <v>302</v>
      </c>
      <c r="AA263" t="s">
        <v>2172</v>
      </c>
      <c r="AB263" t="s">
        <v>2173</v>
      </c>
      <c r="AC263" t="s">
        <v>89</v>
      </c>
      <c r="AD263">
        <v>5</v>
      </c>
      <c r="AE263">
        <v>76</v>
      </c>
      <c r="AF263" t="s">
        <v>126</v>
      </c>
      <c r="AG263">
        <v>35</v>
      </c>
      <c r="AH263" t="s">
        <v>228</v>
      </c>
      <c r="AI263">
        <v>184.97</v>
      </c>
      <c r="AJ263" t="s">
        <v>132</v>
      </c>
      <c r="AK263" t="s">
        <v>338</v>
      </c>
      <c r="AL263" t="s">
        <v>340</v>
      </c>
      <c r="AM263" t="s">
        <v>128</v>
      </c>
      <c r="AN263" s="1">
        <v>45640</v>
      </c>
      <c r="AO263">
        <v>2024</v>
      </c>
      <c r="AP263">
        <v>12</v>
      </c>
      <c r="AQ263" t="s">
        <v>116</v>
      </c>
      <c r="AS263" t="s">
        <v>85</v>
      </c>
      <c r="AT263">
        <v>2025</v>
      </c>
      <c r="AU263" t="s">
        <v>124</v>
      </c>
      <c r="AV263" t="s">
        <v>128</v>
      </c>
      <c r="AW263" t="s">
        <v>2171</v>
      </c>
      <c r="AX263">
        <v>2025</v>
      </c>
      <c r="AY263" t="s">
        <v>2172</v>
      </c>
      <c r="AZ263" t="s">
        <v>2172</v>
      </c>
    </row>
    <row r="264" spans="1:52" x14ac:dyDescent="0.25">
      <c r="A264" t="s">
        <v>2174</v>
      </c>
      <c r="B264" s="1">
        <v>34026</v>
      </c>
      <c r="C264" t="s">
        <v>2175</v>
      </c>
      <c r="D264">
        <v>475744</v>
      </c>
      <c r="E264" t="s">
        <v>2176</v>
      </c>
      <c r="F264" t="s">
        <v>912</v>
      </c>
      <c r="G264" t="s">
        <v>161</v>
      </c>
      <c r="H264" t="s">
        <v>2175</v>
      </c>
      <c r="I264">
        <v>58</v>
      </c>
      <c r="J264">
        <v>55</v>
      </c>
      <c r="K264">
        <v>-60</v>
      </c>
      <c r="L264">
        <v>-60</v>
      </c>
      <c r="M264">
        <v>55</v>
      </c>
      <c r="N264">
        <v>0</v>
      </c>
      <c r="O264" t="s">
        <v>55</v>
      </c>
      <c r="P264">
        <v>65</v>
      </c>
      <c r="Q264">
        <v>-70</v>
      </c>
      <c r="R264">
        <v>-70</v>
      </c>
      <c r="S264">
        <v>65</v>
      </c>
      <c r="T264">
        <v>0</v>
      </c>
      <c r="U264" t="s">
        <v>55</v>
      </c>
      <c r="V264">
        <f t="shared" si="12"/>
        <v>2</v>
      </c>
      <c r="W264">
        <f t="shared" si="13"/>
        <v>0</v>
      </c>
      <c r="X264">
        <f t="shared" si="14"/>
        <v>0</v>
      </c>
      <c r="Y264">
        <v>120</v>
      </c>
      <c r="Z264">
        <v>0</v>
      </c>
      <c r="AA264" t="s">
        <v>2178</v>
      </c>
      <c r="AB264" t="s">
        <v>99</v>
      </c>
      <c r="AC264" t="s">
        <v>93</v>
      </c>
      <c r="AD264">
        <v>6</v>
      </c>
      <c r="AE264">
        <v>59</v>
      </c>
      <c r="AF264" t="s">
        <v>126</v>
      </c>
      <c r="AH264" t="s">
        <v>202</v>
      </c>
      <c r="AI264">
        <v>166.06</v>
      </c>
      <c r="AJ264" t="s">
        <v>132</v>
      </c>
      <c r="AK264" t="s">
        <v>912</v>
      </c>
      <c r="AL264" t="s">
        <v>914</v>
      </c>
      <c r="AM264" t="s">
        <v>128</v>
      </c>
      <c r="AN264" s="1">
        <v>45640</v>
      </c>
      <c r="AO264">
        <v>2024</v>
      </c>
      <c r="AP264">
        <v>12</v>
      </c>
      <c r="AQ264" t="s">
        <v>116</v>
      </c>
      <c r="AS264" t="s">
        <v>85</v>
      </c>
      <c r="AT264">
        <v>2025</v>
      </c>
      <c r="AU264" t="s">
        <v>161</v>
      </c>
      <c r="AV264" t="s">
        <v>128</v>
      </c>
      <c r="AW264" t="s">
        <v>2175</v>
      </c>
      <c r="AX264">
        <v>2025</v>
      </c>
      <c r="AY264" t="s">
        <v>2177</v>
      </c>
      <c r="AZ264" t="s">
        <v>2179</v>
      </c>
    </row>
    <row r="265" spans="1:52" x14ac:dyDescent="0.25">
      <c r="A265" t="s">
        <v>2180</v>
      </c>
      <c r="B265" s="1">
        <v>39792</v>
      </c>
      <c r="C265" t="s">
        <v>2181</v>
      </c>
      <c r="D265">
        <v>473396</v>
      </c>
      <c r="E265" t="s">
        <v>46</v>
      </c>
      <c r="F265" t="s">
        <v>441</v>
      </c>
      <c r="G265" t="s">
        <v>400</v>
      </c>
      <c r="H265" t="s">
        <v>2181</v>
      </c>
      <c r="I265" t="s">
        <v>97</v>
      </c>
      <c r="J265">
        <v>53</v>
      </c>
      <c r="K265">
        <v>55</v>
      </c>
      <c r="L265">
        <v>-58</v>
      </c>
      <c r="M265">
        <v>55</v>
      </c>
      <c r="N265">
        <v>108</v>
      </c>
      <c r="O265" t="s">
        <v>60</v>
      </c>
      <c r="P265">
        <v>65</v>
      </c>
      <c r="Q265">
        <v>70</v>
      </c>
      <c r="R265">
        <v>-73</v>
      </c>
      <c r="S265">
        <v>70</v>
      </c>
      <c r="T265">
        <v>135</v>
      </c>
      <c r="U265" t="s">
        <v>60</v>
      </c>
      <c r="V265">
        <f t="shared" si="12"/>
        <v>4</v>
      </c>
      <c r="W265">
        <f t="shared" si="13"/>
        <v>0</v>
      </c>
      <c r="X265">
        <f t="shared" si="14"/>
        <v>0</v>
      </c>
      <c r="Y265">
        <v>125</v>
      </c>
      <c r="Z265">
        <v>243</v>
      </c>
      <c r="AA265" t="s">
        <v>2182</v>
      </c>
      <c r="AB265" t="s">
        <v>2103</v>
      </c>
      <c r="AC265" t="s">
        <v>94</v>
      </c>
      <c r="AD265">
        <v>4</v>
      </c>
      <c r="AE265">
        <v>64</v>
      </c>
      <c r="AF265" t="s">
        <v>95</v>
      </c>
      <c r="AH265" t="s">
        <v>169</v>
      </c>
      <c r="AI265">
        <v>168.46</v>
      </c>
      <c r="AJ265" t="s">
        <v>132</v>
      </c>
      <c r="AK265" t="s">
        <v>441</v>
      </c>
      <c r="AL265" t="s">
        <v>445</v>
      </c>
      <c r="AM265" t="s">
        <v>72</v>
      </c>
      <c r="AN265" s="1">
        <v>45640</v>
      </c>
      <c r="AO265">
        <v>2024</v>
      </c>
      <c r="AP265">
        <v>12</v>
      </c>
      <c r="AQ265" t="s">
        <v>116</v>
      </c>
      <c r="AS265" t="s">
        <v>85</v>
      </c>
      <c r="AT265">
        <v>2025</v>
      </c>
      <c r="AU265" t="s">
        <v>400</v>
      </c>
      <c r="AV265" t="s">
        <v>72</v>
      </c>
      <c r="AW265" t="s">
        <v>2181</v>
      </c>
      <c r="AX265">
        <v>2025</v>
      </c>
      <c r="AY265" t="s">
        <v>2182</v>
      </c>
      <c r="AZ265" t="s">
        <v>2182</v>
      </c>
    </row>
    <row r="266" spans="1:52" x14ac:dyDescent="0.25">
      <c r="A266" t="s">
        <v>2183</v>
      </c>
      <c r="B266" s="1">
        <v>30530</v>
      </c>
      <c r="C266" t="s">
        <v>2184</v>
      </c>
      <c r="D266">
        <v>45169</v>
      </c>
      <c r="E266" t="s">
        <v>46</v>
      </c>
      <c r="F266" t="s">
        <v>338</v>
      </c>
      <c r="G266" t="s">
        <v>427</v>
      </c>
      <c r="H266" t="s">
        <v>2184</v>
      </c>
      <c r="I266">
        <v>96</v>
      </c>
      <c r="J266">
        <v>63</v>
      </c>
      <c r="K266">
        <v>-68</v>
      </c>
      <c r="L266">
        <v>-72</v>
      </c>
      <c r="M266">
        <v>63</v>
      </c>
      <c r="N266">
        <v>0</v>
      </c>
      <c r="O266" t="s">
        <v>55</v>
      </c>
      <c r="P266">
        <v>-80</v>
      </c>
      <c r="Q266">
        <v>85</v>
      </c>
      <c r="R266">
        <v>-90</v>
      </c>
      <c r="S266">
        <v>85</v>
      </c>
      <c r="T266">
        <v>0</v>
      </c>
      <c r="U266" t="s">
        <v>104</v>
      </c>
      <c r="V266">
        <f t="shared" si="12"/>
        <v>2</v>
      </c>
      <c r="W266">
        <f t="shared" si="13"/>
        <v>0</v>
      </c>
      <c r="X266">
        <f t="shared" si="14"/>
        <v>0</v>
      </c>
      <c r="Y266">
        <v>148</v>
      </c>
      <c r="Z266">
        <v>0</v>
      </c>
      <c r="AA266" t="s">
        <v>2187</v>
      </c>
      <c r="AB266" t="s">
        <v>99</v>
      </c>
      <c r="AC266" t="s">
        <v>93</v>
      </c>
      <c r="AD266">
        <v>6</v>
      </c>
      <c r="AE266" t="s">
        <v>135</v>
      </c>
      <c r="AF266" t="s">
        <v>126</v>
      </c>
      <c r="AG266">
        <v>40</v>
      </c>
      <c r="AH266" t="s">
        <v>136</v>
      </c>
      <c r="AI266">
        <v>159.65</v>
      </c>
      <c r="AJ266" t="s">
        <v>132</v>
      </c>
      <c r="AK266" t="s">
        <v>338</v>
      </c>
      <c r="AL266" t="s">
        <v>340</v>
      </c>
      <c r="AM266" t="s">
        <v>128</v>
      </c>
      <c r="AN266" s="1">
        <v>45640</v>
      </c>
      <c r="AO266">
        <v>2024</v>
      </c>
      <c r="AP266">
        <v>12</v>
      </c>
      <c r="AQ266" t="s">
        <v>116</v>
      </c>
      <c r="AS266" t="s">
        <v>85</v>
      </c>
      <c r="AT266">
        <v>2025</v>
      </c>
      <c r="AU266" t="s">
        <v>427</v>
      </c>
      <c r="AV266" t="s">
        <v>128</v>
      </c>
      <c r="AW266" t="s">
        <v>2184</v>
      </c>
      <c r="AX266">
        <v>2025</v>
      </c>
      <c r="AY266" t="s">
        <v>2185</v>
      </c>
      <c r="AZ266" t="s">
        <v>2186</v>
      </c>
    </row>
    <row r="267" spans="1:52" x14ac:dyDescent="0.25">
      <c r="A267" t="s">
        <v>2189</v>
      </c>
      <c r="B267" s="1">
        <v>39961</v>
      </c>
      <c r="C267" t="s">
        <v>2190</v>
      </c>
      <c r="D267">
        <v>490704</v>
      </c>
      <c r="E267" t="s">
        <v>46</v>
      </c>
      <c r="F267" t="s">
        <v>1221</v>
      </c>
      <c r="G267" t="s">
        <v>258</v>
      </c>
      <c r="H267" t="s">
        <v>2190</v>
      </c>
      <c r="I267">
        <v>55</v>
      </c>
      <c r="J267">
        <v>-37</v>
      </c>
      <c r="K267">
        <v>37</v>
      </c>
      <c r="L267">
        <v>-40</v>
      </c>
      <c r="M267">
        <v>37</v>
      </c>
      <c r="N267">
        <v>0</v>
      </c>
      <c r="O267" t="s">
        <v>104</v>
      </c>
      <c r="P267">
        <v>44</v>
      </c>
      <c r="Q267">
        <v>47</v>
      </c>
      <c r="R267">
        <v>-50</v>
      </c>
      <c r="S267">
        <v>47</v>
      </c>
      <c r="T267">
        <v>91</v>
      </c>
      <c r="U267" t="s">
        <v>60</v>
      </c>
      <c r="V267">
        <f t="shared" si="12"/>
        <v>3</v>
      </c>
      <c r="W267">
        <f t="shared" si="13"/>
        <v>0</v>
      </c>
      <c r="X267">
        <f t="shared" si="14"/>
        <v>0</v>
      </c>
      <c r="Y267">
        <v>84</v>
      </c>
      <c r="Z267">
        <v>91</v>
      </c>
      <c r="AA267" t="s">
        <v>2141</v>
      </c>
      <c r="AB267" t="s">
        <v>906</v>
      </c>
      <c r="AC267" t="s">
        <v>93</v>
      </c>
      <c r="AD267">
        <v>6</v>
      </c>
      <c r="AE267">
        <v>55</v>
      </c>
      <c r="AF267" t="s">
        <v>95</v>
      </c>
      <c r="AH267" t="s">
        <v>175</v>
      </c>
      <c r="AI267">
        <v>120.54</v>
      </c>
      <c r="AJ267" t="s">
        <v>132</v>
      </c>
      <c r="AK267" t="s">
        <v>1221</v>
      </c>
      <c r="AL267" t="s">
        <v>1223</v>
      </c>
      <c r="AM267" t="s">
        <v>128</v>
      </c>
      <c r="AN267" s="1">
        <v>45641</v>
      </c>
      <c r="AO267">
        <v>2024</v>
      </c>
      <c r="AP267">
        <v>12</v>
      </c>
      <c r="AQ267" t="s">
        <v>116</v>
      </c>
      <c r="AS267" t="s">
        <v>85</v>
      </c>
      <c r="AT267">
        <v>2025</v>
      </c>
      <c r="AU267" t="s">
        <v>258</v>
      </c>
      <c r="AV267" t="s">
        <v>128</v>
      </c>
      <c r="AW267" t="s">
        <v>2190</v>
      </c>
      <c r="AX267">
        <v>2025</v>
      </c>
      <c r="AY267" t="s">
        <v>2191</v>
      </c>
      <c r="AZ267" t="s">
        <v>2141</v>
      </c>
    </row>
    <row r="268" spans="1:52" x14ac:dyDescent="0.25">
      <c r="A268" t="s">
        <v>2192</v>
      </c>
      <c r="B268" s="1">
        <v>37175</v>
      </c>
      <c r="C268" t="s">
        <v>2193</v>
      </c>
      <c r="D268">
        <v>497144</v>
      </c>
      <c r="E268" t="s">
        <v>46</v>
      </c>
      <c r="F268" t="s">
        <v>232</v>
      </c>
      <c r="G268" t="s">
        <v>258</v>
      </c>
      <c r="H268" t="s">
        <v>2193</v>
      </c>
      <c r="I268">
        <v>62</v>
      </c>
      <c r="J268">
        <v>70</v>
      </c>
      <c r="K268">
        <v>-73</v>
      </c>
      <c r="L268">
        <v>73</v>
      </c>
      <c r="M268">
        <v>73</v>
      </c>
      <c r="N268">
        <v>143</v>
      </c>
      <c r="O268" t="s">
        <v>65</v>
      </c>
      <c r="P268">
        <v>-92</v>
      </c>
      <c r="Q268">
        <v>92</v>
      </c>
      <c r="R268">
        <v>96</v>
      </c>
      <c r="S268">
        <v>96</v>
      </c>
      <c r="T268">
        <v>188</v>
      </c>
      <c r="U268" t="s">
        <v>63</v>
      </c>
      <c r="V268">
        <f t="shared" si="12"/>
        <v>4</v>
      </c>
      <c r="W268">
        <f t="shared" si="13"/>
        <v>0</v>
      </c>
      <c r="X268">
        <f t="shared" si="14"/>
        <v>0</v>
      </c>
      <c r="Y268">
        <v>169</v>
      </c>
      <c r="Z268">
        <v>331</v>
      </c>
      <c r="AA268" t="s">
        <v>2194</v>
      </c>
      <c r="AB268" t="s">
        <v>2195</v>
      </c>
      <c r="AC268" t="s">
        <v>94</v>
      </c>
      <c r="AD268">
        <v>4</v>
      </c>
      <c r="AE268">
        <v>64</v>
      </c>
      <c r="AF268" t="s">
        <v>126</v>
      </c>
      <c r="AH268" t="s">
        <v>167</v>
      </c>
      <c r="AI268">
        <v>224.04</v>
      </c>
      <c r="AJ268" t="s">
        <v>132</v>
      </c>
      <c r="AK268" t="s">
        <v>232</v>
      </c>
      <c r="AL268" t="s">
        <v>236</v>
      </c>
      <c r="AM268" t="s">
        <v>128</v>
      </c>
      <c r="AN268" s="1">
        <v>45640</v>
      </c>
      <c r="AO268">
        <v>2024</v>
      </c>
      <c r="AP268">
        <v>12</v>
      </c>
      <c r="AQ268" t="s">
        <v>116</v>
      </c>
      <c r="AS268" t="s">
        <v>85</v>
      </c>
      <c r="AT268">
        <v>2025</v>
      </c>
      <c r="AU268" t="s">
        <v>258</v>
      </c>
      <c r="AV268" t="s">
        <v>128</v>
      </c>
      <c r="AW268" t="s">
        <v>2193</v>
      </c>
      <c r="AX268">
        <v>2025</v>
      </c>
      <c r="AY268" t="s">
        <v>2194</v>
      </c>
      <c r="AZ268" t="s">
        <v>2194</v>
      </c>
    </row>
    <row r="269" spans="1:52" x14ac:dyDescent="0.25">
      <c r="A269" t="s">
        <v>2196</v>
      </c>
      <c r="B269" s="1">
        <v>37498</v>
      </c>
      <c r="C269" t="s">
        <v>2197</v>
      </c>
      <c r="D269">
        <v>489553</v>
      </c>
      <c r="E269" t="s">
        <v>46</v>
      </c>
      <c r="F269" t="s">
        <v>941</v>
      </c>
      <c r="G269" t="s">
        <v>937</v>
      </c>
      <c r="H269" t="s">
        <v>2197</v>
      </c>
      <c r="I269" t="s">
        <v>462</v>
      </c>
      <c r="J269">
        <v>59</v>
      </c>
      <c r="K269">
        <v>-62</v>
      </c>
      <c r="L269">
        <v>62</v>
      </c>
      <c r="M269">
        <v>62</v>
      </c>
      <c r="N269">
        <v>121</v>
      </c>
      <c r="O269" t="s">
        <v>65</v>
      </c>
      <c r="P269">
        <v>83</v>
      </c>
      <c r="Q269">
        <v>-86</v>
      </c>
      <c r="R269">
        <v>-86</v>
      </c>
      <c r="S269">
        <v>83</v>
      </c>
      <c r="T269">
        <v>0</v>
      </c>
      <c r="U269" t="s">
        <v>55</v>
      </c>
      <c r="V269">
        <f t="shared" si="12"/>
        <v>3</v>
      </c>
      <c r="W269">
        <f t="shared" si="13"/>
        <v>0</v>
      </c>
      <c r="X269">
        <f t="shared" si="14"/>
        <v>0</v>
      </c>
      <c r="Y269">
        <v>145</v>
      </c>
      <c r="Z269">
        <v>121</v>
      </c>
      <c r="AA269" t="s">
        <v>1855</v>
      </c>
      <c r="AB269" t="s">
        <v>2198</v>
      </c>
      <c r="AC269" t="s">
        <v>94</v>
      </c>
      <c r="AD269">
        <v>4</v>
      </c>
      <c r="AE269">
        <v>55</v>
      </c>
      <c r="AF269" t="s">
        <v>126</v>
      </c>
      <c r="AH269" t="s">
        <v>197</v>
      </c>
      <c r="AI269">
        <v>209.43</v>
      </c>
      <c r="AJ269" t="s">
        <v>132</v>
      </c>
      <c r="AK269" t="s">
        <v>941</v>
      </c>
      <c r="AL269" t="s">
        <v>944</v>
      </c>
      <c r="AM269" t="s">
        <v>53</v>
      </c>
      <c r="AN269" s="1">
        <v>45640</v>
      </c>
      <c r="AO269">
        <v>2024</v>
      </c>
      <c r="AP269">
        <v>12</v>
      </c>
      <c r="AQ269" t="s">
        <v>116</v>
      </c>
      <c r="AS269" t="s">
        <v>85</v>
      </c>
      <c r="AT269">
        <v>2025</v>
      </c>
      <c r="AU269" t="s">
        <v>937</v>
      </c>
      <c r="AV269" t="s">
        <v>54</v>
      </c>
      <c r="AW269" t="s">
        <v>2197</v>
      </c>
      <c r="AX269">
        <v>2025</v>
      </c>
      <c r="AY269" t="s">
        <v>1855</v>
      </c>
      <c r="AZ269" t="s">
        <v>1855</v>
      </c>
    </row>
    <row r="270" spans="1:52" x14ac:dyDescent="0.25">
      <c r="A270" t="s">
        <v>2199</v>
      </c>
      <c r="B270" s="1">
        <v>40034</v>
      </c>
      <c r="C270" t="s">
        <v>2200</v>
      </c>
      <c r="D270">
        <v>478561</v>
      </c>
      <c r="E270" t="s">
        <v>46</v>
      </c>
      <c r="F270" t="s">
        <v>1209</v>
      </c>
      <c r="G270" t="s">
        <v>744</v>
      </c>
      <c r="H270" t="s">
        <v>2200</v>
      </c>
      <c r="I270" t="s">
        <v>2202</v>
      </c>
      <c r="J270">
        <v>50</v>
      </c>
      <c r="K270">
        <v>53</v>
      </c>
      <c r="L270">
        <v>55</v>
      </c>
      <c r="M270">
        <v>55</v>
      </c>
      <c r="N270">
        <v>108</v>
      </c>
      <c r="O270" t="s">
        <v>48</v>
      </c>
      <c r="P270">
        <v>65</v>
      </c>
      <c r="Q270">
        <v>70</v>
      </c>
      <c r="R270">
        <v>-75</v>
      </c>
      <c r="S270">
        <v>70</v>
      </c>
      <c r="T270">
        <v>135</v>
      </c>
      <c r="U270" t="s">
        <v>60</v>
      </c>
      <c r="V270">
        <f t="shared" si="12"/>
        <v>5</v>
      </c>
      <c r="W270">
        <f t="shared" si="13"/>
        <v>0</v>
      </c>
      <c r="X270">
        <f t="shared" si="14"/>
        <v>0</v>
      </c>
      <c r="Y270">
        <v>125</v>
      </c>
      <c r="Z270">
        <v>243</v>
      </c>
      <c r="AA270" t="s">
        <v>2203</v>
      </c>
      <c r="AB270" t="s">
        <v>2204</v>
      </c>
      <c r="AC270" t="s">
        <v>89</v>
      </c>
      <c r="AD270">
        <v>5</v>
      </c>
      <c r="AE270" t="s">
        <v>479</v>
      </c>
      <c r="AF270" t="s">
        <v>95</v>
      </c>
      <c r="AH270" t="s">
        <v>480</v>
      </c>
      <c r="AI270">
        <v>133.38</v>
      </c>
      <c r="AJ270" t="s">
        <v>132</v>
      </c>
      <c r="AK270" t="s">
        <v>1209</v>
      </c>
      <c r="AL270" t="s">
        <v>1213</v>
      </c>
      <c r="AM270" t="s">
        <v>68</v>
      </c>
      <c r="AN270" s="1">
        <v>45640</v>
      </c>
      <c r="AO270">
        <v>2024</v>
      </c>
      <c r="AP270">
        <v>12</v>
      </c>
      <c r="AQ270" t="s">
        <v>116</v>
      </c>
      <c r="AS270" t="s">
        <v>85</v>
      </c>
      <c r="AT270">
        <v>2025</v>
      </c>
      <c r="AU270" t="s">
        <v>744</v>
      </c>
      <c r="AV270" t="s">
        <v>68</v>
      </c>
      <c r="AW270" t="s">
        <v>2200</v>
      </c>
      <c r="AX270">
        <v>2025</v>
      </c>
      <c r="AY270" t="s">
        <v>2201</v>
      </c>
      <c r="AZ270" t="s">
        <v>2203</v>
      </c>
    </row>
    <row r="271" spans="1:52" x14ac:dyDescent="0.25">
      <c r="A271" t="s">
        <v>2205</v>
      </c>
      <c r="B271" s="1">
        <v>33755</v>
      </c>
      <c r="C271" t="s">
        <v>2206</v>
      </c>
      <c r="D271">
        <v>464865</v>
      </c>
      <c r="E271" t="s">
        <v>46</v>
      </c>
      <c r="F271" t="s">
        <v>617</v>
      </c>
      <c r="G271" t="s">
        <v>1202</v>
      </c>
      <c r="H271" t="s">
        <v>2206</v>
      </c>
      <c r="I271" t="s">
        <v>1031</v>
      </c>
      <c r="J271">
        <v>66</v>
      </c>
      <c r="K271">
        <v>70</v>
      </c>
      <c r="L271">
        <v>-75</v>
      </c>
      <c r="M271">
        <v>70</v>
      </c>
      <c r="N271">
        <v>136</v>
      </c>
      <c r="O271" t="s">
        <v>60</v>
      </c>
      <c r="P271">
        <v>85</v>
      </c>
      <c r="Q271">
        <v>88</v>
      </c>
      <c r="R271">
        <v>91</v>
      </c>
      <c r="S271">
        <v>91</v>
      </c>
      <c r="T271">
        <v>179</v>
      </c>
      <c r="U271" t="s">
        <v>48</v>
      </c>
      <c r="V271">
        <f t="shared" si="12"/>
        <v>5</v>
      </c>
      <c r="W271">
        <f t="shared" si="13"/>
        <v>0</v>
      </c>
      <c r="X271">
        <f t="shared" si="14"/>
        <v>0</v>
      </c>
      <c r="Y271">
        <v>161</v>
      </c>
      <c r="Z271">
        <v>315</v>
      </c>
      <c r="AA271" t="s">
        <v>2207</v>
      </c>
      <c r="AB271" t="s">
        <v>2208</v>
      </c>
      <c r="AC271" t="s">
        <v>89</v>
      </c>
      <c r="AD271">
        <v>5</v>
      </c>
      <c r="AE271">
        <v>64</v>
      </c>
      <c r="AF271" t="s">
        <v>126</v>
      </c>
      <c r="AH271" t="s">
        <v>167</v>
      </c>
      <c r="AI271">
        <v>210.63</v>
      </c>
      <c r="AJ271" t="s">
        <v>132</v>
      </c>
      <c r="AK271" t="s">
        <v>617</v>
      </c>
      <c r="AL271" t="s">
        <v>620</v>
      </c>
      <c r="AM271" t="s">
        <v>90</v>
      </c>
      <c r="AN271" s="1">
        <v>45640</v>
      </c>
      <c r="AO271">
        <v>2024</v>
      </c>
      <c r="AP271">
        <v>12</v>
      </c>
      <c r="AQ271" t="s">
        <v>116</v>
      </c>
      <c r="AS271" t="s">
        <v>85</v>
      </c>
      <c r="AT271">
        <v>2025</v>
      </c>
      <c r="AU271" t="s">
        <v>1202</v>
      </c>
      <c r="AV271" t="s">
        <v>91</v>
      </c>
      <c r="AW271" t="s">
        <v>2206</v>
      </c>
      <c r="AX271">
        <v>2025</v>
      </c>
      <c r="AY271" t="s">
        <v>2209</v>
      </c>
      <c r="AZ271" t="s">
        <v>2207</v>
      </c>
    </row>
    <row r="272" spans="1:52" x14ac:dyDescent="0.25">
      <c r="A272" t="s">
        <v>2212</v>
      </c>
      <c r="B272" s="1">
        <v>41700</v>
      </c>
      <c r="C272" t="s">
        <v>2213</v>
      </c>
      <c r="D272">
        <v>501064</v>
      </c>
      <c r="E272" t="s">
        <v>46</v>
      </c>
      <c r="F272" t="s">
        <v>867</v>
      </c>
      <c r="G272" t="s">
        <v>66</v>
      </c>
      <c r="H272" t="s">
        <v>2213</v>
      </c>
      <c r="I272" t="s">
        <v>2215</v>
      </c>
      <c r="J272">
        <v>14</v>
      </c>
      <c r="K272">
        <v>15</v>
      </c>
      <c r="L272">
        <v>-17</v>
      </c>
      <c r="M272">
        <v>15</v>
      </c>
      <c r="N272">
        <v>29</v>
      </c>
      <c r="O272" t="s">
        <v>60</v>
      </c>
      <c r="P272">
        <v>20</v>
      </c>
      <c r="Q272">
        <v>22</v>
      </c>
      <c r="R272">
        <v>-23</v>
      </c>
      <c r="S272">
        <v>22</v>
      </c>
      <c r="T272">
        <v>42</v>
      </c>
      <c r="U272" t="s">
        <v>60</v>
      </c>
      <c r="V272">
        <f t="shared" si="12"/>
        <v>4</v>
      </c>
      <c r="W272">
        <f t="shared" si="13"/>
        <v>0</v>
      </c>
      <c r="X272">
        <f t="shared" si="14"/>
        <v>0</v>
      </c>
      <c r="Y272">
        <v>37</v>
      </c>
      <c r="Z272">
        <v>71</v>
      </c>
      <c r="AA272" t="s">
        <v>2216</v>
      </c>
      <c r="AB272" t="s">
        <v>2217</v>
      </c>
      <c r="AC272" t="s">
        <v>49</v>
      </c>
      <c r="AD272">
        <v>999</v>
      </c>
      <c r="AE272">
        <v>40</v>
      </c>
      <c r="AF272" t="s">
        <v>50</v>
      </c>
      <c r="AH272" t="s">
        <v>452</v>
      </c>
      <c r="AI272">
        <v>134.05000000000001</v>
      </c>
      <c r="AJ272" t="s">
        <v>132</v>
      </c>
      <c r="AK272" t="s">
        <v>867</v>
      </c>
      <c r="AL272" t="s">
        <v>869</v>
      </c>
      <c r="AM272" t="s">
        <v>68</v>
      </c>
      <c r="AN272" s="1">
        <v>45641</v>
      </c>
      <c r="AO272">
        <v>2024</v>
      </c>
      <c r="AP272">
        <v>12</v>
      </c>
      <c r="AQ272" t="s">
        <v>116</v>
      </c>
      <c r="AS272" t="s">
        <v>85</v>
      </c>
      <c r="AT272">
        <v>2025</v>
      </c>
      <c r="AU272" t="s">
        <v>66</v>
      </c>
      <c r="AV272" t="s">
        <v>68</v>
      </c>
      <c r="AW272" t="s">
        <v>2213</v>
      </c>
      <c r="AX272">
        <v>2025</v>
      </c>
      <c r="AY272" t="s">
        <v>2214</v>
      </c>
      <c r="AZ272" t="s">
        <v>2214</v>
      </c>
    </row>
    <row r="273" spans="1:52" x14ac:dyDescent="0.25">
      <c r="A273" t="s">
        <v>2218</v>
      </c>
      <c r="B273" s="1">
        <v>33824</v>
      </c>
      <c r="C273" t="s">
        <v>2219</v>
      </c>
      <c r="D273">
        <v>466862</v>
      </c>
      <c r="E273" t="s">
        <v>46</v>
      </c>
      <c r="F273" t="s">
        <v>1007</v>
      </c>
      <c r="G273" t="s">
        <v>312</v>
      </c>
      <c r="H273" t="s">
        <v>2219</v>
      </c>
      <c r="I273">
        <v>58</v>
      </c>
      <c r="J273">
        <v>59</v>
      </c>
      <c r="K273">
        <v>62</v>
      </c>
      <c r="L273">
        <v>-65</v>
      </c>
      <c r="M273">
        <v>62</v>
      </c>
      <c r="N273">
        <v>121</v>
      </c>
      <c r="O273" t="s">
        <v>60</v>
      </c>
      <c r="P273">
        <v>68</v>
      </c>
      <c r="Q273">
        <v>-71</v>
      </c>
      <c r="R273">
        <v>-72</v>
      </c>
      <c r="S273">
        <v>68</v>
      </c>
      <c r="T273">
        <v>0</v>
      </c>
      <c r="U273" t="s">
        <v>55</v>
      </c>
      <c r="V273">
        <f t="shared" si="12"/>
        <v>3</v>
      </c>
      <c r="W273">
        <f t="shared" si="13"/>
        <v>0</v>
      </c>
      <c r="X273">
        <f t="shared" si="14"/>
        <v>0</v>
      </c>
      <c r="Y273">
        <v>130</v>
      </c>
      <c r="Z273">
        <v>121</v>
      </c>
      <c r="AA273" t="s">
        <v>1103</v>
      </c>
      <c r="AB273" t="s">
        <v>2222</v>
      </c>
      <c r="AC273" t="s">
        <v>93</v>
      </c>
      <c r="AD273">
        <v>6</v>
      </c>
      <c r="AE273">
        <v>59</v>
      </c>
      <c r="AF273" t="s">
        <v>126</v>
      </c>
      <c r="AH273" t="s">
        <v>202</v>
      </c>
      <c r="AI273">
        <v>179.9</v>
      </c>
      <c r="AJ273" t="s">
        <v>132</v>
      </c>
      <c r="AK273" t="s">
        <v>1007</v>
      </c>
      <c r="AL273" t="s">
        <v>1009</v>
      </c>
      <c r="AM273" t="s">
        <v>139</v>
      </c>
      <c r="AN273" s="1">
        <v>45641</v>
      </c>
      <c r="AO273">
        <v>2024</v>
      </c>
      <c r="AP273">
        <v>12</v>
      </c>
      <c r="AQ273" t="s">
        <v>116</v>
      </c>
      <c r="AS273" t="s">
        <v>85</v>
      </c>
      <c r="AT273">
        <v>2025</v>
      </c>
      <c r="AU273" t="s">
        <v>312</v>
      </c>
      <c r="AV273" t="s">
        <v>140</v>
      </c>
      <c r="AW273" t="s">
        <v>2219</v>
      </c>
      <c r="AX273">
        <v>2025</v>
      </c>
      <c r="AY273" t="s">
        <v>2220</v>
      </c>
      <c r="AZ273" t="s">
        <v>1103</v>
      </c>
    </row>
    <row r="274" spans="1:52" x14ac:dyDescent="0.25">
      <c r="A274" t="s">
        <v>2223</v>
      </c>
      <c r="B274" s="1">
        <v>38257</v>
      </c>
      <c r="C274" t="s">
        <v>2224</v>
      </c>
      <c r="D274">
        <v>493555</v>
      </c>
      <c r="E274" t="s">
        <v>46</v>
      </c>
      <c r="F274" t="s">
        <v>263</v>
      </c>
      <c r="G274" t="s">
        <v>532</v>
      </c>
      <c r="H274" t="s">
        <v>2224</v>
      </c>
      <c r="I274" t="s">
        <v>200</v>
      </c>
      <c r="J274">
        <v>54</v>
      </c>
      <c r="K274">
        <v>-57</v>
      </c>
      <c r="L274">
        <v>-58</v>
      </c>
      <c r="M274">
        <v>54</v>
      </c>
      <c r="N274">
        <v>0</v>
      </c>
      <c r="O274" t="s">
        <v>55</v>
      </c>
      <c r="P274">
        <v>65</v>
      </c>
      <c r="Q274">
        <v>69</v>
      </c>
      <c r="R274">
        <v>-72</v>
      </c>
      <c r="S274">
        <v>69</v>
      </c>
      <c r="T274">
        <v>134</v>
      </c>
      <c r="U274" t="s">
        <v>60</v>
      </c>
      <c r="V274">
        <f t="shared" si="12"/>
        <v>3</v>
      </c>
      <c r="W274">
        <f t="shared" si="13"/>
        <v>0</v>
      </c>
      <c r="X274">
        <f t="shared" si="14"/>
        <v>0</v>
      </c>
      <c r="Y274">
        <v>123</v>
      </c>
      <c r="Z274">
        <v>134</v>
      </c>
      <c r="AA274" t="s">
        <v>791</v>
      </c>
      <c r="AB274" t="s">
        <v>351</v>
      </c>
      <c r="AC274" t="s">
        <v>93</v>
      </c>
      <c r="AD274">
        <v>6</v>
      </c>
      <c r="AE274">
        <v>59</v>
      </c>
      <c r="AF274" t="s">
        <v>126</v>
      </c>
      <c r="AH274" t="s">
        <v>202</v>
      </c>
      <c r="AI274">
        <v>170.4</v>
      </c>
      <c r="AJ274" t="s">
        <v>132</v>
      </c>
      <c r="AK274" t="s">
        <v>263</v>
      </c>
      <c r="AL274" t="s">
        <v>267</v>
      </c>
      <c r="AM274" t="s">
        <v>145</v>
      </c>
      <c r="AN274" s="1">
        <v>45640</v>
      </c>
      <c r="AO274">
        <v>2024</v>
      </c>
      <c r="AP274">
        <v>12</v>
      </c>
      <c r="AQ274" t="s">
        <v>116</v>
      </c>
      <c r="AS274" t="s">
        <v>85</v>
      </c>
      <c r="AT274">
        <v>2025</v>
      </c>
      <c r="AU274" t="s">
        <v>532</v>
      </c>
      <c r="AV274" t="s">
        <v>145</v>
      </c>
      <c r="AW274" t="s">
        <v>2224</v>
      </c>
      <c r="AX274">
        <v>2025</v>
      </c>
      <c r="AY274" t="s">
        <v>2225</v>
      </c>
      <c r="AZ274" t="s">
        <v>2225</v>
      </c>
    </row>
    <row r="275" spans="1:52" x14ac:dyDescent="0.25">
      <c r="A275" t="s">
        <v>2226</v>
      </c>
      <c r="B275" s="1">
        <v>33659</v>
      </c>
      <c r="C275" t="s">
        <v>2227</v>
      </c>
      <c r="D275">
        <v>475707</v>
      </c>
      <c r="E275" t="s">
        <v>46</v>
      </c>
      <c r="F275" t="s">
        <v>232</v>
      </c>
      <c r="G275" t="s">
        <v>315</v>
      </c>
      <c r="H275" t="s">
        <v>2227</v>
      </c>
      <c r="I275" t="s">
        <v>259</v>
      </c>
      <c r="J275">
        <v>61</v>
      </c>
      <c r="K275">
        <v>64</v>
      </c>
      <c r="L275">
        <v>66</v>
      </c>
      <c r="M275">
        <v>66</v>
      </c>
      <c r="N275">
        <v>130</v>
      </c>
      <c r="O275" t="s">
        <v>48</v>
      </c>
      <c r="P275">
        <v>80</v>
      </c>
      <c r="Q275">
        <v>-86</v>
      </c>
      <c r="R275">
        <v>88</v>
      </c>
      <c r="S275">
        <v>88</v>
      </c>
      <c r="T275">
        <v>168</v>
      </c>
      <c r="U275" t="s">
        <v>65</v>
      </c>
      <c r="V275">
        <f t="shared" si="12"/>
        <v>5</v>
      </c>
      <c r="W275">
        <f t="shared" si="13"/>
        <v>0</v>
      </c>
      <c r="X275">
        <f t="shared" si="14"/>
        <v>0</v>
      </c>
      <c r="Y275">
        <v>154</v>
      </c>
      <c r="Z275">
        <v>298</v>
      </c>
      <c r="AA275" t="s">
        <v>2228</v>
      </c>
      <c r="AB275" t="s">
        <v>2229</v>
      </c>
      <c r="AC275" t="s">
        <v>93</v>
      </c>
      <c r="AD275">
        <v>6</v>
      </c>
      <c r="AE275">
        <v>81</v>
      </c>
      <c r="AF275" t="s">
        <v>126</v>
      </c>
      <c r="AH275" t="s">
        <v>319</v>
      </c>
      <c r="AI275">
        <v>177.99</v>
      </c>
      <c r="AJ275" t="s">
        <v>132</v>
      </c>
      <c r="AK275" t="s">
        <v>232</v>
      </c>
      <c r="AL275" t="s">
        <v>236</v>
      </c>
      <c r="AM275" t="s">
        <v>128</v>
      </c>
      <c r="AN275" s="1">
        <v>45640</v>
      </c>
      <c r="AO275">
        <v>2024</v>
      </c>
      <c r="AP275">
        <v>12</v>
      </c>
      <c r="AQ275" t="s">
        <v>116</v>
      </c>
      <c r="AS275" t="s">
        <v>85</v>
      </c>
      <c r="AT275">
        <v>2025</v>
      </c>
      <c r="AU275" t="s">
        <v>315</v>
      </c>
      <c r="AV275" t="s">
        <v>128</v>
      </c>
      <c r="AW275" t="s">
        <v>2227</v>
      </c>
      <c r="AX275">
        <v>2025</v>
      </c>
      <c r="AY275" t="s">
        <v>2230</v>
      </c>
      <c r="AZ275" t="s">
        <v>2228</v>
      </c>
    </row>
    <row r="276" spans="1:52" x14ac:dyDescent="0.25">
      <c r="A276" t="s">
        <v>2232</v>
      </c>
      <c r="B276" s="1">
        <v>33749</v>
      </c>
      <c r="C276" t="s">
        <v>2233</v>
      </c>
      <c r="D276">
        <v>503151</v>
      </c>
      <c r="E276" t="s">
        <v>46</v>
      </c>
      <c r="F276" t="s">
        <v>710</v>
      </c>
      <c r="G276" t="s">
        <v>2091</v>
      </c>
      <c r="H276" t="s">
        <v>2233</v>
      </c>
      <c r="I276" t="s">
        <v>373</v>
      </c>
      <c r="J276">
        <v>107</v>
      </c>
      <c r="K276">
        <v>115</v>
      </c>
      <c r="L276">
        <v>120</v>
      </c>
      <c r="M276">
        <v>120</v>
      </c>
      <c r="N276">
        <v>235</v>
      </c>
      <c r="O276" t="s">
        <v>48</v>
      </c>
      <c r="P276">
        <v>130</v>
      </c>
      <c r="Q276">
        <v>-140</v>
      </c>
      <c r="R276">
        <v>-140</v>
      </c>
      <c r="S276">
        <v>130</v>
      </c>
      <c r="T276">
        <v>0</v>
      </c>
      <c r="U276" t="s">
        <v>55</v>
      </c>
      <c r="V276">
        <f t="shared" si="12"/>
        <v>4</v>
      </c>
      <c r="W276">
        <f t="shared" si="13"/>
        <v>0</v>
      </c>
      <c r="X276">
        <f t="shared" si="14"/>
        <v>0</v>
      </c>
      <c r="Y276">
        <v>250</v>
      </c>
      <c r="Z276">
        <v>235</v>
      </c>
      <c r="AA276" t="s">
        <v>2234</v>
      </c>
      <c r="AB276" t="s">
        <v>1319</v>
      </c>
      <c r="AC276" t="s">
        <v>93</v>
      </c>
      <c r="AD276">
        <v>6</v>
      </c>
      <c r="AE276">
        <v>89</v>
      </c>
      <c r="AF276" t="s">
        <v>126</v>
      </c>
      <c r="AH276" t="s">
        <v>155</v>
      </c>
      <c r="AI276">
        <v>303.02</v>
      </c>
      <c r="AJ276" t="s">
        <v>52</v>
      </c>
      <c r="AK276" t="s">
        <v>710</v>
      </c>
      <c r="AL276" t="s">
        <v>712</v>
      </c>
      <c r="AM276" t="s">
        <v>128</v>
      </c>
      <c r="AN276" s="1">
        <v>45640</v>
      </c>
      <c r="AO276">
        <v>2024</v>
      </c>
      <c r="AP276">
        <v>12</v>
      </c>
      <c r="AQ276" t="s">
        <v>116</v>
      </c>
      <c r="AS276" t="s">
        <v>85</v>
      </c>
      <c r="AT276">
        <v>2025</v>
      </c>
      <c r="AU276" t="s">
        <v>2091</v>
      </c>
      <c r="AV276" t="s">
        <v>128</v>
      </c>
      <c r="AW276" t="s">
        <v>2233</v>
      </c>
      <c r="AX276">
        <v>2025</v>
      </c>
      <c r="AY276" t="s">
        <v>2234</v>
      </c>
      <c r="AZ276" t="s">
        <v>2234</v>
      </c>
    </row>
    <row r="277" spans="1:52" x14ac:dyDescent="0.25">
      <c r="A277" t="s">
        <v>2239</v>
      </c>
      <c r="B277" s="1">
        <v>36118</v>
      </c>
      <c r="C277" t="s">
        <v>2240</v>
      </c>
      <c r="D277">
        <v>431606</v>
      </c>
      <c r="E277" t="s">
        <v>46</v>
      </c>
      <c r="F277" t="s">
        <v>109</v>
      </c>
      <c r="G277" t="s">
        <v>88</v>
      </c>
      <c r="H277" t="s">
        <v>2240</v>
      </c>
      <c r="I277" t="s">
        <v>2242</v>
      </c>
      <c r="J277">
        <v>75</v>
      </c>
      <c r="K277">
        <v>77</v>
      </c>
      <c r="L277">
        <v>79</v>
      </c>
      <c r="M277">
        <v>79</v>
      </c>
      <c r="N277">
        <v>156</v>
      </c>
      <c r="O277" t="s">
        <v>48</v>
      </c>
      <c r="P277">
        <v>91</v>
      </c>
      <c r="Q277">
        <v>94</v>
      </c>
      <c r="R277">
        <v>96</v>
      </c>
      <c r="S277">
        <v>96</v>
      </c>
      <c r="T277">
        <v>190</v>
      </c>
      <c r="U277" t="s">
        <v>48</v>
      </c>
      <c r="V277">
        <f t="shared" si="12"/>
        <v>6</v>
      </c>
      <c r="W277">
        <f t="shared" si="13"/>
        <v>0</v>
      </c>
      <c r="X277">
        <f t="shared" si="14"/>
        <v>0</v>
      </c>
      <c r="Y277">
        <v>175</v>
      </c>
      <c r="Z277">
        <v>346</v>
      </c>
      <c r="AA277" t="s">
        <v>2243</v>
      </c>
      <c r="AB277" t="s">
        <v>2244</v>
      </c>
      <c r="AC277" t="s">
        <v>98</v>
      </c>
      <c r="AD277">
        <v>3</v>
      </c>
      <c r="AE277">
        <v>59</v>
      </c>
      <c r="AF277" t="s">
        <v>126</v>
      </c>
      <c r="AH277" t="s">
        <v>202</v>
      </c>
      <c r="AI277">
        <v>240.06</v>
      </c>
      <c r="AJ277" t="s">
        <v>132</v>
      </c>
      <c r="AK277" t="s">
        <v>109</v>
      </c>
      <c r="AL277" t="s">
        <v>115</v>
      </c>
      <c r="AM277" t="s">
        <v>90</v>
      </c>
      <c r="AN277" s="1">
        <v>45639</v>
      </c>
      <c r="AO277">
        <v>2024</v>
      </c>
      <c r="AP277">
        <v>12</v>
      </c>
      <c r="AQ277" t="s">
        <v>116</v>
      </c>
      <c r="AS277" t="s">
        <v>85</v>
      </c>
      <c r="AT277">
        <v>2025</v>
      </c>
      <c r="AU277" t="s">
        <v>88</v>
      </c>
      <c r="AV277" t="s">
        <v>91</v>
      </c>
      <c r="AW277" t="s">
        <v>2240</v>
      </c>
      <c r="AX277">
        <v>2025</v>
      </c>
      <c r="AY277" t="s">
        <v>2241</v>
      </c>
      <c r="AZ277" t="s">
        <v>2243</v>
      </c>
    </row>
    <row r="278" spans="1:52" x14ac:dyDescent="0.25">
      <c r="A278" t="s">
        <v>2235</v>
      </c>
      <c r="B278" s="1">
        <v>37345</v>
      </c>
      <c r="C278" t="s">
        <v>2236</v>
      </c>
      <c r="D278">
        <v>489938</v>
      </c>
      <c r="E278" t="s">
        <v>46</v>
      </c>
      <c r="F278" t="s">
        <v>582</v>
      </c>
      <c r="G278" t="s">
        <v>594</v>
      </c>
      <c r="H278" t="s">
        <v>2236</v>
      </c>
      <c r="I278" t="s">
        <v>261</v>
      </c>
      <c r="J278">
        <v>90</v>
      </c>
      <c r="K278">
        <v>95</v>
      </c>
      <c r="L278">
        <v>-100</v>
      </c>
      <c r="M278">
        <v>95</v>
      </c>
      <c r="N278">
        <v>185</v>
      </c>
      <c r="O278" t="s">
        <v>60</v>
      </c>
      <c r="P278">
        <v>110</v>
      </c>
      <c r="Q278">
        <v>-115</v>
      </c>
      <c r="R278">
        <v>-117</v>
      </c>
      <c r="S278">
        <v>110</v>
      </c>
      <c r="T278">
        <v>0</v>
      </c>
      <c r="U278" t="s">
        <v>55</v>
      </c>
      <c r="V278">
        <f t="shared" si="12"/>
        <v>3</v>
      </c>
      <c r="W278">
        <f t="shared" si="13"/>
        <v>0</v>
      </c>
      <c r="X278">
        <f t="shared" si="14"/>
        <v>0</v>
      </c>
      <c r="Y278">
        <v>205</v>
      </c>
      <c r="Z278">
        <v>185</v>
      </c>
      <c r="AA278" t="s">
        <v>2238</v>
      </c>
      <c r="AB278" t="s">
        <v>576</v>
      </c>
      <c r="AC278" t="s">
        <v>64</v>
      </c>
      <c r="AD278">
        <v>7</v>
      </c>
      <c r="AE278">
        <v>81</v>
      </c>
      <c r="AF278" t="s">
        <v>126</v>
      </c>
      <c r="AH278" t="s">
        <v>138</v>
      </c>
      <c r="AI278">
        <v>260.52</v>
      </c>
      <c r="AJ278" t="s">
        <v>52</v>
      </c>
      <c r="AK278" t="s">
        <v>582</v>
      </c>
      <c r="AL278" t="s">
        <v>585</v>
      </c>
      <c r="AM278" t="s">
        <v>170</v>
      </c>
      <c r="AN278" s="1">
        <v>45640</v>
      </c>
      <c r="AO278">
        <v>2024</v>
      </c>
      <c r="AP278">
        <v>12</v>
      </c>
      <c r="AQ278" t="s">
        <v>116</v>
      </c>
      <c r="AS278" t="s">
        <v>85</v>
      </c>
      <c r="AT278">
        <v>2025</v>
      </c>
      <c r="AU278" t="s">
        <v>594</v>
      </c>
      <c r="AV278" t="s">
        <v>170</v>
      </c>
      <c r="AW278" t="s">
        <v>2236</v>
      </c>
      <c r="AX278">
        <v>2025</v>
      </c>
      <c r="AY278" t="s">
        <v>2237</v>
      </c>
      <c r="AZ278" t="s">
        <v>2237</v>
      </c>
    </row>
    <row r="279" spans="1:52" x14ac:dyDescent="0.25">
      <c r="A279" t="s">
        <v>2245</v>
      </c>
      <c r="B279" s="1">
        <v>40334</v>
      </c>
      <c r="C279" t="s">
        <v>2246</v>
      </c>
      <c r="D279">
        <v>271840</v>
      </c>
      <c r="E279" t="s">
        <v>46</v>
      </c>
      <c r="F279" t="s">
        <v>1383</v>
      </c>
      <c r="G279" t="s">
        <v>883</v>
      </c>
      <c r="H279" t="s">
        <v>2246</v>
      </c>
      <c r="I279" t="s">
        <v>2248</v>
      </c>
      <c r="J279">
        <v>50</v>
      </c>
      <c r="K279">
        <v>53</v>
      </c>
      <c r="L279">
        <v>55</v>
      </c>
      <c r="M279">
        <v>55</v>
      </c>
      <c r="N279">
        <v>108</v>
      </c>
      <c r="O279" t="s">
        <v>48</v>
      </c>
      <c r="P279">
        <v>67</v>
      </c>
      <c r="Q279">
        <v>70</v>
      </c>
      <c r="R279">
        <v>-72</v>
      </c>
      <c r="S279">
        <v>70</v>
      </c>
      <c r="T279">
        <v>137</v>
      </c>
      <c r="U279" t="s">
        <v>60</v>
      </c>
      <c r="V279">
        <f t="shared" si="12"/>
        <v>5</v>
      </c>
      <c r="W279">
        <f t="shared" si="13"/>
        <v>0</v>
      </c>
      <c r="X279">
        <f t="shared" si="14"/>
        <v>0</v>
      </c>
      <c r="Y279">
        <v>125</v>
      </c>
      <c r="Z279">
        <v>245</v>
      </c>
      <c r="AA279" t="s">
        <v>2247</v>
      </c>
      <c r="AB279" t="s">
        <v>2249</v>
      </c>
      <c r="AC279" t="s">
        <v>98</v>
      </c>
      <c r="AD279">
        <v>3</v>
      </c>
      <c r="AE279">
        <v>59</v>
      </c>
      <c r="AF279" t="s">
        <v>57</v>
      </c>
      <c r="AH279" t="s">
        <v>525</v>
      </c>
      <c r="AI279">
        <v>178.65</v>
      </c>
      <c r="AJ279" t="s">
        <v>132</v>
      </c>
      <c r="AK279" t="s">
        <v>1383</v>
      </c>
      <c r="AL279" t="s">
        <v>1386</v>
      </c>
      <c r="AM279" t="s">
        <v>68</v>
      </c>
      <c r="AN279" s="1">
        <v>45640</v>
      </c>
      <c r="AO279">
        <v>2024</v>
      </c>
      <c r="AP279">
        <v>12</v>
      </c>
      <c r="AQ279" t="s">
        <v>116</v>
      </c>
      <c r="AS279" t="s">
        <v>85</v>
      </c>
      <c r="AT279">
        <v>2025</v>
      </c>
      <c r="AU279" t="s">
        <v>883</v>
      </c>
      <c r="AV279" t="s">
        <v>68</v>
      </c>
      <c r="AW279" t="s">
        <v>2246</v>
      </c>
      <c r="AX279">
        <v>2025</v>
      </c>
      <c r="AY279" t="s">
        <v>2247</v>
      </c>
      <c r="AZ279" t="s">
        <v>2247</v>
      </c>
    </row>
    <row r="280" spans="1:52" x14ac:dyDescent="0.25">
      <c r="A280" t="s">
        <v>2264</v>
      </c>
      <c r="B280" s="1">
        <v>34892</v>
      </c>
      <c r="C280" t="s">
        <v>2265</v>
      </c>
      <c r="D280">
        <v>442028</v>
      </c>
      <c r="E280" t="s">
        <v>46</v>
      </c>
      <c r="F280" t="s">
        <v>912</v>
      </c>
      <c r="G280" t="s">
        <v>258</v>
      </c>
      <c r="H280" t="s">
        <v>2265</v>
      </c>
      <c r="I280" t="s">
        <v>367</v>
      </c>
      <c r="J280">
        <v>57</v>
      </c>
      <c r="K280">
        <v>60</v>
      </c>
      <c r="L280">
        <v>62</v>
      </c>
      <c r="M280">
        <v>62</v>
      </c>
      <c r="N280">
        <v>122</v>
      </c>
      <c r="O280" t="s">
        <v>48</v>
      </c>
      <c r="P280">
        <v>78</v>
      </c>
      <c r="Q280">
        <v>81</v>
      </c>
      <c r="R280">
        <v>-83</v>
      </c>
      <c r="S280">
        <v>81</v>
      </c>
      <c r="T280">
        <v>159</v>
      </c>
      <c r="U280" t="s">
        <v>60</v>
      </c>
      <c r="V280">
        <f t="shared" si="12"/>
        <v>5</v>
      </c>
      <c r="W280">
        <f t="shared" si="13"/>
        <v>0</v>
      </c>
      <c r="X280">
        <f t="shared" si="14"/>
        <v>0</v>
      </c>
      <c r="Y280">
        <v>143</v>
      </c>
      <c r="Z280">
        <v>281</v>
      </c>
      <c r="AA280" t="s">
        <v>1483</v>
      </c>
      <c r="AB280" t="s">
        <v>2266</v>
      </c>
      <c r="AC280" t="s">
        <v>89</v>
      </c>
      <c r="AD280">
        <v>5</v>
      </c>
      <c r="AE280">
        <v>59</v>
      </c>
      <c r="AF280" t="s">
        <v>126</v>
      </c>
      <c r="AH280" t="s">
        <v>202</v>
      </c>
      <c r="AI280">
        <v>197.43</v>
      </c>
      <c r="AJ280" t="s">
        <v>132</v>
      </c>
      <c r="AK280" t="s">
        <v>912</v>
      </c>
      <c r="AL280" t="s">
        <v>914</v>
      </c>
      <c r="AM280" t="s">
        <v>128</v>
      </c>
      <c r="AN280" s="1">
        <v>45640</v>
      </c>
      <c r="AO280">
        <v>2024</v>
      </c>
      <c r="AP280">
        <v>12</v>
      </c>
      <c r="AQ280" t="s">
        <v>116</v>
      </c>
      <c r="AS280" t="s">
        <v>85</v>
      </c>
      <c r="AT280">
        <v>2025</v>
      </c>
      <c r="AU280" t="s">
        <v>258</v>
      </c>
      <c r="AV280" t="s">
        <v>128</v>
      </c>
      <c r="AW280" t="s">
        <v>2265</v>
      </c>
      <c r="AX280">
        <v>2025</v>
      </c>
      <c r="AY280" t="s">
        <v>1483</v>
      </c>
      <c r="AZ280" t="s">
        <v>1483</v>
      </c>
    </row>
    <row r="281" spans="1:52" x14ac:dyDescent="0.25">
      <c r="A281" t="s">
        <v>2251</v>
      </c>
      <c r="B281" s="1">
        <v>40399</v>
      </c>
      <c r="C281" t="s">
        <v>2252</v>
      </c>
      <c r="D281">
        <v>494210</v>
      </c>
      <c r="E281" t="s">
        <v>46</v>
      </c>
      <c r="F281" t="s">
        <v>679</v>
      </c>
      <c r="G281" t="s">
        <v>161</v>
      </c>
      <c r="H281" t="s">
        <v>2252</v>
      </c>
      <c r="I281" t="s">
        <v>641</v>
      </c>
      <c r="J281">
        <v>60</v>
      </c>
      <c r="K281">
        <v>-64</v>
      </c>
      <c r="L281">
        <v>-64</v>
      </c>
      <c r="M281">
        <v>60</v>
      </c>
      <c r="N281">
        <v>0</v>
      </c>
      <c r="O281" t="s">
        <v>55</v>
      </c>
      <c r="P281">
        <v>78</v>
      </c>
      <c r="Q281">
        <v>82</v>
      </c>
      <c r="R281">
        <v>-86</v>
      </c>
      <c r="S281">
        <v>82</v>
      </c>
      <c r="T281">
        <v>160</v>
      </c>
      <c r="U281" t="s">
        <v>60</v>
      </c>
      <c r="V281">
        <f t="shared" si="12"/>
        <v>3</v>
      </c>
      <c r="W281">
        <f t="shared" si="13"/>
        <v>0</v>
      </c>
      <c r="X281">
        <f t="shared" si="14"/>
        <v>0</v>
      </c>
      <c r="Y281">
        <v>142</v>
      </c>
      <c r="Z281">
        <v>160</v>
      </c>
      <c r="AA281" t="s">
        <v>2254</v>
      </c>
      <c r="AB281" t="s">
        <v>2255</v>
      </c>
      <c r="AC281" t="s">
        <v>93</v>
      </c>
      <c r="AD281">
        <v>6</v>
      </c>
      <c r="AE281">
        <v>73</v>
      </c>
      <c r="AF281" t="s">
        <v>57</v>
      </c>
      <c r="AH281" t="s">
        <v>244</v>
      </c>
      <c r="AI281">
        <v>197.77</v>
      </c>
      <c r="AJ281" t="s">
        <v>52</v>
      </c>
      <c r="AK281" t="s">
        <v>679</v>
      </c>
      <c r="AL281" t="s">
        <v>682</v>
      </c>
      <c r="AM281" t="s">
        <v>128</v>
      </c>
      <c r="AN281" s="1">
        <v>45641</v>
      </c>
      <c r="AO281">
        <v>2024</v>
      </c>
      <c r="AP281">
        <v>12</v>
      </c>
      <c r="AQ281" t="s">
        <v>116</v>
      </c>
      <c r="AS281" t="s">
        <v>85</v>
      </c>
      <c r="AT281">
        <v>2025</v>
      </c>
      <c r="AU281" t="s">
        <v>161</v>
      </c>
      <c r="AV281" t="s">
        <v>128</v>
      </c>
      <c r="AW281" t="s">
        <v>2252</v>
      </c>
      <c r="AX281">
        <v>2025</v>
      </c>
      <c r="AY281" t="s">
        <v>2253</v>
      </c>
      <c r="AZ281" t="s">
        <v>2253</v>
      </c>
    </row>
    <row r="282" spans="1:52" x14ac:dyDescent="0.25">
      <c r="A282" t="s">
        <v>2256</v>
      </c>
      <c r="B282" s="1">
        <v>38594</v>
      </c>
      <c r="C282" t="s">
        <v>2257</v>
      </c>
      <c r="D282">
        <v>500428</v>
      </c>
      <c r="E282" t="s">
        <v>46</v>
      </c>
      <c r="F282" t="s">
        <v>1071</v>
      </c>
      <c r="G282" t="s">
        <v>374</v>
      </c>
      <c r="H282" t="s">
        <v>2257</v>
      </c>
      <c r="I282" t="s">
        <v>969</v>
      </c>
      <c r="J282">
        <v>60</v>
      </c>
      <c r="K282">
        <v>-65</v>
      </c>
      <c r="L282">
        <v>65</v>
      </c>
      <c r="M282">
        <v>65</v>
      </c>
      <c r="N282">
        <v>125</v>
      </c>
      <c r="O282" t="s">
        <v>65</v>
      </c>
      <c r="P282">
        <v>83</v>
      </c>
      <c r="Q282">
        <v>87</v>
      </c>
      <c r="R282">
        <v>90</v>
      </c>
      <c r="S282">
        <v>90</v>
      </c>
      <c r="T282">
        <v>177</v>
      </c>
      <c r="U282" t="s">
        <v>48</v>
      </c>
      <c r="V282">
        <f t="shared" si="12"/>
        <v>5</v>
      </c>
      <c r="W282">
        <f t="shared" si="13"/>
        <v>0</v>
      </c>
      <c r="X282">
        <f t="shared" si="14"/>
        <v>0</v>
      </c>
      <c r="Y282">
        <v>155</v>
      </c>
      <c r="Z282">
        <v>302</v>
      </c>
      <c r="AA282" t="s">
        <v>2258</v>
      </c>
      <c r="AB282" t="s">
        <v>2259</v>
      </c>
      <c r="AC282" t="s">
        <v>93</v>
      </c>
      <c r="AD282">
        <v>6</v>
      </c>
      <c r="AE282">
        <v>61</v>
      </c>
      <c r="AF282" t="s">
        <v>113</v>
      </c>
      <c r="AH282" t="s">
        <v>737</v>
      </c>
      <c r="AI282">
        <v>250.9</v>
      </c>
      <c r="AJ282" t="s">
        <v>52</v>
      </c>
      <c r="AK282" t="s">
        <v>1071</v>
      </c>
      <c r="AL282" t="s">
        <v>1073</v>
      </c>
      <c r="AM282" t="s">
        <v>68</v>
      </c>
      <c r="AN282" s="1">
        <v>45640</v>
      </c>
      <c r="AO282">
        <v>2024</v>
      </c>
      <c r="AP282">
        <v>12</v>
      </c>
      <c r="AQ282" t="s">
        <v>116</v>
      </c>
      <c r="AS282" t="s">
        <v>85</v>
      </c>
      <c r="AT282">
        <v>2025</v>
      </c>
      <c r="AU282" t="s">
        <v>374</v>
      </c>
      <c r="AV282" t="s">
        <v>68</v>
      </c>
      <c r="AW282" t="s">
        <v>2257</v>
      </c>
      <c r="AX282">
        <v>2025</v>
      </c>
      <c r="AY282" t="s">
        <v>2258</v>
      </c>
      <c r="AZ282" t="s">
        <v>2258</v>
      </c>
    </row>
    <row r="283" spans="1:52" x14ac:dyDescent="0.25">
      <c r="A283" t="s">
        <v>2260</v>
      </c>
      <c r="B283" s="1">
        <v>39731</v>
      </c>
      <c r="C283" t="s">
        <v>2261</v>
      </c>
      <c r="D283">
        <v>418260</v>
      </c>
      <c r="E283" t="s">
        <v>46</v>
      </c>
      <c r="F283" t="s">
        <v>213</v>
      </c>
      <c r="G283" t="s">
        <v>687</v>
      </c>
      <c r="H283" t="s">
        <v>2261</v>
      </c>
      <c r="I283" t="s">
        <v>540</v>
      </c>
      <c r="J283">
        <v>68</v>
      </c>
      <c r="K283">
        <v>71</v>
      </c>
      <c r="L283">
        <v>74</v>
      </c>
      <c r="M283">
        <v>74</v>
      </c>
      <c r="N283">
        <v>145</v>
      </c>
      <c r="O283" t="s">
        <v>48</v>
      </c>
      <c r="P283">
        <v>81</v>
      </c>
      <c r="Q283">
        <v>86</v>
      </c>
      <c r="R283">
        <v>-90</v>
      </c>
      <c r="S283">
        <v>86</v>
      </c>
      <c r="T283">
        <v>167</v>
      </c>
      <c r="U283" t="s">
        <v>60</v>
      </c>
      <c r="V283">
        <f t="shared" si="12"/>
        <v>5</v>
      </c>
      <c r="W283">
        <f t="shared" si="13"/>
        <v>0</v>
      </c>
      <c r="X283">
        <f t="shared" si="14"/>
        <v>0</v>
      </c>
      <c r="Y283">
        <v>160</v>
      </c>
      <c r="Z283">
        <v>312</v>
      </c>
      <c r="AA283" t="s">
        <v>2262</v>
      </c>
      <c r="AB283" t="s">
        <v>2263</v>
      </c>
      <c r="AC283" t="s">
        <v>184</v>
      </c>
      <c r="AD283">
        <v>2</v>
      </c>
      <c r="AE283">
        <v>55</v>
      </c>
      <c r="AF283" t="s">
        <v>95</v>
      </c>
      <c r="AH283" t="s">
        <v>175</v>
      </c>
      <c r="AI283">
        <v>232.93</v>
      </c>
      <c r="AJ283" t="s">
        <v>132</v>
      </c>
      <c r="AK283" t="s">
        <v>213</v>
      </c>
      <c r="AL283" t="s">
        <v>217</v>
      </c>
      <c r="AM283" t="s">
        <v>72</v>
      </c>
      <c r="AN283" s="1">
        <v>45640</v>
      </c>
      <c r="AO283">
        <v>2024</v>
      </c>
      <c r="AP283">
        <v>12</v>
      </c>
      <c r="AQ283" t="s">
        <v>116</v>
      </c>
      <c r="AS283" t="s">
        <v>85</v>
      </c>
      <c r="AT283">
        <v>2025</v>
      </c>
      <c r="AU283" t="s">
        <v>687</v>
      </c>
      <c r="AV283" t="s">
        <v>72</v>
      </c>
      <c r="AW283" t="s">
        <v>2261</v>
      </c>
      <c r="AX283">
        <v>2025</v>
      </c>
      <c r="AY283" t="s">
        <v>2262</v>
      </c>
      <c r="AZ283" t="s">
        <v>2262</v>
      </c>
    </row>
    <row r="284" spans="1:52" x14ac:dyDescent="0.25">
      <c r="A284" t="s">
        <v>2268</v>
      </c>
      <c r="B284" s="1">
        <v>39237</v>
      </c>
      <c r="C284" t="s">
        <v>2269</v>
      </c>
      <c r="D284">
        <v>492027</v>
      </c>
      <c r="E284" t="s">
        <v>46</v>
      </c>
      <c r="F284" t="s">
        <v>109</v>
      </c>
      <c r="G284" t="s">
        <v>413</v>
      </c>
      <c r="H284" t="s">
        <v>2269</v>
      </c>
      <c r="I284">
        <v>52</v>
      </c>
      <c r="J284">
        <v>60</v>
      </c>
      <c r="K284">
        <v>63</v>
      </c>
      <c r="L284">
        <v>-66</v>
      </c>
      <c r="M284">
        <v>63</v>
      </c>
      <c r="N284">
        <v>123</v>
      </c>
      <c r="O284" t="s">
        <v>60</v>
      </c>
      <c r="P284">
        <v>-74</v>
      </c>
      <c r="Q284">
        <v>-74</v>
      </c>
      <c r="R284">
        <v>-74</v>
      </c>
      <c r="S284">
        <v>0</v>
      </c>
      <c r="T284">
        <v>0</v>
      </c>
      <c r="U284" t="s">
        <v>108</v>
      </c>
      <c r="V284">
        <f t="shared" si="12"/>
        <v>2</v>
      </c>
      <c r="W284">
        <f t="shared" si="13"/>
        <v>0</v>
      </c>
      <c r="X284">
        <f t="shared" si="14"/>
        <v>0</v>
      </c>
      <c r="Y284">
        <v>63</v>
      </c>
      <c r="Z284">
        <v>123</v>
      </c>
      <c r="AA284" t="s">
        <v>2271</v>
      </c>
      <c r="AB284" t="s">
        <v>2272</v>
      </c>
      <c r="AC284" t="s">
        <v>49</v>
      </c>
      <c r="AD284">
        <v>999</v>
      </c>
      <c r="AE284">
        <v>55</v>
      </c>
      <c r="AF284" t="s">
        <v>113</v>
      </c>
      <c r="AH284" t="s">
        <v>644</v>
      </c>
      <c r="AI284">
        <v>0</v>
      </c>
      <c r="AJ284" t="s">
        <v>52</v>
      </c>
      <c r="AK284" t="s">
        <v>109</v>
      </c>
      <c r="AL284" t="s">
        <v>115</v>
      </c>
      <c r="AM284" t="s">
        <v>90</v>
      </c>
      <c r="AN284" s="1">
        <v>45639</v>
      </c>
      <c r="AO284">
        <v>2024</v>
      </c>
      <c r="AP284">
        <v>12</v>
      </c>
      <c r="AQ284" t="s">
        <v>116</v>
      </c>
      <c r="AS284" t="s">
        <v>85</v>
      </c>
      <c r="AT284">
        <v>2025</v>
      </c>
      <c r="AU284" t="s">
        <v>413</v>
      </c>
      <c r="AV284" t="s">
        <v>91</v>
      </c>
      <c r="AW284" t="s">
        <v>2269</v>
      </c>
      <c r="AX284">
        <v>2025</v>
      </c>
      <c r="AY284" t="s">
        <v>2270</v>
      </c>
      <c r="AZ284" t="s">
        <v>2271</v>
      </c>
    </row>
    <row r="285" spans="1:52" x14ac:dyDescent="0.25">
      <c r="A285" t="s">
        <v>2273</v>
      </c>
      <c r="B285" s="1">
        <v>35233</v>
      </c>
      <c r="C285" t="s">
        <v>2274</v>
      </c>
      <c r="D285">
        <v>425766</v>
      </c>
      <c r="E285" t="s">
        <v>46</v>
      </c>
      <c r="F285" t="s">
        <v>492</v>
      </c>
      <c r="G285" t="s">
        <v>1202</v>
      </c>
      <c r="H285" t="s">
        <v>2274</v>
      </c>
      <c r="I285" t="s">
        <v>247</v>
      </c>
      <c r="J285">
        <v>110</v>
      </c>
      <c r="K285">
        <v>-115</v>
      </c>
      <c r="L285">
        <v>-115</v>
      </c>
      <c r="M285">
        <v>110</v>
      </c>
      <c r="N285">
        <v>0</v>
      </c>
      <c r="O285" t="s">
        <v>55</v>
      </c>
      <c r="P285">
        <v>-143</v>
      </c>
      <c r="Q285">
        <v>-145</v>
      </c>
      <c r="R285">
        <v>-145</v>
      </c>
      <c r="S285">
        <v>0</v>
      </c>
      <c r="T285">
        <v>0</v>
      </c>
      <c r="U285" t="s">
        <v>108</v>
      </c>
      <c r="V285">
        <f t="shared" si="12"/>
        <v>1</v>
      </c>
      <c r="W285">
        <f t="shared" si="13"/>
        <v>0</v>
      </c>
      <c r="X285">
        <f t="shared" si="14"/>
        <v>0</v>
      </c>
      <c r="Y285">
        <v>110</v>
      </c>
      <c r="Z285">
        <v>0</v>
      </c>
      <c r="AA285" t="s">
        <v>2276</v>
      </c>
      <c r="AB285" t="s">
        <v>99</v>
      </c>
      <c r="AC285" t="s">
        <v>49</v>
      </c>
      <c r="AD285">
        <v>999</v>
      </c>
      <c r="AE285">
        <v>89</v>
      </c>
      <c r="AF285" t="s">
        <v>126</v>
      </c>
      <c r="AH285" t="s">
        <v>155</v>
      </c>
      <c r="AI285">
        <v>0</v>
      </c>
      <c r="AJ285" t="s">
        <v>52</v>
      </c>
      <c r="AK285" t="s">
        <v>492</v>
      </c>
      <c r="AL285" t="s">
        <v>494</v>
      </c>
      <c r="AM285" t="s">
        <v>90</v>
      </c>
      <c r="AN285" s="1">
        <v>45640</v>
      </c>
      <c r="AO285">
        <v>2024</v>
      </c>
      <c r="AP285">
        <v>12</v>
      </c>
      <c r="AQ285" t="s">
        <v>116</v>
      </c>
      <c r="AS285" t="s">
        <v>85</v>
      </c>
      <c r="AT285">
        <v>2025</v>
      </c>
      <c r="AU285" t="s">
        <v>1202</v>
      </c>
      <c r="AV285" t="s">
        <v>91</v>
      </c>
      <c r="AW285" t="s">
        <v>2274</v>
      </c>
      <c r="AX285">
        <v>2025</v>
      </c>
      <c r="AY285" t="s">
        <v>2275</v>
      </c>
      <c r="AZ285" t="s">
        <v>2276</v>
      </c>
    </row>
    <row r="286" spans="1:52" x14ac:dyDescent="0.25">
      <c r="A286" t="s">
        <v>2278</v>
      </c>
      <c r="B286" s="1">
        <v>39818</v>
      </c>
      <c r="C286" t="s">
        <v>2279</v>
      </c>
      <c r="D286">
        <v>498269</v>
      </c>
      <c r="E286" t="s">
        <v>46</v>
      </c>
      <c r="F286" t="s">
        <v>859</v>
      </c>
      <c r="G286" t="s">
        <v>120</v>
      </c>
      <c r="H286" t="s">
        <v>2279</v>
      </c>
      <c r="I286" t="s">
        <v>188</v>
      </c>
      <c r="J286">
        <v>45</v>
      </c>
      <c r="K286">
        <v>50</v>
      </c>
      <c r="L286">
        <v>-53</v>
      </c>
      <c r="M286">
        <v>50</v>
      </c>
      <c r="N286">
        <v>95</v>
      </c>
      <c r="O286" t="s">
        <v>60</v>
      </c>
      <c r="P286">
        <v>67</v>
      </c>
      <c r="Q286">
        <v>72</v>
      </c>
      <c r="R286">
        <v>75</v>
      </c>
      <c r="S286">
        <v>75</v>
      </c>
      <c r="T286">
        <v>147</v>
      </c>
      <c r="U286" t="s">
        <v>48</v>
      </c>
      <c r="V286">
        <f t="shared" si="12"/>
        <v>5</v>
      </c>
      <c r="W286">
        <f t="shared" si="13"/>
        <v>0</v>
      </c>
      <c r="X286">
        <f t="shared" si="14"/>
        <v>0</v>
      </c>
      <c r="Y286">
        <v>125</v>
      </c>
      <c r="Z286">
        <v>242</v>
      </c>
      <c r="AA286" t="s">
        <v>2280</v>
      </c>
      <c r="AB286" t="s">
        <v>2281</v>
      </c>
      <c r="AC286" t="s">
        <v>64</v>
      </c>
      <c r="AD286">
        <v>7</v>
      </c>
      <c r="AE286">
        <v>61</v>
      </c>
      <c r="AF286" t="s">
        <v>95</v>
      </c>
      <c r="AH286" t="s">
        <v>96</v>
      </c>
      <c r="AI286">
        <v>190.45</v>
      </c>
      <c r="AJ286" t="s">
        <v>52</v>
      </c>
      <c r="AK286" t="s">
        <v>859</v>
      </c>
      <c r="AL286" t="s">
        <v>862</v>
      </c>
      <c r="AM286" t="s">
        <v>123</v>
      </c>
      <c r="AN286" s="1">
        <v>45640</v>
      </c>
      <c r="AO286">
        <v>2024</v>
      </c>
      <c r="AP286">
        <v>12</v>
      </c>
      <c r="AQ286" t="s">
        <v>116</v>
      </c>
      <c r="AS286" t="s">
        <v>85</v>
      </c>
      <c r="AT286">
        <v>2025</v>
      </c>
      <c r="AU286" t="s">
        <v>120</v>
      </c>
      <c r="AV286" t="s">
        <v>123</v>
      </c>
      <c r="AW286" t="s">
        <v>2279</v>
      </c>
      <c r="AX286">
        <v>2025</v>
      </c>
      <c r="AY286" t="s">
        <v>2280</v>
      </c>
      <c r="AZ286" t="s">
        <v>2280</v>
      </c>
    </row>
    <row r="287" spans="1:52" x14ac:dyDescent="0.25">
      <c r="A287" t="s">
        <v>2282</v>
      </c>
      <c r="B287" s="1">
        <v>37276</v>
      </c>
      <c r="C287" t="s">
        <v>2283</v>
      </c>
      <c r="D287">
        <v>468259</v>
      </c>
      <c r="E287" t="s">
        <v>46</v>
      </c>
      <c r="F287" t="s">
        <v>263</v>
      </c>
      <c r="G287" t="s">
        <v>697</v>
      </c>
      <c r="H287" t="s">
        <v>2283</v>
      </c>
      <c r="I287" t="s">
        <v>483</v>
      </c>
      <c r="J287">
        <v>60</v>
      </c>
      <c r="K287">
        <v>64</v>
      </c>
      <c r="L287">
        <v>67</v>
      </c>
      <c r="M287">
        <v>67</v>
      </c>
      <c r="N287">
        <v>131</v>
      </c>
      <c r="O287" t="s">
        <v>48</v>
      </c>
      <c r="P287">
        <v>72</v>
      </c>
      <c r="Q287">
        <v>76</v>
      </c>
      <c r="R287">
        <v>80</v>
      </c>
      <c r="S287">
        <v>80</v>
      </c>
      <c r="T287">
        <v>156</v>
      </c>
      <c r="U287" t="s">
        <v>48</v>
      </c>
      <c r="V287">
        <f t="shared" si="12"/>
        <v>6</v>
      </c>
      <c r="W287">
        <f t="shared" si="13"/>
        <v>0</v>
      </c>
      <c r="X287">
        <f t="shared" si="14"/>
        <v>0</v>
      </c>
      <c r="Y287">
        <v>147</v>
      </c>
      <c r="Z287">
        <v>287</v>
      </c>
      <c r="AA287" t="s">
        <v>2284</v>
      </c>
      <c r="AB287" t="s">
        <v>2285</v>
      </c>
      <c r="AC287" t="s">
        <v>89</v>
      </c>
      <c r="AD287">
        <v>5</v>
      </c>
      <c r="AE287">
        <v>64</v>
      </c>
      <c r="AF287" t="s">
        <v>126</v>
      </c>
      <c r="AH287" t="s">
        <v>167</v>
      </c>
      <c r="AI287">
        <v>192.59</v>
      </c>
      <c r="AJ287" t="s">
        <v>132</v>
      </c>
      <c r="AK287" t="s">
        <v>263</v>
      </c>
      <c r="AL287" t="s">
        <v>267</v>
      </c>
      <c r="AM287" t="s">
        <v>145</v>
      </c>
      <c r="AN287" s="1">
        <v>45640</v>
      </c>
      <c r="AO287">
        <v>2024</v>
      </c>
      <c r="AP287">
        <v>12</v>
      </c>
      <c r="AQ287" t="s">
        <v>116</v>
      </c>
      <c r="AS287" t="s">
        <v>85</v>
      </c>
      <c r="AT287">
        <v>2025</v>
      </c>
      <c r="AU287" t="s">
        <v>697</v>
      </c>
      <c r="AV287" t="s">
        <v>145</v>
      </c>
      <c r="AW287" t="s">
        <v>2283</v>
      </c>
      <c r="AX287">
        <v>2025</v>
      </c>
      <c r="AY287" t="s">
        <v>1421</v>
      </c>
      <c r="AZ287" t="s">
        <v>2284</v>
      </c>
    </row>
    <row r="288" spans="1:52" x14ac:dyDescent="0.25">
      <c r="A288" t="s">
        <v>2288</v>
      </c>
      <c r="B288" s="1">
        <v>41375</v>
      </c>
      <c r="C288" t="s">
        <v>2289</v>
      </c>
      <c r="D288">
        <v>491207</v>
      </c>
      <c r="E288" t="s">
        <v>46</v>
      </c>
      <c r="F288" t="s">
        <v>1788</v>
      </c>
      <c r="G288" t="s">
        <v>335</v>
      </c>
      <c r="H288" t="s">
        <v>2289</v>
      </c>
      <c r="I288" t="s">
        <v>188</v>
      </c>
      <c r="J288">
        <v>22</v>
      </c>
      <c r="K288">
        <v>-23</v>
      </c>
      <c r="L288">
        <v>23</v>
      </c>
      <c r="M288">
        <v>23</v>
      </c>
      <c r="N288">
        <v>45</v>
      </c>
      <c r="O288" t="s">
        <v>65</v>
      </c>
      <c r="P288">
        <v>28</v>
      </c>
      <c r="Q288">
        <v>30</v>
      </c>
      <c r="R288">
        <v>-32</v>
      </c>
      <c r="S288">
        <v>30</v>
      </c>
      <c r="T288">
        <v>58</v>
      </c>
      <c r="U288" t="s">
        <v>60</v>
      </c>
      <c r="V288">
        <f t="shared" si="12"/>
        <v>4</v>
      </c>
      <c r="W288">
        <f t="shared" si="13"/>
        <v>0</v>
      </c>
      <c r="X288">
        <f t="shared" si="14"/>
        <v>0</v>
      </c>
      <c r="Y288">
        <v>53</v>
      </c>
      <c r="Z288">
        <v>103</v>
      </c>
      <c r="AA288" t="s">
        <v>2291</v>
      </c>
      <c r="AB288" t="s">
        <v>2292</v>
      </c>
      <c r="AC288" t="s">
        <v>49</v>
      </c>
      <c r="AD288">
        <v>999</v>
      </c>
      <c r="AE288">
        <v>61</v>
      </c>
      <c r="AF288" t="s">
        <v>50</v>
      </c>
      <c r="AH288" t="s">
        <v>290</v>
      </c>
      <c r="AI288">
        <v>156.93</v>
      </c>
      <c r="AJ288" t="s">
        <v>52</v>
      </c>
      <c r="AK288" t="s">
        <v>1788</v>
      </c>
      <c r="AL288" t="s">
        <v>1791</v>
      </c>
      <c r="AM288" t="s">
        <v>128</v>
      </c>
      <c r="AN288" s="1">
        <v>45641</v>
      </c>
      <c r="AO288">
        <v>2024</v>
      </c>
      <c r="AP288">
        <v>12</v>
      </c>
      <c r="AQ288" t="s">
        <v>116</v>
      </c>
      <c r="AS288" t="s">
        <v>85</v>
      </c>
      <c r="AT288">
        <v>2025</v>
      </c>
      <c r="AU288" t="s">
        <v>335</v>
      </c>
      <c r="AV288" t="s">
        <v>128</v>
      </c>
      <c r="AW288" t="s">
        <v>2289</v>
      </c>
      <c r="AX288">
        <v>2025</v>
      </c>
      <c r="AY288" t="s">
        <v>2290</v>
      </c>
      <c r="AZ288" t="s">
        <v>2290</v>
      </c>
    </row>
    <row r="289" spans="1:52" x14ac:dyDescent="0.25">
      <c r="A289" t="s">
        <v>2293</v>
      </c>
      <c r="B289" s="1">
        <v>41521</v>
      </c>
      <c r="C289" t="s">
        <v>2294</v>
      </c>
      <c r="D289">
        <v>498657</v>
      </c>
      <c r="E289" t="s">
        <v>46</v>
      </c>
      <c r="F289" t="s">
        <v>2029</v>
      </c>
      <c r="G289" t="s">
        <v>386</v>
      </c>
      <c r="H289" t="s">
        <v>2294</v>
      </c>
      <c r="I289" t="s">
        <v>295</v>
      </c>
      <c r="J289">
        <v>16</v>
      </c>
      <c r="K289">
        <v>18</v>
      </c>
      <c r="L289">
        <v>20</v>
      </c>
      <c r="M289">
        <v>20</v>
      </c>
      <c r="N289">
        <v>38</v>
      </c>
      <c r="O289" t="s">
        <v>48</v>
      </c>
      <c r="P289">
        <v>21</v>
      </c>
      <c r="Q289">
        <v>23</v>
      </c>
      <c r="R289">
        <v>25</v>
      </c>
      <c r="S289">
        <v>25</v>
      </c>
      <c r="T289">
        <v>48</v>
      </c>
      <c r="U289" t="s">
        <v>48</v>
      </c>
      <c r="V289">
        <f t="shared" si="12"/>
        <v>6</v>
      </c>
      <c r="W289">
        <f t="shared" si="13"/>
        <v>0</v>
      </c>
      <c r="X289">
        <f t="shared" si="14"/>
        <v>0</v>
      </c>
      <c r="Y289">
        <v>45</v>
      </c>
      <c r="Z289">
        <v>86</v>
      </c>
      <c r="AA289" t="s">
        <v>2295</v>
      </c>
      <c r="AB289" t="s">
        <v>2296</v>
      </c>
      <c r="AC289" t="s">
        <v>49</v>
      </c>
      <c r="AD289">
        <v>999</v>
      </c>
      <c r="AE289">
        <v>49</v>
      </c>
      <c r="AF289" t="s">
        <v>50</v>
      </c>
      <c r="AH289" t="s">
        <v>74</v>
      </c>
      <c r="AI289">
        <v>162.25</v>
      </c>
      <c r="AJ289" t="s">
        <v>52</v>
      </c>
      <c r="AK289" t="s">
        <v>2029</v>
      </c>
      <c r="AL289" t="s">
        <v>2032</v>
      </c>
      <c r="AM289" t="s">
        <v>170</v>
      </c>
      <c r="AN289" s="1">
        <v>45641</v>
      </c>
      <c r="AO289">
        <v>2024</v>
      </c>
      <c r="AP289">
        <v>12</v>
      </c>
      <c r="AQ289" t="s">
        <v>116</v>
      </c>
      <c r="AS289" t="s">
        <v>85</v>
      </c>
      <c r="AT289">
        <v>2025</v>
      </c>
      <c r="AU289" t="s">
        <v>386</v>
      </c>
      <c r="AV289" t="s">
        <v>170</v>
      </c>
      <c r="AW289" t="s">
        <v>2294</v>
      </c>
      <c r="AX289">
        <v>2025</v>
      </c>
      <c r="AY289" t="s">
        <v>2295</v>
      </c>
      <c r="AZ289" t="s">
        <v>2295</v>
      </c>
    </row>
    <row r="290" spans="1:52" x14ac:dyDescent="0.25">
      <c r="A290" t="s">
        <v>2304</v>
      </c>
      <c r="B290" s="1">
        <v>39083</v>
      </c>
      <c r="C290" t="s">
        <v>2305</v>
      </c>
      <c r="D290">
        <v>474961</v>
      </c>
      <c r="E290" t="s">
        <v>46</v>
      </c>
      <c r="F290" t="s">
        <v>710</v>
      </c>
      <c r="G290" t="s">
        <v>161</v>
      </c>
      <c r="H290" t="s">
        <v>2305</v>
      </c>
      <c r="I290">
        <v>68</v>
      </c>
      <c r="J290">
        <v>-105</v>
      </c>
      <c r="K290">
        <v>105</v>
      </c>
      <c r="L290">
        <v>-110</v>
      </c>
      <c r="M290">
        <v>105</v>
      </c>
      <c r="N290">
        <v>0</v>
      </c>
      <c r="O290" t="s">
        <v>104</v>
      </c>
      <c r="P290">
        <v>-130</v>
      </c>
      <c r="Q290">
        <v>-136</v>
      </c>
      <c r="R290">
        <v>-136</v>
      </c>
      <c r="S290">
        <v>0</v>
      </c>
      <c r="T290">
        <v>0</v>
      </c>
      <c r="U290" t="s">
        <v>108</v>
      </c>
      <c r="V290">
        <f t="shared" si="12"/>
        <v>1</v>
      </c>
      <c r="W290">
        <f t="shared" si="13"/>
        <v>0</v>
      </c>
      <c r="X290">
        <f t="shared" si="14"/>
        <v>0</v>
      </c>
      <c r="Y290">
        <v>105</v>
      </c>
      <c r="Z290">
        <v>0</v>
      </c>
      <c r="AA290" t="s">
        <v>2308</v>
      </c>
      <c r="AB290" t="s">
        <v>99</v>
      </c>
      <c r="AC290" t="s">
        <v>49</v>
      </c>
      <c r="AD290">
        <v>999</v>
      </c>
      <c r="AE290">
        <v>73</v>
      </c>
      <c r="AF290" t="s">
        <v>113</v>
      </c>
      <c r="AH290" t="s">
        <v>218</v>
      </c>
      <c r="AI290">
        <v>0</v>
      </c>
      <c r="AJ290" t="s">
        <v>52</v>
      </c>
      <c r="AK290" t="s">
        <v>710</v>
      </c>
      <c r="AL290" t="s">
        <v>712</v>
      </c>
      <c r="AM290" t="s">
        <v>128</v>
      </c>
      <c r="AN290" s="1">
        <v>45640</v>
      </c>
      <c r="AO290">
        <v>2024</v>
      </c>
      <c r="AP290">
        <v>12</v>
      </c>
      <c r="AQ290" t="s">
        <v>116</v>
      </c>
      <c r="AS290" t="s">
        <v>85</v>
      </c>
      <c r="AT290">
        <v>2025</v>
      </c>
      <c r="AU290" t="s">
        <v>161</v>
      </c>
      <c r="AV290" t="s">
        <v>128</v>
      </c>
      <c r="AW290" t="s">
        <v>2305</v>
      </c>
      <c r="AX290">
        <v>2025</v>
      </c>
      <c r="AY290" t="s">
        <v>2306</v>
      </c>
      <c r="AZ290" t="s">
        <v>2306</v>
      </c>
    </row>
    <row r="291" spans="1:52" x14ac:dyDescent="0.25">
      <c r="A291" t="s">
        <v>2309</v>
      </c>
      <c r="B291" s="1">
        <v>39832</v>
      </c>
      <c r="C291" t="s">
        <v>2310</v>
      </c>
      <c r="D291">
        <v>496608</v>
      </c>
      <c r="E291" t="s">
        <v>46</v>
      </c>
      <c r="F291" t="s">
        <v>281</v>
      </c>
      <c r="G291" t="s">
        <v>482</v>
      </c>
      <c r="H291" t="s">
        <v>2310</v>
      </c>
      <c r="I291" t="s">
        <v>62</v>
      </c>
      <c r="J291">
        <v>-56</v>
      </c>
      <c r="K291">
        <v>56</v>
      </c>
      <c r="L291">
        <v>58</v>
      </c>
      <c r="M291">
        <v>58</v>
      </c>
      <c r="N291">
        <v>114</v>
      </c>
      <c r="O291" t="s">
        <v>63</v>
      </c>
      <c r="P291">
        <v>70</v>
      </c>
      <c r="Q291">
        <v>72</v>
      </c>
      <c r="R291">
        <v>-75</v>
      </c>
      <c r="S291">
        <v>72</v>
      </c>
      <c r="T291">
        <v>142</v>
      </c>
      <c r="U291" t="s">
        <v>60</v>
      </c>
      <c r="V291">
        <f t="shared" si="12"/>
        <v>4</v>
      </c>
      <c r="W291">
        <f t="shared" si="13"/>
        <v>0</v>
      </c>
      <c r="X291">
        <f t="shared" si="14"/>
        <v>0</v>
      </c>
      <c r="Y291">
        <v>130</v>
      </c>
      <c r="Z291">
        <v>256</v>
      </c>
      <c r="AA291" t="s">
        <v>2311</v>
      </c>
      <c r="AB291" t="s">
        <v>2312</v>
      </c>
      <c r="AC291" t="s">
        <v>89</v>
      </c>
      <c r="AD291">
        <v>5</v>
      </c>
      <c r="AE291">
        <v>55</v>
      </c>
      <c r="AF291" t="s">
        <v>95</v>
      </c>
      <c r="AH291" t="s">
        <v>122</v>
      </c>
      <c r="AI291">
        <v>214.34</v>
      </c>
      <c r="AJ291" t="s">
        <v>52</v>
      </c>
      <c r="AK291" t="s">
        <v>281</v>
      </c>
      <c r="AL291" t="s">
        <v>284</v>
      </c>
      <c r="AM291" t="s">
        <v>139</v>
      </c>
      <c r="AN291" s="1">
        <v>45640</v>
      </c>
      <c r="AO291">
        <v>2024</v>
      </c>
      <c r="AP291">
        <v>12</v>
      </c>
      <c r="AQ291" t="s">
        <v>116</v>
      </c>
      <c r="AS291" t="s">
        <v>85</v>
      </c>
      <c r="AT291">
        <v>2025</v>
      </c>
      <c r="AU291" t="s">
        <v>482</v>
      </c>
      <c r="AV291" t="s">
        <v>140</v>
      </c>
      <c r="AW291" t="s">
        <v>2310</v>
      </c>
      <c r="AX291">
        <v>2025</v>
      </c>
      <c r="AY291" t="s">
        <v>2311</v>
      </c>
      <c r="AZ291" t="s">
        <v>2311</v>
      </c>
    </row>
    <row r="292" spans="1:52" x14ac:dyDescent="0.25">
      <c r="A292" t="s">
        <v>2298</v>
      </c>
      <c r="B292" s="1">
        <v>39827</v>
      </c>
      <c r="C292" t="s">
        <v>2299</v>
      </c>
      <c r="D292">
        <v>497757</v>
      </c>
      <c r="E292" t="s">
        <v>46</v>
      </c>
      <c r="F292" t="s">
        <v>456</v>
      </c>
      <c r="G292" t="s">
        <v>2051</v>
      </c>
      <c r="H292" t="s">
        <v>2299</v>
      </c>
      <c r="I292" t="s">
        <v>2301</v>
      </c>
      <c r="J292">
        <v>40</v>
      </c>
      <c r="K292">
        <v>48</v>
      </c>
      <c r="L292">
        <v>51</v>
      </c>
      <c r="M292">
        <v>51</v>
      </c>
      <c r="N292">
        <v>99</v>
      </c>
      <c r="O292" t="s">
        <v>48</v>
      </c>
      <c r="P292">
        <v>63</v>
      </c>
      <c r="Q292">
        <v>66</v>
      </c>
      <c r="R292">
        <v>-69</v>
      </c>
      <c r="S292">
        <v>66</v>
      </c>
      <c r="T292">
        <v>129</v>
      </c>
      <c r="U292" t="s">
        <v>60</v>
      </c>
      <c r="V292">
        <f t="shared" si="12"/>
        <v>5</v>
      </c>
      <c r="W292">
        <f t="shared" si="13"/>
        <v>0</v>
      </c>
      <c r="X292">
        <f t="shared" si="14"/>
        <v>0</v>
      </c>
      <c r="Y292">
        <v>117</v>
      </c>
      <c r="Z292">
        <v>228</v>
      </c>
      <c r="AA292" t="s">
        <v>2300</v>
      </c>
      <c r="AB292" t="s">
        <v>2302</v>
      </c>
      <c r="AC292" t="s">
        <v>89</v>
      </c>
      <c r="AD292">
        <v>5</v>
      </c>
      <c r="AE292">
        <v>64</v>
      </c>
      <c r="AF292" t="s">
        <v>95</v>
      </c>
      <c r="AH292" t="s">
        <v>169</v>
      </c>
      <c r="AI292">
        <v>152.66999999999999</v>
      </c>
      <c r="AJ292" t="s">
        <v>132</v>
      </c>
      <c r="AK292" t="s">
        <v>456</v>
      </c>
      <c r="AL292" t="s">
        <v>460</v>
      </c>
      <c r="AM292" t="s">
        <v>173</v>
      </c>
      <c r="AN292" s="1">
        <v>45641</v>
      </c>
      <c r="AO292">
        <v>2024</v>
      </c>
      <c r="AP292">
        <v>12</v>
      </c>
      <c r="AQ292" t="s">
        <v>116</v>
      </c>
      <c r="AS292" t="s">
        <v>85</v>
      </c>
      <c r="AT292">
        <v>2025</v>
      </c>
      <c r="AU292" t="s">
        <v>2051</v>
      </c>
      <c r="AV292" t="s">
        <v>173</v>
      </c>
      <c r="AW292" t="s">
        <v>2299</v>
      </c>
      <c r="AX292">
        <v>2025</v>
      </c>
      <c r="AY292" t="s">
        <v>2300</v>
      </c>
      <c r="AZ292" t="s">
        <v>2300</v>
      </c>
    </row>
    <row r="293" spans="1:52" x14ac:dyDescent="0.25">
      <c r="A293" t="s">
        <v>2314</v>
      </c>
      <c r="B293" s="1">
        <v>36943</v>
      </c>
      <c r="C293" t="s">
        <v>2315</v>
      </c>
      <c r="D293">
        <v>304551</v>
      </c>
      <c r="E293" t="s">
        <v>46</v>
      </c>
      <c r="F293" t="s">
        <v>633</v>
      </c>
      <c r="G293" t="s">
        <v>271</v>
      </c>
      <c r="H293" t="s">
        <v>2315</v>
      </c>
      <c r="I293" t="s">
        <v>434</v>
      </c>
      <c r="J293">
        <v>120</v>
      </c>
      <c r="K293">
        <v>125</v>
      </c>
      <c r="L293">
        <v>130</v>
      </c>
      <c r="M293">
        <v>130</v>
      </c>
      <c r="N293">
        <v>255</v>
      </c>
      <c r="O293" t="s">
        <v>48</v>
      </c>
      <c r="P293">
        <v>145</v>
      </c>
      <c r="Q293">
        <v>-155</v>
      </c>
      <c r="R293">
        <v>-155</v>
      </c>
      <c r="S293">
        <v>145</v>
      </c>
      <c r="T293">
        <v>0</v>
      </c>
      <c r="U293" t="s">
        <v>55</v>
      </c>
      <c r="V293">
        <f t="shared" si="12"/>
        <v>4</v>
      </c>
      <c r="W293">
        <f t="shared" si="13"/>
        <v>0</v>
      </c>
      <c r="X293">
        <f t="shared" si="14"/>
        <v>0</v>
      </c>
      <c r="Y293">
        <v>275</v>
      </c>
      <c r="Z293">
        <v>255</v>
      </c>
      <c r="AA293" t="s">
        <v>2317</v>
      </c>
      <c r="AB293" t="s">
        <v>2318</v>
      </c>
      <c r="AC293" t="s">
        <v>94</v>
      </c>
      <c r="AD293">
        <v>4</v>
      </c>
      <c r="AE293">
        <v>81</v>
      </c>
      <c r="AF293" t="s">
        <v>126</v>
      </c>
      <c r="AH293" t="s">
        <v>138</v>
      </c>
      <c r="AI293">
        <v>365.28</v>
      </c>
      <c r="AJ293" t="s">
        <v>52</v>
      </c>
      <c r="AK293" t="s">
        <v>633</v>
      </c>
      <c r="AL293" t="s">
        <v>637</v>
      </c>
      <c r="AM293" t="s">
        <v>139</v>
      </c>
      <c r="AN293" s="1">
        <v>45640</v>
      </c>
      <c r="AO293">
        <v>2024</v>
      </c>
      <c r="AP293">
        <v>12</v>
      </c>
      <c r="AQ293" t="s">
        <v>116</v>
      </c>
      <c r="AS293" t="s">
        <v>85</v>
      </c>
      <c r="AT293">
        <v>2025</v>
      </c>
      <c r="AU293" t="s">
        <v>271</v>
      </c>
      <c r="AV293" t="s">
        <v>140</v>
      </c>
      <c r="AW293" t="s">
        <v>2315</v>
      </c>
      <c r="AX293">
        <v>2025</v>
      </c>
      <c r="AY293" t="s">
        <v>2316</v>
      </c>
      <c r="AZ293" t="s">
        <v>2317</v>
      </c>
    </row>
    <row r="294" spans="1:52" x14ac:dyDescent="0.25">
      <c r="A294" t="s">
        <v>2319</v>
      </c>
      <c r="B294" s="1">
        <v>38751</v>
      </c>
      <c r="C294" t="s">
        <v>2320</v>
      </c>
      <c r="D294">
        <v>442522</v>
      </c>
      <c r="E294" t="s">
        <v>46</v>
      </c>
      <c r="F294" t="s">
        <v>390</v>
      </c>
      <c r="G294" t="s">
        <v>386</v>
      </c>
      <c r="H294" t="s">
        <v>2320</v>
      </c>
      <c r="I294" t="s">
        <v>2277</v>
      </c>
      <c r="J294">
        <v>106</v>
      </c>
      <c r="K294">
        <v>112</v>
      </c>
      <c r="L294">
        <v>-118</v>
      </c>
      <c r="M294">
        <v>112</v>
      </c>
      <c r="N294">
        <v>218</v>
      </c>
      <c r="O294" t="s">
        <v>60</v>
      </c>
      <c r="P294">
        <v>130</v>
      </c>
      <c r="Q294">
        <v>138</v>
      </c>
      <c r="R294">
        <v>-146</v>
      </c>
      <c r="S294">
        <v>138</v>
      </c>
      <c r="T294">
        <v>268</v>
      </c>
      <c r="U294" t="s">
        <v>60</v>
      </c>
      <c r="V294">
        <f t="shared" si="12"/>
        <v>4</v>
      </c>
      <c r="W294">
        <f t="shared" si="13"/>
        <v>0</v>
      </c>
      <c r="X294">
        <f t="shared" si="14"/>
        <v>0</v>
      </c>
      <c r="Y294">
        <v>250</v>
      </c>
      <c r="Z294">
        <v>486</v>
      </c>
      <c r="AA294" t="s">
        <v>2323</v>
      </c>
      <c r="AB294" t="s">
        <v>2324</v>
      </c>
      <c r="AC294" t="s">
        <v>89</v>
      </c>
      <c r="AD294">
        <v>5</v>
      </c>
      <c r="AE294" t="s">
        <v>125</v>
      </c>
      <c r="AF294" t="s">
        <v>113</v>
      </c>
      <c r="AH294" t="s">
        <v>597</v>
      </c>
      <c r="AI294">
        <v>267.75</v>
      </c>
      <c r="AJ294" t="s">
        <v>52</v>
      </c>
      <c r="AK294" t="s">
        <v>390</v>
      </c>
      <c r="AL294" t="s">
        <v>392</v>
      </c>
      <c r="AM294" t="s">
        <v>170</v>
      </c>
      <c r="AN294" s="1">
        <v>45641</v>
      </c>
      <c r="AO294">
        <v>2024</v>
      </c>
      <c r="AP294">
        <v>12</v>
      </c>
      <c r="AQ294" t="s">
        <v>116</v>
      </c>
      <c r="AS294" t="s">
        <v>85</v>
      </c>
      <c r="AT294">
        <v>2025</v>
      </c>
      <c r="AU294" t="s">
        <v>386</v>
      </c>
      <c r="AV294" t="s">
        <v>170</v>
      </c>
      <c r="AW294" t="s">
        <v>2320</v>
      </c>
      <c r="AX294">
        <v>2025</v>
      </c>
      <c r="AY294" t="s">
        <v>2321</v>
      </c>
      <c r="AZ294" t="s">
        <v>2325</v>
      </c>
    </row>
    <row r="295" spans="1:52" x14ac:dyDescent="0.25">
      <c r="A295" t="s">
        <v>2326</v>
      </c>
      <c r="B295" s="1">
        <v>32764</v>
      </c>
      <c r="C295" t="s">
        <v>2327</v>
      </c>
      <c r="D295">
        <v>430607</v>
      </c>
      <c r="E295" t="s">
        <v>46</v>
      </c>
      <c r="F295" t="s">
        <v>109</v>
      </c>
      <c r="G295" t="s">
        <v>1627</v>
      </c>
      <c r="H295" t="s">
        <v>2327</v>
      </c>
      <c r="I295" t="s">
        <v>2329</v>
      </c>
      <c r="J295">
        <v>103</v>
      </c>
      <c r="K295">
        <v>106</v>
      </c>
      <c r="L295">
        <v>108</v>
      </c>
      <c r="M295">
        <v>108</v>
      </c>
      <c r="N295">
        <v>214</v>
      </c>
      <c r="O295" t="s">
        <v>48</v>
      </c>
      <c r="P295">
        <v>128</v>
      </c>
      <c r="Q295">
        <v>133</v>
      </c>
      <c r="R295">
        <v>-137</v>
      </c>
      <c r="S295">
        <v>133</v>
      </c>
      <c r="T295">
        <v>261</v>
      </c>
      <c r="U295" t="s">
        <v>60</v>
      </c>
      <c r="V295">
        <f t="shared" si="12"/>
        <v>5</v>
      </c>
      <c r="W295">
        <f t="shared" si="13"/>
        <v>0</v>
      </c>
      <c r="X295">
        <f t="shared" si="14"/>
        <v>0</v>
      </c>
      <c r="Y295">
        <v>241</v>
      </c>
      <c r="Z295">
        <v>475</v>
      </c>
      <c r="AA295" t="s">
        <v>2328</v>
      </c>
      <c r="AB295" t="s">
        <v>2330</v>
      </c>
      <c r="AC295" t="s">
        <v>93</v>
      </c>
      <c r="AD295">
        <v>6</v>
      </c>
      <c r="AE295">
        <v>89</v>
      </c>
      <c r="AF295" t="s">
        <v>126</v>
      </c>
      <c r="AG295">
        <v>35</v>
      </c>
      <c r="AH295" t="s">
        <v>155</v>
      </c>
      <c r="AI295">
        <v>292.64</v>
      </c>
      <c r="AJ295" t="s">
        <v>52</v>
      </c>
      <c r="AK295" t="s">
        <v>109</v>
      </c>
      <c r="AL295" t="s">
        <v>115</v>
      </c>
      <c r="AM295" t="s">
        <v>90</v>
      </c>
      <c r="AN295" s="1">
        <v>45639</v>
      </c>
      <c r="AO295">
        <v>2024</v>
      </c>
      <c r="AP295">
        <v>12</v>
      </c>
      <c r="AQ295" t="s">
        <v>116</v>
      </c>
      <c r="AS295" t="s">
        <v>85</v>
      </c>
      <c r="AT295">
        <v>2025</v>
      </c>
      <c r="AU295" t="s">
        <v>1627</v>
      </c>
      <c r="AV295" t="s">
        <v>91</v>
      </c>
      <c r="AW295" t="s">
        <v>2327</v>
      </c>
      <c r="AX295">
        <v>2025</v>
      </c>
      <c r="AY295" t="s">
        <v>2328</v>
      </c>
      <c r="AZ295" t="s">
        <v>2328</v>
      </c>
    </row>
    <row r="296" spans="1:52" x14ac:dyDescent="0.25">
      <c r="A296" t="s">
        <v>2331</v>
      </c>
      <c r="B296" s="1">
        <v>41590</v>
      </c>
      <c r="C296" t="s">
        <v>2332</v>
      </c>
      <c r="D296">
        <v>478215</v>
      </c>
      <c r="E296" t="s">
        <v>46</v>
      </c>
      <c r="F296" t="s">
        <v>964</v>
      </c>
      <c r="G296" t="s">
        <v>255</v>
      </c>
      <c r="H296" t="s">
        <v>2332</v>
      </c>
      <c r="I296">
        <v>42</v>
      </c>
      <c r="J296">
        <v>18</v>
      </c>
      <c r="K296">
        <v>20</v>
      </c>
      <c r="L296">
        <v>-22</v>
      </c>
      <c r="M296">
        <v>20</v>
      </c>
      <c r="N296">
        <v>38</v>
      </c>
      <c r="O296" t="s">
        <v>60</v>
      </c>
      <c r="P296">
        <v>27</v>
      </c>
      <c r="Q296">
        <v>29</v>
      </c>
      <c r="R296">
        <v>-31</v>
      </c>
      <c r="S296">
        <v>29</v>
      </c>
      <c r="T296">
        <v>56</v>
      </c>
      <c r="U296" t="s">
        <v>60</v>
      </c>
      <c r="V296">
        <f t="shared" si="12"/>
        <v>4</v>
      </c>
      <c r="W296">
        <f t="shared" si="13"/>
        <v>0</v>
      </c>
      <c r="X296">
        <f t="shared" si="14"/>
        <v>0</v>
      </c>
      <c r="Y296">
        <v>49</v>
      </c>
      <c r="Z296">
        <v>94</v>
      </c>
      <c r="AA296" t="s">
        <v>2335</v>
      </c>
      <c r="AB296" t="s">
        <v>2336</v>
      </c>
      <c r="AC296" t="s">
        <v>49</v>
      </c>
      <c r="AD296">
        <v>999</v>
      </c>
      <c r="AE296">
        <v>45</v>
      </c>
      <c r="AF296" t="s">
        <v>50</v>
      </c>
      <c r="AH296" t="s">
        <v>67</v>
      </c>
      <c r="AI296">
        <v>195.65</v>
      </c>
      <c r="AJ296" t="s">
        <v>52</v>
      </c>
      <c r="AK296" t="s">
        <v>964</v>
      </c>
      <c r="AL296" t="s">
        <v>967</v>
      </c>
      <c r="AM296" t="s">
        <v>68</v>
      </c>
      <c r="AN296" s="1">
        <v>45641</v>
      </c>
      <c r="AO296">
        <v>2024</v>
      </c>
      <c r="AP296">
        <v>12</v>
      </c>
      <c r="AQ296" t="s">
        <v>116</v>
      </c>
      <c r="AS296" t="s">
        <v>85</v>
      </c>
      <c r="AT296">
        <v>2025</v>
      </c>
      <c r="AU296" t="s">
        <v>255</v>
      </c>
      <c r="AV296" t="s">
        <v>68</v>
      </c>
      <c r="AW296" t="s">
        <v>2332</v>
      </c>
      <c r="AX296">
        <v>2025</v>
      </c>
      <c r="AY296" t="s">
        <v>2333</v>
      </c>
      <c r="AZ296" t="s">
        <v>2334</v>
      </c>
    </row>
    <row r="297" spans="1:52" x14ac:dyDescent="0.25">
      <c r="A297" t="s">
        <v>2337</v>
      </c>
      <c r="B297" s="1">
        <v>30957</v>
      </c>
      <c r="C297" t="s">
        <v>2338</v>
      </c>
      <c r="D297">
        <v>443525</v>
      </c>
      <c r="E297" t="s">
        <v>46</v>
      </c>
      <c r="F297" t="s">
        <v>617</v>
      </c>
      <c r="G297" t="s">
        <v>2286</v>
      </c>
      <c r="H297" t="s">
        <v>2338</v>
      </c>
      <c r="I297" t="s">
        <v>496</v>
      </c>
      <c r="J297">
        <v>55</v>
      </c>
      <c r="K297">
        <v>58</v>
      </c>
      <c r="L297">
        <v>-61</v>
      </c>
      <c r="M297">
        <v>58</v>
      </c>
      <c r="N297">
        <v>113</v>
      </c>
      <c r="O297" t="s">
        <v>60</v>
      </c>
      <c r="P297">
        <v>70</v>
      </c>
      <c r="Q297">
        <v>73</v>
      </c>
      <c r="R297">
        <v>-76</v>
      </c>
      <c r="S297">
        <v>73</v>
      </c>
      <c r="T297">
        <v>143</v>
      </c>
      <c r="U297" t="s">
        <v>60</v>
      </c>
      <c r="V297">
        <f t="shared" si="12"/>
        <v>4</v>
      </c>
      <c r="W297">
        <f t="shared" si="13"/>
        <v>0</v>
      </c>
      <c r="X297">
        <f t="shared" si="14"/>
        <v>0</v>
      </c>
      <c r="Y297">
        <v>131</v>
      </c>
      <c r="Z297">
        <v>256</v>
      </c>
      <c r="AA297" t="s">
        <v>927</v>
      </c>
      <c r="AB297" t="s">
        <v>2339</v>
      </c>
      <c r="AC297" t="s">
        <v>93</v>
      </c>
      <c r="AD297">
        <v>6</v>
      </c>
      <c r="AE297">
        <v>71</v>
      </c>
      <c r="AF297" t="s">
        <v>126</v>
      </c>
      <c r="AG297">
        <v>40</v>
      </c>
      <c r="AH297" t="s">
        <v>226</v>
      </c>
      <c r="AI297">
        <v>168.47</v>
      </c>
      <c r="AJ297" t="s">
        <v>132</v>
      </c>
      <c r="AK297" t="s">
        <v>617</v>
      </c>
      <c r="AL297" t="s">
        <v>620</v>
      </c>
      <c r="AM297" t="s">
        <v>90</v>
      </c>
      <c r="AN297" s="1">
        <v>45640</v>
      </c>
      <c r="AO297">
        <v>2024</v>
      </c>
      <c r="AP297">
        <v>12</v>
      </c>
      <c r="AQ297" t="s">
        <v>116</v>
      </c>
      <c r="AS297" t="s">
        <v>85</v>
      </c>
      <c r="AT297">
        <v>2025</v>
      </c>
      <c r="AU297" t="s">
        <v>2286</v>
      </c>
      <c r="AV297" t="s">
        <v>91</v>
      </c>
      <c r="AW297" t="s">
        <v>2338</v>
      </c>
      <c r="AX297">
        <v>2025</v>
      </c>
      <c r="AY297" t="s">
        <v>927</v>
      </c>
      <c r="AZ297" t="s">
        <v>927</v>
      </c>
    </row>
    <row r="298" spans="1:52" x14ac:dyDescent="0.25">
      <c r="A298" t="s">
        <v>2342</v>
      </c>
      <c r="B298" s="1">
        <v>37222</v>
      </c>
      <c r="C298" t="s">
        <v>2343</v>
      </c>
      <c r="D298">
        <v>435006</v>
      </c>
      <c r="E298" t="s">
        <v>46</v>
      </c>
      <c r="F298" t="s">
        <v>1400</v>
      </c>
      <c r="G298" t="s">
        <v>536</v>
      </c>
      <c r="H298" t="s">
        <v>2343</v>
      </c>
      <c r="I298" t="s">
        <v>733</v>
      </c>
      <c r="J298">
        <v>-118</v>
      </c>
      <c r="K298">
        <v>-118</v>
      </c>
      <c r="L298">
        <v>-118</v>
      </c>
      <c r="M298">
        <v>0</v>
      </c>
      <c r="N298">
        <v>0</v>
      </c>
      <c r="O298" t="s">
        <v>108</v>
      </c>
      <c r="P298">
        <v>0</v>
      </c>
      <c r="Q298">
        <v>0</v>
      </c>
      <c r="R298">
        <v>0</v>
      </c>
      <c r="S298">
        <v>0</v>
      </c>
      <c r="T298">
        <v>0</v>
      </c>
      <c r="U298" t="s">
        <v>108</v>
      </c>
      <c r="V298">
        <f t="shared" si="12"/>
        <v>0</v>
      </c>
      <c r="W298">
        <f t="shared" si="13"/>
        <v>0</v>
      </c>
      <c r="X298">
        <f t="shared" si="14"/>
        <v>0</v>
      </c>
      <c r="Y298">
        <v>0</v>
      </c>
      <c r="Z298">
        <v>0</v>
      </c>
      <c r="AA298" t="s">
        <v>99</v>
      </c>
      <c r="AB298" t="s">
        <v>99</v>
      </c>
      <c r="AC298" t="s">
        <v>49</v>
      </c>
      <c r="AD298">
        <v>999</v>
      </c>
      <c r="AE298">
        <v>96</v>
      </c>
      <c r="AF298" t="s">
        <v>126</v>
      </c>
      <c r="AH298" t="s">
        <v>222</v>
      </c>
      <c r="AI298">
        <v>0</v>
      </c>
      <c r="AJ298" t="s">
        <v>52</v>
      </c>
      <c r="AK298" t="s">
        <v>1400</v>
      </c>
      <c r="AL298" t="s">
        <v>1402</v>
      </c>
      <c r="AM298" t="s">
        <v>128</v>
      </c>
      <c r="AN298" s="1">
        <v>45640</v>
      </c>
      <c r="AO298">
        <v>2024</v>
      </c>
      <c r="AP298">
        <v>12</v>
      </c>
      <c r="AQ298" t="s">
        <v>116</v>
      </c>
      <c r="AS298" t="s">
        <v>85</v>
      </c>
      <c r="AT298">
        <v>2025</v>
      </c>
      <c r="AU298" t="s">
        <v>536</v>
      </c>
      <c r="AV298" t="s">
        <v>128</v>
      </c>
      <c r="AW298" t="s">
        <v>2343</v>
      </c>
      <c r="AX298">
        <v>2025</v>
      </c>
      <c r="AY298" t="s">
        <v>2344</v>
      </c>
      <c r="AZ298" t="s">
        <v>2345</v>
      </c>
    </row>
    <row r="299" spans="1:52" x14ac:dyDescent="0.25">
      <c r="A299" t="s">
        <v>2346</v>
      </c>
      <c r="B299" s="1">
        <v>29998</v>
      </c>
      <c r="C299" t="s">
        <v>2347</v>
      </c>
      <c r="D299">
        <v>438682</v>
      </c>
      <c r="E299" t="s">
        <v>46</v>
      </c>
      <c r="F299" t="s">
        <v>1315</v>
      </c>
      <c r="G299" t="s">
        <v>404</v>
      </c>
      <c r="H299" t="s">
        <v>2347</v>
      </c>
      <c r="I299" t="s">
        <v>706</v>
      </c>
      <c r="J299">
        <v>94</v>
      </c>
      <c r="K299">
        <v>-98</v>
      </c>
      <c r="L299">
        <v>98</v>
      </c>
      <c r="M299">
        <v>98</v>
      </c>
      <c r="N299">
        <v>192</v>
      </c>
      <c r="O299" t="s">
        <v>65</v>
      </c>
      <c r="P299">
        <v>-115</v>
      </c>
      <c r="Q299">
        <v>115</v>
      </c>
      <c r="R299">
        <v>118</v>
      </c>
      <c r="S299">
        <v>118</v>
      </c>
      <c r="T299">
        <v>233</v>
      </c>
      <c r="U299" t="s">
        <v>63</v>
      </c>
      <c r="V299">
        <f t="shared" si="12"/>
        <v>4</v>
      </c>
      <c r="W299">
        <f t="shared" si="13"/>
        <v>0</v>
      </c>
      <c r="X299">
        <f t="shared" si="14"/>
        <v>0</v>
      </c>
      <c r="Y299">
        <v>216</v>
      </c>
      <c r="Z299">
        <v>425</v>
      </c>
      <c r="AA299" t="s">
        <v>2348</v>
      </c>
      <c r="AB299" t="s">
        <v>2349</v>
      </c>
      <c r="AC299" t="s">
        <v>93</v>
      </c>
      <c r="AD299">
        <v>6</v>
      </c>
      <c r="AE299">
        <v>73</v>
      </c>
      <c r="AF299" t="s">
        <v>126</v>
      </c>
      <c r="AG299">
        <v>40</v>
      </c>
      <c r="AH299" t="s">
        <v>141</v>
      </c>
      <c r="AI299">
        <v>294.67</v>
      </c>
      <c r="AJ299" t="s">
        <v>52</v>
      </c>
      <c r="AK299" t="s">
        <v>1315</v>
      </c>
      <c r="AL299" t="s">
        <v>1317</v>
      </c>
      <c r="AM299" t="s">
        <v>143</v>
      </c>
      <c r="AN299" s="1">
        <v>45640</v>
      </c>
      <c r="AO299">
        <v>2024</v>
      </c>
      <c r="AP299">
        <v>12</v>
      </c>
      <c r="AQ299" t="s">
        <v>116</v>
      </c>
      <c r="AS299" t="s">
        <v>85</v>
      </c>
      <c r="AT299">
        <v>2025</v>
      </c>
      <c r="AU299" t="s">
        <v>404</v>
      </c>
      <c r="AV299" t="s">
        <v>143</v>
      </c>
      <c r="AW299" t="s">
        <v>2347</v>
      </c>
      <c r="AX299">
        <v>2025</v>
      </c>
      <c r="AY299" t="s">
        <v>2348</v>
      </c>
      <c r="AZ299" t="s">
        <v>2348</v>
      </c>
    </row>
    <row r="300" spans="1:52" x14ac:dyDescent="0.25">
      <c r="A300" t="s">
        <v>2351</v>
      </c>
      <c r="B300" s="1">
        <v>39657</v>
      </c>
      <c r="C300" t="s">
        <v>2352</v>
      </c>
      <c r="D300">
        <v>490750</v>
      </c>
      <c r="E300" t="s">
        <v>46</v>
      </c>
      <c r="F300" t="s">
        <v>360</v>
      </c>
      <c r="G300" t="s">
        <v>937</v>
      </c>
      <c r="H300" t="s">
        <v>2352</v>
      </c>
      <c r="I300" t="s">
        <v>546</v>
      </c>
      <c r="J300">
        <v>48</v>
      </c>
      <c r="K300">
        <v>-52</v>
      </c>
      <c r="L300">
        <v>-53</v>
      </c>
      <c r="M300">
        <v>48</v>
      </c>
      <c r="N300">
        <v>0</v>
      </c>
      <c r="O300" t="s">
        <v>55</v>
      </c>
      <c r="P300">
        <v>61</v>
      </c>
      <c r="Q300">
        <v>65</v>
      </c>
      <c r="R300">
        <v>67</v>
      </c>
      <c r="S300">
        <v>67</v>
      </c>
      <c r="T300">
        <v>132</v>
      </c>
      <c r="U300" t="s">
        <v>48</v>
      </c>
      <c r="V300">
        <f t="shared" si="12"/>
        <v>4</v>
      </c>
      <c r="W300">
        <f t="shared" si="13"/>
        <v>0</v>
      </c>
      <c r="X300">
        <f t="shared" si="14"/>
        <v>0</v>
      </c>
      <c r="Y300">
        <v>115</v>
      </c>
      <c r="Z300">
        <v>132</v>
      </c>
      <c r="AA300" t="s">
        <v>2354</v>
      </c>
      <c r="AB300" t="s">
        <v>2355</v>
      </c>
      <c r="AC300" t="s">
        <v>94</v>
      </c>
      <c r="AD300">
        <v>4</v>
      </c>
      <c r="AE300">
        <v>59</v>
      </c>
      <c r="AF300" t="s">
        <v>95</v>
      </c>
      <c r="AH300" t="s">
        <v>350</v>
      </c>
      <c r="AI300">
        <v>159.91</v>
      </c>
      <c r="AJ300" t="s">
        <v>132</v>
      </c>
      <c r="AK300" t="s">
        <v>360</v>
      </c>
      <c r="AL300" t="s">
        <v>363</v>
      </c>
      <c r="AM300" t="s">
        <v>53</v>
      </c>
      <c r="AN300" s="1">
        <v>45640</v>
      </c>
      <c r="AO300">
        <v>2024</v>
      </c>
      <c r="AP300">
        <v>12</v>
      </c>
      <c r="AQ300" t="s">
        <v>116</v>
      </c>
      <c r="AS300" t="s">
        <v>85</v>
      </c>
      <c r="AT300">
        <v>2025</v>
      </c>
      <c r="AU300" t="s">
        <v>937</v>
      </c>
      <c r="AV300" t="s">
        <v>54</v>
      </c>
      <c r="AW300" t="s">
        <v>2352</v>
      </c>
      <c r="AX300">
        <v>2025</v>
      </c>
      <c r="AY300" t="s">
        <v>2353</v>
      </c>
      <c r="AZ300" t="s">
        <v>2353</v>
      </c>
    </row>
    <row r="301" spans="1:52" x14ac:dyDescent="0.25">
      <c r="A301" t="s">
        <v>2356</v>
      </c>
      <c r="B301" s="1">
        <v>35319</v>
      </c>
      <c r="C301" t="s">
        <v>2357</v>
      </c>
      <c r="D301">
        <v>484251</v>
      </c>
      <c r="E301" t="s">
        <v>46</v>
      </c>
      <c r="F301" t="s">
        <v>999</v>
      </c>
      <c r="G301" t="s">
        <v>674</v>
      </c>
      <c r="H301" t="s">
        <v>2357</v>
      </c>
      <c r="I301" t="s">
        <v>160</v>
      </c>
      <c r="J301">
        <v>-115</v>
      </c>
      <c r="K301">
        <v>-115</v>
      </c>
      <c r="L301">
        <v>-115</v>
      </c>
      <c r="M301">
        <v>0</v>
      </c>
      <c r="N301">
        <v>0</v>
      </c>
      <c r="O301" t="s">
        <v>108</v>
      </c>
      <c r="P301">
        <v>145</v>
      </c>
      <c r="Q301">
        <v>-152</v>
      </c>
      <c r="R301">
        <v>-152</v>
      </c>
      <c r="S301">
        <v>145</v>
      </c>
      <c r="T301">
        <v>0</v>
      </c>
      <c r="U301" t="s">
        <v>55</v>
      </c>
      <c r="V301">
        <f t="shared" si="12"/>
        <v>1</v>
      </c>
      <c r="W301">
        <f t="shared" si="13"/>
        <v>0</v>
      </c>
      <c r="X301">
        <f t="shared" si="14"/>
        <v>0</v>
      </c>
      <c r="Y301">
        <v>145</v>
      </c>
      <c r="Z301">
        <v>0</v>
      </c>
      <c r="AA301" t="s">
        <v>2359</v>
      </c>
      <c r="AB301" t="s">
        <v>99</v>
      </c>
      <c r="AC301" t="s">
        <v>49</v>
      </c>
      <c r="AD301">
        <v>999</v>
      </c>
      <c r="AE301">
        <v>89</v>
      </c>
      <c r="AF301" t="s">
        <v>126</v>
      </c>
      <c r="AH301" t="s">
        <v>155</v>
      </c>
      <c r="AI301">
        <v>0</v>
      </c>
      <c r="AJ301" t="s">
        <v>52</v>
      </c>
      <c r="AK301" t="s">
        <v>999</v>
      </c>
      <c r="AL301" t="s">
        <v>1001</v>
      </c>
      <c r="AM301" t="s">
        <v>53</v>
      </c>
      <c r="AN301" s="1">
        <v>45640</v>
      </c>
      <c r="AO301">
        <v>2024</v>
      </c>
      <c r="AP301">
        <v>12</v>
      </c>
      <c r="AQ301" t="s">
        <v>116</v>
      </c>
      <c r="AS301" t="s">
        <v>85</v>
      </c>
      <c r="AT301">
        <v>2025</v>
      </c>
      <c r="AU301" t="s">
        <v>674</v>
      </c>
      <c r="AV301" t="s">
        <v>54</v>
      </c>
      <c r="AW301" t="s">
        <v>2357</v>
      </c>
      <c r="AX301">
        <v>2025</v>
      </c>
      <c r="AY301" t="s">
        <v>2358</v>
      </c>
      <c r="AZ301" t="s">
        <v>2358</v>
      </c>
    </row>
    <row r="302" spans="1:52" x14ac:dyDescent="0.25">
      <c r="A302" t="s">
        <v>2367</v>
      </c>
      <c r="B302" s="1">
        <v>36451</v>
      </c>
      <c r="C302" t="s">
        <v>2368</v>
      </c>
      <c r="D302">
        <v>442961</v>
      </c>
      <c r="E302" t="s">
        <v>46</v>
      </c>
      <c r="F302" t="s">
        <v>492</v>
      </c>
      <c r="G302" t="s">
        <v>1046</v>
      </c>
      <c r="H302" t="s">
        <v>2368</v>
      </c>
      <c r="I302" t="s">
        <v>557</v>
      </c>
      <c r="J302">
        <v>-95</v>
      </c>
      <c r="K302">
        <v>95</v>
      </c>
      <c r="L302">
        <v>-100</v>
      </c>
      <c r="M302">
        <v>95</v>
      </c>
      <c r="N302">
        <v>0</v>
      </c>
      <c r="O302" t="s">
        <v>104</v>
      </c>
      <c r="P302">
        <v>127</v>
      </c>
      <c r="Q302">
        <v>-136</v>
      </c>
      <c r="R302">
        <v>-137</v>
      </c>
      <c r="S302">
        <v>127</v>
      </c>
      <c r="T302">
        <v>0</v>
      </c>
      <c r="U302" t="s">
        <v>55</v>
      </c>
      <c r="V302">
        <f t="shared" si="12"/>
        <v>2</v>
      </c>
      <c r="W302">
        <f t="shared" si="13"/>
        <v>0</v>
      </c>
      <c r="X302">
        <f t="shared" si="14"/>
        <v>0</v>
      </c>
      <c r="Y302">
        <v>222</v>
      </c>
      <c r="Z302">
        <v>0</v>
      </c>
      <c r="AA302" t="s">
        <v>1065</v>
      </c>
      <c r="AB302" t="s">
        <v>99</v>
      </c>
      <c r="AC302" t="s">
        <v>93</v>
      </c>
      <c r="AD302">
        <v>6</v>
      </c>
      <c r="AE302">
        <v>73</v>
      </c>
      <c r="AF302" t="s">
        <v>126</v>
      </c>
      <c r="AH302" t="s">
        <v>141</v>
      </c>
      <c r="AI302">
        <v>300.77999999999997</v>
      </c>
      <c r="AJ302" t="s">
        <v>52</v>
      </c>
      <c r="AK302" t="s">
        <v>492</v>
      </c>
      <c r="AL302" t="s">
        <v>494</v>
      </c>
      <c r="AM302" t="s">
        <v>90</v>
      </c>
      <c r="AN302" s="1">
        <v>45640</v>
      </c>
      <c r="AO302">
        <v>2024</v>
      </c>
      <c r="AP302">
        <v>12</v>
      </c>
      <c r="AQ302" t="s">
        <v>116</v>
      </c>
      <c r="AS302" t="s">
        <v>85</v>
      </c>
      <c r="AT302">
        <v>2025</v>
      </c>
      <c r="AU302" t="s">
        <v>1046</v>
      </c>
      <c r="AV302" t="s">
        <v>91</v>
      </c>
      <c r="AW302" t="s">
        <v>2368</v>
      </c>
      <c r="AX302">
        <v>2025</v>
      </c>
      <c r="AY302" t="s">
        <v>2369</v>
      </c>
      <c r="AZ302" t="s">
        <v>2369</v>
      </c>
    </row>
    <row r="303" spans="1:52" x14ac:dyDescent="0.25">
      <c r="A303" t="s">
        <v>2360</v>
      </c>
      <c r="B303" s="1">
        <v>30517</v>
      </c>
      <c r="C303" t="s">
        <v>2361</v>
      </c>
      <c r="D303">
        <v>429622</v>
      </c>
      <c r="E303" t="s">
        <v>46</v>
      </c>
      <c r="F303" t="s">
        <v>1400</v>
      </c>
      <c r="G303" t="s">
        <v>124</v>
      </c>
      <c r="H303" t="s">
        <v>2361</v>
      </c>
      <c r="I303" t="s">
        <v>420</v>
      </c>
      <c r="J303">
        <v>110</v>
      </c>
      <c r="K303">
        <v>116</v>
      </c>
      <c r="L303">
        <v>-120</v>
      </c>
      <c r="M303">
        <v>116</v>
      </c>
      <c r="N303">
        <v>226</v>
      </c>
      <c r="O303" t="s">
        <v>60</v>
      </c>
      <c r="P303">
        <v>-135</v>
      </c>
      <c r="Q303">
        <v>-135</v>
      </c>
      <c r="R303">
        <v>135</v>
      </c>
      <c r="S303">
        <v>135</v>
      </c>
      <c r="T303">
        <v>0</v>
      </c>
      <c r="U303" t="s">
        <v>102</v>
      </c>
      <c r="V303">
        <f t="shared" si="12"/>
        <v>3</v>
      </c>
      <c r="W303">
        <f t="shared" si="13"/>
        <v>1</v>
      </c>
      <c r="X303">
        <f t="shared" si="14"/>
        <v>0</v>
      </c>
      <c r="Y303">
        <v>251</v>
      </c>
      <c r="Z303">
        <v>226</v>
      </c>
      <c r="AA303" t="s">
        <v>2363</v>
      </c>
      <c r="AB303" t="s">
        <v>2364</v>
      </c>
      <c r="AC303" t="s">
        <v>89</v>
      </c>
      <c r="AD303">
        <v>5</v>
      </c>
      <c r="AE303">
        <v>81</v>
      </c>
      <c r="AF303" t="s">
        <v>126</v>
      </c>
      <c r="AG303">
        <v>40</v>
      </c>
      <c r="AH303" t="s">
        <v>138</v>
      </c>
      <c r="AI303">
        <v>318.77</v>
      </c>
      <c r="AJ303" t="s">
        <v>52</v>
      </c>
      <c r="AK303" t="s">
        <v>1400</v>
      </c>
      <c r="AL303" t="s">
        <v>1402</v>
      </c>
      <c r="AM303" t="s">
        <v>128</v>
      </c>
      <c r="AN303" s="1">
        <v>45640</v>
      </c>
      <c r="AO303">
        <v>2024</v>
      </c>
      <c r="AP303">
        <v>12</v>
      </c>
      <c r="AQ303" t="s">
        <v>116</v>
      </c>
      <c r="AS303" t="s">
        <v>85</v>
      </c>
      <c r="AT303">
        <v>2025</v>
      </c>
      <c r="AU303" t="s">
        <v>124</v>
      </c>
      <c r="AV303" t="s">
        <v>128</v>
      </c>
      <c r="AW303" t="s">
        <v>2361</v>
      </c>
      <c r="AX303">
        <v>2025</v>
      </c>
      <c r="AY303" t="s">
        <v>2362</v>
      </c>
      <c r="AZ303" t="s">
        <v>2365</v>
      </c>
    </row>
    <row r="304" spans="1:52" x14ac:dyDescent="0.25">
      <c r="A304" t="s">
        <v>2370</v>
      </c>
      <c r="B304" s="1">
        <v>38824</v>
      </c>
      <c r="C304" t="s">
        <v>2371</v>
      </c>
      <c r="D304">
        <v>476340</v>
      </c>
      <c r="E304" t="s">
        <v>46</v>
      </c>
      <c r="F304" t="s">
        <v>859</v>
      </c>
      <c r="G304" t="s">
        <v>120</v>
      </c>
      <c r="H304" t="s">
        <v>2371</v>
      </c>
      <c r="I304">
        <v>80</v>
      </c>
      <c r="J304">
        <v>90</v>
      </c>
      <c r="K304">
        <v>-95</v>
      </c>
      <c r="L304">
        <v>95</v>
      </c>
      <c r="M304">
        <v>95</v>
      </c>
      <c r="N304">
        <v>185</v>
      </c>
      <c r="O304" t="s">
        <v>65</v>
      </c>
      <c r="P304">
        <v>105</v>
      </c>
      <c r="Q304">
        <v>110</v>
      </c>
      <c r="R304">
        <v>115</v>
      </c>
      <c r="S304">
        <v>115</v>
      </c>
      <c r="T304">
        <v>225</v>
      </c>
      <c r="U304" t="s">
        <v>48</v>
      </c>
      <c r="V304">
        <f t="shared" si="12"/>
        <v>5</v>
      </c>
      <c r="W304">
        <f t="shared" si="13"/>
        <v>0</v>
      </c>
      <c r="X304">
        <f t="shared" si="14"/>
        <v>0</v>
      </c>
      <c r="Y304">
        <v>210</v>
      </c>
      <c r="Z304">
        <v>410</v>
      </c>
      <c r="AA304" t="s">
        <v>2372</v>
      </c>
      <c r="AB304" t="s">
        <v>2373</v>
      </c>
      <c r="AC304" t="s">
        <v>93</v>
      </c>
      <c r="AD304">
        <v>6</v>
      </c>
      <c r="AE304">
        <v>81</v>
      </c>
      <c r="AF304" t="s">
        <v>113</v>
      </c>
      <c r="AH304" t="s">
        <v>252</v>
      </c>
      <c r="AI304">
        <v>268.35000000000002</v>
      </c>
      <c r="AJ304" t="s">
        <v>52</v>
      </c>
      <c r="AK304" t="s">
        <v>859</v>
      </c>
      <c r="AL304" t="s">
        <v>862</v>
      </c>
      <c r="AM304" t="s">
        <v>123</v>
      </c>
      <c r="AN304" s="1">
        <v>45640</v>
      </c>
      <c r="AO304">
        <v>2024</v>
      </c>
      <c r="AP304">
        <v>12</v>
      </c>
      <c r="AQ304" t="s">
        <v>116</v>
      </c>
      <c r="AS304" t="s">
        <v>85</v>
      </c>
      <c r="AT304">
        <v>2025</v>
      </c>
      <c r="AU304" t="s">
        <v>120</v>
      </c>
      <c r="AV304" t="s">
        <v>123</v>
      </c>
      <c r="AW304" t="s">
        <v>2371</v>
      </c>
      <c r="AX304">
        <v>2025</v>
      </c>
      <c r="AY304" t="s">
        <v>2372</v>
      </c>
      <c r="AZ304" t="s">
        <v>2372</v>
      </c>
    </row>
    <row r="305" spans="1:52" x14ac:dyDescent="0.25">
      <c r="A305" t="s">
        <v>2375</v>
      </c>
      <c r="B305" s="1">
        <v>38521</v>
      </c>
      <c r="C305" t="s">
        <v>2376</v>
      </c>
      <c r="D305">
        <v>449555</v>
      </c>
      <c r="E305" t="s">
        <v>46</v>
      </c>
      <c r="F305" t="s">
        <v>1071</v>
      </c>
      <c r="G305" t="s">
        <v>589</v>
      </c>
      <c r="H305" t="s">
        <v>2376</v>
      </c>
      <c r="I305">
        <v>69</v>
      </c>
      <c r="J305">
        <v>95</v>
      </c>
      <c r="K305">
        <v>-99</v>
      </c>
      <c r="L305">
        <v>99</v>
      </c>
      <c r="M305">
        <v>99</v>
      </c>
      <c r="N305">
        <v>194</v>
      </c>
      <c r="O305" t="s">
        <v>65</v>
      </c>
      <c r="P305">
        <v>121</v>
      </c>
      <c r="Q305">
        <v>127</v>
      </c>
      <c r="R305">
        <v>-131</v>
      </c>
      <c r="S305">
        <v>127</v>
      </c>
      <c r="T305">
        <v>248</v>
      </c>
      <c r="U305" t="s">
        <v>60</v>
      </c>
      <c r="V305">
        <f t="shared" si="12"/>
        <v>4</v>
      </c>
      <c r="W305">
        <f t="shared" si="13"/>
        <v>0</v>
      </c>
      <c r="X305">
        <f t="shared" si="14"/>
        <v>0</v>
      </c>
      <c r="Y305">
        <v>226</v>
      </c>
      <c r="Z305">
        <v>442</v>
      </c>
      <c r="AA305" t="s">
        <v>2377</v>
      </c>
      <c r="AB305" t="s">
        <v>2378</v>
      </c>
      <c r="AC305" t="s">
        <v>89</v>
      </c>
      <c r="AD305">
        <v>5</v>
      </c>
      <c r="AE305">
        <v>73</v>
      </c>
      <c r="AF305" t="s">
        <v>113</v>
      </c>
      <c r="AH305" t="s">
        <v>218</v>
      </c>
      <c r="AI305">
        <v>315.64999999999998</v>
      </c>
      <c r="AJ305" t="s">
        <v>52</v>
      </c>
      <c r="AK305" t="s">
        <v>1071</v>
      </c>
      <c r="AL305" t="s">
        <v>1073</v>
      </c>
      <c r="AM305" t="s">
        <v>68</v>
      </c>
      <c r="AN305" s="1">
        <v>45640</v>
      </c>
      <c r="AO305">
        <v>2024</v>
      </c>
      <c r="AP305">
        <v>12</v>
      </c>
      <c r="AQ305" t="s">
        <v>116</v>
      </c>
      <c r="AS305" t="s">
        <v>85</v>
      </c>
      <c r="AT305">
        <v>2025</v>
      </c>
      <c r="AU305" t="s">
        <v>589</v>
      </c>
      <c r="AV305" t="s">
        <v>68</v>
      </c>
      <c r="AW305" t="s">
        <v>2376</v>
      </c>
      <c r="AX305">
        <v>2025</v>
      </c>
      <c r="AY305" t="s">
        <v>2377</v>
      </c>
      <c r="AZ305" t="s">
        <v>2377</v>
      </c>
    </row>
    <row r="306" spans="1:52" x14ac:dyDescent="0.25">
      <c r="A306" t="s">
        <v>2379</v>
      </c>
      <c r="B306" s="1">
        <v>34729</v>
      </c>
      <c r="C306" t="s">
        <v>2380</v>
      </c>
      <c r="D306">
        <v>476954</v>
      </c>
      <c r="E306" t="s">
        <v>46</v>
      </c>
      <c r="F306" t="s">
        <v>338</v>
      </c>
      <c r="G306" t="s">
        <v>606</v>
      </c>
      <c r="H306" t="s">
        <v>2380</v>
      </c>
      <c r="I306" t="s">
        <v>182</v>
      </c>
      <c r="J306">
        <v>-47</v>
      </c>
      <c r="K306">
        <v>47</v>
      </c>
      <c r="L306">
        <v>52</v>
      </c>
      <c r="M306">
        <v>52</v>
      </c>
      <c r="N306">
        <v>99</v>
      </c>
      <c r="O306" t="s">
        <v>63</v>
      </c>
      <c r="P306">
        <v>60</v>
      </c>
      <c r="Q306">
        <v>-65</v>
      </c>
      <c r="R306">
        <v>65</v>
      </c>
      <c r="S306">
        <v>65</v>
      </c>
      <c r="T306">
        <v>125</v>
      </c>
      <c r="U306" t="s">
        <v>65</v>
      </c>
      <c r="V306">
        <f t="shared" si="12"/>
        <v>4</v>
      </c>
      <c r="W306">
        <f t="shared" si="13"/>
        <v>0</v>
      </c>
      <c r="X306">
        <f t="shared" si="14"/>
        <v>0</v>
      </c>
      <c r="Y306">
        <v>117</v>
      </c>
      <c r="Z306">
        <v>224</v>
      </c>
      <c r="AA306" t="s">
        <v>1605</v>
      </c>
      <c r="AB306" t="s">
        <v>2381</v>
      </c>
      <c r="AC306" t="s">
        <v>93</v>
      </c>
      <c r="AD306">
        <v>6</v>
      </c>
      <c r="AE306">
        <v>55</v>
      </c>
      <c r="AF306" t="s">
        <v>126</v>
      </c>
      <c r="AH306" t="s">
        <v>197</v>
      </c>
      <c r="AI306">
        <v>169.21</v>
      </c>
      <c r="AJ306" t="s">
        <v>132</v>
      </c>
      <c r="AK306" t="s">
        <v>338</v>
      </c>
      <c r="AL306" t="s">
        <v>340</v>
      </c>
      <c r="AM306" t="s">
        <v>128</v>
      </c>
      <c r="AN306" s="1">
        <v>45640</v>
      </c>
      <c r="AO306">
        <v>2024</v>
      </c>
      <c r="AP306">
        <v>12</v>
      </c>
      <c r="AQ306" t="s">
        <v>116</v>
      </c>
      <c r="AS306" t="s">
        <v>85</v>
      </c>
      <c r="AT306">
        <v>2025</v>
      </c>
      <c r="AU306" t="s">
        <v>606</v>
      </c>
      <c r="AV306" t="s">
        <v>128</v>
      </c>
      <c r="AW306" t="s">
        <v>2380</v>
      </c>
      <c r="AX306">
        <v>2025</v>
      </c>
      <c r="AY306" t="s">
        <v>1605</v>
      </c>
      <c r="AZ306" t="s">
        <v>1605</v>
      </c>
    </row>
    <row r="307" spans="1:52" x14ac:dyDescent="0.25">
      <c r="A307" t="s">
        <v>2383</v>
      </c>
      <c r="B307" s="1">
        <v>33840</v>
      </c>
      <c r="C307" t="s">
        <v>2384</v>
      </c>
      <c r="D307">
        <v>481414</v>
      </c>
      <c r="E307" t="s">
        <v>2385</v>
      </c>
      <c r="F307" t="s">
        <v>999</v>
      </c>
      <c r="G307" t="s">
        <v>134</v>
      </c>
      <c r="H307" t="s">
        <v>2384</v>
      </c>
      <c r="I307" t="s">
        <v>2387</v>
      </c>
      <c r="J307">
        <v>110</v>
      </c>
      <c r="K307">
        <v>115</v>
      </c>
      <c r="L307">
        <v>-120</v>
      </c>
      <c r="M307">
        <v>115</v>
      </c>
      <c r="N307">
        <v>225</v>
      </c>
      <c r="O307" t="s">
        <v>60</v>
      </c>
      <c r="P307">
        <v>-140</v>
      </c>
      <c r="Q307">
        <v>-140</v>
      </c>
      <c r="R307">
        <v>-140</v>
      </c>
      <c r="S307">
        <v>0</v>
      </c>
      <c r="T307">
        <v>0</v>
      </c>
      <c r="U307" t="s">
        <v>108</v>
      </c>
      <c r="V307">
        <f t="shared" si="12"/>
        <v>2</v>
      </c>
      <c r="W307">
        <f t="shared" si="13"/>
        <v>0</v>
      </c>
      <c r="X307">
        <f t="shared" si="14"/>
        <v>0</v>
      </c>
      <c r="Y307">
        <v>115</v>
      </c>
      <c r="Z307">
        <v>225</v>
      </c>
      <c r="AA307" t="s">
        <v>2388</v>
      </c>
      <c r="AB307" t="s">
        <v>2389</v>
      </c>
      <c r="AC307" t="s">
        <v>49</v>
      </c>
      <c r="AD307">
        <v>999</v>
      </c>
      <c r="AE307">
        <v>102</v>
      </c>
      <c r="AF307" t="s">
        <v>126</v>
      </c>
      <c r="AH307" t="s">
        <v>148</v>
      </c>
      <c r="AI307">
        <v>0</v>
      </c>
      <c r="AJ307" t="s">
        <v>52</v>
      </c>
      <c r="AK307" t="s">
        <v>999</v>
      </c>
      <c r="AL307" t="s">
        <v>1001</v>
      </c>
      <c r="AM307" t="s">
        <v>53</v>
      </c>
      <c r="AN307" s="1">
        <v>45640</v>
      </c>
      <c r="AO307">
        <v>2024</v>
      </c>
      <c r="AP307">
        <v>12</v>
      </c>
      <c r="AQ307" t="s">
        <v>116</v>
      </c>
      <c r="AS307" t="s">
        <v>85</v>
      </c>
      <c r="AT307">
        <v>2025</v>
      </c>
      <c r="AU307" t="s">
        <v>134</v>
      </c>
      <c r="AV307" t="s">
        <v>54</v>
      </c>
      <c r="AW307" t="s">
        <v>2384</v>
      </c>
      <c r="AX307">
        <v>2025</v>
      </c>
      <c r="AY307" t="s">
        <v>2386</v>
      </c>
      <c r="AZ307" t="s">
        <v>2390</v>
      </c>
    </row>
    <row r="308" spans="1:52" x14ac:dyDescent="0.25">
      <c r="A308" t="s">
        <v>2391</v>
      </c>
      <c r="B308" s="1">
        <v>39238</v>
      </c>
      <c r="C308" t="s">
        <v>2392</v>
      </c>
      <c r="D308">
        <v>503794</v>
      </c>
      <c r="E308" t="s">
        <v>46</v>
      </c>
      <c r="F308" t="s">
        <v>1209</v>
      </c>
      <c r="G308" t="s">
        <v>883</v>
      </c>
      <c r="H308" t="s">
        <v>2392</v>
      </c>
      <c r="I308" t="s">
        <v>411</v>
      </c>
      <c r="J308">
        <v>50</v>
      </c>
      <c r="K308">
        <v>-53</v>
      </c>
      <c r="L308">
        <v>-53</v>
      </c>
      <c r="M308">
        <v>50</v>
      </c>
      <c r="N308">
        <v>0</v>
      </c>
      <c r="O308" t="s">
        <v>55</v>
      </c>
      <c r="P308">
        <v>-65</v>
      </c>
      <c r="Q308">
        <v>67</v>
      </c>
      <c r="R308">
        <v>-70</v>
      </c>
      <c r="S308">
        <v>67</v>
      </c>
      <c r="T308">
        <v>0</v>
      </c>
      <c r="U308" t="s">
        <v>104</v>
      </c>
      <c r="V308">
        <f t="shared" si="12"/>
        <v>2</v>
      </c>
      <c r="W308">
        <f t="shared" si="13"/>
        <v>0</v>
      </c>
      <c r="X308">
        <f t="shared" si="14"/>
        <v>0</v>
      </c>
      <c r="Y308">
        <v>117</v>
      </c>
      <c r="Z308">
        <v>0</v>
      </c>
      <c r="AA308" t="s">
        <v>2394</v>
      </c>
      <c r="AB308" t="s">
        <v>99</v>
      </c>
      <c r="AC308" t="s">
        <v>64</v>
      </c>
      <c r="AD308">
        <v>7</v>
      </c>
      <c r="AE308" t="s">
        <v>135</v>
      </c>
      <c r="AF308" t="s">
        <v>113</v>
      </c>
      <c r="AH308" t="s">
        <v>1303</v>
      </c>
      <c r="AI308">
        <v>126.34</v>
      </c>
      <c r="AJ308" t="s">
        <v>132</v>
      </c>
      <c r="AK308" t="s">
        <v>1209</v>
      </c>
      <c r="AL308" t="s">
        <v>1213</v>
      </c>
      <c r="AM308" t="s">
        <v>68</v>
      </c>
      <c r="AN308" s="1">
        <v>45640</v>
      </c>
      <c r="AO308">
        <v>2024</v>
      </c>
      <c r="AP308">
        <v>12</v>
      </c>
      <c r="AQ308" t="s">
        <v>116</v>
      </c>
      <c r="AS308" t="s">
        <v>85</v>
      </c>
      <c r="AT308">
        <v>2025</v>
      </c>
      <c r="AU308" t="s">
        <v>883</v>
      </c>
      <c r="AV308" t="s">
        <v>68</v>
      </c>
      <c r="AW308" t="s">
        <v>2392</v>
      </c>
      <c r="AX308">
        <v>2025</v>
      </c>
      <c r="AY308" t="s">
        <v>2393</v>
      </c>
      <c r="AZ308" t="s">
        <v>2393</v>
      </c>
    </row>
    <row r="309" spans="1:52" x14ac:dyDescent="0.25">
      <c r="A309" t="s">
        <v>2438</v>
      </c>
      <c r="B309" s="1">
        <v>31187</v>
      </c>
      <c r="C309" t="s">
        <v>2439</v>
      </c>
      <c r="D309">
        <v>498029</v>
      </c>
      <c r="E309" t="s">
        <v>46</v>
      </c>
      <c r="F309" t="s">
        <v>1007</v>
      </c>
      <c r="G309" t="s">
        <v>312</v>
      </c>
      <c r="H309" t="s">
        <v>2439</v>
      </c>
      <c r="I309" t="s">
        <v>498</v>
      </c>
      <c r="J309">
        <v>59</v>
      </c>
      <c r="K309">
        <v>62</v>
      </c>
      <c r="L309">
        <v>65</v>
      </c>
      <c r="M309">
        <v>65</v>
      </c>
      <c r="N309">
        <v>127</v>
      </c>
      <c r="O309" t="s">
        <v>48</v>
      </c>
      <c r="P309">
        <v>78</v>
      </c>
      <c r="Q309">
        <v>-82</v>
      </c>
      <c r="R309">
        <v>82</v>
      </c>
      <c r="S309">
        <v>82</v>
      </c>
      <c r="T309">
        <v>160</v>
      </c>
      <c r="U309" t="s">
        <v>65</v>
      </c>
      <c r="V309">
        <f t="shared" si="12"/>
        <v>5</v>
      </c>
      <c r="W309">
        <f t="shared" si="13"/>
        <v>0</v>
      </c>
      <c r="X309">
        <f t="shared" si="14"/>
        <v>0</v>
      </c>
      <c r="Y309">
        <v>147</v>
      </c>
      <c r="Z309">
        <v>287</v>
      </c>
      <c r="AA309" t="s">
        <v>2440</v>
      </c>
      <c r="AB309" t="s">
        <v>2441</v>
      </c>
      <c r="AC309" t="s">
        <v>89</v>
      </c>
      <c r="AD309">
        <v>5</v>
      </c>
      <c r="AE309">
        <v>64</v>
      </c>
      <c r="AF309" t="s">
        <v>126</v>
      </c>
      <c r="AG309">
        <v>40</v>
      </c>
      <c r="AH309" t="s">
        <v>167</v>
      </c>
      <c r="AI309">
        <v>192.78</v>
      </c>
      <c r="AJ309" t="s">
        <v>132</v>
      </c>
      <c r="AK309" t="s">
        <v>1007</v>
      </c>
      <c r="AL309" t="s">
        <v>1009</v>
      </c>
      <c r="AM309" t="s">
        <v>139</v>
      </c>
      <c r="AN309" s="1">
        <v>45641</v>
      </c>
      <c r="AO309">
        <v>2024</v>
      </c>
      <c r="AP309">
        <v>12</v>
      </c>
      <c r="AQ309" t="s">
        <v>116</v>
      </c>
      <c r="AS309" t="s">
        <v>85</v>
      </c>
      <c r="AT309">
        <v>2025</v>
      </c>
      <c r="AU309" t="s">
        <v>312</v>
      </c>
      <c r="AV309" t="s">
        <v>140</v>
      </c>
      <c r="AW309" t="s">
        <v>2439</v>
      </c>
      <c r="AX309">
        <v>2025</v>
      </c>
      <c r="AY309" t="s">
        <v>2440</v>
      </c>
      <c r="AZ309" t="s">
        <v>2440</v>
      </c>
    </row>
    <row r="310" spans="1:52" x14ac:dyDescent="0.25">
      <c r="A310" t="s">
        <v>2396</v>
      </c>
      <c r="B310" s="1">
        <v>38439</v>
      </c>
      <c r="C310" t="s">
        <v>2397</v>
      </c>
      <c r="D310">
        <v>450852</v>
      </c>
      <c r="E310" t="s">
        <v>46</v>
      </c>
      <c r="F310" t="s">
        <v>859</v>
      </c>
      <c r="G310" t="s">
        <v>120</v>
      </c>
      <c r="H310" t="s">
        <v>2397</v>
      </c>
      <c r="I310">
        <v>98</v>
      </c>
      <c r="J310">
        <v>110</v>
      </c>
      <c r="K310">
        <v>115</v>
      </c>
      <c r="L310">
        <v>-118</v>
      </c>
      <c r="M310">
        <v>115</v>
      </c>
      <c r="N310">
        <v>225</v>
      </c>
      <c r="O310" t="s">
        <v>60</v>
      </c>
      <c r="P310">
        <v>135</v>
      </c>
      <c r="Q310">
        <v>140</v>
      </c>
      <c r="R310">
        <v>-145</v>
      </c>
      <c r="S310">
        <v>140</v>
      </c>
      <c r="T310">
        <v>275</v>
      </c>
      <c r="U310" t="s">
        <v>60</v>
      </c>
      <c r="V310">
        <f t="shared" si="12"/>
        <v>4</v>
      </c>
      <c r="W310">
        <f t="shared" si="13"/>
        <v>0</v>
      </c>
      <c r="X310">
        <f t="shared" si="14"/>
        <v>0</v>
      </c>
      <c r="Y310">
        <v>255</v>
      </c>
      <c r="Z310">
        <v>500</v>
      </c>
      <c r="AA310" t="s">
        <v>2399</v>
      </c>
      <c r="AB310" t="s">
        <v>2400</v>
      </c>
      <c r="AC310" t="s">
        <v>89</v>
      </c>
      <c r="AD310">
        <v>5</v>
      </c>
      <c r="AE310">
        <v>102</v>
      </c>
      <c r="AF310" t="s">
        <v>113</v>
      </c>
      <c r="AH310" t="s">
        <v>596</v>
      </c>
      <c r="AI310">
        <v>294.94</v>
      </c>
      <c r="AJ310" t="s">
        <v>52</v>
      </c>
      <c r="AK310" t="s">
        <v>859</v>
      </c>
      <c r="AL310" t="s">
        <v>862</v>
      </c>
      <c r="AM310" t="s">
        <v>123</v>
      </c>
      <c r="AN310" s="1">
        <v>45640</v>
      </c>
      <c r="AO310">
        <v>2024</v>
      </c>
      <c r="AP310">
        <v>12</v>
      </c>
      <c r="AQ310" t="s">
        <v>116</v>
      </c>
      <c r="AS310" t="s">
        <v>85</v>
      </c>
      <c r="AT310">
        <v>2025</v>
      </c>
      <c r="AU310" t="s">
        <v>120</v>
      </c>
      <c r="AV310" t="s">
        <v>123</v>
      </c>
      <c r="AW310" t="s">
        <v>2397</v>
      </c>
      <c r="AX310">
        <v>2025</v>
      </c>
      <c r="AY310" t="s">
        <v>2398</v>
      </c>
      <c r="AZ310" t="s">
        <v>2399</v>
      </c>
    </row>
    <row r="311" spans="1:52" x14ac:dyDescent="0.25">
      <c r="A311" t="s">
        <v>2403</v>
      </c>
      <c r="B311" s="1">
        <v>36365</v>
      </c>
      <c r="C311" t="s">
        <v>2404</v>
      </c>
      <c r="D311">
        <v>478246</v>
      </c>
      <c r="E311" t="s">
        <v>46</v>
      </c>
      <c r="F311" t="s">
        <v>837</v>
      </c>
      <c r="G311" t="s">
        <v>660</v>
      </c>
      <c r="H311" t="s">
        <v>2404</v>
      </c>
      <c r="I311" t="s">
        <v>421</v>
      </c>
      <c r="J311">
        <v>118</v>
      </c>
      <c r="K311">
        <v>-122</v>
      </c>
      <c r="L311">
        <v>123</v>
      </c>
      <c r="M311">
        <v>123</v>
      </c>
      <c r="N311">
        <v>241</v>
      </c>
      <c r="O311" t="s">
        <v>65</v>
      </c>
      <c r="P311">
        <v>-152</v>
      </c>
      <c r="Q311">
        <v>152</v>
      </c>
      <c r="R311">
        <v>-155</v>
      </c>
      <c r="S311">
        <v>152</v>
      </c>
      <c r="T311">
        <v>0</v>
      </c>
      <c r="U311" t="s">
        <v>104</v>
      </c>
      <c r="V311">
        <f t="shared" si="12"/>
        <v>3</v>
      </c>
      <c r="W311">
        <f t="shared" si="13"/>
        <v>0</v>
      </c>
      <c r="X311">
        <f t="shared" si="14"/>
        <v>0</v>
      </c>
      <c r="Y311">
        <v>275</v>
      </c>
      <c r="Z311">
        <v>241</v>
      </c>
      <c r="AA311" t="s">
        <v>2406</v>
      </c>
      <c r="AB311" t="s">
        <v>1550</v>
      </c>
      <c r="AC311" t="s">
        <v>94</v>
      </c>
      <c r="AD311">
        <v>4</v>
      </c>
      <c r="AE311">
        <v>81</v>
      </c>
      <c r="AF311" t="s">
        <v>126</v>
      </c>
      <c r="AH311" t="s">
        <v>138</v>
      </c>
      <c r="AI311">
        <v>349.72</v>
      </c>
      <c r="AJ311" t="s">
        <v>52</v>
      </c>
      <c r="AK311" t="s">
        <v>837</v>
      </c>
      <c r="AL311" t="s">
        <v>840</v>
      </c>
      <c r="AM311" t="s">
        <v>173</v>
      </c>
      <c r="AN311" s="1">
        <v>45640</v>
      </c>
      <c r="AO311">
        <v>2024</v>
      </c>
      <c r="AP311">
        <v>12</v>
      </c>
      <c r="AQ311" t="s">
        <v>116</v>
      </c>
      <c r="AS311" t="s">
        <v>85</v>
      </c>
      <c r="AT311">
        <v>2025</v>
      </c>
      <c r="AU311" t="s">
        <v>660</v>
      </c>
      <c r="AV311" t="s">
        <v>173</v>
      </c>
      <c r="AW311" t="s">
        <v>2404</v>
      </c>
      <c r="AX311">
        <v>2025</v>
      </c>
      <c r="AY311" t="s">
        <v>2405</v>
      </c>
      <c r="AZ311" t="s">
        <v>2406</v>
      </c>
    </row>
    <row r="312" spans="1:52" x14ac:dyDescent="0.25">
      <c r="A312" t="s">
        <v>2408</v>
      </c>
      <c r="B312" s="1">
        <v>38637</v>
      </c>
      <c r="C312" t="s">
        <v>2409</v>
      </c>
      <c r="D312">
        <v>402265</v>
      </c>
      <c r="E312" t="s">
        <v>46</v>
      </c>
      <c r="F312" t="s">
        <v>1071</v>
      </c>
      <c r="G312" t="s">
        <v>255</v>
      </c>
      <c r="H312" t="s">
        <v>2409</v>
      </c>
      <c r="I312" t="s">
        <v>306</v>
      </c>
      <c r="J312">
        <v>90</v>
      </c>
      <c r="K312">
        <v>95</v>
      </c>
      <c r="L312">
        <v>-100</v>
      </c>
      <c r="M312">
        <v>95</v>
      </c>
      <c r="N312">
        <v>185</v>
      </c>
      <c r="O312" t="s">
        <v>60</v>
      </c>
      <c r="P312">
        <v>-110</v>
      </c>
      <c r="Q312">
        <v>110</v>
      </c>
      <c r="R312">
        <v>0</v>
      </c>
      <c r="S312">
        <v>110</v>
      </c>
      <c r="T312">
        <v>0</v>
      </c>
      <c r="U312" t="s">
        <v>104</v>
      </c>
      <c r="V312">
        <f t="shared" si="12"/>
        <v>3</v>
      </c>
      <c r="W312">
        <f t="shared" si="13"/>
        <v>0</v>
      </c>
      <c r="X312">
        <f t="shared" si="14"/>
        <v>0</v>
      </c>
      <c r="Y312">
        <v>205</v>
      </c>
      <c r="Z312">
        <v>185</v>
      </c>
      <c r="AA312" t="s">
        <v>2411</v>
      </c>
      <c r="AB312" t="s">
        <v>1257</v>
      </c>
      <c r="AC312" t="s">
        <v>89</v>
      </c>
      <c r="AD312">
        <v>5</v>
      </c>
      <c r="AE312">
        <v>73</v>
      </c>
      <c r="AF312" t="s">
        <v>113</v>
      </c>
      <c r="AH312" t="s">
        <v>218</v>
      </c>
      <c r="AI312">
        <v>283.95</v>
      </c>
      <c r="AJ312" t="s">
        <v>52</v>
      </c>
      <c r="AK312" t="s">
        <v>1071</v>
      </c>
      <c r="AL312" t="s">
        <v>1073</v>
      </c>
      <c r="AM312" t="s">
        <v>68</v>
      </c>
      <c r="AN312" s="1">
        <v>45640</v>
      </c>
      <c r="AO312">
        <v>2024</v>
      </c>
      <c r="AP312">
        <v>12</v>
      </c>
      <c r="AQ312" t="s">
        <v>116</v>
      </c>
      <c r="AS312" t="s">
        <v>85</v>
      </c>
      <c r="AT312">
        <v>2025</v>
      </c>
      <c r="AU312" t="s">
        <v>255</v>
      </c>
      <c r="AV312" t="s">
        <v>68</v>
      </c>
      <c r="AW312" t="s">
        <v>2409</v>
      </c>
      <c r="AX312">
        <v>2025</v>
      </c>
      <c r="AY312" t="s">
        <v>2410</v>
      </c>
      <c r="AZ312" t="s">
        <v>2412</v>
      </c>
    </row>
    <row r="313" spans="1:52" x14ac:dyDescent="0.25">
      <c r="A313" t="s">
        <v>2413</v>
      </c>
      <c r="B313" s="1">
        <v>37892</v>
      </c>
      <c r="C313" t="s">
        <v>2414</v>
      </c>
      <c r="D313">
        <v>452480</v>
      </c>
      <c r="E313" t="s">
        <v>46</v>
      </c>
      <c r="F313" t="s">
        <v>582</v>
      </c>
      <c r="G313" t="s">
        <v>386</v>
      </c>
      <c r="H313" t="s">
        <v>2414</v>
      </c>
      <c r="I313" t="s">
        <v>2416</v>
      </c>
      <c r="J313">
        <v>100</v>
      </c>
      <c r="K313">
        <v>-104</v>
      </c>
      <c r="L313">
        <v>-107</v>
      </c>
      <c r="M313">
        <v>100</v>
      </c>
      <c r="N313">
        <v>0</v>
      </c>
      <c r="O313" t="s">
        <v>55</v>
      </c>
      <c r="P313">
        <v>120</v>
      </c>
      <c r="Q313">
        <v>-125</v>
      </c>
      <c r="R313">
        <v>-130</v>
      </c>
      <c r="S313">
        <v>120</v>
      </c>
      <c r="T313">
        <v>0</v>
      </c>
      <c r="U313" t="s">
        <v>55</v>
      </c>
      <c r="V313">
        <f t="shared" si="12"/>
        <v>2</v>
      </c>
      <c r="W313">
        <f t="shared" si="13"/>
        <v>0</v>
      </c>
      <c r="X313">
        <f t="shared" si="14"/>
        <v>0</v>
      </c>
      <c r="Y313">
        <v>220</v>
      </c>
      <c r="Z313">
        <v>0</v>
      </c>
      <c r="AA313" t="s">
        <v>2417</v>
      </c>
      <c r="AB313" t="s">
        <v>99</v>
      </c>
      <c r="AC313" t="s">
        <v>93</v>
      </c>
      <c r="AD313">
        <v>6</v>
      </c>
      <c r="AE313">
        <v>81</v>
      </c>
      <c r="AF313" t="s">
        <v>126</v>
      </c>
      <c r="AH313" t="s">
        <v>138</v>
      </c>
      <c r="AI313">
        <v>279.3</v>
      </c>
      <c r="AJ313" t="s">
        <v>52</v>
      </c>
      <c r="AK313" t="s">
        <v>582</v>
      </c>
      <c r="AL313" t="s">
        <v>585</v>
      </c>
      <c r="AM313" t="s">
        <v>170</v>
      </c>
      <c r="AN313" s="1">
        <v>45640</v>
      </c>
      <c r="AO313">
        <v>2024</v>
      </c>
      <c r="AP313">
        <v>12</v>
      </c>
      <c r="AQ313" t="s">
        <v>116</v>
      </c>
      <c r="AS313" t="s">
        <v>85</v>
      </c>
      <c r="AT313">
        <v>2025</v>
      </c>
      <c r="AU313" t="s">
        <v>386</v>
      </c>
      <c r="AV313" t="s">
        <v>170</v>
      </c>
      <c r="AW313" t="s">
        <v>2414</v>
      </c>
      <c r="AX313">
        <v>2025</v>
      </c>
      <c r="AY313" t="s">
        <v>2415</v>
      </c>
      <c r="AZ313" t="s">
        <v>2418</v>
      </c>
    </row>
    <row r="314" spans="1:52" x14ac:dyDescent="0.25">
      <c r="A314" t="s">
        <v>2419</v>
      </c>
      <c r="B314" s="1">
        <v>36459</v>
      </c>
      <c r="C314" t="s">
        <v>2420</v>
      </c>
      <c r="D314">
        <v>446404</v>
      </c>
      <c r="E314" t="s">
        <v>46</v>
      </c>
      <c r="F314" t="s">
        <v>263</v>
      </c>
      <c r="G314" t="s">
        <v>513</v>
      </c>
      <c r="H314" t="s">
        <v>2420</v>
      </c>
      <c r="I314" t="s">
        <v>389</v>
      </c>
      <c r="J314">
        <v>-90</v>
      </c>
      <c r="K314">
        <v>92</v>
      </c>
      <c r="L314">
        <v>-96</v>
      </c>
      <c r="M314">
        <v>92</v>
      </c>
      <c r="N314">
        <v>0</v>
      </c>
      <c r="O314" t="s">
        <v>104</v>
      </c>
      <c r="P314">
        <v>115</v>
      </c>
      <c r="Q314">
        <v>120</v>
      </c>
      <c r="R314">
        <v>-123</v>
      </c>
      <c r="S314">
        <v>120</v>
      </c>
      <c r="T314">
        <v>235</v>
      </c>
      <c r="U314" t="s">
        <v>60</v>
      </c>
      <c r="V314">
        <f t="shared" si="12"/>
        <v>3</v>
      </c>
      <c r="W314">
        <f t="shared" si="13"/>
        <v>0</v>
      </c>
      <c r="X314">
        <f t="shared" si="14"/>
        <v>0</v>
      </c>
      <c r="Y314">
        <v>212</v>
      </c>
      <c r="Z314">
        <v>235</v>
      </c>
      <c r="AA314" t="s">
        <v>2422</v>
      </c>
      <c r="AB314" t="s">
        <v>2423</v>
      </c>
      <c r="AC314" t="s">
        <v>93</v>
      </c>
      <c r="AD314">
        <v>6</v>
      </c>
      <c r="AE314">
        <v>67</v>
      </c>
      <c r="AF314" t="s">
        <v>126</v>
      </c>
      <c r="AH314" t="s">
        <v>401</v>
      </c>
      <c r="AI314">
        <v>308.45</v>
      </c>
      <c r="AJ314" t="s">
        <v>52</v>
      </c>
      <c r="AK314" t="s">
        <v>263</v>
      </c>
      <c r="AL314" t="s">
        <v>267</v>
      </c>
      <c r="AM314" t="s">
        <v>145</v>
      </c>
      <c r="AN314" s="1">
        <v>45640</v>
      </c>
      <c r="AO314">
        <v>2024</v>
      </c>
      <c r="AP314">
        <v>12</v>
      </c>
      <c r="AQ314" t="s">
        <v>116</v>
      </c>
      <c r="AS314" t="s">
        <v>85</v>
      </c>
      <c r="AT314">
        <v>2025</v>
      </c>
      <c r="AU314" t="s">
        <v>513</v>
      </c>
      <c r="AV314" t="s">
        <v>145</v>
      </c>
      <c r="AW314" t="s">
        <v>2420</v>
      </c>
      <c r="AX314">
        <v>2025</v>
      </c>
      <c r="AY314" t="s">
        <v>2421</v>
      </c>
      <c r="AZ314" t="s">
        <v>2422</v>
      </c>
    </row>
    <row r="315" spans="1:52" x14ac:dyDescent="0.25">
      <c r="A315" t="s">
        <v>2424</v>
      </c>
      <c r="B315" s="1">
        <v>38363</v>
      </c>
      <c r="C315" t="s">
        <v>2425</v>
      </c>
      <c r="D315">
        <v>448251</v>
      </c>
      <c r="E315" t="s">
        <v>46</v>
      </c>
      <c r="F315" t="s">
        <v>281</v>
      </c>
      <c r="G315" t="s">
        <v>328</v>
      </c>
      <c r="H315" t="s">
        <v>2425</v>
      </c>
      <c r="I315" t="s">
        <v>476</v>
      </c>
      <c r="J315">
        <v>68</v>
      </c>
      <c r="K315">
        <v>-73</v>
      </c>
      <c r="L315">
        <v>73</v>
      </c>
      <c r="M315">
        <v>73</v>
      </c>
      <c r="N315">
        <v>141</v>
      </c>
      <c r="O315" t="s">
        <v>65</v>
      </c>
      <c r="P315">
        <v>91</v>
      </c>
      <c r="Q315">
        <v>-97</v>
      </c>
      <c r="R315">
        <v>-97</v>
      </c>
      <c r="S315">
        <v>91</v>
      </c>
      <c r="T315">
        <v>0</v>
      </c>
      <c r="U315" t="s">
        <v>55</v>
      </c>
      <c r="V315">
        <f t="shared" si="12"/>
        <v>3</v>
      </c>
      <c r="W315">
        <f t="shared" si="13"/>
        <v>0</v>
      </c>
      <c r="X315">
        <f t="shared" si="14"/>
        <v>0</v>
      </c>
      <c r="Y315">
        <v>164</v>
      </c>
      <c r="Z315">
        <v>141</v>
      </c>
      <c r="AA315" t="s">
        <v>2427</v>
      </c>
      <c r="AB315" t="s">
        <v>2428</v>
      </c>
      <c r="AC315" t="s">
        <v>93</v>
      </c>
      <c r="AD315">
        <v>6</v>
      </c>
      <c r="AE315">
        <v>61</v>
      </c>
      <c r="AF315" t="s">
        <v>113</v>
      </c>
      <c r="AH315" t="s">
        <v>737</v>
      </c>
      <c r="AI315">
        <v>262.93</v>
      </c>
      <c r="AJ315" t="s">
        <v>52</v>
      </c>
      <c r="AK315" t="s">
        <v>281</v>
      </c>
      <c r="AL315" t="s">
        <v>284</v>
      </c>
      <c r="AM315" t="s">
        <v>139</v>
      </c>
      <c r="AN315" s="1">
        <v>45640</v>
      </c>
      <c r="AO315">
        <v>2024</v>
      </c>
      <c r="AP315">
        <v>12</v>
      </c>
      <c r="AQ315" t="s">
        <v>116</v>
      </c>
      <c r="AS315" t="s">
        <v>85</v>
      </c>
      <c r="AT315">
        <v>2025</v>
      </c>
      <c r="AU315" t="s">
        <v>328</v>
      </c>
      <c r="AV315" t="s">
        <v>140</v>
      </c>
      <c r="AW315" t="s">
        <v>2425</v>
      </c>
      <c r="AX315">
        <v>2025</v>
      </c>
      <c r="AY315" t="s">
        <v>2426</v>
      </c>
      <c r="AZ315" t="s">
        <v>2427</v>
      </c>
    </row>
    <row r="316" spans="1:52" x14ac:dyDescent="0.25">
      <c r="A316" t="s">
        <v>2429</v>
      </c>
      <c r="B316" s="1">
        <v>39142</v>
      </c>
      <c r="C316" t="s">
        <v>2430</v>
      </c>
      <c r="D316">
        <v>465901</v>
      </c>
      <c r="E316" t="s">
        <v>46</v>
      </c>
      <c r="F316" t="s">
        <v>1315</v>
      </c>
      <c r="G316" t="s">
        <v>404</v>
      </c>
      <c r="H316" t="s">
        <v>2430</v>
      </c>
      <c r="I316" t="s">
        <v>318</v>
      </c>
      <c r="J316">
        <v>95</v>
      </c>
      <c r="K316">
        <v>100</v>
      </c>
      <c r="L316">
        <v>-103</v>
      </c>
      <c r="M316">
        <v>100</v>
      </c>
      <c r="N316">
        <v>195</v>
      </c>
      <c r="O316" t="s">
        <v>60</v>
      </c>
      <c r="P316">
        <v>125</v>
      </c>
      <c r="Q316">
        <v>130</v>
      </c>
      <c r="R316">
        <v>-133</v>
      </c>
      <c r="S316">
        <v>130</v>
      </c>
      <c r="T316">
        <v>255</v>
      </c>
      <c r="U316" t="s">
        <v>60</v>
      </c>
      <c r="V316">
        <f t="shared" si="12"/>
        <v>4</v>
      </c>
      <c r="W316">
        <f t="shared" si="13"/>
        <v>0</v>
      </c>
      <c r="X316">
        <f t="shared" si="14"/>
        <v>0</v>
      </c>
      <c r="Y316">
        <v>230</v>
      </c>
      <c r="Z316">
        <v>450</v>
      </c>
      <c r="AA316" t="s">
        <v>2431</v>
      </c>
      <c r="AB316" t="s">
        <v>2432</v>
      </c>
      <c r="AC316" t="s">
        <v>89</v>
      </c>
      <c r="AD316">
        <v>5</v>
      </c>
      <c r="AE316">
        <v>81</v>
      </c>
      <c r="AF316" t="s">
        <v>113</v>
      </c>
      <c r="AH316" t="s">
        <v>252</v>
      </c>
      <c r="AI316">
        <v>306.73</v>
      </c>
      <c r="AJ316" t="s">
        <v>52</v>
      </c>
      <c r="AK316" t="s">
        <v>1315</v>
      </c>
      <c r="AL316" t="s">
        <v>1317</v>
      </c>
      <c r="AM316" t="s">
        <v>143</v>
      </c>
      <c r="AN316" s="1">
        <v>45640</v>
      </c>
      <c r="AO316">
        <v>2024</v>
      </c>
      <c r="AP316">
        <v>12</v>
      </c>
      <c r="AQ316" t="s">
        <v>116</v>
      </c>
      <c r="AS316" t="s">
        <v>85</v>
      </c>
      <c r="AT316">
        <v>2025</v>
      </c>
      <c r="AU316" t="s">
        <v>404</v>
      </c>
      <c r="AV316" t="s">
        <v>143</v>
      </c>
      <c r="AW316" t="s">
        <v>2430</v>
      </c>
      <c r="AX316">
        <v>2025</v>
      </c>
      <c r="AY316" t="s">
        <v>2431</v>
      </c>
      <c r="AZ316" t="s">
        <v>2431</v>
      </c>
    </row>
    <row r="317" spans="1:52" x14ac:dyDescent="0.25">
      <c r="A317" t="s">
        <v>2433</v>
      </c>
      <c r="B317" s="1">
        <v>41095</v>
      </c>
      <c r="C317" t="s">
        <v>2434</v>
      </c>
      <c r="D317">
        <v>504296</v>
      </c>
      <c r="E317" t="s">
        <v>46</v>
      </c>
      <c r="F317" t="s">
        <v>867</v>
      </c>
      <c r="G317" t="s">
        <v>255</v>
      </c>
      <c r="H317" t="s">
        <v>2434</v>
      </c>
      <c r="I317" t="s">
        <v>470</v>
      </c>
      <c r="J317">
        <v>19</v>
      </c>
      <c r="K317">
        <v>-21</v>
      </c>
      <c r="L317">
        <v>21</v>
      </c>
      <c r="M317">
        <v>21</v>
      </c>
      <c r="N317">
        <v>40</v>
      </c>
      <c r="O317" t="s">
        <v>65</v>
      </c>
      <c r="P317">
        <v>22</v>
      </c>
      <c r="Q317">
        <v>24</v>
      </c>
      <c r="R317">
        <v>26</v>
      </c>
      <c r="S317">
        <v>26</v>
      </c>
      <c r="T317">
        <v>50</v>
      </c>
      <c r="U317" t="s">
        <v>48</v>
      </c>
      <c r="V317">
        <f t="shared" si="12"/>
        <v>5</v>
      </c>
      <c r="W317">
        <f t="shared" si="13"/>
        <v>0</v>
      </c>
      <c r="X317">
        <f t="shared" si="14"/>
        <v>0</v>
      </c>
      <c r="Y317">
        <v>47</v>
      </c>
      <c r="Z317">
        <v>90</v>
      </c>
      <c r="AA317" t="s">
        <v>2436</v>
      </c>
      <c r="AB317" t="s">
        <v>2437</v>
      </c>
      <c r="AC317" t="s">
        <v>49</v>
      </c>
      <c r="AD317">
        <v>999</v>
      </c>
      <c r="AE317">
        <v>59</v>
      </c>
      <c r="AF317" t="s">
        <v>50</v>
      </c>
      <c r="AH317" t="s">
        <v>759</v>
      </c>
      <c r="AI317">
        <v>124.97</v>
      </c>
      <c r="AJ317" t="s">
        <v>132</v>
      </c>
      <c r="AK317" t="s">
        <v>867</v>
      </c>
      <c r="AL317" t="s">
        <v>869</v>
      </c>
      <c r="AM317" t="s">
        <v>68</v>
      </c>
      <c r="AN317" s="1">
        <v>45641</v>
      </c>
      <c r="AO317">
        <v>2024</v>
      </c>
      <c r="AP317">
        <v>12</v>
      </c>
      <c r="AQ317" t="s">
        <v>116</v>
      </c>
      <c r="AS317" t="s">
        <v>85</v>
      </c>
      <c r="AT317">
        <v>2025</v>
      </c>
      <c r="AU317" t="s">
        <v>255</v>
      </c>
      <c r="AV317" t="s">
        <v>68</v>
      </c>
      <c r="AW317" t="s">
        <v>2434</v>
      </c>
      <c r="AX317">
        <v>2025</v>
      </c>
      <c r="AY317" t="s">
        <v>2435</v>
      </c>
      <c r="AZ317" t="s">
        <v>2435</v>
      </c>
    </row>
    <row r="318" spans="1:52" x14ac:dyDescent="0.25">
      <c r="A318" t="s">
        <v>2442</v>
      </c>
      <c r="B318" s="1">
        <v>38647</v>
      </c>
      <c r="C318" t="s">
        <v>2443</v>
      </c>
      <c r="D318">
        <v>476194</v>
      </c>
      <c r="E318" t="s">
        <v>46</v>
      </c>
      <c r="F318" t="s">
        <v>801</v>
      </c>
      <c r="G318" t="s">
        <v>478</v>
      </c>
      <c r="H318" t="s">
        <v>2443</v>
      </c>
      <c r="I318" t="s">
        <v>2445</v>
      </c>
      <c r="J318">
        <v>63</v>
      </c>
      <c r="K318">
        <v>65</v>
      </c>
      <c r="L318">
        <v>-67</v>
      </c>
      <c r="M318">
        <v>65</v>
      </c>
      <c r="N318">
        <v>128</v>
      </c>
      <c r="O318" t="s">
        <v>60</v>
      </c>
      <c r="P318">
        <v>75</v>
      </c>
      <c r="Q318">
        <v>-80</v>
      </c>
      <c r="R318">
        <v>-80</v>
      </c>
      <c r="S318">
        <v>75</v>
      </c>
      <c r="T318">
        <v>0</v>
      </c>
      <c r="U318" t="s">
        <v>55</v>
      </c>
      <c r="V318">
        <f t="shared" si="12"/>
        <v>3</v>
      </c>
      <c r="W318">
        <f t="shared" si="13"/>
        <v>0</v>
      </c>
      <c r="X318">
        <f t="shared" si="14"/>
        <v>0</v>
      </c>
      <c r="Y318">
        <v>140</v>
      </c>
      <c r="Z318">
        <v>128</v>
      </c>
      <c r="AA318" t="s">
        <v>2446</v>
      </c>
      <c r="AB318" t="s">
        <v>2447</v>
      </c>
      <c r="AC318" t="s">
        <v>89</v>
      </c>
      <c r="AD318">
        <v>5</v>
      </c>
      <c r="AE318">
        <v>87</v>
      </c>
      <c r="AF318" t="s">
        <v>113</v>
      </c>
      <c r="AH318" t="s">
        <v>882</v>
      </c>
      <c r="AI318">
        <v>156.56</v>
      </c>
      <c r="AJ318" t="s">
        <v>132</v>
      </c>
      <c r="AK318" t="s">
        <v>801</v>
      </c>
      <c r="AL318" t="s">
        <v>804</v>
      </c>
      <c r="AM318" t="s">
        <v>68</v>
      </c>
      <c r="AN318" s="1">
        <v>45640</v>
      </c>
      <c r="AO318">
        <v>2024</v>
      </c>
      <c r="AP318">
        <v>12</v>
      </c>
      <c r="AQ318" t="s">
        <v>116</v>
      </c>
      <c r="AS318" t="s">
        <v>85</v>
      </c>
      <c r="AT318">
        <v>2025</v>
      </c>
      <c r="AU318" t="s">
        <v>478</v>
      </c>
      <c r="AV318" t="s">
        <v>68</v>
      </c>
      <c r="AW318" t="s">
        <v>2443</v>
      </c>
      <c r="AX318">
        <v>2025</v>
      </c>
      <c r="AY318" t="s">
        <v>2444</v>
      </c>
      <c r="AZ318" t="s">
        <v>2448</v>
      </c>
    </row>
    <row r="319" spans="1:52" x14ac:dyDescent="0.25">
      <c r="A319" t="s">
        <v>2449</v>
      </c>
      <c r="B319" s="1">
        <v>40108</v>
      </c>
      <c r="C319" t="s">
        <v>2450</v>
      </c>
      <c r="D319">
        <v>442029</v>
      </c>
      <c r="E319" t="s">
        <v>46</v>
      </c>
      <c r="F319" t="s">
        <v>1209</v>
      </c>
      <c r="G319" t="s">
        <v>883</v>
      </c>
      <c r="H319" t="s">
        <v>2450</v>
      </c>
      <c r="I319" t="s">
        <v>1056</v>
      </c>
      <c r="J319">
        <v>64</v>
      </c>
      <c r="K319">
        <v>66</v>
      </c>
      <c r="L319">
        <v>-68</v>
      </c>
      <c r="M319">
        <v>66</v>
      </c>
      <c r="N319">
        <v>130</v>
      </c>
      <c r="O319" t="s">
        <v>60</v>
      </c>
      <c r="P319">
        <v>-78</v>
      </c>
      <c r="Q319">
        <v>78</v>
      </c>
      <c r="R319">
        <v>80</v>
      </c>
      <c r="S319">
        <v>80</v>
      </c>
      <c r="T319">
        <v>158</v>
      </c>
      <c r="U319" t="s">
        <v>63</v>
      </c>
      <c r="V319">
        <f t="shared" si="12"/>
        <v>4</v>
      </c>
      <c r="W319">
        <f t="shared" si="13"/>
        <v>0</v>
      </c>
      <c r="X319">
        <f t="shared" si="14"/>
        <v>0</v>
      </c>
      <c r="Y319">
        <v>146</v>
      </c>
      <c r="Z319">
        <v>288</v>
      </c>
      <c r="AA319" t="s">
        <v>2451</v>
      </c>
      <c r="AB319" t="s">
        <v>2452</v>
      </c>
      <c r="AC319" t="s">
        <v>98</v>
      </c>
      <c r="AD319">
        <v>3</v>
      </c>
      <c r="AE319">
        <v>71</v>
      </c>
      <c r="AF319" t="s">
        <v>95</v>
      </c>
      <c r="AH319" t="s">
        <v>301</v>
      </c>
      <c r="AI319">
        <v>180.1</v>
      </c>
      <c r="AJ319" t="s">
        <v>132</v>
      </c>
      <c r="AK319" t="s">
        <v>1209</v>
      </c>
      <c r="AL319" t="s">
        <v>1213</v>
      </c>
      <c r="AM319" t="s">
        <v>68</v>
      </c>
      <c r="AN319" s="1">
        <v>45640</v>
      </c>
      <c r="AO319">
        <v>2024</v>
      </c>
      <c r="AP319">
        <v>12</v>
      </c>
      <c r="AQ319" t="s">
        <v>116</v>
      </c>
      <c r="AS319" t="s">
        <v>85</v>
      </c>
      <c r="AT319">
        <v>2025</v>
      </c>
      <c r="AU319" t="s">
        <v>883</v>
      </c>
      <c r="AV319" t="s">
        <v>68</v>
      </c>
      <c r="AW319" t="s">
        <v>2450</v>
      </c>
      <c r="AX319">
        <v>2025</v>
      </c>
      <c r="AY319" t="s">
        <v>2451</v>
      </c>
      <c r="AZ319" t="s">
        <v>2451</v>
      </c>
    </row>
    <row r="320" spans="1:52" x14ac:dyDescent="0.25">
      <c r="A320" t="s">
        <v>2453</v>
      </c>
      <c r="B320" s="1">
        <v>41739</v>
      </c>
      <c r="C320" t="s">
        <v>2454</v>
      </c>
      <c r="D320">
        <v>477681</v>
      </c>
      <c r="E320" t="s">
        <v>46</v>
      </c>
      <c r="F320" t="s">
        <v>1788</v>
      </c>
      <c r="G320" t="s">
        <v>335</v>
      </c>
      <c r="H320" t="s">
        <v>2454</v>
      </c>
      <c r="I320" t="s">
        <v>1288</v>
      </c>
      <c r="J320">
        <v>17</v>
      </c>
      <c r="K320">
        <v>18</v>
      </c>
      <c r="L320">
        <v>19</v>
      </c>
      <c r="M320">
        <v>19</v>
      </c>
      <c r="N320">
        <v>37</v>
      </c>
      <c r="O320" t="s">
        <v>48</v>
      </c>
      <c r="P320">
        <v>25</v>
      </c>
      <c r="Q320">
        <v>26</v>
      </c>
      <c r="R320">
        <v>27</v>
      </c>
      <c r="S320">
        <v>27</v>
      </c>
      <c r="T320">
        <v>53</v>
      </c>
      <c r="U320" t="s">
        <v>48</v>
      </c>
      <c r="V320">
        <f t="shared" si="12"/>
        <v>6</v>
      </c>
      <c r="W320">
        <f t="shared" si="13"/>
        <v>0</v>
      </c>
      <c r="X320">
        <f t="shared" si="14"/>
        <v>0</v>
      </c>
      <c r="Y320">
        <v>46</v>
      </c>
      <c r="Z320">
        <v>90</v>
      </c>
      <c r="AA320" t="s">
        <v>2382</v>
      </c>
      <c r="AB320" t="s">
        <v>2457</v>
      </c>
      <c r="AC320" t="s">
        <v>49</v>
      </c>
      <c r="AD320">
        <v>999</v>
      </c>
      <c r="AE320">
        <v>40</v>
      </c>
      <c r="AF320" t="s">
        <v>50</v>
      </c>
      <c r="AH320" t="s">
        <v>51</v>
      </c>
      <c r="AI320">
        <v>209.68</v>
      </c>
      <c r="AJ320" t="s">
        <v>52</v>
      </c>
      <c r="AK320" t="s">
        <v>1788</v>
      </c>
      <c r="AL320" t="s">
        <v>1791</v>
      </c>
      <c r="AM320" t="s">
        <v>128</v>
      </c>
      <c r="AN320" s="1">
        <v>45641</v>
      </c>
      <c r="AO320">
        <v>2024</v>
      </c>
      <c r="AP320">
        <v>12</v>
      </c>
      <c r="AQ320" t="s">
        <v>116</v>
      </c>
      <c r="AS320" t="s">
        <v>85</v>
      </c>
      <c r="AT320">
        <v>2025</v>
      </c>
      <c r="AU320" t="s">
        <v>335</v>
      </c>
      <c r="AV320" t="s">
        <v>128</v>
      </c>
      <c r="AW320" t="s">
        <v>2454</v>
      </c>
      <c r="AX320">
        <v>2025</v>
      </c>
      <c r="AY320" t="s">
        <v>2455</v>
      </c>
      <c r="AZ320" t="s">
        <v>2456</v>
      </c>
    </row>
    <row r="321" spans="1:52" x14ac:dyDescent="0.25">
      <c r="A321" t="s">
        <v>2458</v>
      </c>
      <c r="B321" s="1">
        <v>40908</v>
      </c>
      <c r="C321" t="s">
        <v>2459</v>
      </c>
      <c r="D321">
        <v>478628</v>
      </c>
      <c r="E321" t="s">
        <v>46</v>
      </c>
      <c r="F321" t="s">
        <v>954</v>
      </c>
      <c r="G321" t="s">
        <v>329</v>
      </c>
      <c r="H321" t="s">
        <v>2459</v>
      </c>
      <c r="I321" t="s">
        <v>2461</v>
      </c>
      <c r="J321">
        <v>38</v>
      </c>
      <c r="K321">
        <v>41</v>
      </c>
      <c r="L321">
        <v>42</v>
      </c>
      <c r="M321">
        <v>42</v>
      </c>
      <c r="N321">
        <v>83</v>
      </c>
      <c r="O321" t="s">
        <v>48</v>
      </c>
      <c r="P321">
        <v>45</v>
      </c>
      <c r="Q321">
        <v>48</v>
      </c>
      <c r="R321">
        <v>-50</v>
      </c>
      <c r="S321">
        <v>48</v>
      </c>
      <c r="T321">
        <v>93</v>
      </c>
      <c r="U321" t="s">
        <v>60</v>
      </c>
      <c r="V321">
        <f t="shared" si="12"/>
        <v>5</v>
      </c>
      <c r="W321">
        <f t="shared" si="13"/>
        <v>0</v>
      </c>
      <c r="X321">
        <f t="shared" si="14"/>
        <v>0</v>
      </c>
      <c r="Y321">
        <v>90</v>
      </c>
      <c r="Z321">
        <v>176</v>
      </c>
      <c r="AA321" t="s">
        <v>2460</v>
      </c>
      <c r="AB321" t="s">
        <v>2462</v>
      </c>
      <c r="AC321" t="s">
        <v>89</v>
      </c>
      <c r="AD321">
        <v>5</v>
      </c>
      <c r="AE321">
        <v>59</v>
      </c>
      <c r="AF321" t="s">
        <v>57</v>
      </c>
      <c r="AH321" t="s">
        <v>525</v>
      </c>
      <c r="AI321">
        <v>125.31</v>
      </c>
      <c r="AJ321" t="s">
        <v>132</v>
      </c>
      <c r="AK321" t="s">
        <v>954</v>
      </c>
      <c r="AL321" t="s">
        <v>957</v>
      </c>
      <c r="AM321" t="s">
        <v>133</v>
      </c>
      <c r="AN321" s="1">
        <v>45641</v>
      </c>
      <c r="AO321">
        <v>2024</v>
      </c>
      <c r="AP321">
        <v>12</v>
      </c>
      <c r="AQ321" t="s">
        <v>116</v>
      </c>
      <c r="AS321" t="s">
        <v>85</v>
      </c>
      <c r="AT321">
        <v>2025</v>
      </c>
      <c r="AU321" t="s">
        <v>329</v>
      </c>
      <c r="AV321" t="s">
        <v>133</v>
      </c>
      <c r="AW321" t="s">
        <v>2459</v>
      </c>
      <c r="AX321">
        <v>2025</v>
      </c>
      <c r="AY321" t="s">
        <v>2460</v>
      </c>
      <c r="AZ321" t="s">
        <v>2460</v>
      </c>
    </row>
    <row r="322" spans="1:52" x14ac:dyDescent="0.25">
      <c r="A322" t="s">
        <v>2463</v>
      </c>
      <c r="B322" s="1">
        <v>41167</v>
      </c>
      <c r="C322" t="s">
        <v>2464</v>
      </c>
      <c r="D322">
        <v>475471</v>
      </c>
      <c r="E322" t="s">
        <v>46</v>
      </c>
      <c r="F322" t="s">
        <v>1360</v>
      </c>
      <c r="G322" t="s">
        <v>1169</v>
      </c>
      <c r="H322" t="s">
        <v>2464</v>
      </c>
      <c r="I322" t="s">
        <v>2466</v>
      </c>
      <c r="J322">
        <v>22</v>
      </c>
      <c r="K322">
        <v>-24</v>
      </c>
      <c r="L322">
        <v>24</v>
      </c>
      <c r="M322">
        <v>24</v>
      </c>
      <c r="N322">
        <v>46</v>
      </c>
      <c r="O322" t="s">
        <v>65</v>
      </c>
      <c r="P322">
        <v>28</v>
      </c>
      <c r="Q322">
        <v>30</v>
      </c>
      <c r="R322">
        <v>-32</v>
      </c>
      <c r="S322">
        <v>30</v>
      </c>
      <c r="T322">
        <v>58</v>
      </c>
      <c r="U322" t="s">
        <v>60</v>
      </c>
      <c r="V322">
        <f t="shared" si="12"/>
        <v>4</v>
      </c>
      <c r="W322">
        <f t="shared" si="13"/>
        <v>0</v>
      </c>
      <c r="X322">
        <f t="shared" si="14"/>
        <v>0</v>
      </c>
      <c r="Y322">
        <v>54</v>
      </c>
      <c r="Z322">
        <v>104</v>
      </c>
      <c r="AA322" t="s">
        <v>2465</v>
      </c>
      <c r="AB322" t="s">
        <v>2467</v>
      </c>
      <c r="AC322" t="s">
        <v>49</v>
      </c>
      <c r="AD322">
        <v>999</v>
      </c>
      <c r="AE322">
        <v>49</v>
      </c>
      <c r="AF322" t="s">
        <v>50</v>
      </c>
      <c r="AH322" t="s">
        <v>210</v>
      </c>
      <c r="AI322">
        <v>168.61</v>
      </c>
      <c r="AJ322" t="s">
        <v>132</v>
      </c>
      <c r="AK322" t="s">
        <v>1360</v>
      </c>
      <c r="AL322" t="s">
        <v>1364</v>
      </c>
      <c r="AM322" t="s">
        <v>68</v>
      </c>
      <c r="AN322" s="1">
        <v>45640</v>
      </c>
      <c r="AO322">
        <v>2024</v>
      </c>
      <c r="AP322">
        <v>12</v>
      </c>
      <c r="AQ322" t="s">
        <v>116</v>
      </c>
      <c r="AS322" t="s">
        <v>85</v>
      </c>
      <c r="AT322">
        <v>2025</v>
      </c>
      <c r="AU322" t="s">
        <v>1169</v>
      </c>
      <c r="AV322" t="s">
        <v>68</v>
      </c>
      <c r="AW322" t="s">
        <v>2464</v>
      </c>
      <c r="AX322">
        <v>2025</v>
      </c>
      <c r="AY322" t="s">
        <v>2465</v>
      </c>
      <c r="AZ322" t="s">
        <v>2465</v>
      </c>
    </row>
    <row r="323" spans="1:52" x14ac:dyDescent="0.25">
      <c r="A323" t="s">
        <v>2468</v>
      </c>
      <c r="B323" s="1">
        <v>40088</v>
      </c>
      <c r="C323" t="s">
        <v>2469</v>
      </c>
      <c r="D323">
        <v>455180</v>
      </c>
      <c r="E323" t="s">
        <v>46</v>
      </c>
      <c r="F323" t="s">
        <v>456</v>
      </c>
      <c r="G323" t="s">
        <v>449</v>
      </c>
      <c r="H323" t="s">
        <v>2469</v>
      </c>
      <c r="I323" t="s">
        <v>2471</v>
      </c>
      <c r="J323">
        <v>55</v>
      </c>
      <c r="K323">
        <v>58</v>
      </c>
      <c r="L323">
        <v>60</v>
      </c>
      <c r="M323">
        <v>60</v>
      </c>
      <c r="N323">
        <v>118</v>
      </c>
      <c r="O323" t="s">
        <v>48</v>
      </c>
      <c r="P323">
        <v>-70</v>
      </c>
      <c r="Q323">
        <v>70</v>
      </c>
      <c r="R323">
        <v>73</v>
      </c>
      <c r="S323">
        <v>73</v>
      </c>
      <c r="T323">
        <v>143</v>
      </c>
      <c r="U323" t="s">
        <v>63</v>
      </c>
      <c r="V323">
        <f t="shared" ref="V323:V386" si="15">IF(O323="OOO",3,IF(O323="XXX",0,IF(OR(O323="OOX",O323="OXO",O323="XOO"),2,1)))+IF(U323="OOO",3,IF(U323="XXX",0,IF(OR(U323="OOX",U323="OXO",U323="XOO"),2,1)))</f>
        <v>5</v>
      </c>
      <c r="W323">
        <f t="shared" ref="W323:W386" si="16">IF(OR(O323="XXO",U323="XXO"),1,0)</f>
        <v>0</v>
      </c>
      <c r="X323">
        <f t="shared" ref="X323:X386" si="17">IF(AND(O323="XXO",U323="XXO"),1,0)</f>
        <v>0</v>
      </c>
      <c r="Y323">
        <v>133</v>
      </c>
      <c r="Z323">
        <v>261</v>
      </c>
      <c r="AA323" t="s">
        <v>2470</v>
      </c>
      <c r="AB323" t="s">
        <v>2472</v>
      </c>
      <c r="AC323" t="s">
        <v>94</v>
      </c>
      <c r="AD323">
        <v>4</v>
      </c>
      <c r="AE323">
        <v>76</v>
      </c>
      <c r="AF323" t="s">
        <v>95</v>
      </c>
      <c r="AH323" t="s">
        <v>304</v>
      </c>
      <c r="AI323">
        <v>158.52000000000001</v>
      </c>
      <c r="AJ323" t="s">
        <v>132</v>
      </c>
      <c r="AK323" t="s">
        <v>456</v>
      </c>
      <c r="AL323" t="s">
        <v>460</v>
      </c>
      <c r="AM323" t="s">
        <v>173</v>
      </c>
      <c r="AN323" s="1">
        <v>45641</v>
      </c>
      <c r="AO323">
        <v>2024</v>
      </c>
      <c r="AP323">
        <v>12</v>
      </c>
      <c r="AQ323" t="s">
        <v>116</v>
      </c>
      <c r="AS323" t="s">
        <v>85</v>
      </c>
      <c r="AT323">
        <v>2025</v>
      </c>
      <c r="AU323" t="s">
        <v>449</v>
      </c>
      <c r="AV323" t="s">
        <v>173</v>
      </c>
      <c r="AW323" t="s">
        <v>2469</v>
      </c>
      <c r="AX323">
        <v>2025</v>
      </c>
      <c r="AY323" t="s">
        <v>2470</v>
      </c>
      <c r="AZ323" t="s">
        <v>2470</v>
      </c>
    </row>
    <row r="324" spans="1:52" x14ac:dyDescent="0.25">
      <c r="A324" t="s">
        <v>2479</v>
      </c>
      <c r="B324" s="1">
        <v>40708</v>
      </c>
      <c r="C324" t="s">
        <v>2480</v>
      </c>
      <c r="D324">
        <v>480052</v>
      </c>
      <c r="E324" t="s">
        <v>46</v>
      </c>
      <c r="F324" t="s">
        <v>770</v>
      </c>
      <c r="G324" t="s">
        <v>396</v>
      </c>
      <c r="H324" t="s">
        <v>2480</v>
      </c>
      <c r="I324" t="s">
        <v>985</v>
      </c>
      <c r="J324">
        <v>37</v>
      </c>
      <c r="K324">
        <v>40</v>
      </c>
      <c r="L324">
        <v>-42</v>
      </c>
      <c r="M324">
        <v>40</v>
      </c>
      <c r="N324">
        <v>77</v>
      </c>
      <c r="O324" t="s">
        <v>60</v>
      </c>
      <c r="P324">
        <v>53</v>
      </c>
      <c r="Q324">
        <v>57</v>
      </c>
      <c r="R324">
        <v>-60</v>
      </c>
      <c r="S324">
        <v>57</v>
      </c>
      <c r="T324">
        <v>110</v>
      </c>
      <c r="U324" t="s">
        <v>60</v>
      </c>
      <c r="V324">
        <f t="shared" si="15"/>
        <v>4</v>
      </c>
      <c r="W324">
        <f t="shared" si="16"/>
        <v>0</v>
      </c>
      <c r="X324">
        <f t="shared" si="17"/>
        <v>0</v>
      </c>
      <c r="Y324">
        <v>97</v>
      </c>
      <c r="Z324">
        <v>187</v>
      </c>
      <c r="AA324" t="s">
        <v>2481</v>
      </c>
      <c r="AB324" t="s">
        <v>2482</v>
      </c>
      <c r="AC324" t="s">
        <v>89</v>
      </c>
      <c r="AD324">
        <v>5</v>
      </c>
      <c r="AE324">
        <v>55</v>
      </c>
      <c r="AF324" t="s">
        <v>57</v>
      </c>
      <c r="AH324" t="s">
        <v>172</v>
      </c>
      <c r="AI324">
        <v>145.26</v>
      </c>
      <c r="AJ324" t="s">
        <v>132</v>
      </c>
      <c r="AK324" t="s">
        <v>770</v>
      </c>
      <c r="AL324" t="s">
        <v>773</v>
      </c>
      <c r="AM324" t="s">
        <v>302</v>
      </c>
      <c r="AN324" s="1">
        <v>45640</v>
      </c>
      <c r="AO324">
        <v>2024</v>
      </c>
      <c r="AP324">
        <v>12</v>
      </c>
      <c r="AQ324" t="s">
        <v>116</v>
      </c>
      <c r="AS324" t="s">
        <v>85</v>
      </c>
      <c r="AT324">
        <v>2025</v>
      </c>
      <c r="AU324" t="s">
        <v>396</v>
      </c>
      <c r="AV324" t="s">
        <v>303</v>
      </c>
      <c r="AW324" t="s">
        <v>2480</v>
      </c>
      <c r="AX324">
        <v>2025</v>
      </c>
      <c r="AY324" t="s">
        <v>2481</v>
      </c>
      <c r="AZ324" t="s">
        <v>2481</v>
      </c>
    </row>
    <row r="325" spans="1:52" x14ac:dyDescent="0.25">
      <c r="A325" t="s">
        <v>2483</v>
      </c>
      <c r="B325" s="1">
        <v>34606</v>
      </c>
      <c r="C325" t="s">
        <v>2484</v>
      </c>
      <c r="D325">
        <v>498381</v>
      </c>
      <c r="E325" t="s">
        <v>46</v>
      </c>
      <c r="F325" t="s">
        <v>518</v>
      </c>
      <c r="G325" t="s">
        <v>1057</v>
      </c>
      <c r="H325" t="s">
        <v>2484</v>
      </c>
      <c r="I325" t="s">
        <v>1097</v>
      </c>
      <c r="J325">
        <v>57</v>
      </c>
      <c r="K325">
        <v>-60</v>
      </c>
      <c r="L325">
        <v>-60</v>
      </c>
      <c r="M325">
        <v>57</v>
      </c>
      <c r="N325">
        <v>0</v>
      </c>
      <c r="O325" t="s">
        <v>55</v>
      </c>
      <c r="P325">
        <v>-70</v>
      </c>
      <c r="Q325">
        <v>70</v>
      </c>
      <c r="R325">
        <v>-73</v>
      </c>
      <c r="S325">
        <v>70</v>
      </c>
      <c r="T325">
        <v>0</v>
      </c>
      <c r="U325" t="s">
        <v>104</v>
      </c>
      <c r="V325">
        <f t="shared" si="15"/>
        <v>2</v>
      </c>
      <c r="W325">
        <f t="shared" si="16"/>
        <v>0</v>
      </c>
      <c r="X325">
        <f t="shared" si="17"/>
        <v>0</v>
      </c>
      <c r="Y325">
        <v>127</v>
      </c>
      <c r="Z325">
        <v>0</v>
      </c>
      <c r="AA325" t="s">
        <v>2486</v>
      </c>
      <c r="AB325" t="s">
        <v>99</v>
      </c>
      <c r="AC325" t="s">
        <v>93</v>
      </c>
      <c r="AD325">
        <v>6</v>
      </c>
      <c r="AE325">
        <v>55</v>
      </c>
      <c r="AF325" t="s">
        <v>126</v>
      </c>
      <c r="AH325" t="s">
        <v>197</v>
      </c>
      <c r="AI325">
        <v>187.02</v>
      </c>
      <c r="AJ325" t="s">
        <v>132</v>
      </c>
      <c r="AK325" t="s">
        <v>518</v>
      </c>
      <c r="AL325" t="s">
        <v>522</v>
      </c>
      <c r="AM325" t="s">
        <v>177</v>
      </c>
      <c r="AN325" s="1">
        <v>45640</v>
      </c>
      <c r="AO325">
        <v>2024</v>
      </c>
      <c r="AP325">
        <v>12</v>
      </c>
      <c r="AQ325" t="s">
        <v>116</v>
      </c>
      <c r="AS325" t="s">
        <v>85</v>
      </c>
      <c r="AT325">
        <v>2025</v>
      </c>
      <c r="AU325" t="s">
        <v>1057</v>
      </c>
      <c r="AV325" t="s">
        <v>177</v>
      </c>
      <c r="AW325" t="s">
        <v>2484</v>
      </c>
      <c r="AX325">
        <v>2025</v>
      </c>
      <c r="AY325" t="s">
        <v>2485</v>
      </c>
      <c r="AZ325" t="s">
        <v>2486</v>
      </c>
    </row>
    <row r="326" spans="1:52" x14ac:dyDescent="0.25">
      <c r="A326" t="s">
        <v>2474</v>
      </c>
      <c r="B326" s="1">
        <v>33672</v>
      </c>
      <c r="C326" t="s">
        <v>2475</v>
      </c>
      <c r="D326">
        <v>461564</v>
      </c>
      <c r="E326" t="s">
        <v>46</v>
      </c>
      <c r="F326" t="s">
        <v>2477</v>
      </c>
      <c r="G326" t="s">
        <v>404</v>
      </c>
      <c r="H326" t="s">
        <v>2475</v>
      </c>
      <c r="I326" t="s">
        <v>736</v>
      </c>
      <c r="J326">
        <v>-72</v>
      </c>
      <c r="K326">
        <v>-74</v>
      </c>
      <c r="L326">
        <v>-74</v>
      </c>
      <c r="M326">
        <v>0</v>
      </c>
      <c r="N326">
        <v>0</v>
      </c>
      <c r="O326" t="s">
        <v>108</v>
      </c>
      <c r="P326">
        <v>-84</v>
      </c>
      <c r="Q326">
        <v>0</v>
      </c>
      <c r="R326">
        <v>0</v>
      </c>
      <c r="S326">
        <v>0</v>
      </c>
      <c r="T326">
        <v>0</v>
      </c>
      <c r="U326" t="s">
        <v>108</v>
      </c>
      <c r="V326">
        <f t="shared" si="15"/>
        <v>0</v>
      </c>
      <c r="W326">
        <f t="shared" si="16"/>
        <v>0</v>
      </c>
      <c r="X326">
        <f t="shared" si="17"/>
        <v>0</v>
      </c>
      <c r="Y326">
        <v>0</v>
      </c>
      <c r="Z326">
        <v>0</v>
      </c>
      <c r="AA326" t="s">
        <v>99</v>
      </c>
      <c r="AB326" t="s">
        <v>99</v>
      </c>
      <c r="AC326" t="s">
        <v>49</v>
      </c>
      <c r="AD326">
        <v>999</v>
      </c>
      <c r="AE326" t="s">
        <v>135</v>
      </c>
      <c r="AF326" t="s">
        <v>126</v>
      </c>
      <c r="AH326" t="s">
        <v>136</v>
      </c>
      <c r="AI326">
        <v>0</v>
      </c>
      <c r="AJ326" t="s">
        <v>132</v>
      </c>
      <c r="AK326" t="s">
        <v>2477</v>
      </c>
      <c r="AL326" t="s">
        <v>2478</v>
      </c>
      <c r="AM326" t="s">
        <v>143</v>
      </c>
      <c r="AN326" s="1">
        <v>45640</v>
      </c>
      <c r="AO326">
        <v>2024</v>
      </c>
      <c r="AP326">
        <v>12</v>
      </c>
      <c r="AQ326" t="s">
        <v>116</v>
      </c>
      <c r="AS326" t="s">
        <v>85</v>
      </c>
      <c r="AT326">
        <v>2025</v>
      </c>
      <c r="AU326" t="s">
        <v>404</v>
      </c>
      <c r="AV326" t="s">
        <v>143</v>
      </c>
      <c r="AW326" t="s">
        <v>2475</v>
      </c>
      <c r="AX326">
        <v>2025</v>
      </c>
      <c r="AY326" t="s">
        <v>2476</v>
      </c>
      <c r="AZ326" t="s">
        <v>2476</v>
      </c>
    </row>
    <row r="327" spans="1:52" x14ac:dyDescent="0.25">
      <c r="A327" t="s">
        <v>2487</v>
      </c>
      <c r="B327" s="1">
        <v>39930</v>
      </c>
      <c r="C327" t="s">
        <v>2488</v>
      </c>
      <c r="D327">
        <v>479878</v>
      </c>
      <c r="E327" t="s">
        <v>46</v>
      </c>
      <c r="F327" t="s">
        <v>360</v>
      </c>
      <c r="G327" t="s">
        <v>134</v>
      </c>
      <c r="H327" t="s">
        <v>2488</v>
      </c>
      <c r="I327" t="s">
        <v>1952</v>
      </c>
      <c r="J327">
        <v>52</v>
      </c>
      <c r="K327">
        <v>55</v>
      </c>
      <c r="L327">
        <v>58</v>
      </c>
      <c r="M327">
        <v>58</v>
      </c>
      <c r="N327">
        <v>113</v>
      </c>
      <c r="O327" t="s">
        <v>48</v>
      </c>
      <c r="P327">
        <v>52</v>
      </c>
      <c r="Q327">
        <v>58</v>
      </c>
      <c r="R327">
        <v>62</v>
      </c>
      <c r="S327">
        <v>62</v>
      </c>
      <c r="T327">
        <v>120</v>
      </c>
      <c r="U327" t="s">
        <v>48</v>
      </c>
      <c r="V327">
        <f t="shared" si="15"/>
        <v>6</v>
      </c>
      <c r="W327">
        <f t="shared" si="16"/>
        <v>0</v>
      </c>
      <c r="X327">
        <f t="shared" si="17"/>
        <v>0</v>
      </c>
      <c r="Y327">
        <v>120</v>
      </c>
      <c r="Z327">
        <v>233</v>
      </c>
      <c r="AA327" t="s">
        <v>2490</v>
      </c>
      <c r="AB327" t="s">
        <v>2491</v>
      </c>
      <c r="AC327" t="s">
        <v>94</v>
      </c>
      <c r="AD327">
        <v>4</v>
      </c>
      <c r="AE327">
        <v>64</v>
      </c>
      <c r="AF327" t="s">
        <v>95</v>
      </c>
      <c r="AH327" t="s">
        <v>169</v>
      </c>
      <c r="AI327">
        <v>159.75</v>
      </c>
      <c r="AJ327" t="s">
        <v>132</v>
      </c>
      <c r="AK327" t="s">
        <v>360</v>
      </c>
      <c r="AL327" t="s">
        <v>363</v>
      </c>
      <c r="AM327" t="s">
        <v>53</v>
      </c>
      <c r="AN327" s="1">
        <v>45640</v>
      </c>
      <c r="AO327">
        <v>2024</v>
      </c>
      <c r="AP327">
        <v>12</v>
      </c>
      <c r="AQ327" t="s">
        <v>116</v>
      </c>
      <c r="AS327" t="s">
        <v>85</v>
      </c>
      <c r="AT327">
        <v>2025</v>
      </c>
      <c r="AU327" t="s">
        <v>134</v>
      </c>
      <c r="AV327" t="s">
        <v>54</v>
      </c>
      <c r="AW327" t="s">
        <v>2488</v>
      </c>
      <c r="AX327">
        <v>2025</v>
      </c>
      <c r="AY327" t="s">
        <v>2489</v>
      </c>
      <c r="AZ327" t="s">
        <v>2489</v>
      </c>
    </row>
    <row r="328" spans="1:52" x14ac:dyDescent="0.25">
      <c r="A328" t="s">
        <v>2492</v>
      </c>
      <c r="B328" s="1">
        <v>40218</v>
      </c>
      <c r="C328" t="s">
        <v>2493</v>
      </c>
      <c r="D328">
        <v>436000</v>
      </c>
      <c r="E328" t="s">
        <v>46</v>
      </c>
      <c r="F328" t="s">
        <v>281</v>
      </c>
      <c r="G328" t="s">
        <v>271</v>
      </c>
      <c r="H328" t="s">
        <v>2493</v>
      </c>
      <c r="I328" t="s">
        <v>357</v>
      </c>
      <c r="J328">
        <v>80</v>
      </c>
      <c r="K328">
        <v>-84</v>
      </c>
      <c r="L328">
        <v>85</v>
      </c>
      <c r="M328">
        <v>85</v>
      </c>
      <c r="N328">
        <v>165</v>
      </c>
      <c r="O328" t="s">
        <v>65</v>
      </c>
      <c r="P328">
        <v>100</v>
      </c>
      <c r="Q328">
        <v>-105</v>
      </c>
      <c r="R328">
        <v>-106</v>
      </c>
      <c r="S328">
        <v>100</v>
      </c>
      <c r="T328">
        <v>0</v>
      </c>
      <c r="U328" t="s">
        <v>55</v>
      </c>
      <c r="V328">
        <f t="shared" si="15"/>
        <v>3</v>
      </c>
      <c r="W328">
        <f t="shared" si="16"/>
        <v>0</v>
      </c>
      <c r="X328">
        <f t="shared" si="17"/>
        <v>0</v>
      </c>
      <c r="Y328">
        <v>185</v>
      </c>
      <c r="Z328">
        <v>165</v>
      </c>
      <c r="AA328" t="s">
        <v>1011</v>
      </c>
      <c r="AB328" t="s">
        <v>2494</v>
      </c>
      <c r="AC328" t="s">
        <v>94</v>
      </c>
      <c r="AD328">
        <v>4</v>
      </c>
      <c r="AE328">
        <v>67</v>
      </c>
      <c r="AF328" t="s">
        <v>57</v>
      </c>
      <c r="AH328" t="s">
        <v>185</v>
      </c>
      <c r="AI328">
        <v>276.97000000000003</v>
      </c>
      <c r="AJ328" t="s">
        <v>52</v>
      </c>
      <c r="AK328" t="s">
        <v>281</v>
      </c>
      <c r="AL328" t="s">
        <v>284</v>
      </c>
      <c r="AM328" t="s">
        <v>139</v>
      </c>
      <c r="AN328" s="1">
        <v>45640</v>
      </c>
      <c r="AO328">
        <v>2024</v>
      </c>
      <c r="AP328">
        <v>12</v>
      </c>
      <c r="AQ328" t="s">
        <v>116</v>
      </c>
      <c r="AS328" t="s">
        <v>85</v>
      </c>
      <c r="AT328">
        <v>2025</v>
      </c>
      <c r="AU328" t="s">
        <v>271</v>
      </c>
      <c r="AV328" t="s">
        <v>140</v>
      </c>
      <c r="AW328" t="s">
        <v>2493</v>
      </c>
      <c r="AX328">
        <v>2025</v>
      </c>
      <c r="AY328" t="s">
        <v>1011</v>
      </c>
      <c r="AZ328" t="s">
        <v>1011</v>
      </c>
    </row>
    <row r="329" spans="1:52" x14ac:dyDescent="0.25">
      <c r="A329" t="s">
        <v>2495</v>
      </c>
      <c r="B329" s="1">
        <v>38585</v>
      </c>
      <c r="C329" t="s">
        <v>2496</v>
      </c>
      <c r="D329">
        <v>464603</v>
      </c>
      <c r="E329" t="s">
        <v>46</v>
      </c>
      <c r="F329" t="s">
        <v>859</v>
      </c>
      <c r="G329" t="s">
        <v>120</v>
      </c>
      <c r="H329" t="s">
        <v>2496</v>
      </c>
      <c r="I329">
        <v>81</v>
      </c>
      <c r="J329">
        <v>60</v>
      </c>
      <c r="K329">
        <v>65</v>
      </c>
      <c r="L329">
        <v>-68</v>
      </c>
      <c r="M329">
        <v>65</v>
      </c>
      <c r="N329">
        <v>125</v>
      </c>
      <c r="O329" t="s">
        <v>60</v>
      </c>
      <c r="P329">
        <v>75</v>
      </c>
      <c r="Q329">
        <v>80</v>
      </c>
      <c r="R329">
        <v>-84</v>
      </c>
      <c r="S329">
        <v>80</v>
      </c>
      <c r="T329">
        <v>155</v>
      </c>
      <c r="U329" t="s">
        <v>60</v>
      </c>
      <c r="V329">
        <f t="shared" si="15"/>
        <v>4</v>
      </c>
      <c r="W329">
        <f t="shared" si="16"/>
        <v>0</v>
      </c>
      <c r="X329">
        <f t="shared" si="17"/>
        <v>0</v>
      </c>
      <c r="Y329">
        <v>145</v>
      </c>
      <c r="Z329">
        <v>280</v>
      </c>
      <c r="AA329" t="s">
        <v>2498</v>
      </c>
      <c r="AB329" t="s">
        <v>2499</v>
      </c>
      <c r="AC329" t="s">
        <v>89</v>
      </c>
      <c r="AD329">
        <v>5</v>
      </c>
      <c r="AE329">
        <v>81</v>
      </c>
      <c r="AF329" t="s">
        <v>113</v>
      </c>
      <c r="AH329" t="s">
        <v>881</v>
      </c>
      <c r="AI329">
        <v>166.85</v>
      </c>
      <c r="AJ329" t="s">
        <v>132</v>
      </c>
      <c r="AK329" t="s">
        <v>859</v>
      </c>
      <c r="AL329" t="s">
        <v>862</v>
      </c>
      <c r="AM329" t="s">
        <v>123</v>
      </c>
      <c r="AN329" s="1">
        <v>45640</v>
      </c>
      <c r="AO329">
        <v>2024</v>
      </c>
      <c r="AP329">
        <v>12</v>
      </c>
      <c r="AQ329" t="s">
        <v>116</v>
      </c>
      <c r="AS329" t="s">
        <v>85</v>
      </c>
      <c r="AT329">
        <v>2025</v>
      </c>
      <c r="AU329" t="s">
        <v>120</v>
      </c>
      <c r="AV329" t="s">
        <v>123</v>
      </c>
      <c r="AW329" t="s">
        <v>2496</v>
      </c>
      <c r="AX329">
        <v>2025</v>
      </c>
      <c r="AY329" t="s">
        <v>2497</v>
      </c>
      <c r="AZ329" t="s">
        <v>2498</v>
      </c>
    </row>
    <row r="330" spans="1:52" x14ac:dyDescent="0.25">
      <c r="A330" t="s">
        <v>2500</v>
      </c>
      <c r="B330" s="1">
        <v>39734</v>
      </c>
      <c r="C330" t="s">
        <v>2501</v>
      </c>
      <c r="D330">
        <v>475009</v>
      </c>
      <c r="E330" t="s">
        <v>46</v>
      </c>
      <c r="F330" t="s">
        <v>390</v>
      </c>
      <c r="G330" t="s">
        <v>386</v>
      </c>
      <c r="H330" t="s">
        <v>2501</v>
      </c>
      <c r="I330" t="s">
        <v>600</v>
      </c>
      <c r="J330">
        <v>82</v>
      </c>
      <c r="K330">
        <v>86</v>
      </c>
      <c r="L330">
        <v>-90</v>
      </c>
      <c r="M330">
        <v>86</v>
      </c>
      <c r="N330">
        <v>168</v>
      </c>
      <c r="O330" t="s">
        <v>60</v>
      </c>
      <c r="P330">
        <v>104</v>
      </c>
      <c r="Q330">
        <v>-109</v>
      </c>
      <c r="R330">
        <v>-114</v>
      </c>
      <c r="S330">
        <v>104</v>
      </c>
      <c r="T330">
        <v>0</v>
      </c>
      <c r="U330" t="s">
        <v>55</v>
      </c>
      <c r="V330">
        <f t="shared" si="15"/>
        <v>3</v>
      </c>
      <c r="W330">
        <f t="shared" si="16"/>
        <v>0</v>
      </c>
      <c r="X330">
        <f t="shared" si="17"/>
        <v>0</v>
      </c>
      <c r="Y330">
        <v>190</v>
      </c>
      <c r="Z330">
        <v>168</v>
      </c>
      <c r="AA330" t="s">
        <v>1925</v>
      </c>
      <c r="AB330" t="s">
        <v>2503</v>
      </c>
      <c r="AC330" t="s">
        <v>93</v>
      </c>
      <c r="AD330">
        <v>6</v>
      </c>
      <c r="AE330">
        <v>89</v>
      </c>
      <c r="AF330" t="s">
        <v>95</v>
      </c>
      <c r="AH330" t="s">
        <v>745</v>
      </c>
      <c r="AI330">
        <v>231.46</v>
      </c>
      <c r="AJ330" t="s">
        <v>52</v>
      </c>
      <c r="AK330" t="s">
        <v>390</v>
      </c>
      <c r="AL330" t="s">
        <v>392</v>
      </c>
      <c r="AM330" t="s">
        <v>170</v>
      </c>
      <c r="AN330" s="1">
        <v>45641</v>
      </c>
      <c r="AO330">
        <v>2024</v>
      </c>
      <c r="AP330">
        <v>12</v>
      </c>
      <c r="AQ330" t="s">
        <v>116</v>
      </c>
      <c r="AS330" t="s">
        <v>85</v>
      </c>
      <c r="AT330">
        <v>2025</v>
      </c>
      <c r="AU330" t="s">
        <v>386</v>
      </c>
      <c r="AV330" t="s">
        <v>170</v>
      </c>
      <c r="AW330" t="s">
        <v>2501</v>
      </c>
      <c r="AX330">
        <v>2025</v>
      </c>
      <c r="AY330" t="s">
        <v>1925</v>
      </c>
      <c r="AZ330" t="s">
        <v>1925</v>
      </c>
    </row>
    <row r="331" spans="1:52" x14ac:dyDescent="0.25">
      <c r="A331" t="s">
        <v>2505</v>
      </c>
      <c r="B331" s="1">
        <v>39968</v>
      </c>
      <c r="C331" t="s">
        <v>2506</v>
      </c>
      <c r="D331">
        <v>444381</v>
      </c>
      <c r="E331" t="s">
        <v>46</v>
      </c>
      <c r="F331" t="s">
        <v>1221</v>
      </c>
      <c r="G331" t="s">
        <v>258</v>
      </c>
      <c r="H331" t="s">
        <v>2506</v>
      </c>
      <c r="I331" t="s">
        <v>214</v>
      </c>
      <c r="J331">
        <v>40</v>
      </c>
      <c r="K331">
        <v>44</v>
      </c>
      <c r="L331">
        <v>47</v>
      </c>
      <c r="M331">
        <v>47</v>
      </c>
      <c r="N331">
        <v>91</v>
      </c>
      <c r="O331" t="s">
        <v>48</v>
      </c>
      <c r="P331">
        <v>50</v>
      </c>
      <c r="Q331">
        <v>0</v>
      </c>
      <c r="R331">
        <v>0</v>
      </c>
      <c r="S331">
        <v>50</v>
      </c>
      <c r="T331">
        <v>0</v>
      </c>
      <c r="U331" t="s">
        <v>55</v>
      </c>
      <c r="V331">
        <f t="shared" si="15"/>
        <v>4</v>
      </c>
      <c r="W331">
        <f t="shared" si="16"/>
        <v>0</v>
      </c>
      <c r="X331">
        <f t="shared" si="17"/>
        <v>0</v>
      </c>
      <c r="Y331">
        <v>97</v>
      </c>
      <c r="Z331">
        <v>91</v>
      </c>
      <c r="AA331" t="s">
        <v>1116</v>
      </c>
      <c r="AB331" t="s">
        <v>2508</v>
      </c>
      <c r="AC331" t="s">
        <v>89</v>
      </c>
      <c r="AD331">
        <v>5</v>
      </c>
      <c r="AE331">
        <v>55</v>
      </c>
      <c r="AF331" t="s">
        <v>95</v>
      </c>
      <c r="AH331" t="s">
        <v>175</v>
      </c>
      <c r="AI331">
        <v>141.97</v>
      </c>
      <c r="AJ331" t="s">
        <v>132</v>
      </c>
      <c r="AK331" t="s">
        <v>1221</v>
      </c>
      <c r="AL331" t="s">
        <v>1223</v>
      </c>
      <c r="AM331" t="s">
        <v>128</v>
      </c>
      <c r="AN331" s="1">
        <v>45641</v>
      </c>
      <c r="AO331">
        <v>2024</v>
      </c>
      <c r="AP331">
        <v>12</v>
      </c>
      <c r="AQ331" t="s">
        <v>116</v>
      </c>
      <c r="AS331" t="s">
        <v>85</v>
      </c>
      <c r="AT331">
        <v>2025</v>
      </c>
      <c r="AU331" t="s">
        <v>258</v>
      </c>
      <c r="AV331" t="s">
        <v>128</v>
      </c>
      <c r="AW331" t="s">
        <v>2506</v>
      </c>
      <c r="AX331">
        <v>2025</v>
      </c>
      <c r="AY331" t="s">
        <v>2507</v>
      </c>
      <c r="AZ331" t="s">
        <v>2509</v>
      </c>
    </row>
    <row r="332" spans="1:52" x14ac:dyDescent="0.25">
      <c r="A332" t="s">
        <v>2511</v>
      </c>
      <c r="B332" s="1">
        <v>40257</v>
      </c>
      <c r="C332" t="s">
        <v>2512</v>
      </c>
      <c r="D332">
        <v>475625</v>
      </c>
      <c r="E332" t="s">
        <v>46</v>
      </c>
      <c r="F332" t="s">
        <v>213</v>
      </c>
      <c r="G332" t="s">
        <v>687</v>
      </c>
      <c r="H332" t="s">
        <v>2512</v>
      </c>
      <c r="I332" t="s">
        <v>750</v>
      </c>
      <c r="J332">
        <v>35</v>
      </c>
      <c r="K332">
        <v>38</v>
      </c>
      <c r="L332">
        <v>40</v>
      </c>
      <c r="M332">
        <v>40</v>
      </c>
      <c r="N332">
        <v>78</v>
      </c>
      <c r="O332" t="s">
        <v>48</v>
      </c>
      <c r="P332">
        <v>45</v>
      </c>
      <c r="Q332">
        <v>48</v>
      </c>
      <c r="R332">
        <v>50</v>
      </c>
      <c r="S332">
        <v>50</v>
      </c>
      <c r="T332">
        <v>98</v>
      </c>
      <c r="U332" t="s">
        <v>48</v>
      </c>
      <c r="V332">
        <f t="shared" si="15"/>
        <v>6</v>
      </c>
      <c r="W332">
        <f t="shared" si="16"/>
        <v>0</v>
      </c>
      <c r="X332">
        <f t="shared" si="17"/>
        <v>0</v>
      </c>
      <c r="Y332">
        <v>90</v>
      </c>
      <c r="Z332">
        <v>176</v>
      </c>
      <c r="AA332" t="s">
        <v>1809</v>
      </c>
      <c r="AB332" t="s">
        <v>2513</v>
      </c>
      <c r="AC332" t="s">
        <v>94</v>
      </c>
      <c r="AD332">
        <v>4</v>
      </c>
      <c r="AE332">
        <v>45</v>
      </c>
      <c r="AF332" t="s">
        <v>57</v>
      </c>
      <c r="AH332" t="s">
        <v>313</v>
      </c>
      <c r="AI332">
        <v>153.38</v>
      </c>
      <c r="AJ332" t="s">
        <v>132</v>
      </c>
      <c r="AK332" t="s">
        <v>213</v>
      </c>
      <c r="AL332" t="s">
        <v>217</v>
      </c>
      <c r="AM332" t="s">
        <v>72</v>
      </c>
      <c r="AN332" s="1">
        <v>45640</v>
      </c>
      <c r="AO332">
        <v>2024</v>
      </c>
      <c r="AP332">
        <v>12</v>
      </c>
      <c r="AQ332" t="s">
        <v>116</v>
      </c>
      <c r="AS332" t="s">
        <v>85</v>
      </c>
      <c r="AT332">
        <v>2025</v>
      </c>
      <c r="AU332" t="s">
        <v>687</v>
      </c>
      <c r="AV332" t="s">
        <v>72</v>
      </c>
      <c r="AW332" t="s">
        <v>2512</v>
      </c>
      <c r="AX332">
        <v>2025</v>
      </c>
      <c r="AY332" t="s">
        <v>1809</v>
      </c>
      <c r="AZ332" t="s">
        <v>1809</v>
      </c>
    </row>
    <row r="333" spans="1:52" x14ac:dyDescent="0.25">
      <c r="A333" t="s">
        <v>2514</v>
      </c>
      <c r="B333" s="1">
        <v>41081</v>
      </c>
      <c r="C333" t="s">
        <v>2515</v>
      </c>
      <c r="D333">
        <v>464712</v>
      </c>
      <c r="E333" t="s">
        <v>46</v>
      </c>
      <c r="F333" t="s">
        <v>1330</v>
      </c>
      <c r="G333" t="s">
        <v>134</v>
      </c>
      <c r="H333" t="s">
        <v>2515</v>
      </c>
      <c r="I333" t="s">
        <v>287</v>
      </c>
      <c r="J333">
        <v>32</v>
      </c>
      <c r="K333">
        <v>34</v>
      </c>
      <c r="L333">
        <v>36</v>
      </c>
      <c r="M333">
        <v>36</v>
      </c>
      <c r="N333">
        <v>70</v>
      </c>
      <c r="O333" t="s">
        <v>48</v>
      </c>
      <c r="P333">
        <v>42</v>
      </c>
      <c r="Q333">
        <v>44</v>
      </c>
      <c r="R333">
        <v>46</v>
      </c>
      <c r="S333">
        <v>46</v>
      </c>
      <c r="T333">
        <v>90</v>
      </c>
      <c r="U333" t="s">
        <v>48</v>
      </c>
      <c r="V333">
        <f t="shared" si="15"/>
        <v>6</v>
      </c>
      <c r="W333">
        <f t="shared" si="16"/>
        <v>0</v>
      </c>
      <c r="X333">
        <f t="shared" si="17"/>
        <v>0</v>
      </c>
      <c r="Y333">
        <v>82</v>
      </c>
      <c r="Z333">
        <v>160</v>
      </c>
      <c r="AA333" t="s">
        <v>2517</v>
      </c>
      <c r="AB333" t="s">
        <v>2518</v>
      </c>
      <c r="AC333" t="s">
        <v>49</v>
      </c>
      <c r="AD333">
        <v>999</v>
      </c>
      <c r="AE333">
        <v>67</v>
      </c>
      <c r="AF333" t="s">
        <v>50</v>
      </c>
      <c r="AH333" t="s">
        <v>249</v>
      </c>
      <c r="AI333">
        <v>234.03</v>
      </c>
      <c r="AJ333" t="s">
        <v>52</v>
      </c>
      <c r="AK333" t="s">
        <v>1330</v>
      </c>
      <c r="AL333" t="s">
        <v>1333</v>
      </c>
      <c r="AM333" t="s">
        <v>53</v>
      </c>
      <c r="AN333" s="1">
        <v>45640</v>
      </c>
      <c r="AO333">
        <v>2024</v>
      </c>
      <c r="AP333">
        <v>12</v>
      </c>
      <c r="AQ333" t="s">
        <v>116</v>
      </c>
      <c r="AS333" t="s">
        <v>85</v>
      </c>
      <c r="AT333">
        <v>2025</v>
      </c>
      <c r="AU333" t="s">
        <v>134</v>
      </c>
      <c r="AV333" t="s">
        <v>54</v>
      </c>
      <c r="AW333" t="s">
        <v>2515</v>
      </c>
      <c r="AX333">
        <v>2025</v>
      </c>
      <c r="AY333" t="s">
        <v>2516</v>
      </c>
      <c r="AZ333" t="s">
        <v>2517</v>
      </c>
    </row>
    <row r="334" spans="1:52" x14ac:dyDescent="0.25">
      <c r="A334" t="s">
        <v>2519</v>
      </c>
      <c r="B334" s="1">
        <v>41822</v>
      </c>
      <c r="C334" t="s">
        <v>2520</v>
      </c>
      <c r="D334">
        <v>505308</v>
      </c>
      <c r="E334" t="s">
        <v>46</v>
      </c>
      <c r="F334" t="s">
        <v>1788</v>
      </c>
      <c r="G334" t="s">
        <v>258</v>
      </c>
      <c r="H334" t="s">
        <v>2520</v>
      </c>
      <c r="I334">
        <v>53</v>
      </c>
      <c r="J334">
        <v>15</v>
      </c>
      <c r="K334">
        <v>17</v>
      </c>
      <c r="L334">
        <v>-19</v>
      </c>
      <c r="M334">
        <v>17</v>
      </c>
      <c r="N334">
        <v>32</v>
      </c>
      <c r="O334" t="s">
        <v>60</v>
      </c>
      <c r="P334">
        <v>20</v>
      </c>
      <c r="Q334">
        <v>22</v>
      </c>
      <c r="R334">
        <v>24</v>
      </c>
      <c r="S334">
        <v>24</v>
      </c>
      <c r="T334">
        <v>46</v>
      </c>
      <c r="U334" t="s">
        <v>48</v>
      </c>
      <c r="V334">
        <f t="shared" si="15"/>
        <v>5</v>
      </c>
      <c r="W334">
        <f t="shared" si="16"/>
        <v>0</v>
      </c>
      <c r="X334">
        <f t="shared" si="17"/>
        <v>0</v>
      </c>
      <c r="Y334">
        <v>41</v>
      </c>
      <c r="Z334">
        <v>78</v>
      </c>
      <c r="AA334" t="s">
        <v>2521</v>
      </c>
      <c r="AB334" t="s">
        <v>2522</v>
      </c>
      <c r="AC334" t="s">
        <v>49</v>
      </c>
      <c r="AD334">
        <v>999</v>
      </c>
      <c r="AE334">
        <v>55</v>
      </c>
      <c r="AF334" t="s">
        <v>50</v>
      </c>
      <c r="AH334" t="s">
        <v>82</v>
      </c>
      <c r="AI334">
        <v>132.1</v>
      </c>
      <c r="AJ334" t="s">
        <v>52</v>
      </c>
      <c r="AK334" t="s">
        <v>1788</v>
      </c>
      <c r="AL334" t="s">
        <v>1791</v>
      </c>
      <c r="AM334" t="s">
        <v>128</v>
      </c>
      <c r="AN334" s="1">
        <v>45641</v>
      </c>
      <c r="AO334">
        <v>2024</v>
      </c>
      <c r="AP334">
        <v>12</v>
      </c>
      <c r="AQ334" t="s">
        <v>116</v>
      </c>
      <c r="AS334" t="s">
        <v>85</v>
      </c>
      <c r="AT334">
        <v>2025</v>
      </c>
      <c r="AU334" t="s">
        <v>258</v>
      </c>
      <c r="AV334" t="s">
        <v>128</v>
      </c>
      <c r="AW334" t="s">
        <v>2520</v>
      </c>
      <c r="AX334">
        <v>2025</v>
      </c>
      <c r="AY334" t="s">
        <v>2521</v>
      </c>
      <c r="AZ334" t="s">
        <v>2521</v>
      </c>
    </row>
    <row r="335" spans="1:52" x14ac:dyDescent="0.25">
      <c r="A335" t="s">
        <v>2523</v>
      </c>
      <c r="B335" s="1">
        <v>35279</v>
      </c>
      <c r="C335" t="s">
        <v>2524</v>
      </c>
      <c r="D335">
        <v>467750</v>
      </c>
      <c r="E335" t="s">
        <v>46</v>
      </c>
      <c r="F335" t="s">
        <v>810</v>
      </c>
      <c r="G335" t="s">
        <v>1489</v>
      </c>
      <c r="H335" t="s">
        <v>2524</v>
      </c>
      <c r="I335" t="s">
        <v>409</v>
      </c>
      <c r="J335">
        <v>100</v>
      </c>
      <c r="K335">
        <v>-110</v>
      </c>
      <c r="L335">
        <v>110</v>
      </c>
      <c r="M335">
        <v>110</v>
      </c>
      <c r="N335">
        <v>210</v>
      </c>
      <c r="O335" t="s">
        <v>65</v>
      </c>
      <c r="P335">
        <v>140</v>
      </c>
      <c r="Q335">
        <v>150</v>
      </c>
      <c r="R335">
        <v>-151</v>
      </c>
      <c r="S335">
        <v>150</v>
      </c>
      <c r="T335">
        <v>290</v>
      </c>
      <c r="U335" t="s">
        <v>60</v>
      </c>
      <c r="V335">
        <f t="shared" si="15"/>
        <v>4</v>
      </c>
      <c r="W335">
        <f t="shared" si="16"/>
        <v>0</v>
      </c>
      <c r="X335">
        <f t="shared" si="17"/>
        <v>0</v>
      </c>
      <c r="Y335">
        <v>260</v>
      </c>
      <c r="Z335">
        <v>500</v>
      </c>
      <c r="AA335" t="s">
        <v>2526</v>
      </c>
      <c r="AB335" t="s">
        <v>2527</v>
      </c>
      <c r="AC335" t="s">
        <v>89</v>
      </c>
      <c r="AD335">
        <v>5</v>
      </c>
      <c r="AE335">
        <v>89</v>
      </c>
      <c r="AF335" t="s">
        <v>126</v>
      </c>
      <c r="AH335" t="s">
        <v>155</v>
      </c>
      <c r="AI335">
        <v>314.62</v>
      </c>
      <c r="AJ335" t="s">
        <v>52</v>
      </c>
      <c r="AK335" t="s">
        <v>810</v>
      </c>
      <c r="AL335" t="s">
        <v>812</v>
      </c>
      <c r="AM335" t="s">
        <v>177</v>
      </c>
      <c r="AN335" s="1">
        <v>45640</v>
      </c>
      <c r="AO335">
        <v>2024</v>
      </c>
      <c r="AP335">
        <v>12</v>
      </c>
      <c r="AQ335" t="s">
        <v>116</v>
      </c>
      <c r="AS335" t="s">
        <v>85</v>
      </c>
      <c r="AT335">
        <v>2025</v>
      </c>
      <c r="AU335" t="s">
        <v>1489</v>
      </c>
      <c r="AV335" t="s">
        <v>177</v>
      </c>
      <c r="AW335" t="s">
        <v>2524</v>
      </c>
      <c r="AX335">
        <v>2025</v>
      </c>
      <c r="AY335" t="s">
        <v>2525</v>
      </c>
      <c r="AZ335" t="s">
        <v>2526</v>
      </c>
    </row>
    <row r="336" spans="1:52" x14ac:dyDescent="0.25">
      <c r="A336" t="s">
        <v>2530</v>
      </c>
      <c r="B336" s="1">
        <v>36085</v>
      </c>
      <c r="C336" t="s">
        <v>2531</v>
      </c>
      <c r="D336">
        <v>472751</v>
      </c>
      <c r="E336" t="s">
        <v>46</v>
      </c>
      <c r="F336" t="s">
        <v>948</v>
      </c>
      <c r="G336" t="s">
        <v>329</v>
      </c>
      <c r="H336" t="s">
        <v>2531</v>
      </c>
      <c r="I336" t="s">
        <v>683</v>
      </c>
      <c r="J336">
        <v>64</v>
      </c>
      <c r="K336">
        <v>67</v>
      </c>
      <c r="L336">
        <v>69</v>
      </c>
      <c r="M336">
        <v>69</v>
      </c>
      <c r="N336">
        <v>136</v>
      </c>
      <c r="O336" t="s">
        <v>48</v>
      </c>
      <c r="P336">
        <v>-79</v>
      </c>
      <c r="Q336">
        <v>79</v>
      </c>
      <c r="R336">
        <v>82</v>
      </c>
      <c r="S336">
        <v>82</v>
      </c>
      <c r="T336">
        <v>161</v>
      </c>
      <c r="U336" t="s">
        <v>63</v>
      </c>
      <c r="V336">
        <f t="shared" si="15"/>
        <v>5</v>
      </c>
      <c r="W336">
        <f t="shared" si="16"/>
        <v>0</v>
      </c>
      <c r="X336">
        <f t="shared" si="17"/>
        <v>0</v>
      </c>
      <c r="Y336">
        <v>151</v>
      </c>
      <c r="Z336">
        <v>297</v>
      </c>
      <c r="AA336" t="s">
        <v>2533</v>
      </c>
      <c r="AB336" t="s">
        <v>2534</v>
      </c>
      <c r="AC336" t="s">
        <v>94</v>
      </c>
      <c r="AD336">
        <v>4</v>
      </c>
      <c r="AE336">
        <v>55</v>
      </c>
      <c r="AF336" t="s">
        <v>126</v>
      </c>
      <c r="AH336" t="s">
        <v>197</v>
      </c>
      <c r="AI336">
        <v>217.67</v>
      </c>
      <c r="AJ336" t="s">
        <v>132</v>
      </c>
      <c r="AK336" t="s">
        <v>948</v>
      </c>
      <c r="AL336" t="s">
        <v>949</v>
      </c>
      <c r="AM336" t="s">
        <v>133</v>
      </c>
      <c r="AN336" s="1">
        <v>45640</v>
      </c>
      <c r="AO336">
        <v>2024</v>
      </c>
      <c r="AP336">
        <v>12</v>
      </c>
      <c r="AQ336" t="s">
        <v>116</v>
      </c>
      <c r="AS336" t="s">
        <v>85</v>
      </c>
      <c r="AT336">
        <v>2025</v>
      </c>
      <c r="AU336" t="s">
        <v>329</v>
      </c>
      <c r="AV336" t="s">
        <v>133</v>
      </c>
      <c r="AW336" t="s">
        <v>2531</v>
      </c>
      <c r="AX336">
        <v>2025</v>
      </c>
      <c r="AY336" t="s">
        <v>2532</v>
      </c>
      <c r="AZ336" t="s">
        <v>2533</v>
      </c>
    </row>
    <row r="337" spans="1:52" x14ac:dyDescent="0.25">
      <c r="A337" t="s">
        <v>2535</v>
      </c>
      <c r="B337" s="1">
        <v>33677</v>
      </c>
      <c r="C337" t="s">
        <v>2536</v>
      </c>
      <c r="D337">
        <v>403059</v>
      </c>
      <c r="E337" t="s">
        <v>46</v>
      </c>
      <c r="F337" t="s">
        <v>109</v>
      </c>
      <c r="G337" t="s">
        <v>1552</v>
      </c>
      <c r="H337" t="s">
        <v>2536</v>
      </c>
      <c r="I337">
        <v>64</v>
      </c>
      <c r="J337">
        <v>63</v>
      </c>
      <c r="K337">
        <v>66</v>
      </c>
      <c r="L337">
        <v>-68</v>
      </c>
      <c r="M337">
        <v>66</v>
      </c>
      <c r="N337">
        <v>129</v>
      </c>
      <c r="O337" t="s">
        <v>60</v>
      </c>
      <c r="P337">
        <v>81</v>
      </c>
      <c r="Q337">
        <v>0</v>
      </c>
      <c r="R337">
        <v>0</v>
      </c>
      <c r="S337">
        <v>81</v>
      </c>
      <c r="T337">
        <v>0</v>
      </c>
      <c r="U337" t="s">
        <v>55</v>
      </c>
      <c r="V337">
        <f t="shared" si="15"/>
        <v>3</v>
      </c>
      <c r="W337">
        <f t="shared" si="16"/>
        <v>0</v>
      </c>
      <c r="X337">
        <f t="shared" si="17"/>
        <v>0</v>
      </c>
      <c r="Y337">
        <v>147</v>
      </c>
      <c r="Z337">
        <v>129</v>
      </c>
      <c r="AA337" t="s">
        <v>1026</v>
      </c>
      <c r="AB337" t="s">
        <v>2538</v>
      </c>
      <c r="AC337" t="s">
        <v>89</v>
      </c>
      <c r="AD337">
        <v>5</v>
      </c>
      <c r="AE337">
        <v>64</v>
      </c>
      <c r="AF337" t="s">
        <v>126</v>
      </c>
      <c r="AH337" t="s">
        <v>167</v>
      </c>
      <c r="AI337">
        <v>191.14</v>
      </c>
      <c r="AJ337" t="s">
        <v>132</v>
      </c>
      <c r="AK337" t="s">
        <v>109</v>
      </c>
      <c r="AL337" t="s">
        <v>115</v>
      </c>
      <c r="AM337" t="s">
        <v>90</v>
      </c>
      <c r="AN337" s="1">
        <v>45639</v>
      </c>
      <c r="AO337">
        <v>2024</v>
      </c>
      <c r="AP337">
        <v>12</v>
      </c>
      <c r="AQ337" t="s">
        <v>116</v>
      </c>
      <c r="AS337" t="s">
        <v>85</v>
      </c>
      <c r="AT337">
        <v>2025</v>
      </c>
      <c r="AU337" t="s">
        <v>1552</v>
      </c>
      <c r="AV337" t="s">
        <v>91</v>
      </c>
      <c r="AW337" t="s">
        <v>2536</v>
      </c>
      <c r="AX337">
        <v>2025</v>
      </c>
      <c r="AY337" t="s">
        <v>2537</v>
      </c>
      <c r="AZ337" t="s">
        <v>2539</v>
      </c>
    </row>
    <row r="338" spans="1:52" x14ac:dyDescent="0.25">
      <c r="A338" t="s">
        <v>2542</v>
      </c>
      <c r="B338" s="1">
        <v>36537</v>
      </c>
      <c r="C338" t="s">
        <v>2543</v>
      </c>
      <c r="D338">
        <v>279998</v>
      </c>
      <c r="E338" t="s">
        <v>46</v>
      </c>
      <c r="F338" t="s">
        <v>588</v>
      </c>
      <c r="G338" t="s">
        <v>469</v>
      </c>
      <c r="H338" t="s">
        <v>2543</v>
      </c>
      <c r="I338">
        <v>80</v>
      </c>
      <c r="J338">
        <v>115</v>
      </c>
      <c r="K338">
        <v>120</v>
      </c>
      <c r="L338">
        <v>125</v>
      </c>
      <c r="M338">
        <v>125</v>
      </c>
      <c r="N338">
        <v>245</v>
      </c>
      <c r="O338" t="s">
        <v>48</v>
      </c>
      <c r="P338">
        <v>135</v>
      </c>
      <c r="Q338">
        <v>142</v>
      </c>
      <c r="R338">
        <v>-150</v>
      </c>
      <c r="S338">
        <v>142</v>
      </c>
      <c r="T338">
        <v>277</v>
      </c>
      <c r="U338" t="s">
        <v>60</v>
      </c>
      <c r="V338">
        <f t="shared" si="15"/>
        <v>5</v>
      </c>
      <c r="W338">
        <f t="shared" si="16"/>
        <v>0</v>
      </c>
      <c r="X338">
        <f t="shared" si="17"/>
        <v>0</v>
      </c>
      <c r="Y338">
        <v>267</v>
      </c>
      <c r="Z338">
        <v>522</v>
      </c>
      <c r="AA338" t="s">
        <v>1551</v>
      </c>
      <c r="AB338" t="s">
        <v>2544</v>
      </c>
      <c r="AC338" t="s">
        <v>89</v>
      </c>
      <c r="AD338">
        <v>5</v>
      </c>
      <c r="AE338">
        <v>81</v>
      </c>
      <c r="AF338" t="s">
        <v>126</v>
      </c>
      <c r="AH338" t="s">
        <v>138</v>
      </c>
      <c r="AI338">
        <v>341.18</v>
      </c>
      <c r="AJ338" t="s">
        <v>52</v>
      </c>
      <c r="AK338" t="s">
        <v>588</v>
      </c>
      <c r="AL338" t="s">
        <v>592</v>
      </c>
      <c r="AM338" t="s">
        <v>68</v>
      </c>
      <c r="AN338" s="1">
        <v>45640</v>
      </c>
      <c r="AO338">
        <v>2024</v>
      </c>
      <c r="AP338">
        <v>12</v>
      </c>
      <c r="AQ338" t="s">
        <v>116</v>
      </c>
      <c r="AS338" t="s">
        <v>85</v>
      </c>
      <c r="AT338">
        <v>2025</v>
      </c>
      <c r="AU338" t="s">
        <v>469</v>
      </c>
      <c r="AV338" t="s">
        <v>68</v>
      </c>
      <c r="AW338" t="s">
        <v>2543</v>
      </c>
      <c r="AX338">
        <v>2025</v>
      </c>
      <c r="AY338" t="s">
        <v>1551</v>
      </c>
      <c r="AZ338" t="s">
        <v>1551</v>
      </c>
    </row>
    <row r="339" spans="1:52" x14ac:dyDescent="0.25">
      <c r="A339" t="s">
        <v>2545</v>
      </c>
      <c r="B339" s="1">
        <v>34470</v>
      </c>
      <c r="C339" t="s">
        <v>2546</v>
      </c>
      <c r="D339">
        <v>396823</v>
      </c>
      <c r="E339" t="s">
        <v>46</v>
      </c>
      <c r="F339" t="s">
        <v>837</v>
      </c>
      <c r="G339" t="s">
        <v>660</v>
      </c>
      <c r="H339" t="s">
        <v>2546</v>
      </c>
      <c r="I339" t="s">
        <v>1052</v>
      </c>
      <c r="J339">
        <v>110</v>
      </c>
      <c r="K339">
        <v>-115</v>
      </c>
      <c r="L339">
        <v>116</v>
      </c>
      <c r="M339">
        <v>116</v>
      </c>
      <c r="N339">
        <v>226</v>
      </c>
      <c r="O339" t="s">
        <v>65</v>
      </c>
      <c r="P339">
        <v>150</v>
      </c>
      <c r="Q339">
        <v>154</v>
      </c>
      <c r="R339">
        <v>-158</v>
      </c>
      <c r="S339">
        <v>154</v>
      </c>
      <c r="T339">
        <v>304</v>
      </c>
      <c r="U339" t="s">
        <v>60</v>
      </c>
      <c r="V339">
        <f t="shared" si="15"/>
        <v>4</v>
      </c>
      <c r="W339">
        <f t="shared" si="16"/>
        <v>0</v>
      </c>
      <c r="X339">
        <f t="shared" si="17"/>
        <v>0</v>
      </c>
      <c r="Y339">
        <v>270</v>
      </c>
      <c r="Z339">
        <v>530</v>
      </c>
      <c r="AA339" t="s">
        <v>2548</v>
      </c>
      <c r="AB339" t="s">
        <v>2549</v>
      </c>
      <c r="AC339" t="s">
        <v>89</v>
      </c>
      <c r="AD339">
        <v>5</v>
      </c>
      <c r="AE339">
        <v>102</v>
      </c>
      <c r="AF339" t="s">
        <v>126</v>
      </c>
      <c r="AH339" t="s">
        <v>148</v>
      </c>
      <c r="AI339">
        <v>308.63</v>
      </c>
      <c r="AJ339" t="s">
        <v>52</v>
      </c>
      <c r="AK339" t="s">
        <v>837</v>
      </c>
      <c r="AL339" t="s">
        <v>840</v>
      </c>
      <c r="AM339" t="s">
        <v>173</v>
      </c>
      <c r="AN339" s="1">
        <v>45640</v>
      </c>
      <c r="AO339">
        <v>2024</v>
      </c>
      <c r="AP339">
        <v>12</v>
      </c>
      <c r="AQ339" t="s">
        <v>116</v>
      </c>
      <c r="AS339" t="s">
        <v>85</v>
      </c>
      <c r="AT339">
        <v>2025</v>
      </c>
      <c r="AU339" t="s">
        <v>660</v>
      </c>
      <c r="AV339" t="s">
        <v>173</v>
      </c>
      <c r="AW339" t="s">
        <v>2546</v>
      </c>
      <c r="AX339">
        <v>2025</v>
      </c>
      <c r="AY339" t="s">
        <v>2547</v>
      </c>
      <c r="AZ339" t="s">
        <v>2548</v>
      </c>
    </row>
    <row r="340" spans="1:52" x14ac:dyDescent="0.25">
      <c r="A340" t="s">
        <v>2696</v>
      </c>
      <c r="B340" s="1">
        <v>33594</v>
      </c>
      <c r="C340" t="s">
        <v>2697</v>
      </c>
      <c r="D340">
        <v>429358</v>
      </c>
      <c r="E340" t="s">
        <v>46</v>
      </c>
      <c r="F340" t="s">
        <v>837</v>
      </c>
      <c r="G340" t="s">
        <v>538</v>
      </c>
      <c r="H340" t="s">
        <v>2697</v>
      </c>
      <c r="I340" t="s">
        <v>243</v>
      </c>
      <c r="J340">
        <v>106</v>
      </c>
      <c r="K340">
        <v>111</v>
      </c>
      <c r="L340">
        <v>-115</v>
      </c>
      <c r="M340">
        <v>111</v>
      </c>
      <c r="N340">
        <v>217</v>
      </c>
      <c r="O340" t="s">
        <v>60</v>
      </c>
      <c r="P340">
        <v>137</v>
      </c>
      <c r="Q340">
        <v>142</v>
      </c>
      <c r="R340">
        <v>-149</v>
      </c>
      <c r="S340">
        <v>142</v>
      </c>
      <c r="T340">
        <v>279</v>
      </c>
      <c r="U340" t="s">
        <v>60</v>
      </c>
      <c r="V340">
        <f t="shared" si="15"/>
        <v>4</v>
      </c>
      <c r="W340">
        <f t="shared" si="16"/>
        <v>0</v>
      </c>
      <c r="X340">
        <f t="shared" si="17"/>
        <v>0</v>
      </c>
      <c r="Y340">
        <v>253</v>
      </c>
      <c r="Z340">
        <v>496</v>
      </c>
      <c r="AA340" t="s">
        <v>2699</v>
      </c>
      <c r="AB340" t="s">
        <v>2700</v>
      </c>
      <c r="AC340" t="s">
        <v>89</v>
      </c>
      <c r="AD340">
        <v>5</v>
      </c>
      <c r="AE340">
        <v>73</v>
      </c>
      <c r="AF340" t="s">
        <v>126</v>
      </c>
      <c r="AH340" t="s">
        <v>141</v>
      </c>
      <c r="AI340">
        <v>344.25</v>
      </c>
      <c r="AJ340" t="s">
        <v>52</v>
      </c>
      <c r="AK340" t="s">
        <v>837</v>
      </c>
      <c r="AL340" t="s">
        <v>840</v>
      </c>
      <c r="AM340" t="s">
        <v>173</v>
      </c>
      <c r="AN340" s="1">
        <v>45640</v>
      </c>
      <c r="AO340">
        <v>2024</v>
      </c>
      <c r="AP340">
        <v>12</v>
      </c>
      <c r="AQ340" t="s">
        <v>116</v>
      </c>
      <c r="AS340" t="s">
        <v>85</v>
      </c>
      <c r="AT340">
        <v>2025</v>
      </c>
      <c r="AU340" t="s">
        <v>538</v>
      </c>
      <c r="AV340" t="s">
        <v>173</v>
      </c>
      <c r="AW340" t="s">
        <v>2697</v>
      </c>
      <c r="AX340">
        <v>2025</v>
      </c>
      <c r="AY340" t="s">
        <v>2698</v>
      </c>
      <c r="AZ340" t="s">
        <v>2699</v>
      </c>
    </row>
    <row r="341" spans="1:52" x14ac:dyDescent="0.25">
      <c r="A341" t="s">
        <v>2551</v>
      </c>
      <c r="B341" s="1">
        <v>36513</v>
      </c>
      <c r="C341" t="s">
        <v>2552</v>
      </c>
      <c r="D341">
        <v>468186</v>
      </c>
      <c r="E341" t="s">
        <v>46</v>
      </c>
      <c r="F341" t="s">
        <v>948</v>
      </c>
      <c r="G341" t="s">
        <v>221</v>
      </c>
      <c r="H341" t="s">
        <v>2552</v>
      </c>
      <c r="I341" t="s">
        <v>2061</v>
      </c>
      <c r="J341">
        <v>62</v>
      </c>
      <c r="K341">
        <v>65</v>
      </c>
      <c r="L341">
        <v>-68</v>
      </c>
      <c r="M341">
        <v>65</v>
      </c>
      <c r="N341">
        <v>127</v>
      </c>
      <c r="O341" t="s">
        <v>60</v>
      </c>
      <c r="P341">
        <v>82</v>
      </c>
      <c r="Q341">
        <v>85</v>
      </c>
      <c r="R341">
        <v>-88</v>
      </c>
      <c r="S341">
        <v>85</v>
      </c>
      <c r="T341">
        <v>167</v>
      </c>
      <c r="U341" t="s">
        <v>60</v>
      </c>
      <c r="V341">
        <f t="shared" si="15"/>
        <v>4</v>
      </c>
      <c r="W341">
        <f t="shared" si="16"/>
        <v>0</v>
      </c>
      <c r="X341">
        <f t="shared" si="17"/>
        <v>0</v>
      </c>
      <c r="Y341">
        <v>150</v>
      </c>
      <c r="Z341">
        <v>294</v>
      </c>
      <c r="AA341" t="s">
        <v>2553</v>
      </c>
      <c r="AB341" t="s">
        <v>2554</v>
      </c>
      <c r="AC341" t="s">
        <v>89</v>
      </c>
      <c r="AD341">
        <v>5</v>
      </c>
      <c r="AE341">
        <v>64</v>
      </c>
      <c r="AF341" t="s">
        <v>126</v>
      </c>
      <c r="AH341" t="s">
        <v>167</v>
      </c>
      <c r="AI341">
        <v>197.27</v>
      </c>
      <c r="AJ341" t="s">
        <v>132</v>
      </c>
      <c r="AK341" t="s">
        <v>948</v>
      </c>
      <c r="AL341" t="s">
        <v>949</v>
      </c>
      <c r="AM341" t="s">
        <v>133</v>
      </c>
      <c r="AN341" s="1">
        <v>45640</v>
      </c>
      <c r="AO341">
        <v>2024</v>
      </c>
      <c r="AP341">
        <v>12</v>
      </c>
      <c r="AQ341" t="s">
        <v>116</v>
      </c>
      <c r="AS341" t="s">
        <v>85</v>
      </c>
      <c r="AT341">
        <v>2025</v>
      </c>
      <c r="AU341" t="s">
        <v>221</v>
      </c>
      <c r="AV341" t="s">
        <v>133</v>
      </c>
      <c r="AW341" t="s">
        <v>2552</v>
      </c>
      <c r="AX341">
        <v>2025</v>
      </c>
      <c r="AY341" t="s">
        <v>1542</v>
      </c>
      <c r="AZ341" t="s">
        <v>1542</v>
      </c>
    </row>
    <row r="342" spans="1:52" x14ac:dyDescent="0.25">
      <c r="A342" t="s">
        <v>2555</v>
      </c>
      <c r="B342" s="1">
        <v>37677</v>
      </c>
      <c r="C342" t="s">
        <v>2556</v>
      </c>
      <c r="D342">
        <v>363266</v>
      </c>
      <c r="E342" t="s">
        <v>46</v>
      </c>
      <c r="F342" t="s">
        <v>582</v>
      </c>
      <c r="G342" t="s">
        <v>506</v>
      </c>
      <c r="H342" t="s">
        <v>2556</v>
      </c>
      <c r="I342" t="s">
        <v>410</v>
      </c>
      <c r="J342">
        <v>126</v>
      </c>
      <c r="K342">
        <v>131</v>
      </c>
      <c r="L342">
        <v>136</v>
      </c>
      <c r="M342">
        <v>136</v>
      </c>
      <c r="N342">
        <v>267</v>
      </c>
      <c r="O342" t="s">
        <v>48</v>
      </c>
      <c r="P342">
        <v>151</v>
      </c>
      <c r="Q342">
        <v>-159</v>
      </c>
      <c r="R342">
        <v>161</v>
      </c>
      <c r="S342">
        <v>161</v>
      </c>
      <c r="T342">
        <v>312</v>
      </c>
      <c r="U342" t="s">
        <v>65</v>
      </c>
      <c r="V342">
        <f t="shared" si="15"/>
        <v>5</v>
      </c>
      <c r="W342">
        <f t="shared" si="16"/>
        <v>0</v>
      </c>
      <c r="X342">
        <f t="shared" si="17"/>
        <v>0</v>
      </c>
      <c r="Y342">
        <v>297</v>
      </c>
      <c r="Z342">
        <v>579</v>
      </c>
      <c r="AA342" t="s">
        <v>2558</v>
      </c>
      <c r="AB342" t="s">
        <v>2559</v>
      </c>
      <c r="AC342" t="s">
        <v>94</v>
      </c>
      <c r="AD342">
        <v>4</v>
      </c>
      <c r="AE342">
        <v>89</v>
      </c>
      <c r="AF342" t="s">
        <v>126</v>
      </c>
      <c r="AH342" t="s">
        <v>155</v>
      </c>
      <c r="AI342">
        <v>359.2</v>
      </c>
      <c r="AJ342" t="s">
        <v>52</v>
      </c>
      <c r="AK342" t="s">
        <v>582</v>
      </c>
      <c r="AL342" t="s">
        <v>585</v>
      </c>
      <c r="AM342" t="s">
        <v>170</v>
      </c>
      <c r="AN342" s="1">
        <v>45640</v>
      </c>
      <c r="AO342">
        <v>2024</v>
      </c>
      <c r="AP342">
        <v>12</v>
      </c>
      <c r="AQ342" t="s">
        <v>116</v>
      </c>
      <c r="AS342" t="s">
        <v>85</v>
      </c>
      <c r="AT342">
        <v>2025</v>
      </c>
      <c r="AU342" t="s">
        <v>506</v>
      </c>
      <c r="AV342" t="s">
        <v>170</v>
      </c>
      <c r="AW342" t="s">
        <v>2556</v>
      </c>
      <c r="AX342">
        <v>2025</v>
      </c>
      <c r="AY342" t="s">
        <v>2557</v>
      </c>
      <c r="AZ342" t="s">
        <v>2557</v>
      </c>
    </row>
    <row r="343" spans="1:52" x14ac:dyDescent="0.25">
      <c r="A343" t="s">
        <v>2560</v>
      </c>
      <c r="B343" s="1">
        <v>35066</v>
      </c>
      <c r="C343" t="s">
        <v>2561</v>
      </c>
      <c r="D343">
        <v>320289</v>
      </c>
      <c r="E343" t="s">
        <v>46</v>
      </c>
      <c r="F343" t="s">
        <v>1400</v>
      </c>
      <c r="G343" t="s">
        <v>124</v>
      </c>
      <c r="H343" t="s">
        <v>2561</v>
      </c>
      <c r="I343" t="s">
        <v>243</v>
      </c>
      <c r="J343">
        <v>115</v>
      </c>
      <c r="K343">
        <v>-125</v>
      </c>
      <c r="L343">
        <v>-125</v>
      </c>
      <c r="M343">
        <v>115</v>
      </c>
      <c r="N343">
        <v>0</v>
      </c>
      <c r="O343" t="s">
        <v>55</v>
      </c>
      <c r="P343">
        <v>147</v>
      </c>
      <c r="Q343">
        <v>0</v>
      </c>
      <c r="R343">
        <v>0</v>
      </c>
      <c r="S343">
        <v>147</v>
      </c>
      <c r="T343">
        <v>0</v>
      </c>
      <c r="U343" t="s">
        <v>55</v>
      </c>
      <c r="V343">
        <f t="shared" si="15"/>
        <v>2</v>
      </c>
      <c r="W343">
        <f t="shared" si="16"/>
        <v>0</v>
      </c>
      <c r="X343">
        <f t="shared" si="17"/>
        <v>0</v>
      </c>
      <c r="Y343">
        <v>262</v>
      </c>
      <c r="Z343">
        <v>0</v>
      </c>
      <c r="AA343" t="s">
        <v>2563</v>
      </c>
      <c r="AB343" t="s">
        <v>99</v>
      </c>
      <c r="AC343" t="s">
        <v>94</v>
      </c>
      <c r="AD343">
        <v>4</v>
      </c>
      <c r="AE343">
        <v>73</v>
      </c>
      <c r="AF343" t="s">
        <v>126</v>
      </c>
      <c r="AH343" t="s">
        <v>141</v>
      </c>
      <c r="AI343">
        <v>356.5</v>
      </c>
      <c r="AJ343" t="s">
        <v>52</v>
      </c>
      <c r="AK343" t="s">
        <v>1400</v>
      </c>
      <c r="AL343" t="s">
        <v>1402</v>
      </c>
      <c r="AM343" t="s">
        <v>128</v>
      </c>
      <c r="AN343" s="1">
        <v>45640</v>
      </c>
      <c r="AO343">
        <v>2024</v>
      </c>
      <c r="AP343">
        <v>12</v>
      </c>
      <c r="AQ343" t="s">
        <v>116</v>
      </c>
      <c r="AS343" t="s">
        <v>85</v>
      </c>
      <c r="AT343">
        <v>2025</v>
      </c>
      <c r="AU343" t="s">
        <v>124</v>
      </c>
      <c r="AV343" t="s">
        <v>128</v>
      </c>
      <c r="AW343" t="s">
        <v>2561</v>
      </c>
      <c r="AX343">
        <v>2025</v>
      </c>
      <c r="AY343" t="s">
        <v>2562</v>
      </c>
      <c r="AZ343" t="s">
        <v>2564</v>
      </c>
    </row>
    <row r="344" spans="1:52" x14ac:dyDescent="0.25">
      <c r="A344" t="s">
        <v>2565</v>
      </c>
      <c r="B344" s="1">
        <v>35814</v>
      </c>
      <c r="C344" t="s">
        <v>2566</v>
      </c>
      <c r="D344">
        <v>259204</v>
      </c>
      <c r="E344" t="s">
        <v>46</v>
      </c>
      <c r="F344" t="s">
        <v>492</v>
      </c>
      <c r="G344" t="s">
        <v>2286</v>
      </c>
      <c r="H344" t="s">
        <v>2566</v>
      </c>
      <c r="I344" t="s">
        <v>557</v>
      </c>
      <c r="J344">
        <v>90</v>
      </c>
      <c r="K344">
        <v>-95</v>
      </c>
      <c r="L344">
        <v>-100</v>
      </c>
      <c r="M344">
        <v>90</v>
      </c>
      <c r="N344">
        <v>0</v>
      </c>
      <c r="O344" t="s">
        <v>55</v>
      </c>
      <c r="P344">
        <v>110</v>
      </c>
      <c r="Q344">
        <v>-120</v>
      </c>
      <c r="R344">
        <v>-130</v>
      </c>
      <c r="S344">
        <v>110</v>
      </c>
      <c r="T344">
        <v>0</v>
      </c>
      <c r="U344" t="s">
        <v>55</v>
      </c>
      <c r="V344">
        <f t="shared" si="15"/>
        <v>2</v>
      </c>
      <c r="W344">
        <f t="shared" si="16"/>
        <v>0</v>
      </c>
      <c r="X344">
        <f t="shared" si="17"/>
        <v>0</v>
      </c>
      <c r="Y344">
        <v>200</v>
      </c>
      <c r="Z344">
        <v>0</v>
      </c>
      <c r="AA344" t="s">
        <v>2568</v>
      </c>
      <c r="AB344" t="s">
        <v>99</v>
      </c>
      <c r="AC344" t="s">
        <v>64</v>
      </c>
      <c r="AD344">
        <v>7</v>
      </c>
      <c r="AE344">
        <v>73</v>
      </c>
      <c r="AF344" t="s">
        <v>126</v>
      </c>
      <c r="AH344" t="s">
        <v>141</v>
      </c>
      <c r="AI344">
        <v>270.97000000000003</v>
      </c>
      <c r="AJ344" t="s">
        <v>52</v>
      </c>
      <c r="AK344" t="s">
        <v>492</v>
      </c>
      <c r="AL344" t="s">
        <v>494</v>
      </c>
      <c r="AM344" t="s">
        <v>90</v>
      </c>
      <c r="AN344" s="1">
        <v>45640</v>
      </c>
      <c r="AO344">
        <v>2024</v>
      </c>
      <c r="AP344">
        <v>12</v>
      </c>
      <c r="AQ344" t="s">
        <v>116</v>
      </c>
      <c r="AS344" t="s">
        <v>85</v>
      </c>
      <c r="AT344">
        <v>2025</v>
      </c>
      <c r="AU344" t="s">
        <v>2286</v>
      </c>
      <c r="AV344" t="s">
        <v>91</v>
      </c>
      <c r="AW344" t="s">
        <v>2566</v>
      </c>
      <c r="AX344">
        <v>2025</v>
      </c>
      <c r="AY344" t="s">
        <v>2567</v>
      </c>
      <c r="AZ344" t="s">
        <v>2567</v>
      </c>
    </row>
    <row r="345" spans="1:52" x14ac:dyDescent="0.25">
      <c r="A345" t="s">
        <v>2569</v>
      </c>
      <c r="B345" s="1">
        <v>36101</v>
      </c>
      <c r="C345" t="s">
        <v>2570</v>
      </c>
      <c r="D345">
        <v>469804</v>
      </c>
      <c r="E345" t="s">
        <v>46</v>
      </c>
      <c r="F345" t="s">
        <v>2477</v>
      </c>
      <c r="G345" t="s">
        <v>142</v>
      </c>
      <c r="H345" t="s">
        <v>2570</v>
      </c>
      <c r="I345" t="s">
        <v>539</v>
      </c>
      <c r="J345">
        <v>53</v>
      </c>
      <c r="K345">
        <v>55</v>
      </c>
      <c r="L345">
        <v>57</v>
      </c>
      <c r="M345">
        <v>57</v>
      </c>
      <c r="N345">
        <v>112</v>
      </c>
      <c r="O345" t="s">
        <v>48</v>
      </c>
      <c r="P345">
        <v>70</v>
      </c>
      <c r="Q345">
        <v>73</v>
      </c>
      <c r="R345">
        <v>76</v>
      </c>
      <c r="S345">
        <v>76</v>
      </c>
      <c r="T345">
        <v>149</v>
      </c>
      <c r="U345" t="s">
        <v>48</v>
      </c>
      <c r="V345">
        <f t="shared" si="15"/>
        <v>6</v>
      </c>
      <c r="W345">
        <f t="shared" si="16"/>
        <v>0</v>
      </c>
      <c r="X345">
        <f t="shared" si="17"/>
        <v>0</v>
      </c>
      <c r="Y345">
        <v>133</v>
      </c>
      <c r="Z345">
        <v>261</v>
      </c>
      <c r="AA345" t="s">
        <v>2572</v>
      </c>
      <c r="AB345" t="s">
        <v>2573</v>
      </c>
      <c r="AC345" t="s">
        <v>93</v>
      </c>
      <c r="AD345">
        <v>6</v>
      </c>
      <c r="AE345">
        <v>71</v>
      </c>
      <c r="AF345" t="s">
        <v>126</v>
      </c>
      <c r="AH345" t="s">
        <v>226</v>
      </c>
      <c r="AI345">
        <v>167.8</v>
      </c>
      <c r="AJ345" t="s">
        <v>132</v>
      </c>
      <c r="AK345" t="s">
        <v>2477</v>
      </c>
      <c r="AL345" t="s">
        <v>2478</v>
      </c>
      <c r="AM345" t="s">
        <v>143</v>
      </c>
      <c r="AN345" s="1">
        <v>45640</v>
      </c>
      <c r="AO345">
        <v>2024</v>
      </c>
      <c r="AP345">
        <v>12</v>
      </c>
      <c r="AQ345" t="s">
        <v>116</v>
      </c>
      <c r="AS345" t="s">
        <v>85</v>
      </c>
      <c r="AT345">
        <v>2025</v>
      </c>
      <c r="AU345" t="s">
        <v>142</v>
      </c>
      <c r="AV345" t="s">
        <v>143</v>
      </c>
      <c r="AW345" t="s">
        <v>2570</v>
      </c>
      <c r="AX345">
        <v>2025</v>
      </c>
      <c r="AY345" t="s">
        <v>2571</v>
      </c>
      <c r="AZ345" t="s">
        <v>2572</v>
      </c>
    </row>
    <row r="346" spans="1:52" x14ac:dyDescent="0.25">
      <c r="A346" t="s">
        <v>2574</v>
      </c>
      <c r="B346" s="1">
        <v>34402</v>
      </c>
      <c r="C346" t="s">
        <v>2575</v>
      </c>
      <c r="D346">
        <v>498165</v>
      </c>
      <c r="E346" t="s">
        <v>46</v>
      </c>
      <c r="F346" t="s">
        <v>693</v>
      </c>
      <c r="G346" t="s">
        <v>1004</v>
      </c>
      <c r="H346" t="s">
        <v>2575</v>
      </c>
      <c r="I346">
        <v>68</v>
      </c>
      <c r="J346">
        <v>60</v>
      </c>
      <c r="K346">
        <v>-63</v>
      </c>
      <c r="L346">
        <v>63</v>
      </c>
      <c r="M346">
        <v>63</v>
      </c>
      <c r="N346">
        <v>123</v>
      </c>
      <c r="O346" t="s">
        <v>65</v>
      </c>
      <c r="P346">
        <v>-70</v>
      </c>
      <c r="Q346">
        <v>-70</v>
      </c>
      <c r="R346">
        <v>70</v>
      </c>
      <c r="S346">
        <v>70</v>
      </c>
      <c r="T346">
        <v>0</v>
      </c>
      <c r="U346" t="s">
        <v>102</v>
      </c>
      <c r="V346">
        <f t="shared" si="15"/>
        <v>3</v>
      </c>
      <c r="W346">
        <f t="shared" si="16"/>
        <v>1</v>
      </c>
      <c r="X346">
        <f t="shared" si="17"/>
        <v>0</v>
      </c>
      <c r="Y346">
        <v>133</v>
      </c>
      <c r="Z346">
        <v>123</v>
      </c>
      <c r="AA346" t="s">
        <v>2576</v>
      </c>
      <c r="AB346" t="s">
        <v>2577</v>
      </c>
      <c r="AC346" t="s">
        <v>93</v>
      </c>
      <c r="AD346">
        <v>6</v>
      </c>
      <c r="AE346">
        <v>71</v>
      </c>
      <c r="AF346" t="s">
        <v>126</v>
      </c>
      <c r="AH346" t="s">
        <v>226</v>
      </c>
      <c r="AI346">
        <v>166.97</v>
      </c>
      <c r="AJ346" t="s">
        <v>132</v>
      </c>
      <c r="AK346" t="s">
        <v>693</v>
      </c>
      <c r="AL346" t="s">
        <v>696</v>
      </c>
      <c r="AM346" t="s">
        <v>139</v>
      </c>
      <c r="AN346" s="1">
        <v>45641</v>
      </c>
      <c r="AO346">
        <v>2024</v>
      </c>
      <c r="AP346">
        <v>12</v>
      </c>
      <c r="AQ346" t="s">
        <v>116</v>
      </c>
      <c r="AS346" t="s">
        <v>85</v>
      </c>
      <c r="AT346">
        <v>2025</v>
      </c>
      <c r="AU346" t="s">
        <v>1004</v>
      </c>
      <c r="AV346" t="s">
        <v>140</v>
      </c>
      <c r="AW346" t="s">
        <v>2575</v>
      </c>
      <c r="AX346">
        <v>2025</v>
      </c>
      <c r="AY346" t="s">
        <v>2576</v>
      </c>
      <c r="AZ346" t="s">
        <v>2576</v>
      </c>
    </row>
    <row r="347" spans="1:52" x14ac:dyDescent="0.25">
      <c r="A347" t="s">
        <v>2578</v>
      </c>
      <c r="B347" s="1">
        <v>33646</v>
      </c>
      <c r="C347" t="s">
        <v>2579</v>
      </c>
      <c r="D347">
        <v>443134</v>
      </c>
      <c r="E347" t="s">
        <v>46</v>
      </c>
      <c r="F347" t="s">
        <v>1737</v>
      </c>
      <c r="G347" t="s">
        <v>329</v>
      </c>
      <c r="H347" t="s">
        <v>2579</v>
      </c>
      <c r="I347" t="s">
        <v>2581</v>
      </c>
      <c r="J347">
        <v>-107</v>
      </c>
      <c r="K347">
        <v>110</v>
      </c>
      <c r="L347">
        <v>114</v>
      </c>
      <c r="M347">
        <v>114</v>
      </c>
      <c r="N347">
        <v>224</v>
      </c>
      <c r="O347" t="s">
        <v>63</v>
      </c>
      <c r="P347">
        <v>146</v>
      </c>
      <c r="Q347">
        <v>151</v>
      </c>
      <c r="R347">
        <v>0</v>
      </c>
      <c r="S347">
        <v>151</v>
      </c>
      <c r="T347">
        <v>297</v>
      </c>
      <c r="U347" t="s">
        <v>60</v>
      </c>
      <c r="V347">
        <f t="shared" si="15"/>
        <v>4</v>
      </c>
      <c r="W347">
        <f t="shared" si="16"/>
        <v>0</v>
      </c>
      <c r="X347">
        <f t="shared" si="17"/>
        <v>0</v>
      </c>
      <c r="Y347">
        <v>265</v>
      </c>
      <c r="Z347">
        <v>521</v>
      </c>
      <c r="AA347" t="s">
        <v>2582</v>
      </c>
      <c r="AB347" t="s">
        <v>2583</v>
      </c>
      <c r="AC347" t="s">
        <v>89</v>
      </c>
      <c r="AD347">
        <v>5</v>
      </c>
      <c r="AE347">
        <v>96</v>
      </c>
      <c r="AF347" t="s">
        <v>126</v>
      </c>
      <c r="AH347" t="s">
        <v>222</v>
      </c>
      <c r="AI347">
        <v>311.85000000000002</v>
      </c>
      <c r="AJ347" t="s">
        <v>52</v>
      </c>
      <c r="AK347" t="s">
        <v>1737</v>
      </c>
      <c r="AL347" t="s">
        <v>1739</v>
      </c>
      <c r="AM347" t="s">
        <v>133</v>
      </c>
      <c r="AN347" s="1">
        <v>45640</v>
      </c>
      <c r="AO347">
        <v>2024</v>
      </c>
      <c r="AP347">
        <v>12</v>
      </c>
      <c r="AQ347" t="s">
        <v>116</v>
      </c>
      <c r="AS347" t="s">
        <v>85</v>
      </c>
      <c r="AT347">
        <v>2025</v>
      </c>
      <c r="AU347" t="s">
        <v>329</v>
      </c>
      <c r="AV347" t="s">
        <v>133</v>
      </c>
      <c r="AW347" t="s">
        <v>2579</v>
      </c>
      <c r="AX347">
        <v>2025</v>
      </c>
      <c r="AY347" t="s">
        <v>2580</v>
      </c>
      <c r="AZ347" t="s">
        <v>2582</v>
      </c>
    </row>
    <row r="348" spans="1:52" x14ac:dyDescent="0.25">
      <c r="A348" t="s">
        <v>2594</v>
      </c>
      <c r="B348" s="1">
        <v>35221</v>
      </c>
      <c r="C348" t="s">
        <v>2595</v>
      </c>
      <c r="D348">
        <v>466179</v>
      </c>
      <c r="E348" t="s">
        <v>46</v>
      </c>
      <c r="F348" t="s">
        <v>109</v>
      </c>
      <c r="G348" t="s">
        <v>161</v>
      </c>
      <c r="H348" t="s">
        <v>2595</v>
      </c>
      <c r="I348" t="s">
        <v>321</v>
      </c>
      <c r="J348">
        <v>-120</v>
      </c>
      <c r="K348">
        <v>120</v>
      </c>
      <c r="L348">
        <v>-125</v>
      </c>
      <c r="M348">
        <v>120</v>
      </c>
      <c r="N348">
        <v>0</v>
      </c>
      <c r="O348" t="s">
        <v>104</v>
      </c>
      <c r="P348">
        <v>140</v>
      </c>
      <c r="Q348">
        <v>-150</v>
      </c>
      <c r="R348">
        <v>-155</v>
      </c>
      <c r="S348">
        <v>140</v>
      </c>
      <c r="T348">
        <v>0</v>
      </c>
      <c r="U348" t="s">
        <v>55</v>
      </c>
      <c r="V348">
        <f t="shared" si="15"/>
        <v>2</v>
      </c>
      <c r="W348">
        <f t="shared" si="16"/>
        <v>0</v>
      </c>
      <c r="X348">
        <f t="shared" si="17"/>
        <v>0</v>
      </c>
      <c r="Y348">
        <v>260</v>
      </c>
      <c r="Z348">
        <v>0</v>
      </c>
      <c r="AA348" t="s">
        <v>2598</v>
      </c>
      <c r="AB348" t="s">
        <v>99</v>
      </c>
      <c r="AC348" t="s">
        <v>89</v>
      </c>
      <c r="AD348">
        <v>5</v>
      </c>
      <c r="AE348">
        <v>81</v>
      </c>
      <c r="AF348" t="s">
        <v>126</v>
      </c>
      <c r="AH348" t="s">
        <v>138</v>
      </c>
      <c r="AI348">
        <v>332.01</v>
      </c>
      <c r="AJ348" t="s">
        <v>52</v>
      </c>
      <c r="AK348" t="s">
        <v>109</v>
      </c>
      <c r="AL348" t="s">
        <v>115</v>
      </c>
      <c r="AM348" t="s">
        <v>90</v>
      </c>
      <c r="AN348" s="1">
        <v>45639</v>
      </c>
      <c r="AO348">
        <v>2024</v>
      </c>
      <c r="AP348">
        <v>12</v>
      </c>
      <c r="AQ348" t="s">
        <v>116</v>
      </c>
      <c r="AS348" t="s">
        <v>85</v>
      </c>
      <c r="AT348">
        <v>2025</v>
      </c>
      <c r="AU348" t="s">
        <v>161</v>
      </c>
      <c r="AV348" t="s">
        <v>128</v>
      </c>
      <c r="AW348" t="s">
        <v>2595</v>
      </c>
      <c r="AX348">
        <v>2025</v>
      </c>
      <c r="AY348" t="s">
        <v>2596</v>
      </c>
      <c r="AZ348" t="s">
        <v>2597</v>
      </c>
    </row>
    <row r="349" spans="1:52" x14ac:dyDescent="0.25">
      <c r="A349" t="s">
        <v>2599</v>
      </c>
      <c r="B349" s="1">
        <v>40257</v>
      </c>
      <c r="C349" t="s">
        <v>2600</v>
      </c>
      <c r="D349">
        <v>497821</v>
      </c>
      <c r="E349" t="s">
        <v>945</v>
      </c>
      <c r="F349" t="s">
        <v>492</v>
      </c>
      <c r="G349" t="s">
        <v>1258</v>
      </c>
      <c r="H349" t="s">
        <v>2600</v>
      </c>
      <c r="I349" t="s">
        <v>609</v>
      </c>
      <c r="J349">
        <v>55</v>
      </c>
      <c r="K349">
        <v>58</v>
      </c>
      <c r="L349">
        <v>61</v>
      </c>
      <c r="M349">
        <v>61</v>
      </c>
      <c r="N349">
        <v>119</v>
      </c>
      <c r="O349" t="s">
        <v>48</v>
      </c>
      <c r="P349">
        <v>-69</v>
      </c>
      <c r="Q349">
        <v>69</v>
      </c>
      <c r="R349">
        <v>-75</v>
      </c>
      <c r="S349">
        <v>69</v>
      </c>
      <c r="T349">
        <v>0</v>
      </c>
      <c r="U349" t="s">
        <v>104</v>
      </c>
      <c r="V349">
        <f t="shared" si="15"/>
        <v>4</v>
      </c>
      <c r="W349">
        <f t="shared" si="16"/>
        <v>0</v>
      </c>
      <c r="X349">
        <f t="shared" si="17"/>
        <v>0</v>
      </c>
      <c r="Y349">
        <v>130</v>
      </c>
      <c r="Z349">
        <v>119</v>
      </c>
      <c r="AA349" t="s">
        <v>2601</v>
      </c>
      <c r="AB349" t="s">
        <v>2602</v>
      </c>
      <c r="AC349" t="s">
        <v>89</v>
      </c>
      <c r="AD349">
        <v>5</v>
      </c>
      <c r="AE349">
        <v>61</v>
      </c>
      <c r="AF349" t="s">
        <v>57</v>
      </c>
      <c r="AH349" t="s">
        <v>73</v>
      </c>
      <c r="AI349">
        <v>199.26</v>
      </c>
      <c r="AJ349" t="s">
        <v>52</v>
      </c>
      <c r="AK349" t="s">
        <v>492</v>
      </c>
      <c r="AL349" t="s">
        <v>494</v>
      </c>
      <c r="AM349" t="s">
        <v>90</v>
      </c>
      <c r="AN349" s="1">
        <v>45640</v>
      </c>
      <c r="AO349">
        <v>2024</v>
      </c>
      <c r="AP349">
        <v>12</v>
      </c>
      <c r="AQ349" t="s">
        <v>116</v>
      </c>
      <c r="AS349" t="s">
        <v>85</v>
      </c>
      <c r="AT349">
        <v>2025</v>
      </c>
      <c r="AU349" t="s">
        <v>1258</v>
      </c>
      <c r="AV349" t="s">
        <v>91</v>
      </c>
      <c r="AW349" t="s">
        <v>2600</v>
      </c>
      <c r="AX349">
        <v>2025</v>
      </c>
      <c r="AY349" t="s">
        <v>2601</v>
      </c>
      <c r="AZ349" t="s">
        <v>2601</v>
      </c>
    </row>
    <row r="350" spans="1:52" x14ac:dyDescent="0.25">
      <c r="A350" t="s">
        <v>2584</v>
      </c>
      <c r="B350" s="1">
        <v>32310</v>
      </c>
      <c r="C350" t="s">
        <v>2585</v>
      </c>
      <c r="D350">
        <v>461379</v>
      </c>
      <c r="E350" t="s">
        <v>46</v>
      </c>
      <c r="F350" t="s">
        <v>948</v>
      </c>
      <c r="G350" t="s">
        <v>221</v>
      </c>
      <c r="H350" t="s">
        <v>2585</v>
      </c>
      <c r="I350" t="s">
        <v>1664</v>
      </c>
      <c r="J350">
        <v>58</v>
      </c>
      <c r="K350">
        <v>-62</v>
      </c>
      <c r="L350">
        <v>62</v>
      </c>
      <c r="M350">
        <v>62</v>
      </c>
      <c r="N350">
        <v>120</v>
      </c>
      <c r="O350" t="s">
        <v>65</v>
      </c>
      <c r="P350">
        <v>-75</v>
      </c>
      <c r="Q350">
        <v>77</v>
      </c>
      <c r="R350">
        <v>-80</v>
      </c>
      <c r="S350">
        <v>77</v>
      </c>
      <c r="T350">
        <v>0</v>
      </c>
      <c r="U350" t="s">
        <v>104</v>
      </c>
      <c r="V350">
        <f t="shared" si="15"/>
        <v>3</v>
      </c>
      <c r="W350">
        <f t="shared" si="16"/>
        <v>0</v>
      </c>
      <c r="X350">
        <f t="shared" si="17"/>
        <v>0</v>
      </c>
      <c r="Y350">
        <v>139</v>
      </c>
      <c r="Z350">
        <v>120</v>
      </c>
      <c r="AA350" t="s">
        <v>2587</v>
      </c>
      <c r="AB350" t="s">
        <v>2588</v>
      </c>
      <c r="AC350" t="s">
        <v>89</v>
      </c>
      <c r="AD350">
        <v>5</v>
      </c>
      <c r="AE350">
        <v>55</v>
      </c>
      <c r="AF350" t="s">
        <v>126</v>
      </c>
      <c r="AG350">
        <v>35</v>
      </c>
      <c r="AH350" t="s">
        <v>197</v>
      </c>
      <c r="AI350">
        <v>212.17</v>
      </c>
      <c r="AJ350" t="s">
        <v>132</v>
      </c>
      <c r="AK350" t="s">
        <v>948</v>
      </c>
      <c r="AL350" t="s">
        <v>949</v>
      </c>
      <c r="AM350" t="s">
        <v>133</v>
      </c>
      <c r="AN350" s="1">
        <v>45640</v>
      </c>
      <c r="AO350">
        <v>2024</v>
      </c>
      <c r="AP350">
        <v>12</v>
      </c>
      <c r="AQ350" t="s">
        <v>116</v>
      </c>
      <c r="AS350" t="s">
        <v>85</v>
      </c>
      <c r="AT350">
        <v>2025</v>
      </c>
      <c r="AU350" t="s">
        <v>221</v>
      </c>
      <c r="AV350" t="s">
        <v>133</v>
      </c>
      <c r="AW350" t="s">
        <v>2585</v>
      </c>
      <c r="AX350">
        <v>2025</v>
      </c>
      <c r="AY350" t="s">
        <v>2586</v>
      </c>
      <c r="AZ350" t="s">
        <v>2587</v>
      </c>
    </row>
    <row r="351" spans="1:52" x14ac:dyDescent="0.25">
      <c r="A351" t="s">
        <v>2589</v>
      </c>
      <c r="B351" s="1">
        <v>31891</v>
      </c>
      <c r="C351" t="s">
        <v>2590</v>
      </c>
      <c r="D351">
        <v>477118</v>
      </c>
      <c r="E351" t="s">
        <v>46</v>
      </c>
      <c r="F351" t="s">
        <v>859</v>
      </c>
      <c r="G351" t="s">
        <v>120</v>
      </c>
      <c r="H351" t="s">
        <v>2590</v>
      </c>
      <c r="I351" t="s">
        <v>237</v>
      </c>
      <c r="J351">
        <v>55</v>
      </c>
      <c r="K351">
        <v>58</v>
      </c>
      <c r="L351">
        <v>-60</v>
      </c>
      <c r="M351">
        <v>58</v>
      </c>
      <c r="N351">
        <v>113</v>
      </c>
      <c r="O351" t="s">
        <v>60</v>
      </c>
      <c r="P351">
        <v>75</v>
      </c>
      <c r="Q351">
        <v>-80</v>
      </c>
      <c r="R351">
        <v>-80</v>
      </c>
      <c r="S351">
        <v>75</v>
      </c>
      <c r="T351">
        <v>0</v>
      </c>
      <c r="U351" t="s">
        <v>55</v>
      </c>
      <c r="V351">
        <f t="shared" si="15"/>
        <v>3</v>
      </c>
      <c r="W351">
        <f t="shared" si="16"/>
        <v>0</v>
      </c>
      <c r="X351">
        <f t="shared" si="17"/>
        <v>0</v>
      </c>
      <c r="Y351">
        <v>133</v>
      </c>
      <c r="Z351">
        <v>113</v>
      </c>
      <c r="AA351" t="s">
        <v>2592</v>
      </c>
      <c r="AB351" t="s">
        <v>2593</v>
      </c>
      <c r="AC351" t="s">
        <v>93</v>
      </c>
      <c r="AD351">
        <v>6</v>
      </c>
      <c r="AE351">
        <v>71</v>
      </c>
      <c r="AF351" t="s">
        <v>126</v>
      </c>
      <c r="AG351">
        <v>35</v>
      </c>
      <c r="AH351" t="s">
        <v>226</v>
      </c>
      <c r="AI351">
        <v>163.47</v>
      </c>
      <c r="AJ351" t="s">
        <v>132</v>
      </c>
      <c r="AK351" t="s">
        <v>859</v>
      </c>
      <c r="AL351" t="s">
        <v>862</v>
      </c>
      <c r="AM351" t="s">
        <v>123</v>
      </c>
      <c r="AN351" s="1">
        <v>45640</v>
      </c>
      <c r="AO351">
        <v>2024</v>
      </c>
      <c r="AP351">
        <v>12</v>
      </c>
      <c r="AQ351" t="s">
        <v>116</v>
      </c>
      <c r="AS351" t="s">
        <v>85</v>
      </c>
      <c r="AT351">
        <v>2025</v>
      </c>
      <c r="AU351" t="s">
        <v>120</v>
      </c>
      <c r="AV351" t="s">
        <v>123</v>
      </c>
      <c r="AW351" t="s">
        <v>2590</v>
      </c>
      <c r="AX351">
        <v>2025</v>
      </c>
      <c r="AY351" t="s">
        <v>2591</v>
      </c>
      <c r="AZ351" t="s">
        <v>2592</v>
      </c>
    </row>
    <row r="352" spans="1:52" x14ac:dyDescent="0.25">
      <c r="A352" t="s">
        <v>2603</v>
      </c>
      <c r="B352" s="1">
        <v>36091</v>
      </c>
      <c r="C352" t="s">
        <v>2604</v>
      </c>
      <c r="D352">
        <v>403316</v>
      </c>
      <c r="E352" t="s">
        <v>46</v>
      </c>
      <c r="F352" t="s">
        <v>582</v>
      </c>
      <c r="G352" t="s">
        <v>386</v>
      </c>
      <c r="H352" t="s">
        <v>2604</v>
      </c>
      <c r="I352" t="s">
        <v>403</v>
      </c>
      <c r="J352">
        <v>105</v>
      </c>
      <c r="K352">
        <v>-110</v>
      </c>
      <c r="L352">
        <v>112</v>
      </c>
      <c r="M352">
        <v>112</v>
      </c>
      <c r="N352">
        <v>217</v>
      </c>
      <c r="O352" t="s">
        <v>65</v>
      </c>
      <c r="P352">
        <v>145</v>
      </c>
      <c r="Q352">
        <v>150</v>
      </c>
      <c r="R352">
        <v>154</v>
      </c>
      <c r="S352">
        <v>154</v>
      </c>
      <c r="T352">
        <v>304</v>
      </c>
      <c r="U352" t="s">
        <v>48</v>
      </c>
      <c r="V352">
        <f t="shared" si="15"/>
        <v>5</v>
      </c>
      <c r="W352">
        <f t="shared" si="16"/>
        <v>0</v>
      </c>
      <c r="X352">
        <f t="shared" si="17"/>
        <v>0</v>
      </c>
      <c r="Y352">
        <v>266</v>
      </c>
      <c r="Z352">
        <v>521</v>
      </c>
      <c r="AA352" t="s">
        <v>2605</v>
      </c>
      <c r="AB352" t="s">
        <v>2606</v>
      </c>
      <c r="AC352" t="s">
        <v>89</v>
      </c>
      <c r="AD352">
        <v>5</v>
      </c>
      <c r="AE352">
        <v>81</v>
      </c>
      <c r="AF352" t="s">
        <v>126</v>
      </c>
      <c r="AH352" t="s">
        <v>138</v>
      </c>
      <c r="AI352">
        <v>338.62</v>
      </c>
      <c r="AJ352" t="s">
        <v>52</v>
      </c>
      <c r="AK352" t="s">
        <v>582</v>
      </c>
      <c r="AL352" t="s">
        <v>585</v>
      </c>
      <c r="AM352" t="s">
        <v>170</v>
      </c>
      <c r="AN352" s="1">
        <v>45640</v>
      </c>
      <c r="AO352">
        <v>2024</v>
      </c>
      <c r="AP352">
        <v>12</v>
      </c>
      <c r="AQ352" t="s">
        <v>116</v>
      </c>
      <c r="AS352" t="s">
        <v>85</v>
      </c>
      <c r="AT352">
        <v>2025</v>
      </c>
      <c r="AU352" t="s">
        <v>386</v>
      </c>
      <c r="AV352" t="s">
        <v>170</v>
      </c>
      <c r="AW352" t="s">
        <v>2604</v>
      </c>
      <c r="AX352">
        <v>2025</v>
      </c>
      <c r="AY352" t="s">
        <v>2605</v>
      </c>
      <c r="AZ352" t="s">
        <v>2605</v>
      </c>
    </row>
    <row r="353" spans="1:52" x14ac:dyDescent="0.25">
      <c r="A353" t="s">
        <v>2607</v>
      </c>
      <c r="B353" s="1">
        <v>38219</v>
      </c>
      <c r="C353" t="s">
        <v>2608</v>
      </c>
      <c r="D353">
        <v>404054</v>
      </c>
      <c r="E353" t="s">
        <v>46</v>
      </c>
      <c r="F353" t="s">
        <v>633</v>
      </c>
      <c r="G353" t="s">
        <v>402</v>
      </c>
      <c r="H353" t="s">
        <v>2608</v>
      </c>
      <c r="I353" t="s">
        <v>262</v>
      </c>
      <c r="J353">
        <v>118</v>
      </c>
      <c r="K353">
        <v>123</v>
      </c>
      <c r="L353">
        <v>-127</v>
      </c>
      <c r="M353">
        <v>123</v>
      </c>
      <c r="N353">
        <v>241</v>
      </c>
      <c r="O353" t="s">
        <v>60</v>
      </c>
      <c r="P353">
        <v>145</v>
      </c>
      <c r="Q353">
        <v>149</v>
      </c>
      <c r="R353">
        <v>154</v>
      </c>
      <c r="S353">
        <v>154</v>
      </c>
      <c r="T353">
        <v>303</v>
      </c>
      <c r="U353" t="s">
        <v>48</v>
      </c>
      <c r="V353">
        <f t="shared" si="15"/>
        <v>5</v>
      </c>
      <c r="W353">
        <f t="shared" si="16"/>
        <v>0</v>
      </c>
      <c r="X353">
        <f t="shared" si="17"/>
        <v>0</v>
      </c>
      <c r="Y353">
        <v>277</v>
      </c>
      <c r="Z353">
        <v>544</v>
      </c>
      <c r="AA353" t="s">
        <v>2609</v>
      </c>
      <c r="AB353" t="s">
        <v>2610</v>
      </c>
      <c r="AC353" t="s">
        <v>89</v>
      </c>
      <c r="AD353">
        <v>5</v>
      </c>
      <c r="AE353">
        <v>89</v>
      </c>
      <c r="AF353" t="s">
        <v>126</v>
      </c>
      <c r="AH353" t="s">
        <v>155</v>
      </c>
      <c r="AI353">
        <v>344.34</v>
      </c>
      <c r="AJ353" t="s">
        <v>52</v>
      </c>
      <c r="AK353" t="s">
        <v>633</v>
      </c>
      <c r="AL353" t="s">
        <v>637</v>
      </c>
      <c r="AM353" t="s">
        <v>139</v>
      </c>
      <c r="AN353" s="1">
        <v>45640</v>
      </c>
      <c r="AO353">
        <v>2024</v>
      </c>
      <c r="AP353">
        <v>12</v>
      </c>
      <c r="AQ353" t="s">
        <v>116</v>
      </c>
      <c r="AS353" t="s">
        <v>85</v>
      </c>
      <c r="AT353">
        <v>2025</v>
      </c>
      <c r="AU353" t="s">
        <v>402</v>
      </c>
      <c r="AV353" t="s">
        <v>140</v>
      </c>
      <c r="AW353" t="s">
        <v>2608</v>
      </c>
      <c r="AX353">
        <v>2025</v>
      </c>
      <c r="AY353" t="s">
        <v>2609</v>
      </c>
      <c r="AZ353" t="s">
        <v>2609</v>
      </c>
    </row>
    <row r="354" spans="1:52" x14ac:dyDescent="0.25">
      <c r="A354" t="s">
        <v>2611</v>
      </c>
      <c r="B354" s="1">
        <v>33185</v>
      </c>
      <c r="C354" t="s">
        <v>2612</v>
      </c>
      <c r="D354">
        <v>18972</v>
      </c>
      <c r="E354" t="s">
        <v>46</v>
      </c>
      <c r="F354" t="s">
        <v>1737</v>
      </c>
      <c r="G354" t="s">
        <v>419</v>
      </c>
      <c r="H354" t="s">
        <v>2612</v>
      </c>
      <c r="I354" t="s">
        <v>2614</v>
      </c>
      <c r="J354">
        <v>105</v>
      </c>
      <c r="K354">
        <v>110</v>
      </c>
      <c r="L354">
        <v>-113</v>
      </c>
      <c r="M354">
        <v>110</v>
      </c>
      <c r="N354">
        <v>215</v>
      </c>
      <c r="O354" t="s">
        <v>60</v>
      </c>
      <c r="P354">
        <v>140</v>
      </c>
      <c r="Q354">
        <v>-145</v>
      </c>
      <c r="R354">
        <v>-145</v>
      </c>
      <c r="S354">
        <v>140</v>
      </c>
      <c r="T354">
        <v>0</v>
      </c>
      <c r="U354" t="s">
        <v>55</v>
      </c>
      <c r="V354">
        <f t="shared" si="15"/>
        <v>3</v>
      </c>
      <c r="W354">
        <f t="shared" si="16"/>
        <v>0</v>
      </c>
      <c r="X354">
        <f t="shared" si="17"/>
        <v>0</v>
      </c>
      <c r="Y354">
        <v>250</v>
      </c>
      <c r="Z354">
        <v>215</v>
      </c>
      <c r="AA354" t="s">
        <v>2615</v>
      </c>
      <c r="AB354" t="s">
        <v>2616</v>
      </c>
      <c r="AC354" t="s">
        <v>89</v>
      </c>
      <c r="AD354">
        <v>5</v>
      </c>
      <c r="AE354">
        <v>81</v>
      </c>
      <c r="AF354" t="s">
        <v>126</v>
      </c>
      <c r="AG354">
        <v>35</v>
      </c>
      <c r="AH354" t="s">
        <v>138</v>
      </c>
      <c r="AI354">
        <v>323.38</v>
      </c>
      <c r="AJ354" t="s">
        <v>52</v>
      </c>
      <c r="AK354" t="s">
        <v>1737</v>
      </c>
      <c r="AL354" t="s">
        <v>1739</v>
      </c>
      <c r="AM354" t="s">
        <v>133</v>
      </c>
      <c r="AN354" s="1">
        <v>45640</v>
      </c>
      <c r="AO354">
        <v>2024</v>
      </c>
      <c r="AP354">
        <v>12</v>
      </c>
      <c r="AQ354" t="s">
        <v>116</v>
      </c>
      <c r="AS354" t="s">
        <v>85</v>
      </c>
      <c r="AT354">
        <v>2025</v>
      </c>
      <c r="AU354" t="s">
        <v>419</v>
      </c>
      <c r="AV354" t="s">
        <v>133</v>
      </c>
      <c r="AW354" t="s">
        <v>2612</v>
      </c>
      <c r="AX354">
        <v>2025</v>
      </c>
      <c r="AY354" t="s">
        <v>2613</v>
      </c>
      <c r="AZ354" t="s">
        <v>2617</v>
      </c>
    </row>
    <row r="355" spans="1:52" x14ac:dyDescent="0.25">
      <c r="A355" t="s">
        <v>2619</v>
      </c>
      <c r="B355" s="1">
        <v>32870</v>
      </c>
      <c r="C355" t="s">
        <v>2620</v>
      </c>
      <c r="D355">
        <v>86808</v>
      </c>
      <c r="E355" t="s">
        <v>46</v>
      </c>
      <c r="F355" t="s">
        <v>492</v>
      </c>
      <c r="G355" t="s">
        <v>490</v>
      </c>
      <c r="H355" t="s">
        <v>2620</v>
      </c>
      <c r="I355" t="s">
        <v>261</v>
      </c>
      <c r="J355">
        <v>-104</v>
      </c>
      <c r="K355">
        <v>-107</v>
      </c>
      <c r="L355">
        <v>0</v>
      </c>
      <c r="M355">
        <v>0</v>
      </c>
      <c r="N355">
        <v>0</v>
      </c>
      <c r="O355" t="s">
        <v>108</v>
      </c>
      <c r="P355">
        <v>0</v>
      </c>
      <c r="Q355">
        <v>0</v>
      </c>
      <c r="R355">
        <v>0</v>
      </c>
      <c r="S355">
        <v>0</v>
      </c>
      <c r="T355">
        <v>0</v>
      </c>
      <c r="U355" t="s">
        <v>108</v>
      </c>
      <c r="V355">
        <f t="shared" si="15"/>
        <v>0</v>
      </c>
      <c r="W355">
        <f t="shared" si="16"/>
        <v>0</v>
      </c>
      <c r="X355">
        <f t="shared" si="17"/>
        <v>0</v>
      </c>
      <c r="Y355">
        <v>0</v>
      </c>
      <c r="Z355">
        <v>0</v>
      </c>
      <c r="AA355" t="s">
        <v>99</v>
      </c>
      <c r="AB355" t="s">
        <v>99</v>
      </c>
      <c r="AC355" t="s">
        <v>49</v>
      </c>
      <c r="AD355">
        <v>999</v>
      </c>
      <c r="AE355">
        <v>81</v>
      </c>
      <c r="AF355" t="s">
        <v>126</v>
      </c>
      <c r="AG355">
        <v>35</v>
      </c>
      <c r="AH355" t="s">
        <v>138</v>
      </c>
      <c r="AI355">
        <v>0</v>
      </c>
      <c r="AJ355" t="s">
        <v>52</v>
      </c>
      <c r="AK355" t="s">
        <v>492</v>
      </c>
      <c r="AL355" t="s">
        <v>494</v>
      </c>
      <c r="AM355" t="s">
        <v>90</v>
      </c>
      <c r="AN355" s="1">
        <v>45640</v>
      </c>
      <c r="AO355">
        <v>2024</v>
      </c>
      <c r="AP355">
        <v>12</v>
      </c>
      <c r="AQ355" t="s">
        <v>116</v>
      </c>
      <c r="AS355" t="s">
        <v>85</v>
      </c>
      <c r="AT355">
        <v>2025</v>
      </c>
      <c r="AU355" t="s">
        <v>490</v>
      </c>
      <c r="AV355" t="s">
        <v>91</v>
      </c>
      <c r="AW355" t="s">
        <v>2620</v>
      </c>
      <c r="AX355">
        <v>2025</v>
      </c>
      <c r="AY355" t="s">
        <v>994</v>
      </c>
      <c r="AZ355" t="s">
        <v>2621</v>
      </c>
    </row>
    <row r="356" spans="1:52" x14ac:dyDescent="0.25">
      <c r="A356" t="s">
        <v>2623</v>
      </c>
      <c r="B356" s="1">
        <v>33814</v>
      </c>
      <c r="C356" t="s">
        <v>2624</v>
      </c>
      <c r="D356">
        <v>96863</v>
      </c>
      <c r="E356" t="s">
        <v>46</v>
      </c>
      <c r="F356" t="s">
        <v>633</v>
      </c>
      <c r="G356" t="s">
        <v>713</v>
      </c>
      <c r="H356" t="s">
        <v>2624</v>
      </c>
      <c r="I356" t="s">
        <v>534</v>
      </c>
      <c r="J356">
        <v>110</v>
      </c>
      <c r="K356">
        <v>-115</v>
      </c>
      <c r="L356">
        <v>-117</v>
      </c>
      <c r="M356">
        <v>110</v>
      </c>
      <c r="N356">
        <v>0</v>
      </c>
      <c r="O356" t="s">
        <v>55</v>
      </c>
      <c r="P356">
        <v>-136</v>
      </c>
      <c r="Q356">
        <v>137</v>
      </c>
      <c r="R356">
        <v>-142</v>
      </c>
      <c r="S356">
        <v>137</v>
      </c>
      <c r="T356">
        <v>0</v>
      </c>
      <c r="U356" t="s">
        <v>104</v>
      </c>
      <c r="V356">
        <f t="shared" si="15"/>
        <v>2</v>
      </c>
      <c r="W356">
        <f t="shared" si="16"/>
        <v>0</v>
      </c>
      <c r="X356">
        <f t="shared" si="17"/>
        <v>0</v>
      </c>
      <c r="Y356">
        <v>247</v>
      </c>
      <c r="Z356">
        <v>0</v>
      </c>
      <c r="AA356" t="s">
        <v>2626</v>
      </c>
      <c r="AB356" t="s">
        <v>99</v>
      </c>
      <c r="AC356" t="s">
        <v>93</v>
      </c>
      <c r="AD356">
        <v>6</v>
      </c>
      <c r="AE356">
        <v>109</v>
      </c>
      <c r="AF356" t="s">
        <v>126</v>
      </c>
      <c r="AH356" t="s">
        <v>151</v>
      </c>
      <c r="AI356">
        <v>277.39</v>
      </c>
      <c r="AJ356" t="s">
        <v>52</v>
      </c>
      <c r="AK356" t="s">
        <v>633</v>
      </c>
      <c r="AL356" t="s">
        <v>637</v>
      </c>
      <c r="AM356" t="s">
        <v>139</v>
      </c>
      <c r="AN356" s="1">
        <v>45640</v>
      </c>
      <c r="AO356">
        <v>2024</v>
      </c>
      <c r="AP356">
        <v>12</v>
      </c>
      <c r="AQ356" t="s">
        <v>116</v>
      </c>
      <c r="AS356" t="s">
        <v>85</v>
      </c>
      <c r="AT356">
        <v>2025</v>
      </c>
      <c r="AU356" t="s">
        <v>713</v>
      </c>
      <c r="AV356" t="s">
        <v>140</v>
      </c>
      <c r="AW356" t="s">
        <v>2624</v>
      </c>
      <c r="AX356">
        <v>2025</v>
      </c>
      <c r="AY356" t="s">
        <v>2625</v>
      </c>
      <c r="AZ356" t="s">
        <v>2625</v>
      </c>
    </row>
    <row r="357" spans="1:52" x14ac:dyDescent="0.25">
      <c r="A357" t="s">
        <v>2627</v>
      </c>
      <c r="B357" s="1">
        <v>34138</v>
      </c>
      <c r="C357" t="s">
        <v>2628</v>
      </c>
      <c r="D357">
        <v>440285</v>
      </c>
      <c r="E357" t="s">
        <v>46</v>
      </c>
      <c r="F357" t="s">
        <v>109</v>
      </c>
      <c r="G357" t="s">
        <v>2003</v>
      </c>
      <c r="H357" t="s">
        <v>2628</v>
      </c>
      <c r="I357" t="s">
        <v>2629</v>
      </c>
      <c r="J357">
        <v>113</v>
      </c>
      <c r="K357">
        <v>118</v>
      </c>
      <c r="L357">
        <v>-122</v>
      </c>
      <c r="M357">
        <v>118</v>
      </c>
      <c r="N357">
        <v>231</v>
      </c>
      <c r="O357" t="s">
        <v>60</v>
      </c>
      <c r="P357">
        <v>135</v>
      </c>
      <c r="Q357">
        <v>-142</v>
      </c>
      <c r="R357">
        <v>-142</v>
      </c>
      <c r="S357">
        <v>135</v>
      </c>
      <c r="T357">
        <v>0</v>
      </c>
      <c r="U357" t="s">
        <v>55</v>
      </c>
      <c r="V357">
        <f t="shared" si="15"/>
        <v>3</v>
      </c>
      <c r="W357">
        <f t="shared" si="16"/>
        <v>0</v>
      </c>
      <c r="X357">
        <f t="shared" si="17"/>
        <v>0</v>
      </c>
      <c r="Y357">
        <v>253</v>
      </c>
      <c r="Z357">
        <v>231</v>
      </c>
      <c r="AA357" t="s">
        <v>2630</v>
      </c>
      <c r="AB357" t="s">
        <v>2631</v>
      </c>
      <c r="AC357" t="s">
        <v>93</v>
      </c>
      <c r="AD357">
        <v>6</v>
      </c>
      <c r="AE357">
        <v>89</v>
      </c>
      <c r="AF357" t="s">
        <v>126</v>
      </c>
      <c r="AH357" t="s">
        <v>155</v>
      </c>
      <c r="AI357">
        <v>306.57</v>
      </c>
      <c r="AJ357" t="s">
        <v>52</v>
      </c>
      <c r="AK357" t="s">
        <v>109</v>
      </c>
      <c r="AL357" t="s">
        <v>115</v>
      </c>
      <c r="AM357" t="s">
        <v>90</v>
      </c>
      <c r="AN357" s="1">
        <v>45639</v>
      </c>
      <c r="AO357">
        <v>2024</v>
      </c>
      <c r="AP357">
        <v>12</v>
      </c>
      <c r="AQ357" t="s">
        <v>116</v>
      </c>
      <c r="AS357" t="s">
        <v>85</v>
      </c>
      <c r="AT357">
        <v>2025</v>
      </c>
      <c r="AU357" t="s">
        <v>2003</v>
      </c>
      <c r="AV357" t="s">
        <v>91</v>
      </c>
      <c r="AW357" t="s">
        <v>2628</v>
      </c>
      <c r="AX357">
        <v>2025</v>
      </c>
      <c r="AY357" t="s">
        <v>2541</v>
      </c>
      <c r="AZ357" t="s">
        <v>2541</v>
      </c>
    </row>
    <row r="358" spans="1:52" x14ac:dyDescent="0.25">
      <c r="A358" t="s">
        <v>2634</v>
      </c>
      <c r="B358" s="1">
        <v>31213</v>
      </c>
      <c r="C358" t="s">
        <v>2635</v>
      </c>
      <c r="D358">
        <v>480880</v>
      </c>
      <c r="E358" t="s">
        <v>46</v>
      </c>
      <c r="F358" t="s">
        <v>693</v>
      </c>
      <c r="G358" t="s">
        <v>271</v>
      </c>
      <c r="H358" t="s">
        <v>2635</v>
      </c>
      <c r="I358" t="s">
        <v>225</v>
      </c>
      <c r="J358">
        <v>57</v>
      </c>
      <c r="K358">
        <v>-60</v>
      </c>
      <c r="L358">
        <v>-62</v>
      </c>
      <c r="M358">
        <v>57</v>
      </c>
      <c r="N358">
        <v>0</v>
      </c>
      <c r="O358" t="s">
        <v>55</v>
      </c>
      <c r="P358">
        <v>67</v>
      </c>
      <c r="Q358">
        <v>-71</v>
      </c>
      <c r="R358">
        <v>73</v>
      </c>
      <c r="S358">
        <v>73</v>
      </c>
      <c r="T358">
        <v>140</v>
      </c>
      <c r="U358" t="s">
        <v>65</v>
      </c>
      <c r="V358">
        <f t="shared" si="15"/>
        <v>3</v>
      </c>
      <c r="W358">
        <f t="shared" si="16"/>
        <v>0</v>
      </c>
      <c r="X358">
        <f t="shared" si="17"/>
        <v>0</v>
      </c>
      <c r="Y358">
        <v>130</v>
      </c>
      <c r="Z358">
        <v>140</v>
      </c>
      <c r="AA358" t="s">
        <v>2637</v>
      </c>
      <c r="AB358" t="s">
        <v>2638</v>
      </c>
      <c r="AC358" t="s">
        <v>93</v>
      </c>
      <c r="AD358">
        <v>6</v>
      </c>
      <c r="AE358">
        <v>71</v>
      </c>
      <c r="AF358" t="s">
        <v>126</v>
      </c>
      <c r="AG358">
        <v>40</v>
      </c>
      <c r="AH358" t="s">
        <v>226</v>
      </c>
      <c r="AI358">
        <v>161.01</v>
      </c>
      <c r="AJ358" t="s">
        <v>132</v>
      </c>
      <c r="AK358" t="s">
        <v>693</v>
      </c>
      <c r="AL358" t="s">
        <v>696</v>
      </c>
      <c r="AM358" t="s">
        <v>139</v>
      </c>
      <c r="AN358" s="1">
        <v>45641</v>
      </c>
      <c r="AO358">
        <v>2024</v>
      </c>
      <c r="AP358">
        <v>12</v>
      </c>
      <c r="AQ358" t="s">
        <v>116</v>
      </c>
      <c r="AS358" t="s">
        <v>85</v>
      </c>
      <c r="AT358">
        <v>2025</v>
      </c>
      <c r="AU358" t="s">
        <v>271</v>
      </c>
      <c r="AV358" t="s">
        <v>140</v>
      </c>
      <c r="AW358" t="s">
        <v>2635</v>
      </c>
      <c r="AX358">
        <v>2025</v>
      </c>
      <c r="AY358" t="s">
        <v>2636</v>
      </c>
      <c r="AZ358" t="s">
        <v>2636</v>
      </c>
    </row>
    <row r="359" spans="1:52" x14ac:dyDescent="0.25">
      <c r="A359" t="s">
        <v>2639</v>
      </c>
      <c r="B359" s="1">
        <v>38628</v>
      </c>
      <c r="C359" t="s">
        <v>2640</v>
      </c>
      <c r="D359">
        <v>502911</v>
      </c>
      <c r="E359" t="s">
        <v>46</v>
      </c>
      <c r="F359" t="s">
        <v>281</v>
      </c>
      <c r="G359" t="s">
        <v>691</v>
      </c>
      <c r="H359" t="s">
        <v>2640</v>
      </c>
      <c r="I359" t="s">
        <v>324</v>
      </c>
      <c r="J359">
        <v>85</v>
      </c>
      <c r="K359">
        <v>90</v>
      </c>
      <c r="L359">
        <v>93</v>
      </c>
      <c r="M359">
        <v>93</v>
      </c>
      <c r="N359">
        <v>183</v>
      </c>
      <c r="O359" t="s">
        <v>48</v>
      </c>
      <c r="P359">
        <v>106</v>
      </c>
      <c r="Q359">
        <v>-111</v>
      </c>
      <c r="R359">
        <v>-115</v>
      </c>
      <c r="S359">
        <v>106</v>
      </c>
      <c r="T359">
        <v>0</v>
      </c>
      <c r="U359" t="s">
        <v>55</v>
      </c>
      <c r="V359">
        <f t="shared" si="15"/>
        <v>4</v>
      </c>
      <c r="W359">
        <f t="shared" si="16"/>
        <v>0</v>
      </c>
      <c r="X359">
        <f t="shared" si="17"/>
        <v>0</v>
      </c>
      <c r="Y359">
        <v>199</v>
      </c>
      <c r="Z359">
        <v>183</v>
      </c>
      <c r="AA359" t="s">
        <v>2641</v>
      </c>
      <c r="AB359" t="s">
        <v>2642</v>
      </c>
      <c r="AC359" t="s">
        <v>93</v>
      </c>
      <c r="AD359">
        <v>6</v>
      </c>
      <c r="AE359">
        <v>81</v>
      </c>
      <c r="AF359" t="s">
        <v>113</v>
      </c>
      <c r="AH359" t="s">
        <v>252</v>
      </c>
      <c r="AI359">
        <v>259.08</v>
      </c>
      <c r="AJ359" t="s">
        <v>52</v>
      </c>
      <c r="AK359" t="s">
        <v>281</v>
      </c>
      <c r="AL359" t="s">
        <v>284</v>
      </c>
      <c r="AM359" t="s">
        <v>139</v>
      </c>
      <c r="AN359" s="1">
        <v>45640</v>
      </c>
      <c r="AO359">
        <v>2024</v>
      </c>
      <c r="AP359">
        <v>12</v>
      </c>
      <c r="AQ359" t="s">
        <v>116</v>
      </c>
      <c r="AS359" t="s">
        <v>85</v>
      </c>
      <c r="AT359">
        <v>2025</v>
      </c>
      <c r="AU359" t="s">
        <v>691</v>
      </c>
      <c r="AV359" t="s">
        <v>140</v>
      </c>
      <c r="AW359" t="s">
        <v>2640</v>
      </c>
      <c r="AX359">
        <v>2025</v>
      </c>
      <c r="AY359" t="s">
        <v>2641</v>
      </c>
      <c r="AZ359" t="s">
        <v>2641</v>
      </c>
    </row>
    <row r="360" spans="1:52" x14ac:dyDescent="0.25">
      <c r="A360" t="s">
        <v>2644</v>
      </c>
      <c r="B360" s="1">
        <v>40619</v>
      </c>
      <c r="C360" t="s">
        <v>2645</v>
      </c>
      <c r="D360">
        <v>493275</v>
      </c>
      <c r="E360" t="s">
        <v>46</v>
      </c>
      <c r="F360" t="s">
        <v>199</v>
      </c>
      <c r="G360" t="s">
        <v>47</v>
      </c>
      <c r="H360" t="s">
        <v>2645</v>
      </c>
      <c r="I360">
        <v>49</v>
      </c>
      <c r="J360">
        <v>41</v>
      </c>
      <c r="K360">
        <v>-45</v>
      </c>
      <c r="L360">
        <v>-45</v>
      </c>
      <c r="M360">
        <v>41</v>
      </c>
      <c r="N360">
        <v>0</v>
      </c>
      <c r="O360" t="s">
        <v>55</v>
      </c>
      <c r="P360">
        <v>50</v>
      </c>
      <c r="Q360">
        <v>55</v>
      </c>
      <c r="R360">
        <v>-60</v>
      </c>
      <c r="S360">
        <v>55</v>
      </c>
      <c r="T360">
        <v>105</v>
      </c>
      <c r="U360" t="s">
        <v>60</v>
      </c>
      <c r="V360">
        <f t="shared" si="15"/>
        <v>3</v>
      </c>
      <c r="W360">
        <f t="shared" si="16"/>
        <v>0</v>
      </c>
      <c r="X360">
        <f t="shared" si="17"/>
        <v>0</v>
      </c>
      <c r="Y360">
        <v>96</v>
      </c>
      <c r="Z360">
        <v>105</v>
      </c>
      <c r="AA360" t="s">
        <v>1129</v>
      </c>
      <c r="AB360" t="s">
        <v>2647</v>
      </c>
      <c r="AC360" t="s">
        <v>93</v>
      </c>
      <c r="AD360">
        <v>6</v>
      </c>
      <c r="AE360">
        <v>49</v>
      </c>
      <c r="AF360" t="s">
        <v>57</v>
      </c>
      <c r="AH360" t="s">
        <v>58</v>
      </c>
      <c r="AI360">
        <v>173.63</v>
      </c>
      <c r="AJ360" t="s">
        <v>52</v>
      </c>
      <c r="AK360" t="s">
        <v>199</v>
      </c>
      <c r="AL360" t="s">
        <v>203</v>
      </c>
      <c r="AM360" t="s">
        <v>53</v>
      </c>
      <c r="AN360" s="1">
        <v>45640</v>
      </c>
      <c r="AO360">
        <v>2024</v>
      </c>
      <c r="AP360">
        <v>12</v>
      </c>
      <c r="AQ360" t="s">
        <v>116</v>
      </c>
      <c r="AS360" t="s">
        <v>85</v>
      </c>
      <c r="AT360">
        <v>2025</v>
      </c>
      <c r="AU360" t="s">
        <v>47</v>
      </c>
      <c r="AV360" t="s">
        <v>54</v>
      </c>
      <c r="AW360" t="s">
        <v>2645</v>
      </c>
      <c r="AX360">
        <v>2025</v>
      </c>
      <c r="AY360" t="s">
        <v>2646</v>
      </c>
      <c r="AZ360" t="s">
        <v>2646</v>
      </c>
    </row>
    <row r="361" spans="1:52" x14ac:dyDescent="0.25">
      <c r="A361" t="s">
        <v>2649</v>
      </c>
      <c r="B361" s="1">
        <v>39216</v>
      </c>
      <c r="C361" t="s">
        <v>2650</v>
      </c>
      <c r="D361">
        <v>475010</v>
      </c>
      <c r="E361" t="s">
        <v>46</v>
      </c>
      <c r="F361" t="s">
        <v>456</v>
      </c>
      <c r="G361" t="s">
        <v>501</v>
      </c>
      <c r="H361" t="s">
        <v>2650</v>
      </c>
      <c r="I361" t="s">
        <v>2652</v>
      </c>
      <c r="J361">
        <v>43</v>
      </c>
      <c r="K361">
        <v>46</v>
      </c>
      <c r="L361">
        <v>-49</v>
      </c>
      <c r="M361">
        <v>46</v>
      </c>
      <c r="N361">
        <v>89</v>
      </c>
      <c r="O361" t="s">
        <v>60</v>
      </c>
      <c r="P361">
        <v>54</v>
      </c>
      <c r="Q361">
        <v>57</v>
      </c>
      <c r="R361">
        <v>-60</v>
      </c>
      <c r="S361">
        <v>57</v>
      </c>
      <c r="T361">
        <v>111</v>
      </c>
      <c r="U361" t="s">
        <v>60</v>
      </c>
      <c r="V361">
        <f t="shared" si="15"/>
        <v>4</v>
      </c>
      <c r="W361">
        <f t="shared" si="16"/>
        <v>0</v>
      </c>
      <c r="X361">
        <f t="shared" si="17"/>
        <v>0</v>
      </c>
      <c r="Y361">
        <v>103</v>
      </c>
      <c r="Z361">
        <v>200</v>
      </c>
      <c r="AA361" t="s">
        <v>2653</v>
      </c>
      <c r="AB361" t="s">
        <v>2654</v>
      </c>
      <c r="AC361" t="s">
        <v>64</v>
      </c>
      <c r="AD361">
        <v>7</v>
      </c>
      <c r="AE361">
        <v>64</v>
      </c>
      <c r="AF361" t="s">
        <v>113</v>
      </c>
      <c r="AH361" t="s">
        <v>355</v>
      </c>
      <c r="AI361">
        <v>136.43</v>
      </c>
      <c r="AJ361" t="s">
        <v>132</v>
      </c>
      <c r="AK361" t="s">
        <v>456</v>
      </c>
      <c r="AL361" t="s">
        <v>460</v>
      </c>
      <c r="AM361" t="s">
        <v>173</v>
      </c>
      <c r="AN361" s="1">
        <v>45641</v>
      </c>
      <c r="AO361">
        <v>2024</v>
      </c>
      <c r="AP361">
        <v>12</v>
      </c>
      <c r="AQ361" t="s">
        <v>116</v>
      </c>
      <c r="AS361" t="s">
        <v>85</v>
      </c>
      <c r="AT361">
        <v>2025</v>
      </c>
      <c r="AU361" t="s">
        <v>501</v>
      </c>
      <c r="AV361" t="s">
        <v>173</v>
      </c>
      <c r="AW361" t="s">
        <v>2650</v>
      </c>
      <c r="AX361">
        <v>2025</v>
      </c>
      <c r="AY361" t="s">
        <v>2651</v>
      </c>
      <c r="AZ361" t="s">
        <v>2653</v>
      </c>
    </row>
    <row r="362" spans="1:52" x14ac:dyDescent="0.25">
      <c r="A362" t="s">
        <v>2670</v>
      </c>
      <c r="B362" s="1">
        <v>31015</v>
      </c>
      <c r="C362" t="s">
        <v>2671</v>
      </c>
      <c r="D362">
        <v>473285</v>
      </c>
      <c r="E362" t="s">
        <v>46</v>
      </c>
      <c r="F362" t="s">
        <v>109</v>
      </c>
      <c r="G362" t="s">
        <v>787</v>
      </c>
      <c r="H362" t="s">
        <v>2671</v>
      </c>
      <c r="I362">
        <v>45</v>
      </c>
      <c r="J362">
        <v>-50</v>
      </c>
      <c r="K362">
        <v>-50</v>
      </c>
      <c r="L362">
        <v>-51</v>
      </c>
      <c r="M362">
        <v>0</v>
      </c>
      <c r="N362">
        <v>0</v>
      </c>
      <c r="O362" t="s">
        <v>108</v>
      </c>
      <c r="P362">
        <v>58</v>
      </c>
      <c r="Q362">
        <v>-62</v>
      </c>
      <c r="R362">
        <v>-63</v>
      </c>
      <c r="S362">
        <v>58</v>
      </c>
      <c r="T362">
        <v>0</v>
      </c>
      <c r="U362" t="s">
        <v>55</v>
      </c>
      <c r="V362">
        <f t="shared" si="15"/>
        <v>1</v>
      </c>
      <c r="W362">
        <f t="shared" si="16"/>
        <v>0</v>
      </c>
      <c r="X362">
        <f t="shared" si="17"/>
        <v>0</v>
      </c>
      <c r="Y362">
        <v>58</v>
      </c>
      <c r="Z362">
        <v>0</v>
      </c>
      <c r="AA362" t="s">
        <v>1693</v>
      </c>
      <c r="AB362" t="s">
        <v>99</v>
      </c>
      <c r="AC362" t="s">
        <v>49</v>
      </c>
      <c r="AD362">
        <v>999</v>
      </c>
      <c r="AE362">
        <v>45</v>
      </c>
      <c r="AF362" t="s">
        <v>126</v>
      </c>
      <c r="AG362">
        <v>40</v>
      </c>
      <c r="AH362" t="s">
        <v>509</v>
      </c>
      <c r="AI362">
        <v>0</v>
      </c>
      <c r="AJ362" t="s">
        <v>132</v>
      </c>
      <c r="AK362" t="s">
        <v>109</v>
      </c>
      <c r="AL362" t="s">
        <v>115</v>
      </c>
      <c r="AM362" t="s">
        <v>90</v>
      </c>
      <c r="AN362" s="1">
        <v>45639</v>
      </c>
      <c r="AO362">
        <v>2024</v>
      </c>
      <c r="AP362">
        <v>12</v>
      </c>
      <c r="AQ362" t="s">
        <v>116</v>
      </c>
      <c r="AS362" t="s">
        <v>85</v>
      </c>
      <c r="AT362">
        <v>2025</v>
      </c>
      <c r="AU362" t="s">
        <v>787</v>
      </c>
      <c r="AV362" t="s">
        <v>91</v>
      </c>
      <c r="AW362" t="s">
        <v>2671</v>
      </c>
      <c r="AX362">
        <v>2025</v>
      </c>
      <c r="AY362" t="s">
        <v>2672</v>
      </c>
      <c r="AZ362" t="s">
        <v>2672</v>
      </c>
    </row>
    <row r="363" spans="1:52" x14ac:dyDescent="0.25">
      <c r="A363" t="s">
        <v>2673</v>
      </c>
      <c r="B363" s="1">
        <v>40336</v>
      </c>
      <c r="C363" t="s">
        <v>2674</v>
      </c>
      <c r="D363">
        <v>480891</v>
      </c>
      <c r="E363" t="s">
        <v>46</v>
      </c>
      <c r="F363" t="s">
        <v>263</v>
      </c>
      <c r="G363" t="s">
        <v>544</v>
      </c>
      <c r="H363" t="s">
        <v>2674</v>
      </c>
      <c r="I363" t="s">
        <v>462</v>
      </c>
      <c r="J363">
        <v>-35</v>
      </c>
      <c r="K363">
        <v>35</v>
      </c>
      <c r="L363">
        <v>40</v>
      </c>
      <c r="M363">
        <v>40</v>
      </c>
      <c r="N363">
        <v>75</v>
      </c>
      <c r="O363" t="s">
        <v>63</v>
      </c>
      <c r="P363">
        <v>47</v>
      </c>
      <c r="Q363">
        <v>50</v>
      </c>
      <c r="R363">
        <v>-53</v>
      </c>
      <c r="S363">
        <v>50</v>
      </c>
      <c r="T363">
        <v>97</v>
      </c>
      <c r="U363" t="s">
        <v>60</v>
      </c>
      <c r="V363">
        <f t="shared" si="15"/>
        <v>4</v>
      </c>
      <c r="W363">
        <f t="shared" si="16"/>
        <v>0</v>
      </c>
      <c r="X363">
        <f t="shared" si="17"/>
        <v>0</v>
      </c>
      <c r="Y363">
        <v>90</v>
      </c>
      <c r="Z363">
        <v>172</v>
      </c>
      <c r="AA363" t="s">
        <v>1890</v>
      </c>
      <c r="AB363" t="s">
        <v>1836</v>
      </c>
      <c r="AC363" t="s">
        <v>89</v>
      </c>
      <c r="AD363">
        <v>5</v>
      </c>
      <c r="AE363">
        <v>55</v>
      </c>
      <c r="AF363" t="s">
        <v>57</v>
      </c>
      <c r="AH363" t="s">
        <v>172</v>
      </c>
      <c r="AI363">
        <v>129.99</v>
      </c>
      <c r="AJ363" t="s">
        <v>132</v>
      </c>
      <c r="AK363" t="s">
        <v>263</v>
      </c>
      <c r="AL363" t="s">
        <v>267</v>
      </c>
      <c r="AM363" t="s">
        <v>145</v>
      </c>
      <c r="AN363" s="1">
        <v>45640</v>
      </c>
      <c r="AO363">
        <v>2024</v>
      </c>
      <c r="AP363">
        <v>12</v>
      </c>
      <c r="AQ363" t="s">
        <v>116</v>
      </c>
      <c r="AS363" t="s">
        <v>85</v>
      </c>
      <c r="AT363">
        <v>2025</v>
      </c>
      <c r="AU363" t="s">
        <v>544</v>
      </c>
      <c r="AV363" t="s">
        <v>145</v>
      </c>
      <c r="AW363" t="s">
        <v>2674</v>
      </c>
      <c r="AX363">
        <v>2025</v>
      </c>
      <c r="AY363" t="s">
        <v>1890</v>
      </c>
      <c r="AZ363" t="s">
        <v>1890</v>
      </c>
    </row>
    <row r="364" spans="1:52" x14ac:dyDescent="0.25">
      <c r="A364" t="s">
        <v>2675</v>
      </c>
      <c r="B364" s="1">
        <v>38851</v>
      </c>
      <c r="C364" t="s">
        <v>2676</v>
      </c>
      <c r="D364">
        <v>476193</v>
      </c>
      <c r="E364" t="s">
        <v>46</v>
      </c>
      <c r="F364" t="s">
        <v>801</v>
      </c>
      <c r="G364" t="s">
        <v>478</v>
      </c>
      <c r="H364" t="s">
        <v>2676</v>
      </c>
      <c r="I364">
        <v>55</v>
      </c>
      <c r="J364">
        <v>-64</v>
      </c>
      <c r="K364">
        <v>-65</v>
      </c>
      <c r="L364">
        <v>65</v>
      </c>
      <c r="M364">
        <v>65</v>
      </c>
      <c r="N364">
        <v>0</v>
      </c>
      <c r="O364" t="s">
        <v>102</v>
      </c>
      <c r="P364">
        <v>80</v>
      </c>
      <c r="Q364">
        <v>-85</v>
      </c>
      <c r="R364">
        <v>-85</v>
      </c>
      <c r="S364">
        <v>80</v>
      </c>
      <c r="T364">
        <v>0</v>
      </c>
      <c r="U364" t="s">
        <v>55</v>
      </c>
      <c r="V364">
        <f t="shared" si="15"/>
        <v>2</v>
      </c>
      <c r="W364">
        <f t="shared" si="16"/>
        <v>1</v>
      </c>
      <c r="X364">
        <f t="shared" si="17"/>
        <v>0</v>
      </c>
      <c r="Y364">
        <v>145</v>
      </c>
      <c r="Z364">
        <v>0</v>
      </c>
      <c r="AA364" t="s">
        <v>1723</v>
      </c>
      <c r="AB364" t="s">
        <v>99</v>
      </c>
      <c r="AC364" t="s">
        <v>98</v>
      </c>
      <c r="AD364">
        <v>3</v>
      </c>
      <c r="AE364">
        <v>55</v>
      </c>
      <c r="AF364" t="s">
        <v>113</v>
      </c>
      <c r="AH364" t="s">
        <v>465</v>
      </c>
      <c r="AI364">
        <v>208.08</v>
      </c>
      <c r="AJ364" t="s">
        <v>132</v>
      </c>
      <c r="AK364" t="s">
        <v>801</v>
      </c>
      <c r="AL364" t="s">
        <v>804</v>
      </c>
      <c r="AM364" t="s">
        <v>68</v>
      </c>
      <c r="AN364" s="1">
        <v>45640</v>
      </c>
      <c r="AO364">
        <v>2024</v>
      </c>
      <c r="AP364">
        <v>12</v>
      </c>
      <c r="AQ364" t="s">
        <v>116</v>
      </c>
      <c r="AS364" t="s">
        <v>85</v>
      </c>
      <c r="AT364">
        <v>2025</v>
      </c>
      <c r="AU364" t="s">
        <v>478</v>
      </c>
      <c r="AV364" t="s">
        <v>68</v>
      </c>
      <c r="AW364" t="s">
        <v>2676</v>
      </c>
      <c r="AX364">
        <v>2025</v>
      </c>
      <c r="AY364" t="s">
        <v>2677</v>
      </c>
      <c r="AZ364" t="s">
        <v>2677</v>
      </c>
    </row>
    <row r="365" spans="1:52" x14ac:dyDescent="0.25">
      <c r="A365" t="s">
        <v>2658</v>
      </c>
      <c r="B365" s="1">
        <v>40839</v>
      </c>
      <c r="C365" t="s">
        <v>2659</v>
      </c>
      <c r="D365">
        <v>462823</v>
      </c>
      <c r="E365" t="s">
        <v>46</v>
      </c>
      <c r="F365" t="s">
        <v>199</v>
      </c>
      <c r="G365" t="s">
        <v>47</v>
      </c>
      <c r="H365" t="s">
        <v>2659</v>
      </c>
      <c r="I365" t="s">
        <v>461</v>
      </c>
      <c r="J365">
        <v>33</v>
      </c>
      <c r="K365">
        <v>36</v>
      </c>
      <c r="L365">
        <v>38</v>
      </c>
      <c r="M365">
        <v>38</v>
      </c>
      <c r="N365">
        <v>74</v>
      </c>
      <c r="O365" t="s">
        <v>48</v>
      </c>
      <c r="P365">
        <v>45</v>
      </c>
      <c r="Q365">
        <v>48</v>
      </c>
      <c r="R365">
        <v>0</v>
      </c>
      <c r="S365">
        <v>48</v>
      </c>
      <c r="T365">
        <v>93</v>
      </c>
      <c r="U365" t="s">
        <v>60</v>
      </c>
      <c r="V365">
        <f t="shared" si="15"/>
        <v>5</v>
      </c>
      <c r="W365">
        <f t="shared" si="16"/>
        <v>0</v>
      </c>
      <c r="X365">
        <f t="shared" si="17"/>
        <v>0</v>
      </c>
      <c r="Y365">
        <v>86</v>
      </c>
      <c r="Z365">
        <v>167</v>
      </c>
      <c r="AA365" t="s">
        <v>2660</v>
      </c>
      <c r="AB365" t="s">
        <v>2661</v>
      </c>
      <c r="AC365" t="s">
        <v>94</v>
      </c>
      <c r="AD365">
        <v>4</v>
      </c>
      <c r="AE365">
        <v>45</v>
      </c>
      <c r="AF365" t="s">
        <v>57</v>
      </c>
      <c r="AH365" t="s">
        <v>313</v>
      </c>
      <c r="AI365">
        <v>150.09</v>
      </c>
      <c r="AJ365" t="s">
        <v>132</v>
      </c>
      <c r="AK365" t="s">
        <v>199</v>
      </c>
      <c r="AL365" t="s">
        <v>203</v>
      </c>
      <c r="AM365" t="s">
        <v>53</v>
      </c>
      <c r="AN365" s="1">
        <v>45640</v>
      </c>
      <c r="AO365">
        <v>2024</v>
      </c>
      <c r="AP365">
        <v>12</v>
      </c>
      <c r="AQ365" t="s">
        <v>116</v>
      </c>
      <c r="AS365" t="s">
        <v>85</v>
      </c>
      <c r="AT365">
        <v>2025</v>
      </c>
      <c r="AU365" t="s">
        <v>47</v>
      </c>
      <c r="AV365" t="s">
        <v>54</v>
      </c>
      <c r="AW365" t="s">
        <v>2659</v>
      </c>
      <c r="AX365">
        <v>2025</v>
      </c>
      <c r="AY365" t="s">
        <v>2660</v>
      </c>
      <c r="AZ365" t="s">
        <v>2660</v>
      </c>
    </row>
    <row r="366" spans="1:52" x14ac:dyDescent="0.25">
      <c r="A366" t="s">
        <v>2662</v>
      </c>
      <c r="B366" s="1">
        <v>35670</v>
      </c>
      <c r="C366" t="s">
        <v>2663</v>
      </c>
      <c r="D366">
        <v>481288</v>
      </c>
      <c r="E366" t="s">
        <v>46</v>
      </c>
      <c r="F366" t="s">
        <v>518</v>
      </c>
      <c r="G366" t="s">
        <v>1489</v>
      </c>
      <c r="H366" t="s">
        <v>2663</v>
      </c>
      <c r="I366" t="s">
        <v>353</v>
      </c>
      <c r="J366">
        <v>65</v>
      </c>
      <c r="K366">
        <v>70</v>
      </c>
      <c r="L366">
        <v>75</v>
      </c>
      <c r="M366">
        <v>75</v>
      </c>
      <c r="N366">
        <v>145</v>
      </c>
      <c r="O366" t="s">
        <v>48</v>
      </c>
      <c r="P366">
        <v>80</v>
      </c>
      <c r="Q366">
        <v>85</v>
      </c>
      <c r="R366">
        <v>90</v>
      </c>
      <c r="S366">
        <v>90</v>
      </c>
      <c r="T366">
        <v>175</v>
      </c>
      <c r="U366" t="s">
        <v>48</v>
      </c>
      <c r="V366">
        <f t="shared" si="15"/>
        <v>6</v>
      </c>
      <c r="W366">
        <f t="shared" si="16"/>
        <v>0</v>
      </c>
      <c r="X366">
        <f t="shared" si="17"/>
        <v>0</v>
      </c>
      <c r="Y366">
        <v>165</v>
      </c>
      <c r="Z366">
        <v>320</v>
      </c>
      <c r="AA366" t="s">
        <v>686</v>
      </c>
      <c r="AB366" t="s">
        <v>2664</v>
      </c>
      <c r="AC366" t="s">
        <v>94</v>
      </c>
      <c r="AD366">
        <v>4</v>
      </c>
      <c r="AE366">
        <v>64</v>
      </c>
      <c r="AF366" t="s">
        <v>126</v>
      </c>
      <c r="AH366" t="s">
        <v>167</v>
      </c>
      <c r="AI366">
        <v>215.97</v>
      </c>
      <c r="AJ366" t="s">
        <v>132</v>
      </c>
      <c r="AK366" t="s">
        <v>518</v>
      </c>
      <c r="AL366" t="s">
        <v>522</v>
      </c>
      <c r="AM366" t="s">
        <v>177</v>
      </c>
      <c r="AN366" s="1">
        <v>45640</v>
      </c>
      <c r="AO366">
        <v>2024</v>
      </c>
      <c r="AP366">
        <v>12</v>
      </c>
      <c r="AQ366" t="s">
        <v>116</v>
      </c>
      <c r="AS366" t="s">
        <v>85</v>
      </c>
      <c r="AT366">
        <v>2025</v>
      </c>
      <c r="AU366" t="s">
        <v>1489</v>
      </c>
      <c r="AV366" t="s">
        <v>177</v>
      </c>
      <c r="AW366" t="s">
        <v>2663</v>
      </c>
      <c r="AX366">
        <v>2025</v>
      </c>
      <c r="AY366" t="s">
        <v>686</v>
      </c>
      <c r="AZ366" t="s">
        <v>686</v>
      </c>
    </row>
    <row r="367" spans="1:52" x14ac:dyDescent="0.25">
      <c r="A367" t="s">
        <v>2665</v>
      </c>
      <c r="B367" s="1">
        <v>35156</v>
      </c>
      <c r="C367" t="s">
        <v>2666</v>
      </c>
      <c r="D367">
        <v>469995</v>
      </c>
      <c r="E367" t="s">
        <v>46</v>
      </c>
      <c r="F367" t="s">
        <v>893</v>
      </c>
      <c r="G367" t="s">
        <v>394</v>
      </c>
      <c r="H367" t="s">
        <v>2666</v>
      </c>
      <c r="I367" t="s">
        <v>378</v>
      </c>
      <c r="J367">
        <v>50</v>
      </c>
      <c r="K367">
        <v>53</v>
      </c>
      <c r="L367">
        <v>-55</v>
      </c>
      <c r="M367">
        <v>53</v>
      </c>
      <c r="N367">
        <v>103</v>
      </c>
      <c r="O367" t="s">
        <v>60</v>
      </c>
      <c r="P367">
        <v>65</v>
      </c>
      <c r="Q367">
        <v>68</v>
      </c>
      <c r="R367">
        <v>-70</v>
      </c>
      <c r="S367">
        <v>68</v>
      </c>
      <c r="T367">
        <v>133</v>
      </c>
      <c r="U367" t="s">
        <v>60</v>
      </c>
      <c r="V367">
        <f t="shared" si="15"/>
        <v>4</v>
      </c>
      <c r="W367">
        <f t="shared" si="16"/>
        <v>0</v>
      </c>
      <c r="X367">
        <f t="shared" si="17"/>
        <v>0</v>
      </c>
      <c r="Y367">
        <v>121</v>
      </c>
      <c r="Z367">
        <v>236</v>
      </c>
      <c r="AA367" t="s">
        <v>2668</v>
      </c>
      <c r="AB367" t="s">
        <v>1700</v>
      </c>
      <c r="AC367" t="s">
        <v>93</v>
      </c>
      <c r="AD367">
        <v>6</v>
      </c>
      <c r="AE367">
        <v>59</v>
      </c>
      <c r="AF367" t="s">
        <v>126</v>
      </c>
      <c r="AH367" t="s">
        <v>202</v>
      </c>
      <c r="AI367">
        <v>165.74</v>
      </c>
      <c r="AJ367" t="s">
        <v>132</v>
      </c>
      <c r="AK367" t="s">
        <v>893</v>
      </c>
      <c r="AL367" t="s">
        <v>897</v>
      </c>
      <c r="AM367" t="s">
        <v>170</v>
      </c>
      <c r="AN367" s="1">
        <v>45640</v>
      </c>
      <c r="AO367">
        <v>2024</v>
      </c>
      <c r="AP367">
        <v>12</v>
      </c>
      <c r="AQ367" t="s">
        <v>116</v>
      </c>
      <c r="AS367" t="s">
        <v>85</v>
      </c>
      <c r="AT367">
        <v>2025</v>
      </c>
      <c r="AU367" t="s">
        <v>394</v>
      </c>
      <c r="AV367" t="s">
        <v>170</v>
      </c>
      <c r="AW367" t="s">
        <v>2666</v>
      </c>
      <c r="AX367">
        <v>2025</v>
      </c>
      <c r="AY367" t="s">
        <v>2667</v>
      </c>
      <c r="AZ367" t="s">
        <v>2667</v>
      </c>
    </row>
    <row r="368" spans="1:52" x14ac:dyDescent="0.25">
      <c r="A368" t="s">
        <v>2681</v>
      </c>
      <c r="B368" s="1">
        <v>37096</v>
      </c>
      <c r="C368" t="s">
        <v>2682</v>
      </c>
      <c r="D368">
        <v>494247</v>
      </c>
      <c r="E368" t="s">
        <v>46</v>
      </c>
      <c r="F368" t="s">
        <v>1209</v>
      </c>
      <c r="G368" t="s">
        <v>672</v>
      </c>
      <c r="H368" t="s">
        <v>2682</v>
      </c>
      <c r="I368" t="s">
        <v>2684</v>
      </c>
      <c r="J368">
        <v>60</v>
      </c>
      <c r="K368">
        <v>64</v>
      </c>
      <c r="L368">
        <v>-67</v>
      </c>
      <c r="M368">
        <v>64</v>
      </c>
      <c r="N368">
        <v>124</v>
      </c>
      <c r="O368" t="s">
        <v>60</v>
      </c>
      <c r="P368">
        <v>71</v>
      </c>
      <c r="Q368">
        <v>74</v>
      </c>
      <c r="R368">
        <v>77</v>
      </c>
      <c r="S368">
        <v>77</v>
      </c>
      <c r="T368">
        <v>151</v>
      </c>
      <c r="U368" t="s">
        <v>48</v>
      </c>
      <c r="V368">
        <f t="shared" si="15"/>
        <v>5</v>
      </c>
      <c r="W368">
        <f t="shared" si="16"/>
        <v>0</v>
      </c>
      <c r="X368">
        <f t="shared" si="17"/>
        <v>0</v>
      </c>
      <c r="Y368">
        <v>141</v>
      </c>
      <c r="Z368">
        <v>275</v>
      </c>
      <c r="AA368" t="s">
        <v>2683</v>
      </c>
      <c r="AB368" t="s">
        <v>2685</v>
      </c>
      <c r="AC368" t="s">
        <v>93</v>
      </c>
      <c r="AD368">
        <v>6</v>
      </c>
      <c r="AE368">
        <v>71</v>
      </c>
      <c r="AF368" t="s">
        <v>126</v>
      </c>
      <c r="AH368" t="s">
        <v>226</v>
      </c>
      <c r="AI368">
        <v>176.99</v>
      </c>
      <c r="AJ368" t="s">
        <v>132</v>
      </c>
      <c r="AK368" t="s">
        <v>1209</v>
      </c>
      <c r="AL368" t="s">
        <v>1213</v>
      </c>
      <c r="AM368" t="s">
        <v>68</v>
      </c>
      <c r="AN368" s="1">
        <v>45640</v>
      </c>
      <c r="AO368">
        <v>2024</v>
      </c>
      <c r="AP368">
        <v>12</v>
      </c>
      <c r="AQ368" t="s">
        <v>116</v>
      </c>
      <c r="AS368" t="s">
        <v>85</v>
      </c>
      <c r="AT368">
        <v>2025</v>
      </c>
      <c r="AU368" t="s">
        <v>672</v>
      </c>
      <c r="AV368" t="s">
        <v>68</v>
      </c>
      <c r="AW368" t="s">
        <v>2682</v>
      </c>
      <c r="AX368">
        <v>2025</v>
      </c>
      <c r="AY368" t="s">
        <v>2683</v>
      </c>
      <c r="AZ368" t="s">
        <v>2683</v>
      </c>
    </row>
    <row r="369" spans="1:52" x14ac:dyDescent="0.25">
      <c r="A369" t="s">
        <v>2686</v>
      </c>
      <c r="B369" s="1">
        <v>35189</v>
      </c>
      <c r="C369" t="s">
        <v>2687</v>
      </c>
      <c r="D369">
        <v>478271</v>
      </c>
      <c r="E369" t="s">
        <v>46</v>
      </c>
      <c r="F369" t="s">
        <v>199</v>
      </c>
      <c r="G369" t="s">
        <v>1894</v>
      </c>
      <c r="H369" t="s">
        <v>2687</v>
      </c>
      <c r="I369" t="s">
        <v>277</v>
      </c>
      <c r="J369">
        <v>62</v>
      </c>
      <c r="K369">
        <v>65</v>
      </c>
      <c r="L369">
        <v>67</v>
      </c>
      <c r="M369">
        <v>67</v>
      </c>
      <c r="N369">
        <v>132</v>
      </c>
      <c r="O369" t="s">
        <v>48</v>
      </c>
      <c r="P369">
        <v>80</v>
      </c>
      <c r="Q369">
        <v>85</v>
      </c>
      <c r="R369">
        <v>90</v>
      </c>
      <c r="S369">
        <v>90</v>
      </c>
      <c r="T369">
        <v>175</v>
      </c>
      <c r="U369" t="s">
        <v>48</v>
      </c>
      <c r="V369">
        <f t="shared" si="15"/>
        <v>6</v>
      </c>
      <c r="W369">
        <f t="shared" si="16"/>
        <v>0</v>
      </c>
      <c r="X369">
        <f t="shared" si="17"/>
        <v>0</v>
      </c>
      <c r="Y369">
        <v>157</v>
      </c>
      <c r="Z369">
        <v>307</v>
      </c>
      <c r="AA369" t="s">
        <v>2688</v>
      </c>
      <c r="AB369" t="s">
        <v>2689</v>
      </c>
      <c r="AC369" t="s">
        <v>89</v>
      </c>
      <c r="AD369">
        <v>5</v>
      </c>
      <c r="AE369">
        <v>71</v>
      </c>
      <c r="AF369" t="s">
        <v>126</v>
      </c>
      <c r="AH369" t="s">
        <v>226</v>
      </c>
      <c r="AI369">
        <v>197.27</v>
      </c>
      <c r="AJ369" t="s">
        <v>132</v>
      </c>
      <c r="AK369" t="s">
        <v>199</v>
      </c>
      <c r="AL369" t="s">
        <v>203</v>
      </c>
      <c r="AM369" t="s">
        <v>53</v>
      </c>
      <c r="AN369" s="1">
        <v>45640</v>
      </c>
      <c r="AO369">
        <v>2024</v>
      </c>
      <c r="AP369">
        <v>12</v>
      </c>
      <c r="AQ369" t="s">
        <v>116</v>
      </c>
      <c r="AS369" t="s">
        <v>85</v>
      </c>
      <c r="AT369">
        <v>2025</v>
      </c>
      <c r="AU369" t="s">
        <v>1894</v>
      </c>
      <c r="AV369" t="s">
        <v>54</v>
      </c>
      <c r="AW369" t="s">
        <v>2687</v>
      </c>
      <c r="AX369">
        <v>2025</v>
      </c>
      <c r="AY369" t="s">
        <v>2688</v>
      </c>
      <c r="AZ369" t="s">
        <v>2688</v>
      </c>
    </row>
    <row r="370" spans="1:52" x14ac:dyDescent="0.25">
      <c r="A370" t="s">
        <v>2690</v>
      </c>
      <c r="B370" s="1">
        <v>35672</v>
      </c>
      <c r="C370" t="s">
        <v>2691</v>
      </c>
      <c r="D370">
        <v>464818</v>
      </c>
      <c r="E370" t="s">
        <v>46</v>
      </c>
      <c r="F370" t="s">
        <v>441</v>
      </c>
      <c r="G370" t="s">
        <v>417</v>
      </c>
      <c r="H370" t="s">
        <v>2691</v>
      </c>
      <c r="I370" t="s">
        <v>272</v>
      </c>
      <c r="J370">
        <v>72</v>
      </c>
      <c r="K370">
        <v>75</v>
      </c>
      <c r="L370">
        <v>-78</v>
      </c>
      <c r="M370">
        <v>75</v>
      </c>
      <c r="N370">
        <v>147</v>
      </c>
      <c r="O370" t="s">
        <v>60</v>
      </c>
      <c r="P370">
        <v>85</v>
      </c>
      <c r="Q370">
        <v>-88</v>
      </c>
      <c r="R370">
        <v>88</v>
      </c>
      <c r="S370">
        <v>88</v>
      </c>
      <c r="T370">
        <v>173</v>
      </c>
      <c r="U370" t="s">
        <v>65</v>
      </c>
      <c r="V370">
        <f t="shared" si="15"/>
        <v>4</v>
      </c>
      <c r="W370">
        <f t="shared" si="16"/>
        <v>0</v>
      </c>
      <c r="X370">
        <f t="shared" si="17"/>
        <v>0</v>
      </c>
      <c r="Y370">
        <v>163</v>
      </c>
      <c r="Z370">
        <v>320</v>
      </c>
      <c r="AA370" t="s">
        <v>2693</v>
      </c>
      <c r="AB370" t="s">
        <v>2694</v>
      </c>
      <c r="AC370" t="s">
        <v>94</v>
      </c>
      <c r="AD370">
        <v>4</v>
      </c>
      <c r="AE370">
        <v>59</v>
      </c>
      <c r="AF370" t="s">
        <v>126</v>
      </c>
      <c r="AH370" t="s">
        <v>202</v>
      </c>
      <c r="AI370">
        <v>226.08</v>
      </c>
      <c r="AJ370" t="s">
        <v>132</v>
      </c>
      <c r="AK370" t="s">
        <v>441</v>
      </c>
      <c r="AL370" t="s">
        <v>445</v>
      </c>
      <c r="AM370" t="s">
        <v>72</v>
      </c>
      <c r="AN370" s="1">
        <v>45640</v>
      </c>
      <c r="AO370">
        <v>2024</v>
      </c>
      <c r="AP370">
        <v>12</v>
      </c>
      <c r="AQ370" t="s">
        <v>116</v>
      </c>
      <c r="AS370" t="s">
        <v>85</v>
      </c>
      <c r="AT370">
        <v>2025</v>
      </c>
      <c r="AU370" t="s">
        <v>417</v>
      </c>
      <c r="AV370" t="s">
        <v>72</v>
      </c>
      <c r="AW370" t="s">
        <v>2691</v>
      </c>
      <c r="AX370">
        <v>2025</v>
      </c>
      <c r="AY370" t="s">
        <v>2692</v>
      </c>
      <c r="AZ370" t="s">
        <v>2693</v>
      </c>
    </row>
    <row r="371" spans="1:52" x14ac:dyDescent="0.25">
      <c r="A371" t="s">
        <v>2707</v>
      </c>
      <c r="B371" s="1">
        <v>42199</v>
      </c>
      <c r="C371" t="s">
        <v>2708</v>
      </c>
      <c r="D371">
        <v>500040</v>
      </c>
      <c r="E371" t="s">
        <v>46</v>
      </c>
      <c r="F371" t="s">
        <v>760</v>
      </c>
      <c r="G371" t="s">
        <v>419</v>
      </c>
      <c r="H371" t="s">
        <v>2708</v>
      </c>
      <c r="I371" t="s">
        <v>2710</v>
      </c>
      <c r="J371">
        <v>10</v>
      </c>
      <c r="K371">
        <v>12</v>
      </c>
      <c r="L371">
        <v>13</v>
      </c>
      <c r="M371">
        <v>13</v>
      </c>
      <c r="N371">
        <v>25</v>
      </c>
      <c r="O371" t="s">
        <v>48</v>
      </c>
      <c r="P371">
        <v>12</v>
      </c>
      <c r="Q371">
        <v>14</v>
      </c>
      <c r="R371">
        <v>16</v>
      </c>
      <c r="S371">
        <v>16</v>
      </c>
      <c r="T371">
        <v>30</v>
      </c>
      <c r="U371" t="s">
        <v>48</v>
      </c>
      <c r="V371">
        <f t="shared" si="15"/>
        <v>6</v>
      </c>
      <c r="W371">
        <f t="shared" si="16"/>
        <v>0</v>
      </c>
      <c r="X371">
        <f t="shared" si="17"/>
        <v>0</v>
      </c>
      <c r="Y371">
        <v>29</v>
      </c>
      <c r="Z371">
        <v>55</v>
      </c>
      <c r="AA371" t="s">
        <v>2709</v>
      </c>
      <c r="AB371" t="s">
        <v>2711</v>
      </c>
      <c r="AC371" t="s">
        <v>49</v>
      </c>
      <c r="AD371">
        <v>999</v>
      </c>
      <c r="AE371" t="s">
        <v>190</v>
      </c>
      <c r="AF371" t="s">
        <v>80</v>
      </c>
      <c r="AH371" t="s">
        <v>191</v>
      </c>
      <c r="AI371">
        <v>160.02000000000001</v>
      </c>
      <c r="AJ371" t="s">
        <v>132</v>
      </c>
      <c r="AK371" t="s">
        <v>760</v>
      </c>
      <c r="AL371" t="s">
        <v>763</v>
      </c>
      <c r="AM371" t="s">
        <v>133</v>
      </c>
      <c r="AN371" s="1">
        <v>45640</v>
      </c>
      <c r="AO371">
        <v>2024</v>
      </c>
      <c r="AP371">
        <v>12</v>
      </c>
      <c r="AQ371" t="s">
        <v>116</v>
      </c>
      <c r="AS371" t="s">
        <v>85</v>
      </c>
      <c r="AT371">
        <v>2025</v>
      </c>
      <c r="AU371" t="s">
        <v>419</v>
      </c>
      <c r="AV371" t="s">
        <v>133</v>
      </c>
      <c r="AW371" t="s">
        <v>2708</v>
      </c>
      <c r="AX371">
        <v>2025</v>
      </c>
      <c r="AY371" t="s">
        <v>2709</v>
      </c>
      <c r="AZ371" t="s">
        <v>2709</v>
      </c>
    </row>
    <row r="372" spans="1:52" x14ac:dyDescent="0.25">
      <c r="A372" t="s">
        <v>2701</v>
      </c>
      <c r="B372" s="1">
        <v>38622</v>
      </c>
      <c r="C372" t="s">
        <v>2702</v>
      </c>
      <c r="D372">
        <v>482446</v>
      </c>
      <c r="E372" t="s">
        <v>46</v>
      </c>
      <c r="F372" t="s">
        <v>801</v>
      </c>
      <c r="G372" t="s">
        <v>478</v>
      </c>
      <c r="H372" t="s">
        <v>2702</v>
      </c>
      <c r="I372" t="s">
        <v>959</v>
      </c>
      <c r="J372">
        <v>-43</v>
      </c>
      <c r="K372">
        <v>45</v>
      </c>
      <c r="L372">
        <v>-48</v>
      </c>
      <c r="M372">
        <v>45</v>
      </c>
      <c r="N372">
        <v>0</v>
      </c>
      <c r="O372" t="s">
        <v>104</v>
      </c>
      <c r="P372">
        <v>55</v>
      </c>
      <c r="Q372">
        <v>60</v>
      </c>
      <c r="R372">
        <v>-63</v>
      </c>
      <c r="S372">
        <v>60</v>
      </c>
      <c r="T372">
        <v>115</v>
      </c>
      <c r="U372" t="s">
        <v>60</v>
      </c>
      <c r="V372">
        <f t="shared" si="15"/>
        <v>3</v>
      </c>
      <c r="W372">
        <f t="shared" si="16"/>
        <v>0</v>
      </c>
      <c r="X372">
        <f t="shared" si="17"/>
        <v>0</v>
      </c>
      <c r="Y372">
        <v>105</v>
      </c>
      <c r="Z372">
        <v>115</v>
      </c>
      <c r="AA372" t="s">
        <v>2705</v>
      </c>
      <c r="AB372" t="s">
        <v>2706</v>
      </c>
      <c r="AC372" t="s">
        <v>89</v>
      </c>
      <c r="AD372">
        <v>5</v>
      </c>
      <c r="AE372">
        <v>49</v>
      </c>
      <c r="AF372" t="s">
        <v>113</v>
      </c>
      <c r="AH372" t="s">
        <v>821</v>
      </c>
      <c r="AI372">
        <v>165.28</v>
      </c>
      <c r="AJ372" t="s">
        <v>132</v>
      </c>
      <c r="AK372" t="s">
        <v>801</v>
      </c>
      <c r="AL372" t="s">
        <v>804</v>
      </c>
      <c r="AM372" t="s">
        <v>68</v>
      </c>
      <c r="AN372" s="1">
        <v>45640</v>
      </c>
      <c r="AO372">
        <v>2024</v>
      </c>
      <c r="AP372">
        <v>12</v>
      </c>
      <c r="AQ372" t="s">
        <v>116</v>
      </c>
      <c r="AS372" t="s">
        <v>85</v>
      </c>
      <c r="AT372">
        <v>2025</v>
      </c>
      <c r="AU372" t="s">
        <v>478</v>
      </c>
      <c r="AV372" t="s">
        <v>68</v>
      </c>
      <c r="AW372" t="s">
        <v>2702</v>
      </c>
      <c r="AX372">
        <v>2025</v>
      </c>
      <c r="AY372" t="s">
        <v>2703</v>
      </c>
      <c r="AZ372" t="s">
        <v>2703</v>
      </c>
    </row>
    <row r="373" spans="1:52" x14ac:dyDescent="0.25">
      <c r="A373" t="s">
        <v>2712</v>
      </c>
      <c r="B373" s="1">
        <v>40836</v>
      </c>
      <c r="C373" t="s">
        <v>2713</v>
      </c>
      <c r="D373">
        <v>496293</v>
      </c>
      <c r="E373" t="s">
        <v>46</v>
      </c>
      <c r="F373" t="s">
        <v>338</v>
      </c>
      <c r="G373" t="s">
        <v>335</v>
      </c>
      <c r="H373" t="s">
        <v>2713</v>
      </c>
      <c r="I373" t="s">
        <v>852</v>
      </c>
      <c r="J373">
        <v>21</v>
      </c>
      <c r="K373">
        <v>-23</v>
      </c>
      <c r="L373">
        <v>23</v>
      </c>
      <c r="M373">
        <v>23</v>
      </c>
      <c r="N373">
        <v>44</v>
      </c>
      <c r="O373" t="s">
        <v>65</v>
      </c>
      <c r="P373">
        <v>30</v>
      </c>
      <c r="Q373">
        <v>33</v>
      </c>
      <c r="R373">
        <v>-35</v>
      </c>
      <c r="S373">
        <v>33</v>
      </c>
      <c r="T373">
        <v>63</v>
      </c>
      <c r="U373" t="s">
        <v>60</v>
      </c>
      <c r="V373">
        <f t="shared" si="15"/>
        <v>4</v>
      </c>
      <c r="W373">
        <f t="shared" si="16"/>
        <v>0</v>
      </c>
      <c r="X373">
        <f t="shared" si="17"/>
        <v>0</v>
      </c>
      <c r="Y373">
        <v>56</v>
      </c>
      <c r="Z373">
        <v>107</v>
      </c>
      <c r="AA373" t="s">
        <v>2715</v>
      </c>
      <c r="AB373" t="s">
        <v>2716</v>
      </c>
      <c r="AC373" t="s">
        <v>93</v>
      </c>
      <c r="AD373">
        <v>6</v>
      </c>
      <c r="AE373">
        <v>45</v>
      </c>
      <c r="AF373" t="s">
        <v>57</v>
      </c>
      <c r="AH373" t="s">
        <v>313</v>
      </c>
      <c r="AI373">
        <v>95.25</v>
      </c>
      <c r="AJ373" t="s">
        <v>132</v>
      </c>
      <c r="AK373" t="s">
        <v>338</v>
      </c>
      <c r="AL373" t="s">
        <v>340</v>
      </c>
      <c r="AM373" t="s">
        <v>128</v>
      </c>
      <c r="AN373" s="1">
        <v>45640</v>
      </c>
      <c r="AO373">
        <v>2024</v>
      </c>
      <c r="AP373">
        <v>12</v>
      </c>
      <c r="AQ373" t="s">
        <v>116</v>
      </c>
      <c r="AS373" t="s">
        <v>85</v>
      </c>
      <c r="AT373">
        <v>2025</v>
      </c>
      <c r="AU373" t="s">
        <v>335</v>
      </c>
      <c r="AV373" t="s">
        <v>128</v>
      </c>
      <c r="AW373" t="s">
        <v>2713</v>
      </c>
      <c r="AX373">
        <v>2025</v>
      </c>
      <c r="AY373" t="s">
        <v>2714</v>
      </c>
      <c r="AZ373" t="s">
        <v>2715</v>
      </c>
    </row>
    <row r="374" spans="1:52" x14ac:dyDescent="0.25">
      <c r="A374" t="s">
        <v>2717</v>
      </c>
      <c r="B374" s="1">
        <v>36936</v>
      </c>
      <c r="C374" t="s">
        <v>2718</v>
      </c>
      <c r="D374">
        <v>464551</v>
      </c>
      <c r="E374" t="s">
        <v>46</v>
      </c>
      <c r="F374" t="s">
        <v>948</v>
      </c>
      <c r="G374" t="s">
        <v>221</v>
      </c>
      <c r="H374" t="s">
        <v>2718</v>
      </c>
      <c r="I374" t="s">
        <v>1572</v>
      </c>
      <c r="J374">
        <v>77</v>
      </c>
      <c r="K374">
        <v>-82</v>
      </c>
      <c r="L374">
        <v>-82</v>
      </c>
      <c r="M374">
        <v>77</v>
      </c>
      <c r="N374">
        <v>0</v>
      </c>
      <c r="O374" t="s">
        <v>55</v>
      </c>
      <c r="P374">
        <v>88</v>
      </c>
      <c r="Q374">
        <v>94</v>
      </c>
      <c r="R374">
        <v>-98</v>
      </c>
      <c r="S374">
        <v>94</v>
      </c>
      <c r="T374">
        <v>182</v>
      </c>
      <c r="U374" t="s">
        <v>60</v>
      </c>
      <c r="V374">
        <f t="shared" si="15"/>
        <v>3</v>
      </c>
      <c r="W374">
        <f t="shared" si="16"/>
        <v>0</v>
      </c>
      <c r="X374">
        <f t="shared" si="17"/>
        <v>0</v>
      </c>
      <c r="Y374">
        <v>171</v>
      </c>
      <c r="Z374">
        <v>182</v>
      </c>
      <c r="AA374" t="s">
        <v>2720</v>
      </c>
      <c r="AB374" t="s">
        <v>2721</v>
      </c>
      <c r="AC374" t="s">
        <v>94</v>
      </c>
      <c r="AD374">
        <v>4</v>
      </c>
      <c r="AE374">
        <v>64</v>
      </c>
      <c r="AF374" t="s">
        <v>126</v>
      </c>
      <c r="AH374" t="s">
        <v>167</v>
      </c>
      <c r="AI374">
        <v>223.52</v>
      </c>
      <c r="AJ374" t="s">
        <v>132</v>
      </c>
      <c r="AK374" t="s">
        <v>948</v>
      </c>
      <c r="AL374" t="s">
        <v>949</v>
      </c>
      <c r="AM374" t="s">
        <v>133</v>
      </c>
      <c r="AN374" s="1">
        <v>45640</v>
      </c>
      <c r="AO374">
        <v>2024</v>
      </c>
      <c r="AP374">
        <v>12</v>
      </c>
      <c r="AQ374" t="s">
        <v>116</v>
      </c>
      <c r="AS374" t="s">
        <v>85</v>
      </c>
      <c r="AT374">
        <v>2025</v>
      </c>
      <c r="AU374" t="s">
        <v>221</v>
      </c>
      <c r="AV374" t="s">
        <v>133</v>
      </c>
      <c r="AW374" t="s">
        <v>2718</v>
      </c>
      <c r="AX374">
        <v>2025</v>
      </c>
      <c r="AY374" t="s">
        <v>2719</v>
      </c>
      <c r="AZ374" t="s">
        <v>2722</v>
      </c>
    </row>
    <row r="375" spans="1:52" x14ac:dyDescent="0.25">
      <c r="A375" t="s">
        <v>2723</v>
      </c>
      <c r="B375" s="1">
        <v>32273</v>
      </c>
      <c r="C375" t="s">
        <v>2724</v>
      </c>
      <c r="D375">
        <v>494937</v>
      </c>
      <c r="E375" t="s">
        <v>46</v>
      </c>
      <c r="F375" t="s">
        <v>263</v>
      </c>
      <c r="G375" t="s">
        <v>147</v>
      </c>
      <c r="H375" t="s">
        <v>2724</v>
      </c>
      <c r="I375" t="s">
        <v>358</v>
      </c>
      <c r="J375">
        <v>54</v>
      </c>
      <c r="K375">
        <v>-56</v>
      </c>
      <c r="L375">
        <v>-56</v>
      </c>
      <c r="M375">
        <v>54</v>
      </c>
      <c r="N375">
        <v>0</v>
      </c>
      <c r="O375" t="s">
        <v>55</v>
      </c>
      <c r="P375">
        <v>67</v>
      </c>
      <c r="Q375">
        <v>0</v>
      </c>
      <c r="R375">
        <v>0</v>
      </c>
      <c r="S375">
        <v>67</v>
      </c>
      <c r="T375">
        <v>0</v>
      </c>
      <c r="U375" t="s">
        <v>55</v>
      </c>
      <c r="V375">
        <f t="shared" si="15"/>
        <v>2</v>
      </c>
      <c r="W375">
        <f t="shared" si="16"/>
        <v>0</v>
      </c>
      <c r="X375">
        <f t="shared" si="17"/>
        <v>0</v>
      </c>
      <c r="Y375">
        <v>121</v>
      </c>
      <c r="Z375">
        <v>0</v>
      </c>
      <c r="AA375" t="s">
        <v>2725</v>
      </c>
      <c r="AB375" t="s">
        <v>99</v>
      </c>
      <c r="AC375" t="s">
        <v>93</v>
      </c>
      <c r="AD375">
        <v>6</v>
      </c>
      <c r="AE375">
        <v>59</v>
      </c>
      <c r="AF375" t="s">
        <v>126</v>
      </c>
      <c r="AG375">
        <v>35</v>
      </c>
      <c r="AH375" t="s">
        <v>202</v>
      </c>
      <c r="AI375">
        <v>169.21</v>
      </c>
      <c r="AJ375" t="s">
        <v>132</v>
      </c>
      <c r="AK375" t="s">
        <v>263</v>
      </c>
      <c r="AL375" t="s">
        <v>267</v>
      </c>
      <c r="AM375" t="s">
        <v>145</v>
      </c>
      <c r="AN375" s="1">
        <v>45640</v>
      </c>
      <c r="AO375">
        <v>2024</v>
      </c>
      <c r="AP375">
        <v>12</v>
      </c>
      <c r="AQ375" t="s">
        <v>116</v>
      </c>
      <c r="AS375" t="s">
        <v>85</v>
      </c>
      <c r="AT375">
        <v>2025</v>
      </c>
      <c r="AU375" t="s">
        <v>147</v>
      </c>
      <c r="AV375" t="s">
        <v>145</v>
      </c>
      <c r="AW375" t="s">
        <v>2724</v>
      </c>
      <c r="AX375">
        <v>2025</v>
      </c>
      <c r="AY375" t="s">
        <v>857</v>
      </c>
      <c r="AZ375" t="s">
        <v>2725</v>
      </c>
    </row>
    <row r="376" spans="1:52" x14ac:dyDescent="0.25">
      <c r="A376" t="s">
        <v>2726</v>
      </c>
      <c r="B376" s="1">
        <v>34417</v>
      </c>
      <c r="C376" t="s">
        <v>2727</v>
      </c>
      <c r="D376">
        <v>476116</v>
      </c>
      <c r="E376" t="s">
        <v>46</v>
      </c>
      <c r="F376" t="s">
        <v>948</v>
      </c>
      <c r="G376" t="s">
        <v>329</v>
      </c>
      <c r="H376" t="s">
        <v>2727</v>
      </c>
      <c r="I376" t="s">
        <v>365</v>
      </c>
      <c r="J376">
        <v>-56</v>
      </c>
      <c r="K376">
        <v>56</v>
      </c>
      <c r="L376">
        <v>60</v>
      </c>
      <c r="M376">
        <v>60</v>
      </c>
      <c r="N376">
        <v>116</v>
      </c>
      <c r="O376" t="s">
        <v>63</v>
      </c>
      <c r="P376">
        <v>-74</v>
      </c>
      <c r="Q376">
        <v>74</v>
      </c>
      <c r="R376">
        <v>77</v>
      </c>
      <c r="S376">
        <v>77</v>
      </c>
      <c r="T376">
        <v>151</v>
      </c>
      <c r="U376" t="s">
        <v>63</v>
      </c>
      <c r="V376">
        <f t="shared" si="15"/>
        <v>4</v>
      </c>
      <c r="W376">
        <f t="shared" si="16"/>
        <v>0</v>
      </c>
      <c r="X376">
        <f t="shared" si="17"/>
        <v>0</v>
      </c>
      <c r="Y376">
        <v>137</v>
      </c>
      <c r="Z376">
        <v>267</v>
      </c>
      <c r="AA376" t="s">
        <v>2728</v>
      </c>
      <c r="AB376" t="s">
        <v>2729</v>
      </c>
      <c r="AC376" t="s">
        <v>93</v>
      </c>
      <c r="AD376">
        <v>6</v>
      </c>
      <c r="AE376">
        <v>71</v>
      </c>
      <c r="AF376" t="s">
        <v>126</v>
      </c>
      <c r="AH376" t="s">
        <v>226</v>
      </c>
      <c r="AI376">
        <v>176.39</v>
      </c>
      <c r="AJ376" t="s">
        <v>132</v>
      </c>
      <c r="AK376" t="s">
        <v>948</v>
      </c>
      <c r="AL376" t="s">
        <v>949</v>
      </c>
      <c r="AM376" t="s">
        <v>133</v>
      </c>
      <c r="AN376" s="1">
        <v>45640</v>
      </c>
      <c r="AO376">
        <v>2024</v>
      </c>
      <c r="AP376">
        <v>12</v>
      </c>
      <c r="AQ376" t="s">
        <v>116</v>
      </c>
      <c r="AS376" t="s">
        <v>85</v>
      </c>
      <c r="AT376">
        <v>2025</v>
      </c>
      <c r="AU376" t="s">
        <v>329</v>
      </c>
      <c r="AV376" t="s">
        <v>133</v>
      </c>
      <c r="AW376" t="s">
        <v>2727</v>
      </c>
      <c r="AX376">
        <v>2025</v>
      </c>
      <c r="AY376" t="s">
        <v>2728</v>
      </c>
      <c r="AZ376" t="s">
        <v>2728</v>
      </c>
    </row>
    <row r="377" spans="1:52" x14ac:dyDescent="0.25">
      <c r="A377" t="s">
        <v>2805</v>
      </c>
      <c r="B377" s="1">
        <v>39851</v>
      </c>
      <c r="C377" t="s">
        <v>2806</v>
      </c>
      <c r="D377">
        <v>463291</v>
      </c>
      <c r="E377" t="s">
        <v>46</v>
      </c>
      <c r="F377" t="s">
        <v>456</v>
      </c>
      <c r="G377" t="s">
        <v>449</v>
      </c>
      <c r="H377" t="s">
        <v>2806</v>
      </c>
      <c r="I377" t="s">
        <v>2808</v>
      </c>
      <c r="J377">
        <v>48</v>
      </c>
      <c r="K377">
        <v>-51</v>
      </c>
      <c r="L377">
        <v>51</v>
      </c>
      <c r="M377">
        <v>51</v>
      </c>
      <c r="N377">
        <v>99</v>
      </c>
      <c r="O377" t="s">
        <v>65</v>
      </c>
      <c r="P377">
        <v>68</v>
      </c>
      <c r="Q377">
        <v>72</v>
      </c>
      <c r="R377">
        <v>-75</v>
      </c>
      <c r="S377">
        <v>72</v>
      </c>
      <c r="T377">
        <v>140</v>
      </c>
      <c r="U377" t="s">
        <v>60</v>
      </c>
      <c r="V377">
        <f t="shared" si="15"/>
        <v>4</v>
      </c>
      <c r="W377">
        <f t="shared" si="16"/>
        <v>0</v>
      </c>
      <c r="X377">
        <f t="shared" si="17"/>
        <v>0</v>
      </c>
      <c r="Y377">
        <v>123</v>
      </c>
      <c r="Z377">
        <v>239</v>
      </c>
      <c r="AA377" t="s">
        <v>2809</v>
      </c>
      <c r="AB377" t="s">
        <v>2810</v>
      </c>
      <c r="AC377" t="s">
        <v>94</v>
      </c>
      <c r="AD377">
        <v>4</v>
      </c>
      <c r="AE377">
        <v>55</v>
      </c>
      <c r="AF377" t="s">
        <v>95</v>
      </c>
      <c r="AH377" t="s">
        <v>175</v>
      </c>
      <c r="AI377">
        <v>182.79</v>
      </c>
      <c r="AJ377" t="s">
        <v>132</v>
      </c>
      <c r="AK377" t="s">
        <v>456</v>
      </c>
      <c r="AL377" t="s">
        <v>460</v>
      </c>
      <c r="AM377" t="s">
        <v>173</v>
      </c>
      <c r="AN377" s="1">
        <v>45641</v>
      </c>
      <c r="AO377">
        <v>2024</v>
      </c>
      <c r="AP377">
        <v>12</v>
      </c>
      <c r="AQ377" t="s">
        <v>116</v>
      </c>
      <c r="AS377" t="s">
        <v>85</v>
      </c>
      <c r="AT377">
        <v>2025</v>
      </c>
      <c r="AU377" t="s">
        <v>449</v>
      </c>
      <c r="AV377" t="s">
        <v>173</v>
      </c>
      <c r="AW377" t="s">
        <v>2806</v>
      </c>
      <c r="AX377">
        <v>2025</v>
      </c>
      <c r="AY377" t="s">
        <v>2807</v>
      </c>
      <c r="AZ377" t="s">
        <v>2809</v>
      </c>
    </row>
    <row r="378" spans="1:52" x14ac:dyDescent="0.25">
      <c r="A378" t="s">
        <v>2730</v>
      </c>
      <c r="B378" s="1">
        <v>39761</v>
      </c>
      <c r="C378" t="s">
        <v>2731</v>
      </c>
      <c r="D378">
        <v>472719</v>
      </c>
      <c r="E378" t="s">
        <v>46</v>
      </c>
      <c r="F378" t="s">
        <v>109</v>
      </c>
      <c r="G378" t="s">
        <v>413</v>
      </c>
      <c r="H378" t="s">
        <v>2731</v>
      </c>
      <c r="I378" t="s">
        <v>474</v>
      </c>
      <c r="J378">
        <v>50</v>
      </c>
      <c r="K378">
        <v>57</v>
      </c>
      <c r="L378">
        <v>-60</v>
      </c>
      <c r="M378">
        <v>57</v>
      </c>
      <c r="N378">
        <v>107</v>
      </c>
      <c r="O378" t="s">
        <v>60</v>
      </c>
      <c r="P378">
        <v>60</v>
      </c>
      <c r="Q378">
        <v>67</v>
      </c>
      <c r="R378">
        <v>70</v>
      </c>
      <c r="S378">
        <v>70</v>
      </c>
      <c r="T378">
        <v>137</v>
      </c>
      <c r="U378" t="s">
        <v>48</v>
      </c>
      <c r="V378">
        <f t="shared" si="15"/>
        <v>5</v>
      </c>
      <c r="W378">
        <f t="shared" si="16"/>
        <v>0</v>
      </c>
      <c r="X378">
        <f t="shared" si="17"/>
        <v>0</v>
      </c>
      <c r="Y378">
        <v>127</v>
      </c>
      <c r="Z378">
        <v>244</v>
      </c>
      <c r="AA378" t="s">
        <v>2733</v>
      </c>
      <c r="AB378" t="s">
        <v>2734</v>
      </c>
      <c r="AC378" t="s">
        <v>94</v>
      </c>
      <c r="AD378">
        <v>4</v>
      </c>
      <c r="AE378">
        <v>64</v>
      </c>
      <c r="AF378" t="s">
        <v>95</v>
      </c>
      <c r="AH378" t="s">
        <v>169</v>
      </c>
      <c r="AI378">
        <v>167.07</v>
      </c>
      <c r="AJ378" t="s">
        <v>132</v>
      </c>
      <c r="AK378" t="s">
        <v>109</v>
      </c>
      <c r="AL378" t="s">
        <v>115</v>
      </c>
      <c r="AM378" t="s">
        <v>90</v>
      </c>
      <c r="AN378" s="1">
        <v>45639</v>
      </c>
      <c r="AO378">
        <v>2024</v>
      </c>
      <c r="AP378">
        <v>12</v>
      </c>
      <c r="AQ378" t="s">
        <v>116</v>
      </c>
      <c r="AS378" t="s">
        <v>85</v>
      </c>
      <c r="AT378">
        <v>2025</v>
      </c>
      <c r="AU378" t="s">
        <v>413</v>
      </c>
      <c r="AV378" t="s">
        <v>91</v>
      </c>
      <c r="AW378" t="s">
        <v>2731</v>
      </c>
      <c r="AX378">
        <v>2025</v>
      </c>
      <c r="AY378" t="s">
        <v>2732</v>
      </c>
      <c r="AZ378" t="s">
        <v>2732</v>
      </c>
    </row>
    <row r="379" spans="1:52" x14ac:dyDescent="0.25">
      <c r="A379" t="s">
        <v>2735</v>
      </c>
      <c r="B379" s="1">
        <v>41052</v>
      </c>
      <c r="C379" t="s">
        <v>2736</v>
      </c>
      <c r="D379">
        <v>496920</v>
      </c>
      <c r="E379" t="s">
        <v>46</v>
      </c>
      <c r="F379" t="s">
        <v>867</v>
      </c>
      <c r="G379" t="s">
        <v>255</v>
      </c>
      <c r="H379" t="s">
        <v>2736</v>
      </c>
      <c r="I379" t="s">
        <v>454</v>
      </c>
      <c r="J379">
        <v>10</v>
      </c>
      <c r="K379">
        <v>12</v>
      </c>
      <c r="L379">
        <v>14</v>
      </c>
      <c r="M379">
        <v>14</v>
      </c>
      <c r="N379">
        <v>26</v>
      </c>
      <c r="O379" t="s">
        <v>48</v>
      </c>
      <c r="P379">
        <v>15</v>
      </c>
      <c r="Q379">
        <v>16</v>
      </c>
      <c r="R379">
        <v>18</v>
      </c>
      <c r="S379">
        <v>18</v>
      </c>
      <c r="T379">
        <v>34</v>
      </c>
      <c r="U379" t="s">
        <v>48</v>
      </c>
      <c r="V379">
        <f t="shared" si="15"/>
        <v>6</v>
      </c>
      <c r="W379">
        <f t="shared" si="16"/>
        <v>0</v>
      </c>
      <c r="X379">
        <f t="shared" si="17"/>
        <v>0</v>
      </c>
      <c r="Y379">
        <v>32</v>
      </c>
      <c r="Z379">
        <v>60</v>
      </c>
      <c r="AA379" t="s">
        <v>2738</v>
      </c>
      <c r="AB379" t="s">
        <v>2739</v>
      </c>
      <c r="AC379" t="s">
        <v>49</v>
      </c>
      <c r="AD379">
        <v>999</v>
      </c>
      <c r="AE379">
        <v>40</v>
      </c>
      <c r="AF379" t="s">
        <v>50</v>
      </c>
      <c r="AH379" t="s">
        <v>452</v>
      </c>
      <c r="AI379">
        <v>112.01</v>
      </c>
      <c r="AJ379" t="s">
        <v>132</v>
      </c>
      <c r="AK379" t="s">
        <v>867</v>
      </c>
      <c r="AL379" t="s">
        <v>869</v>
      </c>
      <c r="AM379" t="s">
        <v>68</v>
      </c>
      <c r="AN379" s="1">
        <v>45641</v>
      </c>
      <c r="AO379">
        <v>2024</v>
      </c>
      <c r="AP379">
        <v>12</v>
      </c>
      <c r="AQ379" t="s">
        <v>116</v>
      </c>
      <c r="AS379" t="s">
        <v>85</v>
      </c>
      <c r="AT379">
        <v>2025</v>
      </c>
      <c r="AU379" t="s">
        <v>255</v>
      </c>
      <c r="AV379" t="s">
        <v>68</v>
      </c>
      <c r="AW379" t="s">
        <v>2736</v>
      </c>
      <c r="AX379">
        <v>2025</v>
      </c>
      <c r="AY379" t="s">
        <v>2737</v>
      </c>
      <c r="AZ379" t="s">
        <v>2738</v>
      </c>
    </row>
    <row r="380" spans="1:52" x14ac:dyDescent="0.25">
      <c r="A380" t="s">
        <v>2740</v>
      </c>
      <c r="B380" s="1">
        <v>41827</v>
      </c>
      <c r="C380" t="s">
        <v>2741</v>
      </c>
      <c r="D380">
        <v>475470</v>
      </c>
      <c r="E380" t="s">
        <v>46</v>
      </c>
      <c r="F380" t="s">
        <v>1360</v>
      </c>
      <c r="G380" t="s">
        <v>1169</v>
      </c>
      <c r="H380" t="s">
        <v>2741</v>
      </c>
      <c r="I380" t="s">
        <v>704</v>
      </c>
      <c r="J380">
        <v>11</v>
      </c>
      <c r="K380">
        <v>13</v>
      </c>
      <c r="L380">
        <v>-15</v>
      </c>
      <c r="M380">
        <v>13</v>
      </c>
      <c r="N380">
        <v>24</v>
      </c>
      <c r="O380" t="s">
        <v>60</v>
      </c>
      <c r="P380">
        <v>15</v>
      </c>
      <c r="Q380">
        <v>17</v>
      </c>
      <c r="R380">
        <v>19</v>
      </c>
      <c r="S380">
        <v>19</v>
      </c>
      <c r="T380">
        <v>36</v>
      </c>
      <c r="U380" t="s">
        <v>48</v>
      </c>
      <c r="V380">
        <f t="shared" si="15"/>
        <v>5</v>
      </c>
      <c r="W380">
        <f t="shared" si="16"/>
        <v>0</v>
      </c>
      <c r="X380">
        <f t="shared" si="17"/>
        <v>0</v>
      </c>
      <c r="Y380">
        <v>32</v>
      </c>
      <c r="Z380">
        <v>60</v>
      </c>
      <c r="AA380" t="s">
        <v>2742</v>
      </c>
      <c r="AB380" t="s">
        <v>2743</v>
      </c>
      <c r="AC380" t="s">
        <v>49</v>
      </c>
      <c r="AD380">
        <v>999</v>
      </c>
      <c r="AE380">
        <v>40</v>
      </c>
      <c r="AF380" t="s">
        <v>50</v>
      </c>
      <c r="AH380" t="s">
        <v>51</v>
      </c>
      <c r="AI380">
        <v>132.61000000000001</v>
      </c>
      <c r="AJ380" t="s">
        <v>52</v>
      </c>
      <c r="AK380" t="s">
        <v>1360</v>
      </c>
      <c r="AL380" t="s">
        <v>1364</v>
      </c>
      <c r="AM380" t="s">
        <v>68</v>
      </c>
      <c r="AN380" s="1">
        <v>45640</v>
      </c>
      <c r="AO380">
        <v>2024</v>
      </c>
      <c r="AP380">
        <v>12</v>
      </c>
      <c r="AQ380" t="s">
        <v>116</v>
      </c>
      <c r="AS380" t="s">
        <v>85</v>
      </c>
      <c r="AT380">
        <v>2025</v>
      </c>
      <c r="AU380" t="s">
        <v>1169</v>
      </c>
      <c r="AV380" t="s">
        <v>68</v>
      </c>
      <c r="AW380" t="s">
        <v>2741</v>
      </c>
      <c r="AX380">
        <v>2025</v>
      </c>
      <c r="AY380" t="s">
        <v>2742</v>
      </c>
      <c r="AZ380" t="s">
        <v>2742</v>
      </c>
    </row>
    <row r="381" spans="1:52" x14ac:dyDescent="0.25">
      <c r="A381" t="s">
        <v>2745</v>
      </c>
      <c r="B381" s="1">
        <v>33916</v>
      </c>
      <c r="C381" t="s">
        <v>2746</v>
      </c>
      <c r="D381">
        <v>75095</v>
      </c>
      <c r="E381" t="s">
        <v>46</v>
      </c>
      <c r="F381" t="s">
        <v>729</v>
      </c>
      <c r="G381" t="s">
        <v>464</v>
      </c>
      <c r="H381" t="s">
        <v>2746</v>
      </c>
      <c r="I381" t="s">
        <v>423</v>
      </c>
      <c r="J381">
        <v>-100</v>
      </c>
      <c r="K381">
        <v>100</v>
      </c>
      <c r="L381">
        <v>-105</v>
      </c>
      <c r="M381">
        <v>100</v>
      </c>
      <c r="N381">
        <v>0</v>
      </c>
      <c r="O381" t="s">
        <v>104</v>
      </c>
      <c r="P381">
        <v>115</v>
      </c>
      <c r="Q381">
        <v>123</v>
      </c>
      <c r="R381">
        <v>-130</v>
      </c>
      <c r="S381">
        <v>123</v>
      </c>
      <c r="T381">
        <v>238</v>
      </c>
      <c r="U381" t="s">
        <v>60</v>
      </c>
      <c r="V381">
        <f t="shared" si="15"/>
        <v>3</v>
      </c>
      <c r="W381">
        <f t="shared" si="16"/>
        <v>0</v>
      </c>
      <c r="X381">
        <f t="shared" si="17"/>
        <v>0</v>
      </c>
      <c r="Y381">
        <v>223</v>
      </c>
      <c r="Z381">
        <v>238</v>
      </c>
      <c r="AA381" t="s">
        <v>2748</v>
      </c>
      <c r="AB381" t="s">
        <v>2749</v>
      </c>
      <c r="AC381" t="s">
        <v>93</v>
      </c>
      <c r="AD381">
        <v>6</v>
      </c>
      <c r="AE381">
        <v>81</v>
      </c>
      <c r="AF381" t="s">
        <v>126</v>
      </c>
      <c r="AH381" t="s">
        <v>138</v>
      </c>
      <c r="AI381">
        <v>286.04000000000002</v>
      </c>
      <c r="AJ381" t="s">
        <v>52</v>
      </c>
      <c r="AK381" t="s">
        <v>729</v>
      </c>
      <c r="AL381" t="s">
        <v>732</v>
      </c>
      <c r="AM381" t="s">
        <v>68</v>
      </c>
      <c r="AN381" s="1">
        <v>45640</v>
      </c>
      <c r="AO381">
        <v>2024</v>
      </c>
      <c r="AP381">
        <v>12</v>
      </c>
      <c r="AQ381" t="s">
        <v>116</v>
      </c>
      <c r="AS381" t="s">
        <v>85</v>
      </c>
      <c r="AT381">
        <v>2025</v>
      </c>
      <c r="AU381" t="s">
        <v>464</v>
      </c>
      <c r="AV381" t="s">
        <v>68</v>
      </c>
      <c r="AW381" t="s">
        <v>2746</v>
      </c>
      <c r="AX381">
        <v>2025</v>
      </c>
      <c r="AY381" t="s">
        <v>2747</v>
      </c>
      <c r="AZ381" t="s">
        <v>2747</v>
      </c>
    </row>
    <row r="382" spans="1:52" x14ac:dyDescent="0.25">
      <c r="A382" t="s">
        <v>2750</v>
      </c>
      <c r="B382" s="1">
        <v>33704</v>
      </c>
      <c r="C382" t="s">
        <v>2751</v>
      </c>
      <c r="D382">
        <v>25361</v>
      </c>
      <c r="E382" t="s">
        <v>46</v>
      </c>
      <c r="F382" t="s">
        <v>1737</v>
      </c>
      <c r="G382" t="s">
        <v>329</v>
      </c>
      <c r="H382" t="s">
        <v>2751</v>
      </c>
      <c r="I382" t="s">
        <v>230</v>
      </c>
      <c r="J382">
        <v>95</v>
      </c>
      <c r="K382">
        <v>100</v>
      </c>
      <c r="L382">
        <v>-105</v>
      </c>
      <c r="M382">
        <v>100</v>
      </c>
      <c r="N382">
        <v>195</v>
      </c>
      <c r="O382" t="s">
        <v>60</v>
      </c>
      <c r="P382">
        <v>115</v>
      </c>
      <c r="Q382">
        <v>120</v>
      </c>
      <c r="R382">
        <v>-123</v>
      </c>
      <c r="S382">
        <v>120</v>
      </c>
      <c r="T382">
        <v>235</v>
      </c>
      <c r="U382" t="s">
        <v>60</v>
      </c>
      <c r="V382">
        <f t="shared" si="15"/>
        <v>4</v>
      </c>
      <c r="W382">
        <f t="shared" si="16"/>
        <v>0</v>
      </c>
      <c r="X382">
        <f t="shared" si="17"/>
        <v>0</v>
      </c>
      <c r="Y382">
        <v>220</v>
      </c>
      <c r="Z382">
        <v>430</v>
      </c>
      <c r="AA382" t="s">
        <v>2753</v>
      </c>
      <c r="AB382" t="s">
        <v>2754</v>
      </c>
      <c r="AC382" t="s">
        <v>93</v>
      </c>
      <c r="AD382">
        <v>6</v>
      </c>
      <c r="AE382">
        <v>73</v>
      </c>
      <c r="AF382" t="s">
        <v>126</v>
      </c>
      <c r="AH382" t="s">
        <v>141</v>
      </c>
      <c r="AI382">
        <v>303.07</v>
      </c>
      <c r="AJ382" t="s">
        <v>52</v>
      </c>
      <c r="AK382" t="s">
        <v>1737</v>
      </c>
      <c r="AL382" t="s">
        <v>1739</v>
      </c>
      <c r="AM382" t="s">
        <v>133</v>
      </c>
      <c r="AN382" s="1">
        <v>45640</v>
      </c>
      <c r="AO382">
        <v>2024</v>
      </c>
      <c r="AP382">
        <v>12</v>
      </c>
      <c r="AQ382" t="s">
        <v>116</v>
      </c>
      <c r="AS382" t="s">
        <v>85</v>
      </c>
      <c r="AT382">
        <v>2025</v>
      </c>
      <c r="AU382" t="s">
        <v>329</v>
      </c>
      <c r="AV382" t="s">
        <v>133</v>
      </c>
      <c r="AW382" t="s">
        <v>2751</v>
      </c>
      <c r="AX382">
        <v>2025</v>
      </c>
      <c r="AY382" t="s">
        <v>2752</v>
      </c>
      <c r="AZ382" t="s">
        <v>2752</v>
      </c>
    </row>
    <row r="383" spans="1:52" x14ac:dyDescent="0.25">
      <c r="A383" t="s">
        <v>2756</v>
      </c>
      <c r="B383" s="1">
        <v>33060</v>
      </c>
      <c r="C383" t="s">
        <v>2757</v>
      </c>
      <c r="D383">
        <v>469390</v>
      </c>
      <c r="E383" t="s">
        <v>46</v>
      </c>
      <c r="F383" t="s">
        <v>109</v>
      </c>
      <c r="G383" t="s">
        <v>783</v>
      </c>
      <c r="H383" t="s">
        <v>2757</v>
      </c>
      <c r="I383" t="s">
        <v>2759</v>
      </c>
      <c r="J383">
        <v>105</v>
      </c>
      <c r="K383">
        <v>110</v>
      </c>
      <c r="L383">
        <v>115</v>
      </c>
      <c r="M383">
        <v>115</v>
      </c>
      <c r="N383">
        <v>225</v>
      </c>
      <c r="O383" t="s">
        <v>48</v>
      </c>
      <c r="P383">
        <v>125</v>
      </c>
      <c r="Q383">
        <v>131</v>
      </c>
      <c r="R383">
        <v>135</v>
      </c>
      <c r="S383">
        <v>135</v>
      </c>
      <c r="T383">
        <v>266</v>
      </c>
      <c r="U383" t="s">
        <v>48</v>
      </c>
      <c r="V383">
        <f t="shared" si="15"/>
        <v>6</v>
      </c>
      <c r="W383">
        <f t="shared" si="16"/>
        <v>0</v>
      </c>
      <c r="X383">
        <f t="shared" si="17"/>
        <v>0</v>
      </c>
      <c r="Y383">
        <v>250</v>
      </c>
      <c r="Z383">
        <v>491</v>
      </c>
      <c r="AA383" t="s">
        <v>2758</v>
      </c>
      <c r="AB383" t="s">
        <v>2760</v>
      </c>
      <c r="AC383" t="s">
        <v>93</v>
      </c>
      <c r="AD383">
        <v>6</v>
      </c>
      <c r="AE383">
        <v>109</v>
      </c>
      <c r="AF383" t="s">
        <v>126</v>
      </c>
      <c r="AG383">
        <v>35</v>
      </c>
      <c r="AH383" t="s">
        <v>151</v>
      </c>
      <c r="AI383">
        <v>279.01</v>
      </c>
      <c r="AJ383" t="s">
        <v>52</v>
      </c>
      <c r="AK383" t="s">
        <v>109</v>
      </c>
      <c r="AL383" t="s">
        <v>115</v>
      </c>
      <c r="AM383" t="s">
        <v>90</v>
      </c>
      <c r="AN383" s="1">
        <v>45639</v>
      </c>
      <c r="AO383">
        <v>2024</v>
      </c>
      <c r="AP383">
        <v>12</v>
      </c>
      <c r="AQ383" t="s">
        <v>116</v>
      </c>
      <c r="AS383" t="s">
        <v>85</v>
      </c>
      <c r="AT383">
        <v>2025</v>
      </c>
      <c r="AU383" t="s">
        <v>783</v>
      </c>
      <c r="AV383" t="s">
        <v>91</v>
      </c>
      <c r="AW383" t="s">
        <v>2757</v>
      </c>
      <c r="AX383">
        <v>2025</v>
      </c>
      <c r="AY383" t="s">
        <v>2758</v>
      </c>
      <c r="AZ383" t="s">
        <v>2758</v>
      </c>
    </row>
    <row r="384" spans="1:52" x14ac:dyDescent="0.25">
      <c r="A384" t="s">
        <v>2761</v>
      </c>
      <c r="B384" s="1">
        <v>32625</v>
      </c>
      <c r="C384" t="s">
        <v>2762</v>
      </c>
      <c r="D384">
        <v>469389</v>
      </c>
      <c r="E384" t="s">
        <v>46</v>
      </c>
      <c r="F384" t="s">
        <v>109</v>
      </c>
      <c r="G384" t="s">
        <v>783</v>
      </c>
      <c r="H384" t="s">
        <v>2762</v>
      </c>
      <c r="I384" t="s">
        <v>1922</v>
      </c>
      <c r="J384">
        <v>85</v>
      </c>
      <c r="K384">
        <v>90</v>
      </c>
      <c r="L384">
        <v>-95</v>
      </c>
      <c r="M384">
        <v>90</v>
      </c>
      <c r="N384">
        <v>175</v>
      </c>
      <c r="O384" t="s">
        <v>60</v>
      </c>
      <c r="P384">
        <v>110</v>
      </c>
      <c r="Q384">
        <v>-115</v>
      </c>
      <c r="R384">
        <v>-120</v>
      </c>
      <c r="S384">
        <v>110</v>
      </c>
      <c r="T384">
        <v>0</v>
      </c>
      <c r="U384" t="s">
        <v>55</v>
      </c>
      <c r="V384">
        <f t="shared" si="15"/>
        <v>3</v>
      </c>
      <c r="W384">
        <f t="shared" si="16"/>
        <v>0</v>
      </c>
      <c r="X384">
        <f t="shared" si="17"/>
        <v>0</v>
      </c>
      <c r="Y384">
        <v>200</v>
      </c>
      <c r="Z384">
        <v>175</v>
      </c>
      <c r="AA384" t="s">
        <v>2764</v>
      </c>
      <c r="AB384" t="s">
        <v>2765</v>
      </c>
      <c r="AC384" t="s">
        <v>64</v>
      </c>
      <c r="AD384">
        <v>7</v>
      </c>
      <c r="AE384">
        <v>81</v>
      </c>
      <c r="AF384" t="s">
        <v>126</v>
      </c>
      <c r="AG384">
        <v>35</v>
      </c>
      <c r="AH384" t="s">
        <v>138</v>
      </c>
      <c r="AI384">
        <v>256.20999999999998</v>
      </c>
      <c r="AJ384" t="s">
        <v>52</v>
      </c>
      <c r="AK384" t="s">
        <v>109</v>
      </c>
      <c r="AL384" t="s">
        <v>115</v>
      </c>
      <c r="AM384" t="s">
        <v>90</v>
      </c>
      <c r="AN384" s="1">
        <v>45639</v>
      </c>
      <c r="AO384">
        <v>2024</v>
      </c>
      <c r="AP384">
        <v>12</v>
      </c>
      <c r="AQ384" t="s">
        <v>116</v>
      </c>
      <c r="AS384" t="s">
        <v>85</v>
      </c>
      <c r="AT384">
        <v>2025</v>
      </c>
      <c r="AU384" t="s">
        <v>783</v>
      </c>
      <c r="AV384" t="s">
        <v>91</v>
      </c>
      <c r="AW384" t="s">
        <v>2762</v>
      </c>
      <c r="AX384">
        <v>2025</v>
      </c>
      <c r="AY384" t="s">
        <v>2763</v>
      </c>
      <c r="AZ384" t="s">
        <v>2764</v>
      </c>
    </row>
    <row r="385" spans="1:52" x14ac:dyDescent="0.25">
      <c r="A385" t="s">
        <v>2766</v>
      </c>
      <c r="B385" s="1">
        <v>41432</v>
      </c>
      <c r="C385" t="s">
        <v>2767</v>
      </c>
      <c r="D385">
        <v>490612</v>
      </c>
      <c r="E385" t="s">
        <v>46</v>
      </c>
      <c r="F385" t="s">
        <v>867</v>
      </c>
      <c r="G385" t="s">
        <v>66</v>
      </c>
      <c r="H385" t="s">
        <v>2767</v>
      </c>
      <c r="I385" t="s">
        <v>1408</v>
      </c>
      <c r="J385">
        <v>21</v>
      </c>
      <c r="K385">
        <v>-23</v>
      </c>
      <c r="L385">
        <v>23</v>
      </c>
      <c r="M385">
        <v>23</v>
      </c>
      <c r="N385">
        <v>44</v>
      </c>
      <c r="O385" t="s">
        <v>65</v>
      </c>
      <c r="P385">
        <v>31</v>
      </c>
      <c r="Q385">
        <v>33</v>
      </c>
      <c r="R385">
        <v>35</v>
      </c>
      <c r="S385">
        <v>35</v>
      </c>
      <c r="T385">
        <v>68</v>
      </c>
      <c r="U385" t="s">
        <v>48</v>
      </c>
      <c r="V385">
        <f t="shared" si="15"/>
        <v>5</v>
      </c>
      <c r="W385">
        <f t="shared" si="16"/>
        <v>0</v>
      </c>
      <c r="X385">
        <f t="shared" si="17"/>
        <v>0</v>
      </c>
      <c r="Y385">
        <v>58</v>
      </c>
      <c r="Z385">
        <v>112</v>
      </c>
      <c r="AA385" t="s">
        <v>2769</v>
      </c>
      <c r="AB385" t="s">
        <v>2770</v>
      </c>
      <c r="AC385" t="s">
        <v>49</v>
      </c>
      <c r="AD385">
        <v>999</v>
      </c>
      <c r="AE385">
        <v>40</v>
      </c>
      <c r="AF385" t="s">
        <v>50</v>
      </c>
      <c r="AH385" t="s">
        <v>452</v>
      </c>
      <c r="AI385">
        <v>227.63</v>
      </c>
      <c r="AJ385" t="s">
        <v>132</v>
      </c>
      <c r="AK385" t="s">
        <v>867</v>
      </c>
      <c r="AL385" t="s">
        <v>869</v>
      </c>
      <c r="AM385" t="s">
        <v>68</v>
      </c>
      <c r="AN385" s="1">
        <v>45641</v>
      </c>
      <c r="AO385">
        <v>2024</v>
      </c>
      <c r="AP385">
        <v>12</v>
      </c>
      <c r="AQ385" t="s">
        <v>116</v>
      </c>
      <c r="AS385" t="s">
        <v>85</v>
      </c>
      <c r="AT385">
        <v>2025</v>
      </c>
      <c r="AU385" t="s">
        <v>66</v>
      </c>
      <c r="AV385" t="s">
        <v>68</v>
      </c>
      <c r="AW385" t="s">
        <v>2767</v>
      </c>
      <c r="AX385">
        <v>2025</v>
      </c>
      <c r="AY385" t="s">
        <v>2768</v>
      </c>
      <c r="AZ385" t="s">
        <v>2768</v>
      </c>
    </row>
    <row r="386" spans="1:52" x14ac:dyDescent="0.25">
      <c r="A386" t="s">
        <v>2771</v>
      </c>
      <c r="B386" s="1">
        <v>40586</v>
      </c>
      <c r="C386" t="s">
        <v>2772</v>
      </c>
      <c r="D386">
        <v>492347</v>
      </c>
      <c r="E386" t="s">
        <v>46</v>
      </c>
      <c r="F386" t="s">
        <v>456</v>
      </c>
      <c r="G386" t="s">
        <v>835</v>
      </c>
      <c r="H386" t="s">
        <v>2772</v>
      </c>
      <c r="I386" t="s">
        <v>2774</v>
      </c>
      <c r="J386">
        <v>-43</v>
      </c>
      <c r="K386">
        <v>-43</v>
      </c>
      <c r="L386">
        <v>-43</v>
      </c>
      <c r="M386">
        <v>0</v>
      </c>
      <c r="N386">
        <v>0</v>
      </c>
      <c r="O386" t="s">
        <v>108</v>
      </c>
      <c r="P386">
        <v>0</v>
      </c>
      <c r="Q386">
        <v>0</v>
      </c>
      <c r="R386">
        <v>0</v>
      </c>
      <c r="S386">
        <v>0</v>
      </c>
      <c r="T386">
        <v>0</v>
      </c>
      <c r="U386" t="s">
        <v>108</v>
      </c>
      <c r="V386">
        <f t="shared" si="15"/>
        <v>0</v>
      </c>
      <c r="W386">
        <f t="shared" si="16"/>
        <v>0</v>
      </c>
      <c r="X386">
        <f t="shared" si="17"/>
        <v>0</v>
      </c>
      <c r="Y386">
        <v>0</v>
      </c>
      <c r="Z386">
        <v>0</v>
      </c>
      <c r="AA386" t="s">
        <v>99</v>
      </c>
      <c r="AB386" t="s">
        <v>99</v>
      </c>
      <c r="AC386" t="s">
        <v>49</v>
      </c>
      <c r="AD386">
        <v>999</v>
      </c>
      <c r="AE386">
        <v>59</v>
      </c>
      <c r="AF386" t="s">
        <v>57</v>
      </c>
      <c r="AH386" t="s">
        <v>525</v>
      </c>
      <c r="AI386">
        <v>0</v>
      </c>
      <c r="AJ386" t="s">
        <v>132</v>
      </c>
      <c r="AK386" t="s">
        <v>456</v>
      </c>
      <c r="AL386" t="s">
        <v>460</v>
      </c>
      <c r="AM386" t="s">
        <v>173</v>
      </c>
      <c r="AN386" s="1">
        <v>45641</v>
      </c>
      <c r="AO386">
        <v>2024</v>
      </c>
      <c r="AP386">
        <v>12</v>
      </c>
      <c r="AQ386" t="s">
        <v>116</v>
      </c>
      <c r="AS386" t="s">
        <v>85</v>
      </c>
      <c r="AT386">
        <v>2025</v>
      </c>
      <c r="AU386" t="s">
        <v>835</v>
      </c>
      <c r="AV386" t="s">
        <v>173</v>
      </c>
      <c r="AW386" t="s">
        <v>2772</v>
      </c>
      <c r="AX386">
        <v>2025</v>
      </c>
      <c r="AY386" t="s">
        <v>2773</v>
      </c>
      <c r="AZ386" t="s">
        <v>2773</v>
      </c>
    </row>
    <row r="387" spans="1:52" x14ac:dyDescent="0.25">
      <c r="A387" t="s">
        <v>2775</v>
      </c>
      <c r="B387" s="1">
        <v>36150</v>
      </c>
      <c r="C387" t="s">
        <v>2776</v>
      </c>
      <c r="D387">
        <v>357543</v>
      </c>
      <c r="E387" t="s">
        <v>46</v>
      </c>
      <c r="F387" t="s">
        <v>1400</v>
      </c>
      <c r="G387" t="s">
        <v>536</v>
      </c>
      <c r="H387" t="s">
        <v>2776</v>
      </c>
      <c r="I387" t="s">
        <v>162</v>
      </c>
      <c r="J387">
        <v>-110</v>
      </c>
      <c r="K387">
        <v>110</v>
      </c>
      <c r="L387">
        <v>113</v>
      </c>
      <c r="M387">
        <v>113</v>
      </c>
      <c r="N387">
        <v>223</v>
      </c>
      <c r="O387" t="s">
        <v>63</v>
      </c>
      <c r="P387">
        <v>137</v>
      </c>
      <c r="Q387">
        <v>-145</v>
      </c>
      <c r="R387">
        <v>-145</v>
      </c>
      <c r="S387">
        <v>137</v>
      </c>
      <c r="T387">
        <v>0</v>
      </c>
      <c r="U387" t="s">
        <v>55</v>
      </c>
      <c r="V387">
        <f t="shared" ref="V387:V450" si="18">IF(O387="OOO",3,IF(O387="XXX",0,IF(OR(O387="OOX",O387="OXO",O387="XOO"),2,1)))+IF(U387="OOO",3,IF(U387="XXX",0,IF(OR(U387="OOX",U387="OXO",U387="XOO"),2,1)))</f>
        <v>3</v>
      </c>
      <c r="W387">
        <f t="shared" ref="W387:W450" si="19">IF(OR(O387="XXO",U387="XXO"),1,0)</f>
        <v>0</v>
      </c>
      <c r="X387">
        <f t="shared" ref="X387:X450" si="20">IF(AND(O387="XXO",U387="XXO"),1,0)</f>
        <v>0</v>
      </c>
      <c r="Y387">
        <v>250</v>
      </c>
      <c r="Z387">
        <v>223</v>
      </c>
      <c r="AA387" t="s">
        <v>2777</v>
      </c>
      <c r="AB387" t="s">
        <v>2778</v>
      </c>
      <c r="AC387" t="s">
        <v>89</v>
      </c>
      <c r="AD387">
        <v>5</v>
      </c>
      <c r="AE387">
        <v>81</v>
      </c>
      <c r="AF387" t="s">
        <v>126</v>
      </c>
      <c r="AH387" t="s">
        <v>138</v>
      </c>
      <c r="AI387">
        <v>328.7</v>
      </c>
      <c r="AJ387" t="s">
        <v>52</v>
      </c>
      <c r="AK387" t="s">
        <v>1400</v>
      </c>
      <c r="AL387" t="s">
        <v>1402</v>
      </c>
      <c r="AM387" t="s">
        <v>128</v>
      </c>
      <c r="AN387" s="1">
        <v>45640</v>
      </c>
      <c r="AO387">
        <v>2024</v>
      </c>
      <c r="AP387">
        <v>12</v>
      </c>
      <c r="AQ387" t="s">
        <v>116</v>
      </c>
      <c r="AS387" t="s">
        <v>85</v>
      </c>
      <c r="AT387">
        <v>2025</v>
      </c>
      <c r="AU387" t="s">
        <v>536</v>
      </c>
      <c r="AV387" t="s">
        <v>128</v>
      </c>
      <c r="AW387" t="s">
        <v>2776</v>
      </c>
      <c r="AX387">
        <v>2025</v>
      </c>
      <c r="AY387" t="s">
        <v>2777</v>
      </c>
      <c r="AZ387" t="s">
        <v>2777</v>
      </c>
    </row>
    <row r="388" spans="1:52" x14ac:dyDescent="0.25">
      <c r="A388" t="s">
        <v>2780</v>
      </c>
      <c r="B388" s="1">
        <v>34620</v>
      </c>
      <c r="C388" t="s">
        <v>2781</v>
      </c>
      <c r="D388">
        <v>489754</v>
      </c>
      <c r="E388" t="s">
        <v>46</v>
      </c>
      <c r="F388" t="s">
        <v>710</v>
      </c>
      <c r="G388" t="s">
        <v>2091</v>
      </c>
      <c r="H388" t="s">
        <v>2781</v>
      </c>
      <c r="I388" t="s">
        <v>320</v>
      </c>
      <c r="J388">
        <v>90</v>
      </c>
      <c r="K388">
        <v>95</v>
      </c>
      <c r="L388">
        <v>100</v>
      </c>
      <c r="M388">
        <v>100</v>
      </c>
      <c r="N388">
        <v>195</v>
      </c>
      <c r="O388" t="s">
        <v>48</v>
      </c>
      <c r="P388">
        <v>115</v>
      </c>
      <c r="Q388">
        <v>125</v>
      </c>
      <c r="R388">
        <v>-128</v>
      </c>
      <c r="S388">
        <v>125</v>
      </c>
      <c r="T388">
        <v>240</v>
      </c>
      <c r="U388" t="s">
        <v>60</v>
      </c>
      <c r="V388">
        <f t="shared" si="18"/>
        <v>5</v>
      </c>
      <c r="W388">
        <f t="shared" si="19"/>
        <v>0</v>
      </c>
      <c r="X388">
        <f t="shared" si="20"/>
        <v>0</v>
      </c>
      <c r="Y388">
        <v>225</v>
      </c>
      <c r="Z388">
        <v>435</v>
      </c>
      <c r="AA388" t="s">
        <v>2510</v>
      </c>
      <c r="AB388" t="s">
        <v>2783</v>
      </c>
      <c r="AC388" t="s">
        <v>93</v>
      </c>
      <c r="AD388">
        <v>6</v>
      </c>
      <c r="AE388">
        <v>81</v>
      </c>
      <c r="AF388" t="s">
        <v>126</v>
      </c>
      <c r="AH388" t="s">
        <v>138</v>
      </c>
      <c r="AI388">
        <v>288.93</v>
      </c>
      <c r="AJ388" t="s">
        <v>52</v>
      </c>
      <c r="AK388" t="s">
        <v>710</v>
      </c>
      <c r="AL388" t="s">
        <v>712</v>
      </c>
      <c r="AM388" t="s">
        <v>128</v>
      </c>
      <c r="AN388" s="1">
        <v>45640</v>
      </c>
      <c r="AO388">
        <v>2024</v>
      </c>
      <c r="AP388">
        <v>12</v>
      </c>
      <c r="AQ388" t="s">
        <v>116</v>
      </c>
      <c r="AS388" t="s">
        <v>85</v>
      </c>
      <c r="AT388">
        <v>2025</v>
      </c>
      <c r="AU388" t="s">
        <v>2091</v>
      </c>
      <c r="AV388" t="s">
        <v>128</v>
      </c>
      <c r="AW388" t="s">
        <v>2781</v>
      </c>
      <c r="AX388">
        <v>2025</v>
      </c>
      <c r="AY388" t="s">
        <v>2618</v>
      </c>
      <c r="AZ388" t="s">
        <v>2782</v>
      </c>
    </row>
    <row r="389" spans="1:52" x14ac:dyDescent="0.25">
      <c r="A389" t="s">
        <v>2784</v>
      </c>
      <c r="B389" s="1">
        <v>37211</v>
      </c>
      <c r="C389" t="s">
        <v>2785</v>
      </c>
      <c r="D389">
        <v>465712</v>
      </c>
      <c r="E389" t="s">
        <v>46</v>
      </c>
      <c r="F389" t="s">
        <v>710</v>
      </c>
      <c r="G389" t="s">
        <v>161</v>
      </c>
      <c r="H389" t="s">
        <v>2785</v>
      </c>
      <c r="I389" t="s">
        <v>323</v>
      </c>
      <c r="J389">
        <v>102</v>
      </c>
      <c r="K389">
        <v>107</v>
      </c>
      <c r="L389">
        <v>110</v>
      </c>
      <c r="M389">
        <v>110</v>
      </c>
      <c r="N389">
        <v>217</v>
      </c>
      <c r="O389" t="s">
        <v>48</v>
      </c>
      <c r="P389">
        <v>128</v>
      </c>
      <c r="Q389">
        <v>133</v>
      </c>
      <c r="R389">
        <v>-140</v>
      </c>
      <c r="S389">
        <v>133</v>
      </c>
      <c r="T389">
        <v>261</v>
      </c>
      <c r="U389" t="s">
        <v>60</v>
      </c>
      <c r="V389">
        <f t="shared" si="18"/>
        <v>5</v>
      </c>
      <c r="W389">
        <f t="shared" si="19"/>
        <v>0</v>
      </c>
      <c r="X389">
        <f t="shared" si="20"/>
        <v>0</v>
      </c>
      <c r="Y389">
        <v>243</v>
      </c>
      <c r="Z389">
        <v>478</v>
      </c>
      <c r="AA389" t="s">
        <v>2779</v>
      </c>
      <c r="AB389" t="s">
        <v>2786</v>
      </c>
      <c r="AC389" t="s">
        <v>93</v>
      </c>
      <c r="AD389">
        <v>6</v>
      </c>
      <c r="AE389">
        <v>81</v>
      </c>
      <c r="AF389" t="s">
        <v>126</v>
      </c>
      <c r="AH389" t="s">
        <v>138</v>
      </c>
      <c r="AI389">
        <v>317.08</v>
      </c>
      <c r="AJ389" t="s">
        <v>52</v>
      </c>
      <c r="AK389" t="s">
        <v>710</v>
      </c>
      <c r="AL389" t="s">
        <v>712</v>
      </c>
      <c r="AM389" t="s">
        <v>128</v>
      </c>
      <c r="AN389" s="1">
        <v>45640</v>
      </c>
      <c r="AO389">
        <v>2024</v>
      </c>
      <c r="AP389">
        <v>12</v>
      </c>
      <c r="AQ389" t="s">
        <v>116</v>
      </c>
      <c r="AS389" t="s">
        <v>85</v>
      </c>
      <c r="AT389">
        <v>2025</v>
      </c>
      <c r="AU389" t="s">
        <v>161</v>
      </c>
      <c r="AV389" t="s">
        <v>128</v>
      </c>
      <c r="AW389" t="s">
        <v>2785</v>
      </c>
      <c r="AX389">
        <v>2025</v>
      </c>
      <c r="AY389" t="s">
        <v>2779</v>
      </c>
      <c r="AZ389" t="s">
        <v>2779</v>
      </c>
    </row>
    <row r="390" spans="1:52" x14ac:dyDescent="0.25">
      <c r="A390" t="s">
        <v>2787</v>
      </c>
      <c r="B390" s="1">
        <v>40856</v>
      </c>
      <c r="C390" t="s">
        <v>2788</v>
      </c>
      <c r="D390">
        <v>480929</v>
      </c>
      <c r="E390" t="s">
        <v>46</v>
      </c>
      <c r="F390" t="s">
        <v>1383</v>
      </c>
      <c r="G390" t="s">
        <v>883</v>
      </c>
      <c r="H390" t="s">
        <v>2788</v>
      </c>
      <c r="I390" t="s">
        <v>2790</v>
      </c>
      <c r="J390">
        <v>27</v>
      </c>
      <c r="K390">
        <v>29</v>
      </c>
      <c r="L390">
        <v>-30</v>
      </c>
      <c r="M390">
        <v>29</v>
      </c>
      <c r="N390">
        <v>56</v>
      </c>
      <c r="O390" t="s">
        <v>60</v>
      </c>
      <c r="P390">
        <v>35</v>
      </c>
      <c r="Q390">
        <v>38</v>
      </c>
      <c r="R390">
        <v>-40</v>
      </c>
      <c r="S390">
        <v>38</v>
      </c>
      <c r="T390">
        <v>73</v>
      </c>
      <c r="U390" t="s">
        <v>60</v>
      </c>
      <c r="V390">
        <f t="shared" si="18"/>
        <v>4</v>
      </c>
      <c r="W390">
        <f t="shared" si="19"/>
        <v>0</v>
      </c>
      <c r="X390">
        <f t="shared" si="20"/>
        <v>0</v>
      </c>
      <c r="Y390">
        <v>67</v>
      </c>
      <c r="Z390">
        <v>129</v>
      </c>
      <c r="AA390" t="s">
        <v>2791</v>
      </c>
      <c r="AB390" t="s">
        <v>2792</v>
      </c>
      <c r="AC390" t="s">
        <v>89</v>
      </c>
      <c r="AD390">
        <v>5</v>
      </c>
      <c r="AE390">
        <v>45</v>
      </c>
      <c r="AF390" t="s">
        <v>57</v>
      </c>
      <c r="AH390" t="s">
        <v>313</v>
      </c>
      <c r="AI390">
        <v>117.99</v>
      </c>
      <c r="AJ390" t="s">
        <v>132</v>
      </c>
      <c r="AK390" t="s">
        <v>1383</v>
      </c>
      <c r="AL390" t="s">
        <v>1386</v>
      </c>
      <c r="AM390" t="s">
        <v>68</v>
      </c>
      <c r="AN390" s="1">
        <v>45640</v>
      </c>
      <c r="AO390">
        <v>2024</v>
      </c>
      <c r="AP390">
        <v>12</v>
      </c>
      <c r="AQ390" t="s">
        <v>116</v>
      </c>
      <c r="AS390" t="s">
        <v>85</v>
      </c>
      <c r="AT390">
        <v>2025</v>
      </c>
      <c r="AU390" t="s">
        <v>883</v>
      </c>
      <c r="AV390" t="s">
        <v>68</v>
      </c>
      <c r="AW390" t="s">
        <v>2788</v>
      </c>
      <c r="AX390">
        <v>2025</v>
      </c>
      <c r="AY390" t="s">
        <v>2789</v>
      </c>
      <c r="AZ390" t="s">
        <v>2789</v>
      </c>
    </row>
    <row r="391" spans="1:52" x14ac:dyDescent="0.25">
      <c r="A391" t="s">
        <v>2793</v>
      </c>
      <c r="B391" s="1">
        <v>39191</v>
      </c>
      <c r="C391" t="s">
        <v>2794</v>
      </c>
      <c r="D391">
        <v>421582</v>
      </c>
      <c r="E391" t="s">
        <v>46</v>
      </c>
      <c r="F391" t="s">
        <v>1350</v>
      </c>
      <c r="G391" t="s">
        <v>1046</v>
      </c>
      <c r="H391" t="s">
        <v>2794</v>
      </c>
      <c r="I391">
        <v>55</v>
      </c>
      <c r="J391">
        <v>-56</v>
      </c>
      <c r="K391">
        <v>56</v>
      </c>
      <c r="L391">
        <v>60</v>
      </c>
      <c r="M391">
        <v>60</v>
      </c>
      <c r="N391">
        <v>116</v>
      </c>
      <c r="O391" t="s">
        <v>63</v>
      </c>
      <c r="P391">
        <v>74</v>
      </c>
      <c r="Q391">
        <v>-78</v>
      </c>
      <c r="R391">
        <v>78</v>
      </c>
      <c r="S391">
        <v>78</v>
      </c>
      <c r="T391">
        <v>152</v>
      </c>
      <c r="U391" t="s">
        <v>65</v>
      </c>
      <c r="V391">
        <f t="shared" si="18"/>
        <v>4</v>
      </c>
      <c r="W391">
        <f t="shared" si="19"/>
        <v>0</v>
      </c>
      <c r="X391">
        <f t="shared" si="20"/>
        <v>0</v>
      </c>
      <c r="Y391">
        <v>138</v>
      </c>
      <c r="Z391">
        <v>268</v>
      </c>
      <c r="AA391" t="s">
        <v>1993</v>
      </c>
      <c r="AB391" t="s">
        <v>2797</v>
      </c>
      <c r="AC391" t="s">
        <v>94</v>
      </c>
      <c r="AD391">
        <v>4</v>
      </c>
      <c r="AE391">
        <v>55</v>
      </c>
      <c r="AF391" t="s">
        <v>113</v>
      </c>
      <c r="AH391" t="s">
        <v>465</v>
      </c>
      <c r="AI391">
        <v>198.04</v>
      </c>
      <c r="AJ391" t="s">
        <v>132</v>
      </c>
      <c r="AK391" t="s">
        <v>1350</v>
      </c>
      <c r="AL391" t="s">
        <v>1352</v>
      </c>
      <c r="AM391" t="s">
        <v>90</v>
      </c>
      <c r="AN391" s="1">
        <v>45640</v>
      </c>
      <c r="AO391">
        <v>2024</v>
      </c>
      <c r="AP391">
        <v>12</v>
      </c>
      <c r="AQ391" t="s">
        <v>116</v>
      </c>
      <c r="AS391" t="s">
        <v>85</v>
      </c>
      <c r="AT391">
        <v>2025</v>
      </c>
      <c r="AU391" t="s">
        <v>1046</v>
      </c>
      <c r="AV391" t="s">
        <v>91</v>
      </c>
      <c r="AW391" t="s">
        <v>2794</v>
      </c>
      <c r="AX391">
        <v>2025</v>
      </c>
      <c r="AY391" t="s">
        <v>2795</v>
      </c>
      <c r="AZ391" t="s">
        <v>1993</v>
      </c>
    </row>
    <row r="392" spans="1:52" x14ac:dyDescent="0.25">
      <c r="A392" t="s">
        <v>2798</v>
      </c>
      <c r="B392" s="1">
        <v>37932</v>
      </c>
      <c r="C392" t="s">
        <v>2799</v>
      </c>
      <c r="D392">
        <v>502979</v>
      </c>
      <c r="E392" t="s">
        <v>46</v>
      </c>
      <c r="F392" t="s">
        <v>710</v>
      </c>
      <c r="G392" t="s">
        <v>315</v>
      </c>
      <c r="H392" t="s">
        <v>2799</v>
      </c>
      <c r="I392" t="s">
        <v>178</v>
      </c>
      <c r="J392">
        <v>-115</v>
      </c>
      <c r="K392">
        <v>-115</v>
      </c>
      <c r="L392">
        <v>115</v>
      </c>
      <c r="M392">
        <v>115</v>
      </c>
      <c r="N392">
        <v>0</v>
      </c>
      <c r="O392" t="s">
        <v>102</v>
      </c>
      <c r="P392">
        <v>-135</v>
      </c>
      <c r="Q392">
        <v>138</v>
      </c>
      <c r="R392">
        <v>-142</v>
      </c>
      <c r="S392">
        <v>138</v>
      </c>
      <c r="T392">
        <v>0</v>
      </c>
      <c r="U392" t="s">
        <v>104</v>
      </c>
      <c r="V392">
        <f t="shared" si="18"/>
        <v>2</v>
      </c>
      <c r="W392">
        <f t="shared" si="19"/>
        <v>1</v>
      </c>
      <c r="X392">
        <f t="shared" si="20"/>
        <v>0</v>
      </c>
      <c r="Y392">
        <v>253</v>
      </c>
      <c r="Z392">
        <v>0</v>
      </c>
      <c r="AA392" t="s">
        <v>2800</v>
      </c>
      <c r="AB392" t="s">
        <v>99</v>
      </c>
      <c r="AC392" t="s">
        <v>93</v>
      </c>
      <c r="AD392">
        <v>6</v>
      </c>
      <c r="AE392" t="s">
        <v>125</v>
      </c>
      <c r="AF392" t="s">
        <v>126</v>
      </c>
      <c r="AH392" t="s">
        <v>127</v>
      </c>
      <c r="AI392">
        <v>263.31</v>
      </c>
      <c r="AJ392" t="s">
        <v>52</v>
      </c>
      <c r="AK392" t="s">
        <v>710</v>
      </c>
      <c r="AL392" t="s">
        <v>712</v>
      </c>
      <c r="AM392" t="s">
        <v>128</v>
      </c>
      <c r="AN392" s="1">
        <v>45640</v>
      </c>
      <c r="AO392">
        <v>2024</v>
      </c>
      <c r="AP392">
        <v>12</v>
      </c>
      <c r="AQ392" t="s">
        <v>116</v>
      </c>
      <c r="AS392" t="s">
        <v>85</v>
      </c>
      <c r="AT392">
        <v>2025</v>
      </c>
      <c r="AU392" t="s">
        <v>315</v>
      </c>
      <c r="AV392" t="s">
        <v>128</v>
      </c>
      <c r="AW392" t="s">
        <v>2799</v>
      </c>
      <c r="AX392">
        <v>2025</v>
      </c>
      <c r="AY392" t="s">
        <v>2801</v>
      </c>
      <c r="AZ392" t="s">
        <v>2801</v>
      </c>
    </row>
    <row r="393" spans="1:52" x14ac:dyDescent="0.25">
      <c r="A393" t="s">
        <v>2802</v>
      </c>
      <c r="B393" s="1">
        <v>39923</v>
      </c>
      <c r="C393" t="s">
        <v>2803</v>
      </c>
      <c r="D393">
        <v>456142</v>
      </c>
      <c r="E393" t="s">
        <v>46</v>
      </c>
      <c r="F393" t="s">
        <v>679</v>
      </c>
      <c r="G393" t="s">
        <v>258</v>
      </c>
      <c r="H393" t="s">
        <v>2803</v>
      </c>
      <c r="I393">
        <v>66</v>
      </c>
      <c r="J393">
        <v>65</v>
      </c>
      <c r="K393">
        <v>70</v>
      </c>
      <c r="L393">
        <v>-75</v>
      </c>
      <c r="M393">
        <v>70</v>
      </c>
      <c r="N393">
        <v>135</v>
      </c>
      <c r="O393" t="s">
        <v>60</v>
      </c>
      <c r="P393">
        <v>82</v>
      </c>
      <c r="Q393">
        <v>-87</v>
      </c>
      <c r="R393">
        <v>-87</v>
      </c>
      <c r="S393">
        <v>82</v>
      </c>
      <c r="T393">
        <v>0</v>
      </c>
      <c r="U393" t="s">
        <v>55</v>
      </c>
      <c r="V393">
        <f t="shared" si="18"/>
        <v>3</v>
      </c>
      <c r="W393">
        <f t="shared" si="19"/>
        <v>0</v>
      </c>
      <c r="X393">
        <f t="shared" si="20"/>
        <v>0</v>
      </c>
      <c r="Y393">
        <v>152</v>
      </c>
      <c r="Z393">
        <v>135</v>
      </c>
      <c r="AA393" t="s">
        <v>2804</v>
      </c>
      <c r="AB393" t="s">
        <v>565</v>
      </c>
      <c r="AC393" t="s">
        <v>93</v>
      </c>
      <c r="AD393">
        <v>6</v>
      </c>
      <c r="AE393">
        <v>67</v>
      </c>
      <c r="AF393" t="s">
        <v>95</v>
      </c>
      <c r="AH393" t="s">
        <v>105</v>
      </c>
      <c r="AI393">
        <v>218.63</v>
      </c>
      <c r="AJ393" t="s">
        <v>52</v>
      </c>
      <c r="AK393" t="s">
        <v>679</v>
      </c>
      <c r="AL393" t="s">
        <v>682</v>
      </c>
      <c r="AM393" t="s">
        <v>128</v>
      </c>
      <c r="AN393" s="1">
        <v>45641</v>
      </c>
      <c r="AO393">
        <v>2024</v>
      </c>
      <c r="AP393">
        <v>12</v>
      </c>
      <c r="AQ393" t="s">
        <v>116</v>
      </c>
      <c r="AS393" t="s">
        <v>85</v>
      </c>
      <c r="AT393">
        <v>2025</v>
      </c>
      <c r="AU393" t="s">
        <v>258</v>
      </c>
      <c r="AV393" t="s">
        <v>128</v>
      </c>
      <c r="AW393" t="s">
        <v>2803</v>
      </c>
      <c r="AX393">
        <v>2025</v>
      </c>
      <c r="AY393" t="s">
        <v>2804</v>
      </c>
      <c r="AZ393" t="s">
        <v>2804</v>
      </c>
    </row>
    <row r="394" spans="1:52" x14ac:dyDescent="0.25">
      <c r="A394" t="s">
        <v>2812</v>
      </c>
      <c r="B394" s="1">
        <v>32976</v>
      </c>
      <c r="C394" t="s">
        <v>2813</v>
      </c>
      <c r="D394">
        <v>438195</v>
      </c>
      <c r="E394" t="s">
        <v>46</v>
      </c>
      <c r="F394" t="s">
        <v>693</v>
      </c>
      <c r="G394" t="s">
        <v>1004</v>
      </c>
      <c r="H394" t="s">
        <v>2813</v>
      </c>
      <c r="I394" t="s">
        <v>308</v>
      </c>
      <c r="J394">
        <v>72</v>
      </c>
      <c r="K394">
        <v>75</v>
      </c>
      <c r="L394">
        <v>78</v>
      </c>
      <c r="M394">
        <v>78</v>
      </c>
      <c r="N394">
        <v>153</v>
      </c>
      <c r="O394" t="s">
        <v>48</v>
      </c>
      <c r="P394">
        <v>90</v>
      </c>
      <c r="Q394">
        <v>94</v>
      </c>
      <c r="R394">
        <v>96</v>
      </c>
      <c r="S394">
        <v>96</v>
      </c>
      <c r="T394">
        <v>190</v>
      </c>
      <c r="U394" t="s">
        <v>48</v>
      </c>
      <c r="V394">
        <f t="shared" si="18"/>
        <v>6</v>
      </c>
      <c r="W394">
        <f t="shared" si="19"/>
        <v>0</v>
      </c>
      <c r="X394">
        <f t="shared" si="20"/>
        <v>0</v>
      </c>
      <c r="Y394">
        <v>174</v>
      </c>
      <c r="Z394">
        <v>343</v>
      </c>
      <c r="AA394" t="s">
        <v>2815</v>
      </c>
      <c r="AB394" t="s">
        <v>2816</v>
      </c>
      <c r="AC394" t="s">
        <v>94</v>
      </c>
      <c r="AD394">
        <v>4</v>
      </c>
      <c r="AE394">
        <v>71</v>
      </c>
      <c r="AF394" t="s">
        <v>126</v>
      </c>
      <c r="AG394">
        <v>35</v>
      </c>
      <c r="AH394" t="s">
        <v>226</v>
      </c>
      <c r="AI394">
        <v>216.35</v>
      </c>
      <c r="AJ394" t="s">
        <v>132</v>
      </c>
      <c r="AK394" t="s">
        <v>693</v>
      </c>
      <c r="AL394" t="s">
        <v>696</v>
      </c>
      <c r="AM394" t="s">
        <v>139</v>
      </c>
      <c r="AN394" s="1">
        <v>45641</v>
      </c>
      <c r="AO394">
        <v>2024</v>
      </c>
      <c r="AP394">
        <v>12</v>
      </c>
      <c r="AQ394" t="s">
        <v>116</v>
      </c>
      <c r="AS394" t="s">
        <v>85</v>
      </c>
      <c r="AT394">
        <v>2025</v>
      </c>
      <c r="AU394" t="s">
        <v>1004</v>
      </c>
      <c r="AV394" t="s">
        <v>140</v>
      </c>
      <c r="AW394" t="s">
        <v>2813</v>
      </c>
      <c r="AX394">
        <v>2025</v>
      </c>
      <c r="AY394" t="s">
        <v>2814</v>
      </c>
      <c r="AZ394" t="s">
        <v>2815</v>
      </c>
    </row>
    <row r="395" spans="1:52" x14ac:dyDescent="0.25">
      <c r="A395" t="s">
        <v>2818</v>
      </c>
      <c r="B395" s="1">
        <v>33437</v>
      </c>
      <c r="C395" t="s">
        <v>2819</v>
      </c>
      <c r="D395">
        <v>469302</v>
      </c>
      <c r="E395" t="s">
        <v>46</v>
      </c>
      <c r="F395" t="s">
        <v>912</v>
      </c>
      <c r="G395" t="s">
        <v>335</v>
      </c>
      <c r="H395" t="s">
        <v>2819</v>
      </c>
      <c r="I395">
        <v>54</v>
      </c>
      <c r="J395">
        <v>45</v>
      </c>
      <c r="K395">
        <v>-48</v>
      </c>
      <c r="L395">
        <v>-49</v>
      </c>
      <c r="M395">
        <v>45</v>
      </c>
      <c r="N395">
        <v>0</v>
      </c>
      <c r="O395" t="s">
        <v>55</v>
      </c>
      <c r="P395">
        <v>59</v>
      </c>
      <c r="Q395">
        <v>63</v>
      </c>
      <c r="R395">
        <v>65</v>
      </c>
      <c r="S395">
        <v>65</v>
      </c>
      <c r="T395">
        <v>128</v>
      </c>
      <c r="U395" t="s">
        <v>48</v>
      </c>
      <c r="V395">
        <f t="shared" si="18"/>
        <v>4</v>
      </c>
      <c r="W395">
        <f t="shared" si="19"/>
        <v>0</v>
      </c>
      <c r="X395">
        <f t="shared" si="20"/>
        <v>0</v>
      </c>
      <c r="Y395">
        <v>110</v>
      </c>
      <c r="Z395">
        <v>128</v>
      </c>
      <c r="AA395" t="s">
        <v>2821</v>
      </c>
      <c r="AB395" t="s">
        <v>2822</v>
      </c>
      <c r="AC395" t="s">
        <v>93</v>
      </c>
      <c r="AD395">
        <v>6</v>
      </c>
      <c r="AE395">
        <v>55</v>
      </c>
      <c r="AF395" t="s">
        <v>126</v>
      </c>
      <c r="AH395" t="s">
        <v>197</v>
      </c>
      <c r="AI395">
        <v>159.91999999999999</v>
      </c>
      <c r="AJ395" t="s">
        <v>132</v>
      </c>
      <c r="AK395" t="s">
        <v>912</v>
      </c>
      <c r="AL395" t="s">
        <v>914</v>
      </c>
      <c r="AM395" t="s">
        <v>128</v>
      </c>
      <c r="AN395" s="1">
        <v>45640</v>
      </c>
      <c r="AO395">
        <v>2024</v>
      </c>
      <c r="AP395">
        <v>12</v>
      </c>
      <c r="AQ395" t="s">
        <v>116</v>
      </c>
      <c r="AS395" t="s">
        <v>85</v>
      </c>
      <c r="AT395">
        <v>2025</v>
      </c>
      <c r="AU395" t="s">
        <v>335</v>
      </c>
      <c r="AV395" t="s">
        <v>128</v>
      </c>
      <c r="AW395" t="s">
        <v>2819</v>
      </c>
      <c r="AX395">
        <v>2025</v>
      </c>
      <c r="AY395" t="s">
        <v>2820</v>
      </c>
      <c r="AZ395" t="s">
        <v>2820</v>
      </c>
    </row>
    <row r="396" spans="1:52" x14ac:dyDescent="0.25">
      <c r="A396" t="s">
        <v>2825</v>
      </c>
      <c r="B396" s="1">
        <v>33145</v>
      </c>
      <c r="C396" t="s">
        <v>2826</v>
      </c>
      <c r="D396">
        <v>468868</v>
      </c>
      <c r="E396" t="s">
        <v>46</v>
      </c>
      <c r="F396" t="s">
        <v>625</v>
      </c>
      <c r="G396" t="s">
        <v>1004</v>
      </c>
      <c r="H396" t="s">
        <v>2826</v>
      </c>
      <c r="I396" t="s">
        <v>461</v>
      </c>
      <c r="J396">
        <v>40</v>
      </c>
      <c r="K396">
        <v>42</v>
      </c>
      <c r="L396">
        <v>44</v>
      </c>
      <c r="M396">
        <v>44</v>
      </c>
      <c r="N396">
        <v>86</v>
      </c>
      <c r="O396" t="s">
        <v>48</v>
      </c>
      <c r="P396">
        <v>-53</v>
      </c>
      <c r="Q396">
        <v>53</v>
      </c>
      <c r="R396">
        <v>58</v>
      </c>
      <c r="S396">
        <v>58</v>
      </c>
      <c r="T396">
        <v>111</v>
      </c>
      <c r="U396" t="s">
        <v>63</v>
      </c>
      <c r="V396">
        <f t="shared" si="18"/>
        <v>5</v>
      </c>
      <c r="W396">
        <f t="shared" si="19"/>
        <v>0</v>
      </c>
      <c r="X396">
        <f t="shared" si="20"/>
        <v>0</v>
      </c>
      <c r="Y396">
        <v>102</v>
      </c>
      <c r="Z396">
        <v>197</v>
      </c>
      <c r="AA396" t="s">
        <v>2828</v>
      </c>
      <c r="AB396" t="s">
        <v>2829</v>
      </c>
      <c r="AC396" t="s">
        <v>89</v>
      </c>
      <c r="AD396">
        <v>5</v>
      </c>
      <c r="AE396">
        <v>45</v>
      </c>
      <c r="AF396" t="s">
        <v>126</v>
      </c>
      <c r="AG396">
        <v>35</v>
      </c>
      <c r="AH396" t="s">
        <v>509</v>
      </c>
      <c r="AI396">
        <v>178.02</v>
      </c>
      <c r="AJ396" t="s">
        <v>132</v>
      </c>
      <c r="AK396" t="s">
        <v>625</v>
      </c>
      <c r="AL396" t="s">
        <v>627</v>
      </c>
      <c r="AM396" t="s">
        <v>139</v>
      </c>
      <c r="AN396" s="1">
        <v>45641</v>
      </c>
      <c r="AO396">
        <v>2024</v>
      </c>
      <c r="AP396">
        <v>12</v>
      </c>
      <c r="AQ396" t="s">
        <v>116</v>
      </c>
      <c r="AS396" t="s">
        <v>85</v>
      </c>
      <c r="AT396">
        <v>2025</v>
      </c>
      <c r="AU396" t="s">
        <v>1004</v>
      </c>
      <c r="AV396" t="s">
        <v>140</v>
      </c>
      <c r="AW396" t="s">
        <v>2826</v>
      </c>
      <c r="AX396">
        <v>2025</v>
      </c>
      <c r="AY396" t="s">
        <v>2827</v>
      </c>
      <c r="AZ396" t="s">
        <v>2828</v>
      </c>
    </row>
    <row r="397" spans="1:52" x14ac:dyDescent="0.25">
      <c r="A397" t="s">
        <v>2836</v>
      </c>
      <c r="B397" s="1">
        <v>34210</v>
      </c>
      <c r="C397" t="s">
        <v>2837</v>
      </c>
      <c r="D397">
        <v>497712</v>
      </c>
      <c r="E397" t="s">
        <v>46</v>
      </c>
      <c r="F397" t="s">
        <v>338</v>
      </c>
      <c r="G397" t="s">
        <v>251</v>
      </c>
      <c r="H397" t="s">
        <v>2837</v>
      </c>
      <c r="I397" t="s">
        <v>537</v>
      </c>
      <c r="J397">
        <v>55</v>
      </c>
      <c r="K397">
        <v>58</v>
      </c>
      <c r="L397">
        <v>-61</v>
      </c>
      <c r="M397">
        <v>58</v>
      </c>
      <c r="N397">
        <v>113</v>
      </c>
      <c r="O397" t="s">
        <v>60</v>
      </c>
      <c r="P397">
        <v>65</v>
      </c>
      <c r="Q397">
        <v>-69</v>
      </c>
      <c r="R397">
        <v>69</v>
      </c>
      <c r="S397">
        <v>69</v>
      </c>
      <c r="T397">
        <v>134</v>
      </c>
      <c r="U397" t="s">
        <v>65</v>
      </c>
      <c r="V397">
        <f t="shared" si="18"/>
        <v>4</v>
      </c>
      <c r="W397">
        <f t="shared" si="19"/>
        <v>0</v>
      </c>
      <c r="X397">
        <f t="shared" si="20"/>
        <v>0</v>
      </c>
      <c r="Y397">
        <v>127</v>
      </c>
      <c r="Z397">
        <v>247</v>
      </c>
      <c r="AA397" t="s">
        <v>2838</v>
      </c>
      <c r="AB397" t="s">
        <v>2839</v>
      </c>
      <c r="AC397" t="s">
        <v>93</v>
      </c>
      <c r="AD397">
        <v>6</v>
      </c>
      <c r="AE397">
        <v>64</v>
      </c>
      <c r="AF397" t="s">
        <v>126</v>
      </c>
      <c r="AH397" t="s">
        <v>167</v>
      </c>
      <c r="AI397">
        <v>171.7</v>
      </c>
      <c r="AJ397" t="s">
        <v>132</v>
      </c>
      <c r="AK397" t="s">
        <v>338</v>
      </c>
      <c r="AL397" t="s">
        <v>340</v>
      </c>
      <c r="AM397" t="s">
        <v>128</v>
      </c>
      <c r="AN397" s="1">
        <v>45640</v>
      </c>
      <c r="AO397">
        <v>2024</v>
      </c>
      <c r="AP397">
        <v>12</v>
      </c>
      <c r="AQ397" t="s">
        <v>116</v>
      </c>
      <c r="AS397" t="s">
        <v>85</v>
      </c>
      <c r="AT397">
        <v>2025</v>
      </c>
      <c r="AU397" t="s">
        <v>251</v>
      </c>
      <c r="AV397" t="s">
        <v>128</v>
      </c>
      <c r="AW397" t="s">
        <v>2837</v>
      </c>
      <c r="AX397">
        <v>2025</v>
      </c>
      <c r="AY397" t="s">
        <v>2838</v>
      </c>
      <c r="AZ397" t="s">
        <v>2838</v>
      </c>
    </row>
    <row r="398" spans="1:52" x14ac:dyDescent="0.25">
      <c r="A398" t="s">
        <v>2840</v>
      </c>
      <c r="B398" s="1">
        <v>39464</v>
      </c>
      <c r="C398" t="s">
        <v>2841</v>
      </c>
      <c r="D398">
        <v>450346</v>
      </c>
      <c r="E398" t="s">
        <v>46</v>
      </c>
      <c r="F398" t="s">
        <v>529</v>
      </c>
      <c r="G398" t="s">
        <v>66</v>
      </c>
      <c r="H398" t="s">
        <v>2841</v>
      </c>
      <c r="I398" t="s">
        <v>2843</v>
      </c>
      <c r="J398">
        <v>-50</v>
      </c>
      <c r="K398">
        <v>50</v>
      </c>
      <c r="L398">
        <v>53</v>
      </c>
      <c r="M398">
        <v>53</v>
      </c>
      <c r="N398">
        <v>103</v>
      </c>
      <c r="O398" t="s">
        <v>63</v>
      </c>
      <c r="P398">
        <v>-60</v>
      </c>
      <c r="Q398">
        <v>60</v>
      </c>
      <c r="R398">
        <v>65</v>
      </c>
      <c r="S398">
        <v>65</v>
      </c>
      <c r="T398">
        <v>125</v>
      </c>
      <c r="U398" t="s">
        <v>63</v>
      </c>
      <c r="V398">
        <f t="shared" si="18"/>
        <v>4</v>
      </c>
      <c r="W398">
        <f t="shared" si="19"/>
        <v>0</v>
      </c>
      <c r="X398">
        <f t="shared" si="20"/>
        <v>0</v>
      </c>
      <c r="Y398">
        <v>118</v>
      </c>
      <c r="Z398">
        <v>228</v>
      </c>
      <c r="AA398" t="s">
        <v>2842</v>
      </c>
      <c r="AB398" t="s">
        <v>2844</v>
      </c>
      <c r="AC398" t="s">
        <v>89</v>
      </c>
      <c r="AD398">
        <v>5</v>
      </c>
      <c r="AE398">
        <v>71</v>
      </c>
      <c r="AF398" t="s">
        <v>95</v>
      </c>
      <c r="AH398" t="s">
        <v>301</v>
      </c>
      <c r="AI398">
        <v>147.99</v>
      </c>
      <c r="AJ398" t="s">
        <v>132</v>
      </c>
      <c r="AK398" t="s">
        <v>529</v>
      </c>
      <c r="AL398" t="s">
        <v>531</v>
      </c>
      <c r="AM398" t="s">
        <v>68</v>
      </c>
      <c r="AN398" s="1">
        <v>45640</v>
      </c>
      <c r="AO398">
        <v>2024</v>
      </c>
      <c r="AP398">
        <v>12</v>
      </c>
      <c r="AQ398" t="s">
        <v>116</v>
      </c>
      <c r="AS398" t="s">
        <v>85</v>
      </c>
      <c r="AT398">
        <v>2025</v>
      </c>
      <c r="AU398" t="s">
        <v>66</v>
      </c>
      <c r="AV398" t="s">
        <v>68</v>
      </c>
      <c r="AW398" t="s">
        <v>2841</v>
      </c>
      <c r="AX398">
        <v>2025</v>
      </c>
      <c r="AY398" t="s">
        <v>2842</v>
      </c>
      <c r="AZ398" t="s">
        <v>2842</v>
      </c>
    </row>
    <row r="399" spans="1:52" x14ac:dyDescent="0.25">
      <c r="A399" t="s">
        <v>2845</v>
      </c>
      <c r="B399" s="1">
        <v>35449</v>
      </c>
      <c r="C399" t="s">
        <v>2846</v>
      </c>
      <c r="D399">
        <v>445513</v>
      </c>
      <c r="E399" t="s">
        <v>46</v>
      </c>
      <c r="F399" t="s">
        <v>232</v>
      </c>
      <c r="G399" t="s">
        <v>335</v>
      </c>
      <c r="H399" t="s">
        <v>2846</v>
      </c>
      <c r="I399" t="s">
        <v>146</v>
      </c>
      <c r="J399">
        <v>52</v>
      </c>
      <c r="K399">
        <v>-56</v>
      </c>
      <c r="L399">
        <v>-56</v>
      </c>
      <c r="M399">
        <v>52</v>
      </c>
      <c r="N399">
        <v>0</v>
      </c>
      <c r="O399" t="s">
        <v>55</v>
      </c>
      <c r="P399">
        <v>66</v>
      </c>
      <c r="Q399">
        <v>-69</v>
      </c>
      <c r="R399">
        <v>-70</v>
      </c>
      <c r="S399">
        <v>66</v>
      </c>
      <c r="T399">
        <v>0</v>
      </c>
      <c r="U399" t="s">
        <v>55</v>
      </c>
      <c r="V399">
        <f t="shared" si="18"/>
        <v>2</v>
      </c>
      <c r="W399">
        <f t="shared" si="19"/>
        <v>0</v>
      </c>
      <c r="X399">
        <f t="shared" si="20"/>
        <v>0</v>
      </c>
      <c r="Y399">
        <v>118</v>
      </c>
      <c r="Z399">
        <v>0</v>
      </c>
      <c r="AA399" t="s">
        <v>1705</v>
      </c>
      <c r="AB399" t="s">
        <v>99</v>
      </c>
      <c r="AC399" t="s">
        <v>64</v>
      </c>
      <c r="AD399">
        <v>7</v>
      </c>
      <c r="AE399">
        <v>64</v>
      </c>
      <c r="AF399" t="s">
        <v>126</v>
      </c>
      <c r="AH399" t="s">
        <v>167</v>
      </c>
      <c r="AI399">
        <v>159.36000000000001</v>
      </c>
      <c r="AJ399" t="s">
        <v>132</v>
      </c>
      <c r="AK399" t="s">
        <v>232</v>
      </c>
      <c r="AL399" t="s">
        <v>236</v>
      </c>
      <c r="AM399" t="s">
        <v>128</v>
      </c>
      <c r="AN399" s="1">
        <v>45640</v>
      </c>
      <c r="AO399">
        <v>2024</v>
      </c>
      <c r="AP399">
        <v>12</v>
      </c>
      <c r="AQ399" t="s">
        <v>116</v>
      </c>
      <c r="AS399" t="s">
        <v>85</v>
      </c>
      <c r="AT399">
        <v>2025</v>
      </c>
      <c r="AU399" t="s">
        <v>335</v>
      </c>
      <c r="AV399" t="s">
        <v>128</v>
      </c>
      <c r="AW399" t="s">
        <v>2846</v>
      </c>
      <c r="AX399">
        <v>2025</v>
      </c>
      <c r="AY399" t="s">
        <v>2695</v>
      </c>
      <c r="AZ399" t="s">
        <v>1203</v>
      </c>
    </row>
    <row r="400" spans="1:52" x14ac:dyDescent="0.25">
      <c r="A400" t="s">
        <v>2831</v>
      </c>
      <c r="B400" s="1">
        <v>35747</v>
      </c>
      <c r="C400" t="s">
        <v>2832</v>
      </c>
      <c r="D400">
        <v>496350</v>
      </c>
      <c r="E400" t="s">
        <v>46</v>
      </c>
      <c r="F400" t="s">
        <v>263</v>
      </c>
      <c r="G400" t="s">
        <v>513</v>
      </c>
      <c r="H400" t="s">
        <v>2832</v>
      </c>
      <c r="I400" t="s">
        <v>369</v>
      </c>
      <c r="J400">
        <v>55</v>
      </c>
      <c r="K400">
        <v>58</v>
      </c>
      <c r="L400">
        <v>-60</v>
      </c>
      <c r="M400">
        <v>58</v>
      </c>
      <c r="N400">
        <v>113</v>
      </c>
      <c r="O400" t="s">
        <v>60</v>
      </c>
      <c r="P400">
        <v>67</v>
      </c>
      <c r="Q400">
        <v>71</v>
      </c>
      <c r="R400">
        <v>-75</v>
      </c>
      <c r="S400">
        <v>71</v>
      </c>
      <c r="T400">
        <v>138</v>
      </c>
      <c r="U400" t="s">
        <v>60</v>
      </c>
      <c r="V400">
        <f t="shared" si="18"/>
        <v>4</v>
      </c>
      <c r="W400">
        <f t="shared" si="19"/>
        <v>0</v>
      </c>
      <c r="X400">
        <f t="shared" si="20"/>
        <v>0</v>
      </c>
      <c r="Y400">
        <v>129</v>
      </c>
      <c r="Z400">
        <v>251</v>
      </c>
      <c r="AA400" t="s">
        <v>2833</v>
      </c>
      <c r="AB400" t="s">
        <v>2835</v>
      </c>
      <c r="AC400" t="s">
        <v>93</v>
      </c>
      <c r="AD400">
        <v>6</v>
      </c>
      <c r="AE400">
        <v>64</v>
      </c>
      <c r="AF400" t="s">
        <v>126</v>
      </c>
      <c r="AH400" t="s">
        <v>167</v>
      </c>
      <c r="AI400">
        <v>170.67</v>
      </c>
      <c r="AJ400" t="s">
        <v>132</v>
      </c>
      <c r="AK400" t="s">
        <v>263</v>
      </c>
      <c r="AL400" t="s">
        <v>267</v>
      </c>
      <c r="AM400" t="s">
        <v>145</v>
      </c>
      <c r="AN400" s="1">
        <v>45640</v>
      </c>
      <c r="AO400">
        <v>2024</v>
      </c>
      <c r="AP400">
        <v>12</v>
      </c>
      <c r="AQ400" t="s">
        <v>116</v>
      </c>
      <c r="AS400" t="s">
        <v>85</v>
      </c>
      <c r="AT400">
        <v>2025</v>
      </c>
      <c r="AU400" t="s">
        <v>513</v>
      </c>
      <c r="AV400" t="s">
        <v>145</v>
      </c>
      <c r="AW400" t="s">
        <v>2832</v>
      </c>
      <c r="AX400">
        <v>2025</v>
      </c>
      <c r="AY400" t="s">
        <v>2833</v>
      </c>
      <c r="AZ400" t="s">
        <v>2833</v>
      </c>
    </row>
    <row r="401" spans="1:52" x14ac:dyDescent="0.25">
      <c r="A401" t="s">
        <v>2847</v>
      </c>
      <c r="B401" s="1">
        <v>28992</v>
      </c>
      <c r="C401" t="s">
        <v>2848</v>
      </c>
      <c r="D401">
        <v>34401</v>
      </c>
      <c r="E401" t="s">
        <v>46</v>
      </c>
      <c r="F401" t="s">
        <v>588</v>
      </c>
      <c r="G401" t="s">
        <v>66</v>
      </c>
      <c r="H401" t="s">
        <v>2848</v>
      </c>
      <c r="I401">
        <v>76</v>
      </c>
      <c r="J401">
        <v>95</v>
      </c>
      <c r="K401">
        <v>100</v>
      </c>
      <c r="L401">
        <v>-103</v>
      </c>
      <c r="M401">
        <v>100</v>
      </c>
      <c r="N401">
        <v>195</v>
      </c>
      <c r="O401" t="s">
        <v>60</v>
      </c>
      <c r="P401">
        <v>115</v>
      </c>
      <c r="Q401">
        <v>120</v>
      </c>
      <c r="R401">
        <v>125</v>
      </c>
      <c r="S401">
        <v>125</v>
      </c>
      <c r="T401">
        <v>245</v>
      </c>
      <c r="U401" t="s">
        <v>48</v>
      </c>
      <c r="V401">
        <f t="shared" si="18"/>
        <v>5</v>
      </c>
      <c r="W401">
        <f t="shared" si="19"/>
        <v>0</v>
      </c>
      <c r="X401">
        <f t="shared" si="20"/>
        <v>0</v>
      </c>
      <c r="Y401">
        <v>225</v>
      </c>
      <c r="Z401">
        <v>440</v>
      </c>
      <c r="AA401" t="s">
        <v>1277</v>
      </c>
      <c r="AB401" t="s">
        <v>2850</v>
      </c>
      <c r="AC401" t="s">
        <v>93</v>
      </c>
      <c r="AD401">
        <v>6</v>
      </c>
      <c r="AE401">
        <v>81</v>
      </c>
      <c r="AF401" t="s">
        <v>126</v>
      </c>
      <c r="AG401">
        <v>45</v>
      </c>
      <c r="AH401" t="s">
        <v>138</v>
      </c>
      <c r="AI401">
        <v>296.06</v>
      </c>
      <c r="AJ401" t="s">
        <v>52</v>
      </c>
      <c r="AK401" t="s">
        <v>588</v>
      </c>
      <c r="AL401" t="s">
        <v>592</v>
      </c>
      <c r="AM401" t="s">
        <v>68</v>
      </c>
      <c r="AN401" s="1">
        <v>45640</v>
      </c>
      <c r="AO401">
        <v>2024</v>
      </c>
      <c r="AP401">
        <v>12</v>
      </c>
      <c r="AQ401" t="s">
        <v>116</v>
      </c>
      <c r="AS401" t="s">
        <v>85</v>
      </c>
      <c r="AT401">
        <v>2025</v>
      </c>
      <c r="AU401" t="s">
        <v>66</v>
      </c>
      <c r="AV401" t="s">
        <v>68</v>
      </c>
      <c r="AW401" t="s">
        <v>2848</v>
      </c>
      <c r="AX401">
        <v>2025</v>
      </c>
      <c r="AY401" t="s">
        <v>2849</v>
      </c>
      <c r="AZ401" t="s">
        <v>2849</v>
      </c>
    </row>
    <row r="402" spans="1:52" x14ac:dyDescent="0.25">
      <c r="A402" t="s">
        <v>2852</v>
      </c>
      <c r="B402" s="1">
        <v>38186</v>
      </c>
      <c r="C402" t="s">
        <v>2853</v>
      </c>
      <c r="D402">
        <v>502736</v>
      </c>
      <c r="E402" t="s">
        <v>46</v>
      </c>
      <c r="F402" t="s">
        <v>199</v>
      </c>
      <c r="G402" t="s">
        <v>1894</v>
      </c>
      <c r="H402" t="s">
        <v>2853</v>
      </c>
      <c r="I402" t="s">
        <v>563</v>
      </c>
      <c r="J402">
        <v>65</v>
      </c>
      <c r="K402">
        <v>70</v>
      </c>
      <c r="L402">
        <v>76</v>
      </c>
      <c r="M402">
        <v>76</v>
      </c>
      <c r="N402">
        <v>146</v>
      </c>
      <c r="O402" t="s">
        <v>48</v>
      </c>
      <c r="P402">
        <v>90</v>
      </c>
      <c r="Q402">
        <v>95</v>
      </c>
      <c r="R402">
        <v>-100</v>
      </c>
      <c r="S402">
        <v>95</v>
      </c>
      <c r="T402">
        <v>185</v>
      </c>
      <c r="U402" t="s">
        <v>60</v>
      </c>
      <c r="V402">
        <f t="shared" si="18"/>
        <v>5</v>
      </c>
      <c r="W402">
        <f t="shared" si="19"/>
        <v>0</v>
      </c>
      <c r="X402">
        <f t="shared" si="20"/>
        <v>0</v>
      </c>
      <c r="Y402">
        <v>171</v>
      </c>
      <c r="Z402">
        <v>331</v>
      </c>
      <c r="AA402" t="s">
        <v>2854</v>
      </c>
      <c r="AB402" t="s">
        <v>2855</v>
      </c>
      <c r="AC402" t="s">
        <v>89</v>
      </c>
      <c r="AD402">
        <v>5</v>
      </c>
      <c r="AE402">
        <v>76</v>
      </c>
      <c r="AF402" t="s">
        <v>126</v>
      </c>
      <c r="AH402" t="s">
        <v>228</v>
      </c>
      <c r="AI402">
        <v>206.13</v>
      </c>
      <c r="AJ402" t="s">
        <v>132</v>
      </c>
      <c r="AK402" t="s">
        <v>199</v>
      </c>
      <c r="AL402" t="s">
        <v>203</v>
      </c>
      <c r="AM402" t="s">
        <v>53</v>
      </c>
      <c r="AN402" s="1">
        <v>45640</v>
      </c>
      <c r="AO402">
        <v>2024</v>
      </c>
      <c r="AP402">
        <v>12</v>
      </c>
      <c r="AQ402" t="s">
        <v>116</v>
      </c>
      <c r="AS402" t="s">
        <v>85</v>
      </c>
      <c r="AT402">
        <v>2025</v>
      </c>
      <c r="AU402" t="s">
        <v>1894</v>
      </c>
      <c r="AV402" t="s">
        <v>54</v>
      </c>
      <c r="AW402" t="s">
        <v>2853</v>
      </c>
      <c r="AX402">
        <v>2025</v>
      </c>
      <c r="AY402" t="s">
        <v>2854</v>
      </c>
      <c r="AZ402" t="s">
        <v>2854</v>
      </c>
    </row>
    <row r="403" spans="1:52" x14ac:dyDescent="0.25">
      <c r="A403" t="s">
        <v>2856</v>
      </c>
      <c r="B403" s="1">
        <v>40499</v>
      </c>
      <c r="C403" t="s">
        <v>2857</v>
      </c>
      <c r="D403">
        <v>467433</v>
      </c>
      <c r="E403" t="s">
        <v>46</v>
      </c>
      <c r="F403" t="s">
        <v>1221</v>
      </c>
      <c r="G403" t="s">
        <v>258</v>
      </c>
      <c r="H403" t="s">
        <v>2857</v>
      </c>
      <c r="I403" t="s">
        <v>818</v>
      </c>
      <c r="J403">
        <v>30</v>
      </c>
      <c r="K403">
        <v>32</v>
      </c>
      <c r="L403">
        <v>34</v>
      </c>
      <c r="M403">
        <v>34</v>
      </c>
      <c r="N403">
        <v>66</v>
      </c>
      <c r="O403" t="s">
        <v>48</v>
      </c>
      <c r="P403">
        <v>38</v>
      </c>
      <c r="Q403">
        <v>41</v>
      </c>
      <c r="R403">
        <v>43</v>
      </c>
      <c r="S403">
        <v>43</v>
      </c>
      <c r="T403">
        <v>84</v>
      </c>
      <c r="U403" t="s">
        <v>48</v>
      </c>
      <c r="V403">
        <f t="shared" si="18"/>
        <v>6</v>
      </c>
      <c r="W403">
        <f t="shared" si="19"/>
        <v>0</v>
      </c>
      <c r="X403">
        <f t="shared" si="20"/>
        <v>0</v>
      </c>
      <c r="Y403">
        <v>77</v>
      </c>
      <c r="Z403">
        <v>150</v>
      </c>
      <c r="AA403" t="s">
        <v>2859</v>
      </c>
      <c r="AB403" t="s">
        <v>2860</v>
      </c>
      <c r="AC403" t="s">
        <v>89</v>
      </c>
      <c r="AD403">
        <v>5</v>
      </c>
      <c r="AE403">
        <v>45</v>
      </c>
      <c r="AF403" t="s">
        <v>57</v>
      </c>
      <c r="AH403" t="s">
        <v>313</v>
      </c>
      <c r="AI403">
        <v>131.99</v>
      </c>
      <c r="AJ403" t="s">
        <v>132</v>
      </c>
      <c r="AK403" t="s">
        <v>1221</v>
      </c>
      <c r="AL403" t="s">
        <v>1223</v>
      </c>
      <c r="AM403" t="s">
        <v>128</v>
      </c>
      <c r="AN403" s="1">
        <v>45641</v>
      </c>
      <c r="AO403">
        <v>2024</v>
      </c>
      <c r="AP403">
        <v>12</v>
      </c>
      <c r="AQ403" t="s">
        <v>116</v>
      </c>
      <c r="AS403" t="s">
        <v>85</v>
      </c>
      <c r="AT403">
        <v>2025</v>
      </c>
      <c r="AU403" t="s">
        <v>258</v>
      </c>
      <c r="AV403" t="s">
        <v>128</v>
      </c>
      <c r="AW403" t="s">
        <v>2857</v>
      </c>
      <c r="AX403">
        <v>2025</v>
      </c>
      <c r="AY403" t="s">
        <v>2858</v>
      </c>
      <c r="AZ403" t="s">
        <v>2859</v>
      </c>
    </row>
    <row r="404" spans="1:52" x14ac:dyDescent="0.25">
      <c r="A404" t="s">
        <v>2861</v>
      </c>
      <c r="B404" s="1">
        <v>38393</v>
      </c>
      <c r="C404" t="s">
        <v>2862</v>
      </c>
      <c r="D404">
        <v>415248</v>
      </c>
      <c r="E404" t="s">
        <v>46</v>
      </c>
      <c r="F404" t="s">
        <v>1300</v>
      </c>
      <c r="G404" t="s">
        <v>386</v>
      </c>
      <c r="H404" t="s">
        <v>2862</v>
      </c>
      <c r="I404" t="s">
        <v>500</v>
      </c>
      <c r="J404">
        <v>68</v>
      </c>
      <c r="K404">
        <v>72</v>
      </c>
      <c r="L404">
        <v>75</v>
      </c>
      <c r="M404">
        <v>75</v>
      </c>
      <c r="N404">
        <v>147</v>
      </c>
      <c r="O404" t="s">
        <v>48</v>
      </c>
      <c r="P404">
        <v>87</v>
      </c>
      <c r="Q404">
        <v>92</v>
      </c>
      <c r="R404">
        <v>96</v>
      </c>
      <c r="S404">
        <v>96</v>
      </c>
      <c r="T404">
        <v>188</v>
      </c>
      <c r="U404" t="s">
        <v>48</v>
      </c>
      <c r="V404">
        <f t="shared" si="18"/>
        <v>6</v>
      </c>
      <c r="W404">
        <f t="shared" si="19"/>
        <v>0</v>
      </c>
      <c r="X404">
        <f t="shared" si="20"/>
        <v>0</v>
      </c>
      <c r="Y404">
        <v>171</v>
      </c>
      <c r="Z404">
        <v>335</v>
      </c>
      <c r="AA404" t="s">
        <v>2865</v>
      </c>
      <c r="AB404" t="s">
        <v>2866</v>
      </c>
      <c r="AC404" t="s">
        <v>98</v>
      </c>
      <c r="AD404">
        <v>3</v>
      </c>
      <c r="AE404">
        <v>71</v>
      </c>
      <c r="AF404" t="s">
        <v>113</v>
      </c>
      <c r="AH404" t="s">
        <v>305</v>
      </c>
      <c r="AI404">
        <v>221.41</v>
      </c>
      <c r="AJ404" t="s">
        <v>132</v>
      </c>
      <c r="AK404" t="s">
        <v>1300</v>
      </c>
      <c r="AL404" t="s">
        <v>1302</v>
      </c>
      <c r="AM404" t="s">
        <v>170</v>
      </c>
      <c r="AN404" s="1">
        <v>45640</v>
      </c>
      <c r="AO404">
        <v>2024</v>
      </c>
      <c r="AP404">
        <v>12</v>
      </c>
      <c r="AQ404" t="s">
        <v>116</v>
      </c>
      <c r="AS404" t="s">
        <v>85</v>
      </c>
      <c r="AT404">
        <v>2025</v>
      </c>
      <c r="AU404" t="s">
        <v>386</v>
      </c>
      <c r="AV404" t="s">
        <v>170</v>
      </c>
      <c r="AW404" t="s">
        <v>2862</v>
      </c>
      <c r="AX404">
        <v>2025</v>
      </c>
      <c r="AY404" t="s">
        <v>2863</v>
      </c>
      <c r="AZ404" t="s">
        <v>2864</v>
      </c>
    </row>
    <row r="405" spans="1:52" x14ac:dyDescent="0.25">
      <c r="A405" t="s">
        <v>2867</v>
      </c>
      <c r="B405" s="1">
        <v>34781</v>
      </c>
      <c r="C405" t="s">
        <v>2868</v>
      </c>
      <c r="D405">
        <v>472305</v>
      </c>
      <c r="E405" t="s">
        <v>46</v>
      </c>
      <c r="F405" t="s">
        <v>232</v>
      </c>
      <c r="G405" t="s">
        <v>331</v>
      </c>
      <c r="H405" t="s">
        <v>2868</v>
      </c>
      <c r="I405" t="s">
        <v>332</v>
      </c>
      <c r="J405">
        <v>58</v>
      </c>
      <c r="K405">
        <v>-61</v>
      </c>
      <c r="L405">
        <v>-63</v>
      </c>
      <c r="M405">
        <v>58</v>
      </c>
      <c r="N405">
        <v>0</v>
      </c>
      <c r="O405" t="s">
        <v>55</v>
      </c>
      <c r="P405">
        <v>65</v>
      </c>
      <c r="Q405">
        <v>-70</v>
      </c>
      <c r="R405">
        <v>-70</v>
      </c>
      <c r="S405">
        <v>65</v>
      </c>
      <c r="T405">
        <v>0</v>
      </c>
      <c r="U405" t="s">
        <v>55</v>
      </c>
      <c r="V405">
        <f t="shared" si="18"/>
        <v>2</v>
      </c>
      <c r="W405">
        <f t="shared" si="19"/>
        <v>0</v>
      </c>
      <c r="X405">
        <f t="shared" si="20"/>
        <v>0</v>
      </c>
      <c r="Y405">
        <v>123</v>
      </c>
      <c r="Z405">
        <v>0</v>
      </c>
      <c r="AA405" t="s">
        <v>2870</v>
      </c>
      <c r="AB405" t="s">
        <v>99</v>
      </c>
      <c r="AC405" t="s">
        <v>64</v>
      </c>
      <c r="AD405">
        <v>7</v>
      </c>
      <c r="AE405">
        <v>71</v>
      </c>
      <c r="AF405" t="s">
        <v>126</v>
      </c>
      <c r="AH405" t="s">
        <v>226</v>
      </c>
      <c r="AI405">
        <v>158.9</v>
      </c>
      <c r="AJ405" t="s">
        <v>132</v>
      </c>
      <c r="AK405" t="s">
        <v>232</v>
      </c>
      <c r="AL405" t="s">
        <v>236</v>
      </c>
      <c r="AM405" t="s">
        <v>128</v>
      </c>
      <c r="AN405" s="1">
        <v>45640</v>
      </c>
      <c r="AO405">
        <v>2024</v>
      </c>
      <c r="AP405">
        <v>12</v>
      </c>
      <c r="AQ405" t="s">
        <v>116</v>
      </c>
      <c r="AS405" t="s">
        <v>85</v>
      </c>
      <c r="AT405">
        <v>2025</v>
      </c>
      <c r="AU405" t="s">
        <v>331</v>
      </c>
      <c r="AV405" t="s">
        <v>128</v>
      </c>
      <c r="AW405" t="s">
        <v>2868</v>
      </c>
      <c r="AX405">
        <v>2025</v>
      </c>
      <c r="AY405" t="s">
        <v>2540</v>
      </c>
      <c r="AZ405" t="s">
        <v>2869</v>
      </c>
    </row>
    <row r="406" spans="1:52" x14ac:dyDescent="0.25">
      <c r="A406" t="s">
        <v>3223</v>
      </c>
      <c r="B406" s="1">
        <v>35828</v>
      </c>
      <c r="C406" t="s">
        <v>3224</v>
      </c>
      <c r="D406">
        <v>484861</v>
      </c>
      <c r="E406" t="s">
        <v>46</v>
      </c>
      <c r="F406" t="s">
        <v>912</v>
      </c>
      <c r="G406" t="s">
        <v>161</v>
      </c>
      <c r="H406" t="s">
        <v>3224</v>
      </c>
      <c r="I406">
        <v>55</v>
      </c>
      <c r="J406">
        <v>-55</v>
      </c>
      <c r="K406">
        <v>-63</v>
      </c>
      <c r="L406">
        <v>-63</v>
      </c>
      <c r="M406">
        <v>0</v>
      </c>
      <c r="N406">
        <v>0</v>
      </c>
      <c r="O406" t="s">
        <v>108</v>
      </c>
      <c r="P406">
        <v>75</v>
      </c>
      <c r="Q406">
        <v>80</v>
      </c>
      <c r="R406">
        <v>-85</v>
      </c>
      <c r="S406">
        <v>80</v>
      </c>
      <c r="T406">
        <v>155</v>
      </c>
      <c r="U406" t="s">
        <v>60</v>
      </c>
      <c r="V406">
        <f t="shared" si="18"/>
        <v>2</v>
      </c>
      <c r="W406">
        <f t="shared" si="19"/>
        <v>0</v>
      </c>
      <c r="X406">
        <f t="shared" si="20"/>
        <v>0</v>
      </c>
      <c r="Y406">
        <v>80</v>
      </c>
      <c r="Z406">
        <v>155</v>
      </c>
      <c r="AA406" t="s">
        <v>1372</v>
      </c>
      <c r="AB406" t="s">
        <v>1725</v>
      </c>
      <c r="AC406" t="s">
        <v>49</v>
      </c>
      <c r="AD406">
        <v>999</v>
      </c>
      <c r="AE406">
        <v>55</v>
      </c>
      <c r="AF406" t="s">
        <v>126</v>
      </c>
      <c r="AH406" t="s">
        <v>197</v>
      </c>
      <c r="AI406">
        <v>0</v>
      </c>
      <c r="AJ406" t="s">
        <v>132</v>
      </c>
      <c r="AK406" t="s">
        <v>912</v>
      </c>
      <c r="AL406" t="s">
        <v>914</v>
      </c>
      <c r="AM406" t="s">
        <v>128</v>
      </c>
      <c r="AN406" s="1">
        <v>45640</v>
      </c>
      <c r="AO406">
        <v>2024</v>
      </c>
      <c r="AP406">
        <v>12</v>
      </c>
      <c r="AQ406" t="s">
        <v>116</v>
      </c>
      <c r="AS406" t="s">
        <v>85</v>
      </c>
      <c r="AT406">
        <v>2025</v>
      </c>
      <c r="AU406" t="s">
        <v>161</v>
      </c>
      <c r="AV406" t="s">
        <v>128</v>
      </c>
      <c r="AW406" t="s">
        <v>3224</v>
      </c>
      <c r="AX406">
        <v>2025</v>
      </c>
      <c r="AY406" t="s">
        <v>1803</v>
      </c>
      <c r="AZ406" t="s">
        <v>1372</v>
      </c>
    </row>
    <row r="407" spans="1:52" x14ac:dyDescent="0.25">
      <c r="A407" t="s">
        <v>2871</v>
      </c>
      <c r="B407" s="1">
        <v>38470</v>
      </c>
      <c r="C407" t="s">
        <v>2872</v>
      </c>
      <c r="D407">
        <v>432930</v>
      </c>
      <c r="E407" t="s">
        <v>46</v>
      </c>
      <c r="F407" t="s">
        <v>1209</v>
      </c>
      <c r="G407" t="s">
        <v>883</v>
      </c>
      <c r="H407" t="s">
        <v>2872</v>
      </c>
      <c r="I407" t="s">
        <v>187</v>
      </c>
      <c r="J407">
        <v>47</v>
      </c>
      <c r="K407">
        <v>-51</v>
      </c>
      <c r="L407">
        <v>-51</v>
      </c>
      <c r="M407">
        <v>47</v>
      </c>
      <c r="N407">
        <v>0</v>
      </c>
      <c r="O407" t="s">
        <v>55</v>
      </c>
      <c r="P407">
        <v>60</v>
      </c>
      <c r="Q407">
        <v>63</v>
      </c>
      <c r="R407">
        <v>65</v>
      </c>
      <c r="S407">
        <v>65</v>
      </c>
      <c r="T407">
        <v>128</v>
      </c>
      <c r="U407" t="s">
        <v>48</v>
      </c>
      <c r="V407">
        <f t="shared" si="18"/>
        <v>4</v>
      </c>
      <c r="W407">
        <f t="shared" si="19"/>
        <v>0</v>
      </c>
      <c r="X407">
        <f t="shared" si="20"/>
        <v>0</v>
      </c>
      <c r="Y407">
        <v>112</v>
      </c>
      <c r="Z407">
        <v>128</v>
      </c>
      <c r="AA407" t="s">
        <v>2874</v>
      </c>
      <c r="AB407" t="s">
        <v>2875</v>
      </c>
      <c r="AC407" t="s">
        <v>93</v>
      </c>
      <c r="AD407">
        <v>6</v>
      </c>
      <c r="AE407">
        <v>71</v>
      </c>
      <c r="AF407" t="s">
        <v>113</v>
      </c>
      <c r="AH407" t="s">
        <v>305</v>
      </c>
      <c r="AI407">
        <v>142.63999999999999</v>
      </c>
      <c r="AJ407" t="s">
        <v>132</v>
      </c>
      <c r="AK407" t="s">
        <v>1209</v>
      </c>
      <c r="AL407" t="s">
        <v>1213</v>
      </c>
      <c r="AM407" t="s">
        <v>68</v>
      </c>
      <c r="AN407" s="1">
        <v>45640</v>
      </c>
      <c r="AO407">
        <v>2024</v>
      </c>
      <c r="AP407">
        <v>12</v>
      </c>
      <c r="AQ407" t="s">
        <v>116</v>
      </c>
      <c r="AS407" t="s">
        <v>85</v>
      </c>
      <c r="AT407">
        <v>2025</v>
      </c>
      <c r="AU407" t="s">
        <v>883</v>
      </c>
      <c r="AV407" t="s">
        <v>68</v>
      </c>
      <c r="AW407" t="s">
        <v>2872</v>
      </c>
      <c r="AX407">
        <v>2025</v>
      </c>
      <c r="AY407" t="s">
        <v>2873</v>
      </c>
      <c r="AZ407" t="s">
        <v>2874</v>
      </c>
    </row>
    <row r="408" spans="1:52" x14ac:dyDescent="0.25">
      <c r="A408" t="s">
        <v>2877</v>
      </c>
      <c r="B408" s="1">
        <v>36050</v>
      </c>
      <c r="C408" t="s">
        <v>2878</v>
      </c>
      <c r="D408">
        <v>381293</v>
      </c>
      <c r="E408" t="s">
        <v>46</v>
      </c>
      <c r="F408" t="s">
        <v>941</v>
      </c>
      <c r="G408" t="s">
        <v>1032</v>
      </c>
      <c r="H408" t="s">
        <v>2878</v>
      </c>
      <c r="I408" t="s">
        <v>1965</v>
      </c>
      <c r="J408">
        <v>47</v>
      </c>
      <c r="K408">
        <v>50</v>
      </c>
      <c r="L408">
        <v>52</v>
      </c>
      <c r="M408">
        <v>52</v>
      </c>
      <c r="N408">
        <v>102</v>
      </c>
      <c r="O408" t="s">
        <v>48</v>
      </c>
      <c r="P408">
        <v>64</v>
      </c>
      <c r="Q408">
        <v>67</v>
      </c>
      <c r="R408">
        <v>-70</v>
      </c>
      <c r="S408">
        <v>67</v>
      </c>
      <c r="T408">
        <v>131</v>
      </c>
      <c r="U408" t="s">
        <v>60</v>
      </c>
      <c r="V408">
        <f t="shared" si="18"/>
        <v>5</v>
      </c>
      <c r="W408">
        <f t="shared" si="19"/>
        <v>0</v>
      </c>
      <c r="X408">
        <f t="shared" si="20"/>
        <v>0</v>
      </c>
      <c r="Y408">
        <v>119</v>
      </c>
      <c r="Z408">
        <v>233</v>
      </c>
      <c r="AA408" t="s">
        <v>2879</v>
      </c>
      <c r="AB408" t="s">
        <v>2880</v>
      </c>
      <c r="AC408" t="s">
        <v>93</v>
      </c>
      <c r="AD408">
        <v>6</v>
      </c>
      <c r="AE408">
        <v>55</v>
      </c>
      <c r="AF408" t="s">
        <v>126</v>
      </c>
      <c r="AH408" t="s">
        <v>197</v>
      </c>
      <c r="AI408">
        <v>177.88</v>
      </c>
      <c r="AJ408" t="s">
        <v>132</v>
      </c>
      <c r="AK408" t="s">
        <v>941</v>
      </c>
      <c r="AL408" t="s">
        <v>944</v>
      </c>
      <c r="AM408" t="s">
        <v>53</v>
      </c>
      <c r="AN408" s="1">
        <v>45640</v>
      </c>
      <c r="AO408">
        <v>2024</v>
      </c>
      <c r="AP408">
        <v>12</v>
      </c>
      <c r="AQ408" t="s">
        <v>116</v>
      </c>
      <c r="AS408" t="s">
        <v>85</v>
      </c>
      <c r="AT408">
        <v>2025</v>
      </c>
      <c r="AU408" t="s">
        <v>1032</v>
      </c>
      <c r="AV408" t="s">
        <v>54</v>
      </c>
      <c r="AW408" t="s">
        <v>2878</v>
      </c>
      <c r="AX408">
        <v>2025</v>
      </c>
      <c r="AY408" t="s">
        <v>2879</v>
      </c>
      <c r="AZ408" t="s">
        <v>2879</v>
      </c>
    </row>
    <row r="409" spans="1:52" x14ac:dyDescent="0.25">
      <c r="A409" t="s">
        <v>2881</v>
      </c>
      <c r="B409" s="1">
        <v>39574</v>
      </c>
      <c r="C409" t="s">
        <v>2882</v>
      </c>
      <c r="D409">
        <v>415429</v>
      </c>
      <c r="E409" t="s">
        <v>46</v>
      </c>
      <c r="F409" t="s">
        <v>529</v>
      </c>
      <c r="G409" t="s">
        <v>66</v>
      </c>
      <c r="H409" t="s">
        <v>2882</v>
      </c>
      <c r="I409" t="s">
        <v>2884</v>
      </c>
      <c r="J409">
        <v>50</v>
      </c>
      <c r="K409">
        <v>53</v>
      </c>
      <c r="L409">
        <v>-55</v>
      </c>
      <c r="M409">
        <v>53</v>
      </c>
      <c r="N409">
        <v>103</v>
      </c>
      <c r="O409" t="s">
        <v>60</v>
      </c>
      <c r="P409">
        <v>60</v>
      </c>
      <c r="Q409">
        <v>-65</v>
      </c>
      <c r="R409">
        <v>-66</v>
      </c>
      <c r="S409">
        <v>60</v>
      </c>
      <c r="T409">
        <v>0</v>
      </c>
      <c r="U409" t="s">
        <v>55</v>
      </c>
      <c r="V409">
        <f t="shared" si="18"/>
        <v>3</v>
      </c>
      <c r="W409">
        <f t="shared" si="19"/>
        <v>0</v>
      </c>
      <c r="X409">
        <f t="shared" si="20"/>
        <v>0</v>
      </c>
      <c r="Y409">
        <v>113</v>
      </c>
      <c r="Z409">
        <v>103</v>
      </c>
      <c r="AA409" t="s">
        <v>2885</v>
      </c>
      <c r="AB409" t="s">
        <v>2886</v>
      </c>
      <c r="AC409" t="s">
        <v>89</v>
      </c>
      <c r="AD409">
        <v>5</v>
      </c>
      <c r="AE409">
        <v>71</v>
      </c>
      <c r="AF409" t="s">
        <v>95</v>
      </c>
      <c r="AH409" t="s">
        <v>301</v>
      </c>
      <c r="AI409">
        <v>140.66999999999999</v>
      </c>
      <c r="AJ409" t="s">
        <v>132</v>
      </c>
      <c r="AK409" t="s">
        <v>529</v>
      </c>
      <c r="AL409" t="s">
        <v>531</v>
      </c>
      <c r="AM409" t="s">
        <v>68</v>
      </c>
      <c r="AN409" s="1">
        <v>45640</v>
      </c>
      <c r="AO409">
        <v>2024</v>
      </c>
      <c r="AP409">
        <v>12</v>
      </c>
      <c r="AQ409" t="s">
        <v>116</v>
      </c>
      <c r="AS409" t="s">
        <v>85</v>
      </c>
      <c r="AT409">
        <v>2025</v>
      </c>
      <c r="AU409" t="s">
        <v>66</v>
      </c>
      <c r="AV409" t="s">
        <v>68</v>
      </c>
      <c r="AW409" t="s">
        <v>2882</v>
      </c>
      <c r="AX409">
        <v>2025</v>
      </c>
      <c r="AY409" t="s">
        <v>2883</v>
      </c>
      <c r="AZ409" t="s">
        <v>2883</v>
      </c>
    </row>
    <row r="410" spans="1:52" x14ac:dyDescent="0.25">
      <c r="A410" t="s">
        <v>2888</v>
      </c>
      <c r="B410" s="1">
        <v>37770</v>
      </c>
      <c r="C410" t="s">
        <v>2889</v>
      </c>
      <c r="D410">
        <v>423128</v>
      </c>
      <c r="E410" t="s">
        <v>46</v>
      </c>
      <c r="F410" t="s">
        <v>109</v>
      </c>
      <c r="G410" t="s">
        <v>413</v>
      </c>
      <c r="H410" t="s">
        <v>2889</v>
      </c>
      <c r="I410" t="s">
        <v>1796</v>
      </c>
      <c r="J410">
        <v>-55</v>
      </c>
      <c r="K410">
        <v>-55</v>
      </c>
      <c r="L410">
        <v>-55</v>
      </c>
      <c r="M410">
        <v>0</v>
      </c>
      <c r="N410">
        <v>0</v>
      </c>
      <c r="O410" t="s">
        <v>108</v>
      </c>
      <c r="P410">
        <v>0</v>
      </c>
      <c r="Q410">
        <v>0</v>
      </c>
      <c r="R410">
        <v>0</v>
      </c>
      <c r="S410">
        <v>0</v>
      </c>
      <c r="T410">
        <v>0</v>
      </c>
      <c r="U410" t="s">
        <v>108</v>
      </c>
      <c r="V410">
        <f t="shared" si="18"/>
        <v>0</v>
      </c>
      <c r="W410">
        <f t="shared" si="19"/>
        <v>0</v>
      </c>
      <c r="X410">
        <f t="shared" si="20"/>
        <v>0</v>
      </c>
      <c r="Y410">
        <v>0</v>
      </c>
      <c r="Z410">
        <v>0</v>
      </c>
      <c r="AA410" t="s">
        <v>99</v>
      </c>
      <c r="AB410" t="s">
        <v>99</v>
      </c>
      <c r="AC410" t="s">
        <v>49</v>
      </c>
      <c r="AD410">
        <v>999</v>
      </c>
      <c r="AE410">
        <v>49</v>
      </c>
      <c r="AF410" t="s">
        <v>126</v>
      </c>
      <c r="AH410" t="s">
        <v>195</v>
      </c>
      <c r="AI410">
        <v>0</v>
      </c>
      <c r="AJ410" t="s">
        <v>132</v>
      </c>
      <c r="AK410" t="s">
        <v>109</v>
      </c>
      <c r="AL410" t="s">
        <v>115</v>
      </c>
      <c r="AM410" t="s">
        <v>90</v>
      </c>
      <c r="AN410" s="1">
        <v>45639</v>
      </c>
      <c r="AO410">
        <v>2024</v>
      </c>
      <c r="AP410">
        <v>12</v>
      </c>
      <c r="AQ410" t="s">
        <v>116</v>
      </c>
      <c r="AS410" t="s">
        <v>85</v>
      </c>
      <c r="AT410">
        <v>2025</v>
      </c>
      <c r="AU410" t="s">
        <v>413</v>
      </c>
      <c r="AV410" t="s">
        <v>91</v>
      </c>
      <c r="AW410" t="s">
        <v>2889</v>
      </c>
      <c r="AX410">
        <v>2025</v>
      </c>
      <c r="AY410" t="s">
        <v>1692</v>
      </c>
      <c r="AZ410" t="s">
        <v>2890</v>
      </c>
    </row>
    <row r="411" spans="1:52" x14ac:dyDescent="0.25">
      <c r="A411" t="s">
        <v>2891</v>
      </c>
      <c r="B411" s="1">
        <v>41476</v>
      </c>
      <c r="C411" t="s">
        <v>2892</v>
      </c>
      <c r="D411">
        <v>492861</v>
      </c>
      <c r="E411" t="s">
        <v>46</v>
      </c>
      <c r="F411" t="s">
        <v>760</v>
      </c>
      <c r="G411" t="s">
        <v>419</v>
      </c>
      <c r="H411" t="s">
        <v>2892</v>
      </c>
      <c r="I411" t="s">
        <v>2895</v>
      </c>
      <c r="J411">
        <v>10</v>
      </c>
      <c r="K411">
        <v>12</v>
      </c>
      <c r="L411">
        <v>-14</v>
      </c>
      <c r="M411">
        <v>12</v>
      </c>
      <c r="N411">
        <v>22</v>
      </c>
      <c r="O411" t="s">
        <v>60</v>
      </c>
      <c r="P411">
        <v>13</v>
      </c>
      <c r="Q411">
        <v>15</v>
      </c>
      <c r="R411">
        <v>17</v>
      </c>
      <c r="S411">
        <v>17</v>
      </c>
      <c r="T411">
        <v>32</v>
      </c>
      <c r="U411" t="s">
        <v>48</v>
      </c>
      <c r="V411">
        <f t="shared" si="18"/>
        <v>5</v>
      </c>
      <c r="W411">
        <f t="shared" si="19"/>
        <v>0</v>
      </c>
      <c r="X411">
        <f t="shared" si="20"/>
        <v>0</v>
      </c>
      <c r="Y411">
        <v>29</v>
      </c>
      <c r="Z411">
        <v>54</v>
      </c>
      <c r="AA411" t="s">
        <v>2894</v>
      </c>
      <c r="AB411" t="s">
        <v>2896</v>
      </c>
      <c r="AC411" t="s">
        <v>49</v>
      </c>
      <c r="AD411">
        <v>999</v>
      </c>
      <c r="AE411">
        <v>35</v>
      </c>
      <c r="AF411" t="s">
        <v>50</v>
      </c>
      <c r="AH411" t="s">
        <v>450</v>
      </c>
      <c r="AI411">
        <v>140.65</v>
      </c>
      <c r="AJ411" t="s">
        <v>132</v>
      </c>
      <c r="AK411" t="s">
        <v>760</v>
      </c>
      <c r="AL411" t="s">
        <v>763</v>
      </c>
      <c r="AM411" t="s">
        <v>133</v>
      </c>
      <c r="AN411" s="1">
        <v>45640</v>
      </c>
      <c r="AO411">
        <v>2024</v>
      </c>
      <c r="AP411">
        <v>12</v>
      </c>
      <c r="AQ411" t="s">
        <v>116</v>
      </c>
      <c r="AS411" t="s">
        <v>85</v>
      </c>
      <c r="AT411">
        <v>2025</v>
      </c>
      <c r="AU411" t="s">
        <v>419</v>
      </c>
      <c r="AV411" t="s">
        <v>133</v>
      </c>
      <c r="AW411" t="s">
        <v>2892</v>
      </c>
      <c r="AX411">
        <v>2025</v>
      </c>
      <c r="AY411" t="s">
        <v>2893</v>
      </c>
      <c r="AZ411" t="s">
        <v>2894</v>
      </c>
    </row>
    <row r="412" spans="1:52" x14ac:dyDescent="0.25">
      <c r="A412" t="s">
        <v>3227</v>
      </c>
      <c r="B412" s="1">
        <v>40677</v>
      </c>
      <c r="C412" t="s">
        <v>3228</v>
      </c>
      <c r="D412">
        <v>474740</v>
      </c>
      <c r="E412" t="s">
        <v>46</v>
      </c>
      <c r="F412" t="s">
        <v>199</v>
      </c>
      <c r="G412" t="s">
        <v>535</v>
      </c>
      <c r="H412" t="s">
        <v>3228</v>
      </c>
      <c r="I412" t="s">
        <v>75</v>
      </c>
      <c r="J412">
        <v>30</v>
      </c>
      <c r="K412">
        <v>33</v>
      </c>
      <c r="L412">
        <v>-36</v>
      </c>
      <c r="M412">
        <v>33</v>
      </c>
      <c r="N412">
        <v>63</v>
      </c>
      <c r="O412" t="s">
        <v>60</v>
      </c>
      <c r="P412">
        <v>41</v>
      </c>
      <c r="Q412">
        <v>44</v>
      </c>
      <c r="R412">
        <v>-47</v>
      </c>
      <c r="S412">
        <v>44</v>
      </c>
      <c r="T412">
        <v>85</v>
      </c>
      <c r="U412" t="s">
        <v>60</v>
      </c>
      <c r="V412">
        <f t="shared" si="18"/>
        <v>4</v>
      </c>
      <c r="W412">
        <f t="shared" si="19"/>
        <v>0</v>
      </c>
      <c r="X412">
        <f t="shared" si="20"/>
        <v>0</v>
      </c>
      <c r="Y412">
        <v>77</v>
      </c>
      <c r="Z412">
        <v>148</v>
      </c>
      <c r="AA412" t="s">
        <v>3230</v>
      </c>
      <c r="AB412" t="s">
        <v>3231</v>
      </c>
      <c r="AC412" t="s">
        <v>93</v>
      </c>
      <c r="AD412">
        <v>6</v>
      </c>
      <c r="AE412">
        <v>55</v>
      </c>
      <c r="AF412" t="s">
        <v>57</v>
      </c>
      <c r="AH412" t="s">
        <v>172</v>
      </c>
      <c r="AI412">
        <v>117.09</v>
      </c>
      <c r="AJ412" t="s">
        <v>132</v>
      </c>
      <c r="AK412" t="s">
        <v>199</v>
      </c>
      <c r="AL412" t="s">
        <v>203</v>
      </c>
      <c r="AM412" t="s">
        <v>53</v>
      </c>
      <c r="AN412" s="1">
        <v>45640</v>
      </c>
      <c r="AO412">
        <v>2024</v>
      </c>
      <c r="AP412">
        <v>12</v>
      </c>
      <c r="AQ412" t="s">
        <v>116</v>
      </c>
      <c r="AS412" t="s">
        <v>85</v>
      </c>
      <c r="AT412">
        <v>2025</v>
      </c>
      <c r="AU412" t="s">
        <v>535</v>
      </c>
      <c r="AV412" t="s">
        <v>54</v>
      </c>
      <c r="AW412" t="s">
        <v>3228</v>
      </c>
      <c r="AX412">
        <v>2025</v>
      </c>
      <c r="AY412" t="s">
        <v>3229</v>
      </c>
      <c r="AZ412" t="s">
        <v>3229</v>
      </c>
    </row>
    <row r="413" spans="1:52" x14ac:dyDescent="0.25">
      <c r="A413" t="s">
        <v>2897</v>
      </c>
      <c r="B413" s="1">
        <v>39066</v>
      </c>
      <c r="C413" t="s">
        <v>2898</v>
      </c>
      <c r="D413">
        <v>462601</v>
      </c>
      <c r="E413" t="s">
        <v>46</v>
      </c>
      <c r="F413" t="s">
        <v>801</v>
      </c>
      <c r="G413" t="s">
        <v>478</v>
      </c>
      <c r="H413" t="s">
        <v>2898</v>
      </c>
      <c r="I413" t="s">
        <v>2900</v>
      </c>
      <c r="J413">
        <v>56</v>
      </c>
      <c r="K413">
        <v>-61</v>
      </c>
      <c r="L413">
        <v>-61</v>
      </c>
      <c r="M413">
        <v>56</v>
      </c>
      <c r="N413">
        <v>0</v>
      </c>
      <c r="O413" t="s">
        <v>55</v>
      </c>
      <c r="P413">
        <v>70</v>
      </c>
      <c r="Q413">
        <v>-75</v>
      </c>
      <c r="R413">
        <v>75</v>
      </c>
      <c r="S413">
        <v>75</v>
      </c>
      <c r="T413">
        <v>145</v>
      </c>
      <c r="U413" t="s">
        <v>65</v>
      </c>
      <c r="V413">
        <f t="shared" si="18"/>
        <v>3</v>
      </c>
      <c r="W413">
        <f t="shared" si="19"/>
        <v>0</v>
      </c>
      <c r="X413">
        <f t="shared" si="20"/>
        <v>0</v>
      </c>
      <c r="Y413">
        <v>131</v>
      </c>
      <c r="Z413">
        <v>145</v>
      </c>
      <c r="AA413" t="s">
        <v>2901</v>
      </c>
      <c r="AB413" t="s">
        <v>2902</v>
      </c>
      <c r="AC413" t="s">
        <v>94</v>
      </c>
      <c r="AD413">
        <v>4</v>
      </c>
      <c r="AE413">
        <v>55</v>
      </c>
      <c r="AF413" t="s">
        <v>113</v>
      </c>
      <c r="AH413" t="s">
        <v>465</v>
      </c>
      <c r="AI413">
        <v>191.83</v>
      </c>
      <c r="AJ413" t="s">
        <v>132</v>
      </c>
      <c r="AK413" t="s">
        <v>801</v>
      </c>
      <c r="AL413" t="s">
        <v>804</v>
      </c>
      <c r="AM413" t="s">
        <v>68</v>
      </c>
      <c r="AN413" s="1">
        <v>45640</v>
      </c>
      <c r="AO413">
        <v>2024</v>
      </c>
      <c r="AP413">
        <v>12</v>
      </c>
      <c r="AQ413" t="s">
        <v>116</v>
      </c>
      <c r="AS413" t="s">
        <v>85</v>
      </c>
      <c r="AT413">
        <v>2025</v>
      </c>
      <c r="AU413" t="s">
        <v>478</v>
      </c>
      <c r="AV413" t="s">
        <v>68</v>
      </c>
      <c r="AW413" t="s">
        <v>2898</v>
      </c>
      <c r="AX413">
        <v>2025</v>
      </c>
      <c r="AY413" t="s">
        <v>2899</v>
      </c>
      <c r="AZ413" t="s">
        <v>2899</v>
      </c>
    </row>
    <row r="414" spans="1:52" x14ac:dyDescent="0.25">
      <c r="A414" t="s">
        <v>2903</v>
      </c>
      <c r="B414" s="1">
        <v>41050</v>
      </c>
      <c r="C414" t="s">
        <v>2904</v>
      </c>
      <c r="D414">
        <v>465557</v>
      </c>
      <c r="E414" t="s">
        <v>46</v>
      </c>
      <c r="F414" t="s">
        <v>2029</v>
      </c>
      <c r="G414" t="s">
        <v>386</v>
      </c>
      <c r="H414" t="s">
        <v>2904</v>
      </c>
      <c r="I414" t="s">
        <v>71</v>
      </c>
      <c r="J414">
        <v>25</v>
      </c>
      <c r="K414">
        <v>26</v>
      </c>
      <c r="L414">
        <v>27</v>
      </c>
      <c r="M414">
        <v>27</v>
      </c>
      <c r="N414">
        <v>53</v>
      </c>
      <c r="O414" t="s">
        <v>48</v>
      </c>
      <c r="P414">
        <v>33</v>
      </c>
      <c r="Q414">
        <v>35</v>
      </c>
      <c r="R414">
        <v>37</v>
      </c>
      <c r="S414">
        <v>37</v>
      </c>
      <c r="T414">
        <v>72</v>
      </c>
      <c r="U414" t="s">
        <v>48</v>
      </c>
      <c r="V414">
        <f t="shared" si="18"/>
        <v>6</v>
      </c>
      <c r="W414">
        <f t="shared" si="19"/>
        <v>0</v>
      </c>
      <c r="X414">
        <f t="shared" si="20"/>
        <v>0</v>
      </c>
      <c r="Y414">
        <v>64</v>
      </c>
      <c r="Z414">
        <v>125</v>
      </c>
      <c r="AA414" t="s">
        <v>2906</v>
      </c>
      <c r="AB414" t="s">
        <v>2907</v>
      </c>
      <c r="AC414" t="s">
        <v>49</v>
      </c>
      <c r="AD414">
        <v>999</v>
      </c>
      <c r="AE414">
        <v>45</v>
      </c>
      <c r="AF414" t="s">
        <v>50</v>
      </c>
      <c r="AH414" t="s">
        <v>206</v>
      </c>
      <c r="AI414">
        <v>219.05</v>
      </c>
      <c r="AJ414" t="s">
        <v>132</v>
      </c>
      <c r="AK414" t="s">
        <v>2029</v>
      </c>
      <c r="AL414" t="s">
        <v>2032</v>
      </c>
      <c r="AM414" t="s">
        <v>170</v>
      </c>
      <c r="AN414" s="1">
        <v>45641</v>
      </c>
      <c r="AO414">
        <v>2024</v>
      </c>
      <c r="AP414">
        <v>12</v>
      </c>
      <c r="AQ414" t="s">
        <v>116</v>
      </c>
      <c r="AS414" t="s">
        <v>85</v>
      </c>
      <c r="AT414">
        <v>2025</v>
      </c>
      <c r="AU414" t="s">
        <v>386</v>
      </c>
      <c r="AV414" t="s">
        <v>170</v>
      </c>
      <c r="AW414" t="s">
        <v>2904</v>
      </c>
      <c r="AX414">
        <v>2025</v>
      </c>
      <c r="AY414" t="s">
        <v>2905</v>
      </c>
      <c r="AZ414" t="s">
        <v>2906</v>
      </c>
    </row>
    <row r="415" spans="1:52" x14ac:dyDescent="0.25">
      <c r="A415" t="s">
        <v>3232</v>
      </c>
      <c r="B415" s="1">
        <v>39944</v>
      </c>
      <c r="C415" t="s">
        <v>3233</v>
      </c>
      <c r="D415">
        <v>458823</v>
      </c>
      <c r="E415" t="s">
        <v>46</v>
      </c>
      <c r="F415" t="s">
        <v>199</v>
      </c>
      <c r="G415" t="s">
        <v>47</v>
      </c>
      <c r="H415" t="s">
        <v>3233</v>
      </c>
      <c r="I415" t="s">
        <v>499</v>
      </c>
      <c r="J415">
        <v>70</v>
      </c>
      <c r="K415">
        <v>-75</v>
      </c>
      <c r="L415">
        <v>75</v>
      </c>
      <c r="M415">
        <v>75</v>
      </c>
      <c r="N415">
        <v>145</v>
      </c>
      <c r="O415" t="s">
        <v>65</v>
      </c>
      <c r="P415">
        <v>90</v>
      </c>
      <c r="Q415">
        <v>-95</v>
      </c>
      <c r="R415">
        <v>95</v>
      </c>
      <c r="S415">
        <v>95</v>
      </c>
      <c r="T415">
        <v>185</v>
      </c>
      <c r="U415" t="s">
        <v>65</v>
      </c>
      <c r="V415">
        <f t="shared" si="18"/>
        <v>4</v>
      </c>
      <c r="W415">
        <f t="shared" si="19"/>
        <v>0</v>
      </c>
      <c r="X415">
        <f t="shared" si="20"/>
        <v>0</v>
      </c>
      <c r="Y415">
        <v>170</v>
      </c>
      <c r="Z415">
        <v>330</v>
      </c>
      <c r="AA415" t="s">
        <v>3234</v>
      </c>
      <c r="AB415" t="s">
        <v>3235</v>
      </c>
      <c r="AC415" t="s">
        <v>89</v>
      </c>
      <c r="AD415">
        <v>5</v>
      </c>
      <c r="AE415">
        <v>67</v>
      </c>
      <c r="AF415" t="s">
        <v>95</v>
      </c>
      <c r="AH415" t="s">
        <v>105</v>
      </c>
      <c r="AI415">
        <v>250.56</v>
      </c>
      <c r="AJ415" t="s">
        <v>52</v>
      </c>
      <c r="AK415" t="s">
        <v>199</v>
      </c>
      <c r="AL415" t="s">
        <v>203</v>
      </c>
      <c r="AM415" t="s">
        <v>53</v>
      </c>
      <c r="AN415" s="1">
        <v>45640</v>
      </c>
      <c r="AO415">
        <v>2024</v>
      </c>
      <c r="AP415">
        <v>12</v>
      </c>
      <c r="AQ415" t="s">
        <v>116</v>
      </c>
      <c r="AS415" t="s">
        <v>85</v>
      </c>
      <c r="AT415">
        <v>2025</v>
      </c>
      <c r="AU415" t="s">
        <v>47</v>
      </c>
      <c r="AV415" t="s">
        <v>54</v>
      </c>
      <c r="AW415" t="s">
        <v>3233</v>
      </c>
      <c r="AX415">
        <v>2025</v>
      </c>
      <c r="AY415" t="s">
        <v>3234</v>
      </c>
      <c r="AZ415" t="s">
        <v>3234</v>
      </c>
    </row>
    <row r="416" spans="1:52" x14ac:dyDescent="0.25">
      <c r="A416" t="s">
        <v>2908</v>
      </c>
      <c r="B416" s="1">
        <v>39266</v>
      </c>
      <c r="C416" t="s">
        <v>2909</v>
      </c>
      <c r="D416">
        <v>417549</v>
      </c>
      <c r="E416" t="s">
        <v>46</v>
      </c>
      <c r="F416" t="s">
        <v>1300</v>
      </c>
      <c r="G416" t="s">
        <v>2910</v>
      </c>
      <c r="H416" t="s">
        <v>2909</v>
      </c>
      <c r="I416">
        <v>69</v>
      </c>
      <c r="J416">
        <v>44</v>
      </c>
      <c r="K416">
        <v>47</v>
      </c>
      <c r="L416">
        <v>50</v>
      </c>
      <c r="M416">
        <v>50</v>
      </c>
      <c r="N416">
        <v>97</v>
      </c>
      <c r="O416" t="s">
        <v>48</v>
      </c>
      <c r="P416">
        <v>58</v>
      </c>
      <c r="Q416">
        <v>-62</v>
      </c>
      <c r="R416">
        <v>-62</v>
      </c>
      <c r="S416">
        <v>58</v>
      </c>
      <c r="T416">
        <v>0</v>
      </c>
      <c r="U416" t="s">
        <v>55</v>
      </c>
      <c r="V416">
        <f t="shared" si="18"/>
        <v>4</v>
      </c>
      <c r="W416">
        <f t="shared" si="19"/>
        <v>0</v>
      </c>
      <c r="X416">
        <f t="shared" si="20"/>
        <v>0</v>
      </c>
      <c r="Y416">
        <v>108</v>
      </c>
      <c r="Z416">
        <v>97</v>
      </c>
      <c r="AA416" t="s">
        <v>2911</v>
      </c>
      <c r="AB416" t="s">
        <v>2912</v>
      </c>
      <c r="AC416" t="s">
        <v>64</v>
      </c>
      <c r="AD416">
        <v>7</v>
      </c>
      <c r="AE416">
        <v>71</v>
      </c>
      <c r="AF416" t="s">
        <v>113</v>
      </c>
      <c r="AH416" t="s">
        <v>305</v>
      </c>
      <c r="AI416">
        <v>134.5</v>
      </c>
      <c r="AJ416" t="s">
        <v>132</v>
      </c>
      <c r="AK416" t="s">
        <v>1300</v>
      </c>
      <c r="AL416" t="s">
        <v>1302</v>
      </c>
      <c r="AM416" t="s">
        <v>170</v>
      </c>
      <c r="AN416" s="1">
        <v>45640</v>
      </c>
      <c r="AO416">
        <v>2024</v>
      </c>
      <c r="AP416">
        <v>12</v>
      </c>
      <c r="AQ416" t="s">
        <v>116</v>
      </c>
      <c r="AS416" t="s">
        <v>85</v>
      </c>
      <c r="AT416">
        <v>2025</v>
      </c>
      <c r="AU416" t="s">
        <v>2910</v>
      </c>
      <c r="AV416" t="s">
        <v>170</v>
      </c>
      <c r="AW416" t="s">
        <v>2909</v>
      </c>
      <c r="AX416">
        <v>2025</v>
      </c>
      <c r="AY416" t="s">
        <v>1768</v>
      </c>
      <c r="AZ416" t="s">
        <v>2911</v>
      </c>
    </row>
    <row r="417" spans="1:52" x14ac:dyDescent="0.25">
      <c r="A417" t="s">
        <v>2937</v>
      </c>
      <c r="B417" s="1">
        <v>38442</v>
      </c>
      <c r="C417" t="s">
        <v>2938</v>
      </c>
      <c r="D417">
        <v>455165</v>
      </c>
      <c r="E417" t="s">
        <v>46</v>
      </c>
      <c r="F417" t="s">
        <v>213</v>
      </c>
      <c r="G417" t="s">
        <v>70</v>
      </c>
      <c r="H417" t="s">
        <v>2938</v>
      </c>
      <c r="I417" t="s">
        <v>182</v>
      </c>
      <c r="J417">
        <v>59</v>
      </c>
      <c r="K417">
        <v>63</v>
      </c>
      <c r="L417">
        <v>-65</v>
      </c>
      <c r="M417">
        <v>63</v>
      </c>
      <c r="N417">
        <v>122</v>
      </c>
      <c r="O417" t="s">
        <v>60</v>
      </c>
      <c r="P417">
        <v>78</v>
      </c>
      <c r="Q417">
        <v>-82</v>
      </c>
      <c r="R417">
        <v>-82</v>
      </c>
      <c r="S417">
        <v>78</v>
      </c>
      <c r="T417">
        <v>0</v>
      </c>
      <c r="U417" t="s">
        <v>55</v>
      </c>
      <c r="V417">
        <f t="shared" si="18"/>
        <v>3</v>
      </c>
      <c r="W417">
        <f t="shared" si="19"/>
        <v>0</v>
      </c>
      <c r="X417">
        <f t="shared" si="20"/>
        <v>0</v>
      </c>
      <c r="Y417">
        <v>141</v>
      </c>
      <c r="Z417">
        <v>122</v>
      </c>
      <c r="AA417" t="s">
        <v>2940</v>
      </c>
      <c r="AB417" t="s">
        <v>2941</v>
      </c>
      <c r="AC417" t="s">
        <v>94</v>
      </c>
      <c r="AD417">
        <v>4</v>
      </c>
      <c r="AE417">
        <v>55</v>
      </c>
      <c r="AF417" t="s">
        <v>113</v>
      </c>
      <c r="AH417" t="s">
        <v>465</v>
      </c>
      <c r="AI417">
        <v>203.92</v>
      </c>
      <c r="AJ417" t="s">
        <v>132</v>
      </c>
      <c r="AK417" t="s">
        <v>213</v>
      </c>
      <c r="AL417" t="s">
        <v>217</v>
      </c>
      <c r="AM417" t="s">
        <v>72</v>
      </c>
      <c r="AN417" s="1">
        <v>45640</v>
      </c>
      <c r="AO417">
        <v>2024</v>
      </c>
      <c r="AP417">
        <v>12</v>
      </c>
      <c r="AQ417" t="s">
        <v>116</v>
      </c>
      <c r="AS417" t="s">
        <v>85</v>
      </c>
      <c r="AT417">
        <v>2025</v>
      </c>
      <c r="AU417" t="s">
        <v>70</v>
      </c>
      <c r="AV417" t="s">
        <v>72</v>
      </c>
      <c r="AW417" t="s">
        <v>2938</v>
      </c>
      <c r="AX417">
        <v>2025</v>
      </c>
      <c r="AY417" t="s">
        <v>2939</v>
      </c>
      <c r="AZ417" t="s">
        <v>2940</v>
      </c>
    </row>
    <row r="418" spans="1:52" x14ac:dyDescent="0.25">
      <c r="A418" t="s">
        <v>3236</v>
      </c>
      <c r="B418" s="1">
        <v>39058</v>
      </c>
      <c r="C418" t="s">
        <v>3237</v>
      </c>
      <c r="D418">
        <v>468844</v>
      </c>
      <c r="E418" t="s">
        <v>46</v>
      </c>
      <c r="F418" t="s">
        <v>1350</v>
      </c>
      <c r="G418" t="s">
        <v>684</v>
      </c>
      <c r="H418" t="s">
        <v>3237</v>
      </c>
      <c r="I418" t="s">
        <v>264</v>
      </c>
      <c r="J418">
        <v>60</v>
      </c>
      <c r="K418">
        <v>65</v>
      </c>
      <c r="L418">
        <v>70</v>
      </c>
      <c r="M418">
        <v>70</v>
      </c>
      <c r="N418">
        <v>135</v>
      </c>
      <c r="O418" t="s">
        <v>48</v>
      </c>
      <c r="P418">
        <v>75</v>
      </c>
      <c r="Q418">
        <v>80</v>
      </c>
      <c r="R418">
        <v>-85</v>
      </c>
      <c r="S418">
        <v>80</v>
      </c>
      <c r="T418">
        <v>155</v>
      </c>
      <c r="U418" t="s">
        <v>60</v>
      </c>
      <c r="V418">
        <f t="shared" si="18"/>
        <v>5</v>
      </c>
      <c r="W418">
        <f t="shared" si="19"/>
        <v>0</v>
      </c>
      <c r="X418">
        <f t="shared" si="20"/>
        <v>0</v>
      </c>
      <c r="Y418">
        <v>150</v>
      </c>
      <c r="Z418">
        <v>290</v>
      </c>
      <c r="AA418" t="s">
        <v>3239</v>
      </c>
      <c r="AB418" t="s">
        <v>3240</v>
      </c>
      <c r="AC418" t="s">
        <v>89</v>
      </c>
      <c r="AD418">
        <v>5</v>
      </c>
      <c r="AE418">
        <v>81</v>
      </c>
      <c r="AF418" t="s">
        <v>113</v>
      </c>
      <c r="AH418" t="s">
        <v>881</v>
      </c>
      <c r="AI418">
        <v>173.08</v>
      </c>
      <c r="AJ418" t="s">
        <v>132</v>
      </c>
      <c r="AK418" t="s">
        <v>1350</v>
      </c>
      <c r="AL418" t="s">
        <v>1352</v>
      </c>
      <c r="AM418" t="s">
        <v>90</v>
      </c>
      <c r="AN418" s="1">
        <v>45640</v>
      </c>
      <c r="AO418">
        <v>2024</v>
      </c>
      <c r="AP418">
        <v>12</v>
      </c>
      <c r="AQ418" t="s">
        <v>116</v>
      </c>
      <c r="AS418" t="s">
        <v>85</v>
      </c>
      <c r="AT418">
        <v>2025</v>
      </c>
      <c r="AU418" t="s">
        <v>684</v>
      </c>
      <c r="AV418" t="s">
        <v>91</v>
      </c>
      <c r="AW418" t="s">
        <v>3237</v>
      </c>
      <c r="AX418">
        <v>2025</v>
      </c>
      <c r="AY418" t="s">
        <v>3238</v>
      </c>
      <c r="AZ418" t="s">
        <v>3239</v>
      </c>
    </row>
    <row r="419" spans="1:52" x14ac:dyDescent="0.25">
      <c r="A419" t="s">
        <v>2916</v>
      </c>
      <c r="B419" s="1">
        <v>38558</v>
      </c>
      <c r="C419" t="s">
        <v>2917</v>
      </c>
      <c r="D419">
        <v>402005</v>
      </c>
      <c r="E419" t="s">
        <v>46</v>
      </c>
      <c r="F419" t="s">
        <v>810</v>
      </c>
      <c r="G419" t="s">
        <v>639</v>
      </c>
      <c r="H419" t="s">
        <v>2917</v>
      </c>
      <c r="I419" t="s">
        <v>117</v>
      </c>
      <c r="J419">
        <v>65</v>
      </c>
      <c r="K419">
        <v>70</v>
      </c>
      <c r="L419">
        <v>75</v>
      </c>
      <c r="M419">
        <v>75</v>
      </c>
      <c r="N419">
        <v>145</v>
      </c>
      <c r="O419" t="s">
        <v>48</v>
      </c>
      <c r="P419">
        <v>85</v>
      </c>
      <c r="Q419">
        <v>90</v>
      </c>
      <c r="R419">
        <v>95</v>
      </c>
      <c r="S419">
        <v>95</v>
      </c>
      <c r="T419">
        <v>185</v>
      </c>
      <c r="U419" t="s">
        <v>48</v>
      </c>
      <c r="V419">
        <f t="shared" si="18"/>
        <v>6</v>
      </c>
      <c r="W419">
        <f t="shared" si="19"/>
        <v>0</v>
      </c>
      <c r="X419">
        <f t="shared" si="20"/>
        <v>0</v>
      </c>
      <c r="Y419">
        <v>170</v>
      </c>
      <c r="Z419">
        <v>330</v>
      </c>
      <c r="AA419" t="s">
        <v>2918</v>
      </c>
      <c r="AB419" t="s">
        <v>2919</v>
      </c>
      <c r="AC419" t="s">
        <v>89</v>
      </c>
      <c r="AD419">
        <v>5</v>
      </c>
      <c r="AE419">
        <v>61</v>
      </c>
      <c r="AF419" t="s">
        <v>113</v>
      </c>
      <c r="AH419" t="s">
        <v>737</v>
      </c>
      <c r="AI419">
        <v>258.7</v>
      </c>
      <c r="AJ419" t="s">
        <v>52</v>
      </c>
      <c r="AK419" t="s">
        <v>810</v>
      </c>
      <c r="AL419" t="s">
        <v>812</v>
      </c>
      <c r="AM419" t="s">
        <v>177</v>
      </c>
      <c r="AN419" s="1">
        <v>45640</v>
      </c>
      <c r="AO419">
        <v>2024</v>
      </c>
      <c r="AP419">
        <v>12</v>
      </c>
      <c r="AQ419" t="s">
        <v>116</v>
      </c>
      <c r="AS419" t="s">
        <v>85</v>
      </c>
      <c r="AT419">
        <v>2025</v>
      </c>
      <c r="AU419" t="s">
        <v>639</v>
      </c>
      <c r="AV419" t="s">
        <v>177</v>
      </c>
      <c r="AW419" t="s">
        <v>2917</v>
      </c>
      <c r="AX419">
        <v>2025</v>
      </c>
      <c r="AY419" t="s">
        <v>2918</v>
      </c>
      <c r="AZ419" t="s">
        <v>2918</v>
      </c>
    </row>
    <row r="420" spans="1:52" x14ac:dyDescent="0.25">
      <c r="A420" t="s">
        <v>2928</v>
      </c>
      <c r="B420" s="1">
        <v>41573</v>
      </c>
      <c r="C420" t="s">
        <v>2929</v>
      </c>
      <c r="D420">
        <v>496988</v>
      </c>
      <c r="E420" t="s">
        <v>46</v>
      </c>
      <c r="F420" t="s">
        <v>964</v>
      </c>
      <c r="G420" t="s">
        <v>66</v>
      </c>
      <c r="H420" t="s">
        <v>2929</v>
      </c>
      <c r="I420">
        <v>35</v>
      </c>
      <c r="J420">
        <v>20</v>
      </c>
      <c r="K420">
        <v>-21</v>
      </c>
      <c r="L420">
        <v>21</v>
      </c>
      <c r="M420">
        <v>21</v>
      </c>
      <c r="N420">
        <v>41</v>
      </c>
      <c r="O420" t="s">
        <v>65</v>
      </c>
      <c r="P420">
        <v>26</v>
      </c>
      <c r="Q420">
        <v>28</v>
      </c>
      <c r="R420">
        <v>-30</v>
      </c>
      <c r="S420">
        <v>28</v>
      </c>
      <c r="T420">
        <v>54</v>
      </c>
      <c r="U420" t="s">
        <v>60</v>
      </c>
      <c r="V420">
        <f t="shared" si="18"/>
        <v>4</v>
      </c>
      <c r="W420">
        <f t="shared" si="19"/>
        <v>0</v>
      </c>
      <c r="X420">
        <f t="shared" si="20"/>
        <v>0</v>
      </c>
      <c r="Y420">
        <v>49</v>
      </c>
      <c r="Z420">
        <v>95</v>
      </c>
      <c r="AA420" t="s">
        <v>2931</v>
      </c>
      <c r="AB420" t="s">
        <v>2932</v>
      </c>
      <c r="AC420" t="s">
        <v>49</v>
      </c>
      <c r="AD420">
        <v>999</v>
      </c>
      <c r="AE420">
        <v>35</v>
      </c>
      <c r="AF420" t="s">
        <v>50</v>
      </c>
      <c r="AH420" t="s">
        <v>253</v>
      </c>
      <c r="AI420">
        <v>237.99</v>
      </c>
      <c r="AJ420" t="s">
        <v>52</v>
      </c>
      <c r="AK420" t="s">
        <v>964</v>
      </c>
      <c r="AL420" t="s">
        <v>967</v>
      </c>
      <c r="AM420" t="s">
        <v>68</v>
      </c>
      <c r="AN420" s="1">
        <v>45641</v>
      </c>
      <c r="AO420">
        <v>2024</v>
      </c>
      <c r="AP420">
        <v>12</v>
      </c>
      <c r="AQ420" t="s">
        <v>116</v>
      </c>
      <c r="AS420" t="s">
        <v>85</v>
      </c>
      <c r="AT420">
        <v>2025</v>
      </c>
      <c r="AU420" t="s">
        <v>66</v>
      </c>
      <c r="AV420" t="s">
        <v>68</v>
      </c>
      <c r="AW420" t="s">
        <v>2929</v>
      </c>
      <c r="AX420">
        <v>2025</v>
      </c>
      <c r="AY420" t="s">
        <v>2930</v>
      </c>
      <c r="AZ420" t="s">
        <v>2930</v>
      </c>
    </row>
    <row r="421" spans="1:52" x14ac:dyDescent="0.25">
      <c r="A421" t="s">
        <v>3250</v>
      </c>
      <c r="B421" s="1">
        <v>40335</v>
      </c>
      <c r="C421" t="s">
        <v>3251</v>
      </c>
      <c r="D421">
        <v>468582</v>
      </c>
      <c r="E421" t="s">
        <v>46</v>
      </c>
      <c r="F421" t="s">
        <v>810</v>
      </c>
      <c r="G421" t="s">
        <v>541</v>
      </c>
      <c r="H421" t="s">
        <v>3251</v>
      </c>
      <c r="I421" t="s">
        <v>1474</v>
      </c>
      <c r="J421">
        <v>45</v>
      </c>
      <c r="K421">
        <v>50</v>
      </c>
      <c r="L421">
        <v>-52</v>
      </c>
      <c r="M421">
        <v>50</v>
      </c>
      <c r="N421">
        <v>95</v>
      </c>
      <c r="O421" t="s">
        <v>60</v>
      </c>
      <c r="P421">
        <v>60</v>
      </c>
      <c r="Q421">
        <v>-65</v>
      </c>
      <c r="R421">
        <v>65</v>
      </c>
      <c r="S421">
        <v>65</v>
      </c>
      <c r="T421">
        <v>125</v>
      </c>
      <c r="U421" t="s">
        <v>65</v>
      </c>
      <c r="V421">
        <f t="shared" si="18"/>
        <v>4</v>
      </c>
      <c r="W421">
        <f t="shared" si="19"/>
        <v>0</v>
      </c>
      <c r="X421">
        <f t="shared" si="20"/>
        <v>0</v>
      </c>
      <c r="Y421">
        <v>115</v>
      </c>
      <c r="Z421">
        <v>220</v>
      </c>
      <c r="AA421" t="s">
        <v>3252</v>
      </c>
      <c r="AB421" t="s">
        <v>3253</v>
      </c>
      <c r="AC421" t="s">
        <v>89</v>
      </c>
      <c r="AD421">
        <v>5</v>
      </c>
      <c r="AE421">
        <v>55</v>
      </c>
      <c r="AF421" t="s">
        <v>57</v>
      </c>
      <c r="AH421" t="s">
        <v>61</v>
      </c>
      <c r="AI421">
        <v>191.98</v>
      </c>
      <c r="AJ421" t="s">
        <v>52</v>
      </c>
      <c r="AK421" t="s">
        <v>810</v>
      </c>
      <c r="AL421" t="s">
        <v>812</v>
      </c>
      <c r="AM421" t="s">
        <v>177</v>
      </c>
      <c r="AN421" s="1">
        <v>45640</v>
      </c>
      <c r="AO421">
        <v>2024</v>
      </c>
      <c r="AP421">
        <v>12</v>
      </c>
      <c r="AQ421" t="s">
        <v>116</v>
      </c>
      <c r="AS421" t="s">
        <v>85</v>
      </c>
      <c r="AT421">
        <v>2025</v>
      </c>
      <c r="AU421" t="s">
        <v>541</v>
      </c>
      <c r="AV421" t="s">
        <v>177</v>
      </c>
      <c r="AW421" t="s">
        <v>3251</v>
      </c>
      <c r="AX421">
        <v>2025</v>
      </c>
      <c r="AY421" t="s">
        <v>3252</v>
      </c>
      <c r="AZ421" t="s">
        <v>3252</v>
      </c>
    </row>
    <row r="422" spans="1:52" x14ac:dyDescent="0.25">
      <c r="A422" t="s">
        <v>3254</v>
      </c>
      <c r="B422" s="1">
        <v>39363</v>
      </c>
      <c r="C422" t="s">
        <v>3255</v>
      </c>
      <c r="D422">
        <v>444457</v>
      </c>
      <c r="E422" t="s">
        <v>46</v>
      </c>
      <c r="F422" t="s">
        <v>390</v>
      </c>
      <c r="G422" t="s">
        <v>394</v>
      </c>
      <c r="H422" t="s">
        <v>3255</v>
      </c>
      <c r="I422" t="s">
        <v>442</v>
      </c>
      <c r="J422">
        <v>-76</v>
      </c>
      <c r="K422">
        <v>-77</v>
      </c>
      <c r="L422">
        <v>80</v>
      </c>
      <c r="M422">
        <v>80</v>
      </c>
      <c r="N422">
        <v>0</v>
      </c>
      <c r="O422" t="s">
        <v>102</v>
      </c>
      <c r="P422">
        <v>96</v>
      </c>
      <c r="Q422">
        <v>101</v>
      </c>
      <c r="R422">
        <v>-105</v>
      </c>
      <c r="S422">
        <v>101</v>
      </c>
      <c r="T422">
        <v>197</v>
      </c>
      <c r="U422" t="s">
        <v>60</v>
      </c>
      <c r="V422">
        <f t="shared" si="18"/>
        <v>3</v>
      </c>
      <c r="W422">
        <f t="shared" si="19"/>
        <v>1</v>
      </c>
      <c r="X422">
        <f t="shared" si="20"/>
        <v>0</v>
      </c>
      <c r="Y422">
        <v>181</v>
      </c>
      <c r="Z422">
        <v>197</v>
      </c>
      <c r="AA422" t="s">
        <v>3256</v>
      </c>
      <c r="AB422" t="s">
        <v>3257</v>
      </c>
      <c r="AC422" t="s">
        <v>89</v>
      </c>
      <c r="AD422">
        <v>5</v>
      </c>
      <c r="AE422">
        <v>61</v>
      </c>
      <c r="AF422" t="s">
        <v>113</v>
      </c>
      <c r="AH422" t="s">
        <v>737</v>
      </c>
      <c r="AI422">
        <v>282.66000000000003</v>
      </c>
      <c r="AJ422" t="s">
        <v>52</v>
      </c>
      <c r="AK422" t="s">
        <v>390</v>
      </c>
      <c r="AL422" t="s">
        <v>392</v>
      </c>
      <c r="AM422" t="s">
        <v>170</v>
      </c>
      <c r="AN422" s="1">
        <v>45641</v>
      </c>
      <c r="AO422">
        <v>2024</v>
      </c>
      <c r="AP422">
        <v>12</v>
      </c>
      <c r="AQ422" t="s">
        <v>116</v>
      </c>
      <c r="AS422" t="s">
        <v>85</v>
      </c>
      <c r="AT422">
        <v>2025</v>
      </c>
      <c r="AU422" t="s">
        <v>394</v>
      </c>
      <c r="AV422" t="s">
        <v>170</v>
      </c>
      <c r="AW422" t="s">
        <v>3255</v>
      </c>
      <c r="AX422">
        <v>2025</v>
      </c>
      <c r="AY422" t="s">
        <v>3256</v>
      </c>
      <c r="AZ422" t="s">
        <v>3256</v>
      </c>
    </row>
    <row r="423" spans="1:52" x14ac:dyDescent="0.25">
      <c r="A423" t="s">
        <v>3241</v>
      </c>
      <c r="B423" s="1">
        <v>36556</v>
      </c>
      <c r="C423" t="s">
        <v>3242</v>
      </c>
      <c r="D423">
        <v>495021</v>
      </c>
      <c r="E423" t="s">
        <v>46</v>
      </c>
      <c r="F423" t="s">
        <v>263</v>
      </c>
      <c r="G423" t="s">
        <v>513</v>
      </c>
      <c r="H423" t="s">
        <v>3242</v>
      </c>
      <c r="I423">
        <v>89</v>
      </c>
      <c r="J423">
        <v>122</v>
      </c>
      <c r="K423">
        <v>-127</v>
      </c>
      <c r="L423">
        <v>-127</v>
      </c>
      <c r="M423">
        <v>122</v>
      </c>
      <c r="N423">
        <v>0</v>
      </c>
      <c r="O423" t="s">
        <v>55</v>
      </c>
      <c r="P423">
        <v>-158</v>
      </c>
      <c r="Q423">
        <v>-165</v>
      </c>
      <c r="R423">
        <v>-165</v>
      </c>
      <c r="S423">
        <v>0</v>
      </c>
      <c r="T423">
        <v>0</v>
      </c>
      <c r="U423" t="s">
        <v>108</v>
      </c>
      <c r="V423">
        <f t="shared" si="18"/>
        <v>1</v>
      </c>
      <c r="W423">
        <f t="shared" si="19"/>
        <v>0</v>
      </c>
      <c r="X423">
        <f t="shared" si="20"/>
        <v>0</v>
      </c>
      <c r="Y423">
        <v>122</v>
      </c>
      <c r="Z423">
        <v>0</v>
      </c>
      <c r="AA423" t="s">
        <v>3245</v>
      </c>
      <c r="AB423" t="s">
        <v>99</v>
      </c>
      <c r="AC423" t="s">
        <v>49</v>
      </c>
      <c r="AD423">
        <v>999</v>
      </c>
      <c r="AE423">
        <v>89</v>
      </c>
      <c r="AF423" t="s">
        <v>126</v>
      </c>
      <c r="AH423" t="s">
        <v>155</v>
      </c>
      <c r="AI423">
        <v>0</v>
      </c>
      <c r="AJ423" t="s">
        <v>52</v>
      </c>
      <c r="AK423" t="s">
        <v>263</v>
      </c>
      <c r="AL423" t="s">
        <v>267</v>
      </c>
      <c r="AM423" t="s">
        <v>145</v>
      </c>
      <c r="AN423" s="1">
        <v>45640</v>
      </c>
      <c r="AO423">
        <v>2024</v>
      </c>
      <c r="AP423">
        <v>12</v>
      </c>
      <c r="AQ423" t="s">
        <v>116</v>
      </c>
      <c r="AS423" t="s">
        <v>85</v>
      </c>
      <c r="AT423">
        <v>2025</v>
      </c>
      <c r="AU423" t="s">
        <v>513</v>
      </c>
      <c r="AV423" t="s">
        <v>145</v>
      </c>
      <c r="AW423" t="s">
        <v>3242</v>
      </c>
      <c r="AX423">
        <v>2025</v>
      </c>
      <c r="AY423" t="s">
        <v>3243</v>
      </c>
      <c r="AZ423" t="s">
        <v>3243</v>
      </c>
    </row>
    <row r="424" spans="1:52" x14ac:dyDescent="0.25">
      <c r="A424" t="s">
        <v>2920</v>
      </c>
      <c r="B424" s="1">
        <v>41110</v>
      </c>
      <c r="C424" t="s">
        <v>2921</v>
      </c>
      <c r="D424">
        <v>466927</v>
      </c>
      <c r="E424" t="s">
        <v>46</v>
      </c>
      <c r="F424" t="s">
        <v>867</v>
      </c>
      <c r="G424" t="s">
        <v>66</v>
      </c>
      <c r="H424" t="s">
        <v>2921</v>
      </c>
      <c r="I424" t="s">
        <v>2925</v>
      </c>
      <c r="J424">
        <v>18</v>
      </c>
      <c r="K424">
        <v>20</v>
      </c>
      <c r="L424">
        <v>-22</v>
      </c>
      <c r="M424">
        <v>20</v>
      </c>
      <c r="N424">
        <v>38</v>
      </c>
      <c r="O424" t="s">
        <v>60</v>
      </c>
      <c r="P424">
        <v>28</v>
      </c>
      <c r="Q424">
        <v>30</v>
      </c>
      <c r="R424">
        <v>-32</v>
      </c>
      <c r="S424">
        <v>30</v>
      </c>
      <c r="T424">
        <v>58</v>
      </c>
      <c r="U424" t="s">
        <v>60</v>
      </c>
      <c r="V424">
        <f t="shared" si="18"/>
        <v>4</v>
      </c>
      <c r="W424">
        <f t="shared" si="19"/>
        <v>0</v>
      </c>
      <c r="X424">
        <f t="shared" si="20"/>
        <v>0</v>
      </c>
      <c r="Y424">
        <v>50</v>
      </c>
      <c r="Z424">
        <v>96</v>
      </c>
      <c r="AA424" t="s">
        <v>2926</v>
      </c>
      <c r="AB424" t="s">
        <v>2927</v>
      </c>
      <c r="AC424" t="s">
        <v>49</v>
      </c>
      <c r="AD424">
        <v>999</v>
      </c>
      <c r="AE424">
        <v>49</v>
      </c>
      <c r="AF424" t="s">
        <v>50</v>
      </c>
      <c r="AH424" t="s">
        <v>210</v>
      </c>
      <c r="AI424">
        <v>159.61000000000001</v>
      </c>
      <c r="AJ424" t="s">
        <v>132</v>
      </c>
      <c r="AK424" t="s">
        <v>867</v>
      </c>
      <c r="AL424" t="s">
        <v>869</v>
      </c>
      <c r="AM424" t="s">
        <v>68</v>
      </c>
      <c r="AN424" s="1">
        <v>45641</v>
      </c>
      <c r="AO424">
        <v>2024</v>
      </c>
      <c r="AP424">
        <v>12</v>
      </c>
      <c r="AQ424" t="s">
        <v>116</v>
      </c>
      <c r="AS424" t="s">
        <v>85</v>
      </c>
      <c r="AT424">
        <v>2025</v>
      </c>
      <c r="AU424" t="s">
        <v>66</v>
      </c>
      <c r="AV424" t="s">
        <v>68</v>
      </c>
      <c r="AW424" t="s">
        <v>2921</v>
      </c>
      <c r="AX424">
        <v>2025</v>
      </c>
      <c r="AY424" t="s">
        <v>2922</v>
      </c>
      <c r="AZ424" t="s">
        <v>2923</v>
      </c>
    </row>
    <row r="425" spans="1:52" x14ac:dyDescent="0.25">
      <c r="A425" t="s">
        <v>3246</v>
      </c>
      <c r="B425" s="1">
        <v>39650</v>
      </c>
      <c r="C425" t="s">
        <v>3247</v>
      </c>
      <c r="D425">
        <v>477601</v>
      </c>
      <c r="E425" t="s">
        <v>46</v>
      </c>
      <c r="F425" t="s">
        <v>360</v>
      </c>
      <c r="G425" t="s">
        <v>348</v>
      </c>
      <c r="H425" t="s">
        <v>3247</v>
      </c>
      <c r="I425" t="s">
        <v>158</v>
      </c>
      <c r="J425">
        <v>40</v>
      </c>
      <c r="K425">
        <v>43</v>
      </c>
      <c r="L425">
        <v>46</v>
      </c>
      <c r="M425">
        <v>46</v>
      </c>
      <c r="N425">
        <v>89</v>
      </c>
      <c r="O425" t="s">
        <v>48</v>
      </c>
      <c r="P425">
        <v>53</v>
      </c>
      <c r="Q425">
        <v>57</v>
      </c>
      <c r="R425">
        <v>-60</v>
      </c>
      <c r="S425">
        <v>57</v>
      </c>
      <c r="T425">
        <v>110</v>
      </c>
      <c r="U425" t="s">
        <v>60</v>
      </c>
      <c r="V425">
        <f t="shared" si="18"/>
        <v>5</v>
      </c>
      <c r="W425">
        <f t="shared" si="19"/>
        <v>0</v>
      </c>
      <c r="X425">
        <f t="shared" si="20"/>
        <v>0</v>
      </c>
      <c r="Y425">
        <v>103</v>
      </c>
      <c r="Z425">
        <v>199</v>
      </c>
      <c r="AA425" t="s">
        <v>3248</v>
      </c>
      <c r="AB425" t="s">
        <v>3249</v>
      </c>
      <c r="AC425" t="s">
        <v>93</v>
      </c>
      <c r="AD425">
        <v>6</v>
      </c>
      <c r="AE425">
        <v>81</v>
      </c>
      <c r="AF425" t="s">
        <v>95</v>
      </c>
      <c r="AH425" t="s">
        <v>1467</v>
      </c>
      <c r="AI425">
        <v>121.14</v>
      </c>
      <c r="AJ425" t="s">
        <v>132</v>
      </c>
      <c r="AK425" t="s">
        <v>360</v>
      </c>
      <c r="AL425" t="s">
        <v>363</v>
      </c>
      <c r="AM425" t="s">
        <v>53</v>
      </c>
      <c r="AN425" s="1">
        <v>45640</v>
      </c>
      <c r="AO425">
        <v>2024</v>
      </c>
      <c r="AP425">
        <v>12</v>
      </c>
      <c r="AQ425" t="s">
        <v>116</v>
      </c>
      <c r="AS425" t="s">
        <v>85</v>
      </c>
      <c r="AT425">
        <v>2025</v>
      </c>
      <c r="AU425" t="s">
        <v>348</v>
      </c>
      <c r="AV425" t="s">
        <v>54</v>
      </c>
      <c r="AW425" t="s">
        <v>3247</v>
      </c>
      <c r="AX425">
        <v>2025</v>
      </c>
      <c r="AY425" t="s">
        <v>3248</v>
      </c>
      <c r="AZ425" t="s">
        <v>3248</v>
      </c>
    </row>
    <row r="426" spans="1:52" x14ac:dyDescent="0.25">
      <c r="A426" t="s">
        <v>2933</v>
      </c>
      <c r="B426" s="1">
        <v>40769</v>
      </c>
      <c r="C426" t="s">
        <v>2934</v>
      </c>
      <c r="D426">
        <v>480465</v>
      </c>
      <c r="E426" t="s">
        <v>46</v>
      </c>
      <c r="F426" t="s">
        <v>1383</v>
      </c>
      <c r="G426" t="s">
        <v>883</v>
      </c>
      <c r="H426" t="s">
        <v>2934</v>
      </c>
      <c r="I426" t="s">
        <v>371</v>
      </c>
      <c r="J426">
        <v>35</v>
      </c>
      <c r="K426">
        <v>37</v>
      </c>
      <c r="L426">
        <v>39</v>
      </c>
      <c r="M426">
        <v>39</v>
      </c>
      <c r="N426">
        <v>76</v>
      </c>
      <c r="O426" t="s">
        <v>48</v>
      </c>
      <c r="P426">
        <v>40</v>
      </c>
      <c r="Q426">
        <v>43</v>
      </c>
      <c r="R426">
        <v>46</v>
      </c>
      <c r="S426">
        <v>46</v>
      </c>
      <c r="T426">
        <v>89</v>
      </c>
      <c r="U426" t="s">
        <v>48</v>
      </c>
      <c r="V426">
        <f t="shared" si="18"/>
        <v>6</v>
      </c>
      <c r="W426">
        <f t="shared" si="19"/>
        <v>0</v>
      </c>
      <c r="X426">
        <f t="shared" si="20"/>
        <v>0</v>
      </c>
      <c r="Y426">
        <v>85</v>
      </c>
      <c r="Z426">
        <v>165</v>
      </c>
      <c r="AA426" t="s">
        <v>2935</v>
      </c>
      <c r="AB426" t="s">
        <v>2936</v>
      </c>
      <c r="AC426" t="s">
        <v>89</v>
      </c>
      <c r="AD426">
        <v>5</v>
      </c>
      <c r="AE426">
        <v>55</v>
      </c>
      <c r="AF426" t="s">
        <v>57</v>
      </c>
      <c r="AH426" t="s">
        <v>172</v>
      </c>
      <c r="AI426">
        <v>126.3</v>
      </c>
      <c r="AJ426" t="s">
        <v>132</v>
      </c>
      <c r="AK426" t="s">
        <v>1383</v>
      </c>
      <c r="AL426" t="s">
        <v>1386</v>
      </c>
      <c r="AM426" t="s">
        <v>68</v>
      </c>
      <c r="AN426" s="1">
        <v>45640</v>
      </c>
      <c r="AO426">
        <v>2024</v>
      </c>
      <c r="AP426">
        <v>12</v>
      </c>
      <c r="AQ426" t="s">
        <v>116</v>
      </c>
      <c r="AS426" t="s">
        <v>85</v>
      </c>
      <c r="AT426">
        <v>2025</v>
      </c>
      <c r="AU426" t="s">
        <v>883</v>
      </c>
      <c r="AV426" t="s">
        <v>68</v>
      </c>
      <c r="AW426" t="s">
        <v>2934</v>
      </c>
      <c r="AX426">
        <v>2025</v>
      </c>
      <c r="AY426" t="s">
        <v>2935</v>
      </c>
      <c r="AZ426" t="s">
        <v>2935</v>
      </c>
    </row>
    <row r="427" spans="1:52" x14ac:dyDescent="0.25">
      <c r="A427" t="s">
        <v>2942</v>
      </c>
      <c r="B427" s="1">
        <v>38997</v>
      </c>
      <c r="C427" t="s">
        <v>2943</v>
      </c>
      <c r="D427">
        <v>472654</v>
      </c>
      <c r="E427" t="s">
        <v>46</v>
      </c>
      <c r="F427" t="s">
        <v>213</v>
      </c>
      <c r="G427" t="s">
        <v>687</v>
      </c>
      <c r="H427" t="s">
        <v>2943</v>
      </c>
      <c r="I427">
        <v>58</v>
      </c>
      <c r="J427">
        <v>60</v>
      </c>
      <c r="K427">
        <v>63</v>
      </c>
      <c r="L427">
        <v>66</v>
      </c>
      <c r="M427">
        <v>66</v>
      </c>
      <c r="N427">
        <v>129</v>
      </c>
      <c r="O427" t="s">
        <v>48</v>
      </c>
      <c r="P427">
        <v>75</v>
      </c>
      <c r="Q427">
        <v>80</v>
      </c>
      <c r="R427">
        <v>83</v>
      </c>
      <c r="S427">
        <v>83</v>
      </c>
      <c r="T427">
        <v>163</v>
      </c>
      <c r="U427" t="s">
        <v>48</v>
      </c>
      <c r="V427">
        <f t="shared" si="18"/>
        <v>6</v>
      </c>
      <c r="W427">
        <f t="shared" si="19"/>
        <v>0</v>
      </c>
      <c r="X427">
        <f t="shared" si="20"/>
        <v>0</v>
      </c>
      <c r="Y427">
        <v>149</v>
      </c>
      <c r="Z427">
        <v>292</v>
      </c>
      <c r="AA427" t="s">
        <v>1460</v>
      </c>
      <c r="AB427" t="s">
        <v>1461</v>
      </c>
      <c r="AC427" t="s">
        <v>94</v>
      </c>
      <c r="AD427">
        <v>4</v>
      </c>
      <c r="AE427">
        <v>59</v>
      </c>
      <c r="AF427" t="s">
        <v>113</v>
      </c>
      <c r="AH427" t="s">
        <v>352</v>
      </c>
      <c r="AI427">
        <v>206.19</v>
      </c>
      <c r="AJ427" t="s">
        <v>132</v>
      </c>
      <c r="AK427" t="s">
        <v>213</v>
      </c>
      <c r="AL427" t="s">
        <v>217</v>
      </c>
      <c r="AM427" t="s">
        <v>72</v>
      </c>
      <c r="AN427" s="1">
        <v>45640</v>
      </c>
      <c r="AO427">
        <v>2024</v>
      </c>
      <c r="AP427">
        <v>12</v>
      </c>
      <c r="AQ427" t="s">
        <v>116</v>
      </c>
      <c r="AS427" t="s">
        <v>85</v>
      </c>
      <c r="AT427">
        <v>2025</v>
      </c>
      <c r="AU427" t="s">
        <v>687</v>
      </c>
      <c r="AV427" t="s">
        <v>72</v>
      </c>
      <c r="AW427" t="s">
        <v>2943</v>
      </c>
      <c r="AX427">
        <v>2025</v>
      </c>
      <c r="AY427" t="s">
        <v>1460</v>
      </c>
      <c r="AZ427" t="s">
        <v>1460</v>
      </c>
    </row>
    <row r="428" spans="1:52" x14ac:dyDescent="0.25">
      <c r="A428" t="s">
        <v>2944</v>
      </c>
      <c r="B428" s="1">
        <v>39921</v>
      </c>
      <c r="C428" t="s">
        <v>2945</v>
      </c>
      <c r="D428">
        <v>460374</v>
      </c>
      <c r="E428" t="s">
        <v>46</v>
      </c>
      <c r="F428" t="s">
        <v>1221</v>
      </c>
      <c r="G428" t="s">
        <v>606</v>
      </c>
      <c r="H428" t="s">
        <v>2945</v>
      </c>
      <c r="I428">
        <v>49</v>
      </c>
      <c r="J428">
        <v>33</v>
      </c>
      <c r="K428">
        <v>36</v>
      </c>
      <c r="L428">
        <v>-38</v>
      </c>
      <c r="M428">
        <v>36</v>
      </c>
      <c r="N428">
        <v>69</v>
      </c>
      <c r="O428" t="s">
        <v>60</v>
      </c>
      <c r="P428">
        <v>43</v>
      </c>
      <c r="Q428">
        <v>-46</v>
      </c>
      <c r="R428">
        <v>-46</v>
      </c>
      <c r="S428">
        <v>43</v>
      </c>
      <c r="T428">
        <v>0</v>
      </c>
      <c r="U428" t="s">
        <v>55</v>
      </c>
      <c r="V428">
        <f t="shared" si="18"/>
        <v>3</v>
      </c>
      <c r="W428">
        <f t="shared" si="19"/>
        <v>0</v>
      </c>
      <c r="X428">
        <f t="shared" si="20"/>
        <v>0</v>
      </c>
      <c r="Y428">
        <v>79</v>
      </c>
      <c r="Z428">
        <v>69</v>
      </c>
      <c r="AA428" t="s">
        <v>2704</v>
      </c>
      <c r="AB428" t="s">
        <v>2946</v>
      </c>
      <c r="AC428" t="s">
        <v>93</v>
      </c>
      <c r="AD428">
        <v>6</v>
      </c>
      <c r="AE428">
        <v>49</v>
      </c>
      <c r="AF428" t="s">
        <v>95</v>
      </c>
      <c r="AH428" t="s">
        <v>330</v>
      </c>
      <c r="AI428">
        <v>123.52</v>
      </c>
      <c r="AJ428" t="s">
        <v>132</v>
      </c>
      <c r="AK428" t="s">
        <v>1221</v>
      </c>
      <c r="AL428" t="s">
        <v>1223</v>
      </c>
      <c r="AM428" t="s">
        <v>128</v>
      </c>
      <c r="AN428" s="1">
        <v>45641</v>
      </c>
      <c r="AO428">
        <v>2024</v>
      </c>
      <c r="AP428">
        <v>12</v>
      </c>
      <c r="AQ428" t="s">
        <v>116</v>
      </c>
      <c r="AS428" t="s">
        <v>85</v>
      </c>
      <c r="AT428">
        <v>2025</v>
      </c>
      <c r="AU428" t="s">
        <v>606</v>
      </c>
      <c r="AV428" t="s">
        <v>128</v>
      </c>
      <c r="AW428" t="s">
        <v>2945</v>
      </c>
      <c r="AX428">
        <v>2025</v>
      </c>
      <c r="AY428" t="s">
        <v>2704</v>
      </c>
      <c r="AZ428" t="s">
        <v>2704</v>
      </c>
    </row>
    <row r="429" spans="1:52" x14ac:dyDescent="0.25">
      <c r="A429" t="s">
        <v>2952</v>
      </c>
      <c r="B429" s="1">
        <v>37050</v>
      </c>
      <c r="C429" t="s">
        <v>2953</v>
      </c>
      <c r="D429">
        <v>445131</v>
      </c>
      <c r="E429" t="s">
        <v>46</v>
      </c>
      <c r="F429" t="s">
        <v>633</v>
      </c>
      <c r="G429" t="s">
        <v>566</v>
      </c>
      <c r="H429" t="s">
        <v>2953</v>
      </c>
      <c r="I429" t="s">
        <v>264</v>
      </c>
      <c r="J429">
        <v>-110</v>
      </c>
      <c r="K429">
        <v>-110</v>
      </c>
      <c r="L429">
        <v>110</v>
      </c>
      <c r="M429">
        <v>110</v>
      </c>
      <c r="N429">
        <v>0</v>
      </c>
      <c r="O429" t="s">
        <v>102</v>
      </c>
      <c r="P429">
        <v>-133</v>
      </c>
      <c r="Q429">
        <v>-140</v>
      </c>
      <c r="R429">
        <v>-140</v>
      </c>
      <c r="S429">
        <v>0</v>
      </c>
      <c r="T429">
        <v>0</v>
      </c>
      <c r="U429" t="s">
        <v>108</v>
      </c>
      <c r="V429">
        <f t="shared" si="18"/>
        <v>1</v>
      </c>
      <c r="W429">
        <f t="shared" si="19"/>
        <v>1</v>
      </c>
      <c r="X429">
        <f t="shared" si="20"/>
        <v>0</v>
      </c>
      <c r="Y429">
        <v>110</v>
      </c>
      <c r="Z429">
        <v>0</v>
      </c>
      <c r="AA429" t="s">
        <v>2956</v>
      </c>
      <c r="AB429" t="s">
        <v>99</v>
      </c>
      <c r="AC429" t="s">
        <v>49</v>
      </c>
      <c r="AD429">
        <v>999</v>
      </c>
      <c r="AE429">
        <v>81</v>
      </c>
      <c r="AF429" t="s">
        <v>126</v>
      </c>
      <c r="AH429" t="s">
        <v>138</v>
      </c>
      <c r="AI429">
        <v>0</v>
      </c>
      <c r="AJ429" t="s">
        <v>52</v>
      </c>
      <c r="AK429" t="s">
        <v>633</v>
      </c>
      <c r="AL429" t="s">
        <v>637</v>
      </c>
      <c r="AM429" t="s">
        <v>139</v>
      </c>
      <c r="AN429" s="1">
        <v>45640</v>
      </c>
      <c r="AO429">
        <v>2024</v>
      </c>
      <c r="AP429">
        <v>12</v>
      </c>
      <c r="AQ429" t="s">
        <v>116</v>
      </c>
      <c r="AS429" t="s">
        <v>85</v>
      </c>
      <c r="AT429">
        <v>2025</v>
      </c>
      <c r="AU429" t="s">
        <v>566</v>
      </c>
      <c r="AV429" t="s">
        <v>140</v>
      </c>
      <c r="AW429" t="s">
        <v>2953</v>
      </c>
      <c r="AX429">
        <v>2025</v>
      </c>
      <c r="AY429" t="s">
        <v>2955</v>
      </c>
      <c r="AZ429" t="s">
        <v>2954</v>
      </c>
    </row>
    <row r="430" spans="1:52" x14ac:dyDescent="0.25">
      <c r="A430" t="s">
        <v>2948</v>
      </c>
      <c r="B430" s="1">
        <v>37050</v>
      </c>
      <c r="C430" t="s">
        <v>2949</v>
      </c>
      <c r="D430">
        <v>501118</v>
      </c>
      <c r="E430" t="s">
        <v>46</v>
      </c>
      <c r="F430" t="s">
        <v>232</v>
      </c>
      <c r="G430" t="s">
        <v>161</v>
      </c>
      <c r="H430" t="s">
        <v>2949</v>
      </c>
      <c r="I430" t="s">
        <v>475</v>
      </c>
      <c r="J430">
        <v>-58</v>
      </c>
      <c r="K430">
        <v>58</v>
      </c>
      <c r="L430">
        <v>-60</v>
      </c>
      <c r="M430">
        <v>58</v>
      </c>
      <c r="N430">
        <v>0</v>
      </c>
      <c r="O430" t="s">
        <v>104</v>
      </c>
      <c r="P430">
        <v>-75</v>
      </c>
      <c r="Q430">
        <v>-75</v>
      </c>
      <c r="R430">
        <v>0</v>
      </c>
      <c r="S430">
        <v>0</v>
      </c>
      <c r="T430">
        <v>0</v>
      </c>
      <c r="U430" t="s">
        <v>108</v>
      </c>
      <c r="V430">
        <f t="shared" si="18"/>
        <v>1</v>
      </c>
      <c r="W430">
        <f t="shared" si="19"/>
        <v>0</v>
      </c>
      <c r="X430">
        <f t="shared" si="20"/>
        <v>0</v>
      </c>
      <c r="Y430">
        <v>58</v>
      </c>
      <c r="Z430">
        <v>0</v>
      </c>
      <c r="AA430" t="s">
        <v>2950</v>
      </c>
      <c r="AB430" t="s">
        <v>99</v>
      </c>
      <c r="AC430" t="s">
        <v>49</v>
      </c>
      <c r="AD430">
        <v>999</v>
      </c>
      <c r="AE430">
        <v>64</v>
      </c>
      <c r="AF430" t="s">
        <v>126</v>
      </c>
      <c r="AH430" t="s">
        <v>167</v>
      </c>
      <c r="AI430">
        <v>0</v>
      </c>
      <c r="AJ430" t="s">
        <v>132</v>
      </c>
      <c r="AK430" t="s">
        <v>232</v>
      </c>
      <c r="AL430" t="s">
        <v>236</v>
      </c>
      <c r="AM430" t="s">
        <v>128</v>
      </c>
      <c r="AN430" s="1">
        <v>45640</v>
      </c>
      <c r="AO430">
        <v>2024</v>
      </c>
      <c r="AP430">
        <v>12</v>
      </c>
      <c r="AQ430" t="s">
        <v>116</v>
      </c>
      <c r="AS430" t="s">
        <v>85</v>
      </c>
      <c r="AT430">
        <v>2025</v>
      </c>
      <c r="AU430" t="s">
        <v>161</v>
      </c>
      <c r="AV430" t="s">
        <v>128</v>
      </c>
      <c r="AW430" t="s">
        <v>2949</v>
      </c>
      <c r="AX430">
        <v>2025</v>
      </c>
      <c r="AY430" t="s">
        <v>2951</v>
      </c>
      <c r="AZ430" t="s">
        <v>2951</v>
      </c>
    </row>
    <row r="431" spans="1:52" x14ac:dyDescent="0.25">
      <c r="A431" t="s">
        <v>2957</v>
      </c>
      <c r="B431" s="1">
        <v>39543</v>
      </c>
      <c r="C431" t="s">
        <v>2958</v>
      </c>
      <c r="D431">
        <v>479777</v>
      </c>
      <c r="E431" t="s">
        <v>46</v>
      </c>
      <c r="F431" t="s">
        <v>360</v>
      </c>
      <c r="G431" t="s">
        <v>746</v>
      </c>
      <c r="H431" t="s">
        <v>2958</v>
      </c>
      <c r="I431" t="s">
        <v>121</v>
      </c>
      <c r="J431">
        <v>48</v>
      </c>
      <c r="K431">
        <v>51</v>
      </c>
      <c r="L431">
        <v>53</v>
      </c>
      <c r="M431">
        <v>53</v>
      </c>
      <c r="N431">
        <v>104</v>
      </c>
      <c r="O431" t="s">
        <v>48</v>
      </c>
      <c r="P431">
        <v>58</v>
      </c>
      <c r="Q431">
        <v>62</v>
      </c>
      <c r="R431">
        <v>67</v>
      </c>
      <c r="S431">
        <v>67</v>
      </c>
      <c r="T431">
        <v>129</v>
      </c>
      <c r="U431" t="s">
        <v>48</v>
      </c>
      <c r="V431">
        <f t="shared" si="18"/>
        <v>6</v>
      </c>
      <c r="W431">
        <f t="shared" si="19"/>
        <v>0</v>
      </c>
      <c r="X431">
        <f t="shared" si="20"/>
        <v>0</v>
      </c>
      <c r="Y431">
        <v>120</v>
      </c>
      <c r="Z431">
        <v>233</v>
      </c>
      <c r="AA431" t="s">
        <v>2913</v>
      </c>
      <c r="AB431" t="s">
        <v>2914</v>
      </c>
      <c r="AC431" t="s">
        <v>94</v>
      </c>
      <c r="AD431">
        <v>4</v>
      </c>
      <c r="AE431">
        <v>55</v>
      </c>
      <c r="AF431" t="s">
        <v>95</v>
      </c>
      <c r="AH431" t="s">
        <v>175</v>
      </c>
      <c r="AI431">
        <v>172.87</v>
      </c>
      <c r="AJ431" t="s">
        <v>132</v>
      </c>
      <c r="AK431" t="s">
        <v>360</v>
      </c>
      <c r="AL431" t="s">
        <v>363</v>
      </c>
      <c r="AM431" t="s">
        <v>53</v>
      </c>
      <c r="AN431" s="1">
        <v>45640</v>
      </c>
      <c r="AO431">
        <v>2024</v>
      </c>
      <c r="AP431">
        <v>12</v>
      </c>
      <c r="AQ431" t="s">
        <v>116</v>
      </c>
      <c r="AS431" t="s">
        <v>85</v>
      </c>
      <c r="AT431">
        <v>2025</v>
      </c>
      <c r="AU431" t="s">
        <v>746</v>
      </c>
      <c r="AV431" t="s">
        <v>54</v>
      </c>
      <c r="AW431" t="s">
        <v>2958</v>
      </c>
      <c r="AX431">
        <v>2025</v>
      </c>
      <c r="AY431" t="s">
        <v>2959</v>
      </c>
      <c r="AZ431" t="s">
        <v>2913</v>
      </c>
    </row>
    <row r="432" spans="1:52" x14ac:dyDescent="0.25">
      <c r="A432" t="s">
        <v>2960</v>
      </c>
      <c r="B432" s="1">
        <v>40027</v>
      </c>
      <c r="C432" t="s">
        <v>2961</v>
      </c>
      <c r="D432">
        <v>502947</v>
      </c>
      <c r="E432" t="s">
        <v>46</v>
      </c>
      <c r="F432" t="s">
        <v>1163</v>
      </c>
      <c r="G432" t="s">
        <v>312</v>
      </c>
      <c r="H432" t="s">
        <v>2961</v>
      </c>
      <c r="I432" t="s">
        <v>100</v>
      </c>
      <c r="J432">
        <v>50</v>
      </c>
      <c r="K432">
        <v>53</v>
      </c>
      <c r="L432">
        <v>-55</v>
      </c>
      <c r="M432">
        <v>53</v>
      </c>
      <c r="N432">
        <v>103</v>
      </c>
      <c r="O432" t="s">
        <v>60</v>
      </c>
      <c r="P432">
        <v>64</v>
      </c>
      <c r="Q432">
        <v>-67</v>
      </c>
      <c r="R432">
        <v>-68</v>
      </c>
      <c r="S432">
        <v>64</v>
      </c>
      <c r="T432">
        <v>0</v>
      </c>
      <c r="U432" t="s">
        <v>55</v>
      </c>
      <c r="V432">
        <f t="shared" si="18"/>
        <v>3</v>
      </c>
      <c r="W432">
        <f t="shared" si="19"/>
        <v>0</v>
      </c>
      <c r="X432">
        <f t="shared" si="20"/>
        <v>0</v>
      </c>
      <c r="Y432">
        <v>117</v>
      </c>
      <c r="Z432">
        <v>103</v>
      </c>
      <c r="AA432" t="s">
        <v>2962</v>
      </c>
      <c r="AB432" t="s">
        <v>1339</v>
      </c>
      <c r="AC432" t="s">
        <v>94</v>
      </c>
      <c r="AD432">
        <v>4</v>
      </c>
      <c r="AE432">
        <v>59</v>
      </c>
      <c r="AF432" t="s">
        <v>95</v>
      </c>
      <c r="AH432" t="s">
        <v>350</v>
      </c>
      <c r="AI432">
        <v>164.4</v>
      </c>
      <c r="AJ432" t="s">
        <v>132</v>
      </c>
      <c r="AK432" t="s">
        <v>1163</v>
      </c>
      <c r="AL432" t="s">
        <v>1165</v>
      </c>
      <c r="AM432" t="s">
        <v>139</v>
      </c>
      <c r="AN432" s="1">
        <v>45640</v>
      </c>
      <c r="AO432">
        <v>2024</v>
      </c>
      <c r="AP432">
        <v>12</v>
      </c>
      <c r="AQ432" t="s">
        <v>116</v>
      </c>
      <c r="AS432" t="s">
        <v>85</v>
      </c>
      <c r="AT432">
        <v>2025</v>
      </c>
      <c r="AU432" t="s">
        <v>312</v>
      </c>
      <c r="AV432" t="s">
        <v>140</v>
      </c>
      <c r="AW432" t="s">
        <v>2961</v>
      </c>
      <c r="AX432">
        <v>2025</v>
      </c>
      <c r="AY432" t="s">
        <v>2962</v>
      </c>
      <c r="AZ432" t="s">
        <v>2962</v>
      </c>
    </row>
    <row r="433" spans="1:52" x14ac:dyDescent="0.25">
      <c r="A433" t="s">
        <v>2963</v>
      </c>
      <c r="B433" s="1">
        <v>40878</v>
      </c>
      <c r="C433" t="s">
        <v>2964</v>
      </c>
      <c r="D433">
        <v>483393</v>
      </c>
      <c r="E433" t="s">
        <v>46</v>
      </c>
      <c r="F433" t="s">
        <v>263</v>
      </c>
      <c r="G433" t="s">
        <v>544</v>
      </c>
      <c r="H433" t="s">
        <v>2964</v>
      </c>
      <c r="I433" t="s">
        <v>1615</v>
      </c>
      <c r="J433">
        <v>-38</v>
      </c>
      <c r="K433">
        <v>38</v>
      </c>
      <c r="L433">
        <v>41</v>
      </c>
      <c r="M433">
        <v>41</v>
      </c>
      <c r="N433">
        <v>79</v>
      </c>
      <c r="O433" t="s">
        <v>63</v>
      </c>
      <c r="P433">
        <v>-47</v>
      </c>
      <c r="Q433">
        <v>47</v>
      </c>
      <c r="R433">
        <v>-51</v>
      </c>
      <c r="S433">
        <v>47</v>
      </c>
      <c r="T433">
        <v>0</v>
      </c>
      <c r="U433" t="s">
        <v>104</v>
      </c>
      <c r="V433">
        <f t="shared" si="18"/>
        <v>3</v>
      </c>
      <c r="W433">
        <f t="shared" si="19"/>
        <v>0</v>
      </c>
      <c r="X433">
        <f t="shared" si="20"/>
        <v>0</v>
      </c>
      <c r="Y433">
        <v>88</v>
      </c>
      <c r="Z433">
        <v>79</v>
      </c>
      <c r="AA433" t="s">
        <v>2966</v>
      </c>
      <c r="AB433" t="s">
        <v>2967</v>
      </c>
      <c r="AC433" t="s">
        <v>94</v>
      </c>
      <c r="AD433">
        <v>4</v>
      </c>
      <c r="AE433">
        <v>45</v>
      </c>
      <c r="AF433" t="s">
        <v>57</v>
      </c>
      <c r="AH433" t="s">
        <v>313</v>
      </c>
      <c r="AI433">
        <v>156.15</v>
      </c>
      <c r="AJ433" t="s">
        <v>132</v>
      </c>
      <c r="AK433" t="s">
        <v>263</v>
      </c>
      <c r="AL433" t="s">
        <v>267</v>
      </c>
      <c r="AM433" t="s">
        <v>145</v>
      </c>
      <c r="AN433" s="1">
        <v>45640</v>
      </c>
      <c r="AO433">
        <v>2024</v>
      </c>
      <c r="AP433">
        <v>12</v>
      </c>
      <c r="AQ433" t="s">
        <v>116</v>
      </c>
      <c r="AS433" t="s">
        <v>85</v>
      </c>
      <c r="AT433">
        <v>2025</v>
      </c>
      <c r="AU433" t="s">
        <v>544</v>
      </c>
      <c r="AV433" t="s">
        <v>145</v>
      </c>
      <c r="AW433" t="s">
        <v>2964</v>
      </c>
      <c r="AX433">
        <v>2025</v>
      </c>
      <c r="AY433" t="s">
        <v>2965</v>
      </c>
      <c r="AZ433" t="s">
        <v>2965</v>
      </c>
    </row>
    <row r="434" spans="1:52" x14ac:dyDescent="0.25">
      <c r="A434" t="s">
        <v>2969</v>
      </c>
      <c r="B434" s="1">
        <v>41144</v>
      </c>
      <c r="C434" t="s">
        <v>2970</v>
      </c>
      <c r="D434">
        <v>493682</v>
      </c>
      <c r="E434" t="s">
        <v>46</v>
      </c>
      <c r="F434" t="s">
        <v>867</v>
      </c>
      <c r="G434" t="s">
        <v>255</v>
      </c>
      <c r="H434" t="s">
        <v>2970</v>
      </c>
      <c r="I434" t="s">
        <v>866</v>
      </c>
      <c r="J434">
        <v>11</v>
      </c>
      <c r="K434">
        <v>12</v>
      </c>
      <c r="L434">
        <v>13</v>
      </c>
      <c r="M434">
        <v>13</v>
      </c>
      <c r="N434">
        <v>25</v>
      </c>
      <c r="O434" t="s">
        <v>48</v>
      </c>
      <c r="P434">
        <v>15</v>
      </c>
      <c r="Q434">
        <v>17</v>
      </c>
      <c r="R434">
        <v>-19</v>
      </c>
      <c r="S434">
        <v>17</v>
      </c>
      <c r="T434">
        <v>32</v>
      </c>
      <c r="U434" t="s">
        <v>60</v>
      </c>
      <c r="V434">
        <f t="shared" si="18"/>
        <v>5</v>
      </c>
      <c r="W434">
        <f t="shared" si="19"/>
        <v>0</v>
      </c>
      <c r="X434">
        <f t="shared" si="20"/>
        <v>0</v>
      </c>
      <c r="Y434">
        <v>30</v>
      </c>
      <c r="Z434">
        <v>57</v>
      </c>
      <c r="AA434" t="s">
        <v>2972</v>
      </c>
      <c r="AB434" t="s">
        <v>2973</v>
      </c>
      <c r="AC434" t="s">
        <v>49</v>
      </c>
      <c r="AD434">
        <v>999</v>
      </c>
      <c r="AE434">
        <v>35</v>
      </c>
      <c r="AF434" t="s">
        <v>50</v>
      </c>
      <c r="AH434" t="s">
        <v>450</v>
      </c>
      <c r="AI434">
        <v>128.87</v>
      </c>
      <c r="AJ434" t="s">
        <v>132</v>
      </c>
      <c r="AK434" t="s">
        <v>867</v>
      </c>
      <c r="AL434" t="s">
        <v>869</v>
      </c>
      <c r="AM434" t="s">
        <v>68</v>
      </c>
      <c r="AN434" s="1">
        <v>45641</v>
      </c>
      <c r="AO434">
        <v>2024</v>
      </c>
      <c r="AP434">
        <v>12</v>
      </c>
      <c r="AQ434" t="s">
        <v>116</v>
      </c>
      <c r="AS434" t="s">
        <v>85</v>
      </c>
      <c r="AT434">
        <v>2025</v>
      </c>
      <c r="AU434" t="s">
        <v>255</v>
      </c>
      <c r="AV434" t="s">
        <v>68</v>
      </c>
      <c r="AW434" t="s">
        <v>2970</v>
      </c>
      <c r="AX434">
        <v>2025</v>
      </c>
      <c r="AY434" t="s">
        <v>2971</v>
      </c>
      <c r="AZ434" t="s">
        <v>2972</v>
      </c>
    </row>
    <row r="435" spans="1:52" x14ac:dyDescent="0.25">
      <c r="A435" t="s">
        <v>2974</v>
      </c>
      <c r="B435" s="1">
        <v>37667</v>
      </c>
      <c r="C435" t="s">
        <v>2975</v>
      </c>
      <c r="D435">
        <v>360579</v>
      </c>
      <c r="E435" t="s">
        <v>46</v>
      </c>
      <c r="F435" t="s">
        <v>109</v>
      </c>
      <c r="G435" t="s">
        <v>787</v>
      </c>
      <c r="H435" t="s">
        <v>2975</v>
      </c>
      <c r="I435">
        <v>57</v>
      </c>
      <c r="J435">
        <v>-50</v>
      </c>
      <c r="K435">
        <v>50</v>
      </c>
      <c r="L435">
        <v>53</v>
      </c>
      <c r="M435">
        <v>53</v>
      </c>
      <c r="N435">
        <v>103</v>
      </c>
      <c r="O435" t="s">
        <v>63</v>
      </c>
      <c r="P435">
        <v>60</v>
      </c>
      <c r="Q435">
        <v>63</v>
      </c>
      <c r="R435">
        <v>65</v>
      </c>
      <c r="S435">
        <v>65</v>
      </c>
      <c r="T435">
        <v>128</v>
      </c>
      <c r="U435" t="s">
        <v>48</v>
      </c>
      <c r="V435">
        <f t="shared" si="18"/>
        <v>5</v>
      </c>
      <c r="W435">
        <f t="shared" si="19"/>
        <v>0</v>
      </c>
      <c r="X435">
        <f t="shared" si="20"/>
        <v>0</v>
      </c>
      <c r="Y435">
        <v>118</v>
      </c>
      <c r="Z435">
        <v>231</v>
      </c>
      <c r="AA435" t="s">
        <v>2976</v>
      </c>
      <c r="AB435" t="s">
        <v>2977</v>
      </c>
      <c r="AC435" t="s">
        <v>93</v>
      </c>
      <c r="AD435">
        <v>6</v>
      </c>
      <c r="AE435">
        <v>59</v>
      </c>
      <c r="AF435" t="s">
        <v>126</v>
      </c>
      <c r="AH435" t="s">
        <v>202</v>
      </c>
      <c r="AI435">
        <v>165.21</v>
      </c>
      <c r="AJ435" t="s">
        <v>132</v>
      </c>
      <c r="AK435" t="s">
        <v>109</v>
      </c>
      <c r="AL435" t="s">
        <v>115</v>
      </c>
      <c r="AM435" t="s">
        <v>90</v>
      </c>
      <c r="AN435" s="1">
        <v>45639</v>
      </c>
      <c r="AO435">
        <v>2024</v>
      </c>
      <c r="AP435">
        <v>12</v>
      </c>
      <c r="AQ435" t="s">
        <v>116</v>
      </c>
      <c r="AS435" t="s">
        <v>85</v>
      </c>
      <c r="AT435">
        <v>2025</v>
      </c>
      <c r="AU435" t="s">
        <v>787</v>
      </c>
      <c r="AV435" t="s">
        <v>91</v>
      </c>
      <c r="AW435" t="s">
        <v>2975</v>
      </c>
      <c r="AX435">
        <v>2025</v>
      </c>
      <c r="AY435" t="s">
        <v>2221</v>
      </c>
      <c r="AZ435" t="s">
        <v>2976</v>
      </c>
    </row>
    <row r="436" spans="1:52" x14ac:dyDescent="0.25">
      <c r="A436" t="s">
        <v>2978</v>
      </c>
      <c r="B436" s="1">
        <v>37547</v>
      </c>
      <c r="C436" t="s">
        <v>2979</v>
      </c>
      <c r="D436">
        <v>497926</v>
      </c>
      <c r="E436" t="s">
        <v>46</v>
      </c>
      <c r="F436" t="s">
        <v>441</v>
      </c>
      <c r="G436" t="s">
        <v>1014</v>
      </c>
      <c r="H436" t="s">
        <v>2979</v>
      </c>
      <c r="I436" t="s">
        <v>274</v>
      </c>
      <c r="J436">
        <v>-63</v>
      </c>
      <c r="K436">
        <v>63</v>
      </c>
      <c r="L436">
        <v>65</v>
      </c>
      <c r="M436">
        <v>65</v>
      </c>
      <c r="N436">
        <v>128</v>
      </c>
      <c r="O436" t="s">
        <v>63</v>
      </c>
      <c r="P436">
        <v>-75</v>
      </c>
      <c r="Q436">
        <v>75</v>
      </c>
      <c r="R436">
        <v>-78</v>
      </c>
      <c r="S436">
        <v>75</v>
      </c>
      <c r="T436">
        <v>0</v>
      </c>
      <c r="U436" t="s">
        <v>104</v>
      </c>
      <c r="V436">
        <f t="shared" si="18"/>
        <v>3</v>
      </c>
      <c r="W436">
        <f t="shared" si="19"/>
        <v>0</v>
      </c>
      <c r="X436">
        <f t="shared" si="20"/>
        <v>0</v>
      </c>
      <c r="Y436">
        <v>140</v>
      </c>
      <c r="Z436">
        <v>128</v>
      </c>
      <c r="AA436" t="s">
        <v>2108</v>
      </c>
      <c r="AB436" t="s">
        <v>1976</v>
      </c>
      <c r="AC436" t="s">
        <v>89</v>
      </c>
      <c r="AD436">
        <v>5</v>
      </c>
      <c r="AE436">
        <v>59</v>
      </c>
      <c r="AF436" t="s">
        <v>126</v>
      </c>
      <c r="AH436" t="s">
        <v>202</v>
      </c>
      <c r="AI436">
        <v>192.85</v>
      </c>
      <c r="AJ436" t="s">
        <v>132</v>
      </c>
      <c r="AK436" t="s">
        <v>441</v>
      </c>
      <c r="AL436" t="s">
        <v>445</v>
      </c>
      <c r="AM436" t="s">
        <v>72</v>
      </c>
      <c r="AN436" s="1">
        <v>45640</v>
      </c>
      <c r="AO436">
        <v>2024</v>
      </c>
      <c r="AP436">
        <v>12</v>
      </c>
      <c r="AQ436" t="s">
        <v>116</v>
      </c>
      <c r="AS436" t="s">
        <v>85</v>
      </c>
      <c r="AT436">
        <v>2025</v>
      </c>
      <c r="AU436" t="s">
        <v>1014</v>
      </c>
      <c r="AV436" t="s">
        <v>72</v>
      </c>
      <c r="AW436" t="s">
        <v>2979</v>
      </c>
      <c r="AX436">
        <v>2025</v>
      </c>
      <c r="AY436" t="s">
        <v>2108</v>
      </c>
      <c r="AZ436" t="s">
        <v>2108</v>
      </c>
    </row>
    <row r="437" spans="1:52" x14ac:dyDescent="0.25">
      <c r="A437" t="s">
        <v>2981</v>
      </c>
      <c r="B437" s="1">
        <v>34897</v>
      </c>
      <c r="C437" t="s">
        <v>2982</v>
      </c>
      <c r="D437">
        <v>450962</v>
      </c>
      <c r="E437" t="s">
        <v>46</v>
      </c>
      <c r="F437" t="s">
        <v>845</v>
      </c>
      <c r="G437" t="s">
        <v>1033</v>
      </c>
      <c r="H437" t="s">
        <v>2982</v>
      </c>
      <c r="I437" t="s">
        <v>485</v>
      </c>
      <c r="J437">
        <v>-70</v>
      </c>
      <c r="K437">
        <v>70</v>
      </c>
      <c r="L437">
        <v>-73</v>
      </c>
      <c r="M437">
        <v>70</v>
      </c>
      <c r="N437">
        <v>0</v>
      </c>
      <c r="O437" t="s">
        <v>104</v>
      </c>
      <c r="P437">
        <v>-78</v>
      </c>
      <c r="Q437">
        <v>78</v>
      </c>
      <c r="R437">
        <v>-79</v>
      </c>
      <c r="S437">
        <v>78</v>
      </c>
      <c r="T437">
        <v>0</v>
      </c>
      <c r="U437" t="s">
        <v>104</v>
      </c>
      <c r="V437">
        <f t="shared" si="18"/>
        <v>2</v>
      </c>
      <c r="W437">
        <f t="shared" si="19"/>
        <v>0</v>
      </c>
      <c r="X437">
        <f t="shared" si="20"/>
        <v>0</v>
      </c>
      <c r="Y437">
        <v>148</v>
      </c>
      <c r="Z437">
        <v>0</v>
      </c>
      <c r="AA437" t="s">
        <v>1012</v>
      </c>
      <c r="AB437" t="s">
        <v>99</v>
      </c>
      <c r="AC437" t="s">
        <v>89</v>
      </c>
      <c r="AD437">
        <v>5</v>
      </c>
      <c r="AE437">
        <v>64</v>
      </c>
      <c r="AF437" t="s">
        <v>126</v>
      </c>
      <c r="AH437" t="s">
        <v>167</v>
      </c>
      <c r="AI437">
        <v>192.8</v>
      </c>
      <c r="AJ437" t="s">
        <v>132</v>
      </c>
      <c r="AK437" t="s">
        <v>845</v>
      </c>
      <c r="AL437" t="s">
        <v>848</v>
      </c>
      <c r="AM437" t="s">
        <v>302</v>
      </c>
      <c r="AN437" s="1">
        <v>45640</v>
      </c>
      <c r="AO437">
        <v>2024</v>
      </c>
      <c r="AP437">
        <v>12</v>
      </c>
      <c r="AQ437" t="s">
        <v>116</v>
      </c>
      <c r="AS437" t="s">
        <v>85</v>
      </c>
      <c r="AT437">
        <v>2025</v>
      </c>
      <c r="AU437" t="s">
        <v>1033</v>
      </c>
      <c r="AV437" t="s">
        <v>303</v>
      </c>
      <c r="AW437" t="s">
        <v>2982</v>
      </c>
      <c r="AX437">
        <v>2025</v>
      </c>
      <c r="AY437" t="s">
        <v>1341</v>
      </c>
      <c r="AZ437" t="s">
        <v>1012</v>
      </c>
    </row>
    <row r="438" spans="1:52" x14ac:dyDescent="0.25">
      <c r="A438" t="s">
        <v>2983</v>
      </c>
      <c r="B438" s="1">
        <v>40214</v>
      </c>
      <c r="C438" t="s">
        <v>2984</v>
      </c>
      <c r="D438">
        <v>493064</v>
      </c>
      <c r="E438" t="s">
        <v>46</v>
      </c>
      <c r="F438" t="s">
        <v>1163</v>
      </c>
      <c r="G438" t="s">
        <v>749</v>
      </c>
      <c r="H438" t="s">
        <v>2984</v>
      </c>
      <c r="I438" t="s">
        <v>1013</v>
      </c>
      <c r="J438">
        <v>26</v>
      </c>
      <c r="K438">
        <v>-30</v>
      </c>
      <c r="L438">
        <v>-30</v>
      </c>
      <c r="M438">
        <v>26</v>
      </c>
      <c r="N438">
        <v>0</v>
      </c>
      <c r="O438" t="s">
        <v>55</v>
      </c>
      <c r="P438">
        <v>34</v>
      </c>
      <c r="Q438">
        <v>37</v>
      </c>
      <c r="R438">
        <v>-39</v>
      </c>
      <c r="S438">
        <v>37</v>
      </c>
      <c r="T438">
        <v>71</v>
      </c>
      <c r="U438" t="s">
        <v>60</v>
      </c>
      <c r="V438">
        <f t="shared" si="18"/>
        <v>3</v>
      </c>
      <c r="W438">
        <f t="shared" si="19"/>
        <v>0</v>
      </c>
      <c r="X438">
        <f t="shared" si="20"/>
        <v>0</v>
      </c>
      <c r="Y438">
        <v>63</v>
      </c>
      <c r="Z438">
        <v>71</v>
      </c>
      <c r="AA438" t="s">
        <v>2985</v>
      </c>
      <c r="AB438" t="s">
        <v>2986</v>
      </c>
      <c r="AC438" t="s">
        <v>93</v>
      </c>
      <c r="AD438">
        <v>6</v>
      </c>
      <c r="AE438">
        <v>45</v>
      </c>
      <c r="AF438" t="s">
        <v>57</v>
      </c>
      <c r="AH438" t="s">
        <v>313</v>
      </c>
      <c r="AI438">
        <v>114.21</v>
      </c>
      <c r="AJ438" t="s">
        <v>132</v>
      </c>
      <c r="AK438" t="s">
        <v>1163</v>
      </c>
      <c r="AL438" t="s">
        <v>1165</v>
      </c>
      <c r="AM438" t="s">
        <v>139</v>
      </c>
      <c r="AN438" s="1">
        <v>45640</v>
      </c>
      <c r="AO438">
        <v>2024</v>
      </c>
      <c r="AP438">
        <v>12</v>
      </c>
      <c r="AQ438" t="s">
        <v>116</v>
      </c>
      <c r="AS438" t="s">
        <v>85</v>
      </c>
      <c r="AT438">
        <v>2025</v>
      </c>
      <c r="AU438" t="s">
        <v>749</v>
      </c>
      <c r="AV438" t="s">
        <v>140</v>
      </c>
      <c r="AW438" t="s">
        <v>2984</v>
      </c>
      <c r="AX438">
        <v>2025</v>
      </c>
      <c r="AY438" t="s">
        <v>2985</v>
      </c>
      <c r="AZ438" t="s">
        <v>2985</v>
      </c>
    </row>
    <row r="439" spans="1:52" x14ac:dyDescent="0.25">
      <c r="A439" t="s">
        <v>2987</v>
      </c>
      <c r="B439" s="1">
        <v>34571</v>
      </c>
      <c r="C439" t="s">
        <v>2988</v>
      </c>
      <c r="D439">
        <v>468467</v>
      </c>
      <c r="E439" t="s">
        <v>46</v>
      </c>
      <c r="F439" t="s">
        <v>2477</v>
      </c>
      <c r="G439" t="s">
        <v>438</v>
      </c>
      <c r="H439" t="s">
        <v>2988</v>
      </c>
      <c r="I439">
        <v>63</v>
      </c>
      <c r="J439">
        <v>66</v>
      </c>
      <c r="K439">
        <v>-68</v>
      </c>
      <c r="L439">
        <v>-69</v>
      </c>
      <c r="M439">
        <v>66</v>
      </c>
      <c r="N439">
        <v>0</v>
      </c>
      <c r="O439" t="s">
        <v>55</v>
      </c>
      <c r="P439">
        <v>78</v>
      </c>
      <c r="Q439">
        <v>81</v>
      </c>
      <c r="R439">
        <v>-85</v>
      </c>
      <c r="S439">
        <v>81</v>
      </c>
      <c r="T439">
        <v>159</v>
      </c>
      <c r="U439" t="s">
        <v>60</v>
      </c>
      <c r="V439">
        <f t="shared" si="18"/>
        <v>3</v>
      </c>
      <c r="W439">
        <f t="shared" si="19"/>
        <v>0</v>
      </c>
      <c r="X439">
        <f t="shared" si="20"/>
        <v>0</v>
      </c>
      <c r="Y439">
        <v>147</v>
      </c>
      <c r="Z439">
        <v>159</v>
      </c>
      <c r="AA439" t="s">
        <v>979</v>
      </c>
      <c r="AB439" t="s">
        <v>2989</v>
      </c>
      <c r="AC439" t="s">
        <v>89</v>
      </c>
      <c r="AD439">
        <v>5</v>
      </c>
      <c r="AE439">
        <v>64</v>
      </c>
      <c r="AF439" t="s">
        <v>126</v>
      </c>
      <c r="AH439" t="s">
        <v>167</v>
      </c>
      <c r="AI439">
        <v>192.96</v>
      </c>
      <c r="AJ439" t="s">
        <v>132</v>
      </c>
      <c r="AK439" t="s">
        <v>2477</v>
      </c>
      <c r="AL439" t="s">
        <v>2478</v>
      </c>
      <c r="AM439" t="s">
        <v>143</v>
      </c>
      <c r="AN439" s="1">
        <v>45640</v>
      </c>
      <c r="AO439">
        <v>2024</v>
      </c>
      <c r="AP439">
        <v>12</v>
      </c>
      <c r="AQ439" t="s">
        <v>116</v>
      </c>
      <c r="AS439" t="s">
        <v>85</v>
      </c>
      <c r="AT439">
        <v>2025</v>
      </c>
      <c r="AU439" t="s">
        <v>438</v>
      </c>
      <c r="AV439" t="s">
        <v>143</v>
      </c>
      <c r="AW439" t="s">
        <v>2988</v>
      </c>
      <c r="AX439">
        <v>2025</v>
      </c>
      <c r="AY439" t="s">
        <v>979</v>
      </c>
      <c r="AZ439" t="s">
        <v>979</v>
      </c>
    </row>
    <row r="440" spans="1:52" x14ac:dyDescent="0.25">
      <c r="A440" t="s">
        <v>2990</v>
      </c>
      <c r="B440" s="1">
        <v>40314</v>
      </c>
      <c r="C440" t="s">
        <v>2991</v>
      </c>
      <c r="D440">
        <v>476960</v>
      </c>
      <c r="E440" t="s">
        <v>46</v>
      </c>
      <c r="F440" t="s">
        <v>893</v>
      </c>
      <c r="G440" t="s">
        <v>594</v>
      </c>
      <c r="H440" t="s">
        <v>2991</v>
      </c>
      <c r="I440">
        <v>76</v>
      </c>
      <c r="J440">
        <v>68</v>
      </c>
      <c r="K440">
        <v>71</v>
      </c>
      <c r="L440">
        <v>75</v>
      </c>
      <c r="M440">
        <v>75</v>
      </c>
      <c r="N440">
        <v>146</v>
      </c>
      <c r="O440" t="s">
        <v>48</v>
      </c>
      <c r="P440">
        <v>86</v>
      </c>
      <c r="Q440">
        <v>89</v>
      </c>
      <c r="R440">
        <v>92</v>
      </c>
      <c r="S440">
        <v>92</v>
      </c>
      <c r="T440">
        <v>181</v>
      </c>
      <c r="U440" t="s">
        <v>48</v>
      </c>
      <c r="V440">
        <f t="shared" si="18"/>
        <v>6</v>
      </c>
      <c r="W440">
        <f t="shared" si="19"/>
        <v>0</v>
      </c>
      <c r="X440">
        <f t="shared" si="20"/>
        <v>0</v>
      </c>
      <c r="Y440">
        <v>167</v>
      </c>
      <c r="Z440">
        <v>327</v>
      </c>
      <c r="AA440" t="s">
        <v>2992</v>
      </c>
      <c r="AB440" t="s">
        <v>2993</v>
      </c>
      <c r="AC440" t="s">
        <v>184</v>
      </c>
      <c r="AD440">
        <v>2</v>
      </c>
      <c r="AE440">
        <v>76</v>
      </c>
      <c r="AF440" t="s">
        <v>57</v>
      </c>
      <c r="AH440" t="s">
        <v>875</v>
      </c>
      <c r="AI440">
        <v>197.88</v>
      </c>
      <c r="AJ440" t="s">
        <v>132</v>
      </c>
      <c r="AK440" t="s">
        <v>893</v>
      </c>
      <c r="AL440" t="s">
        <v>897</v>
      </c>
      <c r="AM440" t="s">
        <v>170</v>
      </c>
      <c r="AN440" s="1">
        <v>45640</v>
      </c>
      <c r="AO440">
        <v>2024</v>
      </c>
      <c r="AP440">
        <v>12</v>
      </c>
      <c r="AQ440" t="s">
        <v>116</v>
      </c>
      <c r="AS440" t="s">
        <v>85</v>
      </c>
      <c r="AT440">
        <v>2025</v>
      </c>
      <c r="AU440" t="s">
        <v>594</v>
      </c>
      <c r="AV440" t="s">
        <v>170</v>
      </c>
      <c r="AW440" t="s">
        <v>2991</v>
      </c>
      <c r="AX440">
        <v>2025</v>
      </c>
      <c r="AY440" t="s">
        <v>2992</v>
      </c>
      <c r="AZ440" t="s">
        <v>2992</v>
      </c>
    </row>
    <row r="441" spans="1:52" x14ac:dyDescent="0.25">
      <c r="A441" t="s">
        <v>2994</v>
      </c>
      <c r="B441" s="1">
        <v>37762</v>
      </c>
      <c r="C441" t="s">
        <v>2995</v>
      </c>
      <c r="D441">
        <v>429325</v>
      </c>
      <c r="E441" t="s">
        <v>46</v>
      </c>
      <c r="F441" t="s">
        <v>1173</v>
      </c>
      <c r="G441" t="s">
        <v>124</v>
      </c>
      <c r="H441" t="s">
        <v>2995</v>
      </c>
      <c r="I441" t="s">
        <v>2303</v>
      </c>
      <c r="J441">
        <v>80</v>
      </c>
      <c r="K441">
        <v>83</v>
      </c>
      <c r="L441">
        <v>85</v>
      </c>
      <c r="M441">
        <v>85</v>
      </c>
      <c r="N441">
        <v>168</v>
      </c>
      <c r="O441" t="s">
        <v>48</v>
      </c>
      <c r="P441">
        <v>100</v>
      </c>
      <c r="Q441">
        <v>105</v>
      </c>
      <c r="R441">
        <v>110</v>
      </c>
      <c r="S441">
        <v>110</v>
      </c>
      <c r="T441">
        <v>215</v>
      </c>
      <c r="U441" t="s">
        <v>48</v>
      </c>
      <c r="V441">
        <f t="shared" si="18"/>
        <v>6</v>
      </c>
      <c r="W441">
        <f t="shared" si="19"/>
        <v>0</v>
      </c>
      <c r="X441">
        <f t="shared" si="20"/>
        <v>0</v>
      </c>
      <c r="Y441">
        <v>195</v>
      </c>
      <c r="Z441">
        <v>383</v>
      </c>
      <c r="AA441" t="s">
        <v>2997</v>
      </c>
      <c r="AB441" t="s">
        <v>2999</v>
      </c>
      <c r="AC441" t="s">
        <v>98</v>
      </c>
      <c r="AD441">
        <v>3</v>
      </c>
      <c r="AE441">
        <v>71</v>
      </c>
      <c r="AF441" t="s">
        <v>126</v>
      </c>
      <c r="AH441" t="s">
        <v>226</v>
      </c>
      <c r="AI441">
        <v>249.37</v>
      </c>
      <c r="AJ441" t="s">
        <v>132</v>
      </c>
      <c r="AK441" t="s">
        <v>1173</v>
      </c>
      <c r="AL441" t="s">
        <v>1177</v>
      </c>
      <c r="AM441" t="s">
        <v>173</v>
      </c>
      <c r="AN441" s="1">
        <v>45641</v>
      </c>
      <c r="AO441">
        <v>2024</v>
      </c>
      <c r="AP441">
        <v>12</v>
      </c>
      <c r="AQ441" t="s">
        <v>116</v>
      </c>
      <c r="AS441" t="s">
        <v>85</v>
      </c>
      <c r="AT441">
        <v>2025</v>
      </c>
      <c r="AU441" t="s">
        <v>124</v>
      </c>
      <c r="AV441" t="s">
        <v>128</v>
      </c>
      <c r="AW441" t="s">
        <v>2995</v>
      </c>
      <c r="AX441">
        <v>2025</v>
      </c>
      <c r="AY441" t="s">
        <v>2996</v>
      </c>
      <c r="AZ441" t="s">
        <v>2997</v>
      </c>
    </row>
    <row r="442" spans="1:52" x14ac:dyDescent="0.25">
      <c r="A442" t="s">
        <v>3000</v>
      </c>
      <c r="B442" s="1">
        <v>33634</v>
      </c>
      <c r="C442" t="s">
        <v>3001</v>
      </c>
      <c r="D442">
        <v>421600</v>
      </c>
      <c r="E442" t="s">
        <v>46</v>
      </c>
      <c r="F442" t="s">
        <v>1315</v>
      </c>
      <c r="G442" t="s">
        <v>404</v>
      </c>
      <c r="H442" t="s">
        <v>3001</v>
      </c>
      <c r="I442" t="s">
        <v>659</v>
      </c>
      <c r="J442">
        <v>100</v>
      </c>
      <c r="K442">
        <v>-106</v>
      </c>
      <c r="L442">
        <v>-106</v>
      </c>
      <c r="M442">
        <v>100</v>
      </c>
      <c r="N442">
        <v>0</v>
      </c>
      <c r="O442" t="s">
        <v>55</v>
      </c>
      <c r="P442">
        <v>120</v>
      </c>
      <c r="Q442">
        <v>125</v>
      </c>
      <c r="R442">
        <v>-128</v>
      </c>
      <c r="S442">
        <v>125</v>
      </c>
      <c r="T442">
        <v>245</v>
      </c>
      <c r="U442" t="s">
        <v>60</v>
      </c>
      <c r="V442">
        <f t="shared" si="18"/>
        <v>3</v>
      </c>
      <c r="W442">
        <f t="shared" si="19"/>
        <v>0</v>
      </c>
      <c r="X442">
        <f t="shared" si="20"/>
        <v>0</v>
      </c>
      <c r="Y442">
        <v>225</v>
      </c>
      <c r="Z442">
        <v>245</v>
      </c>
      <c r="AA442" t="s">
        <v>2755</v>
      </c>
      <c r="AB442" t="s">
        <v>3003</v>
      </c>
      <c r="AC442" t="s">
        <v>64</v>
      </c>
      <c r="AD442">
        <v>7</v>
      </c>
      <c r="AE442">
        <v>89</v>
      </c>
      <c r="AF442" t="s">
        <v>126</v>
      </c>
      <c r="AH442" t="s">
        <v>155</v>
      </c>
      <c r="AI442">
        <v>272.87</v>
      </c>
      <c r="AJ442" t="s">
        <v>52</v>
      </c>
      <c r="AK442" t="s">
        <v>1315</v>
      </c>
      <c r="AL442" t="s">
        <v>1317</v>
      </c>
      <c r="AM442" t="s">
        <v>143</v>
      </c>
      <c r="AN442" s="1">
        <v>45640</v>
      </c>
      <c r="AO442">
        <v>2024</v>
      </c>
      <c r="AP442">
        <v>12</v>
      </c>
      <c r="AQ442" t="s">
        <v>116</v>
      </c>
      <c r="AS442" t="s">
        <v>85</v>
      </c>
      <c r="AT442">
        <v>2025</v>
      </c>
      <c r="AU442" t="s">
        <v>404</v>
      </c>
      <c r="AV442" t="s">
        <v>143</v>
      </c>
      <c r="AW442" t="s">
        <v>3001</v>
      </c>
      <c r="AX442">
        <v>2025</v>
      </c>
      <c r="AY442" t="s">
        <v>3002</v>
      </c>
      <c r="AZ442" t="s">
        <v>2755</v>
      </c>
    </row>
    <row r="443" spans="1:52" x14ac:dyDescent="0.25">
      <c r="A443" t="s">
        <v>3004</v>
      </c>
      <c r="B443" s="1">
        <v>34390</v>
      </c>
      <c r="C443" t="s">
        <v>3005</v>
      </c>
      <c r="D443">
        <v>498962</v>
      </c>
      <c r="E443" t="s">
        <v>46</v>
      </c>
      <c r="F443" t="s">
        <v>109</v>
      </c>
      <c r="G443" t="s">
        <v>1627</v>
      </c>
      <c r="H443" t="s">
        <v>3005</v>
      </c>
      <c r="I443" t="s">
        <v>533</v>
      </c>
      <c r="J443">
        <v>-97</v>
      </c>
      <c r="K443">
        <v>97</v>
      </c>
      <c r="L443">
        <v>-103</v>
      </c>
      <c r="M443">
        <v>97</v>
      </c>
      <c r="N443">
        <v>0</v>
      </c>
      <c r="O443" t="s">
        <v>104</v>
      </c>
      <c r="P443">
        <v>120</v>
      </c>
      <c r="Q443">
        <v>125</v>
      </c>
      <c r="R443">
        <v>-130</v>
      </c>
      <c r="S443">
        <v>125</v>
      </c>
      <c r="T443">
        <v>245</v>
      </c>
      <c r="U443" t="s">
        <v>60</v>
      </c>
      <c r="V443">
        <f t="shared" si="18"/>
        <v>3</v>
      </c>
      <c r="W443">
        <f t="shared" si="19"/>
        <v>0</v>
      </c>
      <c r="X443">
        <f t="shared" si="20"/>
        <v>0</v>
      </c>
      <c r="Y443">
        <v>222</v>
      </c>
      <c r="Z443">
        <v>245</v>
      </c>
      <c r="AA443" t="s">
        <v>3008</v>
      </c>
      <c r="AB443" t="s">
        <v>3009</v>
      </c>
      <c r="AC443" t="s">
        <v>93</v>
      </c>
      <c r="AD443">
        <v>6</v>
      </c>
      <c r="AE443">
        <v>81</v>
      </c>
      <c r="AF443" t="s">
        <v>126</v>
      </c>
      <c r="AH443" t="s">
        <v>138</v>
      </c>
      <c r="AI443">
        <v>285.38</v>
      </c>
      <c r="AJ443" t="s">
        <v>52</v>
      </c>
      <c r="AK443" t="s">
        <v>109</v>
      </c>
      <c r="AL443" t="s">
        <v>115</v>
      </c>
      <c r="AM443" t="s">
        <v>90</v>
      </c>
      <c r="AN443" s="1">
        <v>45639</v>
      </c>
      <c r="AO443">
        <v>2024</v>
      </c>
      <c r="AP443">
        <v>12</v>
      </c>
      <c r="AQ443" t="s">
        <v>116</v>
      </c>
      <c r="AS443" t="s">
        <v>85</v>
      </c>
      <c r="AT443">
        <v>2025</v>
      </c>
      <c r="AU443" t="s">
        <v>1627</v>
      </c>
      <c r="AV443" t="s">
        <v>91</v>
      </c>
      <c r="AW443" t="s">
        <v>3005</v>
      </c>
      <c r="AX443">
        <v>2025</v>
      </c>
      <c r="AY443" t="s">
        <v>3006</v>
      </c>
      <c r="AZ443" t="s">
        <v>3007</v>
      </c>
    </row>
    <row r="444" spans="1:52" x14ac:dyDescent="0.25">
      <c r="A444" t="s">
        <v>3010</v>
      </c>
      <c r="B444" s="1">
        <v>34328</v>
      </c>
      <c r="C444" t="s">
        <v>3011</v>
      </c>
      <c r="D444">
        <v>418747</v>
      </c>
      <c r="E444" t="s">
        <v>46</v>
      </c>
      <c r="F444" t="s">
        <v>999</v>
      </c>
      <c r="G444" t="s">
        <v>749</v>
      </c>
      <c r="H444" t="s">
        <v>3011</v>
      </c>
      <c r="I444" t="s">
        <v>405</v>
      </c>
      <c r="J444">
        <v>93</v>
      </c>
      <c r="K444">
        <v>-98</v>
      </c>
      <c r="L444">
        <v>99</v>
      </c>
      <c r="M444">
        <v>99</v>
      </c>
      <c r="N444">
        <v>192</v>
      </c>
      <c r="O444" t="s">
        <v>65</v>
      </c>
      <c r="P444">
        <v>117</v>
      </c>
      <c r="Q444">
        <v>-121</v>
      </c>
      <c r="R444">
        <v>-122</v>
      </c>
      <c r="S444">
        <v>117</v>
      </c>
      <c r="T444">
        <v>0</v>
      </c>
      <c r="U444" t="s">
        <v>55</v>
      </c>
      <c r="V444">
        <f t="shared" si="18"/>
        <v>3</v>
      </c>
      <c r="W444">
        <f t="shared" si="19"/>
        <v>0</v>
      </c>
      <c r="X444">
        <f t="shared" si="20"/>
        <v>0</v>
      </c>
      <c r="Y444">
        <v>216</v>
      </c>
      <c r="Z444">
        <v>192</v>
      </c>
      <c r="AA444" t="s">
        <v>2502</v>
      </c>
      <c r="AB444" t="s">
        <v>3013</v>
      </c>
      <c r="AC444" t="s">
        <v>64</v>
      </c>
      <c r="AD444">
        <v>7</v>
      </c>
      <c r="AE444">
        <v>81</v>
      </c>
      <c r="AF444" t="s">
        <v>126</v>
      </c>
      <c r="AH444" t="s">
        <v>138</v>
      </c>
      <c r="AI444">
        <v>276.20999999999998</v>
      </c>
      <c r="AJ444" t="s">
        <v>52</v>
      </c>
      <c r="AK444" t="s">
        <v>999</v>
      </c>
      <c r="AL444" t="s">
        <v>1001</v>
      </c>
      <c r="AM444" t="s">
        <v>53</v>
      </c>
      <c r="AN444" s="1">
        <v>45640</v>
      </c>
      <c r="AO444">
        <v>2024</v>
      </c>
      <c r="AP444">
        <v>12</v>
      </c>
      <c r="AQ444" t="s">
        <v>116</v>
      </c>
      <c r="AS444" t="s">
        <v>85</v>
      </c>
      <c r="AT444">
        <v>2025</v>
      </c>
      <c r="AU444" t="s">
        <v>749</v>
      </c>
      <c r="AV444" t="s">
        <v>140</v>
      </c>
      <c r="AW444" t="s">
        <v>3011</v>
      </c>
      <c r="AX444">
        <v>2025</v>
      </c>
      <c r="AY444" t="s">
        <v>3012</v>
      </c>
      <c r="AZ444" t="s">
        <v>3012</v>
      </c>
    </row>
    <row r="445" spans="1:52" x14ac:dyDescent="0.25">
      <c r="A445" t="s">
        <v>3014</v>
      </c>
      <c r="B445" s="1">
        <v>40231</v>
      </c>
      <c r="C445" t="s">
        <v>3015</v>
      </c>
      <c r="D445">
        <v>502830</v>
      </c>
      <c r="E445" t="s">
        <v>46</v>
      </c>
      <c r="F445" t="s">
        <v>456</v>
      </c>
      <c r="G445" t="s">
        <v>660</v>
      </c>
      <c r="H445" t="s">
        <v>3015</v>
      </c>
      <c r="I445" t="s">
        <v>2473</v>
      </c>
      <c r="J445">
        <v>27</v>
      </c>
      <c r="K445">
        <v>-30</v>
      </c>
      <c r="L445">
        <v>-31</v>
      </c>
      <c r="M445">
        <v>27</v>
      </c>
      <c r="N445">
        <v>0</v>
      </c>
      <c r="O445" t="s">
        <v>55</v>
      </c>
      <c r="P445">
        <v>-34</v>
      </c>
      <c r="Q445">
        <v>-34</v>
      </c>
      <c r="R445">
        <v>-35</v>
      </c>
      <c r="S445">
        <v>0</v>
      </c>
      <c r="T445">
        <v>0</v>
      </c>
      <c r="U445" t="s">
        <v>108</v>
      </c>
      <c r="V445">
        <f t="shared" si="18"/>
        <v>1</v>
      </c>
      <c r="W445">
        <f t="shared" si="19"/>
        <v>0</v>
      </c>
      <c r="X445">
        <f t="shared" si="20"/>
        <v>0</v>
      </c>
      <c r="Y445">
        <v>27</v>
      </c>
      <c r="Z445">
        <v>0</v>
      </c>
      <c r="AA445" t="s">
        <v>3016</v>
      </c>
      <c r="AB445" t="s">
        <v>99</v>
      </c>
      <c r="AC445" t="s">
        <v>49</v>
      </c>
      <c r="AD445">
        <v>999</v>
      </c>
      <c r="AE445">
        <v>45</v>
      </c>
      <c r="AF445" t="s">
        <v>57</v>
      </c>
      <c r="AH445" t="s">
        <v>313</v>
      </c>
      <c r="AI445">
        <v>0</v>
      </c>
      <c r="AJ445" t="s">
        <v>132</v>
      </c>
      <c r="AK445" t="s">
        <v>456</v>
      </c>
      <c r="AL445" t="s">
        <v>460</v>
      </c>
      <c r="AM445" t="s">
        <v>173</v>
      </c>
      <c r="AN445" s="1">
        <v>45641</v>
      </c>
      <c r="AO445">
        <v>2024</v>
      </c>
      <c r="AP445">
        <v>12</v>
      </c>
      <c r="AQ445" t="s">
        <v>116</v>
      </c>
      <c r="AS445" t="s">
        <v>85</v>
      </c>
      <c r="AT445">
        <v>2025</v>
      </c>
      <c r="AU445" t="s">
        <v>660</v>
      </c>
      <c r="AV445" t="s">
        <v>173</v>
      </c>
      <c r="AW445" t="s">
        <v>3015</v>
      </c>
      <c r="AX445">
        <v>2025</v>
      </c>
      <c r="AY445" t="s">
        <v>3016</v>
      </c>
      <c r="AZ445" t="s">
        <v>3016</v>
      </c>
    </row>
    <row r="446" spans="1:52" x14ac:dyDescent="0.25">
      <c r="A446" t="s">
        <v>3017</v>
      </c>
      <c r="B446" s="1">
        <v>40140</v>
      </c>
      <c r="C446" t="s">
        <v>3018</v>
      </c>
      <c r="D446">
        <v>495698</v>
      </c>
      <c r="E446" t="s">
        <v>46</v>
      </c>
      <c r="F446" t="s">
        <v>1209</v>
      </c>
      <c r="G446" t="s">
        <v>1848</v>
      </c>
      <c r="H446" t="s">
        <v>3018</v>
      </c>
      <c r="I446" t="s">
        <v>3020</v>
      </c>
      <c r="J446">
        <v>44</v>
      </c>
      <c r="K446">
        <v>47</v>
      </c>
      <c r="L446">
        <v>50</v>
      </c>
      <c r="M446">
        <v>50</v>
      </c>
      <c r="N446">
        <v>97</v>
      </c>
      <c r="O446" t="s">
        <v>48</v>
      </c>
      <c r="P446">
        <v>57</v>
      </c>
      <c r="Q446">
        <v>-60</v>
      </c>
      <c r="R446">
        <v>-60</v>
      </c>
      <c r="S446">
        <v>57</v>
      </c>
      <c r="T446">
        <v>0</v>
      </c>
      <c r="U446" t="s">
        <v>55</v>
      </c>
      <c r="V446">
        <f t="shared" si="18"/>
        <v>4</v>
      </c>
      <c r="W446">
        <f t="shared" si="19"/>
        <v>0</v>
      </c>
      <c r="X446">
        <f t="shared" si="20"/>
        <v>0</v>
      </c>
      <c r="Y446">
        <v>107</v>
      </c>
      <c r="Z446">
        <v>97</v>
      </c>
      <c r="AA446" t="s">
        <v>3019</v>
      </c>
      <c r="AB446" t="s">
        <v>3021</v>
      </c>
      <c r="AC446" t="s">
        <v>89</v>
      </c>
      <c r="AD446">
        <v>5</v>
      </c>
      <c r="AE446">
        <v>59</v>
      </c>
      <c r="AF446" t="s">
        <v>95</v>
      </c>
      <c r="AH446" t="s">
        <v>350</v>
      </c>
      <c r="AI446">
        <v>150.28</v>
      </c>
      <c r="AJ446" t="s">
        <v>132</v>
      </c>
      <c r="AK446" t="s">
        <v>1209</v>
      </c>
      <c r="AL446" t="s">
        <v>1213</v>
      </c>
      <c r="AM446" t="s">
        <v>68</v>
      </c>
      <c r="AN446" s="1">
        <v>45640</v>
      </c>
      <c r="AO446">
        <v>2024</v>
      </c>
      <c r="AP446">
        <v>12</v>
      </c>
      <c r="AQ446" t="s">
        <v>116</v>
      </c>
      <c r="AS446" t="s">
        <v>85</v>
      </c>
      <c r="AT446">
        <v>2025</v>
      </c>
      <c r="AU446" t="s">
        <v>1848</v>
      </c>
      <c r="AV446" t="s">
        <v>68</v>
      </c>
      <c r="AW446" t="s">
        <v>3018</v>
      </c>
      <c r="AX446">
        <v>2025</v>
      </c>
      <c r="AY446" t="s">
        <v>3019</v>
      </c>
      <c r="AZ446" t="s">
        <v>3019</v>
      </c>
    </row>
    <row r="447" spans="1:52" x14ac:dyDescent="0.25">
      <c r="A447" t="s">
        <v>3022</v>
      </c>
      <c r="B447" s="1">
        <v>38563</v>
      </c>
      <c r="C447" t="s">
        <v>3023</v>
      </c>
      <c r="D447">
        <v>494472</v>
      </c>
      <c r="E447" t="s">
        <v>46</v>
      </c>
      <c r="F447" t="s">
        <v>456</v>
      </c>
      <c r="G447" t="s">
        <v>2051</v>
      </c>
      <c r="H447" t="s">
        <v>3023</v>
      </c>
      <c r="I447" t="s">
        <v>1434</v>
      </c>
      <c r="J447">
        <v>54</v>
      </c>
      <c r="K447">
        <v>57</v>
      </c>
      <c r="L447">
        <v>60</v>
      </c>
      <c r="M447">
        <v>60</v>
      </c>
      <c r="N447">
        <v>117</v>
      </c>
      <c r="O447" t="s">
        <v>48</v>
      </c>
      <c r="P447">
        <v>67</v>
      </c>
      <c r="Q447">
        <v>70</v>
      </c>
      <c r="R447">
        <v>-74</v>
      </c>
      <c r="S447">
        <v>70</v>
      </c>
      <c r="T447">
        <v>137</v>
      </c>
      <c r="U447" t="s">
        <v>60</v>
      </c>
      <c r="V447">
        <f t="shared" si="18"/>
        <v>5</v>
      </c>
      <c r="W447">
        <f t="shared" si="19"/>
        <v>0</v>
      </c>
      <c r="X447">
        <f t="shared" si="20"/>
        <v>0</v>
      </c>
      <c r="Y447">
        <v>130</v>
      </c>
      <c r="Z447">
        <v>254</v>
      </c>
      <c r="AA447" t="s">
        <v>3024</v>
      </c>
      <c r="AB447" t="s">
        <v>3025</v>
      </c>
      <c r="AC447" t="s">
        <v>94</v>
      </c>
      <c r="AD447">
        <v>4</v>
      </c>
      <c r="AE447">
        <v>59</v>
      </c>
      <c r="AF447" t="s">
        <v>113</v>
      </c>
      <c r="AH447" t="s">
        <v>352</v>
      </c>
      <c r="AI447">
        <v>178.01</v>
      </c>
      <c r="AJ447" t="s">
        <v>132</v>
      </c>
      <c r="AK447" t="s">
        <v>456</v>
      </c>
      <c r="AL447" t="s">
        <v>460</v>
      </c>
      <c r="AM447" t="s">
        <v>173</v>
      </c>
      <c r="AN447" s="1">
        <v>45641</v>
      </c>
      <c r="AO447">
        <v>2024</v>
      </c>
      <c r="AP447">
        <v>12</v>
      </c>
      <c r="AQ447" t="s">
        <v>116</v>
      </c>
      <c r="AS447" t="s">
        <v>85</v>
      </c>
      <c r="AT447">
        <v>2025</v>
      </c>
      <c r="AU447" t="s">
        <v>2051</v>
      </c>
      <c r="AV447" t="s">
        <v>173</v>
      </c>
      <c r="AW447" t="s">
        <v>3023</v>
      </c>
      <c r="AX447">
        <v>2025</v>
      </c>
      <c r="AY447" t="s">
        <v>3024</v>
      </c>
      <c r="AZ447" t="s">
        <v>3024</v>
      </c>
    </row>
    <row r="448" spans="1:52" x14ac:dyDescent="0.25">
      <c r="A448" t="s">
        <v>3026</v>
      </c>
      <c r="B448" s="1">
        <v>41297</v>
      </c>
      <c r="C448" t="s">
        <v>3027</v>
      </c>
      <c r="D448">
        <v>481495</v>
      </c>
      <c r="E448" t="s">
        <v>46</v>
      </c>
      <c r="F448" t="s">
        <v>760</v>
      </c>
      <c r="G448" t="s">
        <v>419</v>
      </c>
      <c r="H448" t="s">
        <v>3027</v>
      </c>
      <c r="I448" t="s">
        <v>1989</v>
      </c>
      <c r="J448">
        <v>24</v>
      </c>
      <c r="K448">
        <v>26</v>
      </c>
      <c r="L448">
        <v>28</v>
      </c>
      <c r="M448">
        <v>28</v>
      </c>
      <c r="N448">
        <v>54</v>
      </c>
      <c r="O448" t="s">
        <v>48</v>
      </c>
      <c r="P448">
        <v>32</v>
      </c>
      <c r="Q448">
        <v>34</v>
      </c>
      <c r="R448">
        <v>36</v>
      </c>
      <c r="S448">
        <v>36</v>
      </c>
      <c r="T448">
        <v>70</v>
      </c>
      <c r="U448" t="s">
        <v>48</v>
      </c>
      <c r="V448">
        <f t="shared" si="18"/>
        <v>6</v>
      </c>
      <c r="W448">
        <f t="shared" si="19"/>
        <v>0</v>
      </c>
      <c r="X448">
        <f t="shared" si="20"/>
        <v>0</v>
      </c>
      <c r="Y448">
        <v>64</v>
      </c>
      <c r="Z448">
        <v>124</v>
      </c>
      <c r="AA448" t="s">
        <v>3028</v>
      </c>
      <c r="AB448" t="s">
        <v>3029</v>
      </c>
      <c r="AC448" t="s">
        <v>49</v>
      </c>
      <c r="AD448">
        <v>999</v>
      </c>
      <c r="AE448">
        <v>55</v>
      </c>
      <c r="AF448" t="s">
        <v>50</v>
      </c>
      <c r="AH448" t="s">
        <v>82</v>
      </c>
      <c r="AI448">
        <v>211.04</v>
      </c>
      <c r="AJ448" t="s">
        <v>52</v>
      </c>
      <c r="AK448" t="s">
        <v>760</v>
      </c>
      <c r="AL448" t="s">
        <v>763</v>
      </c>
      <c r="AM448" t="s">
        <v>133</v>
      </c>
      <c r="AN448" s="1">
        <v>45640</v>
      </c>
      <c r="AO448">
        <v>2024</v>
      </c>
      <c r="AP448">
        <v>12</v>
      </c>
      <c r="AQ448" t="s">
        <v>116</v>
      </c>
      <c r="AS448" t="s">
        <v>85</v>
      </c>
      <c r="AT448">
        <v>2025</v>
      </c>
      <c r="AU448" t="s">
        <v>419</v>
      </c>
      <c r="AV448" t="s">
        <v>133</v>
      </c>
      <c r="AW448" t="s">
        <v>3027</v>
      </c>
      <c r="AX448">
        <v>2025</v>
      </c>
      <c r="AY448" t="s">
        <v>3028</v>
      </c>
      <c r="AZ448" t="s">
        <v>3028</v>
      </c>
    </row>
    <row r="449" spans="1:52" x14ac:dyDescent="0.25">
      <c r="A449" t="s">
        <v>3030</v>
      </c>
      <c r="B449" s="1">
        <v>41824</v>
      </c>
      <c r="C449" t="s">
        <v>3031</v>
      </c>
      <c r="D449">
        <v>502661</v>
      </c>
      <c r="E449" t="s">
        <v>46</v>
      </c>
      <c r="F449" t="s">
        <v>837</v>
      </c>
      <c r="G449" t="s">
        <v>2051</v>
      </c>
      <c r="H449" t="s">
        <v>3031</v>
      </c>
      <c r="I449" t="s">
        <v>3033</v>
      </c>
      <c r="J449">
        <v>14</v>
      </c>
      <c r="K449">
        <v>-16</v>
      </c>
      <c r="L449">
        <v>16</v>
      </c>
      <c r="M449">
        <v>16</v>
      </c>
      <c r="N449">
        <v>30</v>
      </c>
      <c r="O449" t="s">
        <v>65</v>
      </c>
      <c r="P449">
        <v>20</v>
      </c>
      <c r="Q449">
        <v>22</v>
      </c>
      <c r="R449">
        <v>24</v>
      </c>
      <c r="S449">
        <v>24</v>
      </c>
      <c r="T449">
        <v>46</v>
      </c>
      <c r="U449" t="s">
        <v>48</v>
      </c>
      <c r="V449">
        <f t="shared" si="18"/>
        <v>5</v>
      </c>
      <c r="W449">
        <f t="shared" si="19"/>
        <v>0</v>
      </c>
      <c r="X449">
        <f t="shared" si="20"/>
        <v>0</v>
      </c>
      <c r="Y449">
        <v>40</v>
      </c>
      <c r="Z449">
        <v>76</v>
      </c>
      <c r="AA449" t="s">
        <v>3032</v>
      </c>
      <c r="AB449" t="s">
        <v>3034</v>
      </c>
      <c r="AC449" t="s">
        <v>49</v>
      </c>
      <c r="AD449">
        <v>999</v>
      </c>
      <c r="AE449">
        <v>40</v>
      </c>
      <c r="AF449" t="s">
        <v>50</v>
      </c>
      <c r="AH449" t="s">
        <v>51</v>
      </c>
      <c r="AI449">
        <v>181.22</v>
      </c>
      <c r="AJ449" t="s">
        <v>52</v>
      </c>
      <c r="AK449" t="s">
        <v>837</v>
      </c>
      <c r="AL449" t="s">
        <v>840</v>
      </c>
      <c r="AM449" t="s">
        <v>173</v>
      </c>
      <c r="AN449" s="1">
        <v>45640</v>
      </c>
      <c r="AO449">
        <v>2024</v>
      </c>
      <c r="AP449">
        <v>12</v>
      </c>
      <c r="AQ449" t="s">
        <v>116</v>
      </c>
      <c r="AS449" t="s">
        <v>85</v>
      </c>
      <c r="AT449">
        <v>2025</v>
      </c>
      <c r="AU449" t="s">
        <v>2051</v>
      </c>
      <c r="AV449" t="s">
        <v>173</v>
      </c>
      <c r="AW449" t="s">
        <v>3031</v>
      </c>
      <c r="AX449">
        <v>2025</v>
      </c>
      <c r="AY449" t="s">
        <v>3032</v>
      </c>
      <c r="AZ449" t="s">
        <v>3032</v>
      </c>
    </row>
    <row r="450" spans="1:52" x14ac:dyDescent="0.25">
      <c r="A450" t="s">
        <v>3035</v>
      </c>
      <c r="B450" s="1">
        <v>39374</v>
      </c>
      <c r="C450" t="s">
        <v>3036</v>
      </c>
      <c r="D450">
        <v>479769</v>
      </c>
      <c r="E450" t="s">
        <v>46</v>
      </c>
      <c r="F450" t="s">
        <v>1300</v>
      </c>
      <c r="G450" t="s">
        <v>2910</v>
      </c>
      <c r="H450" t="s">
        <v>3036</v>
      </c>
      <c r="I450" t="s">
        <v>229</v>
      </c>
      <c r="J450">
        <v>50</v>
      </c>
      <c r="K450">
        <v>-53</v>
      </c>
      <c r="L450">
        <v>54</v>
      </c>
      <c r="M450">
        <v>54</v>
      </c>
      <c r="N450">
        <v>104</v>
      </c>
      <c r="O450" t="s">
        <v>65</v>
      </c>
      <c r="P450">
        <v>60</v>
      </c>
      <c r="Q450">
        <v>64</v>
      </c>
      <c r="R450">
        <v>-67</v>
      </c>
      <c r="S450">
        <v>64</v>
      </c>
      <c r="T450">
        <v>124</v>
      </c>
      <c r="U450" t="s">
        <v>60</v>
      </c>
      <c r="V450">
        <f t="shared" si="18"/>
        <v>4</v>
      </c>
      <c r="W450">
        <f t="shared" si="19"/>
        <v>0</v>
      </c>
      <c r="X450">
        <f t="shared" si="20"/>
        <v>0</v>
      </c>
      <c r="Y450">
        <v>118</v>
      </c>
      <c r="Z450">
        <v>228</v>
      </c>
      <c r="AA450" t="s">
        <v>3038</v>
      </c>
      <c r="AB450" t="s">
        <v>1545</v>
      </c>
      <c r="AC450" t="s">
        <v>93</v>
      </c>
      <c r="AD450">
        <v>6</v>
      </c>
      <c r="AE450">
        <v>71</v>
      </c>
      <c r="AF450" t="s">
        <v>113</v>
      </c>
      <c r="AH450" t="s">
        <v>305</v>
      </c>
      <c r="AI450">
        <v>144.82</v>
      </c>
      <c r="AJ450" t="s">
        <v>132</v>
      </c>
      <c r="AK450" t="s">
        <v>1300</v>
      </c>
      <c r="AL450" t="s">
        <v>1302</v>
      </c>
      <c r="AM450" t="s">
        <v>170</v>
      </c>
      <c r="AN450" s="1">
        <v>45640</v>
      </c>
      <c r="AO450">
        <v>2024</v>
      </c>
      <c r="AP450">
        <v>12</v>
      </c>
      <c r="AQ450" t="s">
        <v>116</v>
      </c>
      <c r="AS450" t="s">
        <v>85</v>
      </c>
      <c r="AT450">
        <v>2025</v>
      </c>
      <c r="AU450" t="s">
        <v>2910</v>
      </c>
      <c r="AV450" t="s">
        <v>170</v>
      </c>
      <c r="AW450" t="s">
        <v>3036</v>
      </c>
      <c r="AX450">
        <v>2025</v>
      </c>
      <c r="AY450" t="s">
        <v>3037</v>
      </c>
      <c r="AZ450" t="s">
        <v>3038</v>
      </c>
    </row>
    <row r="451" spans="1:52" x14ac:dyDescent="0.25">
      <c r="A451" t="s">
        <v>3105</v>
      </c>
      <c r="B451" s="1">
        <v>37093</v>
      </c>
      <c r="C451" t="s">
        <v>3106</v>
      </c>
      <c r="D451">
        <v>464670</v>
      </c>
      <c r="E451" t="s">
        <v>46</v>
      </c>
      <c r="F451" t="s">
        <v>693</v>
      </c>
      <c r="G451" t="s">
        <v>1004</v>
      </c>
      <c r="H451" t="s">
        <v>3106</v>
      </c>
      <c r="I451">
        <v>70</v>
      </c>
      <c r="J451">
        <v>71</v>
      </c>
      <c r="K451">
        <v>-74</v>
      </c>
      <c r="L451">
        <v>74</v>
      </c>
      <c r="M451">
        <v>74</v>
      </c>
      <c r="N451">
        <v>145</v>
      </c>
      <c r="O451" t="s">
        <v>65</v>
      </c>
      <c r="P451">
        <v>94</v>
      </c>
      <c r="Q451">
        <v>98</v>
      </c>
      <c r="R451">
        <v>-101</v>
      </c>
      <c r="S451">
        <v>98</v>
      </c>
      <c r="T451">
        <v>192</v>
      </c>
      <c r="U451" t="s">
        <v>60</v>
      </c>
      <c r="V451">
        <f t="shared" ref="V451:V514" si="21">IF(O451="OOO",3,IF(O451="XXX",0,IF(OR(O451="OOX",O451="OXO",O451="XOO"),2,1)))+IF(U451="OOO",3,IF(U451="XXX",0,IF(OR(U451="OOX",U451="OXO",U451="XOO"),2,1)))</f>
        <v>4</v>
      </c>
      <c r="W451">
        <f t="shared" ref="W451:W514" si="22">IF(OR(O451="XXO",U451="XXO"),1,0)</f>
        <v>0</v>
      </c>
      <c r="X451">
        <f t="shared" ref="X451:X514" si="23">IF(AND(O451="XXO",U451="XXO"),1,0)</f>
        <v>0</v>
      </c>
      <c r="Y451">
        <v>172</v>
      </c>
      <c r="Z451">
        <v>337</v>
      </c>
      <c r="AA451" t="s">
        <v>3108</v>
      </c>
      <c r="AB451" t="s">
        <v>3109</v>
      </c>
      <c r="AC451" t="s">
        <v>94</v>
      </c>
      <c r="AD451">
        <v>4</v>
      </c>
      <c r="AE451">
        <v>71</v>
      </c>
      <c r="AF451" t="s">
        <v>126</v>
      </c>
      <c r="AH451" t="s">
        <v>226</v>
      </c>
      <c r="AI451">
        <v>212.53</v>
      </c>
      <c r="AJ451" t="s">
        <v>132</v>
      </c>
      <c r="AK451" t="s">
        <v>693</v>
      </c>
      <c r="AL451" t="s">
        <v>696</v>
      </c>
      <c r="AM451" t="s">
        <v>139</v>
      </c>
      <c r="AN451" s="1">
        <v>45641</v>
      </c>
      <c r="AO451">
        <v>2024</v>
      </c>
      <c r="AP451">
        <v>12</v>
      </c>
      <c r="AQ451" t="s">
        <v>116</v>
      </c>
      <c r="AS451" t="s">
        <v>85</v>
      </c>
      <c r="AT451">
        <v>2025</v>
      </c>
      <c r="AU451" t="s">
        <v>1004</v>
      </c>
      <c r="AV451" t="s">
        <v>140</v>
      </c>
      <c r="AW451" t="s">
        <v>3106</v>
      </c>
      <c r="AX451">
        <v>2025</v>
      </c>
      <c r="AY451" t="s">
        <v>3107</v>
      </c>
      <c r="AZ451" t="s">
        <v>3108</v>
      </c>
    </row>
    <row r="452" spans="1:52" x14ac:dyDescent="0.25">
      <c r="A452" t="s">
        <v>3110</v>
      </c>
      <c r="B452" s="1">
        <v>38922</v>
      </c>
      <c r="C452" t="s">
        <v>3111</v>
      </c>
      <c r="D452">
        <v>492893</v>
      </c>
      <c r="E452" t="s">
        <v>46</v>
      </c>
      <c r="F452" t="s">
        <v>1163</v>
      </c>
      <c r="G452" t="s">
        <v>312</v>
      </c>
      <c r="H452" t="s">
        <v>3111</v>
      </c>
      <c r="I452" t="s">
        <v>107</v>
      </c>
      <c r="J452">
        <v>-52</v>
      </c>
      <c r="K452">
        <v>52</v>
      </c>
      <c r="L452">
        <v>-55</v>
      </c>
      <c r="M452">
        <v>52</v>
      </c>
      <c r="N452">
        <v>0</v>
      </c>
      <c r="O452" t="s">
        <v>104</v>
      </c>
      <c r="P452">
        <v>65</v>
      </c>
      <c r="Q452">
        <v>70</v>
      </c>
      <c r="R452">
        <v>73</v>
      </c>
      <c r="S452">
        <v>73</v>
      </c>
      <c r="T452">
        <v>143</v>
      </c>
      <c r="U452" t="s">
        <v>48</v>
      </c>
      <c r="V452">
        <f t="shared" si="21"/>
        <v>4</v>
      </c>
      <c r="W452">
        <f t="shared" si="22"/>
        <v>0</v>
      </c>
      <c r="X452">
        <f t="shared" si="23"/>
        <v>0</v>
      </c>
      <c r="Y452">
        <v>125</v>
      </c>
      <c r="Z452">
        <v>143</v>
      </c>
      <c r="AA452" t="s">
        <v>3112</v>
      </c>
      <c r="AB452" t="s">
        <v>3113</v>
      </c>
      <c r="AC452" t="s">
        <v>89</v>
      </c>
      <c r="AD452">
        <v>5</v>
      </c>
      <c r="AE452">
        <v>64</v>
      </c>
      <c r="AF452" t="s">
        <v>113</v>
      </c>
      <c r="AH452" t="s">
        <v>355</v>
      </c>
      <c r="AI452">
        <v>167.93</v>
      </c>
      <c r="AJ452" t="s">
        <v>132</v>
      </c>
      <c r="AK452" t="s">
        <v>1163</v>
      </c>
      <c r="AL452" t="s">
        <v>1165</v>
      </c>
      <c r="AM452" t="s">
        <v>139</v>
      </c>
      <c r="AN452" s="1">
        <v>45640</v>
      </c>
      <c r="AO452">
        <v>2024</v>
      </c>
      <c r="AP452">
        <v>12</v>
      </c>
      <c r="AQ452" t="s">
        <v>116</v>
      </c>
      <c r="AS452" t="s">
        <v>85</v>
      </c>
      <c r="AT452">
        <v>2025</v>
      </c>
      <c r="AU452" t="s">
        <v>312</v>
      </c>
      <c r="AV452" t="s">
        <v>140</v>
      </c>
      <c r="AW452" t="s">
        <v>3111</v>
      </c>
      <c r="AX452">
        <v>2025</v>
      </c>
      <c r="AY452" t="s">
        <v>3112</v>
      </c>
      <c r="AZ452" t="s">
        <v>3112</v>
      </c>
    </row>
    <row r="453" spans="1:52" x14ac:dyDescent="0.25">
      <c r="A453" t="s">
        <v>3114</v>
      </c>
      <c r="B453" s="1">
        <v>41282</v>
      </c>
      <c r="C453" t="s">
        <v>3115</v>
      </c>
      <c r="D453">
        <v>502301</v>
      </c>
      <c r="E453" t="s">
        <v>46</v>
      </c>
      <c r="F453" t="s">
        <v>867</v>
      </c>
      <c r="G453" t="s">
        <v>255</v>
      </c>
      <c r="H453" t="s">
        <v>3115</v>
      </c>
      <c r="I453" t="s">
        <v>628</v>
      </c>
      <c r="J453">
        <v>11</v>
      </c>
      <c r="K453">
        <v>13</v>
      </c>
      <c r="L453">
        <v>15</v>
      </c>
      <c r="M453">
        <v>15</v>
      </c>
      <c r="N453">
        <v>28</v>
      </c>
      <c r="O453" t="s">
        <v>48</v>
      </c>
      <c r="P453">
        <v>15</v>
      </c>
      <c r="Q453">
        <v>17</v>
      </c>
      <c r="R453">
        <v>18</v>
      </c>
      <c r="S453">
        <v>18</v>
      </c>
      <c r="T453">
        <v>35</v>
      </c>
      <c r="U453" t="s">
        <v>48</v>
      </c>
      <c r="V453">
        <f t="shared" si="21"/>
        <v>6</v>
      </c>
      <c r="W453">
        <f t="shared" si="22"/>
        <v>0</v>
      </c>
      <c r="X453">
        <f t="shared" si="23"/>
        <v>0</v>
      </c>
      <c r="Y453">
        <v>33</v>
      </c>
      <c r="Z453">
        <v>63</v>
      </c>
      <c r="AA453" t="s">
        <v>3116</v>
      </c>
      <c r="AB453" t="s">
        <v>1758</v>
      </c>
      <c r="AC453" t="s">
        <v>49</v>
      </c>
      <c r="AD453">
        <v>999</v>
      </c>
      <c r="AE453">
        <v>55</v>
      </c>
      <c r="AF453" t="s">
        <v>50</v>
      </c>
      <c r="AH453" t="s">
        <v>209</v>
      </c>
      <c r="AI453">
        <v>95.66</v>
      </c>
      <c r="AJ453" t="s">
        <v>132</v>
      </c>
      <c r="AK453" t="s">
        <v>867</v>
      </c>
      <c r="AL453" t="s">
        <v>869</v>
      </c>
      <c r="AM453" t="s">
        <v>68</v>
      </c>
      <c r="AN453" s="1">
        <v>45641</v>
      </c>
      <c r="AO453">
        <v>2024</v>
      </c>
      <c r="AP453">
        <v>12</v>
      </c>
      <c r="AQ453" t="s">
        <v>116</v>
      </c>
      <c r="AS453" t="s">
        <v>85</v>
      </c>
      <c r="AT453">
        <v>2025</v>
      </c>
      <c r="AU453" t="s">
        <v>255</v>
      </c>
      <c r="AV453" t="s">
        <v>68</v>
      </c>
      <c r="AW453" t="s">
        <v>3115</v>
      </c>
      <c r="AX453">
        <v>2025</v>
      </c>
      <c r="AY453" t="s">
        <v>3116</v>
      </c>
      <c r="AZ453" t="s">
        <v>3116</v>
      </c>
    </row>
    <row r="454" spans="1:52" x14ac:dyDescent="0.25">
      <c r="A454" t="s">
        <v>3058</v>
      </c>
      <c r="B454" s="1">
        <v>37618</v>
      </c>
      <c r="C454" t="s">
        <v>3059</v>
      </c>
      <c r="D454">
        <v>477872</v>
      </c>
      <c r="E454" t="s">
        <v>46</v>
      </c>
      <c r="F454" t="s">
        <v>693</v>
      </c>
      <c r="G454" t="s">
        <v>180</v>
      </c>
      <c r="H454" t="s">
        <v>3059</v>
      </c>
      <c r="I454" t="s">
        <v>307</v>
      </c>
      <c r="J454">
        <v>75</v>
      </c>
      <c r="K454">
        <v>77</v>
      </c>
      <c r="L454">
        <v>-80</v>
      </c>
      <c r="M454">
        <v>77</v>
      </c>
      <c r="N454">
        <v>152</v>
      </c>
      <c r="O454" t="s">
        <v>60</v>
      </c>
      <c r="P454">
        <v>95</v>
      </c>
      <c r="Q454">
        <v>100</v>
      </c>
      <c r="R454">
        <v>-102</v>
      </c>
      <c r="S454">
        <v>100</v>
      </c>
      <c r="T454">
        <v>195</v>
      </c>
      <c r="U454" t="s">
        <v>60</v>
      </c>
      <c r="V454">
        <f t="shared" si="21"/>
        <v>4</v>
      </c>
      <c r="W454">
        <f t="shared" si="22"/>
        <v>0</v>
      </c>
      <c r="X454">
        <f t="shared" si="23"/>
        <v>0</v>
      </c>
      <c r="Y454">
        <v>177</v>
      </c>
      <c r="Z454">
        <v>347</v>
      </c>
      <c r="AA454" t="s">
        <v>3060</v>
      </c>
      <c r="AB454" t="s">
        <v>3062</v>
      </c>
      <c r="AC454" t="s">
        <v>94</v>
      </c>
      <c r="AD454">
        <v>4</v>
      </c>
      <c r="AE454">
        <v>71</v>
      </c>
      <c r="AF454" t="s">
        <v>126</v>
      </c>
      <c r="AH454" t="s">
        <v>226</v>
      </c>
      <c r="AI454">
        <v>218.38</v>
      </c>
      <c r="AJ454" t="s">
        <v>132</v>
      </c>
      <c r="AK454" t="s">
        <v>693</v>
      </c>
      <c r="AL454" t="s">
        <v>696</v>
      </c>
      <c r="AM454" t="s">
        <v>139</v>
      </c>
      <c r="AN454" s="1">
        <v>45641</v>
      </c>
      <c r="AO454">
        <v>2024</v>
      </c>
      <c r="AP454">
        <v>12</v>
      </c>
      <c r="AQ454" t="s">
        <v>116</v>
      </c>
      <c r="AS454" t="s">
        <v>85</v>
      </c>
      <c r="AT454">
        <v>2025</v>
      </c>
      <c r="AU454" t="s">
        <v>180</v>
      </c>
      <c r="AV454" t="s">
        <v>140</v>
      </c>
      <c r="AW454" t="s">
        <v>3059</v>
      </c>
      <c r="AX454">
        <v>2025</v>
      </c>
      <c r="AY454" t="s">
        <v>3060</v>
      </c>
      <c r="AZ454" t="s">
        <v>3060</v>
      </c>
    </row>
    <row r="455" spans="1:52" x14ac:dyDescent="0.25">
      <c r="A455" t="s">
        <v>3039</v>
      </c>
      <c r="B455" s="1">
        <v>40489</v>
      </c>
      <c r="C455" t="s">
        <v>3040</v>
      </c>
      <c r="D455">
        <v>493132</v>
      </c>
      <c r="E455" t="s">
        <v>46</v>
      </c>
      <c r="F455" t="s">
        <v>1163</v>
      </c>
      <c r="G455" t="s">
        <v>271</v>
      </c>
      <c r="H455" t="s">
        <v>3040</v>
      </c>
      <c r="I455" t="s">
        <v>904</v>
      </c>
      <c r="J455">
        <v>35</v>
      </c>
      <c r="K455">
        <v>38</v>
      </c>
      <c r="L455">
        <v>40</v>
      </c>
      <c r="M455">
        <v>40</v>
      </c>
      <c r="N455">
        <v>78</v>
      </c>
      <c r="O455" t="s">
        <v>48</v>
      </c>
      <c r="P455">
        <v>45</v>
      </c>
      <c r="Q455">
        <v>48</v>
      </c>
      <c r="R455">
        <v>-50</v>
      </c>
      <c r="S455">
        <v>48</v>
      </c>
      <c r="T455">
        <v>93</v>
      </c>
      <c r="U455" t="s">
        <v>60</v>
      </c>
      <c r="V455">
        <f t="shared" si="21"/>
        <v>5</v>
      </c>
      <c r="W455">
        <f t="shared" si="22"/>
        <v>0</v>
      </c>
      <c r="X455">
        <f t="shared" si="23"/>
        <v>0</v>
      </c>
      <c r="Y455">
        <v>88</v>
      </c>
      <c r="Z455">
        <v>171</v>
      </c>
      <c r="AA455" t="s">
        <v>3041</v>
      </c>
      <c r="AB455" t="s">
        <v>3042</v>
      </c>
      <c r="AC455" t="s">
        <v>89</v>
      </c>
      <c r="AD455">
        <v>5</v>
      </c>
      <c r="AE455">
        <v>55</v>
      </c>
      <c r="AF455" t="s">
        <v>57</v>
      </c>
      <c r="AH455" t="s">
        <v>172</v>
      </c>
      <c r="AI455">
        <v>134.02000000000001</v>
      </c>
      <c r="AJ455" t="s">
        <v>132</v>
      </c>
      <c r="AK455" t="s">
        <v>1163</v>
      </c>
      <c r="AL455" t="s">
        <v>1165</v>
      </c>
      <c r="AM455" t="s">
        <v>139</v>
      </c>
      <c r="AN455" s="1">
        <v>45640</v>
      </c>
      <c r="AO455">
        <v>2024</v>
      </c>
      <c r="AP455">
        <v>12</v>
      </c>
      <c r="AQ455" t="s">
        <v>116</v>
      </c>
      <c r="AS455" t="s">
        <v>85</v>
      </c>
      <c r="AT455">
        <v>2025</v>
      </c>
      <c r="AU455" t="s">
        <v>271</v>
      </c>
      <c r="AV455" t="s">
        <v>140</v>
      </c>
      <c r="AW455" t="s">
        <v>3040</v>
      </c>
      <c r="AX455">
        <v>2025</v>
      </c>
      <c r="AY455" t="s">
        <v>3041</v>
      </c>
      <c r="AZ455" t="s">
        <v>3041</v>
      </c>
    </row>
    <row r="456" spans="1:52" x14ac:dyDescent="0.25">
      <c r="A456" t="s">
        <v>3043</v>
      </c>
      <c r="B456" s="1">
        <v>38551</v>
      </c>
      <c r="C456" t="s">
        <v>3044</v>
      </c>
      <c r="D456">
        <v>475901</v>
      </c>
      <c r="E456" t="s">
        <v>46</v>
      </c>
      <c r="F456" t="s">
        <v>263</v>
      </c>
      <c r="G456" t="s">
        <v>316</v>
      </c>
      <c r="H456" t="s">
        <v>3044</v>
      </c>
      <c r="I456" t="s">
        <v>499</v>
      </c>
      <c r="J456">
        <v>60</v>
      </c>
      <c r="K456">
        <v>-64</v>
      </c>
      <c r="L456">
        <v>66</v>
      </c>
      <c r="M456">
        <v>66</v>
      </c>
      <c r="N456">
        <v>126</v>
      </c>
      <c r="O456" t="s">
        <v>65</v>
      </c>
      <c r="P456">
        <v>74</v>
      </c>
      <c r="Q456">
        <v>77</v>
      </c>
      <c r="R456">
        <v>-80</v>
      </c>
      <c r="S456">
        <v>77</v>
      </c>
      <c r="T456">
        <v>151</v>
      </c>
      <c r="U456" t="s">
        <v>60</v>
      </c>
      <c r="V456">
        <f t="shared" si="21"/>
        <v>4</v>
      </c>
      <c r="W456">
        <f t="shared" si="22"/>
        <v>0</v>
      </c>
      <c r="X456">
        <f t="shared" si="23"/>
        <v>0</v>
      </c>
      <c r="Y456">
        <v>143</v>
      </c>
      <c r="Z456">
        <v>277</v>
      </c>
      <c r="AA456" t="s">
        <v>3045</v>
      </c>
      <c r="AB456" t="s">
        <v>3046</v>
      </c>
      <c r="AC456" t="s">
        <v>94</v>
      </c>
      <c r="AD456">
        <v>4</v>
      </c>
      <c r="AE456">
        <v>64</v>
      </c>
      <c r="AF456" t="s">
        <v>113</v>
      </c>
      <c r="AH456" t="s">
        <v>355</v>
      </c>
      <c r="AI456">
        <v>186.46</v>
      </c>
      <c r="AJ456" t="s">
        <v>132</v>
      </c>
      <c r="AK456" t="s">
        <v>263</v>
      </c>
      <c r="AL456" t="s">
        <v>267</v>
      </c>
      <c r="AM456" t="s">
        <v>145</v>
      </c>
      <c r="AN456" s="1">
        <v>45640</v>
      </c>
      <c r="AO456">
        <v>2024</v>
      </c>
      <c r="AP456">
        <v>12</v>
      </c>
      <c r="AQ456" t="s">
        <v>116</v>
      </c>
      <c r="AS456" t="s">
        <v>85</v>
      </c>
      <c r="AT456">
        <v>2025</v>
      </c>
      <c r="AU456" t="s">
        <v>316</v>
      </c>
      <c r="AV456" t="s">
        <v>145</v>
      </c>
      <c r="AW456" t="s">
        <v>3044</v>
      </c>
      <c r="AX456">
        <v>2025</v>
      </c>
      <c r="AY456" t="s">
        <v>3045</v>
      </c>
      <c r="AZ456" t="s">
        <v>3045</v>
      </c>
    </row>
    <row r="457" spans="1:52" x14ac:dyDescent="0.25">
      <c r="A457" t="s">
        <v>3047</v>
      </c>
      <c r="B457" s="1">
        <v>38054</v>
      </c>
      <c r="C457" t="s">
        <v>3048</v>
      </c>
      <c r="D457">
        <v>471289</v>
      </c>
      <c r="E457" t="s">
        <v>46</v>
      </c>
      <c r="F457" t="s">
        <v>845</v>
      </c>
      <c r="G457" t="s">
        <v>396</v>
      </c>
      <c r="H457" t="s">
        <v>3048</v>
      </c>
      <c r="I457" t="s">
        <v>379</v>
      </c>
      <c r="J457">
        <v>62</v>
      </c>
      <c r="K457">
        <v>65</v>
      </c>
      <c r="L457">
        <v>-68</v>
      </c>
      <c r="M457">
        <v>65</v>
      </c>
      <c r="N457">
        <v>127</v>
      </c>
      <c r="O457" t="s">
        <v>60</v>
      </c>
      <c r="P457">
        <v>82</v>
      </c>
      <c r="Q457">
        <v>85</v>
      </c>
      <c r="R457">
        <v>87</v>
      </c>
      <c r="S457">
        <v>87</v>
      </c>
      <c r="T457">
        <v>172</v>
      </c>
      <c r="U457" t="s">
        <v>48</v>
      </c>
      <c r="V457">
        <f t="shared" si="21"/>
        <v>5</v>
      </c>
      <c r="W457">
        <f t="shared" si="22"/>
        <v>0</v>
      </c>
      <c r="X457">
        <f t="shared" si="23"/>
        <v>0</v>
      </c>
      <c r="Y457">
        <v>152</v>
      </c>
      <c r="Z457">
        <v>299</v>
      </c>
      <c r="AA457" t="s">
        <v>3049</v>
      </c>
      <c r="AB457" t="s">
        <v>3051</v>
      </c>
      <c r="AC457" t="s">
        <v>89</v>
      </c>
      <c r="AD457">
        <v>5</v>
      </c>
      <c r="AE457">
        <v>64</v>
      </c>
      <c r="AF457" t="s">
        <v>126</v>
      </c>
      <c r="AH457" t="s">
        <v>167</v>
      </c>
      <c r="AI457">
        <v>201.3</v>
      </c>
      <c r="AJ457" t="s">
        <v>132</v>
      </c>
      <c r="AK457" t="s">
        <v>845</v>
      </c>
      <c r="AL457" t="s">
        <v>848</v>
      </c>
      <c r="AM457" t="s">
        <v>302</v>
      </c>
      <c r="AN457" s="1">
        <v>45640</v>
      </c>
      <c r="AO457">
        <v>2024</v>
      </c>
      <c r="AP457">
        <v>12</v>
      </c>
      <c r="AQ457" t="s">
        <v>116</v>
      </c>
      <c r="AS457" t="s">
        <v>85</v>
      </c>
      <c r="AT457">
        <v>2025</v>
      </c>
      <c r="AU457" t="s">
        <v>396</v>
      </c>
      <c r="AV457" t="s">
        <v>303</v>
      </c>
      <c r="AW457" t="s">
        <v>3048</v>
      </c>
      <c r="AX457">
        <v>2025</v>
      </c>
      <c r="AY457" t="s">
        <v>3049</v>
      </c>
      <c r="AZ457" t="s">
        <v>3049</v>
      </c>
    </row>
    <row r="458" spans="1:52" x14ac:dyDescent="0.25">
      <c r="A458" t="s">
        <v>3053</v>
      </c>
      <c r="B458" s="1">
        <v>40140</v>
      </c>
      <c r="C458" t="s">
        <v>3054</v>
      </c>
      <c r="D458">
        <v>491508</v>
      </c>
      <c r="E458" t="s">
        <v>46</v>
      </c>
      <c r="F458" t="s">
        <v>1300</v>
      </c>
      <c r="G458" t="s">
        <v>386</v>
      </c>
      <c r="H458" t="s">
        <v>3054</v>
      </c>
      <c r="I458" t="s">
        <v>246</v>
      </c>
      <c r="J458">
        <v>46</v>
      </c>
      <c r="K458">
        <v>50</v>
      </c>
      <c r="L458">
        <v>-53</v>
      </c>
      <c r="M458">
        <v>50</v>
      </c>
      <c r="N458">
        <v>96</v>
      </c>
      <c r="O458" t="s">
        <v>60</v>
      </c>
      <c r="P458">
        <v>62</v>
      </c>
      <c r="Q458">
        <v>-66</v>
      </c>
      <c r="R458">
        <v>-70</v>
      </c>
      <c r="S458">
        <v>62</v>
      </c>
      <c r="T458">
        <v>0</v>
      </c>
      <c r="U458" t="s">
        <v>55</v>
      </c>
      <c r="V458">
        <f t="shared" si="21"/>
        <v>3</v>
      </c>
      <c r="W458">
        <f t="shared" si="22"/>
        <v>0</v>
      </c>
      <c r="X458">
        <f t="shared" si="23"/>
        <v>0</v>
      </c>
      <c r="Y458">
        <v>112</v>
      </c>
      <c r="Z458">
        <v>96</v>
      </c>
      <c r="AA458" t="s">
        <v>3056</v>
      </c>
      <c r="AB458" t="s">
        <v>3057</v>
      </c>
      <c r="AC458" t="s">
        <v>93</v>
      </c>
      <c r="AD458">
        <v>6</v>
      </c>
      <c r="AE458" t="s">
        <v>479</v>
      </c>
      <c r="AF458" t="s">
        <v>95</v>
      </c>
      <c r="AH458" t="s">
        <v>480</v>
      </c>
      <c r="AI458">
        <v>124.74</v>
      </c>
      <c r="AJ458" t="s">
        <v>132</v>
      </c>
      <c r="AK458" t="s">
        <v>1300</v>
      </c>
      <c r="AL458" t="s">
        <v>1302</v>
      </c>
      <c r="AM458" t="s">
        <v>170</v>
      </c>
      <c r="AN458" s="1">
        <v>45640</v>
      </c>
      <c r="AO458">
        <v>2024</v>
      </c>
      <c r="AP458">
        <v>12</v>
      </c>
      <c r="AQ458" t="s">
        <v>116</v>
      </c>
      <c r="AS458" t="s">
        <v>85</v>
      </c>
      <c r="AT458">
        <v>2025</v>
      </c>
      <c r="AU458" t="s">
        <v>386</v>
      </c>
      <c r="AV458" t="s">
        <v>170</v>
      </c>
      <c r="AW458" t="s">
        <v>3054</v>
      </c>
      <c r="AX458">
        <v>2025</v>
      </c>
      <c r="AY458" t="s">
        <v>3055</v>
      </c>
      <c r="AZ458" t="s">
        <v>3055</v>
      </c>
    </row>
    <row r="459" spans="1:52" x14ac:dyDescent="0.25">
      <c r="A459" t="s">
        <v>3063</v>
      </c>
      <c r="B459" s="1">
        <v>38763</v>
      </c>
      <c r="C459" t="s">
        <v>3064</v>
      </c>
      <c r="D459">
        <v>422253</v>
      </c>
      <c r="E459" t="s">
        <v>46</v>
      </c>
      <c r="F459" t="s">
        <v>954</v>
      </c>
      <c r="G459" t="s">
        <v>419</v>
      </c>
      <c r="H459" t="s">
        <v>3064</v>
      </c>
      <c r="I459" t="s">
        <v>3066</v>
      </c>
      <c r="J459">
        <v>65</v>
      </c>
      <c r="K459">
        <v>68</v>
      </c>
      <c r="L459">
        <v>-70</v>
      </c>
      <c r="M459">
        <v>68</v>
      </c>
      <c r="N459">
        <v>133</v>
      </c>
      <c r="O459" t="s">
        <v>60</v>
      </c>
      <c r="P459">
        <v>80</v>
      </c>
      <c r="Q459">
        <v>85</v>
      </c>
      <c r="R459">
        <v>-90</v>
      </c>
      <c r="S459">
        <v>85</v>
      </c>
      <c r="T459">
        <v>165</v>
      </c>
      <c r="U459" t="s">
        <v>60</v>
      </c>
      <c r="V459">
        <f t="shared" si="21"/>
        <v>4</v>
      </c>
      <c r="W459">
        <f t="shared" si="22"/>
        <v>0</v>
      </c>
      <c r="X459">
        <f t="shared" si="23"/>
        <v>0</v>
      </c>
      <c r="Y459">
        <v>153</v>
      </c>
      <c r="Z459">
        <v>298</v>
      </c>
      <c r="AA459" t="s">
        <v>3067</v>
      </c>
      <c r="AB459" t="s">
        <v>3068</v>
      </c>
      <c r="AC459" t="s">
        <v>89</v>
      </c>
      <c r="AD459">
        <v>5</v>
      </c>
      <c r="AE459" t="s">
        <v>135</v>
      </c>
      <c r="AF459" t="s">
        <v>113</v>
      </c>
      <c r="AH459" t="s">
        <v>1303</v>
      </c>
      <c r="AI459">
        <v>167.31</v>
      </c>
      <c r="AJ459" t="s">
        <v>132</v>
      </c>
      <c r="AK459" t="s">
        <v>954</v>
      </c>
      <c r="AL459" t="s">
        <v>957</v>
      </c>
      <c r="AM459" t="s">
        <v>133</v>
      </c>
      <c r="AN459" s="1">
        <v>45641</v>
      </c>
      <c r="AO459">
        <v>2024</v>
      </c>
      <c r="AP459">
        <v>12</v>
      </c>
      <c r="AQ459" t="s">
        <v>116</v>
      </c>
      <c r="AS459" t="s">
        <v>85</v>
      </c>
      <c r="AT459">
        <v>2025</v>
      </c>
      <c r="AU459" t="s">
        <v>419</v>
      </c>
      <c r="AV459" t="s">
        <v>133</v>
      </c>
      <c r="AW459" t="s">
        <v>3064</v>
      </c>
      <c r="AX459">
        <v>2025</v>
      </c>
      <c r="AY459" t="s">
        <v>3065</v>
      </c>
      <c r="AZ459" t="s">
        <v>3067</v>
      </c>
    </row>
    <row r="460" spans="1:52" x14ac:dyDescent="0.25">
      <c r="A460" t="s">
        <v>3091</v>
      </c>
      <c r="B460" s="1">
        <v>41115</v>
      </c>
      <c r="C460" t="s">
        <v>3092</v>
      </c>
      <c r="D460">
        <v>410123</v>
      </c>
      <c r="E460" t="s">
        <v>46</v>
      </c>
      <c r="F460" t="s">
        <v>199</v>
      </c>
      <c r="G460" t="s">
        <v>968</v>
      </c>
      <c r="H460" t="s">
        <v>3092</v>
      </c>
      <c r="I460" t="s">
        <v>1930</v>
      </c>
      <c r="J460">
        <v>18</v>
      </c>
      <c r="K460">
        <v>20</v>
      </c>
      <c r="L460">
        <v>-22</v>
      </c>
      <c r="M460">
        <v>20</v>
      </c>
      <c r="N460">
        <v>38</v>
      </c>
      <c r="O460" t="s">
        <v>60</v>
      </c>
      <c r="P460">
        <v>26</v>
      </c>
      <c r="Q460">
        <v>28</v>
      </c>
      <c r="R460">
        <v>30</v>
      </c>
      <c r="S460">
        <v>30</v>
      </c>
      <c r="T460">
        <v>58</v>
      </c>
      <c r="U460" t="s">
        <v>48</v>
      </c>
      <c r="V460">
        <f t="shared" si="21"/>
        <v>5</v>
      </c>
      <c r="W460">
        <f t="shared" si="22"/>
        <v>0</v>
      </c>
      <c r="X460">
        <f t="shared" si="23"/>
        <v>0</v>
      </c>
      <c r="Y460">
        <v>50</v>
      </c>
      <c r="Z460">
        <v>96</v>
      </c>
      <c r="AA460" t="s">
        <v>3094</v>
      </c>
      <c r="AB460" t="s">
        <v>3095</v>
      </c>
      <c r="AC460" t="s">
        <v>49</v>
      </c>
      <c r="AD460">
        <v>999</v>
      </c>
      <c r="AE460">
        <v>35</v>
      </c>
      <c r="AF460" t="s">
        <v>50</v>
      </c>
      <c r="AH460" t="s">
        <v>253</v>
      </c>
      <c r="AI460">
        <v>280.45999999999998</v>
      </c>
      <c r="AJ460" t="s">
        <v>52</v>
      </c>
      <c r="AK460" t="s">
        <v>199</v>
      </c>
      <c r="AL460" t="s">
        <v>203</v>
      </c>
      <c r="AM460" t="s">
        <v>53</v>
      </c>
      <c r="AN460" s="1">
        <v>45640</v>
      </c>
      <c r="AO460">
        <v>2024</v>
      </c>
      <c r="AP460">
        <v>12</v>
      </c>
      <c r="AQ460" t="s">
        <v>116</v>
      </c>
      <c r="AS460" t="s">
        <v>85</v>
      </c>
      <c r="AT460">
        <v>2025</v>
      </c>
      <c r="AU460" t="s">
        <v>968</v>
      </c>
      <c r="AV460" t="s">
        <v>54</v>
      </c>
      <c r="AW460" t="s">
        <v>3092</v>
      </c>
      <c r="AX460">
        <v>2025</v>
      </c>
      <c r="AY460" t="s">
        <v>3093</v>
      </c>
      <c r="AZ460" t="s">
        <v>3094</v>
      </c>
    </row>
    <row r="461" spans="1:52" x14ac:dyDescent="0.25">
      <c r="A461" t="s">
        <v>3096</v>
      </c>
      <c r="B461" s="1">
        <v>40240</v>
      </c>
      <c r="C461" t="s">
        <v>3097</v>
      </c>
      <c r="D461">
        <v>482046</v>
      </c>
      <c r="E461" t="s">
        <v>46</v>
      </c>
      <c r="F461" t="s">
        <v>679</v>
      </c>
      <c r="G461" t="s">
        <v>638</v>
      </c>
      <c r="H461" t="s">
        <v>3097</v>
      </c>
      <c r="I461" t="s">
        <v>83</v>
      </c>
      <c r="J461">
        <v>56</v>
      </c>
      <c r="K461">
        <v>60</v>
      </c>
      <c r="L461">
        <v>-63</v>
      </c>
      <c r="M461">
        <v>60</v>
      </c>
      <c r="N461">
        <v>116</v>
      </c>
      <c r="O461" t="s">
        <v>60</v>
      </c>
      <c r="P461">
        <v>75</v>
      </c>
      <c r="Q461">
        <v>-80</v>
      </c>
      <c r="R461">
        <v>80</v>
      </c>
      <c r="S461">
        <v>80</v>
      </c>
      <c r="T461">
        <v>155</v>
      </c>
      <c r="U461" t="s">
        <v>65</v>
      </c>
      <c r="V461">
        <f t="shared" si="21"/>
        <v>4</v>
      </c>
      <c r="W461">
        <f t="shared" si="22"/>
        <v>0</v>
      </c>
      <c r="X461">
        <f t="shared" si="23"/>
        <v>0</v>
      </c>
      <c r="Y461">
        <v>140</v>
      </c>
      <c r="Z461">
        <v>271</v>
      </c>
      <c r="AA461" t="s">
        <v>3098</v>
      </c>
      <c r="AB461" t="s">
        <v>3099</v>
      </c>
      <c r="AC461" t="s">
        <v>94</v>
      </c>
      <c r="AD461">
        <v>4</v>
      </c>
      <c r="AE461">
        <v>55</v>
      </c>
      <c r="AF461" t="s">
        <v>57</v>
      </c>
      <c r="AH461" t="s">
        <v>61</v>
      </c>
      <c r="AI461">
        <v>241.21</v>
      </c>
      <c r="AJ461" t="s">
        <v>52</v>
      </c>
      <c r="AK461" t="s">
        <v>679</v>
      </c>
      <c r="AL461" t="s">
        <v>682</v>
      </c>
      <c r="AM461" t="s">
        <v>128</v>
      </c>
      <c r="AN461" s="1">
        <v>45641</v>
      </c>
      <c r="AO461">
        <v>2024</v>
      </c>
      <c r="AP461">
        <v>12</v>
      </c>
      <c r="AQ461" t="s">
        <v>116</v>
      </c>
      <c r="AS461" t="s">
        <v>85</v>
      </c>
      <c r="AT461">
        <v>2025</v>
      </c>
      <c r="AU461" t="s">
        <v>638</v>
      </c>
      <c r="AV461" t="s">
        <v>128</v>
      </c>
      <c r="AW461" t="s">
        <v>3097</v>
      </c>
      <c r="AX461">
        <v>2025</v>
      </c>
      <c r="AY461" t="s">
        <v>3098</v>
      </c>
      <c r="AZ461" t="s">
        <v>3098</v>
      </c>
    </row>
    <row r="462" spans="1:52" x14ac:dyDescent="0.25">
      <c r="A462" t="s">
        <v>3069</v>
      </c>
      <c r="B462" s="1">
        <v>36119</v>
      </c>
      <c r="C462" t="s">
        <v>3070</v>
      </c>
      <c r="D462">
        <v>481149</v>
      </c>
      <c r="E462" t="s">
        <v>46</v>
      </c>
      <c r="F462" t="s">
        <v>338</v>
      </c>
      <c r="G462" t="s">
        <v>251</v>
      </c>
      <c r="H462" t="s">
        <v>3070</v>
      </c>
      <c r="I462" t="s">
        <v>497</v>
      </c>
      <c r="J462">
        <v>56</v>
      </c>
      <c r="K462">
        <v>-60</v>
      </c>
      <c r="L462">
        <v>61</v>
      </c>
      <c r="M462">
        <v>61</v>
      </c>
      <c r="N462">
        <v>117</v>
      </c>
      <c r="O462" t="s">
        <v>65</v>
      </c>
      <c r="P462">
        <v>72</v>
      </c>
      <c r="Q462">
        <v>-77</v>
      </c>
      <c r="R462">
        <v>-80</v>
      </c>
      <c r="S462">
        <v>72</v>
      </c>
      <c r="T462">
        <v>0</v>
      </c>
      <c r="U462" t="s">
        <v>55</v>
      </c>
      <c r="V462">
        <f t="shared" si="21"/>
        <v>3</v>
      </c>
      <c r="W462">
        <f t="shared" si="22"/>
        <v>0</v>
      </c>
      <c r="X462">
        <f t="shared" si="23"/>
        <v>0</v>
      </c>
      <c r="Y462">
        <v>133</v>
      </c>
      <c r="Z462">
        <v>117</v>
      </c>
      <c r="AA462" t="s">
        <v>3072</v>
      </c>
      <c r="AB462" t="s">
        <v>2980</v>
      </c>
      <c r="AC462" t="s">
        <v>93</v>
      </c>
      <c r="AD462">
        <v>6</v>
      </c>
      <c r="AE462">
        <v>71</v>
      </c>
      <c r="AF462" t="s">
        <v>126</v>
      </c>
      <c r="AH462" t="s">
        <v>226</v>
      </c>
      <c r="AI462">
        <v>171.97</v>
      </c>
      <c r="AJ462" t="s">
        <v>132</v>
      </c>
      <c r="AK462" t="s">
        <v>338</v>
      </c>
      <c r="AL462" t="s">
        <v>340</v>
      </c>
      <c r="AM462" t="s">
        <v>128</v>
      </c>
      <c r="AN462" s="1">
        <v>45640</v>
      </c>
      <c r="AO462">
        <v>2024</v>
      </c>
      <c r="AP462">
        <v>12</v>
      </c>
      <c r="AQ462" t="s">
        <v>116</v>
      </c>
      <c r="AS462" t="s">
        <v>85</v>
      </c>
      <c r="AT462">
        <v>2025</v>
      </c>
      <c r="AU462" t="s">
        <v>251</v>
      </c>
      <c r="AV462" t="s">
        <v>128</v>
      </c>
      <c r="AW462" t="s">
        <v>3070</v>
      </c>
      <c r="AX462">
        <v>2025</v>
      </c>
      <c r="AY462" t="s">
        <v>3071</v>
      </c>
      <c r="AZ462" t="s">
        <v>3071</v>
      </c>
    </row>
    <row r="463" spans="1:52" x14ac:dyDescent="0.25">
      <c r="A463" t="s">
        <v>3073</v>
      </c>
      <c r="B463" s="1">
        <v>41149</v>
      </c>
      <c r="C463" t="s">
        <v>3074</v>
      </c>
      <c r="D463">
        <v>493677</v>
      </c>
      <c r="E463" t="s">
        <v>46</v>
      </c>
      <c r="F463" t="s">
        <v>867</v>
      </c>
      <c r="G463" t="s">
        <v>255</v>
      </c>
      <c r="H463" t="s">
        <v>3074</v>
      </c>
      <c r="I463" t="s">
        <v>208</v>
      </c>
      <c r="J463">
        <v>-15</v>
      </c>
      <c r="K463">
        <v>15</v>
      </c>
      <c r="L463">
        <v>-16</v>
      </c>
      <c r="M463">
        <v>15</v>
      </c>
      <c r="N463">
        <v>0</v>
      </c>
      <c r="O463" t="s">
        <v>104</v>
      </c>
      <c r="P463">
        <v>20</v>
      </c>
      <c r="Q463">
        <v>-22</v>
      </c>
      <c r="R463">
        <v>-22</v>
      </c>
      <c r="S463">
        <v>20</v>
      </c>
      <c r="T463">
        <v>0</v>
      </c>
      <c r="U463" t="s">
        <v>55</v>
      </c>
      <c r="V463">
        <f t="shared" si="21"/>
        <v>2</v>
      </c>
      <c r="W463">
        <f t="shared" si="22"/>
        <v>0</v>
      </c>
      <c r="X463">
        <f t="shared" si="23"/>
        <v>0</v>
      </c>
      <c r="Y463">
        <v>35</v>
      </c>
      <c r="Z463">
        <v>0</v>
      </c>
      <c r="AA463" t="s">
        <v>3077</v>
      </c>
      <c r="AB463" t="s">
        <v>99</v>
      </c>
      <c r="AC463" t="s">
        <v>49</v>
      </c>
      <c r="AD463">
        <v>999</v>
      </c>
      <c r="AE463">
        <v>45</v>
      </c>
      <c r="AF463" t="s">
        <v>50</v>
      </c>
      <c r="AH463" t="s">
        <v>206</v>
      </c>
      <c r="AI463">
        <v>0</v>
      </c>
      <c r="AJ463" t="s">
        <v>132</v>
      </c>
      <c r="AK463" t="s">
        <v>867</v>
      </c>
      <c r="AL463" t="s">
        <v>869</v>
      </c>
      <c r="AM463" t="s">
        <v>68</v>
      </c>
      <c r="AN463" s="1">
        <v>45641</v>
      </c>
      <c r="AO463">
        <v>2024</v>
      </c>
      <c r="AP463">
        <v>12</v>
      </c>
      <c r="AQ463" t="s">
        <v>116</v>
      </c>
      <c r="AS463" t="s">
        <v>85</v>
      </c>
      <c r="AT463">
        <v>2025</v>
      </c>
      <c r="AU463" t="s">
        <v>255</v>
      </c>
      <c r="AV463" t="s">
        <v>68</v>
      </c>
      <c r="AW463" t="s">
        <v>3074</v>
      </c>
      <c r="AX463">
        <v>2025</v>
      </c>
      <c r="AY463" t="s">
        <v>3075</v>
      </c>
      <c r="AZ463" t="s">
        <v>3076</v>
      </c>
    </row>
    <row r="464" spans="1:52" x14ac:dyDescent="0.25">
      <c r="A464" t="s">
        <v>3078</v>
      </c>
      <c r="B464" s="1">
        <v>35193</v>
      </c>
      <c r="C464" t="s">
        <v>3079</v>
      </c>
      <c r="D464">
        <v>390273</v>
      </c>
      <c r="E464" t="s">
        <v>46</v>
      </c>
      <c r="F464" t="s">
        <v>990</v>
      </c>
      <c r="G464" t="s">
        <v>258</v>
      </c>
      <c r="H464" t="s">
        <v>3079</v>
      </c>
      <c r="I464">
        <v>63</v>
      </c>
      <c r="J464">
        <v>70</v>
      </c>
      <c r="K464">
        <v>75</v>
      </c>
      <c r="L464">
        <v>0</v>
      </c>
      <c r="M464">
        <v>75</v>
      </c>
      <c r="N464">
        <v>145</v>
      </c>
      <c r="O464" t="s">
        <v>60</v>
      </c>
      <c r="P464">
        <v>90</v>
      </c>
      <c r="Q464">
        <v>0</v>
      </c>
      <c r="R464">
        <v>0</v>
      </c>
      <c r="S464">
        <v>90</v>
      </c>
      <c r="T464">
        <v>0</v>
      </c>
      <c r="U464" t="s">
        <v>55</v>
      </c>
      <c r="V464">
        <f t="shared" si="21"/>
        <v>3</v>
      </c>
      <c r="W464">
        <f t="shared" si="22"/>
        <v>0</v>
      </c>
      <c r="X464">
        <f t="shared" si="23"/>
        <v>0</v>
      </c>
      <c r="Y464">
        <v>165</v>
      </c>
      <c r="Z464">
        <v>145</v>
      </c>
      <c r="AA464" t="s">
        <v>2887</v>
      </c>
      <c r="AB464" t="s">
        <v>3052</v>
      </c>
      <c r="AC464" t="s">
        <v>94</v>
      </c>
      <c r="AD464">
        <v>4</v>
      </c>
      <c r="AE464">
        <v>64</v>
      </c>
      <c r="AF464" t="s">
        <v>126</v>
      </c>
      <c r="AH464" t="s">
        <v>167</v>
      </c>
      <c r="AI464">
        <v>216.59</v>
      </c>
      <c r="AJ464" t="s">
        <v>132</v>
      </c>
      <c r="AK464" t="s">
        <v>990</v>
      </c>
      <c r="AL464" t="s">
        <v>993</v>
      </c>
      <c r="AM464" t="s">
        <v>145</v>
      </c>
      <c r="AN464" s="1">
        <v>45640</v>
      </c>
      <c r="AO464">
        <v>2024</v>
      </c>
      <c r="AP464">
        <v>12</v>
      </c>
      <c r="AQ464" t="s">
        <v>116</v>
      </c>
      <c r="AS464" t="s">
        <v>85</v>
      </c>
      <c r="AT464">
        <v>2025</v>
      </c>
      <c r="AU464" t="s">
        <v>258</v>
      </c>
      <c r="AV464" t="s">
        <v>128</v>
      </c>
      <c r="AW464" t="s">
        <v>3079</v>
      </c>
      <c r="AX464">
        <v>2025</v>
      </c>
      <c r="AY464" t="s">
        <v>3080</v>
      </c>
      <c r="AZ464" t="s">
        <v>3080</v>
      </c>
    </row>
    <row r="465" spans="1:52" x14ac:dyDescent="0.25">
      <c r="A465" t="s">
        <v>3081</v>
      </c>
      <c r="B465" s="1">
        <v>40319</v>
      </c>
      <c r="C465" t="s">
        <v>3082</v>
      </c>
      <c r="D465">
        <v>477508</v>
      </c>
      <c r="E465" t="s">
        <v>46</v>
      </c>
      <c r="F465" t="s">
        <v>263</v>
      </c>
      <c r="G465" t="s">
        <v>544</v>
      </c>
      <c r="H465" t="s">
        <v>3082</v>
      </c>
      <c r="I465" t="s">
        <v>1195</v>
      </c>
      <c r="J465">
        <v>47</v>
      </c>
      <c r="K465">
        <v>50</v>
      </c>
      <c r="L465">
        <v>53</v>
      </c>
      <c r="M465">
        <v>53</v>
      </c>
      <c r="N465">
        <v>103</v>
      </c>
      <c r="O465" t="s">
        <v>48</v>
      </c>
      <c r="P465">
        <v>60</v>
      </c>
      <c r="Q465">
        <v>63</v>
      </c>
      <c r="R465">
        <v>-65</v>
      </c>
      <c r="S465">
        <v>63</v>
      </c>
      <c r="T465">
        <v>123</v>
      </c>
      <c r="U465" t="s">
        <v>60</v>
      </c>
      <c r="V465">
        <f t="shared" si="21"/>
        <v>5</v>
      </c>
      <c r="W465">
        <f t="shared" si="22"/>
        <v>0</v>
      </c>
      <c r="X465">
        <f t="shared" si="23"/>
        <v>0</v>
      </c>
      <c r="Y465">
        <v>116</v>
      </c>
      <c r="Z465">
        <v>226</v>
      </c>
      <c r="AA465" t="s">
        <v>3083</v>
      </c>
      <c r="AB465" t="s">
        <v>3084</v>
      </c>
      <c r="AC465" t="s">
        <v>98</v>
      </c>
      <c r="AD465">
        <v>3</v>
      </c>
      <c r="AE465">
        <v>49</v>
      </c>
      <c r="AF465" t="s">
        <v>57</v>
      </c>
      <c r="AH465" t="s">
        <v>784</v>
      </c>
      <c r="AI465">
        <v>189.79</v>
      </c>
      <c r="AJ465" t="s">
        <v>132</v>
      </c>
      <c r="AK465" t="s">
        <v>263</v>
      </c>
      <c r="AL465" t="s">
        <v>267</v>
      </c>
      <c r="AM465" t="s">
        <v>145</v>
      </c>
      <c r="AN465" s="1">
        <v>45640</v>
      </c>
      <c r="AO465">
        <v>2024</v>
      </c>
      <c r="AP465">
        <v>12</v>
      </c>
      <c r="AQ465" t="s">
        <v>116</v>
      </c>
      <c r="AS465" t="s">
        <v>85</v>
      </c>
      <c r="AT465">
        <v>2025</v>
      </c>
      <c r="AU465" t="s">
        <v>544</v>
      </c>
      <c r="AV465" t="s">
        <v>145</v>
      </c>
      <c r="AW465" t="s">
        <v>3082</v>
      </c>
      <c r="AX465">
        <v>2025</v>
      </c>
      <c r="AY465" t="s">
        <v>3083</v>
      </c>
      <c r="AZ465" t="s">
        <v>3083</v>
      </c>
    </row>
    <row r="466" spans="1:52" x14ac:dyDescent="0.25">
      <c r="A466" t="s">
        <v>3087</v>
      </c>
      <c r="B466" s="1">
        <v>38741</v>
      </c>
      <c r="C466" t="s">
        <v>3088</v>
      </c>
      <c r="D466">
        <v>500986</v>
      </c>
      <c r="E466" t="s">
        <v>46</v>
      </c>
      <c r="F466" t="s">
        <v>679</v>
      </c>
      <c r="G466" t="s">
        <v>606</v>
      </c>
      <c r="H466" t="s">
        <v>3088</v>
      </c>
      <c r="I466" t="s">
        <v>657</v>
      </c>
      <c r="J466">
        <v>88</v>
      </c>
      <c r="K466">
        <v>91</v>
      </c>
      <c r="L466">
        <v>95</v>
      </c>
      <c r="M466">
        <v>95</v>
      </c>
      <c r="N466">
        <v>186</v>
      </c>
      <c r="O466" t="s">
        <v>48</v>
      </c>
      <c r="P466">
        <v>110</v>
      </c>
      <c r="Q466">
        <v>115</v>
      </c>
      <c r="R466">
        <v>-120</v>
      </c>
      <c r="S466">
        <v>115</v>
      </c>
      <c r="T466">
        <v>225</v>
      </c>
      <c r="U466" t="s">
        <v>60</v>
      </c>
      <c r="V466">
        <f t="shared" si="21"/>
        <v>5</v>
      </c>
      <c r="W466">
        <f t="shared" si="22"/>
        <v>0</v>
      </c>
      <c r="X466">
        <f t="shared" si="23"/>
        <v>0</v>
      </c>
      <c r="Y466">
        <v>210</v>
      </c>
      <c r="Z466">
        <v>411</v>
      </c>
      <c r="AA466" t="s">
        <v>3089</v>
      </c>
      <c r="AB466" t="s">
        <v>3090</v>
      </c>
      <c r="AC466" t="s">
        <v>89</v>
      </c>
      <c r="AD466">
        <v>5</v>
      </c>
      <c r="AE466">
        <v>73</v>
      </c>
      <c r="AF466" t="s">
        <v>113</v>
      </c>
      <c r="AH466" t="s">
        <v>218</v>
      </c>
      <c r="AI466">
        <v>287.24</v>
      </c>
      <c r="AJ466" t="s">
        <v>52</v>
      </c>
      <c r="AK466" t="s">
        <v>679</v>
      </c>
      <c r="AL466" t="s">
        <v>682</v>
      </c>
      <c r="AM466" t="s">
        <v>128</v>
      </c>
      <c r="AN466" s="1">
        <v>45641</v>
      </c>
      <c r="AO466">
        <v>2024</v>
      </c>
      <c r="AP466">
        <v>12</v>
      </c>
      <c r="AQ466" t="s">
        <v>116</v>
      </c>
      <c r="AS466" t="s">
        <v>85</v>
      </c>
      <c r="AT466">
        <v>2025</v>
      </c>
      <c r="AU466" t="s">
        <v>606</v>
      </c>
      <c r="AV466" t="s">
        <v>128</v>
      </c>
      <c r="AW466" t="s">
        <v>3088</v>
      </c>
      <c r="AX466">
        <v>2025</v>
      </c>
      <c r="AY466" t="s">
        <v>3089</v>
      </c>
      <c r="AZ466" t="s">
        <v>3089</v>
      </c>
    </row>
    <row r="467" spans="1:52" x14ac:dyDescent="0.25">
      <c r="A467" t="s">
        <v>3100</v>
      </c>
      <c r="B467" s="1">
        <v>39540</v>
      </c>
      <c r="C467" t="s">
        <v>3101</v>
      </c>
      <c r="D467">
        <v>494716</v>
      </c>
      <c r="E467" t="s">
        <v>46</v>
      </c>
      <c r="F467" t="s">
        <v>529</v>
      </c>
      <c r="G467" t="s">
        <v>589</v>
      </c>
      <c r="H467" t="s">
        <v>3101</v>
      </c>
      <c r="I467" t="s">
        <v>3103</v>
      </c>
      <c r="J467">
        <v>40</v>
      </c>
      <c r="K467">
        <v>-42</v>
      </c>
      <c r="L467">
        <v>-42</v>
      </c>
      <c r="M467">
        <v>40</v>
      </c>
      <c r="N467">
        <v>0</v>
      </c>
      <c r="O467" t="s">
        <v>55</v>
      </c>
      <c r="P467">
        <v>52</v>
      </c>
      <c r="Q467">
        <v>55</v>
      </c>
      <c r="R467">
        <v>-57</v>
      </c>
      <c r="S467">
        <v>55</v>
      </c>
      <c r="T467">
        <v>107</v>
      </c>
      <c r="U467" t="s">
        <v>60</v>
      </c>
      <c r="V467">
        <f t="shared" si="21"/>
        <v>3</v>
      </c>
      <c r="W467">
        <f t="shared" si="22"/>
        <v>0</v>
      </c>
      <c r="X467">
        <f t="shared" si="23"/>
        <v>0</v>
      </c>
      <c r="Y467">
        <v>95</v>
      </c>
      <c r="Z467">
        <v>107</v>
      </c>
      <c r="AA467" t="s">
        <v>3102</v>
      </c>
      <c r="AB467" t="s">
        <v>3104</v>
      </c>
      <c r="AC467" t="s">
        <v>93</v>
      </c>
      <c r="AD467">
        <v>6</v>
      </c>
      <c r="AE467">
        <v>55</v>
      </c>
      <c r="AF467" t="s">
        <v>95</v>
      </c>
      <c r="AH467" t="s">
        <v>175</v>
      </c>
      <c r="AI467">
        <v>140.05000000000001</v>
      </c>
      <c r="AJ467" t="s">
        <v>132</v>
      </c>
      <c r="AK467" t="s">
        <v>529</v>
      </c>
      <c r="AL467" t="s">
        <v>531</v>
      </c>
      <c r="AM467" t="s">
        <v>68</v>
      </c>
      <c r="AN467" s="1">
        <v>45640</v>
      </c>
      <c r="AO467">
        <v>2024</v>
      </c>
      <c r="AP467">
        <v>12</v>
      </c>
      <c r="AQ467" t="s">
        <v>116</v>
      </c>
      <c r="AS467" t="s">
        <v>85</v>
      </c>
      <c r="AT467">
        <v>2025</v>
      </c>
      <c r="AU467" t="s">
        <v>589</v>
      </c>
      <c r="AV467" t="s">
        <v>68</v>
      </c>
      <c r="AW467" t="s">
        <v>3101</v>
      </c>
      <c r="AX467">
        <v>2025</v>
      </c>
      <c r="AY467" t="s">
        <v>3102</v>
      </c>
      <c r="AZ467" t="s">
        <v>3102</v>
      </c>
    </row>
    <row r="468" spans="1:52" x14ac:dyDescent="0.25">
      <c r="A468" t="s">
        <v>3168</v>
      </c>
      <c r="B468" s="1">
        <v>41047</v>
      </c>
      <c r="C468" t="s">
        <v>3169</v>
      </c>
      <c r="D468">
        <v>482649</v>
      </c>
      <c r="E468" t="s">
        <v>46</v>
      </c>
      <c r="F468" t="s">
        <v>964</v>
      </c>
      <c r="G468" t="s">
        <v>469</v>
      </c>
      <c r="H468" t="s">
        <v>3169</v>
      </c>
      <c r="I468">
        <v>50</v>
      </c>
      <c r="J468">
        <v>37</v>
      </c>
      <c r="K468">
        <v>39</v>
      </c>
      <c r="L468">
        <v>41</v>
      </c>
      <c r="M468">
        <v>41</v>
      </c>
      <c r="N468">
        <v>80</v>
      </c>
      <c r="O468" t="s">
        <v>48</v>
      </c>
      <c r="P468">
        <v>48</v>
      </c>
      <c r="Q468">
        <v>50</v>
      </c>
      <c r="R468">
        <v>52</v>
      </c>
      <c r="S468">
        <v>52</v>
      </c>
      <c r="T468">
        <v>102</v>
      </c>
      <c r="U468" t="s">
        <v>48</v>
      </c>
      <c r="V468">
        <f t="shared" si="21"/>
        <v>6</v>
      </c>
      <c r="W468">
        <f t="shared" si="22"/>
        <v>0</v>
      </c>
      <c r="X468">
        <f t="shared" si="23"/>
        <v>0</v>
      </c>
      <c r="Y468">
        <v>93</v>
      </c>
      <c r="Z468">
        <v>182</v>
      </c>
      <c r="AA468" t="s">
        <v>3170</v>
      </c>
      <c r="AB468" t="s">
        <v>3171</v>
      </c>
      <c r="AC468" t="s">
        <v>49</v>
      </c>
      <c r="AD468">
        <v>999</v>
      </c>
      <c r="AE468">
        <v>55</v>
      </c>
      <c r="AF468" t="s">
        <v>50</v>
      </c>
      <c r="AH468" t="s">
        <v>82</v>
      </c>
      <c r="AI468">
        <v>323.52999999999997</v>
      </c>
      <c r="AJ468" t="s">
        <v>52</v>
      </c>
      <c r="AK468" t="s">
        <v>964</v>
      </c>
      <c r="AL468" t="s">
        <v>967</v>
      </c>
      <c r="AM468" t="s">
        <v>68</v>
      </c>
      <c r="AN468" s="1">
        <v>45641</v>
      </c>
      <c r="AO468">
        <v>2024</v>
      </c>
      <c r="AP468">
        <v>12</v>
      </c>
      <c r="AQ468" t="s">
        <v>116</v>
      </c>
      <c r="AS468" t="s">
        <v>85</v>
      </c>
      <c r="AT468">
        <v>2025</v>
      </c>
      <c r="AU468" t="s">
        <v>469</v>
      </c>
      <c r="AV468" t="s">
        <v>68</v>
      </c>
      <c r="AW468" t="s">
        <v>3169</v>
      </c>
      <c r="AX468">
        <v>2025</v>
      </c>
      <c r="AY468" t="s">
        <v>3170</v>
      </c>
      <c r="AZ468" t="s">
        <v>3170</v>
      </c>
    </row>
    <row r="469" spans="1:52" x14ac:dyDescent="0.25">
      <c r="A469" t="s">
        <v>3143</v>
      </c>
      <c r="B469" s="1">
        <v>36201</v>
      </c>
      <c r="C469" t="s">
        <v>3144</v>
      </c>
      <c r="D469">
        <v>467989</v>
      </c>
      <c r="E469" t="s">
        <v>46</v>
      </c>
      <c r="F469" t="s">
        <v>109</v>
      </c>
      <c r="G469" t="s">
        <v>1552</v>
      </c>
      <c r="H469" t="s">
        <v>3144</v>
      </c>
      <c r="I469" t="s">
        <v>3146</v>
      </c>
      <c r="J469">
        <v>110</v>
      </c>
      <c r="K469">
        <v>-114</v>
      </c>
      <c r="L469">
        <v>-115</v>
      </c>
      <c r="M469">
        <v>110</v>
      </c>
      <c r="N469">
        <v>0</v>
      </c>
      <c r="O469" t="s">
        <v>55</v>
      </c>
      <c r="P469">
        <v>130</v>
      </c>
      <c r="Q469">
        <v>135</v>
      </c>
      <c r="R469">
        <v>140</v>
      </c>
      <c r="S469">
        <v>140</v>
      </c>
      <c r="T469">
        <v>275</v>
      </c>
      <c r="U469" t="s">
        <v>48</v>
      </c>
      <c r="V469">
        <f t="shared" si="21"/>
        <v>4</v>
      </c>
      <c r="W469">
        <f t="shared" si="22"/>
        <v>0</v>
      </c>
      <c r="X469">
        <f t="shared" si="23"/>
        <v>0</v>
      </c>
      <c r="Y469">
        <v>250</v>
      </c>
      <c r="Z469">
        <v>275</v>
      </c>
      <c r="AA469" t="s">
        <v>3145</v>
      </c>
      <c r="AB469" t="s">
        <v>3147</v>
      </c>
      <c r="AC469" t="s">
        <v>93</v>
      </c>
      <c r="AD469">
        <v>6</v>
      </c>
      <c r="AE469">
        <v>89</v>
      </c>
      <c r="AF469" t="s">
        <v>126</v>
      </c>
      <c r="AH469" t="s">
        <v>155</v>
      </c>
      <c r="AI469">
        <v>302.97000000000003</v>
      </c>
      <c r="AJ469" t="s">
        <v>52</v>
      </c>
      <c r="AK469" t="s">
        <v>109</v>
      </c>
      <c r="AL469" t="s">
        <v>115</v>
      </c>
      <c r="AM469" t="s">
        <v>90</v>
      </c>
      <c r="AN469" s="1">
        <v>45639</v>
      </c>
      <c r="AO469">
        <v>2024</v>
      </c>
      <c r="AP469">
        <v>12</v>
      </c>
      <c r="AQ469" t="s">
        <v>116</v>
      </c>
      <c r="AS469" t="s">
        <v>85</v>
      </c>
      <c r="AT469">
        <v>2025</v>
      </c>
      <c r="AU469" t="s">
        <v>1552</v>
      </c>
      <c r="AV469" t="s">
        <v>91</v>
      </c>
      <c r="AW469" t="s">
        <v>3144</v>
      </c>
      <c r="AX469">
        <v>2025</v>
      </c>
      <c r="AY469" t="s">
        <v>3145</v>
      </c>
      <c r="AZ469" t="s">
        <v>3145</v>
      </c>
    </row>
    <row r="470" spans="1:52" x14ac:dyDescent="0.25">
      <c r="A470" t="s">
        <v>3117</v>
      </c>
      <c r="B470" s="1">
        <v>39892</v>
      </c>
      <c r="C470" t="s">
        <v>3118</v>
      </c>
      <c r="D470">
        <v>473000</v>
      </c>
      <c r="E470" t="s">
        <v>46</v>
      </c>
      <c r="F470" t="s">
        <v>390</v>
      </c>
      <c r="G470" t="s">
        <v>386</v>
      </c>
      <c r="H470" t="s">
        <v>3118</v>
      </c>
      <c r="I470" t="s">
        <v>3120</v>
      </c>
      <c r="J470">
        <v>102</v>
      </c>
      <c r="K470">
        <v>107</v>
      </c>
      <c r="L470">
        <v>-111</v>
      </c>
      <c r="M470">
        <v>107</v>
      </c>
      <c r="N470">
        <v>209</v>
      </c>
      <c r="O470" t="s">
        <v>60</v>
      </c>
      <c r="P470">
        <v>130</v>
      </c>
      <c r="Q470">
        <v>136</v>
      </c>
      <c r="R470">
        <v>-141</v>
      </c>
      <c r="S470">
        <v>136</v>
      </c>
      <c r="T470">
        <v>266</v>
      </c>
      <c r="U470" t="s">
        <v>60</v>
      </c>
      <c r="V470">
        <f t="shared" si="21"/>
        <v>4</v>
      </c>
      <c r="W470">
        <f t="shared" si="22"/>
        <v>0</v>
      </c>
      <c r="X470">
        <f t="shared" si="23"/>
        <v>0</v>
      </c>
      <c r="Y470">
        <v>243</v>
      </c>
      <c r="Z470">
        <v>475</v>
      </c>
      <c r="AA470" t="s">
        <v>3121</v>
      </c>
      <c r="AB470" t="s">
        <v>3122</v>
      </c>
      <c r="AC470" t="s">
        <v>94</v>
      </c>
      <c r="AD470">
        <v>4</v>
      </c>
      <c r="AE470" t="s">
        <v>1010</v>
      </c>
      <c r="AF470" t="s">
        <v>95</v>
      </c>
      <c r="AH470" t="s">
        <v>1918</v>
      </c>
      <c r="AI470">
        <v>266.87</v>
      </c>
      <c r="AJ470" t="s">
        <v>52</v>
      </c>
      <c r="AK470" t="s">
        <v>390</v>
      </c>
      <c r="AL470" t="s">
        <v>392</v>
      </c>
      <c r="AM470" t="s">
        <v>170</v>
      </c>
      <c r="AN470" s="1">
        <v>45641</v>
      </c>
      <c r="AO470">
        <v>2024</v>
      </c>
      <c r="AP470">
        <v>12</v>
      </c>
      <c r="AQ470" t="s">
        <v>116</v>
      </c>
      <c r="AS470" t="s">
        <v>85</v>
      </c>
      <c r="AT470">
        <v>2025</v>
      </c>
      <c r="AU470" t="s">
        <v>386</v>
      </c>
      <c r="AV470" t="s">
        <v>170</v>
      </c>
      <c r="AW470" t="s">
        <v>3118</v>
      </c>
      <c r="AX470">
        <v>2025</v>
      </c>
      <c r="AY470" t="s">
        <v>3119</v>
      </c>
      <c r="AZ470" t="s">
        <v>3119</v>
      </c>
    </row>
    <row r="471" spans="1:52" x14ac:dyDescent="0.25">
      <c r="A471" t="s">
        <v>3123</v>
      </c>
      <c r="B471" s="1">
        <v>40273</v>
      </c>
      <c r="C471" t="s">
        <v>3124</v>
      </c>
      <c r="D471">
        <v>472933</v>
      </c>
      <c r="E471" t="s">
        <v>46</v>
      </c>
      <c r="F471" t="s">
        <v>1240</v>
      </c>
      <c r="G471" t="s">
        <v>419</v>
      </c>
      <c r="H471" t="s">
        <v>3124</v>
      </c>
      <c r="I471" t="s">
        <v>2796</v>
      </c>
      <c r="J471">
        <v>-73</v>
      </c>
      <c r="K471">
        <v>73</v>
      </c>
      <c r="L471">
        <v>76</v>
      </c>
      <c r="M471">
        <v>76</v>
      </c>
      <c r="N471">
        <v>149</v>
      </c>
      <c r="O471" t="s">
        <v>63</v>
      </c>
      <c r="P471">
        <v>86</v>
      </c>
      <c r="Q471">
        <v>90</v>
      </c>
      <c r="R471">
        <v>94</v>
      </c>
      <c r="S471">
        <v>94</v>
      </c>
      <c r="T471">
        <v>184</v>
      </c>
      <c r="U471" t="s">
        <v>48</v>
      </c>
      <c r="V471">
        <f t="shared" si="21"/>
        <v>5</v>
      </c>
      <c r="W471">
        <f t="shared" si="22"/>
        <v>0</v>
      </c>
      <c r="X471">
        <f t="shared" si="23"/>
        <v>0</v>
      </c>
      <c r="Y471">
        <v>170</v>
      </c>
      <c r="Z471">
        <v>333</v>
      </c>
      <c r="AA471" t="s">
        <v>3125</v>
      </c>
      <c r="AB471" t="s">
        <v>3126</v>
      </c>
      <c r="AC471" t="s">
        <v>184</v>
      </c>
      <c r="AD471">
        <v>2</v>
      </c>
      <c r="AE471">
        <v>55</v>
      </c>
      <c r="AF471" t="s">
        <v>57</v>
      </c>
      <c r="AH471" t="s">
        <v>61</v>
      </c>
      <c r="AI471">
        <v>282.70999999999998</v>
      </c>
      <c r="AJ471" t="s">
        <v>52</v>
      </c>
      <c r="AK471" t="s">
        <v>1240</v>
      </c>
      <c r="AL471" t="s">
        <v>1243</v>
      </c>
      <c r="AM471" t="s">
        <v>133</v>
      </c>
      <c r="AN471" s="1">
        <v>45641</v>
      </c>
      <c r="AO471">
        <v>2024</v>
      </c>
      <c r="AP471">
        <v>12</v>
      </c>
      <c r="AQ471" t="s">
        <v>116</v>
      </c>
      <c r="AS471" t="s">
        <v>85</v>
      </c>
      <c r="AT471">
        <v>2025</v>
      </c>
      <c r="AU471" t="s">
        <v>419</v>
      </c>
      <c r="AV471" t="s">
        <v>133</v>
      </c>
      <c r="AW471" t="s">
        <v>3124</v>
      </c>
      <c r="AX471">
        <v>2025</v>
      </c>
      <c r="AY471" t="s">
        <v>3125</v>
      </c>
      <c r="AZ471" t="s">
        <v>3125</v>
      </c>
    </row>
    <row r="472" spans="1:52" x14ac:dyDescent="0.25">
      <c r="A472" t="s">
        <v>3127</v>
      </c>
      <c r="B472" s="1">
        <v>39527</v>
      </c>
      <c r="C472" t="s">
        <v>3128</v>
      </c>
      <c r="D472">
        <v>431583</v>
      </c>
      <c r="E472" t="s">
        <v>46</v>
      </c>
      <c r="F472" t="s">
        <v>559</v>
      </c>
      <c r="G472" t="s">
        <v>300</v>
      </c>
      <c r="H472" t="s">
        <v>3128</v>
      </c>
      <c r="I472">
        <v>70</v>
      </c>
      <c r="J472">
        <v>81</v>
      </c>
      <c r="K472">
        <v>84</v>
      </c>
      <c r="L472">
        <v>87</v>
      </c>
      <c r="M472">
        <v>87</v>
      </c>
      <c r="N472">
        <v>171</v>
      </c>
      <c r="O472" t="s">
        <v>48</v>
      </c>
      <c r="P472">
        <v>96</v>
      </c>
      <c r="Q472">
        <v>100</v>
      </c>
      <c r="R472">
        <v>-103</v>
      </c>
      <c r="S472">
        <v>100</v>
      </c>
      <c r="T472">
        <v>196</v>
      </c>
      <c r="U472" t="s">
        <v>60</v>
      </c>
      <c r="V472">
        <f t="shared" si="21"/>
        <v>5</v>
      </c>
      <c r="W472">
        <f t="shared" si="22"/>
        <v>0</v>
      </c>
      <c r="X472">
        <f t="shared" si="23"/>
        <v>0</v>
      </c>
      <c r="Y472">
        <v>187</v>
      </c>
      <c r="Z472">
        <v>367</v>
      </c>
      <c r="AA472" t="s">
        <v>3129</v>
      </c>
      <c r="AB472" t="s">
        <v>3130</v>
      </c>
      <c r="AC472" t="s">
        <v>89</v>
      </c>
      <c r="AD472">
        <v>5</v>
      </c>
      <c r="AE472">
        <v>73</v>
      </c>
      <c r="AF472" t="s">
        <v>95</v>
      </c>
      <c r="AH472" t="s">
        <v>276</v>
      </c>
      <c r="AI472">
        <v>258.77999999999997</v>
      </c>
      <c r="AJ472" t="s">
        <v>52</v>
      </c>
      <c r="AK472" t="s">
        <v>559</v>
      </c>
      <c r="AL472" t="s">
        <v>562</v>
      </c>
      <c r="AM472" t="s">
        <v>302</v>
      </c>
      <c r="AN472" s="1">
        <v>45640</v>
      </c>
      <c r="AO472">
        <v>2024</v>
      </c>
      <c r="AP472">
        <v>12</v>
      </c>
      <c r="AQ472" t="s">
        <v>116</v>
      </c>
      <c r="AS472" t="s">
        <v>85</v>
      </c>
      <c r="AT472">
        <v>2025</v>
      </c>
      <c r="AU472" t="s">
        <v>300</v>
      </c>
      <c r="AV472" t="s">
        <v>303</v>
      </c>
      <c r="AW472" t="s">
        <v>3128</v>
      </c>
      <c r="AX472">
        <v>2025</v>
      </c>
      <c r="AY472" t="s">
        <v>3129</v>
      </c>
      <c r="AZ472" t="s">
        <v>3129</v>
      </c>
    </row>
    <row r="473" spans="1:52" x14ac:dyDescent="0.25">
      <c r="A473" t="s">
        <v>3131</v>
      </c>
      <c r="B473" s="1">
        <v>40308</v>
      </c>
      <c r="C473" t="s">
        <v>3132</v>
      </c>
      <c r="D473">
        <v>483218</v>
      </c>
      <c r="E473" t="s">
        <v>46</v>
      </c>
      <c r="F473" t="s">
        <v>1071</v>
      </c>
      <c r="G473" t="s">
        <v>469</v>
      </c>
      <c r="H473" t="s">
        <v>3132</v>
      </c>
      <c r="I473" t="s">
        <v>397</v>
      </c>
      <c r="J473">
        <v>83</v>
      </c>
      <c r="K473">
        <v>-88</v>
      </c>
      <c r="L473">
        <v>88</v>
      </c>
      <c r="M473">
        <v>88</v>
      </c>
      <c r="N473">
        <v>171</v>
      </c>
      <c r="O473" t="s">
        <v>65</v>
      </c>
      <c r="P473">
        <v>100</v>
      </c>
      <c r="Q473">
        <v>106</v>
      </c>
      <c r="R473">
        <v>-112</v>
      </c>
      <c r="S473">
        <v>106</v>
      </c>
      <c r="T473">
        <v>206</v>
      </c>
      <c r="U473" t="s">
        <v>60</v>
      </c>
      <c r="V473">
        <f t="shared" si="21"/>
        <v>4</v>
      </c>
      <c r="W473">
        <f t="shared" si="22"/>
        <v>0</v>
      </c>
      <c r="X473">
        <f t="shared" si="23"/>
        <v>0</v>
      </c>
      <c r="Y473">
        <v>194</v>
      </c>
      <c r="Z473">
        <v>377</v>
      </c>
      <c r="AA473" t="s">
        <v>3133</v>
      </c>
      <c r="AB473" t="s">
        <v>3134</v>
      </c>
      <c r="AC473" t="s">
        <v>89</v>
      </c>
      <c r="AD473">
        <v>5</v>
      </c>
      <c r="AE473">
        <v>89</v>
      </c>
      <c r="AF473" t="s">
        <v>57</v>
      </c>
      <c r="AH473" t="s">
        <v>245</v>
      </c>
      <c r="AI473">
        <v>237.29</v>
      </c>
      <c r="AJ473" t="s">
        <v>52</v>
      </c>
      <c r="AK473" t="s">
        <v>1071</v>
      </c>
      <c r="AL473" t="s">
        <v>1073</v>
      </c>
      <c r="AM473" t="s">
        <v>68</v>
      </c>
      <c r="AN473" s="1">
        <v>45640</v>
      </c>
      <c r="AO473">
        <v>2024</v>
      </c>
      <c r="AP473">
        <v>12</v>
      </c>
      <c r="AQ473" t="s">
        <v>116</v>
      </c>
      <c r="AS473" t="s">
        <v>85</v>
      </c>
      <c r="AT473">
        <v>2025</v>
      </c>
      <c r="AU473" t="s">
        <v>469</v>
      </c>
      <c r="AV473" t="s">
        <v>68</v>
      </c>
      <c r="AW473" t="s">
        <v>3132</v>
      </c>
      <c r="AX473">
        <v>2025</v>
      </c>
      <c r="AY473" t="s">
        <v>3133</v>
      </c>
      <c r="AZ473" t="s">
        <v>3133</v>
      </c>
    </row>
    <row r="474" spans="1:52" x14ac:dyDescent="0.25">
      <c r="A474" t="s">
        <v>3135</v>
      </c>
      <c r="B474" s="1">
        <v>39588</v>
      </c>
      <c r="C474" t="s">
        <v>3136</v>
      </c>
      <c r="D474">
        <v>456136</v>
      </c>
      <c r="E474" t="s">
        <v>46</v>
      </c>
      <c r="F474" t="s">
        <v>109</v>
      </c>
      <c r="G474" t="s">
        <v>88</v>
      </c>
      <c r="H474" t="s">
        <v>3136</v>
      </c>
      <c r="I474" t="s">
        <v>368</v>
      </c>
      <c r="J474">
        <v>80</v>
      </c>
      <c r="K474">
        <v>85</v>
      </c>
      <c r="L474">
        <v>-88</v>
      </c>
      <c r="M474">
        <v>85</v>
      </c>
      <c r="N474">
        <v>165</v>
      </c>
      <c r="O474" t="s">
        <v>60</v>
      </c>
      <c r="P474">
        <v>100</v>
      </c>
      <c r="Q474">
        <v>-105</v>
      </c>
      <c r="R474">
        <v>105</v>
      </c>
      <c r="S474">
        <v>105</v>
      </c>
      <c r="T474">
        <v>205</v>
      </c>
      <c r="U474" t="s">
        <v>65</v>
      </c>
      <c r="V474">
        <f t="shared" si="21"/>
        <v>4</v>
      </c>
      <c r="W474">
        <f t="shared" si="22"/>
        <v>0</v>
      </c>
      <c r="X474">
        <f t="shared" si="23"/>
        <v>0</v>
      </c>
      <c r="Y474">
        <v>190</v>
      </c>
      <c r="Z474">
        <v>370</v>
      </c>
      <c r="AA474" t="s">
        <v>3137</v>
      </c>
      <c r="AB474" t="s">
        <v>3138</v>
      </c>
      <c r="AC474" t="s">
        <v>94</v>
      </c>
      <c r="AD474">
        <v>4</v>
      </c>
      <c r="AE474">
        <v>67</v>
      </c>
      <c r="AF474" t="s">
        <v>95</v>
      </c>
      <c r="AH474" t="s">
        <v>105</v>
      </c>
      <c r="AI474">
        <v>278.82</v>
      </c>
      <c r="AJ474" t="s">
        <v>52</v>
      </c>
      <c r="AK474" t="s">
        <v>109</v>
      </c>
      <c r="AL474" t="s">
        <v>115</v>
      </c>
      <c r="AM474" t="s">
        <v>90</v>
      </c>
      <c r="AN474" s="1">
        <v>45639</v>
      </c>
      <c r="AO474">
        <v>2024</v>
      </c>
      <c r="AP474">
        <v>12</v>
      </c>
      <c r="AQ474" t="s">
        <v>116</v>
      </c>
      <c r="AS474" t="s">
        <v>85</v>
      </c>
      <c r="AT474">
        <v>2025</v>
      </c>
      <c r="AU474" t="s">
        <v>88</v>
      </c>
      <c r="AV474" t="s">
        <v>91</v>
      </c>
      <c r="AW474" t="s">
        <v>3136</v>
      </c>
      <c r="AX474">
        <v>2025</v>
      </c>
      <c r="AY474" t="s">
        <v>3137</v>
      </c>
      <c r="AZ474" t="s">
        <v>3137</v>
      </c>
    </row>
    <row r="475" spans="1:52" x14ac:dyDescent="0.25">
      <c r="A475" t="s">
        <v>3139</v>
      </c>
      <c r="B475" s="1">
        <v>41329</v>
      </c>
      <c r="C475" t="s">
        <v>3140</v>
      </c>
      <c r="D475">
        <v>476551</v>
      </c>
      <c r="E475" t="s">
        <v>46</v>
      </c>
      <c r="F475" t="s">
        <v>1360</v>
      </c>
      <c r="G475" t="s">
        <v>84</v>
      </c>
      <c r="H475" t="s">
        <v>3140</v>
      </c>
      <c r="I475">
        <v>61</v>
      </c>
      <c r="J475">
        <v>28</v>
      </c>
      <c r="K475">
        <v>30</v>
      </c>
      <c r="L475">
        <v>32</v>
      </c>
      <c r="M475">
        <v>32</v>
      </c>
      <c r="N475">
        <v>62</v>
      </c>
      <c r="O475" t="s">
        <v>48</v>
      </c>
      <c r="P475">
        <v>44</v>
      </c>
      <c r="Q475">
        <v>46</v>
      </c>
      <c r="R475">
        <v>48</v>
      </c>
      <c r="S475">
        <v>48</v>
      </c>
      <c r="T475">
        <v>94</v>
      </c>
      <c r="U475" t="s">
        <v>48</v>
      </c>
      <c r="V475">
        <f t="shared" si="21"/>
        <v>6</v>
      </c>
      <c r="W475">
        <f t="shared" si="22"/>
        <v>0</v>
      </c>
      <c r="X475">
        <f t="shared" si="23"/>
        <v>0</v>
      </c>
      <c r="Y475">
        <v>80</v>
      </c>
      <c r="Z475">
        <v>156</v>
      </c>
      <c r="AA475" t="s">
        <v>3141</v>
      </c>
      <c r="AB475" t="s">
        <v>3142</v>
      </c>
      <c r="AC475" t="s">
        <v>49</v>
      </c>
      <c r="AD475">
        <v>999</v>
      </c>
      <c r="AE475">
        <v>61</v>
      </c>
      <c r="AF475" t="s">
        <v>50</v>
      </c>
      <c r="AH475" t="s">
        <v>290</v>
      </c>
      <c r="AI475">
        <v>237.12</v>
      </c>
      <c r="AJ475" t="s">
        <v>52</v>
      </c>
      <c r="AK475" t="s">
        <v>1360</v>
      </c>
      <c r="AL475" t="s">
        <v>1364</v>
      </c>
      <c r="AM475" t="s">
        <v>68</v>
      </c>
      <c r="AN475" s="1">
        <v>45640</v>
      </c>
      <c r="AO475">
        <v>2024</v>
      </c>
      <c r="AP475">
        <v>12</v>
      </c>
      <c r="AQ475" t="s">
        <v>116</v>
      </c>
      <c r="AS475" t="s">
        <v>85</v>
      </c>
      <c r="AT475">
        <v>2025</v>
      </c>
      <c r="AU475" t="s">
        <v>84</v>
      </c>
      <c r="AV475" t="s">
        <v>68</v>
      </c>
      <c r="AW475" t="s">
        <v>3140</v>
      </c>
      <c r="AX475">
        <v>2025</v>
      </c>
      <c r="AY475" t="s">
        <v>3141</v>
      </c>
      <c r="AZ475" t="s">
        <v>3141</v>
      </c>
    </row>
    <row r="476" spans="1:52" x14ac:dyDescent="0.25">
      <c r="A476" t="s">
        <v>3148</v>
      </c>
      <c r="B476" s="1">
        <v>41653</v>
      </c>
      <c r="C476" t="s">
        <v>3149</v>
      </c>
      <c r="D476">
        <v>491332</v>
      </c>
      <c r="E476" t="s">
        <v>46</v>
      </c>
      <c r="F476" t="s">
        <v>760</v>
      </c>
      <c r="G476" t="s">
        <v>329</v>
      </c>
      <c r="H476" t="s">
        <v>3149</v>
      </c>
      <c r="I476" t="s">
        <v>3152</v>
      </c>
      <c r="J476">
        <v>13</v>
      </c>
      <c r="K476">
        <v>14</v>
      </c>
      <c r="L476">
        <v>15</v>
      </c>
      <c r="M476">
        <v>15</v>
      </c>
      <c r="N476">
        <v>29</v>
      </c>
      <c r="O476" t="s">
        <v>48</v>
      </c>
      <c r="P476">
        <v>21</v>
      </c>
      <c r="Q476">
        <v>22</v>
      </c>
      <c r="R476">
        <v>-24</v>
      </c>
      <c r="S476">
        <v>22</v>
      </c>
      <c r="T476">
        <v>43</v>
      </c>
      <c r="U476" t="s">
        <v>60</v>
      </c>
      <c r="V476">
        <f t="shared" si="21"/>
        <v>5</v>
      </c>
      <c r="W476">
        <f t="shared" si="22"/>
        <v>0</v>
      </c>
      <c r="X476">
        <f t="shared" si="23"/>
        <v>0</v>
      </c>
      <c r="Y476">
        <v>37</v>
      </c>
      <c r="Z476">
        <v>72</v>
      </c>
      <c r="AA476" t="s">
        <v>3153</v>
      </c>
      <c r="AB476" t="s">
        <v>3154</v>
      </c>
      <c r="AC476" t="s">
        <v>49</v>
      </c>
      <c r="AD476">
        <v>999</v>
      </c>
      <c r="AE476">
        <v>40</v>
      </c>
      <c r="AF476" t="s">
        <v>50</v>
      </c>
      <c r="AH476" t="s">
        <v>452</v>
      </c>
      <c r="AI476">
        <v>136.38999999999999</v>
      </c>
      <c r="AJ476" t="s">
        <v>132</v>
      </c>
      <c r="AK476" t="s">
        <v>760</v>
      </c>
      <c r="AL476" t="s">
        <v>763</v>
      </c>
      <c r="AM476" t="s">
        <v>133</v>
      </c>
      <c r="AN476" s="1">
        <v>45640</v>
      </c>
      <c r="AO476">
        <v>2024</v>
      </c>
      <c r="AP476">
        <v>12</v>
      </c>
      <c r="AQ476" t="s">
        <v>116</v>
      </c>
      <c r="AS476" t="s">
        <v>85</v>
      </c>
      <c r="AT476">
        <v>2025</v>
      </c>
      <c r="AU476" t="s">
        <v>329</v>
      </c>
      <c r="AV476" t="s">
        <v>133</v>
      </c>
      <c r="AW476" t="s">
        <v>3149</v>
      </c>
      <c r="AX476">
        <v>2025</v>
      </c>
      <c r="AY476" t="s">
        <v>3150</v>
      </c>
      <c r="AZ476" t="s">
        <v>3151</v>
      </c>
    </row>
    <row r="477" spans="1:52" x14ac:dyDescent="0.25">
      <c r="A477" t="s">
        <v>3155</v>
      </c>
      <c r="B477" s="1">
        <v>37797</v>
      </c>
      <c r="C477" t="s">
        <v>3156</v>
      </c>
      <c r="D477">
        <v>429831</v>
      </c>
      <c r="E477" t="s">
        <v>46</v>
      </c>
      <c r="F477" t="s">
        <v>941</v>
      </c>
      <c r="G477" t="s">
        <v>348</v>
      </c>
      <c r="H477" t="s">
        <v>3156</v>
      </c>
      <c r="I477" t="s">
        <v>754</v>
      </c>
      <c r="J477">
        <v>60</v>
      </c>
      <c r="K477">
        <v>62</v>
      </c>
      <c r="L477">
        <v>64</v>
      </c>
      <c r="M477">
        <v>64</v>
      </c>
      <c r="N477">
        <v>126</v>
      </c>
      <c r="O477" t="s">
        <v>48</v>
      </c>
      <c r="P477">
        <v>80</v>
      </c>
      <c r="Q477">
        <v>83</v>
      </c>
      <c r="R477">
        <v>-85</v>
      </c>
      <c r="S477">
        <v>83</v>
      </c>
      <c r="T477">
        <v>163</v>
      </c>
      <c r="U477" t="s">
        <v>60</v>
      </c>
      <c r="V477">
        <f t="shared" si="21"/>
        <v>5</v>
      </c>
      <c r="W477">
        <f t="shared" si="22"/>
        <v>0</v>
      </c>
      <c r="X477">
        <f t="shared" si="23"/>
        <v>0</v>
      </c>
      <c r="Y477">
        <v>147</v>
      </c>
      <c r="Z477">
        <v>289</v>
      </c>
      <c r="AA477" t="s">
        <v>3157</v>
      </c>
      <c r="AB477" t="s">
        <v>3158</v>
      </c>
      <c r="AC477" t="s">
        <v>89</v>
      </c>
      <c r="AD477">
        <v>5</v>
      </c>
      <c r="AE477">
        <v>64</v>
      </c>
      <c r="AF477" t="s">
        <v>126</v>
      </c>
      <c r="AH477" t="s">
        <v>167</v>
      </c>
      <c r="AI477">
        <v>194.14</v>
      </c>
      <c r="AJ477" t="s">
        <v>132</v>
      </c>
      <c r="AK477" t="s">
        <v>941</v>
      </c>
      <c r="AL477" t="s">
        <v>944</v>
      </c>
      <c r="AM477" t="s">
        <v>53</v>
      </c>
      <c r="AN477" s="1">
        <v>45640</v>
      </c>
      <c r="AO477">
        <v>2024</v>
      </c>
      <c r="AP477">
        <v>12</v>
      </c>
      <c r="AQ477" t="s">
        <v>116</v>
      </c>
      <c r="AS477" t="s">
        <v>85</v>
      </c>
      <c r="AT477">
        <v>2025</v>
      </c>
      <c r="AU477" t="s">
        <v>348</v>
      </c>
      <c r="AV477" t="s">
        <v>54</v>
      </c>
      <c r="AW477" t="s">
        <v>3156</v>
      </c>
      <c r="AX477">
        <v>2025</v>
      </c>
      <c r="AY477" t="s">
        <v>3157</v>
      </c>
      <c r="AZ477" t="s">
        <v>3157</v>
      </c>
    </row>
    <row r="478" spans="1:52" x14ac:dyDescent="0.25">
      <c r="A478" t="s">
        <v>3159</v>
      </c>
      <c r="B478" s="1">
        <v>39108</v>
      </c>
      <c r="C478" t="s">
        <v>3160</v>
      </c>
      <c r="D478">
        <v>496161</v>
      </c>
      <c r="E478" t="s">
        <v>46</v>
      </c>
      <c r="F478" t="s">
        <v>456</v>
      </c>
      <c r="G478" t="s">
        <v>2051</v>
      </c>
      <c r="H478" t="s">
        <v>3160</v>
      </c>
      <c r="I478" t="s">
        <v>1896</v>
      </c>
      <c r="J478">
        <v>47</v>
      </c>
      <c r="K478">
        <v>50</v>
      </c>
      <c r="L478">
        <v>52</v>
      </c>
      <c r="M478">
        <v>52</v>
      </c>
      <c r="N478">
        <v>102</v>
      </c>
      <c r="O478" t="s">
        <v>48</v>
      </c>
      <c r="P478">
        <v>-55</v>
      </c>
      <c r="Q478">
        <v>-56</v>
      </c>
      <c r="R478">
        <v>56</v>
      </c>
      <c r="S478">
        <v>56</v>
      </c>
      <c r="T478">
        <v>0</v>
      </c>
      <c r="U478" t="s">
        <v>102</v>
      </c>
      <c r="V478">
        <f t="shared" si="21"/>
        <v>4</v>
      </c>
      <c r="W478">
        <f t="shared" si="22"/>
        <v>1</v>
      </c>
      <c r="X478">
        <f t="shared" si="23"/>
        <v>0</v>
      </c>
      <c r="Y478">
        <v>108</v>
      </c>
      <c r="Z478">
        <v>102</v>
      </c>
      <c r="AA478" t="s">
        <v>3161</v>
      </c>
      <c r="AB478" t="s">
        <v>3162</v>
      </c>
      <c r="AC478" t="s">
        <v>89</v>
      </c>
      <c r="AD478">
        <v>5</v>
      </c>
      <c r="AE478">
        <v>55</v>
      </c>
      <c r="AF478" t="s">
        <v>113</v>
      </c>
      <c r="AH478" t="s">
        <v>465</v>
      </c>
      <c r="AI478">
        <v>155.28</v>
      </c>
      <c r="AJ478" t="s">
        <v>132</v>
      </c>
      <c r="AK478" t="s">
        <v>456</v>
      </c>
      <c r="AL478" t="s">
        <v>460</v>
      </c>
      <c r="AM478" t="s">
        <v>173</v>
      </c>
      <c r="AN478" s="1">
        <v>45641</v>
      </c>
      <c r="AO478">
        <v>2024</v>
      </c>
      <c r="AP478">
        <v>12</v>
      </c>
      <c r="AQ478" t="s">
        <v>116</v>
      </c>
      <c r="AS478" t="s">
        <v>85</v>
      </c>
      <c r="AT478">
        <v>2025</v>
      </c>
      <c r="AU478" t="s">
        <v>2051</v>
      </c>
      <c r="AV478" t="s">
        <v>173</v>
      </c>
      <c r="AW478" t="s">
        <v>3160</v>
      </c>
      <c r="AX478">
        <v>2025</v>
      </c>
      <c r="AY478" t="s">
        <v>3161</v>
      </c>
      <c r="AZ478" t="s">
        <v>3161</v>
      </c>
    </row>
    <row r="479" spans="1:52" x14ac:dyDescent="0.25">
      <c r="A479" t="s">
        <v>3163</v>
      </c>
      <c r="B479" s="1">
        <v>40286</v>
      </c>
      <c r="C479" t="s">
        <v>3164</v>
      </c>
      <c r="D479">
        <v>462154</v>
      </c>
      <c r="E479" t="s">
        <v>46</v>
      </c>
      <c r="F479" t="s">
        <v>109</v>
      </c>
      <c r="G479" t="s">
        <v>787</v>
      </c>
      <c r="H479" t="s">
        <v>3164</v>
      </c>
      <c r="I479" t="s">
        <v>3166</v>
      </c>
      <c r="J479">
        <v>63</v>
      </c>
      <c r="K479">
        <v>66</v>
      </c>
      <c r="L479">
        <v>-69</v>
      </c>
      <c r="M479">
        <v>66</v>
      </c>
      <c r="N479">
        <v>129</v>
      </c>
      <c r="O479" t="s">
        <v>60</v>
      </c>
      <c r="P479">
        <v>84</v>
      </c>
      <c r="Q479">
        <v>88</v>
      </c>
      <c r="R479">
        <v>92</v>
      </c>
      <c r="S479">
        <v>92</v>
      </c>
      <c r="T479">
        <v>180</v>
      </c>
      <c r="U479" t="s">
        <v>48</v>
      </c>
      <c r="V479">
        <f t="shared" si="21"/>
        <v>5</v>
      </c>
      <c r="W479">
        <f t="shared" si="22"/>
        <v>0</v>
      </c>
      <c r="X479">
        <f t="shared" si="23"/>
        <v>0</v>
      </c>
      <c r="Y479">
        <v>158</v>
      </c>
      <c r="Z479">
        <v>309</v>
      </c>
      <c r="AA479" t="s">
        <v>3165</v>
      </c>
      <c r="AB479" t="s">
        <v>3167</v>
      </c>
      <c r="AC479" t="s">
        <v>89</v>
      </c>
      <c r="AD479">
        <v>5</v>
      </c>
      <c r="AE479">
        <v>67</v>
      </c>
      <c r="AF479" t="s">
        <v>57</v>
      </c>
      <c r="AH479" t="s">
        <v>185</v>
      </c>
      <c r="AI479">
        <v>226.96</v>
      </c>
      <c r="AJ479" t="s">
        <v>52</v>
      </c>
      <c r="AK479" t="s">
        <v>109</v>
      </c>
      <c r="AL479" t="s">
        <v>115</v>
      </c>
      <c r="AM479" t="s">
        <v>90</v>
      </c>
      <c r="AN479" s="1">
        <v>45639</v>
      </c>
      <c r="AO479">
        <v>2024</v>
      </c>
      <c r="AP479">
        <v>12</v>
      </c>
      <c r="AQ479" t="s">
        <v>116</v>
      </c>
      <c r="AS479" t="s">
        <v>85</v>
      </c>
      <c r="AT479">
        <v>2025</v>
      </c>
      <c r="AU479" t="s">
        <v>787</v>
      </c>
      <c r="AV479" t="s">
        <v>91</v>
      </c>
      <c r="AW479" t="s">
        <v>3164</v>
      </c>
      <c r="AX479">
        <v>2025</v>
      </c>
      <c r="AY479" t="s">
        <v>3165</v>
      </c>
      <c r="AZ479" t="s">
        <v>3165</v>
      </c>
    </row>
    <row r="480" spans="1:52" x14ac:dyDescent="0.25">
      <c r="A480" t="s">
        <v>3172</v>
      </c>
      <c r="B480" s="1">
        <v>36491</v>
      </c>
      <c r="C480" t="s">
        <v>3173</v>
      </c>
      <c r="D480">
        <v>464683</v>
      </c>
      <c r="E480" t="s">
        <v>46</v>
      </c>
      <c r="F480" t="s">
        <v>1315</v>
      </c>
      <c r="G480" t="s">
        <v>404</v>
      </c>
      <c r="H480" t="s">
        <v>3173</v>
      </c>
      <c r="I480" t="s">
        <v>259</v>
      </c>
      <c r="J480">
        <v>105</v>
      </c>
      <c r="K480">
        <v>110</v>
      </c>
      <c r="L480">
        <v>115</v>
      </c>
      <c r="M480">
        <v>115</v>
      </c>
      <c r="N480">
        <v>225</v>
      </c>
      <c r="O480" t="s">
        <v>48</v>
      </c>
      <c r="P480">
        <v>140</v>
      </c>
      <c r="Q480">
        <v>150</v>
      </c>
      <c r="R480">
        <v>155</v>
      </c>
      <c r="S480">
        <v>155</v>
      </c>
      <c r="T480">
        <v>305</v>
      </c>
      <c r="U480" t="s">
        <v>48</v>
      </c>
      <c r="V480">
        <f t="shared" si="21"/>
        <v>6</v>
      </c>
      <c r="W480">
        <f t="shared" si="22"/>
        <v>0</v>
      </c>
      <c r="X480">
        <f t="shared" si="23"/>
        <v>0</v>
      </c>
      <c r="Y480">
        <v>270</v>
      </c>
      <c r="Z480">
        <v>530</v>
      </c>
      <c r="AA480" t="s">
        <v>3174</v>
      </c>
      <c r="AB480" t="s">
        <v>3175</v>
      </c>
      <c r="AC480" t="s">
        <v>89</v>
      </c>
      <c r="AD480">
        <v>5</v>
      </c>
      <c r="AE480">
        <v>81</v>
      </c>
      <c r="AF480" t="s">
        <v>126</v>
      </c>
      <c r="AH480" t="s">
        <v>138</v>
      </c>
      <c r="AI480">
        <v>344.54</v>
      </c>
      <c r="AJ480" t="s">
        <v>52</v>
      </c>
      <c r="AK480" t="s">
        <v>1315</v>
      </c>
      <c r="AL480" t="s">
        <v>1317</v>
      </c>
      <c r="AM480" t="s">
        <v>143</v>
      </c>
      <c r="AN480" s="1">
        <v>45640</v>
      </c>
      <c r="AO480">
        <v>2024</v>
      </c>
      <c r="AP480">
        <v>12</v>
      </c>
      <c r="AQ480" t="s">
        <v>116</v>
      </c>
      <c r="AS480" t="s">
        <v>85</v>
      </c>
      <c r="AT480">
        <v>2025</v>
      </c>
      <c r="AU480" t="s">
        <v>404</v>
      </c>
      <c r="AV480" t="s">
        <v>143</v>
      </c>
      <c r="AW480" t="s">
        <v>3173</v>
      </c>
      <c r="AX480">
        <v>2025</v>
      </c>
      <c r="AY480" t="s">
        <v>3174</v>
      </c>
      <c r="AZ480" t="s">
        <v>3174</v>
      </c>
    </row>
    <row r="481" spans="1:52" x14ac:dyDescent="0.25">
      <c r="A481" t="s">
        <v>3176</v>
      </c>
      <c r="B481" s="1">
        <v>34990</v>
      </c>
      <c r="C481" t="s">
        <v>3177</v>
      </c>
      <c r="D481">
        <v>246713</v>
      </c>
      <c r="E481" t="s">
        <v>46</v>
      </c>
      <c r="F481" t="s">
        <v>710</v>
      </c>
      <c r="G481" t="s">
        <v>258</v>
      </c>
      <c r="H481" t="s">
        <v>3177</v>
      </c>
      <c r="I481" t="s">
        <v>264</v>
      </c>
      <c r="J481">
        <v>125</v>
      </c>
      <c r="K481">
        <v>130</v>
      </c>
      <c r="L481">
        <v>-133</v>
      </c>
      <c r="M481">
        <v>130</v>
      </c>
      <c r="N481">
        <v>255</v>
      </c>
      <c r="O481" t="s">
        <v>60</v>
      </c>
      <c r="P481">
        <v>146</v>
      </c>
      <c r="Q481">
        <v>154</v>
      </c>
      <c r="R481">
        <v>160</v>
      </c>
      <c r="S481">
        <v>160</v>
      </c>
      <c r="T481">
        <v>314</v>
      </c>
      <c r="U481" t="s">
        <v>48</v>
      </c>
      <c r="V481">
        <f t="shared" si="21"/>
        <v>5</v>
      </c>
      <c r="W481">
        <f t="shared" si="22"/>
        <v>0</v>
      </c>
      <c r="X481">
        <f t="shared" si="23"/>
        <v>0</v>
      </c>
      <c r="Y481">
        <v>290</v>
      </c>
      <c r="Z481">
        <v>569</v>
      </c>
      <c r="AA481" t="s">
        <v>3181</v>
      </c>
      <c r="AB481" t="s">
        <v>3182</v>
      </c>
      <c r="AC481" t="s">
        <v>94</v>
      </c>
      <c r="AD481">
        <v>4</v>
      </c>
      <c r="AE481">
        <v>81</v>
      </c>
      <c r="AF481" t="s">
        <v>126</v>
      </c>
      <c r="AH481" t="s">
        <v>138</v>
      </c>
      <c r="AI481">
        <v>369.3</v>
      </c>
      <c r="AJ481" t="s">
        <v>52</v>
      </c>
      <c r="AK481" t="s">
        <v>710</v>
      </c>
      <c r="AL481" t="s">
        <v>712</v>
      </c>
      <c r="AM481" t="s">
        <v>128</v>
      </c>
      <c r="AN481" s="1">
        <v>45640</v>
      </c>
      <c r="AO481">
        <v>2024</v>
      </c>
      <c r="AP481">
        <v>12</v>
      </c>
      <c r="AQ481" t="s">
        <v>116</v>
      </c>
      <c r="AS481" t="s">
        <v>85</v>
      </c>
      <c r="AT481">
        <v>2025</v>
      </c>
      <c r="AU481" t="s">
        <v>258</v>
      </c>
      <c r="AV481" t="s">
        <v>128</v>
      </c>
      <c r="AW481" t="s">
        <v>3177</v>
      </c>
      <c r="AX481">
        <v>2025</v>
      </c>
      <c r="AY481" t="s">
        <v>3178</v>
      </c>
      <c r="AZ481" t="s">
        <v>3181</v>
      </c>
    </row>
    <row r="482" spans="1:52" x14ac:dyDescent="0.25">
      <c r="A482" t="s">
        <v>3183</v>
      </c>
      <c r="B482" s="1">
        <v>39152</v>
      </c>
      <c r="C482" t="s">
        <v>3184</v>
      </c>
      <c r="D482">
        <v>475128</v>
      </c>
      <c r="E482" t="s">
        <v>46</v>
      </c>
      <c r="F482" t="s">
        <v>1107</v>
      </c>
      <c r="G482" t="s">
        <v>556</v>
      </c>
      <c r="H482" t="s">
        <v>3184</v>
      </c>
      <c r="I482" t="s">
        <v>1022</v>
      </c>
      <c r="J482">
        <v>-81</v>
      </c>
      <c r="K482">
        <v>85</v>
      </c>
      <c r="L482">
        <v>-88</v>
      </c>
      <c r="M482">
        <v>85</v>
      </c>
      <c r="N482">
        <v>0</v>
      </c>
      <c r="O482" t="s">
        <v>104</v>
      </c>
      <c r="P482">
        <v>103</v>
      </c>
      <c r="Q482">
        <v>108</v>
      </c>
      <c r="R482">
        <v>-110</v>
      </c>
      <c r="S482">
        <v>108</v>
      </c>
      <c r="T482">
        <v>211</v>
      </c>
      <c r="U482" t="s">
        <v>60</v>
      </c>
      <c r="V482">
        <f t="shared" si="21"/>
        <v>3</v>
      </c>
      <c r="W482">
        <f t="shared" si="22"/>
        <v>0</v>
      </c>
      <c r="X482">
        <f t="shared" si="23"/>
        <v>0</v>
      </c>
      <c r="Y482">
        <v>193</v>
      </c>
      <c r="Z482">
        <v>211</v>
      </c>
      <c r="AA482" t="s">
        <v>3185</v>
      </c>
      <c r="AB482" t="s">
        <v>3186</v>
      </c>
      <c r="AC482" t="s">
        <v>94</v>
      </c>
      <c r="AD482">
        <v>4</v>
      </c>
      <c r="AE482">
        <v>61</v>
      </c>
      <c r="AF482" t="s">
        <v>113</v>
      </c>
      <c r="AH482" t="s">
        <v>737</v>
      </c>
      <c r="AI482">
        <v>313.93</v>
      </c>
      <c r="AJ482" t="s">
        <v>52</v>
      </c>
      <c r="AK482" t="s">
        <v>1107</v>
      </c>
      <c r="AL482" t="s">
        <v>1108</v>
      </c>
      <c r="AM482" t="s">
        <v>302</v>
      </c>
      <c r="AN482" s="1">
        <v>45640</v>
      </c>
      <c r="AO482">
        <v>2024</v>
      </c>
      <c r="AP482">
        <v>12</v>
      </c>
      <c r="AQ482" t="s">
        <v>116</v>
      </c>
      <c r="AS482" t="s">
        <v>85</v>
      </c>
      <c r="AT482">
        <v>2025</v>
      </c>
      <c r="AU482" t="s">
        <v>556</v>
      </c>
      <c r="AV482" t="s">
        <v>303</v>
      </c>
      <c r="AW482" t="s">
        <v>3184</v>
      </c>
      <c r="AX482">
        <v>2025</v>
      </c>
      <c r="AY482" t="s">
        <v>3185</v>
      </c>
      <c r="AZ482" t="s">
        <v>3185</v>
      </c>
    </row>
    <row r="483" spans="1:52" x14ac:dyDescent="0.25">
      <c r="A483" t="s">
        <v>3187</v>
      </c>
      <c r="B483" s="1">
        <v>41549</v>
      </c>
      <c r="C483" t="s">
        <v>3188</v>
      </c>
      <c r="D483">
        <v>471558</v>
      </c>
      <c r="E483" t="s">
        <v>46</v>
      </c>
      <c r="F483" t="s">
        <v>2029</v>
      </c>
      <c r="G483" t="s">
        <v>386</v>
      </c>
      <c r="H483" t="s">
        <v>3188</v>
      </c>
      <c r="I483" t="s">
        <v>1547</v>
      </c>
      <c r="J483">
        <v>33</v>
      </c>
      <c r="K483">
        <v>35</v>
      </c>
      <c r="L483">
        <v>-37</v>
      </c>
      <c r="M483">
        <v>35</v>
      </c>
      <c r="N483">
        <v>68</v>
      </c>
      <c r="O483" t="s">
        <v>60</v>
      </c>
      <c r="P483">
        <v>43</v>
      </c>
      <c r="Q483">
        <v>45</v>
      </c>
      <c r="R483">
        <v>47</v>
      </c>
      <c r="S483">
        <v>47</v>
      </c>
      <c r="T483">
        <v>92</v>
      </c>
      <c r="U483" t="s">
        <v>48</v>
      </c>
      <c r="V483">
        <f t="shared" si="21"/>
        <v>5</v>
      </c>
      <c r="W483">
        <f t="shared" si="22"/>
        <v>0</v>
      </c>
      <c r="X483">
        <f t="shared" si="23"/>
        <v>0</v>
      </c>
      <c r="Y483">
        <v>82</v>
      </c>
      <c r="Z483">
        <v>160</v>
      </c>
      <c r="AA483" t="s">
        <v>3189</v>
      </c>
      <c r="AB483" t="s">
        <v>3190</v>
      </c>
      <c r="AC483" t="s">
        <v>49</v>
      </c>
      <c r="AD483">
        <v>999</v>
      </c>
      <c r="AE483">
        <v>40</v>
      </c>
      <c r="AF483" t="s">
        <v>50</v>
      </c>
      <c r="AH483" t="s">
        <v>452</v>
      </c>
      <c r="AI483">
        <v>314.36</v>
      </c>
      <c r="AJ483" t="s">
        <v>132</v>
      </c>
      <c r="AK483" t="s">
        <v>2029</v>
      </c>
      <c r="AL483" t="s">
        <v>2032</v>
      </c>
      <c r="AM483" t="s">
        <v>170</v>
      </c>
      <c r="AN483" s="1">
        <v>45641</v>
      </c>
      <c r="AO483">
        <v>2024</v>
      </c>
      <c r="AP483">
        <v>12</v>
      </c>
      <c r="AQ483" t="s">
        <v>116</v>
      </c>
      <c r="AS483" t="s">
        <v>85</v>
      </c>
      <c r="AT483">
        <v>2025</v>
      </c>
      <c r="AU483" t="s">
        <v>386</v>
      </c>
      <c r="AV483" t="s">
        <v>170</v>
      </c>
      <c r="AW483" t="s">
        <v>3188</v>
      </c>
      <c r="AX483">
        <v>2025</v>
      </c>
      <c r="AY483" t="s">
        <v>3189</v>
      </c>
      <c r="AZ483" t="s">
        <v>3189</v>
      </c>
    </row>
    <row r="484" spans="1:52" x14ac:dyDescent="0.25">
      <c r="A484" t="s">
        <v>3200</v>
      </c>
      <c r="B484" s="1">
        <v>40989</v>
      </c>
      <c r="C484" t="s">
        <v>3201</v>
      </c>
      <c r="D484">
        <v>475984</v>
      </c>
      <c r="E484" t="s">
        <v>46</v>
      </c>
      <c r="F484" t="s">
        <v>2029</v>
      </c>
      <c r="G484" t="s">
        <v>386</v>
      </c>
      <c r="H484" t="s">
        <v>3201</v>
      </c>
      <c r="I484" t="s">
        <v>187</v>
      </c>
      <c r="J484">
        <v>24</v>
      </c>
      <c r="K484">
        <v>26</v>
      </c>
      <c r="L484">
        <v>-27</v>
      </c>
      <c r="M484">
        <v>26</v>
      </c>
      <c r="N484">
        <v>50</v>
      </c>
      <c r="O484" t="s">
        <v>60</v>
      </c>
      <c r="P484">
        <v>33</v>
      </c>
      <c r="Q484">
        <v>35</v>
      </c>
      <c r="R484">
        <v>37</v>
      </c>
      <c r="S484">
        <v>37</v>
      </c>
      <c r="T484">
        <v>72</v>
      </c>
      <c r="U484" t="s">
        <v>48</v>
      </c>
      <c r="V484">
        <f t="shared" si="21"/>
        <v>5</v>
      </c>
      <c r="W484">
        <f t="shared" si="22"/>
        <v>0</v>
      </c>
      <c r="X484">
        <f t="shared" si="23"/>
        <v>0</v>
      </c>
      <c r="Y484">
        <v>63</v>
      </c>
      <c r="Z484">
        <v>122</v>
      </c>
      <c r="AA484" t="s">
        <v>3202</v>
      </c>
      <c r="AB484" t="s">
        <v>3203</v>
      </c>
      <c r="AC484" t="s">
        <v>49</v>
      </c>
      <c r="AD484">
        <v>999</v>
      </c>
      <c r="AE484">
        <v>71</v>
      </c>
      <c r="AF484" t="s">
        <v>50</v>
      </c>
      <c r="AH484" t="s">
        <v>467</v>
      </c>
      <c r="AI484">
        <v>155.37</v>
      </c>
      <c r="AJ484" t="s">
        <v>132</v>
      </c>
      <c r="AK484" t="s">
        <v>2029</v>
      </c>
      <c r="AL484" t="s">
        <v>2032</v>
      </c>
      <c r="AM484" t="s">
        <v>170</v>
      </c>
      <c r="AN484" s="1">
        <v>45641</v>
      </c>
      <c r="AO484">
        <v>2024</v>
      </c>
      <c r="AP484">
        <v>12</v>
      </c>
      <c r="AQ484" t="s">
        <v>116</v>
      </c>
      <c r="AS484" t="s">
        <v>85</v>
      </c>
      <c r="AT484">
        <v>2025</v>
      </c>
      <c r="AU484" t="s">
        <v>386</v>
      </c>
      <c r="AV484" t="s">
        <v>170</v>
      </c>
      <c r="AW484" t="s">
        <v>3201</v>
      </c>
      <c r="AX484">
        <v>2025</v>
      </c>
      <c r="AY484" t="s">
        <v>3202</v>
      </c>
      <c r="AZ484" t="s">
        <v>3202</v>
      </c>
    </row>
    <row r="485" spans="1:52" x14ac:dyDescent="0.25">
      <c r="A485" t="s">
        <v>3191</v>
      </c>
      <c r="B485" s="1">
        <v>41545</v>
      </c>
      <c r="C485" t="s">
        <v>3192</v>
      </c>
      <c r="D485">
        <v>477643</v>
      </c>
      <c r="E485" t="s">
        <v>46</v>
      </c>
      <c r="F485" t="s">
        <v>964</v>
      </c>
      <c r="G485" t="s">
        <v>296</v>
      </c>
      <c r="H485" t="s">
        <v>3192</v>
      </c>
      <c r="I485" t="s">
        <v>3194</v>
      </c>
      <c r="J485">
        <v>18</v>
      </c>
      <c r="K485">
        <v>20</v>
      </c>
      <c r="L485">
        <v>-22</v>
      </c>
      <c r="M485">
        <v>20</v>
      </c>
      <c r="N485">
        <v>38</v>
      </c>
      <c r="O485" t="s">
        <v>60</v>
      </c>
      <c r="P485">
        <v>26</v>
      </c>
      <c r="Q485">
        <v>28</v>
      </c>
      <c r="R485">
        <v>30</v>
      </c>
      <c r="S485">
        <v>30</v>
      </c>
      <c r="T485">
        <v>58</v>
      </c>
      <c r="U485" t="s">
        <v>48</v>
      </c>
      <c r="V485">
        <f t="shared" si="21"/>
        <v>5</v>
      </c>
      <c r="W485">
        <f t="shared" si="22"/>
        <v>0</v>
      </c>
      <c r="X485">
        <f t="shared" si="23"/>
        <v>0</v>
      </c>
      <c r="Y485">
        <v>50</v>
      </c>
      <c r="Z485">
        <v>96</v>
      </c>
      <c r="AA485" t="s">
        <v>3193</v>
      </c>
      <c r="AB485" t="s">
        <v>3195</v>
      </c>
      <c r="AC485" t="s">
        <v>49</v>
      </c>
      <c r="AD485">
        <v>999</v>
      </c>
      <c r="AE485">
        <v>35</v>
      </c>
      <c r="AF485" t="s">
        <v>50</v>
      </c>
      <c r="AH485" t="s">
        <v>253</v>
      </c>
      <c r="AI485">
        <v>252.4</v>
      </c>
      <c r="AJ485" t="s">
        <v>52</v>
      </c>
      <c r="AK485" t="s">
        <v>964</v>
      </c>
      <c r="AL485" t="s">
        <v>967</v>
      </c>
      <c r="AM485" t="s">
        <v>68</v>
      </c>
      <c r="AN485" s="1">
        <v>45641</v>
      </c>
      <c r="AO485">
        <v>2024</v>
      </c>
      <c r="AP485">
        <v>12</v>
      </c>
      <c r="AQ485" t="s">
        <v>116</v>
      </c>
      <c r="AS485" t="s">
        <v>85</v>
      </c>
      <c r="AT485">
        <v>2025</v>
      </c>
      <c r="AU485" t="s">
        <v>296</v>
      </c>
      <c r="AV485" t="s">
        <v>68</v>
      </c>
      <c r="AW485" t="s">
        <v>3192</v>
      </c>
      <c r="AX485">
        <v>2025</v>
      </c>
      <c r="AY485" t="s">
        <v>3193</v>
      </c>
      <c r="AZ485" t="s">
        <v>3193</v>
      </c>
    </row>
    <row r="486" spans="1:52" x14ac:dyDescent="0.25">
      <c r="A486" t="s">
        <v>3196</v>
      </c>
      <c r="B486" s="1">
        <v>41700</v>
      </c>
      <c r="C486" t="s">
        <v>3197</v>
      </c>
      <c r="D486">
        <v>492349</v>
      </c>
      <c r="E486" t="s">
        <v>46</v>
      </c>
      <c r="F486" t="s">
        <v>837</v>
      </c>
      <c r="G486" t="s">
        <v>835</v>
      </c>
      <c r="H486" t="s">
        <v>3197</v>
      </c>
      <c r="I486" t="s">
        <v>1515</v>
      </c>
      <c r="J486">
        <v>22</v>
      </c>
      <c r="K486">
        <v>24</v>
      </c>
      <c r="L486">
        <v>-25</v>
      </c>
      <c r="M486">
        <v>24</v>
      </c>
      <c r="N486">
        <v>46</v>
      </c>
      <c r="O486" t="s">
        <v>60</v>
      </c>
      <c r="P486">
        <v>26</v>
      </c>
      <c r="Q486">
        <v>28</v>
      </c>
      <c r="R486">
        <v>-30</v>
      </c>
      <c r="S486">
        <v>28</v>
      </c>
      <c r="T486">
        <v>54</v>
      </c>
      <c r="U486" t="s">
        <v>60</v>
      </c>
      <c r="V486">
        <f t="shared" si="21"/>
        <v>4</v>
      </c>
      <c r="W486">
        <f t="shared" si="22"/>
        <v>0</v>
      </c>
      <c r="X486">
        <f t="shared" si="23"/>
        <v>0</v>
      </c>
      <c r="Y486">
        <v>52</v>
      </c>
      <c r="Z486">
        <v>100</v>
      </c>
      <c r="AA486" t="s">
        <v>3198</v>
      </c>
      <c r="AB486" t="s">
        <v>3199</v>
      </c>
      <c r="AC486" t="s">
        <v>49</v>
      </c>
      <c r="AD486">
        <v>999</v>
      </c>
      <c r="AE486">
        <v>55</v>
      </c>
      <c r="AF486" t="s">
        <v>50</v>
      </c>
      <c r="AH486" t="s">
        <v>82</v>
      </c>
      <c r="AI486">
        <v>176.71</v>
      </c>
      <c r="AJ486" t="s">
        <v>52</v>
      </c>
      <c r="AK486" t="s">
        <v>837</v>
      </c>
      <c r="AL486" t="s">
        <v>840</v>
      </c>
      <c r="AM486" t="s">
        <v>173</v>
      </c>
      <c r="AN486" s="1">
        <v>45640</v>
      </c>
      <c r="AO486">
        <v>2024</v>
      </c>
      <c r="AP486">
        <v>12</v>
      </c>
      <c r="AQ486" t="s">
        <v>116</v>
      </c>
      <c r="AS486" t="s">
        <v>85</v>
      </c>
      <c r="AT486">
        <v>2025</v>
      </c>
      <c r="AU486" t="s">
        <v>835</v>
      </c>
      <c r="AV486" t="s">
        <v>173</v>
      </c>
      <c r="AW486" t="s">
        <v>3197</v>
      </c>
      <c r="AX486">
        <v>2025</v>
      </c>
      <c r="AY486" t="s">
        <v>3198</v>
      </c>
      <c r="AZ486" t="s">
        <v>3198</v>
      </c>
    </row>
    <row r="487" spans="1:52" x14ac:dyDescent="0.25">
      <c r="A487" t="s">
        <v>3204</v>
      </c>
      <c r="B487" s="1">
        <v>38537</v>
      </c>
      <c r="C487" t="s">
        <v>3205</v>
      </c>
      <c r="D487">
        <v>404099</v>
      </c>
      <c r="E487" t="s">
        <v>46</v>
      </c>
      <c r="F487" t="s">
        <v>1209</v>
      </c>
      <c r="G487" t="s">
        <v>78</v>
      </c>
      <c r="H487" t="s">
        <v>3205</v>
      </c>
      <c r="I487" t="s">
        <v>3207</v>
      </c>
      <c r="J487">
        <v>-60</v>
      </c>
      <c r="K487">
        <v>60</v>
      </c>
      <c r="L487">
        <v>-64</v>
      </c>
      <c r="M487">
        <v>60</v>
      </c>
      <c r="N487">
        <v>0</v>
      </c>
      <c r="O487" t="s">
        <v>104</v>
      </c>
      <c r="P487">
        <v>77</v>
      </c>
      <c r="Q487">
        <v>-80</v>
      </c>
      <c r="R487">
        <v>-80</v>
      </c>
      <c r="S487">
        <v>77</v>
      </c>
      <c r="T487">
        <v>0</v>
      </c>
      <c r="U487" t="s">
        <v>55</v>
      </c>
      <c r="V487">
        <f t="shared" si="21"/>
        <v>2</v>
      </c>
      <c r="W487">
        <f t="shared" si="22"/>
        <v>0</v>
      </c>
      <c r="X487">
        <f t="shared" si="23"/>
        <v>0</v>
      </c>
      <c r="Y487">
        <v>137</v>
      </c>
      <c r="Z487">
        <v>0</v>
      </c>
      <c r="AA487" t="s">
        <v>3208</v>
      </c>
      <c r="AB487" t="s">
        <v>99</v>
      </c>
      <c r="AC487" t="s">
        <v>89</v>
      </c>
      <c r="AD487">
        <v>5</v>
      </c>
      <c r="AE487">
        <v>76</v>
      </c>
      <c r="AF487" t="s">
        <v>113</v>
      </c>
      <c r="AH487" t="s">
        <v>916</v>
      </c>
      <c r="AI487">
        <v>164.38</v>
      </c>
      <c r="AJ487" t="s">
        <v>132</v>
      </c>
      <c r="AK487" t="s">
        <v>1209</v>
      </c>
      <c r="AL487" t="s">
        <v>1213</v>
      </c>
      <c r="AM487" t="s">
        <v>68</v>
      </c>
      <c r="AN487" s="1">
        <v>45640</v>
      </c>
      <c r="AO487">
        <v>2024</v>
      </c>
      <c r="AP487">
        <v>12</v>
      </c>
      <c r="AQ487" t="s">
        <v>116</v>
      </c>
      <c r="AS487" t="s">
        <v>85</v>
      </c>
      <c r="AT487">
        <v>2025</v>
      </c>
      <c r="AU487" t="s">
        <v>78</v>
      </c>
      <c r="AV487" t="s">
        <v>68</v>
      </c>
      <c r="AW487" t="s">
        <v>3205</v>
      </c>
      <c r="AX487">
        <v>2025</v>
      </c>
      <c r="AY487" t="s">
        <v>3206</v>
      </c>
      <c r="AZ487" t="s">
        <v>3209</v>
      </c>
    </row>
    <row r="488" spans="1:52" x14ac:dyDescent="0.25">
      <c r="A488" t="s">
        <v>3210</v>
      </c>
      <c r="B488" s="1">
        <v>40444</v>
      </c>
      <c r="C488" t="s">
        <v>3211</v>
      </c>
      <c r="D488">
        <v>462190</v>
      </c>
      <c r="E488" t="s">
        <v>46</v>
      </c>
      <c r="F488" t="s">
        <v>954</v>
      </c>
      <c r="G488" t="s">
        <v>419</v>
      </c>
      <c r="H488" t="s">
        <v>3211</v>
      </c>
      <c r="I488" t="s">
        <v>3213</v>
      </c>
      <c r="J488">
        <v>-40</v>
      </c>
      <c r="K488">
        <v>-40</v>
      </c>
      <c r="L488">
        <v>40</v>
      </c>
      <c r="M488">
        <v>40</v>
      </c>
      <c r="N488">
        <v>0</v>
      </c>
      <c r="O488" t="s">
        <v>102</v>
      </c>
      <c r="P488">
        <v>48</v>
      </c>
      <c r="Q488">
        <v>51</v>
      </c>
      <c r="R488">
        <v>-56</v>
      </c>
      <c r="S488">
        <v>51</v>
      </c>
      <c r="T488">
        <v>99</v>
      </c>
      <c r="U488" t="s">
        <v>60</v>
      </c>
      <c r="V488">
        <f t="shared" si="21"/>
        <v>3</v>
      </c>
      <c r="W488">
        <f t="shared" si="22"/>
        <v>1</v>
      </c>
      <c r="X488">
        <f t="shared" si="23"/>
        <v>0</v>
      </c>
      <c r="Y488">
        <v>91</v>
      </c>
      <c r="Z488">
        <v>99</v>
      </c>
      <c r="AA488" t="s">
        <v>3214</v>
      </c>
      <c r="AB488" t="s">
        <v>3215</v>
      </c>
      <c r="AC488" t="s">
        <v>93</v>
      </c>
      <c r="AD488">
        <v>6</v>
      </c>
      <c r="AE488">
        <v>71</v>
      </c>
      <c r="AF488" t="s">
        <v>57</v>
      </c>
      <c r="AH488" t="s">
        <v>752</v>
      </c>
      <c r="AI488">
        <v>111.6</v>
      </c>
      <c r="AJ488" t="s">
        <v>132</v>
      </c>
      <c r="AK488" t="s">
        <v>954</v>
      </c>
      <c r="AL488" t="s">
        <v>957</v>
      </c>
      <c r="AM488" t="s">
        <v>133</v>
      </c>
      <c r="AN488" s="1">
        <v>45641</v>
      </c>
      <c r="AO488">
        <v>2024</v>
      </c>
      <c r="AP488">
        <v>12</v>
      </c>
      <c r="AQ488" t="s">
        <v>116</v>
      </c>
      <c r="AS488" t="s">
        <v>85</v>
      </c>
      <c r="AT488">
        <v>2025</v>
      </c>
      <c r="AU488" t="s">
        <v>419</v>
      </c>
      <c r="AV488" t="s">
        <v>133</v>
      </c>
      <c r="AW488" t="s">
        <v>3211</v>
      </c>
      <c r="AX488">
        <v>2025</v>
      </c>
      <c r="AY488" t="s">
        <v>3212</v>
      </c>
      <c r="AZ488" t="s">
        <v>3216</v>
      </c>
    </row>
    <row r="489" spans="1:52" x14ac:dyDescent="0.25">
      <c r="A489" t="s">
        <v>3217</v>
      </c>
      <c r="B489" s="1">
        <v>40291</v>
      </c>
      <c r="C489" t="s">
        <v>3218</v>
      </c>
      <c r="D489">
        <v>462189</v>
      </c>
      <c r="E489" t="s">
        <v>46</v>
      </c>
      <c r="F489" t="s">
        <v>954</v>
      </c>
      <c r="G489" t="s">
        <v>419</v>
      </c>
      <c r="H489" t="s">
        <v>3218</v>
      </c>
      <c r="I489" t="s">
        <v>2407</v>
      </c>
      <c r="J489">
        <v>33</v>
      </c>
      <c r="K489">
        <v>35</v>
      </c>
      <c r="L489">
        <v>37</v>
      </c>
      <c r="M489">
        <v>37</v>
      </c>
      <c r="N489">
        <v>72</v>
      </c>
      <c r="O489" t="s">
        <v>48</v>
      </c>
      <c r="P489">
        <v>38</v>
      </c>
      <c r="Q489">
        <v>40</v>
      </c>
      <c r="R489">
        <v>43</v>
      </c>
      <c r="S489">
        <v>43</v>
      </c>
      <c r="T489">
        <v>83</v>
      </c>
      <c r="U489" t="s">
        <v>48</v>
      </c>
      <c r="V489">
        <f t="shared" si="21"/>
        <v>6</v>
      </c>
      <c r="W489">
        <f t="shared" si="22"/>
        <v>0</v>
      </c>
      <c r="X489">
        <f t="shared" si="23"/>
        <v>0</v>
      </c>
      <c r="Y489">
        <v>80</v>
      </c>
      <c r="Z489">
        <v>155</v>
      </c>
      <c r="AA489" t="s">
        <v>3219</v>
      </c>
      <c r="AB489" t="s">
        <v>3220</v>
      </c>
      <c r="AC489" t="s">
        <v>89</v>
      </c>
      <c r="AD489">
        <v>5</v>
      </c>
      <c r="AE489">
        <v>49</v>
      </c>
      <c r="AF489" t="s">
        <v>57</v>
      </c>
      <c r="AH489" t="s">
        <v>784</v>
      </c>
      <c r="AI489">
        <v>129.59</v>
      </c>
      <c r="AJ489" t="s">
        <v>132</v>
      </c>
      <c r="AK489" t="s">
        <v>954</v>
      </c>
      <c r="AL489" t="s">
        <v>957</v>
      </c>
      <c r="AM489" t="s">
        <v>133</v>
      </c>
      <c r="AN489" s="1">
        <v>45641</v>
      </c>
      <c r="AO489">
        <v>2024</v>
      </c>
      <c r="AP489">
        <v>12</v>
      </c>
      <c r="AQ489" t="s">
        <v>116</v>
      </c>
      <c r="AS489" t="s">
        <v>85</v>
      </c>
      <c r="AT489">
        <v>2025</v>
      </c>
      <c r="AU489" t="s">
        <v>419</v>
      </c>
      <c r="AV489" t="s">
        <v>133</v>
      </c>
      <c r="AW489" t="s">
        <v>3218</v>
      </c>
      <c r="AX489">
        <v>2025</v>
      </c>
      <c r="AY489" t="s">
        <v>3219</v>
      </c>
      <c r="AZ489" t="s">
        <v>3219</v>
      </c>
    </row>
    <row r="490" spans="1:52" x14ac:dyDescent="0.25">
      <c r="A490" t="s">
        <v>3221</v>
      </c>
      <c r="B490" s="1">
        <v>34802</v>
      </c>
      <c r="C490" t="s">
        <v>3222</v>
      </c>
      <c r="D490">
        <v>472115</v>
      </c>
      <c r="E490" t="s">
        <v>831</v>
      </c>
      <c r="F490" t="s">
        <v>338</v>
      </c>
      <c r="G490" t="s">
        <v>124</v>
      </c>
      <c r="H490" t="s">
        <v>3222</v>
      </c>
      <c r="I490">
        <v>49</v>
      </c>
      <c r="J490">
        <v>-54</v>
      </c>
      <c r="K490">
        <v>54</v>
      </c>
      <c r="L490">
        <v>-59</v>
      </c>
      <c r="M490">
        <v>54</v>
      </c>
      <c r="N490">
        <v>0</v>
      </c>
      <c r="O490" t="s">
        <v>104</v>
      </c>
      <c r="P490">
        <v>-62</v>
      </c>
      <c r="Q490">
        <v>-66</v>
      </c>
      <c r="R490">
        <v>-66</v>
      </c>
      <c r="S490">
        <v>0</v>
      </c>
      <c r="T490">
        <v>0</v>
      </c>
      <c r="U490" t="s">
        <v>108</v>
      </c>
      <c r="V490">
        <f t="shared" si="21"/>
        <v>1</v>
      </c>
      <c r="W490">
        <f t="shared" si="22"/>
        <v>0</v>
      </c>
      <c r="X490">
        <f t="shared" si="23"/>
        <v>0</v>
      </c>
      <c r="Y490">
        <v>54</v>
      </c>
      <c r="Z490">
        <v>0</v>
      </c>
      <c r="AA490" t="s">
        <v>1029</v>
      </c>
      <c r="AB490" t="s">
        <v>99</v>
      </c>
      <c r="AC490" t="s">
        <v>49</v>
      </c>
      <c r="AD490">
        <v>999</v>
      </c>
      <c r="AE490">
        <v>49</v>
      </c>
      <c r="AF490" t="s">
        <v>126</v>
      </c>
      <c r="AH490" t="s">
        <v>195</v>
      </c>
      <c r="AI490">
        <v>0</v>
      </c>
      <c r="AJ490" t="s">
        <v>132</v>
      </c>
      <c r="AK490" t="s">
        <v>338</v>
      </c>
      <c r="AL490" t="s">
        <v>340</v>
      </c>
      <c r="AM490" t="s">
        <v>128</v>
      </c>
      <c r="AN490" s="1">
        <v>45640</v>
      </c>
      <c r="AO490">
        <v>2024</v>
      </c>
      <c r="AP490">
        <v>12</v>
      </c>
      <c r="AQ490" t="s">
        <v>116</v>
      </c>
      <c r="AS490" t="s">
        <v>85</v>
      </c>
      <c r="AT490">
        <v>2025</v>
      </c>
      <c r="AU490" t="s">
        <v>124</v>
      </c>
      <c r="AV490" t="s">
        <v>128</v>
      </c>
      <c r="AW490" t="s">
        <v>3222</v>
      </c>
      <c r="AX490">
        <v>2025</v>
      </c>
      <c r="AY490" t="s">
        <v>1911</v>
      </c>
      <c r="AZ490" t="s">
        <v>1546</v>
      </c>
    </row>
    <row r="491" spans="1:52" x14ac:dyDescent="0.25">
      <c r="A491" t="s">
        <v>3610</v>
      </c>
      <c r="B491" s="1">
        <v>39968</v>
      </c>
      <c r="C491" t="s">
        <v>3611</v>
      </c>
      <c r="D491">
        <v>484908</v>
      </c>
      <c r="E491" t="s">
        <v>46</v>
      </c>
      <c r="F491" t="s">
        <v>859</v>
      </c>
      <c r="G491" t="s">
        <v>120</v>
      </c>
      <c r="H491" t="s">
        <v>3611</v>
      </c>
      <c r="I491" t="s">
        <v>481</v>
      </c>
      <c r="J491">
        <v>70</v>
      </c>
      <c r="K491">
        <v>75</v>
      </c>
      <c r="L491">
        <v>-80</v>
      </c>
      <c r="M491">
        <v>75</v>
      </c>
      <c r="N491">
        <v>145</v>
      </c>
      <c r="O491" t="s">
        <v>60</v>
      </c>
      <c r="P491">
        <v>95</v>
      </c>
      <c r="Q491">
        <v>100</v>
      </c>
      <c r="R491">
        <v>-105</v>
      </c>
      <c r="S491">
        <v>100</v>
      </c>
      <c r="T491">
        <v>195</v>
      </c>
      <c r="U491" t="s">
        <v>60</v>
      </c>
      <c r="V491">
        <f t="shared" si="21"/>
        <v>4</v>
      </c>
      <c r="W491">
        <f t="shared" si="22"/>
        <v>0</v>
      </c>
      <c r="X491">
        <f t="shared" si="23"/>
        <v>0</v>
      </c>
      <c r="Y491">
        <v>175</v>
      </c>
      <c r="Z491">
        <v>340</v>
      </c>
      <c r="AA491" t="s">
        <v>3612</v>
      </c>
      <c r="AB491" t="s">
        <v>3613</v>
      </c>
      <c r="AC491" t="s">
        <v>89</v>
      </c>
      <c r="AD491">
        <v>5</v>
      </c>
      <c r="AE491">
        <v>67</v>
      </c>
      <c r="AF491" t="s">
        <v>95</v>
      </c>
      <c r="AH491" t="s">
        <v>105</v>
      </c>
      <c r="AI491">
        <v>250.44</v>
      </c>
      <c r="AJ491" t="s">
        <v>52</v>
      </c>
      <c r="AK491" t="s">
        <v>859</v>
      </c>
      <c r="AL491" t="s">
        <v>862</v>
      </c>
      <c r="AM491" t="s">
        <v>123</v>
      </c>
      <c r="AN491" s="1">
        <v>45640</v>
      </c>
      <c r="AO491">
        <v>2024</v>
      </c>
      <c r="AP491">
        <v>12</v>
      </c>
      <c r="AQ491" t="s">
        <v>116</v>
      </c>
      <c r="AS491" t="s">
        <v>85</v>
      </c>
      <c r="AT491">
        <v>2025</v>
      </c>
      <c r="AU491" t="s">
        <v>120</v>
      </c>
      <c r="AV491" t="s">
        <v>123</v>
      </c>
      <c r="AW491" t="s">
        <v>3611</v>
      </c>
      <c r="AX491">
        <v>2025</v>
      </c>
      <c r="AY491" t="s">
        <v>3612</v>
      </c>
      <c r="AZ491" t="s">
        <v>3612</v>
      </c>
    </row>
    <row r="492" spans="1:52" x14ac:dyDescent="0.25">
      <c r="A492" t="s">
        <v>3298</v>
      </c>
      <c r="B492" s="1">
        <v>41478</v>
      </c>
      <c r="C492" t="s">
        <v>3299</v>
      </c>
      <c r="D492">
        <v>475435</v>
      </c>
      <c r="E492" t="s">
        <v>46</v>
      </c>
      <c r="F492" t="s">
        <v>1360</v>
      </c>
      <c r="G492" t="s">
        <v>883</v>
      </c>
      <c r="H492" t="s">
        <v>3299</v>
      </c>
      <c r="I492" t="s">
        <v>778</v>
      </c>
      <c r="J492">
        <v>14</v>
      </c>
      <c r="K492">
        <v>16</v>
      </c>
      <c r="L492">
        <v>-18</v>
      </c>
      <c r="M492">
        <v>16</v>
      </c>
      <c r="N492">
        <v>30</v>
      </c>
      <c r="O492" t="s">
        <v>60</v>
      </c>
      <c r="P492">
        <v>18</v>
      </c>
      <c r="Q492">
        <v>20</v>
      </c>
      <c r="R492">
        <v>22</v>
      </c>
      <c r="S492">
        <v>22</v>
      </c>
      <c r="T492">
        <v>42</v>
      </c>
      <c r="U492" t="s">
        <v>48</v>
      </c>
      <c r="V492">
        <f t="shared" si="21"/>
        <v>5</v>
      </c>
      <c r="W492">
        <f t="shared" si="22"/>
        <v>0</v>
      </c>
      <c r="X492">
        <f t="shared" si="23"/>
        <v>0</v>
      </c>
      <c r="Y492">
        <v>38</v>
      </c>
      <c r="Z492">
        <v>72</v>
      </c>
      <c r="AA492" t="s">
        <v>3301</v>
      </c>
      <c r="AB492" t="s">
        <v>3302</v>
      </c>
      <c r="AC492" t="s">
        <v>49</v>
      </c>
      <c r="AD492">
        <v>999</v>
      </c>
      <c r="AE492">
        <v>35</v>
      </c>
      <c r="AF492" t="s">
        <v>50</v>
      </c>
      <c r="AH492" t="s">
        <v>253</v>
      </c>
      <c r="AI492">
        <v>241.22</v>
      </c>
      <c r="AJ492" t="s">
        <v>52</v>
      </c>
      <c r="AK492" t="s">
        <v>1360</v>
      </c>
      <c r="AL492" t="s">
        <v>1364</v>
      </c>
      <c r="AM492" t="s">
        <v>68</v>
      </c>
      <c r="AN492" s="1">
        <v>45640</v>
      </c>
      <c r="AO492">
        <v>2024</v>
      </c>
      <c r="AP492">
        <v>12</v>
      </c>
      <c r="AQ492" t="s">
        <v>116</v>
      </c>
      <c r="AS492" t="s">
        <v>85</v>
      </c>
      <c r="AT492">
        <v>2025</v>
      </c>
      <c r="AU492" t="s">
        <v>883</v>
      </c>
      <c r="AV492" t="s">
        <v>68</v>
      </c>
      <c r="AW492" t="s">
        <v>3299</v>
      </c>
      <c r="AX492">
        <v>2025</v>
      </c>
      <c r="AY492" t="s">
        <v>3300</v>
      </c>
      <c r="AZ492" t="s">
        <v>3300</v>
      </c>
    </row>
    <row r="493" spans="1:52" x14ac:dyDescent="0.25">
      <c r="A493" t="s">
        <v>3303</v>
      </c>
      <c r="B493" s="1">
        <v>40379</v>
      </c>
      <c r="C493" t="s">
        <v>3304</v>
      </c>
      <c r="D493">
        <v>504294</v>
      </c>
      <c r="E493" t="s">
        <v>46</v>
      </c>
      <c r="F493" t="s">
        <v>582</v>
      </c>
      <c r="G493" t="s">
        <v>2910</v>
      </c>
      <c r="H493" t="s">
        <v>3304</v>
      </c>
      <c r="I493" t="s">
        <v>250</v>
      </c>
      <c r="J493">
        <v>-25</v>
      </c>
      <c r="K493">
        <v>25</v>
      </c>
      <c r="L493">
        <v>28</v>
      </c>
      <c r="M493">
        <v>28</v>
      </c>
      <c r="N493">
        <v>53</v>
      </c>
      <c r="O493" t="s">
        <v>63</v>
      </c>
      <c r="P493">
        <v>30</v>
      </c>
      <c r="Q493">
        <v>33</v>
      </c>
      <c r="R493">
        <v>35</v>
      </c>
      <c r="S493">
        <v>35</v>
      </c>
      <c r="T493">
        <v>68</v>
      </c>
      <c r="U493" t="s">
        <v>48</v>
      </c>
      <c r="V493">
        <f t="shared" si="21"/>
        <v>5</v>
      </c>
      <c r="W493">
        <f t="shared" si="22"/>
        <v>0</v>
      </c>
      <c r="X493">
        <f t="shared" si="23"/>
        <v>0</v>
      </c>
      <c r="Y493">
        <v>63</v>
      </c>
      <c r="Z493">
        <v>121</v>
      </c>
      <c r="AA493" t="s">
        <v>3305</v>
      </c>
      <c r="AB493" t="s">
        <v>3306</v>
      </c>
      <c r="AC493" t="s">
        <v>49</v>
      </c>
      <c r="AD493">
        <v>999</v>
      </c>
      <c r="AE493">
        <v>73</v>
      </c>
      <c r="AF493" t="s">
        <v>57</v>
      </c>
      <c r="AH493" t="s">
        <v>244</v>
      </c>
      <c r="AI493">
        <v>88.49</v>
      </c>
      <c r="AJ493" t="s">
        <v>52</v>
      </c>
      <c r="AK493" t="s">
        <v>582</v>
      </c>
      <c r="AL493" t="s">
        <v>585</v>
      </c>
      <c r="AM493" t="s">
        <v>170</v>
      </c>
      <c r="AN493" s="1">
        <v>45640</v>
      </c>
      <c r="AO493">
        <v>2024</v>
      </c>
      <c r="AP493">
        <v>12</v>
      </c>
      <c r="AQ493" t="s">
        <v>116</v>
      </c>
      <c r="AS493" t="s">
        <v>85</v>
      </c>
      <c r="AT493">
        <v>2025</v>
      </c>
      <c r="AU493" t="s">
        <v>2910</v>
      </c>
      <c r="AV493" t="s">
        <v>170</v>
      </c>
      <c r="AW493" t="s">
        <v>3304</v>
      </c>
      <c r="AX493">
        <v>2025</v>
      </c>
      <c r="AY493" t="s">
        <v>3305</v>
      </c>
      <c r="AZ493" t="s">
        <v>3305</v>
      </c>
    </row>
    <row r="494" spans="1:52" x14ac:dyDescent="0.25">
      <c r="A494" t="s">
        <v>3307</v>
      </c>
      <c r="B494" s="1">
        <v>41790</v>
      </c>
      <c r="C494" t="s">
        <v>3308</v>
      </c>
      <c r="D494">
        <v>501279</v>
      </c>
      <c r="E494" t="s">
        <v>46</v>
      </c>
      <c r="F494" t="s">
        <v>964</v>
      </c>
      <c r="G494" t="s">
        <v>255</v>
      </c>
      <c r="H494" t="s">
        <v>3308</v>
      </c>
      <c r="I494" t="s">
        <v>1127</v>
      </c>
      <c r="J494">
        <v>11</v>
      </c>
      <c r="K494">
        <v>12</v>
      </c>
      <c r="L494">
        <v>13</v>
      </c>
      <c r="M494">
        <v>13</v>
      </c>
      <c r="N494">
        <v>25</v>
      </c>
      <c r="O494" t="s">
        <v>48</v>
      </c>
      <c r="P494">
        <v>17</v>
      </c>
      <c r="Q494">
        <v>19</v>
      </c>
      <c r="R494">
        <v>21</v>
      </c>
      <c r="S494">
        <v>21</v>
      </c>
      <c r="T494">
        <v>40</v>
      </c>
      <c r="U494" t="s">
        <v>48</v>
      </c>
      <c r="V494">
        <f t="shared" si="21"/>
        <v>6</v>
      </c>
      <c r="W494">
        <f t="shared" si="22"/>
        <v>0</v>
      </c>
      <c r="X494">
        <f t="shared" si="23"/>
        <v>0</v>
      </c>
      <c r="Y494">
        <v>34</v>
      </c>
      <c r="Z494">
        <v>65</v>
      </c>
      <c r="AA494" t="s">
        <v>3309</v>
      </c>
      <c r="AB494" t="s">
        <v>3310</v>
      </c>
      <c r="AC494" t="s">
        <v>49</v>
      </c>
      <c r="AD494">
        <v>999</v>
      </c>
      <c r="AE494">
        <v>35</v>
      </c>
      <c r="AF494" t="s">
        <v>50</v>
      </c>
      <c r="AH494" t="s">
        <v>253</v>
      </c>
      <c r="AI494">
        <v>196.66</v>
      </c>
      <c r="AJ494" t="s">
        <v>52</v>
      </c>
      <c r="AK494" t="s">
        <v>964</v>
      </c>
      <c r="AL494" t="s">
        <v>967</v>
      </c>
      <c r="AM494" t="s">
        <v>68</v>
      </c>
      <c r="AN494" s="1">
        <v>45641</v>
      </c>
      <c r="AO494">
        <v>2024</v>
      </c>
      <c r="AP494">
        <v>12</v>
      </c>
      <c r="AQ494" t="s">
        <v>116</v>
      </c>
      <c r="AS494" t="s">
        <v>85</v>
      </c>
      <c r="AT494">
        <v>2025</v>
      </c>
      <c r="AU494" t="s">
        <v>255</v>
      </c>
      <c r="AV494" t="s">
        <v>68</v>
      </c>
      <c r="AW494" t="s">
        <v>3308</v>
      </c>
      <c r="AX494">
        <v>2025</v>
      </c>
      <c r="AY494" t="s">
        <v>3309</v>
      </c>
      <c r="AZ494" t="s">
        <v>3309</v>
      </c>
    </row>
    <row r="495" spans="1:52" x14ac:dyDescent="0.25">
      <c r="A495" t="s">
        <v>3258</v>
      </c>
      <c r="B495" s="1">
        <v>38531</v>
      </c>
      <c r="C495" t="s">
        <v>3259</v>
      </c>
      <c r="D495">
        <v>493453</v>
      </c>
      <c r="E495" t="s">
        <v>46</v>
      </c>
      <c r="F495" t="s">
        <v>1221</v>
      </c>
      <c r="G495" t="s">
        <v>335</v>
      </c>
      <c r="H495" t="s">
        <v>3259</v>
      </c>
      <c r="I495" t="s">
        <v>428</v>
      </c>
      <c r="J495">
        <v>50</v>
      </c>
      <c r="K495">
        <v>-54</v>
      </c>
      <c r="L495">
        <v>-54</v>
      </c>
      <c r="M495">
        <v>50</v>
      </c>
      <c r="N495">
        <v>0</v>
      </c>
      <c r="O495" t="s">
        <v>55</v>
      </c>
      <c r="P495">
        <v>-58</v>
      </c>
      <c r="Q495">
        <v>58</v>
      </c>
      <c r="R495">
        <v>-60</v>
      </c>
      <c r="S495">
        <v>58</v>
      </c>
      <c r="T495">
        <v>0</v>
      </c>
      <c r="U495" t="s">
        <v>104</v>
      </c>
      <c r="V495">
        <f t="shared" si="21"/>
        <v>2</v>
      </c>
      <c r="W495">
        <f t="shared" si="22"/>
        <v>0</v>
      </c>
      <c r="X495">
        <f t="shared" si="23"/>
        <v>0</v>
      </c>
      <c r="Y495">
        <v>108</v>
      </c>
      <c r="Z495">
        <v>0</v>
      </c>
      <c r="AA495" t="s">
        <v>3260</v>
      </c>
      <c r="AB495" t="s">
        <v>99</v>
      </c>
      <c r="AC495" t="s">
        <v>64</v>
      </c>
      <c r="AD495">
        <v>7</v>
      </c>
      <c r="AE495">
        <v>87</v>
      </c>
      <c r="AF495" t="s">
        <v>113</v>
      </c>
      <c r="AH495" t="s">
        <v>882</v>
      </c>
      <c r="AI495">
        <v>121.49</v>
      </c>
      <c r="AJ495" t="s">
        <v>132</v>
      </c>
      <c r="AK495" t="s">
        <v>1221</v>
      </c>
      <c r="AL495" t="s">
        <v>1223</v>
      </c>
      <c r="AM495" t="s">
        <v>128</v>
      </c>
      <c r="AN495" s="1">
        <v>45641</v>
      </c>
      <c r="AO495">
        <v>2024</v>
      </c>
      <c r="AP495">
        <v>12</v>
      </c>
      <c r="AQ495" t="s">
        <v>116</v>
      </c>
      <c r="AS495" t="s">
        <v>85</v>
      </c>
      <c r="AT495">
        <v>2025</v>
      </c>
      <c r="AU495" t="s">
        <v>335</v>
      </c>
      <c r="AV495" t="s">
        <v>128</v>
      </c>
      <c r="AW495" t="s">
        <v>3259</v>
      </c>
      <c r="AX495">
        <v>2025</v>
      </c>
      <c r="AY495" t="s">
        <v>3260</v>
      </c>
      <c r="AZ495" t="s">
        <v>3260</v>
      </c>
    </row>
    <row r="496" spans="1:52" x14ac:dyDescent="0.25">
      <c r="A496" t="s">
        <v>3261</v>
      </c>
      <c r="B496" s="1">
        <v>38981</v>
      </c>
      <c r="C496" t="s">
        <v>3262</v>
      </c>
      <c r="D496">
        <v>504534</v>
      </c>
      <c r="E496" t="s">
        <v>46</v>
      </c>
      <c r="F496" t="s">
        <v>859</v>
      </c>
      <c r="G496" t="s">
        <v>120</v>
      </c>
      <c r="H496" t="s">
        <v>3262</v>
      </c>
      <c r="I496" t="s">
        <v>239</v>
      </c>
      <c r="J496">
        <v>48</v>
      </c>
      <c r="K496">
        <v>50</v>
      </c>
      <c r="L496">
        <v>-53</v>
      </c>
      <c r="M496">
        <v>50</v>
      </c>
      <c r="N496">
        <v>98</v>
      </c>
      <c r="O496" t="s">
        <v>60</v>
      </c>
      <c r="P496">
        <v>60</v>
      </c>
      <c r="Q496">
        <v>65</v>
      </c>
      <c r="R496">
        <v>-70</v>
      </c>
      <c r="S496">
        <v>65</v>
      </c>
      <c r="T496">
        <v>125</v>
      </c>
      <c r="U496" t="s">
        <v>60</v>
      </c>
      <c r="V496">
        <f t="shared" si="21"/>
        <v>4</v>
      </c>
      <c r="W496">
        <f t="shared" si="22"/>
        <v>0</v>
      </c>
      <c r="X496">
        <f t="shared" si="23"/>
        <v>0</v>
      </c>
      <c r="Y496">
        <v>115</v>
      </c>
      <c r="Z496">
        <v>223</v>
      </c>
      <c r="AA496" t="s">
        <v>3263</v>
      </c>
      <c r="AB496" t="s">
        <v>3264</v>
      </c>
      <c r="AC496" t="s">
        <v>93</v>
      </c>
      <c r="AD496">
        <v>6</v>
      </c>
      <c r="AE496">
        <v>76</v>
      </c>
      <c r="AF496" t="s">
        <v>113</v>
      </c>
      <c r="AH496" t="s">
        <v>916</v>
      </c>
      <c r="AI496">
        <v>138.82</v>
      </c>
      <c r="AJ496" t="s">
        <v>132</v>
      </c>
      <c r="AK496" t="s">
        <v>859</v>
      </c>
      <c r="AL496" t="s">
        <v>862</v>
      </c>
      <c r="AM496" t="s">
        <v>123</v>
      </c>
      <c r="AN496" s="1">
        <v>45640</v>
      </c>
      <c r="AO496">
        <v>2024</v>
      </c>
      <c r="AP496">
        <v>12</v>
      </c>
      <c r="AQ496" t="s">
        <v>116</v>
      </c>
      <c r="AS496" t="s">
        <v>85</v>
      </c>
      <c r="AT496">
        <v>2025</v>
      </c>
      <c r="AU496" t="s">
        <v>120</v>
      </c>
      <c r="AV496" t="s">
        <v>123</v>
      </c>
      <c r="AW496" t="s">
        <v>3262</v>
      </c>
      <c r="AX496">
        <v>2025</v>
      </c>
      <c r="AY496" t="s">
        <v>3263</v>
      </c>
      <c r="AZ496" t="s">
        <v>3263</v>
      </c>
    </row>
    <row r="497" spans="1:52" x14ac:dyDescent="0.25">
      <c r="A497" t="s">
        <v>3265</v>
      </c>
      <c r="B497" s="1">
        <v>37268</v>
      </c>
      <c r="C497" t="s">
        <v>3266</v>
      </c>
      <c r="D497">
        <v>498033</v>
      </c>
      <c r="E497" t="s">
        <v>46</v>
      </c>
      <c r="F497" t="s">
        <v>338</v>
      </c>
      <c r="G497" t="s">
        <v>427</v>
      </c>
      <c r="H497" t="s">
        <v>3266</v>
      </c>
      <c r="I497" t="s">
        <v>311</v>
      </c>
      <c r="J497">
        <v>-68</v>
      </c>
      <c r="K497">
        <v>68</v>
      </c>
      <c r="L497">
        <v>70</v>
      </c>
      <c r="M497">
        <v>70</v>
      </c>
      <c r="N497">
        <v>138</v>
      </c>
      <c r="O497" t="s">
        <v>63</v>
      </c>
      <c r="P497">
        <v>82</v>
      </c>
      <c r="Q497">
        <v>-85</v>
      </c>
      <c r="R497">
        <v>-85</v>
      </c>
      <c r="S497">
        <v>82</v>
      </c>
      <c r="T497">
        <v>0</v>
      </c>
      <c r="U497" t="s">
        <v>55</v>
      </c>
      <c r="V497">
        <f t="shared" si="21"/>
        <v>3</v>
      </c>
      <c r="W497">
        <f t="shared" si="22"/>
        <v>0</v>
      </c>
      <c r="X497">
        <f t="shared" si="23"/>
        <v>0</v>
      </c>
      <c r="Y497">
        <v>152</v>
      </c>
      <c r="Z497">
        <v>138</v>
      </c>
      <c r="AA497" t="s">
        <v>1544</v>
      </c>
      <c r="AB497" t="s">
        <v>1988</v>
      </c>
      <c r="AC497" t="s">
        <v>89</v>
      </c>
      <c r="AD497">
        <v>5</v>
      </c>
      <c r="AE497">
        <v>71</v>
      </c>
      <c r="AF497" t="s">
        <v>126</v>
      </c>
      <c r="AH497" t="s">
        <v>226</v>
      </c>
      <c r="AI497">
        <v>192.26</v>
      </c>
      <c r="AJ497" t="s">
        <v>132</v>
      </c>
      <c r="AK497" t="s">
        <v>338</v>
      </c>
      <c r="AL497" t="s">
        <v>340</v>
      </c>
      <c r="AM497" t="s">
        <v>128</v>
      </c>
      <c r="AN497" s="1">
        <v>45640</v>
      </c>
      <c r="AO497">
        <v>2024</v>
      </c>
      <c r="AP497">
        <v>12</v>
      </c>
      <c r="AQ497" t="s">
        <v>116</v>
      </c>
      <c r="AS497" t="s">
        <v>85</v>
      </c>
      <c r="AT497">
        <v>2025</v>
      </c>
      <c r="AU497" t="s">
        <v>427</v>
      </c>
      <c r="AV497" t="s">
        <v>128</v>
      </c>
      <c r="AW497" t="s">
        <v>3266</v>
      </c>
      <c r="AX497">
        <v>2025</v>
      </c>
      <c r="AY497" t="s">
        <v>1544</v>
      </c>
      <c r="AZ497" t="s">
        <v>1544</v>
      </c>
    </row>
    <row r="498" spans="1:52" x14ac:dyDescent="0.25">
      <c r="A498" t="s">
        <v>3267</v>
      </c>
      <c r="B498" s="1">
        <v>38042</v>
      </c>
      <c r="C498" t="s">
        <v>3268</v>
      </c>
      <c r="D498">
        <v>430671</v>
      </c>
      <c r="E498" t="s">
        <v>46</v>
      </c>
      <c r="F498" t="s">
        <v>845</v>
      </c>
      <c r="G498" t="s">
        <v>396</v>
      </c>
      <c r="H498" t="s">
        <v>3268</v>
      </c>
      <c r="I498" t="s">
        <v>188</v>
      </c>
      <c r="J498">
        <v>75</v>
      </c>
      <c r="K498">
        <v>80</v>
      </c>
      <c r="L498">
        <v>85</v>
      </c>
      <c r="M498">
        <v>85</v>
      </c>
      <c r="N498">
        <v>165</v>
      </c>
      <c r="O498" t="s">
        <v>48</v>
      </c>
      <c r="P498">
        <v>95</v>
      </c>
      <c r="Q498">
        <v>100</v>
      </c>
      <c r="R498">
        <v>105</v>
      </c>
      <c r="S498">
        <v>105</v>
      </c>
      <c r="T498">
        <v>205</v>
      </c>
      <c r="U498" t="s">
        <v>48</v>
      </c>
      <c r="V498">
        <f t="shared" si="21"/>
        <v>6</v>
      </c>
      <c r="W498">
        <f t="shared" si="22"/>
        <v>0</v>
      </c>
      <c r="X498">
        <f t="shared" si="23"/>
        <v>0</v>
      </c>
      <c r="Y498">
        <v>190</v>
      </c>
      <c r="Z498">
        <v>370</v>
      </c>
      <c r="AA498" t="s">
        <v>3270</v>
      </c>
      <c r="AB498" t="s">
        <v>3271</v>
      </c>
      <c r="AC498" t="s">
        <v>98</v>
      </c>
      <c r="AD498">
        <v>3</v>
      </c>
      <c r="AE498">
        <v>64</v>
      </c>
      <c r="AF498" t="s">
        <v>126</v>
      </c>
      <c r="AH498" t="s">
        <v>167</v>
      </c>
      <c r="AI498">
        <v>254.99</v>
      </c>
      <c r="AJ498" t="s">
        <v>132</v>
      </c>
      <c r="AK498" t="s">
        <v>845</v>
      </c>
      <c r="AL498" t="s">
        <v>848</v>
      </c>
      <c r="AM498" t="s">
        <v>302</v>
      </c>
      <c r="AN498" s="1">
        <v>45640</v>
      </c>
      <c r="AO498">
        <v>2024</v>
      </c>
      <c r="AP498">
        <v>12</v>
      </c>
      <c r="AQ498" t="s">
        <v>116</v>
      </c>
      <c r="AS498" t="s">
        <v>85</v>
      </c>
      <c r="AT498">
        <v>2025</v>
      </c>
      <c r="AU498" t="s">
        <v>396</v>
      </c>
      <c r="AV498" t="s">
        <v>303</v>
      </c>
      <c r="AW498" t="s">
        <v>3268</v>
      </c>
      <c r="AX498">
        <v>2025</v>
      </c>
      <c r="AY498" t="s">
        <v>3269</v>
      </c>
      <c r="AZ498" t="s">
        <v>3269</v>
      </c>
    </row>
    <row r="499" spans="1:52" x14ac:dyDescent="0.25">
      <c r="A499" t="s">
        <v>3272</v>
      </c>
      <c r="B499" s="1">
        <v>39559</v>
      </c>
      <c r="C499" t="s">
        <v>3273</v>
      </c>
      <c r="D499">
        <v>441773</v>
      </c>
      <c r="E499" t="s">
        <v>46</v>
      </c>
      <c r="F499" t="s">
        <v>1300</v>
      </c>
      <c r="G499" t="s">
        <v>386</v>
      </c>
      <c r="H499" t="s">
        <v>3273</v>
      </c>
      <c r="I499" t="s">
        <v>294</v>
      </c>
      <c r="J499">
        <v>40</v>
      </c>
      <c r="K499">
        <v>43</v>
      </c>
      <c r="L499">
        <v>-45</v>
      </c>
      <c r="M499">
        <v>43</v>
      </c>
      <c r="N499">
        <v>83</v>
      </c>
      <c r="O499" t="s">
        <v>60</v>
      </c>
      <c r="P499">
        <v>51</v>
      </c>
      <c r="Q499">
        <v>54</v>
      </c>
      <c r="R499">
        <v>-56</v>
      </c>
      <c r="S499">
        <v>54</v>
      </c>
      <c r="T499">
        <v>105</v>
      </c>
      <c r="U499" t="s">
        <v>60</v>
      </c>
      <c r="V499">
        <f t="shared" si="21"/>
        <v>4</v>
      </c>
      <c r="W499">
        <f t="shared" si="22"/>
        <v>0</v>
      </c>
      <c r="X499">
        <f t="shared" si="23"/>
        <v>0</v>
      </c>
      <c r="Y499">
        <v>97</v>
      </c>
      <c r="Z499">
        <v>188</v>
      </c>
      <c r="AA499" t="s">
        <v>3275</v>
      </c>
      <c r="AB499" t="s">
        <v>3276</v>
      </c>
      <c r="AC499" t="s">
        <v>89</v>
      </c>
      <c r="AD499">
        <v>5</v>
      </c>
      <c r="AE499">
        <v>49</v>
      </c>
      <c r="AF499" t="s">
        <v>95</v>
      </c>
      <c r="AH499" t="s">
        <v>330</v>
      </c>
      <c r="AI499">
        <v>153.01</v>
      </c>
      <c r="AJ499" t="s">
        <v>132</v>
      </c>
      <c r="AK499" t="s">
        <v>1300</v>
      </c>
      <c r="AL499" t="s">
        <v>1302</v>
      </c>
      <c r="AM499" t="s">
        <v>170</v>
      </c>
      <c r="AN499" s="1">
        <v>45640</v>
      </c>
      <c r="AO499">
        <v>2024</v>
      </c>
      <c r="AP499">
        <v>12</v>
      </c>
      <c r="AQ499" t="s">
        <v>116</v>
      </c>
      <c r="AS499" t="s">
        <v>85</v>
      </c>
      <c r="AT499">
        <v>2025</v>
      </c>
      <c r="AU499" t="s">
        <v>386</v>
      </c>
      <c r="AV499" t="s">
        <v>170</v>
      </c>
      <c r="AW499" t="s">
        <v>3273</v>
      </c>
      <c r="AX499">
        <v>2025</v>
      </c>
      <c r="AY499" t="s">
        <v>3274</v>
      </c>
      <c r="AZ499" t="s">
        <v>3275</v>
      </c>
    </row>
    <row r="500" spans="1:52" x14ac:dyDescent="0.25">
      <c r="A500" t="s">
        <v>3277</v>
      </c>
      <c r="B500" s="1">
        <v>41407</v>
      </c>
      <c r="C500" t="s">
        <v>3278</v>
      </c>
      <c r="D500">
        <v>494173</v>
      </c>
      <c r="E500" t="s">
        <v>46</v>
      </c>
      <c r="F500" t="s">
        <v>1360</v>
      </c>
      <c r="G500" t="s">
        <v>84</v>
      </c>
      <c r="H500" t="s">
        <v>3278</v>
      </c>
      <c r="I500" t="s">
        <v>3280</v>
      </c>
      <c r="J500">
        <v>17</v>
      </c>
      <c r="K500">
        <v>19</v>
      </c>
      <c r="L500">
        <v>-21</v>
      </c>
      <c r="M500">
        <v>19</v>
      </c>
      <c r="N500">
        <v>36</v>
      </c>
      <c r="O500" t="s">
        <v>60</v>
      </c>
      <c r="P500">
        <v>21</v>
      </c>
      <c r="Q500">
        <v>23</v>
      </c>
      <c r="R500">
        <v>25</v>
      </c>
      <c r="S500">
        <v>25</v>
      </c>
      <c r="T500">
        <v>48</v>
      </c>
      <c r="U500" t="s">
        <v>48</v>
      </c>
      <c r="V500">
        <f t="shared" si="21"/>
        <v>5</v>
      </c>
      <c r="W500">
        <f t="shared" si="22"/>
        <v>0</v>
      </c>
      <c r="X500">
        <f t="shared" si="23"/>
        <v>0</v>
      </c>
      <c r="Y500">
        <v>44</v>
      </c>
      <c r="Z500">
        <v>84</v>
      </c>
      <c r="AA500" t="s">
        <v>3281</v>
      </c>
      <c r="AB500" t="s">
        <v>3282</v>
      </c>
      <c r="AC500" t="s">
        <v>49</v>
      </c>
      <c r="AD500">
        <v>999</v>
      </c>
      <c r="AE500">
        <v>45</v>
      </c>
      <c r="AF500" t="s">
        <v>50</v>
      </c>
      <c r="AH500" t="s">
        <v>206</v>
      </c>
      <c r="AI500">
        <v>151.55000000000001</v>
      </c>
      <c r="AJ500" t="s">
        <v>132</v>
      </c>
      <c r="AK500" t="s">
        <v>1360</v>
      </c>
      <c r="AL500" t="s">
        <v>1364</v>
      </c>
      <c r="AM500" t="s">
        <v>68</v>
      </c>
      <c r="AN500" s="1">
        <v>45640</v>
      </c>
      <c r="AO500">
        <v>2024</v>
      </c>
      <c r="AP500">
        <v>12</v>
      </c>
      <c r="AQ500" t="s">
        <v>116</v>
      </c>
      <c r="AS500" t="s">
        <v>85</v>
      </c>
      <c r="AT500">
        <v>2025</v>
      </c>
      <c r="AU500" t="s">
        <v>84</v>
      </c>
      <c r="AV500" t="s">
        <v>68</v>
      </c>
      <c r="AW500" t="s">
        <v>3278</v>
      </c>
      <c r="AX500">
        <v>2025</v>
      </c>
      <c r="AY500" t="s">
        <v>3279</v>
      </c>
      <c r="AZ500" t="s">
        <v>3279</v>
      </c>
    </row>
    <row r="501" spans="1:52" x14ac:dyDescent="0.25">
      <c r="A501" t="s">
        <v>3284</v>
      </c>
      <c r="B501" s="1">
        <v>39864</v>
      </c>
      <c r="C501" t="s">
        <v>3285</v>
      </c>
      <c r="D501">
        <v>476518</v>
      </c>
      <c r="E501" t="s">
        <v>46</v>
      </c>
      <c r="F501" t="s">
        <v>1300</v>
      </c>
      <c r="G501" t="s">
        <v>506</v>
      </c>
      <c r="H501" t="s">
        <v>3285</v>
      </c>
      <c r="I501" t="s">
        <v>905</v>
      </c>
      <c r="J501">
        <v>35</v>
      </c>
      <c r="K501">
        <v>-38</v>
      </c>
      <c r="L501">
        <v>38</v>
      </c>
      <c r="M501">
        <v>38</v>
      </c>
      <c r="N501">
        <v>73</v>
      </c>
      <c r="O501" t="s">
        <v>65</v>
      </c>
      <c r="P501">
        <v>49</v>
      </c>
      <c r="Q501">
        <v>52</v>
      </c>
      <c r="R501">
        <v>55</v>
      </c>
      <c r="S501">
        <v>55</v>
      </c>
      <c r="T501">
        <v>107</v>
      </c>
      <c r="U501" t="s">
        <v>48</v>
      </c>
      <c r="V501">
        <f t="shared" si="21"/>
        <v>5</v>
      </c>
      <c r="W501">
        <f t="shared" si="22"/>
        <v>0</v>
      </c>
      <c r="X501">
        <f t="shared" si="23"/>
        <v>0</v>
      </c>
      <c r="Y501">
        <v>93</v>
      </c>
      <c r="Z501">
        <v>180</v>
      </c>
      <c r="AA501" t="s">
        <v>3286</v>
      </c>
      <c r="AB501" t="s">
        <v>3287</v>
      </c>
      <c r="AC501" t="s">
        <v>89</v>
      </c>
      <c r="AD501">
        <v>5</v>
      </c>
      <c r="AE501">
        <v>49</v>
      </c>
      <c r="AF501" t="s">
        <v>95</v>
      </c>
      <c r="AH501" t="s">
        <v>330</v>
      </c>
      <c r="AI501">
        <v>146.22999999999999</v>
      </c>
      <c r="AJ501" t="s">
        <v>132</v>
      </c>
      <c r="AK501" t="s">
        <v>1300</v>
      </c>
      <c r="AL501" t="s">
        <v>1302</v>
      </c>
      <c r="AM501" t="s">
        <v>170</v>
      </c>
      <c r="AN501" s="1">
        <v>45640</v>
      </c>
      <c r="AO501">
        <v>2024</v>
      </c>
      <c r="AP501">
        <v>12</v>
      </c>
      <c r="AQ501" t="s">
        <v>116</v>
      </c>
      <c r="AS501" t="s">
        <v>85</v>
      </c>
      <c r="AT501">
        <v>2025</v>
      </c>
      <c r="AU501" t="s">
        <v>506</v>
      </c>
      <c r="AV501" t="s">
        <v>170</v>
      </c>
      <c r="AW501" t="s">
        <v>3285</v>
      </c>
      <c r="AX501">
        <v>2025</v>
      </c>
      <c r="AY501" t="s">
        <v>3286</v>
      </c>
      <c r="AZ501" t="s">
        <v>3286</v>
      </c>
    </row>
    <row r="502" spans="1:52" x14ac:dyDescent="0.25">
      <c r="A502" t="s">
        <v>3288</v>
      </c>
      <c r="B502" s="1">
        <v>39835</v>
      </c>
      <c r="C502" t="s">
        <v>3289</v>
      </c>
      <c r="D502">
        <v>478755</v>
      </c>
      <c r="E502" t="s">
        <v>46</v>
      </c>
      <c r="F502" t="s">
        <v>1300</v>
      </c>
      <c r="G502" t="s">
        <v>386</v>
      </c>
      <c r="H502" t="s">
        <v>3289</v>
      </c>
      <c r="I502" t="s">
        <v>103</v>
      </c>
      <c r="J502">
        <v>-44</v>
      </c>
      <c r="K502">
        <v>44</v>
      </c>
      <c r="L502">
        <v>47</v>
      </c>
      <c r="M502">
        <v>47</v>
      </c>
      <c r="N502">
        <v>91</v>
      </c>
      <c r="O502" t="s">
        <v>63</v>
      </c>
      <c r="P502">
        <v>52</v>
      </c>
      <c r="Q502">
        <v>55</v>
      </c>
      <c r="R502">
        <v>58</v>
      </c>
      <c r="S502">
        <v>58</v>
      </c>
      <c r="T502">
        <v>113</v>
      </c>
      <c r="U502" t="s">
        <v>48</v>
      </c>
      <c r="V502">
        <f t="shared" si="21"/>
        <v>5</v>
      </c>
      <c r="W502">
        <f t="shared" si="22"/>
        <v>0</v>
      </c>
      <c r="X502">
        <f t="shared" si="23"/>
        <v>0</v>
      </c>
      <c r="Y502">
        <v>105</v>
      </c>
      <c r="Z502">
        <v>204</v>
      </c>
      <c r="AA502" t="s">
        <v>1030</v>
      </c>
      <c r="AB502" t="s">
        <v>2678</v>
      </c>
      <c r="AC502" t="s">
        <v>89</v>
      </c>
      <c r="AD502">
        <v>5</v>
      </c>
      <c r="AE502">
        <v>59</v>
      </c>
      <c r="AF502" t="s">
        <v>95</v>
      </c>
      <c r="AH502" t="s">
        <v>350</v>
      </c>
      <c r="AI502">
        <v>150.11000000000001</v>
      </c>
      <c r="AJ502" t="s">
        <v>132</v>
      </c>
      <c r="AK502" t="s">
        <v>1300</v>
      </c>
      <c r="AL502" t="s">
        <v>1302</v>
      </c>
      <c r="AM502" t="s">
        <v>170</v>
      </c>
      <c r="AN502" s="1">
        <v>45640</v>
      </c>
      <c r="AO502">
        <v>2024</v>
      </c>
      <c r="AP502">
        <v>12</v>
      </c>
      <c r="AQ502" t="s">
        <v>116</v>
      </c>
      <c r="AS502" t="s">
        <v>85</v>
      </c>
      <c r="AT502">
        <v>2025</v>
      </c>
      <c r="AU502" t="s">
        <v>386</v>
      </c>
      <c r="AV502" t="s">
        <v>170</v>
      </c>
      <c r="AW502" t="s">
        <v>3289</v>
      </c>
      <c r="AX502">
        <v>2025</v>
      </c>
      <c r="AY502" t="s">
        <v>3290</v>
      </c>
      <c r="AZ502" t="s">
        <v>3290</v>
      </c>
    </row>
    <row r="503" spans="1:52" x14ac:dyDescent="0.25">
      <c r="A503" t="s">
        <v>3291</v>
      </c>
      <c r="B503" s="1">
        <v>40709</v>
      </c>
      <c r="C503" t="s">
        <v>3292</v>
      </c>
      <c r="D503">
        <v>463290</v>
      </c>
      <c r="E503" t="s">
        <v>46</v>
      </c>
      <c r="F503" t="s">
        <v>456</v>
      </c>
      <c r="G503" t="s">
        <v>449</v>
      </c>
      <c r="H503" t="s">
        <v>3292</v>
      </c>
      <c r="I503" t="s">
        <v>3294</v>
      </c>
      <c r="J503">
        <v>40</v>
      </c>
      <c r="K503">
        <v>43</v>
      </c>
      <c r="L503">
        <v>-45</v>
      </c>
      <c r="M503">
        <v>43</v>
      </c>
      <c r="N503">
        <v>83</v>
      </c>
      <c r="O503" t="s">
        <v>60</v>
      </c>
      <c r="P503">
        <v>55</v>
      </c>
      <c r="Q503">
        <v>58</v>
      </c>
      <c r="R503">
        <v>60</v>
      </c>
      <c r="S503">
        <v>60</v>
      </c>
      <c r="T503">
        <v>118</v>
      </c>
      <c r="U503" t="s">
        <v>48</v>
      </c>
      <c r="V503">
        <f t="shared" si="21"/>
        <v>5</v>
      </c>
      <c r="W503">
        <f t="shared" si="22"/>
        <v>0</v>
      </c>
      <c r="X503">
        <f t="shared" si="23"/>
        <v>0</v>
      </c>
      <c r="Y503">
        <v>103</v>
      </c>
      <c r="Z503">
        <v>201</v>
      </c>
      <c r="AA503" t="s">
        <v>3295</v>
      </c>
      <c r="AB503" t="s">
        <v>3296</v>
      </c>
      <c r="AC503" t="s">
        <v>94</v>
      </c>
      <c r="AD503">
        <v>4</v>
      </c>
      <c r="AE503">
        <v>49</v>
      </c>
      <c r="AF503" t="s">
        <v>57</v>
      </c>
      <c r="AH503" t="s">
        <v>784</v>
      </c>
      <c r="AI503">
        <v>161.79</v>
      </c>
      <c r="AJ503" t="s">
        <v>132</v>
      </c>
      <c r="AK503" t="s">
        <v>456</v>
      </c>
      <c r="AL503" t="s">
        <v>460</v>
      </c>
      <c r="AM503" t="s">
        <v>173</v>
      </c>
      <c r="AN503" s="1">
        <v>45641</v>
      </c>
      <c r="AO503">
        <v>2024</v>
      </c>
      <c r="AP503">
        <v>12</v>
      </c>
      <c r="AQ503" t="s">
        <v>116</v>
      </c>
      <c r="AS503" t="s">
        <v>85</v>
      </c>
      <c r="AT503">
        <v>2025</v>
      </c>
      <c r="AU503" t="s">
        <v>449</v>
      </c>
      <c r="AV503" t="s">
        <v>173</v>
      </c>
      <c r="AW503" t="s">
        <v>3292</v>
      </c>
      <c r="AX503">
        <v>2025</v>
      </c>
      <c r="AY503" t="s">
        <v>3293</v>
      </c>
      <c r="AZ503" t="s">
        <v>3297</v>
      </c>
    </row>
    <row r="504" spans="1:52" x14ac:dyDescent="0.25">
      <c r="A504" t="s">
        <v>3311</v>
      </c>
      <c r="B504" s="1">
        <v>38402</v>
      </c>
      <c r="C504" t="s">
        <v>3312</v>
      </c>
      <c r="D504">
        <v>497279</v>
      </c>
      <c r="E504" t="s">
        <v>46</v>
      </c>
      <c r="F504" t="s">
        <v>1163</v>
      </c>
      <c r="G504" t="s">
        <v>402</v>
      </c>
      <c r="H504" t="s">
        <v>3312</v>
      </c>
      <c r="I504" t="s">
        <v>375</v>
      </c>
      <c r="J504">
        <v>61</v>
      </c>
      <c r="K504">
        <v>64</v>
      </c>
      <c r="L504">
        <v>-67</v>
      </c>
      <c r="M504">
        <v>64</v>
      </c>
      <c r="N504">
        <v>125</v>
      </c>
      <c r="O504" t="s">
        <v>60</v>
      </c>
      <c r="P504">
        <v>76</v>
      </c>
      <c r="Q504">
        <v>-80</v>
      </c>
      <c r="R504">
        <v>-80</v>
      </c>
      <c r="S504">
        <v>76</v>
      </c>
      <c r="T504">
        <v>0</v>
      </c>
      <c r="U504" t="s">
        <v>55</v>
      </c>
      <c r="V504">
        <f t="shared" si="21"/>
        <v>3</v>
      </c>
      <c r="W504">
        <f t="shared" si="22"/>
        <v>0</v>
      </c>
      <c r="X504">
        <f t="shared" si="23"/>
        <v>0</v>
      </c>
      <c r="Y504">
        <v>140</v>
      </c>
      <c r="Z504">
        <v>125</v>
      </c>
      <c r="AA504" t="s">
        <v>3313</v>
      </c>
      <c r="AB504" t="s">
        <v>2834</v>
      </c>
      <c r="AC504" t="s">
        <v>94</v>
      </c>
      <c r="AD504">
        <v>4</v>
      </c>
      <c r="AE504">
        <v>64</v>
      </c>
      <c r="AF504" t="s">
        <v>113</v>
      </c>
      <c r="AH504" t="s">
        <v>355</v>
      </c>
      <c r="AI504">
        <v>185.78</v>
      </c>
      <c r="AJ504" t="s">
        <v>132</v>
      </c>
      <c r="AK504" t="s">
        <v>1163</v>
      </c>
      <c r="AL504" t="s">
        <v>1165</v>
      </c>
      <c r="AM504" t="s">
        <v>139</v>
      </c>
      <c r="AN504" s="1">
        <v>45640</v>
      </c>
      <c r="AO504">
        <v>2024</v>
      </c>
      <c r="AP504">
        <v>12</v>
      </c>
      <c r="AQ504" t="s">
        <v>116</v>
      </c>
      <c r="AS504" t="s">
        <v>85</v>
      </c>
      <c r="AT504">
        <v>2025</v>
      </c>
      <c r="AU504" t="s">
        <v>402</v>
      </c>
      <c r="AV504" t="s">
        <v>140</v>
      </c>
      <c r="AW504" t="s">
        <v>3312</v>
      </c>
      <c r="AX504">
        <v>2025</v>
      </c>
      <c r="AY504" t="s">
        <v>3313</v>
      </c>
      <c r="AZ504" t="s">
        <v>3313</v>
      </c>
    </row>
    <row r="505" spans="1:52" x14ac:dyDescent="0.25">
      <c r="A505" t="s">
        <v>3314</v>
      </c>
      <c r="B505" s="1">
        <v>35542</v>
      </c>
      <c r="C505" t="s">
        <v>3315</v>
      </c>
      <c r="D505">
        <v>496549</v>
      </c>
      <c r="E505" t="s">
        <v>46</v>
      </c>
      <c r="F505" t="s">
        <v>770</v>
      </c>
      <c r="G505" t="s">
        <v>1033</v>
      </c>
      <c r="H505" t="s">
        <v>3315</v>
      </c>
      <c r="I505" t="s">
        <v>1440</v>
      </c>
      <c r="J505">
        <v>53</v>
      </c>
      <c r="K505">
        <v>56</v>
      </c>
      <c r="L505">
        <v>-58</v>
      </c>
      <c r="M505">
        <v>56</v>
      </c>
      <c r="N505">
        <v>109</v>
      </c>
      <c r="O505" t="s">
        <v>60</v>
      </c>
      <c r="P505">
        <v>-69</v>
      </c>
      <c r="Q505">
        <v>69</v>
      </c>
      <c r="R505">
        <v>72</v>
      </c>
      <c r="S505">
        <v>72</v>
      </c>
      <c r="T505">
        <v>141</v>
      </c>
      <c r="U505" t="s">
        <v>63</v>
      </c>
      <c r="V505">
        <f t="shared" si="21"/>
        <v>4</v>
      </c>
      <c r="W505">
        <f t="shared" si="22"/>
        <v>0</v>
      </c>
      <c r="X505">
        <f t="shared" si="23"/>
        <v>0</v>
      </c>
      <c r="Y505">
        <v>128</v>
      </c>
      <c r="Z505">
        <v>250</v>
      </c>
      <c r="AA505" t="s">
        <v>3316</v>
      </c>
      <c r="AB505" t="s">
        <v>3317</v>
      </c>
      <c r="AC505" t="s">
        <v>93</v>
      </c>
      <c r="AD505">
        <v>6</v>
      </c>
      <c r="AE505">
        <v>64</v>
      </c>
      <c r="AF505" t="s">
        <v>126</v>
      </c>
      <c r="AH505" t="s">
        <v>167</v>
      </c>
      <c r="AI505">
        <v>169.09</v>
      </c>
      <c r="AJ505" t="s">
        <v>132</v>
      </c>
      <c r="AK505" t="s">
        <v>770</v>
      </c>
      <c r="AL505" t="s">
        <v>773</v>
      </c>
      <c r="AM505" t="s">
        <v>302</v>
      </c>
      <c r="AN505" s="1">
        <v>45640</v>
      </c>
      <c r="AO505">
        <v>2024</v>
      </c>
      <c r="AP505">
        <v>12</v>
      </c>
      <c r="AQ505" t="s">
        <v>116</v>
      </c>
      <c r="AS505" t="s">
        <v>85</v>
      </c>
      <c r="AT505">
        <v>2025</v>
      </c>
      <c r="AU505" t="s">
        <v>1033</v>
      </c>
      <c r="AV505" t="s">
        <v>303</v>
      </c>
      <c r="AW505" t="s">
        <v>3315</v>
      </c>
      <c r="AX505">
        <v>2025</v>
      </c>
      <c r="AY505" t="s">
        <v>3316</v>
      </c>
      <c r="AZ505" t="s">
        <v>3316</v>
      </c>
    </row>
    <row r="506" spans="1:52" x14ac:dyDescent="0.25">
      <c r="A506" t="s">
        <v>3614</v>
      </c>
      <c r="B506" s="1">
        <v>39851</v>
      </c>
      <c r="C506" t="s">
        <v>3615</v>
      </c>
      <c r="D506">
        <v>443331</v>
      </c>
      <c r="E506" t="s">
        <v>46</v>
      </c>
      <c r="F506" t="s">
        <v>859</v>
      </c>
      <c r="G506" t="s">
        <v>120</v>
      </c>
      <c r="H506" t="s">
        <v>3615</v>
      </c>
      <c r="I506">
        <v>55</v>
      </c>
      <c r="J506">
        <v>35</v>
      </c>
      <c r="K506">
        <v>40</v>
      </c>
      <c r="L506">
        <v>-43</v>
      </c>
      <c r="M506">
        <v>40</v>
      </c>
      <c r="N506">
        <v>75</v>
      </c>
      <c r="O506" t="s">
        <v>60</v>
      </c>
      <c r="P506">
        <v>45</v>
      </c>
      <c r="Q506">
        <v>50</v>
      </c>
      <c r="R506">
        <v>-53</v>
      </c>
      <c r="S506">
        <v>50</v>
      </c>
      <c r="T506">
        <v>95</v>
      </c>
      <c r="U506" t="s">
        <v>60</v>
      </c>
      <c r="V506">
        <f t="shared" si="21"/>
        <v>4</v>
      </c>
      <c r="W506">
        <f t="shared" si="22"/>
        <v>0</v>
      </c>
      <c r="X506">
        <f t="shared" si="23"/>
        <v>0</v>
      </c>
      <c r="Y506">
        <v>90</v>
      </c>
      <c r="Z506">
        <v>170</v>
      </c>
      <c r="AA506" t="s">
        <v>2169</v>
      </c>
      <c r="AB506" t="s">
        <v>1425</v>
      </c>
      <c r="AC506" t="s">
        <v>93</v>
      </c>
      <c r="AD506">
        <v>6</v>
      </c>
      <c r="AE506">
        <v>55</v>
      </c>
      <c r="AF506" t="s">
        <v>95</v>
      </c>
      <c r="AH506" t="s">
        <v>175</v>
      </c>
      <c r="AI506">
        <v>129.15</v>
      </c>
      <c r="AJ506" t="s">
        <v>132</v>
      </c>
      <c r="AK506" t="s">
        <v>859</v>
      </c>
      <c r="AL506" t="s">
        <v>862</v>
      </c>
      <c r="AM506" t="s">
        <v>123</v>
      </c>
      <c r="AN506" s="1">
        <v>45640</v>
      </c>
      <c r="AO506">
        <v>2024</v>
      </c>
      <c r="AP506">
        <v>12</v>
      </c>
      <c r="AQ506" t="s">
        <v>116</v>
      </c>
      <c r="AS506" t="s">
        <v>85</v>
      </c>
      <c r="AT506">
        <v>2025</v>
      </c>
      <c r="AU506" t="s">
        <v>120</v>
      </c>
      <c r="AV506" t="s">
        <v>123</v>
      </c>
      <c r="AW506" t="s">
        <v>3615</v>
      </c>
      <c r="AX506">
        <v>2025</v>
      </c>
      <c r="AY506" t="s">
        <v>3616</v>
      </c>
      <c r="AZ506" t="s">
        <v>2169</v>
      </c>
    </row>
    <row r="507" spans="1:52" x14ac:dyDescent="0.25">
      <c r="A507" t="s">
        <v>3318</v>
      </c>
      <c r="B507" s="1">
        <v>40209</v>
      </c>
      <c r="C507" t="s">
        <v>3319</v>
      </c>
      <c r="D507">
        <v>475755</v>
      </c>
      <c r="E507" t="s">
        <v>46</v>
      </c>
      <c r="F507" t="s">
        <v>547</v>
      </c>
      <c r="G507" t="s">
        <v>70</v>
      </c>
      <c r="H507" t="s">
        <v>3319</v>
      </c>
      <c r="I507" t="s">
        <v>188</v>
      </c>
      <c r="J507">
        <v>58</v>
      </c>
      <c r="K507">
        <v>62</v>
      </c>
      <c r="L507">
        <v>65</v>
      </c>
      <c r="M507">
        <v>65</v>
      </c>
      <c r="N507">
        <v>127</v>
      </c>
      <c r="O507" t="s">
        <v>48</v>
      </c>
      <c r="P507">
        <v>77</v>
      </c>
      <c r="Q507">
        <v>81</v>
      </c>
      <c r="R507">
        <v>-85</v>
      </c>
      <c r="S507">
        <v>81</v>
      </c>
      <c r="T507">
        <v>158</v>
      </c>
      <c r="U507" t="s">
        <v>60</v>
      </c>
      <c r="V507">
        <f t="shared" si="21"/>
        <v>5</v>
      </c>
      <c r="W507">
        <f t="shared" si="22"/>
        <v>0</v>
      </c>
      <c r="X507">
        <f t="shared" si="23"/>
        <v>0</v>
      </c>
      <c r="Y507">
        <v>146</v>
      </c>
      <c r="Z507">
        <v>285</v>
      </c>
      <c r="AA507" t="s">
        <v>3320</v>
      </c>
      <c r="AB507" t="s">
        <v>3321</v>
      </c>
      <c r="AC507" t="s">
        <v>89</v>
      </c>
      <c r="AD507">
        <v>5</v>
      </c>
      <c r="AE507">
        <v>61</v>
      </c>
      <c r="AF507" t="s">
        <v>57</v>
      </c>
      <c r="AH507" t="s">
        <v>73</v>
      </c>
      <c r="AI507">
        <v>222.45</v>
      </c>
      <c r="AJ507" t="s">
        <v>52</v>
      </c>
      <c r="AK507" t="s">
        <v>547</v>
      </c>
      <c r="AL507" t="s">
        <v>551</v>
      </c>
      <c r="AM507" t="s">
        <v>72</v>
      </c>
      <c r="AN507" s="1">
        <v>45640</v>
      </c>
      <c r="AO507">
        <v>2024</v>
      </c>
      <c r="AP507">
        <v>12</v>
      </c>
      <c r="AQ507" t="s">
        <v>116</v>
      </c>
      <c r="AS507" t="s">
        <v>85</v>
      </c>
      <c r="AT507">
        <v>2025</v>
      </c>
      <c r="AU507" t="s">
        <v>70</v>
      </c>
      <c r="AV507" t="s">
        <v>72</v>
      </c>
      <c r="AW507" t="s">
        <v>3319</v>
      </c>
      <c r="AX507">
        <v>2025</v>
      </c>
      <c r="AY507" t="s">
        <v>3320</v>
      </c>
      <c r="AZ507" t="s">
        <v>3320</v>
      </c>
    </row>
    <row r="508" spans="1:52" x14ac:dyDescent="0.25">
      <c r="A508" t="s">
        <v>3322</v>
      </c>
      <c r="B508" s="1">
        <v>39222</v>
      </c>
      <c r="C508" t="s">
        <v>3323</v>
      </c>
      <c r="D508">
        <v>448771</v>
      </c>
      <c r="E508" t="s">
        <v>46</v>
      </c>
      <c r="F508" t="s">
        <v>859</v>
      </c>
      <c r="G508" t="s">
        <v>120</v>
      </c>
      <c r="H508" t="s">
        <v>3323</v>
      </c>
      <c r="I508">
        <v>89</v>
      </c>
      <c r="J508">
        <v>115</v>
      </c>
      <c r="K508">
        <v>-120</v>
      </c>
      <c r="L508">
        <v>124</v>
      </c>
      <c r="M508">
        <v>124</v>
      </c>
      <c r="N508">
        <v>239</v>
      </c>
      <c r="O508" t="s">
        <v>65</v>
      </c>
      <c r="P508">
        <v>140</v>
      </c>
      <c r="Q508">
        <v>145</v>
      </c>
      <c r="R508">
        <v>-150</v>
      </c>
      <c r="S508">
        <v>145</v>
      </c>
      <c r="T508">
        <v>285</v>
      </c>
      <c r="U508" t="s">
        <v>60</v>
      </c>
      <c r="V508">
        <f t="shared" si="21"/>
        <v>4</v>
      </c>
      <c r="W508">
        <f t="shared" si="22"/>
        <v>0</v>
      </c>
      <c r="X508">
        <f t="shared" si="23"/>
        <v>0</v>
      </c>
      <c r="Y508">
        <v>269</v>
      </c>
      <c r="Z508">
        <v>524</v>
      </c>
      <c r="AA508" t="s">
        <v>671</v>
      </c>
      <c r="AB508" t="s">
        <v>3324</v>
      </c>
      <c r="AC508" t="s">
        <v>94</v>
      </c>
      <c r="AD508">
        <v>4</v>
      </c>
      <c r="AE508">
        <v>89</v>
      </c>
      <c r="AF508" t="s">
        <v>113</v>
      </c>
      <c r="AH508" t="s">
        <v>435</v>
      </c>
      <c r="AI508">
        <v>325.14999999999998</v>
      </c>
      <c r="AJ508" t="s">
        <v>52</v>
      </c>
      <c r="AK508" t="s">
        <v>859</v>
      </c>
      <c r="AL508" t="s">
        <v>862</v>
      </c>
      <c r="AM508" t="s">
        <v>123</v>
      </c>
      <c r="AN508" s="1">
        <v>45640</v>
      </c>
      <c r="AO508">
        <v>2024</v>
      </c>
      <c r="AP508">
        <v>12</v>
      </c>
      <c r="AQ508" t="s">
        <v>116</v>
      </c>
      <c r="AS508" t="s">
        <v>85</v>
      </c>
      <c r="AT508">
        <v>2025</v>
      </c>
      <c r="AU508" t="s">
        <v>120</v>
      </c>
      <c r="AV508" t="s">
        <v>123</v>
      </c>
      <c r="AW508" t="s">
        <v>3323</v>
      </c>
      <c r="AX508">
        <v>2025</v>
      </c>
      <c r="AY508" t="s">
        <v>671</v>
      </c>
      <c r="AZ508" t="s">
        <v>671</v>
      </c>
    </row>
    <row r="509" spans="1:52" x14ac:dyDescent="0.25">
      <c r="A509" t="s">
        <v>3358</v>
      </c>
      <c r="B509" s="1">
        <v>40953</v>
      </c>
      <c r="C509" t="s">
        <v>3359</v>
      </c>
      <c r="D509">
        <v>493911</v>
      </c>
      <c r="E509" t="s">
        <v>46</v>
      </c>
      <c r="F509" t="s">
        <v>964</v>
      </c>
      <c r="G509" t="s">
        <v>296</v>
      </c>
      <c r="H509" t="s">
        <v>3359</v>
      </c>
      <c r="I509">
        <v>91</v>
      </c>
      <c r="J509">
        <v>50</v>
      </c>
      <c r="K509">
        <v>52</v>
      </c>
      <c r="L509">
        <v>54</v>
      </c>
      <c r="M509">
        <v>54</v>
      </c>
      <c r="N509">
        <v>106</v>
      </c>
      <c r="O509" t="s">
        <v>48</v>
      </c>
      <c r="P509">
        <v>62</v>
      </c>
      <c r="Q509">
        <v>64</v>
      </c>
      <c r="R509">
        <v>66</v>
      </c>
      <c r="S509">
        <v>66</v>
      </c>
      <c r="T509">
        <v>130</v>
      </c>
      <c r="U509" t="s">
        <v>48</v>
      </c>
      <c r="V509">
        <f t="shared" si="21"/>
        <v>6</v>
      </c>
      <c r="W509">
        <f t="shared" si="22"/>
        <v>0</v>
      </c>
      <c r="X509">
        <f t="shared" si="23"/>
        <v>0</v>
      </c>
      <c r="Y509">
        <v>120</v>
      </c>
      <c r="Z509">
        <v>236</v>
      </c>
      <c r="AA509" t="s">
        <v>3360</v>
      </c>
      <c r="AB509" t="s">
        <v>3361</v>
      </c>
      <c r="AC509" t="s">
        <v>49</v>
      </c>
      <c r="AD509">
        <v>999</v>
      </c>
      <c r="AE509" t="s">
        <v>1086</v>
      </c>
      <c r="AF509" t="s">
        <v>50</v>
      </c>
      <c r="AH509" t="s">
        <v>1087</v>
      </c>
      <c r="AI509">
        <v>282.23</v>
      </c>
      <c r="AJ509" t="s">
        <v>52</v>
      </c>
      <c r="AK509" t="s">
        <v>964</v>
      </c>
      <c r="AL509" t="s">
        <v>967</v>
      </c>
      <c r="AM509" t="s">
        <v>68</v>
      </c>
      <c r="AN509" s="1">
        <v>45641</v>
      </c>
      <c r="AO509">
        <v>2024</v>
      </c>
      <c r="AP509">
        <v>12</v>
      </c>
      <c r="AQ509" t="s">
        <v>116</v>
      </c>
      <c r="AS509" t="s">
        <v>85</v>
      </c>
      <c r="AT509">
        <v>2025</v>
      </c>
      <c r="AU509" t="s">
        <v>296</v>
      </c>
      <c r="AV509" t="s">
        <v>68</v>
      </c>
      <c r="AW509" t="s">
        <v>3359</v>
      </c>
      <c r="AX509">
        <v>2025</v>
      </c>
      <c r="AY509" t="s">
        <v>3360</v>
      </c>
      <c r="AZ509" t="s">
        <v>3360</v>
      </c>
    </row>
    <row r="510" spans="1:52" x14ac:dyDescent="0.25">
      <c r="A510" t="s">
        <v>3326</v>
      </c>
      <c r="B510" s="1">
        <v>35846</v>
      </c>
      <c r="C510" t="s">
        <v>3327</v>
      </c>
      <c r="D510">
        <v>461826</v>
      </c>
      <c r="E510" t="s">
        <v>46</v>
      </c>
      <c r="F510" t="s">
        <v>1350</v>
      </c>
      <c r="G510" t="s">
        <v>490</v>
      </c>
      <c r="H510" t="s">
        <v>3327</v>
      </c>
      <c r="I510">
        <v>55</v>
      </c>
      <c r="J510">
        <v>60</v>
      </c>
      <c r="K510">
        <v>-65</v>
      </c>
      <c r="L510">
        <v>-65</v>
      </c>
      <c r="M510">
        <v>60</v>
      </c>
      <c r="N510">
        <v>0</v>
      </c>
      <c r="O510" t="s">
        <v>55</v>
      </c>
      <c r="P510">
        <v>73</v>
      </c>
      <c r="Q510">
        <v>77</v>
      </c>
      <c r="R510">
        <v>80</v>
      </c>
      <c r="S510">
        <v>80</v>
      </c>
      <c r="T510">
        <v>157</v>
      </c>
      <c r="U510" t="s">
        <v>48</v>
      </c>
      <c r="V510">
        <f t="shared" si="21"/>
        <v>4</v>
      </c>
      <c r="W510">
        <f t="shared" si="22"/>
        <v>0</v>
      </c>
      <c r="X510">
        <f t="shared" si="23"/>
        <v>0</v>
      </c>
      <c r="Y510">
        <v>140</v>
      </c>
      <c r="Z510">
        <v>157</v>
      </c>
      <c r="AA510" t="s">
        <v>1724</v>
      </c>
      <c r="AB510" t="s">
        <v>3330</v>
      </c>
      <c r="AC510" t="s">
        <v>89</v>
      </c>
      <c r="AD510">
        <v>5</v>
      </c>
      <c r="AE510">
        <v>55</v>
      </c>
      <c r="AF510" t="s">
        <v>126</v>
      </c>
      <c r="AH510" t="s">
        <v>197</v>
      </c>
      <c r="AI510">
        <v>200.91</v>
      </c>
      <c r="AJ510" t="s">
        <v>132</v>
      </c>
      <c r="AK510" t="s">
        <v>1350</v>
      </c>
      <c r="AL510" t="s">
        <v>1352</v>
      </c>
      <c r="AM510" t="s">
        <v>90</v>
      </c>
      <c r="AN510" s="1">
        <v>45640</v>
      </c>
      <c r="AO510">
        <v>2024</v>
      </c>
      <c r="AP510">
        <v>12</v>
      </c>
      <c r="AQ510" t="s">
        <v>116</v>
      </c>
      <c r="AS510" t="s">
        <v>85</v>
      </c>
      <c r="AT510">
        <v>2025</v>
      </c>
      <c r="AU510" t="s">
        <v>490</v>
      </c>
      <c r="AV510" t="s">
        <v>91</v>
      </c>
      <c r="AW510" t="s">
        <v>3327</v>
      </c>
      <c r="AX510">
        <v>2025</v>
      </c>
      <c r="AY510" t="s">
        <v>3328</v>
      </c>
      <c r="AZ510" t="s">
        <v>1724</v>
      </c>
    </row>
    <row r="511" spans="1:52" x14ac:dyDescent="0.25">
      <c r="A511" t="s">
        <v>3331</v>
      </c>
      <c r="B511" s="1">
        <v>39521</v>
      </c>
      <c r="C511" t="s">
        <v>3332</v>
      </c>
      <c r="D511">
        <v>471285</v>
      </c>
      <c r="E511" t="s">
        <v>46</v>
      </c>
      <c r="F511" t="s">
        <v>529</v>
      </c>
      <c r="G511" t="s">
        <v>296</v>
      </c>
      <c r="H511" t="s">
        <v>3332</v>
      </c>
      <c r="I511" t="s">
        <v>1267</v>
      </c>
      <c r="J511">
        <v>55</v>
      </c>
      <c r="K511">
        <v>60</v>
      </c>
      <c r="L511">
        <v>-65</v>
      </c>
      <c r="M511">
        <v>60</v>
      </c>
      <c r="N511">
        <v>115</v>
      </c>
      <c r="O511" t="s">
        <v>60</v>
      </c>
      <c r="P511">
        <v>75</v>
      </c>
      <c r="Q511">
        <v>-80</v>
      </c>
      <c r="R511">
        <v>80</v>
      </c>
      <c r="S511">
        <v>80</v>
      </c>
      <c r="T511">
        <v>155</v>
      </c>
      <c r="U511" t="s">
        <v>65</v>
      </c>
      <c r="V511">
        <f t="shared" si="21"/>
        <v>4</v>
      </c>
      <c r="W511">
        <f t="shared" si="22"/>
        <v>0</v>
      </c>
      <c r="X511">
        <f t="shared" si="23"/>
        <v>0</v>
      </c>
      <c r="Y511">
        <v>140</v>
      </c>
      <c r="Z511">
        <v>270</v>
      </c>
      <c r="AA511" t="s">
        <v>3333</v>
      </c>
      <c r="AB511" t="s">
        <v>3334</v>
      </c>
      <c r="AC511" t="s">
        <v>94</v>
      </c>
      <c r="AD511">
        <v>4</v>
      </c>
      <c r="AE511" t="s">
        <v>479</v>
      </c>
      <c r="AF511" t="s">
        <v>95</v>
      </c>
      <c r="AH511" t="s">
        <v>480</v>
      </c>
      <c r="AI511">
        <v>148.33000000000001</v>
      </c>
      <c r="AJ511" t="s">
        <v>132</v>
      </c>
      <c r="AK511" t="s">
        <v>529</v>
      </c>
      <c r="AL511" t="s">
        <v>531</v>
      </c>
      <c r="AM511" t="s">
        <v>68</v>
      </c>
      <c r="AN511" s="1">
        <v>45640</v>
      </c>
      <c r="AO511">
        <v>2024</v>
      </c>
      <c r="AP511">
        <v>12</v>
      </c>
      <c r="AQ511" t="s">
        <v>116</v>
      </c>
      <c r="AS511" t="s">
        <v>85</v>
      </c>
      <c r="AT511">
        <v>2025</v>
      </c>
      <c r="AU511" t="s">
        <v>296</v>
      </c>
      <c r="AV511" t="s">
        <v>68</v>
      </c>
      <c r="AW511" t="s">
        <v>3332</v>
      </c>
      <c r="AX511">
        <v>2025</v>
      </c>
      <c r="AY511" t="s">
        <v>3333</v>
      </c>
      <c r="AZ511" t="s">
        <v>3333</v>
      </c>
    </row>
    <row r="512" spans="1:52" x14ac:dyDescent="0.25">
      <c r="A512" t="s">
        <v>3335</v>
      </c>
      <c r="B512" s="1">
        <v>38164</v>
      </c>
      <c r="C512" t="s">
        <v>3336</v>
      </c>
      <c r="D512">
        <v>495345</v>
      </c>
      <c r="E512" t="s">
        <v>46</v>
      </c>
      <c r="F512" t="s">
        <v>912</v>
      </c>
      <c r="G512" t="s">
        <v>258</v>
      </c>
      <c r="H512" t="s">
        <v>3336</v>
      </c>
      <c r="I512" t="s">
        <v>76</v>
      </c>
      <c r="J512">
        <v>47</v>
      </c>
      <c r="K512">
        <v>50</v>
      </c>
      <c r="L512">
        <v>-52</v>
      </c>
      <c r="M512">
        <v>50</v>
      </c>
      <c r="N512">
        <v>97</v>
      </c>
      <c r="O512" t="s">
        <v>60</v>
      </c>
      <c r="P512">
        <v>60</v>
      </c>
      <c r="Q512">
        <v>-65</v>
      </c>
      <c r="R512">
        <v>-65</v>
      </c>
      <c r="S512">
        <v>60</v>
      </c>
      <c r="T512">
        <v>0</v>
      </c>
      <c r="U512" t="s">
        <v>55</v>
      </c>
      <c r="V512">
        <f t="shared" si="21"/>
        <v>3</v>
      </c>
      <c r="W512">
        <f t="shared" si="22"/>
        <v>0</v>
      </c>
      <c r="X512">
        <f t="shared" si="23"/>
        <v>0</v>
      </c>
      <c r="Y512">
        <v>110</v>
      </c>
      <c r="Z512">
        <v>97</v>
      </c>
      <c r="AA512" t="s">
        <v>3337</v>
      </c>
      <c r="AB512" t="s">
        <v>1304</v>
      </c>
      <c r="AC512" t="s">
        <v>93</v>
      </c>
      <c r="AD512">
        <v>6</v>
      </c>
      <c r="AE512">
        <v>49</v>
      </c>
      <c r="AF512" t="s">
        <v>126</v>
      </c>
      <c r="AH512" t="s">
        <v>195</v>
      </c>
      <c r="AI512">
        <v>173.66</v>
      </c>
      <c r="AJ512" t="s">
        <v>132</v>
      </c>
      <c r="AK512" t="s">
        <v>912</v>
      </c>
      <c r="AL512" t="s">
        <v>914</v>
      </c>
      <c r="AM512" t="s">
        <v>128</v>
      </c>
      <c r="AN512" s="1">
        <v>45640</v>
      </c>
      <c r="AO512">
        <v>2024</v>
      </c>
      <c r="AP512">
        <v>12</v>
      </c>
      <c r="AQ512" t="s">
        <v>116</v>
      </c>
      <c r="AS512" t="s">
        <v>85</v>
      </c>
      <c r="AT512">
        <v>2025</v>
      </c>
      <c r="AU512" t="s">
        <v>258</v>
      </c>
      <c r="AV512" t="s">
        <v>128</v>
      </c>
      <c r="AW512" t="s">
        <v>3336</v>
      </c>
      <c r="AX512">
        <v>2025</v>
      </c>
      <c r="AY512" t="s">
        <v>3337</v>
      </c>
      <c r="AZ512" t="s">
        <v>3337</v>
      </c>
    </row>
    <row r="513" spans="1:52" x14ac:dyDescent="0.25">
      <c r="A513" t="s">
        <v>3339</v>
      </c>
      <c r="B513" s="1">
        <v>38212</v>
      </c>
      <c r="C513" t="s">
        <v>3340</v>
      </c>
      <c r="D513">
        <v>477926</v>
      </c>
      <c r="E513" t="s">
        <v>46</v>
      </c>
      <c r="F513" t="s">
        <v>770</v>
      </c>
      <c r="G513" t="s">
        <v>396</v>
      </c>
      <c r="H513" t="s">
        <v>3340</v>
      </c>
      <c r="I513" t="s">
        <v>382</v>
      </c>
      <c r="J513">
        <v>60</v>
      </c>
      <c r="K513">
        <v>-63</v>
      </c>
      <c r="L513">
        <v>63</v>
      </c>
      <c r="M513">
        <v>63</v>
      </c>
      <c r="N513">
        <v>123</v>
      </c>
      <c r="O513" t="s">
        <v>65</v>
      </c>
      <c r="P513">
        <v>-75</v>
      </c>
      <c r="Q513">
        <v>-75</v>
      </c>
      <c r="R513">
        <v>-75</v>
      </c>
      <c r="S513">
        <v>0</v>
      </c>
      <c r="T513">
        <v>0</v>
      </c>
      <c r="U513" t="s">
        <v>108</v>
      </c>
      <c r="V513">
        <f t="shared" si="21"/>
        <v>2</v>
      </c>
      <c r="W513">
        <f t="shared" si="22"/>
        <v>0</v>
      </c>
      <c r="X513">
        <f t="shared" si="23"/>
        <v>0</v>
      </c>
      <c r="Y513">
        <v>63</v>
      </c>
      <c r="Z513">
        <v>123</v>
      </c>
      <c r="AA513" t="s">
        <v>3342</v>
      </c>
      <c r="AB513" t="s">
        <v>3343</v>
      </c>
      <c r="AC513" t="s">
        <v>49</v>
      </c>
      <c r="AD513">
        <v>999</v>
      </c>
      <c r="AE513">
        <v>76</v>
      </c>
      <c r="AF513" t="s">
        <v>126</v>
      </c>
      <c r="AH513" t="s">
        <v>228</v>
      </c>
      <c r="AI513">
        <v>0</v>
      </c>
      <c r="AJ513" t="s">
        <v>132</v>
      </c>
      <c r="AK513" t="s">
        <v>770</v>
      </c>
      <c r="AL513" t="s">
        <v>773</v>
      </c>
      <c r="AM513" t="s">
        <v>302</v>
      </c>
      <c r="AN513" s="1">
        <v>45640</v>
      </c>
      <c r="AO513">
        <v>2024</v>
      </c>
      <c r="AP513">
        <v>12</v>
      </c>
      <c r="AQ513" t="s">
        <v>116</v>
      </c>
      <c r="AS513" t="s">
        <v>85</v>
      </c>
      <c r="AT513">
        <v>2025</v>
      </c>
      <c r="AU513" t="s">
        <v>396</v>
      </c>
      <c r="AV513" t="s">
        <v>303</v>
      </c>
      <c r="AW513" t="s">
        <v>3340</v>
      </c>
      <c r="AX513">
        <v>2025</v>
      </c>
      <c r="AY513" t="s">
        <v>3341</v>
      </c>
      <c r="AZ513" t="s">
        <v>3341</v>
      </c>
    </row>
    <row r="514" spans="1:52" x14ac:dyDescent="0.25">
      <c r="A514" t="s">
        <v>3344</v>
      </c>
      <c r="B514" s="1">
        <v>36343</v>
      </c>
      <c r="C514" t="s">
        <v>3345</v>
      </c>
      <c r="D514">
        <v>409156</v>
      </c>
      <c r="E514" t="s">
        <v>46</v>
      </c>
      <c r="F514" t="s">
        <v>845</v>
      </c>
      <c r="G514" t="s">
        <v>396</v>
      </c>
      <c r="H514" t="s">
        <v>3345</v>
      </c>
      <c r="I514" t="s">
        <v>121</v>
      </c>
      <c r="J514">
        <v>70</v>
      </c>
      <c r="K514">
        <v>-72</v>
      </c>
      <c r="L514">
        <v>-72</v>
      </c>
      <c r="M514">
        <v>70</v>
      </c>
      <c r="N514">
        <v>0</v>
      </c>
      <c r="O514" t="s">
        <v>55</v>
      </c>
      <c r="P514">
        <v>90</v>
      </c>
      <c r="Q514">
        <v>-95</v>
      </c>
      <c r="R514">
        <v>-95</v>
      </c>
      <c r="S514">
        <v>90</v>
      </c>
      <c r="T514">
        <v>0</v>
      </c>
      <c r="U514" t="s">
        <v>55</v>
      </c>
      <c r="V514">
        <f t="shared" si="21"/>
        <v>2</v>
      </c>
      <c r="W514">
        <f t="shared" si="22"/>
        <v>0</v>
      </c>
      <c r="X514">
        <f t="shared" si="23"/>
        <v>0</v>
      </c>
      <c r="Y514">
        <v>160</v>
      </c>
      <c r="Z514">
        <v>0</v>
      </c>
      <c r="AA514" t="s">
        <v>992</v>
      </c>
      <c r="AB514" t="s">
        <v>99</v>
      </c>
      <c r="AC514" t="s">
        <v>94</v>
      </c>
      <c r="AD514">
        <v>4</v>
      </c>
      <c r="AE514">
        <v>55</v>
      </c>
      <c r="AF514" t="s">
        <v>126</v>
      </c>
      <c r="AH514" t="s">
        <v>197</v>
      </c>
      <c r="AI514">
        <v>230.5</v>
      </c>
      <c r="AJ514" t="s">
        <v>132</v>
      </c>
      <c r="AK514" t="s">
        <v>845</v>
      </c>
      <c r="AL514" t="s">
        <v>848</v>
      </c>
      <c r="AM514" t="s">
        <v>302</v>
      </c>
      <c r="AN514" s="1">
        <v>45640</v>
      </c>
      <c r="AO514">
        <v>2024</v>
      </c>
      <c r="AP514">
        <v>12</v>
      </c>
      <c r="AQ514" t="s">
        <v>116</v>
      </c>
      <c r="AS514" t="s">
        <v>85</v>
      </c>
      <c r="AT514">
        <v>2025</v>
      </c>
      <c r="AU514" t="s">
        <v>396</v>
      </c>
      <c r="AV514" t="s">
        <v>303</v>
      </c>
      <c r="AW514" t="s">
        <v>3345</v>
      </c>
      <c r="AX514">
        <v>2025</v>
      </c>
      <c r="AY514" t="s">
        <v>1425</v>
      </c>
      <c r="AZ514" t="s">
        <v>3346</v>
      </c>
    </row>
    <row r="515" spans="1:52" x14ac:dyDescent="0.25">
      <c r="A515" t="s">
        <v>3349</v>
      </c>
      <c r="B515" s="1">
        <v>37565</v>
      </c>
      <c r="C515" t="s">
        <v>3350</v>
      </c>
      <c r="D515">
        <v>491030</v>
      </c>
      <c r="E515" t="s">
        <v>46</v>
      </c>
      <c r="F515" t="s">
        <v>441</v>
      </c>
      <c r="G515" t="s">
        <v>400</v>
      </c>
      <c r="H515" t="s">
        <v>3350</v>
      </c>
      <c r="I515" t="s">
        <v>166</v>
      </c>
      <c r="J515">
        <v>65</v>
      </c>
      <c r="K515">
        <v>-68</v>
      </c>
      <c r="L515">
        <v>-69</v>
      </c>
      <c r="M515">
        <v>65</v>
      </c>
      <c r="N515">
        <v>0</v>
      </c>
      <c r="O515" t="s">
        <v>55</v>
      </c>
      <c r="P515">
        <v>-82</v>
      </c>
      <c r="Q515">
        <v>-82</v>
      </c>
      <c r="R515">
        <v>82</v>
      </c>
      <c r="S515">
        <v>82</v>
      </c>
      <c r="T515">
        <v>0</v>
      </c>
      <c r="U515" t="s">
        <v>102</v>
      </c>
      <c r="V515">
        <f t="shared" ref="V515:V578" si="24">IF(O515="OOO",3,IF(O515="XXX",0,IF(OR(O515="OOX",O515="OXO",O515="XOO"),2,1)))+IF(U515="OOO",3,IF(U515="XXX",0,IF(OR(U515="OOX",U515="OXO",U515="XOO"),2,1)))</f>
        <v>2</v>
      </c>
      <c r="W515">
        <f t="shared" ref="W515:W578" si="25">IF(OR(O515="XXO",U515="XXO"),1,0)</f>
        <v>1</v>
      </c>
      <c r="X515">
        <f t="shared" ref="X515:X578" si="26">IF(AND(O515="XXO",U515="XXO"),1,0)</f>
        <v>0</v>
      </c>
      <c r="Y515">
        <v>147</v>
      </c>
      <c r="Z515">
        <v>0</v>
      </c>
      <c r="AA515" t="s">
        <v>3353</v>
      </c>
      <c r="AB515" t="s">
        <v>99</v>
      </c>
      <c r="AC515" t="s">
        <v>89</v>
      </c>
      <c r="AD515">
        <v>5</v>
      </c>
      <c r="AE515">
        <v>64</v>
      </c>
      <c r="AF515" t="s">
        <v>126</v>
      </c>
      <c r="AH515" t="s">
        <v>167</v>
      </c>
      <c r="AI515">
        <v>193.72</v>
      </c>
      <c r="AJ515" t="s">
        <v>132</v>
      </c>
      <c r="AK515" t="s">
        <v>441</v>
      </c>
      <c r="AL515" t="s">
        <v>445</v>
      </c>
      <c r="AM515" t="s">
        <v>72</v>
      </c>
      <c r="AN515" s="1">
        <v>45640</v>
      </c>
      <c r="AO515">
        <v>2024</v>
      </c>
      <c r="AP515">
        <v>12</v>
      </c>
      <c r="AQ515" t="s">
        <v>116</v>
      </c>
      <c r="AS515" t="s">
        <v>85</v>
      </c>
      <c r="AT515">
        <v>2025</v>
      </c>
      <c r="AU515" t="s">
        <v>400</v>
      </c>
      <c r="AV515" t="s">
        <v>72</v>
      </c>
      <c r="AW515" t="s">
        <v>3350</v>
      </c>
      <c r="AX515">
        <v>2025</v>
      </c>
      <c r="AY515" t="s">
        <v>3351</v>
      </c>
      <c r="AZ515" t="s">
        <v>2055</v>
      </c>
    </row>
    <row r="516" spans="1:52" x14ac:dyDescent="0.25">
      <c r="A516" t="s">
        <v>3354</v>
      </c>
      <c r="B516" s="1">
        <v>34026</v>
      </c>
      <c r="C516" t="s">
        <v>3355</v>
      </c>
      <c r="D516">
        <v>460230</v>
      </c>
      <c r="E516" t="s">
        <v>46</v>
      </c>
      <c r="F516" t="s">
        <v>518</v>
      </c>
      <c r="G516" t="s">
        <v>1489</v>
      </c>
      <c r="H516" t="s">
        <v>3355</v>
      </c>
      <c r="I516" t="s">
        <v>2015</v>
      </c>
      <c r="J516">
        <v>-56</v>
      </c>
      <c r="K516">
        <v>56</v>
      </c>
      <c r="L516">
        <v>-59</v>
      </c>
      <c r="M516">
        <v>56</v>
      </c>
      <c r="N516">
        <v>0</v>
      </c>
      <c r="O516" t="s">
        <v>104</v>
      </c>
      <c r="P516">
        <v>-70</v>
      </c>
      <c r="Q516">
        <v>-70</v>
      </c>
      <c r="R516">
        <v>-70</v>
      </c>
      <c r="S516">
        <v>0</v>
      </c>
      <c r="T516">
        <v>0</v>
      </c>
      <c r="U516" t="s">
        <v>108</v>
      </c>
      <c r="V516">
        <f t="shared" si="24"/>
        <v>1</v>
      </c>
      <c r="W516">
        <f t="shared" si="25"/>
        <v>0</v>
      </c>
      <c r="X516">
        <f t="shared" si="26"/>
        <v>0</v>
      </c>
      <c r="Y516">
        <v>56</v>
      </c>
      <c r="Z516">
        <v>0</v>
      </c>
      <c r="AA516" t="s">
        <v>3356</v>
      </c>
      <c r="AB516" t="s">
        <v>99</v>
      </c>
      <c r="AC516" t="s">
        <v>49</v>
      </c>
      <c r="AD516">
        <v>999</v>
      </c>
      <c r="AE516">
        <v>64</v>
      </c>
      <c r="AF516" t="s">
        <v>126</v>
      </c>
      <c r="AH516" t="s">
        <v>167</v>
      </c>
      <c r="AI516">
        <v>0</v>
      </c>
      <c r="AJ516" t="s">
        <v>132</v>
      </c>
      <c r="AK516" t="s">
        <v>518</v>
      </c>
      <c r="AL516" t="s">
        <v>522</v>
      </c>
      <c r="AM516" t="s">
        <v>177</v>
      </c>
      <c r="AN516" s="1">
        <v>45640</v>
      </c>
      <c r="AO516">
        <v>2024</v>
      </c>
      <c r="AP516">
        <v>12</v>
      </c>
      <c r="AQ516" t="s">
        <v>116</v>
      </c>
      <c r="AS516" t="s">
        <v>85</v>
      </c>
      <c r="AT516">
        <v>2025</v>
      </c>
      <c r="AU516" t="s">
        <v>1489</v>
      </c>
      <c r="AV516" t="s">
        <v>177</v>
      </c>
      <c r="AW516" t="s">
        <v>3355</v>
      </c>
      <c r="AX516">
        <v>2025</v>
      </c>
      <c r="AY516" t="s">
        <v>3325</v>
      </c>
      <c r="AZ516" t="s">
        <v>3357</v>
      </c>
    </row>
    <row r="517" spans="1:52" x14ac:dyDescent="0.25">
      <c r="A517" t="s">
        <v>3367</v>
      </c>
      <c r="B517" s="1">
        <v>36005</v>
      </c>
      <c r="C517" t="s">
        <v>3368</v>
      </c>
      <c r="D517">
        <v>427196</v>
      </c>
      <c r="E517" t="s">
        <v>46</v>
      </c>
      <c r="F517" t="s">
        <v>109</v>
      </c>
      <c r="G517" t="s">
        <v>1951</v>
      </c>
      <c r="H517" t="s">
        <v>3368</v>
      </c>
      <c r="I517">
        <v>79</v>
      </c>
      <c r="J517">
        <v>102</v>
      </c>
      <c r="K517">
        <v>-106</v>
      </c>
      <c r="L517">
        <v>107</v>
      </c>
      <c r="M517">
        <v>107</v>
      </c>
      <c r="N517">
        <v>209</v>
      </c>
      <c r="O517" t="s">
        <v>65</v>
      </c>
      <c r="P517">
        <v>140</v>
      </c>
      <c r="Q517">
        <v>143</v>
      </c>
      <c r="R517">
        <v>-150</v>
      </c>
      <c r="S517">
        <v>143</v>
      </c>
      <c r="T517">
        <v>283</v>
      </c>
      <c r="U517" t="s">
        <v>60</v>
      </c>
      <c r="V517">
        <f t="shared" si="24"/>
        <v>4</v>
      </c>
      <c r="W517">
        <f t="shared" si="25"/>
        <v>0</v>
      </c>
      <c r="X517">
        <f t="shared" si="26"/>
        <v>0</v>
      </c>
      <c r="Y517">
        <v>250</v>
      </c>
      <c r="Z517">
        <v>492</v>
      </c>
      <c r="AA517" t="s">
        <v>3369</v>
      </c>
      <c r="AB517" t="s">
        <v>3370</v>
      </c>
      <c r="AC517" t="s">
        <v>89</v>
      </c>
      <c r="AD517">
        <v>5</v>
      </c>
      <c r="AE517">
        <v>81</v>
      </c>
      <c r="AF517" t="s">
        <v>126</v>
      </c>
      <c r="AH517" t="s">
        <v>138</v>
      </c>
      <c r="AI517">
        <v>321.70999999999998</v>
      </c>
      <c r="AJ517" t="s">
        <v>52</v>
      </c>
      <c r="AK517" t="s">
        <v>109</v>
      </c>
      <c r="AL517" t="s">
        <v>115</v>
      </c>
      <c r="AM517" t="s">
        <v>90</v>
      </c>
      <c r="AN517" s="1">
        <v>45639</v>
      </c>
      <c r="AO517">
        <v>2024</v>
      </c>
      <c r="AP517">
        <v>12</v>
      </c>
      <c r="AQ517" t="s">
        <v>116</v>
      </c>
      <c r="AS517" t="s">
        <v>85</v>
      </c>
      <c r="AT517">
        <v>2025</v>
      </c>
      <c r="AU517" t="s">
        <v>1951</v>
      </c>
      <c r="AV517" t="s">
        <v>91</v>
      </c>
      <c r="AW517" t="s">
        <v>3368</v>
      </c>
      <c r="AX517">
        <v>2025</v>
      </c>
      <c r="AY517" t="s">
        <v>2656</v>
      </c>
      <c r="AZ517" t="s">
        <v>3369</v>
      </c>
    </row>
    <row r="518" spans="1:52" x14ac:dyDescent="0.25">
      <c r="A518" t="s">
        <v>3371</v>
      </c>
      <c r="B518" s="1">
        <v>35719</v>
      </c>
      <c r="C518" t="s">
        <v>3372</v>
      </c>
      <c r="D518">
        <v>490589</v>
      </c>
      <c r="E518" t="s">
        <v>46</v>
      </c>
      <c r="F518" t="s">
        <v>199</v>
      </c>
      <c r="G518" t="s">
        <v>194</v>
      </c>
      <c r="H518" t="s">
        <v>3372</v>
      </c>
      <c r="I518" t="s">
        <v>163</v>
      </c>
      <c r="J518">
        <v>-108</v>
      </c>
      <c r="K518">
        <v>-110</v>
      </c>
      <c r="L518">
        <v>-110</v>
      </c>
      <c r="M518">
        <v>0</v>
      </c>
      <c r="N518">
        <v>0</v>
      </c>
      <c r="O518" t="s">
        <v>108</v>
      </c>
      <c r="P518">
        <v>135</v>
      </c>
      <c r="Q518">
        <v>-140</v>
      </c>
      <c r="R518">
        <v>-143</v>
      </c>
      <c r="S518">
        <v>135</v>
      </c>
      <c r="T518">
        <v>0</v>
      </c>
      <c r="U518" t="s">
        <v>55</v>
      </c>
      <c r="V518">
        <f t="shared" si="24"/>
        <v>1</v>
      </c>
      <c r="W518">
        <f t="shared" si="25"/>
        <v>0</v>
      </c>
      <c r="X518">
        <f t="shared" si="26"/>
        <v>0</v>
      </c>
      <c r="Y518">
        <v>135</v>
      </c>
      <c r="Z518">
        <v>0</v>
      </c>
      <c r="AA518" t="s">
        <v>3374</v>
      </c>
      <c r="AB518" t="s">
        <v>99</v>
      </c>
      <c r="AC518" t="s">
        <v>49</v>
      </c>
      <c r="AD518">
        <v>999</v>
      </c>
      <c r="AE518">
        <v>81</v>
      </c>
      <c r="AF518" t="s">
        <v>126</v>
      </c>
      <c r="AH518" t="s">
        <v>138</v>
      </c>
      <c r="AI518">
        <v>0</v>
      </c>
      <c r="AJ518" t="s">
        <v>52</v>
      </c>
      <c r="AK518" t="s">
        <v>199</v>
      </c>
      <c r="AL518" t="s">
        <v>203</v>
      </c>
      <c r="AM518" t="s">
        <v>53</v>
      </c>
      <c r="AN518" s="1">
        <v>45640</v>
      </c>
      <c r="AO518">
        <v>2024</v>
      </c>
      <c r="AP518">
        <v>12</v>
      </c>
      <c r="AQ518" t="s">
        <v>116</v>
      </c>
      <c r="AS518" t="s">
        <v>85</v>
      </c>
      <c r="AT518">
        <v>2025</v>
      </c>
      <c r="AU518" t="s">
        <v>194</v>
      </c>
      <c r="AV518" t="s">
        <v>54</v>
      </c>
      <c r="AW518" t="s">
        <v>3372</v>
      </c>
      <c r="AX518">
        <v>2025</v>
      </c>
      <c r="AY518" t="s">
        <v>3373</v>
      </c>
      <c r="AZ518" t="s">
        <v>3375</v>
      </c>
    </row>
    <row r="519" spans="1:52" x14ac:dyDescent="0.25">
      <c r="A519" t="s">
        <v>3362</v>
      </c>
      <c r="B519" s="1">
        <v>38773</v>
      </c>
      <c r="C519" t="s">
        <v>3363</v>
      </c>
      <c r="D519">
        <v>482429</v>
      </c>
      <c r="E519" t="s">
        <v>614</v>
      </c>
      <c r="F519" t="s">
        <v>492</v>
      </c>
      <c r="G519" t="s">
        <v>1236</v>
      </c>
      <c r="H519" t="s">
        <v>3363</v>
      </c>
      <c r="I519">
        <v>69</v>
      </c>
      <c r="J519">
        <v>85</v>
      </c>
      <c r="K519">
        <v>90</v>
      </c>
      <c r="L519">
        <v>93</v>
      </c>
      <c r="M519">
        <v>93</v>
      </c>
      <c r="N519">
        <v>183</v>
      </c>
      <c r="O519" t="s">
        <v>48</v>
      </c>
      <c r="P519">
        <v>100</v>
      </c>
      <c r="Q519">
        <v>-107</v>
      </c>
      <c r="R519">
        <v>-107</v>
      </c>
      <c r="S519">
        <v>100</v>
      </c>
      <c r="T519">
        <v>0</v>
      </c>
      <c r="U519" t="s">
        <v>55</v>
      </c>
      <c r="V519">
        <f t="shared" si="24"/>
        <v>4</v>
      </c>
      <c r="W519">
        <f t="shared" si="25"/>
        <v>0</v>
      </c>
      <c r="X519">
        <f t="shared" si="26"/>
        <v>0</v>
      </c>
      <c r="Y519">
        <v>193</v>
      </c>
      <c r="Z519">
        <v>183</v>
      </c>
      <c r="AA519" t="s">
        <v>3364</v>
      </c>
      <c r="AB519" t="s">
        <v>3365</v>
      </c>
      <c r="AC519" t="s">
        <v>93</v>
      </c>
      <c r="AD519">
        <v>6</v>
      </c>
      <c r="AE519">
        <v>73</v>
      </c>
      <c r="AF519" t="s">
        <v>113</v>
      </c>
      <c r="AH519" t="s">
        <v>218</v>
      </c>
      <c r="AI519">
        <v>269.56</v>
      </c>
      <c r="AJ519" t="s">
        <v>52</v>
      </c>
      <c r="AK519" t="s">
        <v>492</v>
      </c>
      <c r="AL519" t="s">
        <v>494</v>
      </c>
      <c r="AM519" t="s">
        <v>90</v>
      </c>
      <c r="AN519" s="1">
        <v>45640</v>
      </c>
      <c r="AO519">
        <v>2024</v>
      </c>
      <c r="AP519">
        <v>12</v>
      </c>
      <c r="AQ519" t="s">
        <v>116</v>
      </c>
      <c r="AS519" t="s">
        <v>85</v>
      </c>
      <c r="AT519">
        <v>2025</v>
      </c>
      <c r="AU519" t="s">
        <v>1236</v>
      </c>
      <c r="AV519" t="s">
        <v>91</v>
      </c>
      <c r="AW519" t="s">
        <v>3363</v>
      </c>
      <c r="AX519">
        <v>2025</v>
      </c>
      <c r="AY519" t="s">
        <v>2287</v>
      </c>
      <c r="AZ519" t="s">
        <v>3364</v>
      </c>
    </row>
    <row r="520" spans="1:52" x14ac:dyDescent="0.25">
      <c r="A520" t="s">
        <v>3376</v>
      </c>
      <c r="B520" s="1">
        <v>34086</v>
      </c>
      <c r="C520" t="s">
        <v>3377</v>
      </c>
      <c r="D520">
        <v>474627</v>
      </c>
      <c r="E520" t="s">
        <v>46</v>
      </c>
      <c r="F520" t="s">
        <v>1007</v>
      </c>
      <c r="G520" t="s">
        <v>1004</v>
      </c>
      <c r="H520" t="s">
        <v>3377</v>
      </c>
      <c r="I520" t="s">
        <v>813</v>
      </c>
      <c r="J520">
        <v>53</v>
      </c>
      <c r="K520">
        <v>56</v>
      </c>
      <c r="L520">
        <v>58</v>
      </c>
      <c r="M520">
        <v>58</v>
      </c>
      <c r="N520">
        <v>114</v>
      </c>
      <c r="O520" t="s">
        <v>48</v>
      </c>
      <c r="P520">
        <v>70</v>
      </c>
      <c r="Q520">
        <v>73</v>
      </c>
      <c r="R520">
        <v>-76</v>
      </c>
      <c r="S520">
        <v>73</v>
      </c>
      <c r="T520">
        <v>143</v>
      </c>
      <c r="U520" t="s">
        <v>60</v>
      </c>
      <c r="V520">
        <f t="shared" si="24"/>
        <v>5</v>
      </c>
      <c r="W520">
        <f t="shared" si="25"/>
        <v>0</v>
      </c>
      <c r="X520">
        <f t="shared" si="26"/>
        <v>0</v>
      </c>
      <c r="Y520">
        <v>131</v>
      </c>
      <c r="Z520">
        <v>257</v>
      </c>
      <c r="AA520" t="s">
        <v>3352</v>
      </c>
      <c r="AB520" t="s">
        <v>3378</v>
      </c>
      <c r="AC520" t="s">
        <v>93</v>
      </c>
      <c r="AD520">
        <v>6</v>
      </c>
      <c r="AE520">
        <v>64</v>
      </c>
      <c r="AF520" t="s">
        <v>126</v>
      </c>
      <c r="AH520" t="s">
        <v>167</v>
      </c>
      <c r="AI520">
        <v>174.54</v>
      </c>
      <c r="AJ520" t="s">
        <v>132</v>
      </c>
      <c r="AK520" t="s">
        <v>1007</v>
      </c>
      <c r="AL520" t="s">
        <v>1009</v>
      </c>
      <c r="AM520" t="s">
        <v>139</v>
      </c>
      <c r="AN520" s="1">
        <v>45641</v>
      </c>
      <c r="AO520">
        <v>2024</v>
      </c>
      <c r="AP520">
        <v>12</v>
      </c>
      <c r="AQ520" t="s">
        <v>116</v>
      </c>
      <c r="AS520" t="s">
        <v>85</v>
      </c>
      <c r="AT520">
        <v>2025</v>
      </c>
      <c r="AU520" t="s">
        <v>1004</v>
      </c>
      <c r="AV520" t="s">
        <v>140</v>
      </c>
      <c r="AW520" t="s">
        <v>3377</v>
      </c>
      <c r="AX520">
        <v>2025</v>
      </c>
      <c r="AY520" t="s">
        <v>3352</v>
      </c>
      <c r="AZ520" t="s">
        <v>3352</v>
      </c>
    </row>
    <row r="521" spans="1:52" x14ac:dyDescent="0.25">
      <c r="A521" t="s">
        <v>3379</v>
      </c>
      <c r="B521" s="1">
        <v>34320</v>
      </c>
      <c r="C521" t="s">
        <v>3380</v>
      </c>
      <c r="D521">
        <v>445845</v>
      </c>
      <c r="E521" t="s">
        <v>46</v>
      </c>
      <c r="F521" t="s">
        <v>1209</v>
      </c>
      <c r="G521" t="s">
        <v>727</v>
      </c>
      <c r="H521" t="s">
        <v>3380</v>
      </c>
      <c r="I521" t="s">
        <v>1572</v>
      </c>
      <c r="J521">
        <v>-55</v>
      </c>
      <c r="K521">
        <v>55</v>
      </c>
      <c r="L521">
        <v>58</v>
      </c>
      <c r="M521">
        <v>58</v>
      </c>
      <c r="N521">
        <v>113</v>
      </c>
      <c r="O521" t="s">
        <v>63</v>
      </c>
      <c r="P521">
        <v>70</v>
      </c>
      <c r="Q521">
        <v>-73</v>
      </c>
      <c r="R521">
        <v>-73</v>
      </c>
      <c r="S521">
        <v>70</v>
      </c>
      <c r="T521">
        <v>0</v>
      </c>
      <c r="U521" t="s">
        <v>55</v>
      </c>
      <c r="V521">
        <f t="shared" si="24"/>
        <v>3</v>
      </c>
      <c r="W521">
        <f t="shared" si="25"/>
        <v>0</v>
      </c>
      <c r="X521">
        <f t="shared" si="26"/>
        <v>0</v>
      </c>
      <c r="Y521">
        <v>128</v>
      </c>
      <c r="Z521">
        <v>113</v>
      </c>
      <c r="AA521" t="s">
        <v>3382</v>
      </c>
      <c r="AB521" t="s">
        <v>3383</v>
      </c>
      <c r="AC521" t="s">
        <v>93</v>
      </c>
      <c r="AD521">
        <v>6</v>
      </c>
      <c r="AE521">
        <v>64</v>
      </c>
      <c r="AF521" t="s">
        <v>126</v>
      </c>
      <c r="AH521" t="s">
        <v>167</v>
      </c>
      <c r="AI521">
        <v>167.31</v>
      </c>
      <c r="AJ521" t="s">
        <v>132</v>
      </c>
      <c r="AK521" t="s">
        <v>1209</v>
      </c>
      <c r="AL521" t="s">
        <v>1213</v>
      </c>
      <c r="AM521" t="s">
        <v>68</v>
      </c>
      <c r="AN521" s="1">
        <v>45640</v>
      </c>
      <c r="AO521">
        <v>2024</v>
      </c>
      <c r="AP521">
        <v>12</v>
      </c>
      <c r="AQ521" t="s">
        <v>116</v>
      </c>
      <c r="AS521" t="s">
        <v>85</v>
      </c>
      <c r="AT521">
        <v>2025</v>
      </c>
      <c r="AU521" t="s">
        <v>727</v>
      </c>
      <c r="AV521" t="s">
        <v>68</v>
      </c>
      <c r="AW521" t="s">
        <v>3380</v>
      </c>
      <c r="AX521">
        <v>2025</v>
      </c>
      <c r="AY521" t="s">
        <v>2007</v>
      </c>
      <c r="AZ521" t="s">
        <v>3382</v>
      </c>
    </row>
    <row r="522" spans="1:52" x14ac:dyDescent="0.25">
      <c r="A522" t="s">
        <v>3384</v>
      </c>
      <c r="B522" s="1">
        <v>33691</v>
      </c>
      <c r="C522" t="s">
        <v>3385</v>
      </c>
      <c r="D522">
        <v>492462</v>
      </c>
      <c r="E522" t="s">
        <v>46</v>
      </c>
      <c r="F522" t="s">
        <v>893</v>
      </c>
      <c r="G522" t="s">
        <v>386</v>
      </c>
      <c r="H522" t="s">
        <v>3385</v>
      </c>
      <c r="I522" t="s">
        <v>485</v>
      </c>
      <c r="J522">
        <v>47</v>
      </c>
      <c r="K522">
        <v>50</v>
      </c>
      <c r="L522">
        <v>-52</v>
      </c>
      <c r="M522">
        <v>50</v>
      </c>
      <c r="N522">
        <v>97</v>
      </c>
      <c r="O522" t="s">
        <v>60</v>
      </c>
      <c r="P522">
        <v>68</v>
      </c>
      <c r="Q522">
        <v>72</v>
      </c>
      <c r="R522">
        <v>-75</v>
      </c>
      <c r="S522">
        <v>72</v>
      </c>
      <c r="T522">
        <v>140</v>
      </c>
      <c r="U522" t="s">
        <v>60</v>
      </c>
      <c r="V522">
        <f t="shared" si="24"/>
        <v>4</v>
      </c>
      <c r="W522">
        <f t="shared" si="25"/>
        <v>0</v>
      </c>
      <c r="X522">
        <f t="shared" si="26"/>
        <v>0</v>
      </c>
      <c r="Y522">
        <v>122</v>
      </c>
      <c r="Z522">
        <v>237</v>
      </c>
      <c r="AA522" t="s">
        <v>2830</v>
      </c>
      <c r="AB522" t="s">
        <v>3386</v>
      </c>
      <c r="AC522" t="s">
        <v>93</v>
      </c>
      <c r="AD522">
        <v>6</v>
      </c>
      <c r="AE522">
        <v>64</v>
      </c>
      <c r="AF522" t="s">
        <v>126</v>
      </c>
      <c r="AH522" t="s">
        <v>167</v>
      </c>
      <c r="AI522">
        <v>158.93</v>
      </c>
      <c r="AJ522" t="s">
        <v>132</v>
      </c>
      <c r="AK522" t="s">
        <v>893</v>
      </c>
      <c r="AL522" t="s">
        <v>897</v>
      </c>
      <c r="AM522" t="s">
        <v>170</v>
      </c>
      <c r="AN522" s="1">
        <v>45640</v>
      </c>
      <c r="AO522">
        <v>2024</v>
      </c>
      <c r="AP522">
        <v>12</v>
      </c>
      <c r="AQ522" t="s">
        <v>116</v>
      </c>
      <c r="AS522" t="s">
        <v>85</v>
      </c>
      <c r="AT522">
        <v>2025</v>
      </c>
      <c r="AU522" t="s">
        <v>386</v>
      </c>
      <c r="AV522" t="s">
        <v>170</v>
      </c>
      <c r="AW522" t="s">
        <v>3385</v>
      </c>
      <c r="AX522">
        <v>2025</v>
      </c>
      <c r="AY522" t="s">
        <v>2830</v>
      </c>
      <c r="AZ522" t="s">
        <v>2830</v>
      </c>
    </row>
    <row r="523" spans="1:52" x14ac:dyDescent="0.25">
      <c r="A523" t="s">
        <v>3387</v>
      </c>
      <c r="B523" s="1">
        <v>35678</v>
      </c>
      <c r="C523" t="s">
        <v>3388</v>
      </c>
      <c r="D523">
        <v>298196</v>
      </c>
      <c r="E523" t="s">
        <v>46</v>
      </c>
      <c r="F523" t="s">
        <v>941</v>
      </c>
      <c r="G523" t="s">
        <v>653</v>
      </c>
      <c r="H523" t="s">
        <v>3388</v>
      </c>
      <c r="I523" t="s">
        <v>3390</v>
      </c>
      <c r="J523">
        <v>70</v>
      </c>
      <c r="K523">
        <v>-74</v>
      </c>
      <c r="L523">
        <v>-75</v>
      </c>
      <c r="M523">
        <v>70</v>
      </c>
      <c r="N523">
        <v>0</v>
      </c>
      <c r="O523" t="s">
        <v>55</v>
      </c>
      <c r="P523">
        <v>95</v>
      </c>
      <c r="Q523">
        <v>100</v>
      </c>
      <c r="R523">
        <v>-103</v>
      </c>
      <c r="S523">
        <v>100</v>
      </c>
      <c r="T523">
        <v>195</v>
      </c>
      <c r="U523" t="s">
        <v>60</v>
      </c>
      <c r="V523">
        <f t="shared" si="24"/>
        <v>3</v>
      </c>
      <c r="W523">
        <f t="shared" si="25"/>
        <v>0</v>
      </c>
      <c r="X523">
        <f t="shared" si="26"/>
        <v>0</v>
      </c>
      <c r="Y523">
        <v>170</v>
      </c>
      <c r="Z523">
        <v>195</v>
      </c>
      <c r="AA523" t="s">
        <v>3391</v>
      </c>
      <c r="AB523" t="s">
        <v>3392</v>
      </c>
      <c r="AC523" t="s">
        <v>89</v>
      </c>
      <c r="AD523">
        <v>5</v>
      </c>
      <c r="AE523" t="s">
        <v>135</v>
      </c>
      <c r="AF523" t="s">
        <v>126</v>
      </c>
      <c r="AH523" t="s">
        <v>136</v>
      </c>
      <c r="AI523">
        <v>187.55</v>
      </c>
      <c r="AJ523" t="s">
        <v>132</v>
      </c>
      <c r="AK523" t="s">
        <v>941</v>
      </c>
      <c r="AL523" t="s">
        <v>944</v>
      </c>
      <c r="AM523" t="s">
        <v>53</v>
      </c>
      <c r="AN523" s="1">
        <v>45640</v>
      </c>
      <c r="AO523">
        <v>2024</v>
      </c>
      <c r="AP523">
        <v>12</v>
      </c>
      <c r="AQ523" t="s">
        <v>116</v>
      </c>
      <c r="AS523" t="s">
        <v>85</v>
      </c>
      <c r="AT523">
        <v>2025</v>
      </c>
      <c r="AU523" t="s">
        <v>653</v>
      </c>
      <c r="AV523" t="s">
        <v>54</v>
      </c>
      <c r="AW523" t="s">
        <v>3388</v>
      </c>
      <c r="AX523">
        <v>2025</v>
      </c>
      <c r="AY523" t="s">
        <v>3389</v>
      </c>
      <c r="AZ523" t="s">
        <v>3393</v>
      </c>
    </row>
    <row r="524" spans="1:52" x14ac:dyDescent="0.25">
      <c r="A524" t="s">
        <v>3395</v>
      </c>
      <c r="B524" s="1">
        <v>39723</v>
      </c>
      <c r="C524" t="s">
        <v>3396</v>
      </c>
      <c r="D524">
        <v>436428</v>
      </c>
      <c r="E524" t="s">
        <v>46</v>
      </c>
      <c r="F524" t="s">
        <v>990</v>
      </c>
      <c r="G524" t="s">
        <v>147</v>
      </c>
      <c r="H524" t="s">
        <v>3396</v>
      </c>
      <c r="I524" t="s">
        <v>742</v>
      </c>
      <c r="J524">
        <v>73</v>
      </c>
      <c r="K524">
        <v>76</v>
      </c>
      <c r="L524">
        <v>79</v>
      </c>
      <c r="M524">
        <v>79</v>
      </c>
      <c r="N524">
        <v>155</v>
      </c>
      <c r="O524" t="s">
        <v>48</v>
      </c>
      <c r="P524">
        <v>89</v>
      </c>
      <c r="Q524">
        <v>92</v>
      </c>
      <c r="R524">
        <v>95</v>
      </c>
      <c r="S524">
        <v>95</v>
      </c>
      <c r="T524">
        <v>187</v>
      </c>
      <c r="U524" t="s">
        <v>48</v>
      </c>
      <c r="V524">
        <f t="shared" si="24"/>
        <v>6</v>
      </c>
      <c r="W524">
        <f t="shared" si="25"/>
        <v>0</v>
      </c>
      <c r="X524">
        <f t="shared" si="26"/>
        <v>0</v>
      </c>
      <c r="Y524">
        <v>174</v>
      </c>
      <c r="Z524">
        <v>342</v>
      </c>
      <c r="AA524" t="s">
        <v>3397</v>
      </c>
      <c r="AB524" t="s">
        <v>3398</v>
      </c>
      <c r="AC524" t="s">
        <v>184</v>
      </c>
      <c r="AD524">
        <v>2</v>
      </c>
      <c r="AE524">
        <v>55</v>
      </c>
      <c r="AF524" t="s">
        <v>95</v>
      </c>
      <c r="AH524" t="s">
        <v>175</v>
      </c>
      <c r="AI524">
        <v>257.83</v>
      </c>
      <c r="AJ524" t="s">
        <v>132</v>
      </c>
      <c r="AK524" t="s">
        <v>990</v>
      </c>
      <c r="AL524" t="s">
        <v>993</v>
      </c>
      <c r="AM524" t="s">
        <v>145</v>
      </c>
      <c r="AN524" s="1">
        <v>45640</v>
      </c>
      <c r="AO524">
        <v>2024</v>
      </c>
      <c r="AP524">
        <v>12</v>
      </c>
      <c r="AQ524" t="s">
        <v>116</v>
      </c>
      <c r="AS524" t="s">
        <v>85</v>
      </c>
      <c r="AT524">
        <v>2025</v>
      </c>
      <c r="AU524" t="s">
        <v>147</v>
      </c>
      <c r="AV524" t="s">
        <v>145</v>
      </c>
      <c r="AW524" t="s">
        <v>3396</v>
      </c>
      <c r="AX524">
        <v>2025</v>
      </c>
      <c r="AY524" t="s">
        <v>3397</v>
      </c>
      <c r="AZ524" t="s">
        <v>3397</v>
      </c>
    </row>
    <row r="525" spans="1:52" x14ac:dyDescent="0.25">
      <c r="A525" t="s">
        <v>3403</v>
      </c>
      <c r="B525" s="1">
        <v>35479</v>
      </c>
      <c r="C525" t="s">
        <v>3404</v>
      </c>
      <c r="D525">
        <v>475599</v>
      </c>
      <c r="E525" t="s">
        <v>179</v>
      </c>
      <c r="F525" t="s">
        <v>912</v>
      </c>
      <c r="G525" t="s">
        <v>161</v>
      </c>
      <c r="H525" t="s">
        <v>3404</v>
      </c>
      <c r="I525">
        <v>59</v>
      </c>
      <c r="J525">
        <v>58</v>
      </c>
      <c r="K525">
        <v>-60</v>
      </c>
      <c r="L525">
        <v>-60</v>
      </c>
      <c r="M525">
        <v>58</v>
      </c>
      <c r="N525">
        <v>0</v>
      </c>
      <c r="O525" t="s">
        <v>55</v>
      </c>
      <c r="P525">
        <v>-80</v>
      </c>
      <c r="Q525">
        <v>-82</v>
      </c>
      <c r="R525">
        <v>-82</v>
      </c>
      <c r="S525">
        <v>0</v>
      </c>
      <c r="T525">
        <v>0</v>
      </c>
      <c r="U525" t="s">
        <v>108</v>
      </c>
      <c r="V525">
        <f t="shared" si="24"/>
        <v>1</v>
      </c>
      <c r="W525">
        <f t="shared" si="25"/>
        <v>0</v>
      </c>
      <c r="X525">
        <f t="shared" si="26"/>
        <v>0</v>
      </c>
      <c r="Y525">
        <v>58</v>
      </c>
      <c r="Z525">
        <v>0</v>
      </c>
      <c r="AA525" t="s">
        <v>3406</v>
      </c>
      <c r="AB525" t="s">
        <v>99</v>
      </c>
      <c r="AC525" t="s">
        <v>49</v>
      </c>
      <c r="AD525">
        <v>999</v>
      </c>
      <c r="AE525">
        <v>59</v>
      </c>
      <c r="AF525" t="s">
        <v>126</v>
      </c>
      <c r="AH525" t="s">
        <v>202</v>
      </c>
      <c r="AI525">
        <v>0</v>
      </c>
      <c r="AJ525" t="s">
        <v>132</v>
      </c>
      <c r="AK525" t="s">
        <v>912</v>
      </c>
      <c r="AL525" t="s">
        <v>914</v>
      </c>
      <c r="AM525" t="s">
        <v>128</v>
      </c>
      <c r="AN525" s="1">
        <v>45640</v>
      </c>
      <c r="AO525">
        <v>2024</v>
      </c>
      <c r="AP525">
        <v>12</v>
      </c>
      <c r="AQ525" t="s">
        <v>116</v>
      </c>
      <c r="AS525" t="s">
        <v>85</v>
      </c>
      <c r="AT525">
        <v>2025</v>
      </c>
      <c r="AU525" t="s">
        <v>161</v>
      </c>
      <c r="AV525" t="s">
        <v>128</v>
      </c>
      <c r="AW525" t="s">
        <v>3404</v>
      </c>
      <c r="AX525">
        <v>2025</v>
      </c>
      <c r="AY525" t="s">
        <v>3405</v>
      </c>
      <c r="AZ525" t="s">
        <v>3050</v>
      </c>
    </row>
    <row r="526" spans="1:52" x14ac:dyDescent="0.25">
      <c r="A526" t="s">
        <v>3399</v>
      </c>
      <c r="B526" s="1">
        <v>40393</v>
      </c>
      <c r="C526" t="s">
        <v>3400</v>
      </c>
      <c r="D526">
        <v>483124</v>
      </c>
      <c r="E526" t="s">
        <v>46</v>
      </c>
      <c r="F526" t="s">
        <v>1163</v>
      </c>
      <c r="G526" t="s">
        <v>1004</v>
      </c>
      <c r="H526" t="s">
        <v>3400</v>
      </c>
      <c r="I526" t="s">
        <v>298</v>
      </c>
      <c r="J526">
        <v>60</v>
      </c>
      <c r="K526">
        <v>-63</v>
      </c>
      <c r="L526">
        <v>63</v>
      </c>
      <c r="M526">
        <v>63</v>
      </c>
      <c r="N526">
        <v>123</v>
      </c>
      <c r="O526" t="s">
        <v>65</v>
      </c>
      <c r="P526">
        <v>70</v>
      </c>
      <c r="Q526">
        <v>73</v>
      </c>
      <c r="R526">
        <v>75</v>
      </c>
      <c r="S526">
        <v>75</v>
      </c>
      <c r="T526">
        <v>148</v>
      </c>
      <c r="U526" t="s">
        <v>48</v>
      </c>
      <c r="V526">
        <f t="shared" si="24"/>
        <v>5</v>
      </c>
      <c r="W526">
        <f t="shared" si="25"/>
        <v>0</v>
      </c>
      <c r="X526">
        <f t="shared" si="26"/>
        <v>0</v>
      </c>
      <c r="Y526">
        <v>138</v>
      </c>
      <c r="Z526">
        <v>271</v>
      </c>
      <c r="AA526" t="s">
        <v>3401</v>
      </c>
      <c r="AB526" t="s">
        <v>3402</v>
      </c>
      <c r="AC526" t="s">
        <v>98</v>
      </c>
      <c r="AD526">
        <v>3</v>
      </c>
      <c r="AE526">
        <v>71</v>
      </c>
      <c r="AF526" t="s">
        <v>57</v>
      </c>
      <c r="AH526" t="s">
        <v>752</v>
      </c>
      <c r="AI526">
        <v>173.54</v>
      </c>
      <c r="AJ526" t="s">
        <v>132</v>
      </c>
      <c r="AK526" t="s">
        <v>1163</v>
      </c>
      <c r="AL526" t="s">
        <v>1165</v>
      </c>
      <c r="AM526" t="s">
        <v>139</v>
      </c>
      <c r="AN526" s="1">
        <v>45640</v>
      </c>
      <c r="AO526">
        <v>2024</v>
      </c>
      <c r="AP526">
        <v>12</v>
      </c>
      <c r="AQ526" t="s">
        <v>116</v>
      </c>
      <c r="AS526" t="s">
        <v>85</v>
      </c>
      <c r="AT526">
        <v>2025</v>
      </c>
      <c r="AU526" t="s">
        <v>1004</v>
      </c>
      <c r="AV526" t="s">
        <v>140</v>
      </c>
      <c r="AW526" t="s">
        <v>3400</v>
      </c>
      <c r="AX526">
        <v>2025</v>
      </c>
      <c r="AY526" t="s">
        <v>3401</v>
      </c>
      <c r="AZ526" t="s">
        <v>3401</v>
      </c>
    </row>
    <row r="527" spans="1:52" x14ac:dyDescent="0.25">
      <c r="A527" t="s">
        <v>3407</v>
      </c>
      <c r="B527" s="1">
        <v>34173</v>
      </c>
      <c r="C527" t="s">
        <v>3408</v>
      </c>
      <c r="D527">
        <v>475305</v>
      </c>
      <c r="E527" t="s">
        <v>46</v>
      </c>
      <c r="F527" t="s">
        <v>1173</v>
      </c>
      <c r="G527" t="s">
        <v>538</v>
      </c>
      <c r="H527" t="s">
        <v>3408</v>
      </c>
      <c r="I527" t="s">
        <v>3410</v>
      </c>
      <c r="J527">
        <v>54</v>
      </c>
      <c r="K527">
        <v>57</v>
      </c>
      <c r="L527">
        <v>-60</v>
      </c>
      <c r="M527">
        <v>57</v>
      </c>
      <c r="N527">
        <v>111</v>
      </c>
      <c r="O527" t="s">
        <v>60</v>
      </c>
      <c r="P527">
        <v>63</v>
      </c>
      <c r="Q527">
        <v>-67</v>
      </c>
      <c r="R527">
        <v>-67</v>
      </c>
      <c r="S527">
        <v>63</v>
      </c>
      <c r="T527">
        <v>0</v>
      </c>
      <c r="U527" t="s">
        <v>55</v>
      </c>
      <c r="V527">
        <f t="shared" si="24"/>
        <v>3</v>
      </c>
      <c r="W527">
        <f t="shared" si="25"/>
        <v>0</v>
      </c>
      <c r="X527">
        <f t="shared" si="26"/>
        <v>0</v>
      </c>
      <c r="Y527">
        <v>120</v>
      </c>
      <c r="Z527">
        <v>111</v>
      </c>
      <c r="AA527" t="s">
        <v>3409</v>
      </c>
      <c r="AB527" t="s">
        <v>3411</v>
      </c>
      <c r="AC527" t="s">
        <v>93</v>
      </c>
      <c r="AD527">
        <v>6</v>
      </c>
      <c r="AE527">
        <v>59</v>
      </c>
      <c r="AF527" t="s">
        <v>126</v>
      </c>
      <c r="AH527" t="s">
        <v>202</v>
      </c>
      <c r="AI527">
        <v>167.93</v>
      </c>
      <c r="AJ527" t="s">
        <v>132</v>
      </c>
      <c r="AK527" t="s">
        <v>1173</v>
      </c>
      <c r="AL527" t="s">
        <v>1177</v>
      </c>
      <c r="AM527" t="s">
        <v>173</v>
      </c>
      <c r="AN527" s="1">
        <v>45641</v>
      </c>
      <c r="AO527">
        <v>2024</v>
      </c>
      <c r="AP527">
        <v>12</v>
      </c>
      <c r="AQ527" t="s">
        <v>116</v>
      </c>
      <c r="AS527" t="s">
        <v>85</v>
      </c>
      <c r="AT527">
        <v>2025</v>
      </c>
      <c r="AU527" t="s">
        <v>538</v>
      </c>
      <c r="AV527" t="s">
        <v>173</v>
      </c>
      <c r="AW527" t="s">
        <v>3408</v>
      </c>
      <c r="AX527">
        <v>2025</v>
      </c>
      <c r="AY527" t="s">
        <v>3409</v>
      </c>
      <c r="AZ527" t="s">
        <v>3409</v>
      </c>
    </row>
    <row r="528" spans="1:52" x14ac:dyDescent="0.25">
      <c r="A528" t="s">
        <v>3418</v>
      </c>
      <c r="B528" s="1">
        <v>32828</v>
      </c>
      <c r="C528" t="s">
        <v>3419</v>
      </c>
      <c r="D528">
        <v>496450</v>
      </c>
      <c r="E528" t="s">
        <v>46</v>
      </c>
      <c r="F528" t="s">
        <v>801</v>
      </c>
      <c r="G528" t="s">
        <v>469</v>
      </c>
      <c r="H528" t="s">
        <v>3419</v>
      </c>
      <c r="I528" t="s">
        <v>934</v>
      </c>
      <c r="J528">
        <v>55</v>
      </c>
      <c r="K528">
        <v>59</v>
      </c>
      <c r="L528">
        <v>62</v>
      </c>
      <c r="M528">
        <v>62</v>
      </c>
      <c r="N528">
        <v>121</v>
      </c>
      <c r="O528" t="s">
        <v>48</v>
      </c>
      <c r="P528">
        <v>72</v>
      </c>
      <c r="Q528">
        <v>-77</v>
      </c>
      <c r="R528">
        <v>-78</v>
      </c>
      <c r="S528">
        <v>72</v>
      </c>
      <c r="T528">
        <v>0</v>
      </c>
      <c r="U528" t="s">
        <v>55</v>
      </c>
      <c r="V528">
        <f t="shared" si="24"/>
        <v>4</v>
      </c>
      <c r="W528">
        <f t="shared" si="25"/>
        <v>0</v>
      </c>
      <c r="X528">
        <f t="shared" si="26"/>
        <v>0</v>
      </c>
      <c r="Y528">
        <v>134</v>
      </c>
      <c r="Z528">
        <v>121</v>
      </c>
      <c r="AA528" t="s">
        <v>3421</v>
      </c>
      <c r="AB528" t="s">
        <v>3422</v>
      </c>
      <c r="AC528" t="s">
        <v>93</v>
      </c>
      <c r="AD528">
        <v>6</v>
      </c>
      <c r="AE528">
        <v>64</v>
      </c>
      <c r="AF528" t="s">
        <v>126</v>
      </c>
      <c r="AG528">
        <v>35</v>
      </c>
      <c r="AH528" t="s">
        <v>167</v>
      </c>
      <c r="AI528">
        <v>179.55</v>
      </c>
      <c r="AJ528" t="s">
        <v>132</v>
      </c>
      <c r="AK528" t="s">
        <v>801</v>
      </c>
      <c r="AL528" t="s">
        <v>804</v>
      </c>
      <c r="AM528" t="s">
        <v>68</v>
      </c>
      <c r="AN528" s="1">
        <v>45640</v>
      </c>
      <c r="AO528">
        <v>2024</v>
      </c>
      <c r="AP528">
        <v>12</v>
      </c>
      <c r="AQ528" t="s">
        <v>116</v>
      </c>
      <c r="AS528" t="s">
        <v>85</v>
      </c>
      <c r="AT528">
        <v>2025</v>
      </c>
      <c r="AU528" t="s">
        <v>469</v>
      </c>
      <c r="AV528" t="s">
        <v>68</v>
      </c>
      <c r="AW528" t="s">
        <v>3419</v>
      </c>
      <c r="AX528">
        <v>2025</v>
      </c>
      <c r="AY528" t="s">
        <v>3420</v>
      </c>
      <c r="AZ528" t="s">
        <v>3420</v>
      </c>
    </row>
    <row r="529" spans="1:52" x14ac:dyDescent="0.25">
      <c r="A529" t="s">
        <v>3423</v>
      </c>
      <c r="B529" s="1">
        <v>39651</v>
      </c>
      <c r="C529" t="s">
        <v>3424</v>
      </c>
      <c r="D529">
        <v>499965</v>
      </c>
      <c r="E529" t="s">
        <v>46</v>
      </c>
      <c r="F529" t="s">
        <v>1350</v>
      </c>
      <c r="G529" t="s">
        <v>383</v>
      </c>
      <c r="H529" t="s">
        <v>3424</v>
      </c>
      <c r="I529" t="s">
        <v>343</v>
      </c>
      <c r="J529">
        <v>-50</v>
      </c>
      <c r="K529">
        <v>50</v>
      </c>
      <c r="L529">
        <v>-55</v>
      </c>
      <c r="M529">
        <v>50</v>
      </c>
      <c r="N529">
        <v>0</v>
      </c>
      <c r="O529" t="s">
        <v>104</v>
      </c>
      <c r="P529">
        <v>63</v>
      </c>
      <c r="Q529">
        <v>67</v>
      </c>
      <c r="R529">
        <v>70</v>
      </c>
      <c r="S529">
        <v>70</v>
      </c>
      <c r="T529">
        <v>137</v>
      </c>
      <c r="U529" t="s">
        <v>48</v>
      </c>
      <c r="V529">
        <f t="shared" si="24"/>
        <v>4</v>
      </c>
      <c r="W529">
        <f t="shared" si="25"/>
        <v>0</v>
      </c>
      <c r="X529">
        <f t="shared" si="26"/>
        <v>0</v>
      </c>
      <c r="Y529">
        <v>120</v>
      </c>
      <c r="Z529">
        <v>137</v>
      </c>
      <c r="AA529" t="s">
        <v>1289</v>
      </c>
      <c r="AB529" t="s">
        <v>2045</v>
      </c>
      <c r="AC529" t="s">
        <v>89</v>
      </c>
      <c r="AD529">
        <v>5</v>
      </c>
      <c r="AE529">
        <v>71</v>
      </c>
      <c r="AF529" t="s">
        <v>95</v>
      </c>
      <c r="AH529" t="s">
        <v>301</v>
      </c>
      <c r="AI529">
        <v>147.94</v>
      </c>
      <c r="AJ529" t="s">
        <v>132</v>
      </c>
      <c r="AK529" t="s">
        <v>1350</v>
      </c>
      <c r="AL529" t="s">
        <v>1352</v>
      </c>
      <c r="AM529" t="s">
        <v>90</v>
      </c>
      <c r="AN529" s="1">
        <v>45640</v>
      </c>
      <c r="AO529">
        <v>2024</v>
      </c>
      <c r="AP529">
        <v>12</v>
      </c>
      <c r="AQ529" t="s">
        <v>116</v>
      </c>
      <c r="AS529" t="s">
        <v>85</v>
      </c>
      <c r="AT529">
        <v>2025</v>
      </c>
      <c r="AU529" t="s">
        <v>383</v>
      </c>
      <c r="AV529" t="s">
        <v>91</v>
      </c>
      <c r="AW529" t="s">
        <v>3424</v>
      </c>
      <c r="AX529">
        <v>2025</v>
      </c>
      <c r="AY529" t="s">
        <v>1289</v>
      </c>
      <c r="AZ529" t="s">
        <v>1289</v>
      </c>
    </row>
    <row r="530" spans="1:52" x14ac:dyDescent="0.25">
      <c r="A530" t="s">
        <v>3425</v>
      </c>
      <c r="B530" s="1">
        <v>39173</v>
      </c>
      <c r="C530" t="s">
        <v>3426</v>
      </c>
      <c r="D530">
        <v>466024</v>
      </c>
      <c r="E530" t="s">
        <v>46</v>
      </c>
      <c r="F530" t="s">
        <v>1300</v>
      </c>
      <c r="G530" t="s">
        <v>168</v>
      </c>
      <c r="H530" t="s">
        <v>3426</v>
      </c>
      <c r="I530" t="s">
        <v>1505</v>
      </c>
      <c r="J530">
        <v>50</v>
      </c>
      <c r="K530">
        <v>-53</v>
      </c>
      <c r="L530">
        <v>-53</v>
      </c>
      <c r="M530">
        <v>50</v>
      </c>
      <c r="N530">
        <v>0</v>
      </c>
      <c r="O530" t="s">
        <v>55</v>
      </c>
      <c r="P530">
        <v>-60</v>
      </c>
      <c r="Q530">
        <v>60</v>
      </c>
      <c r="R530">
        <v>-63</v>
      </c>
      <c r="S530">
        <v>60</v>
      </c>
      <c r="T530">
        <v>0</v>
      </c>
      <c r="U530" t="s">
        <v>104</v>
      </c>
      <c r="V530">
        <f t="shared" si="24"/>
        <v>2</v>
      </c>
      <c r="W530">
        <f t="shared" si="25"/>
        <v>0</v>
      </c>
      <c r="X530">
        <f t="shared" si="26"/>
        <v>0</v>
      </c>
      <c r="Y530">
        <v>110</v>
      </c>
      <c r="Z530">
        <v>0</v>
      </c>
      <c r="AA530" t="s">
        <v>3428</v>
      </c>
      <c r="AB530" t="s">
        <v>99</v>
      </c>
      <c r="AC530" t="s">
        <v>93</v>
      </c>
      <c r="AD530">
        <v>6</v>
      </c>
      <c r="AE530">
        <v>59</v>
      </c>
      <c r="AF530" t="s">
        <v>113</v>
      </c>
      <c r="AH530" t="s">
        <v>352</v>
      </c>
      <c r="AI530">
        <v>151.27000000000001</v>
      </c>
      <c r="AJ530" t="s">
        <v>132</v>
      </c>
      <c r="AK530" t="s">
        <v>1300</v>
      </c>
      <c r="AL530" t="s">
        <v>1302</v>
      </c>
      <c r="AM530" t="s">
        <v>170</v>
      </c>
      <c r="AN530" s="1">
        <v>45640</v>
      </c>
      <c r="AO530">
        <v>2024</v>
      </c>
      <c r="AP530">
        <v>12</v>
      </c>
      <c r="AQ530" t="s">
        <v>116</v>
      </c>
      <c r="AS530" t="s">
        <v>85</v>
      </c>
      <c r="AT530">
        <v>2025</v>
      </c>
      <c r="AU530" t="s">
        <v>168</v>
      </c>
      <c r="AV530" t="s">
        <v>170</v>
      </c>
      <c r="AW530" t="s">
        <v>3426</v>
      </c>
      <c r="AX530">
        <v>2025</v>
      </c>
      <c r="AY530" t="s">
        <v>3427</v>
      </c>
      <c r="AZ530" t="s">
        <v>3429</v>
      </c>
    </row>
    <row r="531" spans="1:52" x14ac:dyDescent="0.25">
      <c r="A531" t="s">
        <v>3430</v>
      </c>
      <c r="B531" s="1">
        <v>36136</v>
      </c>
      <c r="C531" t="s">
        <v>3431</v>
      </c>
      <c r="D531">
        <v>476113</v>
      </c>
      <c r="E531" t="s">
        <v>46</v>
      </c>
      <c r="F531" t="s">
        <v>232</v>
      </c>
      <c r="G531" t="s">
        <v>258</v>
      </c>
      <c r="H531" t="s">
        <v>3431</v>
      </c>
      <c r="I531" t="s">
        <v>341</v>
      </c>
      <c r="J531">
        <v>62</v>
      </c>
      <c r="K531">
        <v>-66</v>
      </c>
      <c r="L531">
        <v>66</v>
      </c>
      <c r="M531">
        <v>66</v>
      </c>
      <c r="N531">
        <v>128</v>
      </c>
      <c r="O531" t="s">
        <v>65</v>
      </c>
      <c r="P531">
        <v>82</v>
      </c>
      <c r="Q531">
        <v>86</v>
      </c>
      <c r="R531">
        <v>-90</v>
      </c>
      <c r="S531">
        <v>86</v>
      </c>
      <c r="T531">
        <v>168</v>
      </c>
      <c r="U531" t="s">
        <v>60</v>
      </c>
      <c r="V531">
        <f t="shared" si="24"/>
        <v>4</v>
      </c>
      <c r="W531">
        <f t="shared" si="25"/>
        <v>0</v>
      </c>
      <c r="X531">
        <f t="shared" si="26"/>
        <v>0</v>
      </c>
      <c r="Y531">
        <v>152</v>
      </c>
      <c r="Z531">
        <v>296</v>
      </c>
      <c r="AA531" t="s">
        <v>3394</v>
      </c>
      <c r="AB531" t="s">
        <v>342</v>
      </c>
      <c r="AC531" t="s">
        <v>89</v>
      </c>
      <c r="AD531">
        <v>5</v>
      </c>
      <c r="AE531">
        <v>71</v>
      </c>
      <c r="AF531" t="s">
        <v>126</v>
      </c>
      <c r="AH531" t="s">
        <v>226</v>
      </c>
      <c r="AI531">
        <v>187.25</v>
      </c>
      <c r="AJ531" t="s">
        <v>132</v>
      </c>
      <c r="AK531" t="s">
        <v>232</v>
      </c>
      <c r="AL531" t="s">
        <v>236</v>
      </c>
      <c r="AM531" t="s">
        <v>128</v>
      </c>
      <c r="AN531" s="1">
        <v>45640</v>
      </c>
      <c r="AO531">
        <v>2024</v>
      </c>
      <c r="AP531">
        <v>12</v>
      </c>
      <c r="AQ531" t="s">
        <v>116</v>
      </c>
      <c r="AS531" t="s">
        <v>85</v>
      </c>
      <c r="AT531">
        <v>2025</v>
      </c>
      <c r="AU531" t="s">
        <v>258</v>
      </c>
      <c r="AV531" t="s">
        <v>128</v>
      </c>
      <c r="AW531" t="s">
        <v>3431</v>
      </c>
      <c r="AX531">
        <v>2025</v>
      </c>
      <c r="AY531" t="s">
        <v>3394</v>
      </c>
      <c r="AZ531" t="s">
        <v>3394</v>
      </c>
    </row>
    <row r="532" spans="1:52" x14ac:dyDescent="0.25">
      <c r="A532" t="s">
        <v>3432</v>
      </c>
      <c r="B532" s="1">
        <v>37357</v>
      </c>
      <c r="C532" t="s">
        <v>3433</v>
      </c>
      <c r="D532">
        <v>426636</v>
      </c>
      <c r="E532" t="s">
        <v>46</v>
      </c>
      <c r="F532" t="s">
        <v>1007</v>
      </c>
      <c r="G532" t="s">
        <v>402</v>
      </c>
      <c r="H532" t="s">
        <v>3433</v>
      </c>
      <c r="I532" t="s">
        <v>288</v>
      </c>
      <c r="J532">
        <v>82</v>
      </c>
      <c r="K532">
        <v>85</v>
      </c>
      <c r="L532">
        <v>88</v>
      </c>
      <c r="M532">
        <v>88</v>
      </c>
      <c r="N532">
        <v>173</v>
      </c>
      <c r="O532" t="s">
        <v>48</v>
      </c>
      <c r="P532">
        <v>104</v>
      </c>
      <c r="Q532">
        <v>108</v>
      </c>
      <c r="R532">
        <v>-112</v>
      </c>
      <c r="S532">
        <v>108</v>
      </c>
      <c r="T532">
        <v>212</v>
      </c>
      <c r="U532" t="s">
        <v>60</v>
      </c>
      <c r="V532">
        <f t="shared" si="24"/>
        <v>5</v>
      </c>
      <c r="W532">
        <f t="shared" si="25"/>
        <v>0</v>
      </c>
      <c r="X532">
        <f t="shared" si="26"/>
        <v>0</v>
      </c>
      <c r="Y532">
        <v>196</v>
      </c>
      <c r="Z532">
        <v>385</v>
      </c>
      <c r="AA532" t="s">
        <v>1596</v>
      </c>
      <c r="AB532" t="s">
        <v>3435</v>
      </c>
      <c r="AC532" t="s">
        <v>98</v>
      </c>
      <c r="AD532">
        <v>3</v>
      </c>
      <c r="AE532">
        <v>64</v>
      </c>
      <c r="AF532" t="s">
        <v>126</v>
      </c>
      <c r="AH532" t="s">
        <v>167</v>
      </c>
      <c r="AI532">
        <v>255.09</v>
      </c>
      <c r="AJ532" t="s">
        <v>132</v>
      </c>
      <c r="AK532" t="s">
        <v>1007</v>
      </c>
      <c r="AL532" t="s">
        <v>1009</v>
      </c>
      <c r="AM532" t="s">
        <v>139</v>
      </c>
      <c r="AN532" s="1">
        <v>45641</v>
      </c>
      <c r="AO532">
        <v>2024</v>
      </c>
      <c r="AP532">
        <v>12</v>
      </c>
      <c r="AQ532" t="s">
        <v>116</v>
      </c>
      <c r="AS532" t="s">
        <v>85</v>
      </c>
      <c r="AT532">
        <v>2025</v>
      </c>
      <c r="AU532" t="s">
        <v>402</v>
      </c>
      <c r="AV532" t="s">
        <v>140</v>
      </c>
      <c r="AW532" t="s">
        <v>3433</v>
      </c>
      <c r="AX532">
        <v>2025</v>
      </c>
      <c r="AY532" t="s">
        <v>3434</v>
      </c>
      <c r="AZ532" t="s">
        <v>1596</v>
      </c>
    </row>
    <row r="533" spans="1:52" x14ac:dyDescent="0.25">
      <c r="A533" t="s">
        <v>3436</v>
      </c>
      <c r="B533" s="1">
        <v>41161</v>
      </c>
      <c r="C533" t="s">
        <v>3437</v>
      </c>
      <c r="D533">
        <v>452442</v>
      </c>
      <c r="E533" t="s">
        <v>46</v>
      </c>
      <c r="F533" t="s">
        <v>867</v>
      </c>
      <c r="G533" t="s">
        <v>469</v>
      </c>
      <c r="H533" t="s">
        <v>3437</v>
      </c>
      <c r="I533">
        <v>40</v>
      </c>
      <c r="J533">
        <v>16</v>
      </c>
      <c r="K533">
        <v>18</v>
      </c>
      <c r="L533">
        <v>-19</v>
      </c>
      <c r="M533">
        <v>18</v>
      </c>
      <c r="N533">
        <v>34</v>
      </c>
      <c r="O533" t="s">
        <v>60</v>
      </c>
      <c r="P533">
        <v>23</v>
      </c>
      <c r="Q533">
        <v>25</v>
      </c>
      <c r="R533">
        <v>27</v>
      </c>
      <c r="S533">
        <v>27</v>
      </c>
      <c r="T533">
        <v>52</v>
      </c>
      <c r="U533" t="s">
        <v>48</v>
      </c>
      <c r="V533">
        <f t="shared" si="24"/>
        <v>5</v>
      </c>
      <c r="W533">
        <f t="shared" si="25"/>
        <v>0</v>
      </c>
      <c r="X533">
        <f t="shared" si="26"/>
        <v>0</v>
      </c>
      <c r="Y533">
        <v>45</v>
      </c>
      <c r="Z533">
        <v>86</v>
      </c>
      <c r="AA533" t="s">
        <v>1704</v>
      </c>
      <c r="AB533" t="s">
        <v>455</v>
      </c>
      <c r="AC533" t="s">
        <v>49</v>
      </c>
      <c r="AD533">
        <v>999</v>
      </c>
      <c r="AE533">
        <v>40</v>
      </c>
      <c r="AF533" t="s">
        <v>50</v>
      </c>
      <c r="AH533" t="s">
        <v>452</v>
      </c>
      <c r="AI533">
        <v>159.81</v>
      </c>
      <c r="AJ533" t="s">
        <v>132</v>
      </c>
      <c r="AK533" t="s">
        <v>867</v>
      </c>
      <c r="AL533" t="s">
        <v>869</v>
      </c>
      <c r="AM533" t="s">
        <v>68</v>
      </c>
      <c r="AN533" s="1">
        <v>45641</v>
      </c>
      <c r="AO533">
        <v>2024</v>
      </c>
      <c r="AP533">
        <v>12</v>
      </c>
      <c r="AQ533" t="s">
        <v>116</v>
      </c>
      <c r="AS533" t="s">
        <v>85</v>
      </c>
      <c r="AT533">
        <v>2025</v>
      </c>
      <c r="AU533" t="s">
        <v>469</v>
      </c>
      <c r="AV533" t="s">
        <v>68</v>
      </c>
      <c r="AW533" t="s">
        <v>3437</v>
      </c>
      <c r="AX533">
        <v>2025</v>
      </c>
      <c r="AY533" t="s">
        <v>3438</v>
      </c>
      <c r="AZ533" t="s">
        <v>1704</v>
      </c>
    </row>
    <row r="534" spans="1:52" x14ac:dyDescent="0.25">
      <c r="A534" t="s">
        <v>3412</v>
      </c>
      <c r="B534" s="1">
        <v>35756</v>
      </c>
      <c r="C534" t="s">
        <v>3413</v>
      </c>
      <c r="D534">
        <v>443178</v>
      </c>
      <c r="E534" t="s">
        <v>46</v>
      </c>
      <c r="F534" t="s">
        <v>941</v>
      </c>
      <c r="G534" t="s">
        <v>1032</v>
      </c>
      <c r="H534" t="s">
        <v>3413</v>
      </c>
      <c r="I534" t="s">
        <v>3329</v>
      </c>
      <c r="J534">
        <v>72</v>
      </c>
      <c r="K534">
        <v>75</v>
      </c>
      <c r="L534">
        <v>-78</v>
      </c>
      <c r="M534">
        <v>75</v>
      </c>
      <c r="N534">
        <v>147</v>
      </c>
      <c r="O534" t="s">
        <v>60</v>
      </c>
      <c r="P534">
        <v>84</v>
      </c>
      <c r="Q534">
        <v>87</v>
      </c>
      <c r="R534">
        <v>-90</v>
      </c>
      <c r="S534">
        <v>87</v>
      </c>
      <c r="T534">
        <v>171</v>
      </c>
      <c r="U534" t="s">
        <v>60</v>
      </c>
      <c r="V534">
        <f t="shared" si="24"/>
        <v>4</v>
      </c>
      <c r="W534">
        <f t="shared" si="25"/>
        <v>0</v>
      </c>
      <c r="X534">
        <f t="shared" si="26"/>
        <v>0</v>
      </c>
      <c r="Y534">
        <v>162</v>
      </c>
      <c r="Z534">
        <v>318</v>
      </c>
      <c r="AA534" t="s">
        <v>3415</v>
      </c>
      <c r="AB534" t="s">
        <v>3416</v>
      </c>
      <c r="AC534" t="s">
        <v>94</v>
      </c>
      <c r="AD534">
        <v>4</v>
      </c>
      <c r="AE534">
        <v>55</v>
      </c>
      <c r="AF534" t="s">
        <v>126</v>
      </c>
      <c r="AH534" t="s">
        <v>197</v>
      </c>
      <c r="AI534">
        <v>236.21</v>
      </c>
      <c r="AJ534" t="s">
        <v>132</v>
      </c>
      <c r="AK534" t="s">
        <v>941</v>
      </c>
      <c r="AL534" t="s">
        <v>944</v>
      </c>
      <c r="AM534" t="s">
        <v>53</v>
      </c>
      <c r="AN534" s="1">
        <v>45640</v>
      </c>
      <c r="AO534">
        <v>2024</v>
      </c>
      <c r="AP534">
        <v>12</v>
      </c>
      <c r="AQ534" t="s">
        <v>116</v>
      </c>
      <c r="AS534" t="s">
        <v>85</v>
      </c>
      <c r="AT534">
        <v>2025</v>
      </c>
      <c r="AU534" t="s">
        <v>1032</v>
      </c>
      <c r="AV534" t="s">
        <v>54</v>
      </c>
      <c r="AW534" t="s">
        <v>3413</v>
      </c>
      <c r="AX534">
        <v>2025</v>
      </c>
      <c r="AY534" t="s">
        <v>3414</v>
      </c>
      <c r="AZ534" t="s">
        <v>3414</v>
      </c>
    </row>
    <row r="535" spans="1:52" x14ac:dyDescent="0.25">
      <c r="A535" t="s">
        <v>3439</v>
      </c>
      <c r="B535" s="1">
        <v>36790</v>
      </c>
      <c r="C535" t="s">
        <v>3440</v>
      </c>
      <c r="D535">
        <v>481524</v>
      </c>
      <c r="E535" t="s">
        <v>46</v>
      </c>
      <c r="F535" t="s">
        <v>441</v>
      </c>
      <c r="G535" t="s">
        <v>400</v>
      </c>
      <c r="H535" t="s">
        <v>3440</v>
      </c>
      <c r="I535" t="s">
        <v>200</v>
      </c>
      <c r="J535">
        <v>-69</v>
      </c>
      <c r="K535">
        <v>-69</v>
      </c>
      <c r="L535">
        <v>69</v>
      </c>
      <c r="M535">
        <v>69</v>
      </c>
      <c r="N535">
        <v>0</v>
      </c>
      <c r="O535" t="s">
        <v>102</v>
      </c>
      <c r="P535">
        <v>78</v>
      </c>
      <c r="Q535">
        <v>82</v>
      </c>
      <c r="R535">
        <v>-86</v>
      </c>
      <c r="S535">
        <v>82</v>
      </c>
      <c r="T535">
        <v>160</v>
      </c>
      <c r="U535" t="s">
        <v>60</v>
      </c>
      <c r="V535">
        <f t="shared" si="24"/>
        <v>3</v>
      </c>
      <c r="W535">
        <f t="shared" si="25"/>
        <v>1</v>
      </c>
      <c r="X535">
        <f t="shared" si="26"/>
        <v>0</v>
      </c>
      <c r="Y535">
        <v>151</v>
      </c>
      <c r="Z535">
        <v>160</v>
      </c>
      <c r="AA535" t="s">
        <v>2680</v>
      </c>
      <c r="AB535" t="s">
        <v>3347</v>
      </c>
      <c r="AC535" t="s">
        <v>89</v>
      </c>
      <c r="AD535">
        <v>5</v>
      </c>
      <c r="AE535">
        <v>59</v>
      </c>
      <c r="AF535" t="s">
        <v>126</v>
      </c>
      <c r="AH535" t="s">
        <v>202</v>
      </c>
      <c r="AI535">
        <v>209.2</v>
      </c>
      <c r="AJ535" t="s">
        <v>132</v>
      </c>
      <c r="AK535" t="s">
        <v>441</v>
      </c>
      <c r="AL535" t="s">
        <v>445</v>
      </c>
      <c r="AM535" t="s">
        <v>72</v>
      </c>
      <c r="AN535" s="1">
        <v>45640</v>
      </c>
      <c r="AO535">
        <v>2024</v>
      </c>
      <c r="AP535">
        <v>12</v>
      </c>
      <c r="AQ535" t="s">
        <v>116</v>
      </c>
      <c r="AS535" t="s">
        <v>85</v>
      </c>
      <c r="AT535">
        <v>2025</v>
      </c>
      <c r="AU535" t="s">
        <v>400</v>
      </c>
      <c r="AV535" t="s">
        <v>72</v>
      </c>
      <c r="AW535" t="s">
        <v>3440</v>
      </c>
      <c r="AX535">
        <v>2025</v>
      </c>
      <c r="AY535" t="s">
        <v>3441</v>
      </c>
      <c r="AZ535" t="s">
        <v>2680</v>
      </c>
    </row>
    <row r="536" spans="1:52" x14ac:dyDescent="0.25">
      <c r="A536" t="s">
        <v>3442</v>
      </c>
      <c r="B536" s="1">
        <v>36451</v>
      </c>
      <c r="C536" t="s">
        <v>3443</v>
      </c>
      <c r="D536">
        <v>494153</v>
      </c>
      <c r="E536" t="s">
        <v>46</v>
      </c>
      <c r="F536" t="s">
        <v>801</v>
      </c>
      <c r="G536" t="s">
        <v>478</v>
      </c>
      <c r="H536" t="s">
        <v>3443</v>
      </c>
      <c r="I536" t="s">
        <v>528</v>
      </c>
      <c r="J536">
        <v>-47</v>
      </c>
      <c r="K536">
        <v>-47</v>
      </c>
      <c r="L536">
        <v>47</v>
      </c>
      <c r="M536">
        <v>47</v>
      </c>
      <c r="N536">
        <v>0</v>
      </c>
      <c r="O536" t="s">
        <v>102</v>
      </c>
      <c r="P536">
        <v>65</v>
      </c>
      <c r="Q536">
        <v>-70</v>
      </c>
      <c r="R536">
        <v>70</v>
      </c>
      <c r="S536">
        <v>70</v>
      </c>
      <c r="T536">
        <v>135</v>
      </c>
      <c r="U536" t="s">
        <v>65</v>
      </c>
      <c r="V536">
        <f t="shared" si="24"/>
        <v>3</v>
      </c>
      <c r="W536">
        <f t="shared" si="25"/>
        <v>1</v>
      </c>
      <c r="X536">
        <f t="shared" si="26"/>
        <v>0</v>
      </c>
      <c r="Y536">
        <v>117</v>
      </c>
      <c r="Z536">
        <v>135</v>
      </c>
      <c r="AA536" t="s">
        <v>3445</v>
      </c>
      <c r="AB536" t="s">
        <v>3446</v>
      </c>
      <c r="AC536" t="s">
        <v>93</v>
      </c>
      <c r="AD536">
        <v>6</v>
      </c>
      <c r="AE536">
        <v>59</v>
      </c>
      <c r="AF536" t="s">
        <v>126</v>
      </c>
      <c r="AH536" t="s">
        <v>202</v>
      </c>
      <c r="AI536">
        <v>161.38999999999999</v>
      </c>
      <c r="AJ536" t="s">
        <v>132</v>
      </c>
      <c r="AK536" t="s">
        <v>801</v>
      </c>
      <c r="AL536" t="s">
        <v>804</v>
      </c>
      <c r="AM536" t="s">
        <v>68</v>
      </c>
      <c r="AN536" s="1">
        <v>45640</v>
      </c>
      <c r="AO536">
        <v>2024</v>
      </c>
      <c r="AP536">
        <v>12</v>
      </c>
      <c r="AQ536" t="s">
        <v>116</v>
      </c>
      <c r="AS536" t="s">
        <v>85</v>
      </c>
      <c r="AT536">
        <v>2025</v>
      </c>
      <c r="AU536" t="s">
        <v>478</v>
      </c>
      <c r="AV536" t="s">
        <v>68</v>
      </c>
      <c r="AW536" t="s">
        <v>3443</v>
      </c>
      <c r="AX536">
        <v>2025</v>
      </c>
      <c r="AY536" t="s">
        <v>3444</v>
      </c>
      <c r="AZ536" t="s">
        <v>3444</v>
      </c>
    </row>
    <row r="537" spans="1:52" x14ac:dyDescent="0.25">
      <c r="A537" t="s">
        <v>3448</v>
      </c>
      <c r="B537" s="1">
        <v>37164</v>
      </c>
      <c r="C537" t="s">
        <v>3449</v>
      </c>
      <c r="D537">
        <v>500221</v>
      </c>
      <c r="E537" t="s">
        <v>46</v>
      </c>
      <c r="F537" t="s">
        <v>948</v>
      </c>
      <c r="G537" t="s">
        <v>327</v>
      </c>
      <c r="H537" t="s">
        <v>3449</v>
      </c>
      <c r="I537" t="s">
        <v>3451</v>
      </c>
      <c r="J537">
        <v>-50</v>
      </c>
      <c r="K537">
        <v>-50</v>
      </c>
      <c r="L537">
        <v>50</v>
      </c>
      <c r="M537">
        <v>50</v>
      </c>
      <c r="N537">
        <v>0</v>
      </c>
      <c r="O537" t="s">
        <v>102</v>
      </c>
      <c r="P537">
        <v>59</v>
      </c>
      <c r="Q537">
        <v>61</v>
      </c>
      <c r="R537">
        <v>-64</v>
      </c>
      <c r="S537">
        <v>61</v>
      </c>
      <c r="T537">
        <v>120</v>
      </c>
      <c r="U537" t="s">
        <v>60</v>
      </c>
      <c r="V537">
        <f t="shared" si="24"/>
        <v>3</v>
      </c>
      <c r="W537">
        <f t="shared" si="25"/>
        <v>1</v>
      </c>
      <c r="X537">
        <f t="shared" si="26"/>
        <v>0</v>
      </c>
      <c r="Y537">
        <v>111</v>
      </c>
      <c r="Z537">
        <v>120</v>
      </c>
      <c r="AA537" t="s">
        <v>3452</v>
      </c>
      <c r="AB537" t="s">
        <v>3453</v>
      </c>
      <c r="AC537" t="s">
        <v>93</v>
      </c>
      <c r="AD537">
        <v>6</v>
      </c>
      <c r="AE537">
        <v>55</v>
      </c>
      <c r="AF537" t="s">
        <v>126</v>
      </c>
      <c r="AH537" t="s">
        <v>197</v>
      </c>
      <c r="AI537">
        <v>161.13999999999999</v>
      </c>
      <c r="AJ537" t="s">
        <v>132</v>
      </c>
      <c r="AK537" t="s">
        <v>948</v>
      </c>
      <c r="AL537" t="s">
        <v>949</v>
      </c>
      <c r="AM537" t="s">
        <v>133</v>
      </c>
      <c r="AN537" s="1">
        <v>45640</v>
      </c>
      <c r="AO537">
        <v>2024</v>
      </c>
      <c r="AP537">
        <v>12</v>
      </c>
      <c r="AQ537" t="s">
        <v>116</v>
      </c>
      <c r="AS537" t="s">
        <v>85</v>
      </c>
      <c r="AT537">
        <v>2025</v>
      </c>
      <c r="AU537" t="s">
        <v>327</v>
      </c>
      <c r="AV537" t="s">
        <v>133</v>
      </c>
      <c r="AW537" t="s">
        <v>3449</v>
      </c>
      <c r="AX537">
        <v>2025</v>
      </c>
      <c r="AY537" t="s">
        <v>3450</v>
      </c>
      <c r="AZ537" t="s">
        <v>3450</v>
      </c>
    </row>
    <row r="538" spans="1:52" x14ac:dyDescent="0.25">
      <c r="A538" t="s">
        <v>3454</v>
      </c>
      <c r="B538" s="1">
        <v>32425</v>
      </c>
      <c r="C538" t="s">
        <v>3455</v>
      </c>
      <c r="D538">
        <v>494902</v>
      </c>
      <c r="E538" t="s">
        <v>46</v>
      </c>
      <c r="F538" t="s">
        <v>441</v>
      </c>
      <c r="G538" t="s">
        <v>400</v>
      </c>
      <c r="H538" t="s">
        <v>3455</v>
      </c>
      <c r="I538" t="s">
        <v>483</v>
      </c>
      <c r="J538">
        <v>50</v>
      </c>
      <c r="K538">
        <v>54</v>
      </c>
      <c r="L538">
        <v>-57</v>
      </c>
      <c r="M538">
        <v>54</v>
      </c>
      <c r="N538">
        <v>104</v>
      </c>
      <c r="O538" t="s">
        <v>60</v>
      </c>
      <c r="P538">
        <v>70</v>
      </c>
      <c r="Q538">
        <v>75</v>
      </c>
      <c r="R538">
        <v>-80</v>
      </c>
      <c r="S538">
        <v>75</v>
      </c>
      <c r="T538">
        <v>145</v>
      </c>
      <c r="U538" t="s">
        <v>60</v>
      </c>
      <c r="V538">
        <f t="shared" si="24"/>
        <v>4</v>
      </c>
      <c r="W538">
        <f t="shared" si="25"/>
        <v>0</v>
      </c>
      <c r="X538">
        <f t="shared" si="26"/>
        <v>0</v>
      </c>
      <c r="Y538">
        <v>129</v>
      </c>
      <c r="Z538">
        <v>249</v>
      </c>
      <c r="AA538" t="s">
        <v>2817</v>
      </c>
      <c r="AB538" t="s">
        <v>3456</v>
      </c>
      <c r="AC538" t="s">
        <v>93</v>
      </c>
      <c r="AD538">
        <v>6</v>
      </c>
      <c r="AE538">
        <v>64</v>
      </c>
      <c r="AF538" t="s">
        <v>126</v>
      </c>
      <c r="AG538">
        <v>35</v>
      </c>
      <c r="AH538" t="s">
        <v>167</v>
      </c>
      <c r="AI538">
        <v>169.01</v>
      </c>
      <c r="AJ538" t="s">
        <v>132</v>
      </c>
      <c r="AK538" t="s">
        <v>441</v>
      </c>
      <c r="AL538" t="s">
        <v>445</v>
      </c>
      <c r="AM538" t="s">
        <v>72</v>
      </c>
      <c r="AN538" s="1">
        <v>45640</v>
      </c>
      <c r="AO538">
        <v>2024</v>
      </c>
      <c r="AP538">
        <v>12</v>
      </c>
      <c r="AQ538" t="s">
        <v>116</v>
      </c>
      <c r="AS538" t="s">
        <v>85</v>
      </c>
      <c r="AT538">
        <v>2025</v>
      </c>
      <c r="AU538" t="s">
        <v>400</v>
      </c>
      <c r="AV538" t="s">
        <v>72</v>
      </c>
      <c r="AW538" t="s">
        <v>3455</v>
      </c>
      <c r="AX538">
        <v>2025</v>
      </c>
      <c r="AY538" t="s">
        <v>3457</v>
      </c>
      <c r="AZ538" t="s">
        <v>2817</v>
      </c>
    </row>
    <row r="539" spans="1:52" x14ac:dyDescent="0.25">
      <c r="A539" t="s">
        <v>3458</v>
      </c>
      <c r="B539" s="1">
        <v>35330</v>
      </c>
      <c r="C539" t="s">
        <v>3459</v>
      </c>
      <c r="D539">
        <v>490199</v>
      </c>
      <c r="E539" t="s">
        <v>46</v>
      </c>
      <c r="F539" t="s">
        <v>232</v>
      </c>
      <c r="G539" t="s">
        <v>506</v>
      </c>
      <c r="H539" t="s">
        <v>3459</v>
      </c>
      <c r="I539" t="s">
        <v>357</v>
      </c>
      <c r="J539">
        <v>63</v>
      </c>
      <c r="K539">
        <v>-66</v>
      </c>
      <c r="L539">
        <v>-66</v>
      </c>
      <c r="M539">
        <v>63</v>
      </c>
      <c r="N539">
        <v>0</v>
      </c>
      <c r="O539" t="s">
        <v>55</v>
      </c>
      <c r="P539">
        <v>-78</v>
      </c>
      <c r="Q539">
        <v>-81</v>
      </c>
      <c r="R539">
        <v>-84</v>
      </c>
      <c r="S539">
        <v>0</v>
      </c>
      <c r="T539">
        <v>0</v>
      </c>
      <c r="U539" t="s">
        <v>108</v>
      </c>
      <c r="V539">
        <f t="shared" si="24"/>
        <v>1</v>
      </c>
      <c r="W539">
        <f t="shared" si="25"/>
        <v>0</v>
      </c>
      <c r="X539">
        <f t="shared" si="26"/>
        <v>0</v>
      </c>
      <c r="Y539">
        <v>63</v>
      </c>
      <c r="Z539">
        <v>0</v>
      </c>
      <c r="AA539" t="s">
        <v>3462</v>
      </c>
      <c r="AB539" t="s">
        <v>99</v>
      </c>
      <c r="AC539" t="s">
        <v>49</v>
      </c>
      <c r="AD539">
        <v>999</v>
      </c>
      <c r="AE539">
        <v>64</v>
      </c>
      <c r="AF539" t="s">
        <v>126</v>
      </c>
      <c r="AH539" t="s">
        <v>167</v>
      </c>
      <c r="AI539">
        <v>0</v>
      </c>
      <c r="AJ539" t="s">
        <v>132</v>
      </c>
      <c r="AK539" t="s">
        <v>232</v>
      </c>
      <c r="AL539" t="s">
        <v>236</v>
      </c>
      <c r="AM539" t="s">
        <v>128</v>
      </c>
      <c r="AN539" s="1">
        <v>45640</v>
      </c>
      <c r="AO539">
        <v>2024</v>
      </c>
      <c r="AP539">
        <v>12</v>
      </c>
      <c r="AQ539" t="s">
        <v>116</v>
      </c>
      <c r="AS539" t="s">
        <v>85</v>
      </c>
      <c r="AT539">
        <v>2025</v>
      </c>
      <c r="AU539" t="s">
        <v>506</v>
      </c>
      <c r="AV539" t="s">
        <v>170</v>
      </c>
      <c r="AW539" t="s">
        <v>3459</v>
      </c>
      <c r="AX539">
        <v>2025</v>
      </c>
      <c r="AY539" t="s">
        <v>3460</v>
      </c>
      <c r="AZ539" t="s">
        <v>1573</v>
      </c>
    </row>
    <row r="540" spans="1:52" x14ac:dyDescent="0.25">
      <c r="A540" t="s">
        <v>3463</v>
      </c>
      <c r="B540" s="1">
        <v>36930</v>
      </c>
      <c r="C540" t="s">
        <v>3464</v>
      </c>
      <c r="D540">
        <v>483304</v>
      </c>
      <c r="E540" t="s">
        <v>46</v>
      </c>
      <c r="F540" t="s">
        <v>941</v>
      </c>
      <c r="G540" t="s">
        <v>134</v>
      </c>
      <c r="H540" t="s">
        <v>3464</v>
      </c>
      <c r="I540" t="s">
        <v>2395</v>
      </c>
      <c r="J540">
        <v>67</v>
      </c>
      <c r="K540">
        <v>70</v>
      </c>
      <c r="L540">
        <v>72</v>
      </c>
      <c r="M540">
        <v>72</v>
      </c>
      <c r="N540">
        <v>142</v>
      </c>
      <c r="O540" t="s">
        <v>48</v>
      </c>
      <c r="P540">
        <v>83</v>
      </c>
      <c r="Q540">
        <v>86</v>
      </c>
      <c r="R540">
        <v>-89</v>
      </c>
      <c r="S540">
        <v>86</v>
      </c>
      <c r="T540">
        <v>169</v>
      </c>
      <c r="U540" t="s">
        <v>60</v>
      </c>
      <c r="V540">
        <f t="shared" si="24"/>
        <v>5</v>
      </c>
      <c r="W540">
        <f t="shared" si="25"/>
        <v>0</v>
      </c>
      <c r="X540">
        <f t="shared" si="26"/>
        <v>0</v>
      </c>
      <c r="Y540">
        <v>158</v>
      </c>
      <c r="Z540">
        <v>311</v>
      </c>
      <c r="AA540" t="s">
        <v>3465</v>
      </c>
      <c r="AB540" t="s">
        <v>3466</v>
      </c>
      <c r="AC540" t="s">
        <v>89</v>
      </c>
      <c r="AD540">
        <v>5</v>
      </c>
      <c r="AE540">
        <v>64</v>
      </c>
      <c r="AF540" t="s">
        <v>126</v>
      </c>
      <c r="AH540" t="s">
        <v>167</v>
      </c>
      <c r="AI540">
        <v>206.49</v>
      </c>
      <c r="AJ540" t="s">
        <v>132</v>
      </c>
      <c r="AK540" t="s">
        <v>941</v>
      </c>
      <c r="AL540" t="s">
        <v>944</v>
      </c>
      <c r="AM540" t="s">
        <v>53</v>
      </c>
      <c r="AN540" s="1">
        <v>45640</v>
      </c>
      <c r="AO540">
        <v>2024</v>
      </c>
      <c r="AP540">
        <v>12</v>
      </c>
      <c r="AQ540" t="s">
        <v>116</v>
      </c>
      <c r="AS540" t="s">
        <v>85</v>
      </c>
      <c r="AT540">
        <v>2025</v>
      </c>
      <c r="AU540" t="s">
        <v>134</v>
      </c>
      <c r="AV540" t="s">
        <v>54</v>
      </c>
      <c r="AW540" t="s">
        <v>3464</v>
      </c>
      <c r="AX540">
        <v>2025</v>
      </c>
      <c r="AY540" t="s">
        <v>3465</v>
      </c>
      <c r="AZ540" t="s">
        <v>3465</v>
      </c>
    </row>
    <row r="541" spans="1:52" x14ac:dyDescent="0.25">
      <c r="A541" t="s">
        <v>3467</v>
      </c>
      <c r="B541" s="1">
        <v>36849</v>
      </c>
      <c r="C541" t="s">
        <v>3468</v>
      </c>
      <c r="D541">
        <v>477447</v>
      </c>
      <c r="E541" t="s">
        <v>46</v>
      </c>
      <c r="F541" t="s">
        <v>109</v>
      </c>
      <c r="G541" t="s">
        <v>165</v>
      </c>
      <c r="H541" t="s">
        <v>3468</v>
      </c>
      <c r="I541" t="s">
        <v>1189</v>
      </c>
      <c r="J541">
        <v>68</v>
      </c>
      <c r="K541">
        <v>-71</v>
      </c>
      <c r="L541">
        <v>-73</v>
      </c>
      <c r="M541">
        <v>68</v>
      </c>
      <c r="N541">
        <v>0</v>
      </c>
      <c r="O541" t="s">
        <v>55</v>
      </c>
      <c r="P541">
        <v>-79</v>
      </c>
      <c r="Q541">
        <v>79</v>
      </c>
      <c r="R541">
        <v>85</v>
      </c>
      <c r="S541">
        <v>85</v>
      </c>
      <c r="T541">
        <v>164</v>
      </c>
      <c r="U541" t="s">
        <v>63</v>
      </c>
      <c r="V541">
        <f t="shared" si="24"/>
        <v>3</v>
      </c>
      <c r="W541">
        <f t="shared" si="25"/>
        <v>0</v>
      </c>
      <c r="X541">
        <f t="shared" si="26"/>
        <v>0</v>
      </c>
      <c r="Y541">
        <v>153</v>
      </c>
      <c r="Z541">
        <v>164</v>
      </c>
      <c r="AA541" t="s">
        <v>3469</v>
      </c>
      <c r="AB541" t="s">
        <v>3470</v>
      </c>
      <c r="AC541" t="s">
        <v>89</v>
      </c>
      <c r="AD541">
        <v>5</v>
      </c>
      <c r="AE541">
        <v>64</v>
      </c>
      <c r="AF541" t="s">
        <v>126</v>
      </c>
      <c r="AH541" t="s">
        <v>167</v>
      </c>
      <c r="AI541">
        <v>199.03</v>
      </c>
      <c r="AJ541" t="s">
        <v>132</v>
      </c>
      <c r="AK541" t="s">
        <v>109</v>
      </c>
      <c r="AL541" t="s">
        <v>115</v>
      </c>
      <c r="AM541" t="s">
        <v>90</v>
      </c>
      <c r="AN541" s="1">
        <v>45639</v>
      </c>
      <c r="AO541">
        <v>2024</v>
      </c>
      <c r="AP541">
        <v>12</v>
      </c>
      <c r="AQ541" t="s">
        <v>116</v>
      </c>
      <c r="AS541" t="s">
        <v>85</v>
      </c>
      <c r="AT541">
        <v>2025</v>
      </c>
      <c r="AU541" t="s">
        <v>165</v>
      </c>
      <c r="AV541" t="s">
        <v>91</v>
      </c>
      <c r="AW541" t="s">
        <v>3468</v>
      </c>
      <c r="AX541">
        <v>2025</v>
      </c>
      <c r="AY541" t="s">
        <v>1543</v>
      </c>
      <c r="AZ541" t="s">
        <v>3469</v>
      </c>
    </row>
    <row r="542" spans="1:52" x14ac:dyDescent="0.25">
      <c r="A542" t="s">
        <v>3471</v>
      </c>
      <c r="B542" s="1">
        <v>35567</v>
      </c>
      <c r="C542" t="s">
        <v>3472</v>
      </c>
      <c r="D542">
        <v>467508</v>
      </c>
      <c r="E542" t="s">
        <v>46</v>
      </c>
      <c r="F542" t="s">
        <v>893</v>
      </c>
      <c r="G542" t="s">
        <v>386</v>
      </c>
      <c r="H542" t="s">
        <v>3472</v>
      </c>
      <c r="I542" t="s">
        <v>292</v>
      </c>
      <c r="J542">
        <v>66</v>
      </c>
      <c r="K542">
        <v>70</v>
      </c>
      <c r="L542">
        <v>-73</v>
      </c>
      <c r="M542">
        <v>70</v>
      </c>
      <c r="N542">
        <v>136</v>
      </c>
      <c r="O542" t="s">
        <v>60</v>
      </c>
      <c r="P542">
        <v>85</v>
      </c>
      <c r="Q542">
        <v>-90</v>
      </c>
      <c r="R542">
        <v>-92</v>
      </c>
      <c r="S542">
        <v>85</v>
      </c>
      <c r="T542">
        <v>0</v>
      </c>
      <c r="U542" t="s">
        <v>55</v>
      </c>
      <c r="V542">
        <f t="shared" si="24"/>
        <v>3</v>
      </c>
      <c r="W542">
        <f t="shared" si="25"/>
        <v>0</v>
      </c>
      <c r="X542">
        <f t="shared" si="26"/>
        <v>0</v>
      </c>
      <c r="Y542">
        <v>155</v>
      </c>
      <c r="Z542">
        <v>136</v>
      </c>
      <c r="AA542" t="s">
        <v>3061</v>
      </c>
      <c r="AB542" t="s">
        <v>3473</v>
      </c>
      <c r="AC542" t="s">
        <v>89</v>
      </c>
      <c r="AD542">
        <v>5</v>
      </c>
      <c r="AE542">
        <v>64</v>
      </c>
      <c r="AF542" t="s">
        <v>126</v>
      </c>
      <c r="AH542" t="s">
        <v>167</v>
      </c>
      <c r="AI542">
        <v>202.49</v>
      </c>
      <c r="AJ542" t="s">
        <v>132</v>
      </c>
      <c r="AK542" t="s">
        <v>893</v>
      </c>
      <c r="AL542" t="s">
        <v>897</v>
      </c>
      <c r="AM542" t="s">
        <v>170</v>
      </c>
      <c r="AN542" s="1">
        <v>45640</v>
      </c>
      <c r="AO542">
        <v>2024</v>
      </c>
      <c r="AP542">
        <v>12</v>
      </c>
      <c r="AQ542" t="s">
        <v>116</v>
      </c>
      <c r="AS542" t="s">
        <v>85</v>
      </c>
      <c r="AT542">
        <v>2025</v>
      </c>
      <c r="AU542" t="s">
        <v>386</v>
      </c>
      <c r="AV542" t="s">
        <v>170</v>
      </c>
      <c r="AW542" t="s">
        <v>3472</v>
      </c>
      <c r="AX542">
        <v>2025</v>
      </c>
      <c r="AY542" t="s">
        <v>3061</v>
      </c>
      <c r="AZ542" t="s">
        <v>3061</v>
      </c>
    </row>
    <row r="543" spans="1:52" x14ac:dyDescent="0.25">
      <c r="A543" t="s">
        <v>3474</v>
      </c>
      <c r="B543" s="1">
        <v>36454</v>
      </c>
      <c r="C543" t="s">
        <v>3475</v>
      </c>
      <c r="D543">
        <v>459548</v>
      </c>
      <c r="E543" t="s">
        <v>46</v>
      </c>
      <c r="F543" t="s">
        <v>941</v>
      </c>
      <c r="G543" t="s">
        <v>134</v>
      </c>
      <c r="H543" t="s">
        <v>3475</v>
      </c>
      <c r="I543" t="s">
        <v>813</v>
      </c>
      <c r="J543">
        <v>-50</v>
      </c>
      <c r="K543">
        <v>50</v>
      </c>
      <c r="L543">
        <v>53</v>
      </c>
      <c r="M543">
        <v>53</v>
      </c>
      <c r="N543">
        <v>103</v>
      </c>
      <c r="O543" t="s">
        <v>63</v>
      </c>
      <c r="P543">
        <v>70</v>
      </c>
      <c r="Q543">
        <v>73</v>
      </c>
      <c r="R543">
        <v>-75</v>
      </c>
      <c r="S543">
        <v>73</v>
      </c>
      <c r="T543">
        <v>143</v>
      </c>
      <c r="U543" t="s">
        <v>60</v>
      </c>
      <c r="V543">
        <f t="shared" si="24"/>
        <v>4</v>
      </c>
      <c r="W543">
        <f t="shared" si="25"/>
        <v>0</v>
      </c>
      <c r="X543">
        <f t="shared" si="26"/>
        <v>0</v>
      </c>
      <c r="Y543">
        <v>126</v>
      </c>
      <c r="Z543">
        <v>246</v>
      </c>
      <c r="AA543" t="s">
        <v>3477</v>
      </c>
      <c r="AB543" t="s">
        <v>3478</v>
      </c>
      <c r="AC543" t="s">
        <v>93</v>
      </c>
      <c r="AD543">
        <v>6</v>
      </c>
      <c r="AE543">
        <v>64</v>
      </c>
      <c r="AF543" t="s">
        <v>126</v>
      </c>
      <c r="AH543" t="s">
        <v>167</v>
      </c>
      <c r="AI543">
        <v>167.88</v>
      </c>
      <c r="AJ543" t="s">
        <v>132</v>
      </c>
      <c r="AK543" t="s">
        <v>941</v>
      </c>
      <c r="AL543" t="s">
        <v>944</v>
      </c>
      <c r="AM543" t="s">
        <v>53</v>
      </c>
      <c r="AN543" s="1">
        <v>45640</v>
      </c>
      <c r="AO543">
        <v>2024</v>
      </c>
      <c r="AP543">
        <v>12</v>
      </c>
      <c r="AQ543" t="s">
        <v>116</v>
      </c>
      <c r="AS543" t="s">
        <v>85</v>
      </c>
      <c r="AT543">
        <v>2025</v>
      </c>
      <c r="AU543" t="s">
        <v>134</v>
      </c>
      <c r="AV543" t="s">
        <v>54</v>
      </c>
      <c r="AW543" t="s">
        <v>3475</v>
      </c>
      <c r="AX543">
        <v>2025</v>
      </c>
      <c r="AY543" t="s">
        <v>3476</v>
      </c>
      <c r="AZ543" t="s">
        <v>3477</v>
      </c>
    </row>
    <row r="544" spans="1:52" x14ac:dyDescent="0.25">
      <c r="A544" t="s">
        <v>3479</v>
      </c>
      <c r="B544" s="1">
        <v>41117</v>
      </c>
      <c r="C544" t="s">
        <v>3480</v>
      </c>
      <c r="D544">
        <v>470257</v>
      </c>
      <c r="E544" t="s">
        <v>46</v>
      </c>
      <c r="F544" t="s">
        <v>199</v>
      </c>
      <c r="G544" t="s">
        <v>47</v>
      </c>
      <c r="H544" t="s">
        <v>3480</v>
      </c>
      <c r="I544" t="s">
        <v>381</v>
      </c>
      <c r="J544">
        <v>32</v>
      </c>
      <c r="K544">
        <v>34</v>
      </c>
      <c r="L544">
        <v>36</v>
      </c>
      <c r="M544">
        <v>36</v>
      </c>
      <c r="N544">
        <v>70</v>
      </c>
      <c r="O544" t="s">
        <v>48</v>
      </c>
      <c r="P544">
        <v>34</v>
      </c>
      <c r="Q544">
        <v>36</v>
      </c>
      <c r="R544">
        <v>38</v>
      </c>
      <c r="S544">
        <v>38</v>
      </c>
      <c r="T544">
        <v>74</v>
      </c>
      <c r="U544" t="s">
        <v>48</v>
      </c>
      <c r="V544">
        <f t="shared" si="24"/>
        <v>6</v>
      </c>
      <c r="W544">
        <f t="shared" si="25"/>
        <v>0</v>
      </c>
      <c r="X544">
        <f t="shared" si="26"/>
        <v>0</v>
      </c>
      <c r="Y544">
        <v>74</v>
      </c>
      <c r="Z544">
        <v>144</v>
      </c>
      <c r="AA544" t="s">
        <v>3483</v>
      </c>
      <c r="AB544" t="s">
        <v>3484</v>
      </c>
      <c r="AC544" t="s">
        <v>49</v>
      </c>
      <c r="AD544">
        <v>999</v>
      </c>
      <c r="AE544">
        <v>40</v>
      </c>
      <c r="AF544" t="s">
        <v>50</v>
      </c>
      <c r="AH544" t="s">
        <v>51</v>
      </c>
      <c r="AI544">
        <v>321.52999999999997</v>
      </c>
      <c r="AJ544" t="s">
        <v>52</v>
      </c>
      <c r="AK544" t="s">
        <v>199</v>
      </c>
      <c r="AL544" t="s">
        <v>203</v>
      </c>
      <c r="AM544" t="s">
        <v>53</v>
      </c>
      <c r="AN544" s="1">
        <v>45640</v>
      </c>
      <c r="AO544">
        <v>2024</v>
      </c>
      <c r="AP544">
        <v>12</v>
      </c>
      <c r="AQ544" t="s">
        <v>116</v>
      </c>
      <c r="AS544" t="s">
        <v>85</v>
      </c>
      <c r="AT544">
        <v>2025</v>
      </c>
      <c r="AU544" t="s">
        <v>47</v>
      </c>
      <c r="AV544" t="s">
        <v>54</v>
      </c>
      <c r="AW544" t="s">
        <v>3480</v>
      </c>
      <c r="AX544">
        <v>2025</v>
      </c>
      <c r="AY544" t="s">
        <v>3481</v>
      </c>
      <c r="AZ544" t="s">
        <v>3482</v>
      </c>
    </row>
    <row r="545" spans="1:52" x14ac:dyDescent="0.25">
      <c r="A545" t="s">
        <v>3485</v>
      </c>
      <c r="B545" s="1">
        <v>38254</v>
      </c>
      <c r="C545" t="s">
        <v>3486</v>
      </c>
      <c r="D545">
        <v>433234</v>
      </c>
      <c r="E545" t="s">
        <v>46</v>
      </c>
      <c r="F545" t="s">
        <v>588</v>
      </c>
      <c r="G545" t="s">
        <v>255</v>
      </c>
      <c r="H545" t="s">
        <v>3486</v>
      </c>
      <c r="I545" t="s">
        <v>764</v>
      </c>
      <c r="J545">
        <v>85</v>
      </c>
      <c r="K545">
        <v>90</v>
      </c>
      <c r="L545">
        <v>95</v>
      </c>
      <c r="M545">
        <v>95</v>
      </c>
      <c r="N545">
        <v>185</v>
      </c>
      <c r="O545" t="s">
        <v>48</v>
      </c>
      <c r="P545">
        <v>105</v>
      </c>
      <c r="Q545">
        <v>-110</v>
      </c>
      <c r="R545">
        <v>-115</v>
      </c>
      <c r="S545">
        <v>105</v>
      </c>
      <c r="T545">
        <v>0</v>
      </c>
      <c r="U545" t="s">
        <v>55</v>
      </c>
      <c r="V545">
        <f t="shared" si="24"/>
        <v>4</v>
      </c>
      <c r="W545">
        <f t="shared" si="25"/>
        <v>0</v>
      </c>
      <c r="X545">
        <f t="shared" si="26"/>
        <v>0</v>
      </c>
      <c r="Y545">
        <v>200</v>
      </c>
      <c r="Z545">
        <v>185</v>
      </c>
      <c r="AA545" t="s">
        <v>3488</v>
      </c>
      <c r="AB545" t="s">
        <v>3489</v>
      </c>
      <c r="AC545" t="s">
        <v>93</v>
      </c>
      <c r="AD545">
        <v>6</v>
      </c>
      <c r="AE545">
        <v>67</v>
      </c>
      <c r="AF545" t="s">
        <v>126</v>
      </c>
      <c r="AH545" t="s">
        <v>401</v>
      </c>
      <c r="AI545">
        <v>294.29000000000002</v>
      </c>
      <c r="AJ545" t="s">
        <v>52</v>
      </c>
      <c r="AK545" t="s">
        <v>588</v>
      </c>
      <c r="AL545" t="s">
        <v>592</v>
      </c>
      <c r="AM545" t="s">
        <v>68</v>
      </c>
      <c r="AN545" s="1">
        <v>45640</v>
      </c>
      <c r="AO545">
        <v>2024</v>
      </c>
      <c r="AP545">
        <v>12</v>
      </c>
      <c r="AQ545" t="s">
        <v>116</v>
      </c>
      <c r="AS545" t="s">
        <v>85</v>
      </c>
      <c r="AT545">
        <v>2025</v>
      </c>
      <c r="AU545" t="s">
        <v>255</v>
      </c>
      <c r="AV545" t="s">
        <v>68</v>
      </c>
      <c r="AW545" t="s">
        <v>3486</v>
      </c>
      <c r="AX545">
        <v>2025</v>
      </c>
      <c r="AY545" t="s">
        <v>3487</v>
      </c>
      <c r="AZ545" t="s">
        <v>3487</v>
      </c>
    </row>
    <row r="546" spans="1:52" x14ac:dyDescent="0.25">
      <c r="A546" t="s">
        <v>3546</v>
      </c>
      <c r="B546" s="1">
        <v>41542</v>
      </c>
      <c r="C546" t="s">
        <v>3547</v>
      </c>
      <c r="D546">
        <v>490536</v>
      </c>
      <c r="E546" t="s">
        <v>46</v>
      </c>
      <c r="F546" t="s">
        <v>964</v>
      </c>
      <c r="G546" t="s">
        <v>469</v>
      </c>
      <c r="H546" t="s">
        <v>3547</v>
      </c>
      <c r="I546" t="s">
        <v>1027</v>
      </c>
      <c r="J546">
        <v>22</v>
      </c>
      <c r="K546">
        <v>24</v>
      </c>
      <c r="L546">
        <v>26</v>
      </c>
      <c r="M546">
        <v>26</v>
      </c>
      <c r="N546">
        <v>50</v>
      </c>
      <c r="O546" t="s">
        <v>48</v>
      </c>
      <c r="P546">
        <v>33</v>
      </c>
      <c r="Q546">
        <v>35</v>
      </c>
      <c r="R546">
        <v>-37</v>
      </c>
      <c r="S546">
        <v>35</v>
      </c>
      <c r="T546">
        <v>68</v>
      </c>
      <c r="U546" t="s">
        <v>60</v>
      </c>
      <c r="V546">
        <f t="shared" si="24"/>
        <v>5</v>
      </c>
      <c r="W546">
        <f t="shared" si="25"/>
        <v>0</v>
      </c>
      <c r="X546">
        <f t="shared" si="26"/>
        <v>0</v>
      </c>
      <c r="Y546">
        <v>61</v>
      </c>
      <c r="Z546">
        <v>118</v>
      </c>
      <c r="AA546" t="s">
        <v>3549</v>
      </c>
      <c r="AB546" t="s">
        <v>3550</v>
      </c>
      <c r="AC546" t="s">
        <v>49</v>
      </c>
      <c r="AD546">
        <v>999</v>
      </c>
      <c r="AE546">
        <v>45</v>
      </c>
      <c r="AF546" t="s">
        <v>50</v>
      </c>
      <c r="AH546" t="s">
        <v>67</v>
      </c>
      <c r="AI546">
        <v>238.69</v>
      </c>
      <c r="AJ546" t="s">
        <v>52</v>
      </c>
      <c r="AK546" t="s">
        <v>964</v>
      </c>
      <c r="AL546" t="s">
        <v>967</v>
      </c>
      <c r="AM546" t="s">
        <v>68</v>
      </c>
      <c r="AN546" s="1">
        <v>45641</v>
      </c>
      <c r="AO546">
        <v>2024</v>
      </c>
      <c r="AP546">
        <v>12</v>
      </c>
      <c r="AQ546" t="s">
        <v>116</v>
      </c>
      <c r="AS546" t="s">
        <v>85</v>
      </c>
      <c r="AT546">
        <v>2025</v>
      </c>
      <c r="AU546" t="s">
        <v>469</v>
      </c>
      <c r="AV546" t="s">
        <v>68</v>
      </c>
      <c r="AW546" t="s">
        <v>3547</v>
      </c>
      <c r="AX546">
        <v>2025</v>
      </c>
      <c r="AY546" t="s">
        <v>3548</v>
      </c>
      <c r="AZ546" t="s">
        <v>3548</v>
      </c>
    </row>
    <row r="547" spans="1:52" x14ac:dyDescent="0.25">
      <c r="A547" t="s">
        <v>3490</v>
      </c>
      <c r="B547" s="1">
        <v>36202</v>
      </c>
      <c r="C547" t="s">
        <v>3491</v>
      </c>
      <c r="D547">
        <v>461385</v>
      </c>
      <c r="E547" t="s">
        <v>46</v>
      </c>
      <c r="F547" t="s">
        <v>810</v>
      </c>
      <c r="G547" t="s">
        <v>901</v>
      </c>
      <c r="H547" t="s">
        <v>3491</v>
      </c>
      <c r="I547" t="s">
        <v>3494</v>
      </c>
      <c r="J547">
        <v>115</v>
      </c>
      <c r="K547">
        <v>-120</v>
      </c>
      <c r="L547">
        <v>-120</v>
      </c>
      <c r="M547">
        <v>115</v>
      </c>
      <c r="N547">
        <v>0</v>
      </c>
      <c r="O547" t="s">
        <v>55</v>
      </c>
      <c r="P547">
        <v>0</v>
      </c>
      <c r="Q547">
        <v>0</v>
      </c>
      <c r="R547">
        <v>0</v>
      </c>
      <c r="S547">
        <v>0</v>
      </c>
      <c r="T547">
        <v>0</v>
      </c>
      <c r="U547" t="s">
        <v>108</v>
      </c>
      <c r="V547">
        <f t="shared" si="24"/>
        <v>1</v>
      </c>
      <c r="W547">
        <f t="shared" si="25"/>
        <v>0</v>
      </c>
      <c r="X547">
        <f t="shared" si="26"/>
        <v>0</v>
      </c>
      <c r="Y547">
        <v>115</v>
      </c>
      <c r="Z547">
        <v>0</v>
      </c>
      <c r="AA547" t="s">
        <v>3495</v>
      </c>
      <c r="AB547" t="s">
        <v>99</v>
      </c>
      <c r="AC547" t="s">
        <v>49</v>
      </c>
      <c r="AD547">
        <v>999</v>
      </c>
      <c r="AE547">
        <v>96</v>
      </c>
      <c r="AF547" t="s">
        <v>126</v>
      </c>
      <c r="AH547" t="s">
        <v>222</v>
      </c>
      <c r="AI547">
        <v>0</v>
      </c>
      <c r="AJ547" t="s">
        <v>52</v>
      </c>
      <c r="AK547" t="s">
        <v>810</v>
      </c>
      <c r="AL547" t="s">
        <v>812</v>
      </c>
      <c r="AM547" t="s">
        <v>177</v>
      </c>
      <c r="AN547" s="1">
        <v>45640</v>
      </c>
      <c r="AO547">
        <v>2024</v>
      </c>
      <c r="AP547">
        <v>12</v>
      </c>
      <c r="AQ547" t="s">
        <v>116</v>
      </c>
      <c r="AS547" t="s">
        <v>85</v>
      </c>
      <c r="AT547">
        <v>2025</v>
      </c>
      <c r="AU547" t="s">
        <v>901</v>
      </c>
      <c r="AV547" t="s">
        <v>177</v>
      </c>
      <c r="AW547" t="s">
        <v>3491</v>
      </c>
      <c r="AX547">
        <v>2025</v>
      </c>
      <c r="AY547" t="s">
        <v>3492</v>
      </c>
      <c r="AZ547" t="s">
        <v>3496</v>
      </c>
    </row>
    <row r="548" spans="1:52" x14ac:dyDescent="0.25">
      <c r="A548" t="s">
        <v>3497</v>
      </c>
      <c r="B548" s="1">
        <v>33861</v>
      </c>
      <c r="C548" t="s">
        <v>3498</v>
      </c>
      <c r="D548">
        <v>421652</v>
      </c>
      <c r="E548" t="s">
        <v>46</v>
      </c>
      <c r="F548" t="s">
        <v>810</v>
      </c>
      <c r="G548" t="s">
        <v>901</v>
      </c>
      <c r="H548" t="s">
        <v>3498</v>
      </c>
      <c r="I548" t="s">
        <v>640</v>
      </c>
      <c r="J548">
        <v>95</v>
      </c>
      <c r="K548">
        <v>101</v>
      </c>
      <c r="L548">
        <v>110</v>
      </c>
      <c r="M548">
        <v>110</v>
      </c>
      <c r="N548">
        <v>211</v>
      </c>
      <c r="O548" t="s">
        <v>48</v>
      </c>
      <c r="P548">
        <v>130</v>
      </c>
      <c r="Q548">
        <v>135</v>
      </c>
      <c r="R548">
        <v>140</v>
      </c>
      <c r="S548">
        <v>140</v>
      </c>
      <c r="T548">
        <v>275</v>
      </c>
      <c r="U548" t="s">
        <v>48</v>
      </c>
      <c r="V548">
        <f t="shared" si="24"/>
        <v>6</v>
      </c>
      <c r="W548">
        <f t="shared" si="25"/>
        <v>0</v>
      </c>
      <c r="X548">
        <f t="shared" si="26"/>
        <v>0</v>
      </c>
      <c r="Y548">
        <v>250</v>
      </c>
      <c r="Z548">
        <v>486</v>
      </c>
      <c r="AA548" t="s">
        <v>3499</v>
      </c>
      <c r="AB548" t="s">
        <v>3500</v>
      </c>
      <c r="AC548" t="s">
        <v>93</v>
      </c>
      <c r="AD548">
        <v>6</v>
      </c>
      <c r="AE548">
        <v>96</v>
      </c>
      <c r="AF548" t="s">
        <v>126</v>
      </c>
      <c r="AH548" t="s">
        <v>222</v>
      </c>
      <c r="AI548">
        <v>299.29000000000002</v>
      </c>
      <c r="AJ548" t="s">
        <v>52</v>
      </c>
      <c r="AK548" t="s">
        <v>810</v>
      </c>
      <c r="AL548" t="s">
        <v>812</v>
      </c>
      <c r="AM548" t="s">
        <v>177</v>
      </c>
      <c r="AN548" s="1">
        <v>45640</v>
      </c>
      <c r="AO548">
        <v>2024</v>
      </c>
      <c r="AP548">
        <v>12</v>
      </c>
      <c r="AQ548" t="s">
        <v>116</v>
      </c>
      <c r="AS548" t="s">
        <v>85</v>
      </c>
      <c r="AT548">
        <v>2025</v>
      </c>
      <c r="AU548" t="s">
        <v>901</v>
      </c>
      <c r="AV548" t="s">
        <v>177</v>
      </c>
      <c r="AW548" t="s">
        <v>3498</v>
      </c>
      <c r="AX548">
        <v>2025</v>
      </c>
      <c r="AY548" t="s">
        <v>3499</v>
      </c>
      <c r="AZ548" t="s">
        <v>3499</v>
      </c>
    </row>
    <row r="549" spans="1:52" x14ac:dyDescent="0.25">
      <c r="A549" t="s">
        <v>3501</v>
      </c>
      <c r="B549" s="1">
        <v>33349</v>
      </c>
      <c r="C549" t="s">
        <v>3502</v>
      </c>
      <c r="D549">
        <v>494106</v>
      </c>
      <c r="E549" t="s">
        <v>46</v>
      </c>
      <c r="F549" t="s">
        <v>893</v>
      </c>
      <c r="G549" t="s">
        <v>394</v>
      </c>
      <c r="H549" t="s">
        <v>3502</v>
      </c>
      <c r="I549" t="s">
        <v>291</v>
      </c>
      <c r="J549">
        <v>-60</v>
      </c>
      <c r="K549">
        <v>-63</v>
      </c>
      <c r="L549">
        <v>63</v>
      </c>
      <c r="M549">
        <v>63</v>
      </c>
      <c r="N549">
        <v>0</v>
      </c>
      <c r="O549" t="s">
        <v>102</v>
      </c>
      <c r="P549">
        <v>69</v>
      </c>
      <c r="Q549">
        <v>72</v>
      </c>
      <c r="R549">
        <v>-75</v>
      </c>
      <c r="S549">
        <v>72</v>
      </c>
      <c r="T549">
        <v>141</v>
      </c>
      <c r="U549" t="s">
        <v>60</v>
      </c>
      <c r="V549">
        <f t="shared" si="24"/>
        <v>3</v>
      </c>
      <c r="W549">
        <f t="shared" si="25"/>
        <v>1</v>
      </c>
      <c r="X549">
        <f t="shared" si="26"/>
        <v>0</v>
      </c>
      <c r="Y549">
        <v>135</v>
      </c>
      <c r="Z549">
        <v>141</v>
      </c>
      <c r="AA549" t="s">
        <v>3503</v>
      </c>
      <c r="AB549" t="s">
        <v>3504</v>
      </c>
      <c r="AC549" t="s">
        <v>93</v>
      </c>
      <c r="AD549">
        <v>6</v>
      </c>
      <c r="AE549">
        <v>71</v>
      </c>
      <c r="AF549" t="s">
        <v>126</v>
      </c>
      <c r="AH549" t="s">
        <v>226</v>
      </c>
      <c r="AI549">
        <v>172.08</v>
      </c>
      <c r="AJ549" t="s">
        <v>132</v>
      </c>
      <c r="AK549" t="s">
        <v>893</v>
      </c>
      <c r="AL549" t="s">
        <v>897</v>
      </c>
      <c r="AM549" t="s">
        <v>170</v>
      </c>
      <c r="AN549" s="1">
        <v>45640</v>
      </c>
      <c r="AO549">
        <v>2024</v>
      </c>
      <c r="AP549">
        <v>12</v>
      </c>
      <c r="AQ549" t="s">
        <v>116</v>
      </c>
      <c r="AS549" t="s">
        <v>85</v>
      </c>
      <c r="AT549">
        <v>2025</v>
      </c>
      <c r="AU549" t="s">
        <v>394</v>
      </c>
      <c r="AV549" t="s">
        <v>170</v>
      </c>
      <c r="AW549" t="s">
        <v>3502</v>
      </c>
      <c r="AX549">
        <v>2025</v>
      </c>
      <c r="AY549" t="s">
        <v>3503</v>
      </c>
      <c r="AZ549" t="s">
        <v>3503</v>
      </c>
    </row>
    <row r="550" spans="1:52" x14ac:dyDescent="0.25">
      <c r="A550" t="s">
        <v>3505</v>
      </c>
      <c r="B550" s="1">
        <v>28989</v>
      </c>
      <c r="C550" t="s">
        <v>3506</v>
      </c>
      <c r="D550">
        <v>437613</v>
      </c>
      <c r="E550" t="s">
        <v>46</v>
      </c>
      <c r="F550" t="s">
        <v>232</v>
      </c>
      <c r="G550" t="s">
        <v>258</v>
      </c>
      <c r="H550" t="s">
        <v>3506</v>
      </c>
      <c r="I550" t="s">
        <v>484</v>
      </c>
      <c r="J550">
        <v>62</v>
      </c>
      <c r="K550">
        <v>67</v>
      </c>
      <c r="L550">
        <v>-71</v>
      </c>
      <c r="M550">
        <v>67</v>
      </c>
      <c r="N550">
        <v>129</v>
      </c>
      <c r="O550" t="s">
        <v>60</v>
      </c>
      <c r="P550">
        <v>83</v>
      </c>
      <c r="Q550">
        <v>87</v>
      </c>
      <c r="R550">
        <v>-90</v>
      </c>
      <c r="S550">
        <v>87</v>
      </c>
      <c r="T550">
        <v>170</v>
      </c>
      <c r="U550" t="s">
        <v>60</v>
      </c>
      <c r="V550">
        <f t="shared" si="24"/>
        <v>4</v>
      </c>
      <c r="W550">
        <f t="shared" si="25"/>
        <v>0</v>
      </c>
      <c r="X550">
        <f t="shared" si="26"/>
        <v>0</v>
      </c>
      <c r="Y550">
        <v>154</v>
      </c>
      <c r="Z550">
        <v>299</v>
      </c>
      <c r="AA550" t="s">
        <v>3509</v>
      </c>
      <c r="AB550" t="s">
        <v>3510</v>
      </c>
      <c r="AC550" t="s">
        <v>89</v>
      </c>
      <c r="AD550">
        <v>5</v>
      </c>
      <c r="AE550">
        <v>64</v>
      </c>
      <c r="AF550" t="s">
        <v>126</v>
      </c>
      <c r="AG550">
        <v>45</v>
      </c>
      <c r="AH550" t="s">
        <v>167</v>
      </c>
      <c r="AI550">
        <v>200.99</v>
      </c>
      <c r="AJ550" t="s">
        <v>132</v>
      </c>
      <c r="AK550" t="s">
        <v>232</v>
      </c>
      <c r="AL550" t="s">
        <v>236</v>
      </c>
      <c r="AM550" t="s">
        <v>128</v>
      </c>
      <c r="AN550" s="1">
        <v>45640</v>
      </c>
      <c r="AO550">
        <v>2024</v>
      </c>
      <c r="AP550">
        <v>12</v>
      </c>
      <c r="AQ550" t="s">
        <v>116</v>
      </c>
      <c r="AS550" t="s">
        <v>85</v>
      </c>
      <c r="AT550">
        <v>2025</v>
      </c>
      <c r="AU550" t="s">
        <v>258</v>
      </c>
      <c r="AV550" t="s">
        <v>128</v>
      </c>
      <c r="AW550" t="s">
        <v>3506</v>
      </c>
      <c r="AX550">
        <v>2025</v>
      </c>
      <c r="AY550" t="s">
        <v>3508</v>
      </c>
      <c r="AZ550" t="s">
        <v>3509</v>
      </c>
    </row>
    <row r="551" spans="1:52" x14ac:dyDescent="0.25">
      <c r="A551" t="s">
        <v>3511</v>
      </c>
      <c r="B551" s="1">
        <v>37272</v>
      </c>
      <c r="C551" t="s">
        <v>3512</v>
      </c>
      <c r="D551">
        <v>465735</v>
      </c>
      <c r="E551" t="s">
        <v>46</v>
      </c>
      <c r="F551" t="s">
        <v>3514</v>
      </c>
      <c r="G551" t="s">
        <v>386</v>
      </c>
      <c r="H551" t="s">
        <v>3512</v>
      </c>
      <c r="I551" t="s">
        <v>539</v>
      </c>
      <c r="J551">
        <v>58</v>
      </c>
      <c r="K551">
        <v>-62</v>
      </c>
      <c r="L551">
        <v>-65</v>
      </c>
      <c r="M551">
        <v>58</v>
      </c>
      <c r="N551">
        <v>0</v>
      </c>
      <c r="O551" t="s">
        <v>55</v>
      </c>
      <c r="P551">
        <v>68</v>
      </c>
      <c r="Q551">
        <v>72</v>
      </c>
      <c r="R551">
        <v>80</v>
      </c>
      <c r="S551">
        <v>80</v>
      </c>
      <c r="T551">
        <v>152</v>
      </c>
      <c r="U551" t="s">
        <v>48</v>
      </c>
      <c r="V551">
        <f t="shared" si="24"/>
        <v>4</v>
      </c>
      <c r="W551">
        <f t="shared" si="25"/>
        <v>0</v>
      </c>
      <c r="X551">
        <f t="shared" si="26"/>
        <v>0</v>
      </c>
      <c r="Y551">
        <v>138</v>
      </c>
      <c r="Z551">
        <v>152</v>
      </c>
      <c r="AA551" t="s">
        <v>3515</v>
      </c>
      <c r="AB551" t="s">
        <v>3516</v>
      </c>
      <c r="AC551" t="s">
        <v>93</v>
      </c>
      <c r="AD551">
        <v>6</v>
      </c>
      <c r="AE551">
        <v>71</v>
      </c>
      <c r="AF551" t="s">
        <v>126</v>
      </c>
      <c r="AH551" t="s">
        <v>226</v>
      </c>
      <c r="AI551">
        <v>174.11</v>
      </c>
      <c r="AJ551" t="s">
        <v>132</v>
      </c>
      <c r="AK551" t="s">
        <v>3514</v>
      </c>
      <c r="AL551" t="s">
        <v>3517</v>
      </c>
      <c r="AM551" t="s">
        <v>170</v>
      </c>
      <c r="AN551" s="1">
        <v>45641</v>
      </c>
      <c r="AO551">
        <v>2024</v>
      </c>
      <c r="AP551">
        <v>12</v>
      </c>
      <c r="AQ551" t="s">
        <v>116</v>
      </c>
      <c r="AS551" t="s">
        <v>85</v>
      </c>
      <c r="AT551">
        <v>2025</v>
      </c>
      <c r="AU551" t="s">
        <v>386</v>
      </c>
      <c r="AV551" t="s">
        <v>170</v>
      </c>
      <c r="AW551" t="s">
        <v>3512</v>
      </c>
      <c r="AX551">
        <v>2025</v>
      </c>
      <c r="AY551" t="s">
        <v>3513</v>
      </c>
      <c r="AZ551" t="s">
        <v>3515</v>
      </c>
    </row>
    <row r="552" spans="1:52" x14ac:dyDescent="0.25">
      <c r="A552" t="s">
        <v>3519</v>
      </c>
      <c r="B552" s="1">
        <v>36582</v>
      </c>
      <c r="C552" t="s">
        <v>3520</v>
      </c>
      <c r="D552">
        <v>498290</v>
      </c>
      <c r="E552" t="s">
        <v>46</v>
      </c>
      <c r="F552" t="s">
        <v>625</v>
      </c>
      <c r="G552" t="s">
        <v>328</v>
      </c>
      <c r="H552" t="s">
        <v>3520</v>
      </c>
      <c r="I552" t="s">
        <v>174</v>
      </c>
      <c r="J552">
        <v>46</v>
      </c>
      <c r="K552">
        <v>-49</v>
      </c>
      <c r="L552">
        <v>-50</v>
      </c>
      <c r="M552">
        <v>46</v>
      </c>
      <c r="N552">
        <v>0</v>
      </c>
      <c r="O552" t="s">
        <v>55</v>
      </c>
      <c r="P552">
        <v>55</v>
      </c>
      <c r="Q552">
        <v>-59</v>
      </c>
      <c r="R552">
        <v>-59</v>
      </c>
      <c r="S552">
        <v>55</v>
      </c>
      <c r="T552">
        <v>0</v>
      </c>
      <c r="U552" t="s">
        <v>55</v>
      </c>
      <c r="V552">
        <f t="shared" si="24"/>
        <v>2</v>
      </c>
      <c r="W552">
        <f t="shared" si="25"/>
        <v>0</v>
      </c>
      <c r="X552">
        <f t="shared" si="26"/>
        <v>0</v>
      </c>
      <c r="Y552">
        <v>101</v>
      </c>
      <c r="Z552">
        <v>0</v>
      </c>
      <c r="AA552" t="s">
        <v>3522</v>
      </c>
      <c r="AB552" t="s">
        <v>99</v>
      </c>
      <c r="AC552" t="s">
        <v>64</v>
      </c>
      <c r="AD552">
        <v>7</v>
      </c>
      <c r="AE552">
        <v>55</v>
      </c>
      <c r="AF552" t="s">
        <v>126</v>
      </c>
      <c r="AH552" t="s">
        <v>197</v>
      </c>
      <c r="AI552">
        <v>148.22</v>
      </c>
      <c r="AJ552" t="s">
        <v>132</v>
      </c>
      <c r="AK552" t="s">
        <v>625</v>
      </c>
      <c r="AL552" t="s">
        <v>627</v>
      </c>
      <c r="AM552" t="s">
        <v>139</v>
      </c>
      <c r="AN552" s="1">
        <v>45641</v>
      </c>
      <c r="AO552">
        <v>2024</v>
      </c>
      <c r="AP552">
        <v>12</v>
      </c>
      <c r="AQ552" t="s">
        <v>116</v>
      </c>
      <c r="AS552" t="s">
        <v>85</v>
      </c>
      <c r="AT552">
        <v>2025</v>
      </c>
      <c r="AU552" t="s">
        <v>328</v>
      </c>
      <c r="AV552" t="s">
        <v>140</v>
      </c>
      <c r="AW552" t="s">
        <v>3520</v>
      </c>
      <c r="AX552">
        <v>2025</v>
      </c>
      <c r="AY552" t="s">
        <v>3521</v>
      </c>
      <c r="AZ552" t="s">
        <v>3521</v>
      </c>
    </row>
    <row r="553" spans="1:52" x14ac:dyDescent="0.25">
      <c r="A553" t="s">
        <v>3523</v>
      </c>
      <c r="B553" s="1">
        <v>35031</v>
      </c>
      <c r="C553" t="s">
        <v>3524</v>
      </c>
      <c r="D553">
        <v>492419</v>
      </c>
      <c r="E553" t="s">
        <v>46</v>
      </c>
      <c r="F553" t="s">
        <v>693</v>
      </c>
      <c r="G553" t="s">
        <v>691</v>
      </c>
      <c r="H553" t="s">
        <v>3524</v>
      </c>
      <c r="I553" t="s">
        <v>279</v>
      </c>
      <c r="J553">
        <v>-61</v>
      </c>
      <c r="K553">
        <v>-61</v>
      </c>
      <c r="L553">
        <v>61</v>
      </c>
      <c r="M553">
        <v>61</v>
      </c>
      <c r="N553">
        <v>0</v>
      </c>
      <c r="O553" t="s">
        <v>102</v>
      </c>
      <c r="P553">
        <v>71</v>
      </c>
      <c r="Q553">
        <v>74</v>
      </c>
      <c r="R553">
        <v>-78</v>
      </c>
      <c r="S553">
        <v>74</v>
      </c>
      <c r="T553">
        <v>145</v>
      </c>
      <c r="U553" t="s">
        <v>60</v>
      </c>
      <c r="V553">
        <f t="shared" si="24"/>
        <v>3</v>
      </c>
      <c r="W553">
        <f t="shared" si="25"/>
        <v>1</v>
      </c>
      <c r="X553">
        <f t="shared" si="26"/>
        <v>0</v>
      </c>
      <c r="Y553">
        <v>135</v>
      </c>
      <c r="Z553">
        <v>145</v>
      </c>
      <c r="AA553" t="s">
        <v>3348</v>
      </c>
      <c r="AB553" t="s">
        <v>3525</v>
      </c>
      <c r="AC553" t="s">
        <v>93</v>
      </c>
      <c r="AD553">
        <v>6</v>
      </c>
      <c r="AE553">
        <v>71</v>
      </c>
      <c r="AF553" t="s">
        <v>126</v>
      </c>
      <c r="AH553" t="s">
        <v>226</v>
      </c>
      <c r="AI553">
        <v>172.53</v>
      </c>
      <c r="AJ553" t="s">
        <v>132</v>
      </c>
      <c r="AK553" t="s">
        <v>693</v>
      </c>
      <c r="AL553" t="s">
        <v>696</v>
      </c>
      <c r="AM553" t="s">
        <v>139</v>
      </c>
      <c r="AN553" s="1">
        <v>45641</v>
      </c>
      <c r="AO553">
        <v>2024</v>
      </c>
      <c r="AP553">
        <v>12</v>
      </c>
      <c r="AQ553" t="s">
        <v>116</v>
      </c>
      <c r="AS553" t="s">
        <v>85</v>
      </c>
      <c r="AT553">
        <v>2025</v>
      </c>
      <c r="AU553" t="s">
        <v>691</v>
      </c>
      <c r="AV553" t="s">
        <v>140</v>
      </c>
      <c r="AW553" t="s">
        <v>3524</v>
      </c>
      <c r="AX553">
        <v>2025</v>
      </c>
      <c r="AY553" t="s">
        <v>3526</v>
      </c>
      <c r="AZ553" t="s">
        <v>3526</v>
      </c>
    </row>
    <row r="554" spans="1:52" x14ac:dyDescent="0.25">
      <c r="A554" t="s">
        <v>3527</v>
      </c>
      <c r="B554" s="1">
        <v>39820</v>
      </c>
      <c r="C554" t="s">
        <v>3528</v>
      </c>
      <c r="D554">
        <v>403328</v>
      </c>
      <c r="E554" t="s">
        <v>46</v>
      </c>
      <c r="F554" t="s">
        <v>1240</v>
      </c>
      <c r="G554" t="s">
        <v>2025</v>
      </c>
      <c r="H554" t="s">
        <v>3528</v>
      </c>
      <c r="I554" t="s">
        <v>1592</v>
      </c>
      <c r="J554">
        <v>62</v>
      </c>
      <c r="K554">
        <v>65</v>
      </c>
      <c r="L554">
        <v>-67</v>
      </c>
      <c r="M554">
        <v>65</v>
      </c>
      <c r="N554">
        <v>127</v>
      </c>
      <c r="O554" t="s">
        <v>60</v>
      </c>
      <c r="P554">
        <v>73</v>
      </c>
      <c r="Q554">
        <v>77</v>
      </c>
      <c r="R554">
        <v>-80</v>
      </c>
      <c r="S554">
        <v>77</v>
      </c>
      <c r="T554">
        <v>150</v>
      </c>
      <c r="U554" t="s">
        <v>60</v>
      </c>
      <c r="V554">
        <f t="shared" si="24"/>
        <v>4</v>
      </c>
      <c r="W554">
        <f t="shared" si="25"/>
        <v>0</v>
      </c>
      <c r="X554">
        <f t="shared" si="26"/>
        <v>0</v>
      </c>
      <c r="Y554">
        <v>142</v>
      </c>
      <c r="Z554">
        <v>277</v>
      </c>
      <c r="AA554" t="s">
        <v>3529</v>
      </c>
      <c r="AB554" t="s">
        <v>3530</v>
      </c>
      <c r="AC554" t="s">
        <v>93</v>
      </c>
      <c r="AD554">
        <v>6</v>
      </c>
      <c r="AE554">
        <v>61</v>
      </c>
      <c r="AF554" t="s">
        <v>95</v>
      </c>
      <c r="AH554" t="s">
        <v>96</v>
      </c>
      <c r="AI554">
        <v>222.64</v>
      </c>
      <c r="AJ554" t="s">
        <v>52</v>
      </c>
      <c r="AK554" t="s">
        <v>1240</v>
      </c>
      <c r="AL554" t="s">
        <v>1243</v>
      </c>
      <c r="AM554" t="s">
        <v>133</v>
      </c>
      <c r="AN554" s="1">
        <v>45641</v>
      </c>
      <c r="AO554">
        <v>2024</v>
      </c>
      <c r="AP554">
        <v>12</v>
      </c>
      <c r="AQ554" t="s">
        <v>116</v>
      </c>
      <c r="AS554" t="s">
        <v>85</v>
      </c>
      <c r="AT554">
        <v>2025</v>
      </c>
      <c r="AU554" t="s">
        <v>2025</v>
      </c>
      <c r="AV554" t="s">
        <v>133</v>
      </c>
      <c r="AW554" t="s">
        <v>3528</v>
      </c>
      <c r="AX554">
        <v>2025</v>
      </c>
      <c r="AY554" t="s">
        <v>3529</v>
      </c>
      <c r="AZ554" t="s">
        <v>3529</v>
      </c>
    </row>
    <row r="555" spans="1:52" x14ac:dyDescent="0.25">
      <c r="A555" t="s">
        <v>3531</v>
      </c>
      <c r="B555" s="1">
        <v>37006</v>
      </c>
      <c r="C555" t="s">
        <v>3532</v>
      </c>
      <c r="D555">
        <v>493333</v>
      </c>
      <c r="E555" t="s">
        <v>46</v>
      </c>
      <c r="F555" t="s">
        <v>492</v>
      </c>
      <c r="G555" t="s">
        <v>383</v>
      </c>
      <c r="H555" t="s">
        <v>3532</v>
      </c>
      <c r="I555" t="s">
        <v>399</v>
      </c>
      <c r="J555">
        <v>123</v>
      </c>
      <c r="K555">
        <v>127</v>
      </c>
      <c r="L555">
        <v>132</v>
      </c>
      <c r="M555">
        <v>132</v>
      </c>
      <c r="N555">
        <v>259</v>
      </c>
      <c r="O555" t="s">
        <v>48</v>
      </c>
      <c r="P555">
        <v>150</v>
      </c>
      <c r="Q555">
        <v>155</v>
      </c>
      <c r="R555">
        <v>-160</v>
      </c>
      <c r="S555">
        <v>155</v>
      </c>
      <c r="T555">
        <v>305</v>
      </c>
      <c r="U555" t="s">
        <v>60</v>
      </c>
      <c r="V555">
        <f t="shared" si="24"/>
        <v>5</v>
      </c>
      <c r="W555">
        <f t="shared" si="25"/>
        <v>0</v>
      </c>
      <c r="X555">
        <f t="shared" si="26"/>
        <v>0</v>
      </c>
      <c r="Y555">
        <v>287</v>
      </c>
      <c r="Z555">
        <v>564</v>
      </c>
      <c r="AA555" t="s">
        <v>3534</v>
      </c>
      <c r="AB555" t="s">
        <v>3535</v>
      </c>
      <c r="AC555" t="s">
        <v>94</v>
      </c>
      <c r="AD555">
        <v>4</v>
      </c>
      <c r="AE555">
        <v>89</v>
      </c>
      <c r="AF555" t="s">
        <v>126</v>
      </c>
      <c r="AH555" t="s">
        <v>155</v>
      </c>
      <c r="AI555">
        <v>351.24</v>
      </c>
      <c r="AJ555" t="s">
        <v>52</v>
      </c>
      <c r="AK555" t="s">
        <v>492</v>
      </c>
      <c r="AL555" t="s">
        <v>494</v>
      </c>
      <c r="AM555" t="s">
        <v>90</v>
      </c>
      <c r="AN555" s="1">
        <v>45640</v>
      </c>
      <c r="AO555">
        <v>2024</v>
      </c>
      <c r="AP555">
        <v>12</v>
      </c>
      <c r="AQ555" t="s">
        <v>116</v>
      </c>
      <c r="AS555" t="s">
        <v>85</v>
      </c>
      <c r="AT555">
        <v>2025</v>
      </c>
      <c r="AU555" t="s">
        <v>383</v>
      </c>
      <c r="AV555" t="s">
        <v>91</v>
      </c>
      <c r="AW555" t="s">
        <v>3532</v>
      </c>
      <c r="AX555">
        <v>2025</v>
      </c>
      <c r="AY555" t="s">
        <v>3533</v>
      </c>
      <c r="AZ555" t="s">
        <v>3534</v>
      </c>
    </row>
    <row r="556" spans="1:52" x14ac:dyDescent="0.25">
      <c r="A556" t="s">
        <v>3536</v>
      </c>
      <c r="B556" s="1">
        <v>40993</v>
      </c>
      <c r="C556" t="s">
        <v>3537</v>
      </c>
      <c r="D556">
        <v>472684</v>
      </c>
      <c r="E556" t="s">
        <v>46</v>
      </c>
      <c r="F556" t="s">
        <v>1997</v>
      </c>
      <c r="G556" t="s">
        <v>490</v>
      </c>
      <c r="H556" t="s">
        <v>3537</v>
      </c>
      <c r="I556" t="s">
        <v>442</v>
      </c>
      <c r="J556">
        <v>34</v>
      </c>
      <c r="K556">
        <v>36</v>
      </c>
      <c r="L556">
        <v>38</v>
      </c>
      <c r="M556">
        <v>38</v>
      </c>
      <c r="N556">
        <v>74</v>
      </c>
      <c r="O556" t="s">
        <v>48</v>
      </c>
      <c r="P556">
        <v>44</v>
      </c>
      <c r="Q556">
        <v>46</v>
      </c>
      <c r="R556">
        <v>48</v>
      </c>
      <c r="S556">
        <v>48</v>
      </c>
      <c r="T556">
        <v>94</v>
      </c>
      <c r="U556" t="s">
        <v>48</v>
      </c>
      <c r="V556">
        <f t="shared" si="24"/>
        <v>6</v>
      </c>
      <c r="W556">
        <f t="shared" si="25"/>
        <v>0</v>
      </c>
      <c r="X556">
        <f t="shared" si="26"/>
        <v>0</v>
      </c>
      <c r="Y556">
        <v>86</v>
      </c>
      <c r="Z556">
        <v>168</v>
      </c>
      <c r="AA556" t="s">
        <v>741</v>
      </c>
      <c r="AB556" t="s">
        <v>3539</v>
      </c>
      <c r="AC556" t="s">
        <v>49</v>
      </c>
      <c r="AD556">
        <v>999</v>
      </c>
      <c r="AE556">
        <v>61</v>
      </c>
      <c r="AF556" t="s">
        <v>50</v>
      </c>
      <c r="AH556" t="s">
        <v>290</v>
      </c>
      <c r="AI556">
        <v>262.36</v>
      </c>
      <c r="AJ556" t="s">
        <v>52</v>
      </c>
      <c r="AK556" t="s">
        <v>1997</v>
      </c>
      <c r="AL556" t="s">
        <v>2000</v>
      </c>
      <c r="AM556" t="s">
        <v>90</v>
      </c>
      <c r="AN556" s="1">
        <v>45640</v>
      </c>
      <c r="AO556">
        <v>2024</v>
      </c>
      <c r="AP556">
        <v>12</v>
      </c>
      <c r="AQ556" t="s">
        <v>116</v>
      </c>
      <c r="AS556" t="s">
        <v>85</v>
      </c>
      <c r="AT556">
        <v>2025</v>
      </c>
      <c r="AU556" t="s">
        <v>490</v>
      </c>
      <c r="AV556" t="s">
        <v>91</v>
      </c>
      <c r="AW556" t="s">
        <v>3537</v>
      </c>
      <c r="AX556">
        <v>2025</v>
      </c>
      <c r="AY556" t="s">
        <v>3538</v>
      </c>
      <c r="AZ556" t="s">
        <v>3538</v>
      </c>
    </row>
    <row r="557" spans="1:52" x14ac:dyDescent="0.25">
      <c r="A557" t="s">
        <v>3540</v>
      </c>
      <c r="B557" s="1">
        <v>38934</v>
      </c>
      <c r="C557" t="s">
        <v>3541</v>
      </c>
      <c r="D557">
        <v>468521</v>
      </c>
      <c r="E557" t="s">
        <v>46</v>
      </c>
      <c r="F557" t="s">
        <v>390</v>
      </c>
      <c r="G557" t="s">
        <v>386</v>
      </c>
      <c r="H557" t="s">
        <v>3541</v>
      </c>
      <c r="I557" t="s">
        <v>669</v>
      </c>
      <c r="J557">
        <v>83</v>
      </c>
      <c r="K557">
        <v>87</v>
      </c>
      <c r="L557">
        <v>-90</v>
      </c>
      <c r="M557">
        <v>87</v>
      </c>
      <c r="N557">
        <v>170</v>
      </c>
      <c r="O557" t="s">
        <v>60</v>
      </c>
      <c r="P557">
        <v>-103</v>
      </c>
      <c r="Q557">
        <v>103</v>
      </c>
      <c r="R557">
        <v>-120</v>
      </c>
      <c r="S557">
        <v>103</v>
      </c>
      <c r="T557">
        <v>0</v>
      </c>
      <c r="U557" t="s">
        <v>104</v>
      </c>
      <c r="V557">
        <f t="shared" si="24"/>
        <v>3</v>
      </c>
      <c r="W557">
        <f t="shared" si="25"/>
        <v>0</v>
      </c>
      <c r="X557">
        <f t="shared" si="26"/>
        <v>0</v>
      </c>
      <c r="Y557">
        <v>190</v>
      </c>
      <c r="Z557">
        <v>170</v>
      </c>
      <c r="AA557" t="s">
        <v>3543</v>
      </c>
      <c r="AB557" t="s">
        <v>3544</v>
      </c>
      <c r="AC557" t="s">
        <v>89</v>
      </c>
      <c r="AD557">
        <v>5</v>
      </c>
      <c r="AE557">
        <v>67</v>
      </c>
      <c r="AF557" t="s">
        <v>113</v>
      </c>
      <c r="AH557" t="s">
        <v>114</v>
      </c>
      <c r="AI557">
        <v>270.82</v>
      </c>
      <c r="AJ557" t="s">
        <v>52</v>
      </c>
      <c r="AK557" t="s">
        <v>390</v>
      </c>
      <c r="AL557" t="s">
        <v>392</v>
      </c>
      <c r="AM557" t="s">
        <v>170</v>
      </c>
      <c r="AN557" s="1">
        <v>45641</v>
      </c>
      <c r="AO557">
        <v>2024</v>
      </c>
      <c r="AP557">
        <v>12</v>
      </c>
      <c r="AQ557" t="s">
        <v>116</v>
      </c>
      <c r="AS557" t="s">
        <v>85</v>
      </c>
      <c r="AT557">
        <v>2025</v>
      </c>
      <c r="AU557" t="s">
        <v>386</v>
      </c>
      <c r="AV557" t="s">
        <v>170</v>
      </c>
      <c r="AW557" t="s">
        <v>3541</v>
      </c>
      <c r="AX557">
        <v>2025</v>
      </c>
      <c r="AY557" t="s">
        <v>3542</v>
      </c>
      <c r="AZ557" t="s">
        <v>3542</v>
      </c>
    </row>
    <row r="558" spans="1:52" x14ac:dyDescent="0.25">
      <c r="A558" t="s">
        <v>3551</v>
      </c>
      <c r="B558" s="1">
        <v>39047</v>
      </c>
      <c r="C558" t="s">
        <v>3552</v>
      </c>
      <c r="D558">
        <v>468710</v>
      </c>
      <c r="E558" t="s">
        <v>661</v>
      </c>
      <c r="F558" t="s">
        <v>547</v>
      </c>
      <c r="G558" t="s">
        <v>417</v>
      </c>
      <c r="H558" t="s">
        <v>3552</v>
      </c>
      <c r="I558" t="s">
        <v>292</v>
      </c>
      <c r="J558">
        <v>78</v>
      </c>
      <c r="K558">
        <v>82</v>
      </c>
      <c r="L558">
        <v>-85</v>
      </c>
      <c r="M558">
        <v>82</v>
      </c>
      <c r="N558">
        <v>160</v>
      </c>
      <c r="O558" t="s">
        <v>60</v>
      </c>
      <c r="P558">
        <v>-105</v>
      </c>
      <c r="Q558">
        <v>-108</v>
      </c>
      <c r="R558">
        <v>-108</v>
      </c>
      <c r="S558">
        <v>0</v>
      </c>
      <c r="T558">
        <v>0</v>
      </c>
      <c r="U558" t="s">
        <v>108</v>
      </c>
      <c r="V558">
        <f t="shared" si="24"/>
        <v>2</v>
      </c>
      <c r="W558">
        <f t="shared" si="25"/>
        <v>0</v>
      </c>
      <c r="X558">
        <f t="shared" si="26"/>
        <v>0</v>
      </c>
      <c r="Y558">
        <v>82</v>
      </c>
      <c r="Z558">
        <v>160</v>
      </c>
      <c r="AA558" t="s">
        <v>3553</v>
      </c>
      <c r="AB558" t="s">
        <v>3554</v>
      </c>
      <c r="AC558" t="s">
        <v>49</v>
      </c>
      <c r="AD558">
        <v>999</v>
      </c>
      <c r="AE558">
        <v>67</v>
      </c>
      <c r="AF558" t="s">
        <v>113</v>
      </c>
      <c r="AH558" t="s">
        <v>114</v>
      </c>
      <c r="AI558">
        <v>0</v>
      </c>
      <c r="AJ558" t="s">
        <v>52</v>
      </c>
      <c r="AK558" t="s">
        <v>547</v>
      </c>
      <c r="AL558" t="s">
        <v>551</v>
      </c>
      <c r="AM558" t="s">
        <v>72</v>
      </c>
      <c r="AN558" s="1">
        <v>45640</v>
      </c>
      <c r="AO558">
        <v>2024</v>
      </c>
      <c r="AP558">
        <v>12</v>
      </c>
      <c r="AQ558" t="s">
        <v>116</v>
      </c>
      <c r="AS558" t="s">
        <v>85</v>
      </c>
      <c r="AT558">
        <v>2025</v>
      </c>
      <c r="AU558" t="s">
        <v>417</v>
      </c>
      <c r="AV558" t="s">
        <v>72</v>
      </c>
      <c r="AW558" t="s">
        <v>3552</v>
      </c>
      <c r="AX558">
        <v>2025</v>
      </c>
      <c r="AY558" t="s">
        <v>3555</v>
      </c>
      <c r="AZ558" t="s">
        <v>3555</v>
      </c>
    </row>
    <row r="559" spans="1:52" x14ac:dyDescent="0.25">
      <c r="A559" t="s">
        <v>3556</v>
      </c>
      <c r="B559" s="1">
        <v>38322</v>
      </c>
      <c r="C559" t="s">
        <v>3557</v>
      </c>
      <c r="D559">
        <v>489967</v>
      </c>
      <c r="E559" t="s">
        <v>46</v>
      </c>
      <c r="F559" t="s">
        <v>1254</v>
      </c>
      <c r="G559" t="s">
        <v>417</v>
      </c>
      <c r="H559" t="s">
        <v>3557</v>
      </c>
      <c r="I559" t="s">
        <v>650</v>
      </c>
      <c r="J559">
        <v>112</v>
      </c>
      <c r="K559">
        <v>-116</v>
      </c>
      <c r="L559">
        <v>-118</v>
      </c>
      <c r="M559">
        <v>112</v>
      </c>
      <c r="N559">
        <v>0</v>
      </c>
      <c r="O559" t="s">
        <v>55</v>
      </c>
      <c r="P559">
        <v>132</v>
      </c>
      <c r="Q559">
        <v>-137</v>
      </c>
      <c r="R559">
        <v>140</v>
      </c>
      <c r="S559">
        <v>140</v>
      </c>
      <c r="T559">
        <v>272</v>
      </c>
      <c r="U559" t="s">
        <v>65</v>
      </c>
      <c r="V559">
        <f t="shared" si="24"/>
        <v>3</v>
      </c>
      <c r="W559">
        <f t="shared" si="25"/>
        <v>0</v>
      </c>
      <c r="X559">
        <f t="shared" si="26"/>
        <v>0</v>
      </c>
      <c r="Y559">
        <v>252</v>
      </c>
      <c r="Z559">
        <v>272</v>
      </c>
      <c r="AA559" t="s">
        <v>3558</v>
      </c>
      <c r="AB559" t="s">
        <v>651</v>
      </c>
      <c r="AC559" t="s">
        <v>93</v>
      </c>
      <c r="AD559">
        <v>6</v>
      </c>
      <c r="AE559">
        <v>89</v>
      </c>
      <c r="AF559" t="s">
        <v>126</v>
      </c>
      <c r="AH559" t="s">
        <v>155</v>
      </c>
      <c r="AI559">
        <v>308.95</v>
      </c>
      <c r="AJ559" t="s">
        <v>52</v>
      </c>
      <c r="AK559" t="s">
        <v>1254</v>
      </c>
      <c r="AL559" t="s">
        <v>1256</v>
      </c>
      <c r="AM559" t="s">
        <v>72</v>
      </c>
      <c r="AN559" s="1">
        <v>45640</v>
      </c>
      <c r="AO559">
        <v>2024</v>
      </c>
      <c r="AP559">
        <v>12</v>
      </c>
      <c r="AQ559" t="s">
        <v>116</v>
      </c>
      <c r="AS559" t="s">
        <v>85</v>
      </c>
      <c r="AT559">
        <v>2025</v>
      </c>
      <c r="AU559" t="s">
        <v>417</v>
      </c>
      <c r="AV559" t="s">
        <v>72</v>
      </c>
      <c r="AW559" t="s">
        <v>3557</v>
      </c>
      <c r="AX559">
        <v>2025</v>
      </c>
      <c r="AY559" t="s">
        <v>3558</v>
      </c>
      <c r="AZ559" t="s">
        <v>3558</v>
      </c>
    </row>
    <row r="560" spans="1:52" x14ac:dyDescent="0.25">
      <c r="A560" t="s">
        <v>3563</v>
      </c>
      <c r="B560" s="1">
        <v>34306</v>
      </c>
      <c r="C560" t="s">
        <v>3564</v>
      </c>
      <c r="D560">
        <v>474696</v>
      </c>
      <c r="E560" t="s">
        <v>46</v>
      </c>
      <c r="F560" t="s">
        <v>518</v>
      </c>
      <c r="G560" t="s">
        <v>901</v>
      </c>
      <c r="H560" t="s">
        <v>3564</v>
      </c>
      <c r="I560">
        <v>55</v>
      </c>
      <c r="J560">
        <v>55</v>
      </c>
      <c r="K560">
        <v>58</v>
      </c>
      <c r="L560">
        <v>-60</v>
      </c>
      <c r="M560">
        <v>58</v>
      </c>
      <c r="N560">
        <v>113</v>
      </c>
      <c r="O560" t="s">
        <v>60</v>
      </c>
      <c r="P560">
        <v>67</v>
      </c>
      <c r="Q560">
        <v>70</v>
      </c>
      <c r="R560">
        <v>-72</v>
      </c>
      <c r="S560">
        <v>70</v>
      </c>
      <c r="T560">
        <v>137</v>
      </c>
      <c r="U560" t="s">
        <v>60</v>
      </c>
      <c r="V560">
        <f t="shared" si="24"/>
        <v>4</v>
      </c>
      <c r="W560">
        <f t="shared" si="25"/>
        <v>0</v>
      </c>
      <c r="X560">
        <f t="shared" si="26"/>
        <v>0</v>
      </c>
      <c r="Y560">
        <v>128</v>
      </c>
      <c r="Z560">
        <v>250</v>
      </c>
      <c r="AA560" t="s">
        <v>858</v>
      </c>
      <c r="AB560" t="s">
        <v>3565</v>
      </c>
      <c r="AC560" t="s">
        <v>93</v>
      </c>
      <c r="AD560">
        <v>6</v>
      </c>
      <c r="AE560">
        <v>55</v>
      </c>
      <c r="AF560" t="s">
        <v>126</v>
      </c>
      <c r="AH560" t="s">
        <v>197</v>
      </c>
      <c r="AI560">
        <v>183.69</v>
      </c>
      <c r="AJ560" t="s">
        <v>132</v>
      </c>
      <c r="AK560" t="s">
        <v>518</v>
      </c>
      <c r="AL560" t="s">
        <v>522</v>
      </c>
      <c r="AM560" t="s">
        <v>177</v>
      </c>
      <c r="AN560" s="1">
        <v>45640</v>
      </c>
      <c r="AO560">
        <v>2024</v>
      </c>
      <c r="AP560">
        <v>12</v>
      </c>
      <c r="AQ560" t="s">
        <v>116</v>
      </c>
      <c r="AS560" t="s">
        <v>85</v>
      </c>
      <c r="AT560">
        <v>2025</v>
      </c>
      <c r="AU560" t="s">
        <v>901</v>
      </c>
      <c r="AV560" t="s">
        <v>177</v>
      </c>
      <c r="AW560" t="s">
        <v>3564</v>
      </c>
      <c r="AX560">
        <v>2025</v>
      </c>
      <c r="AY560" t="s">
        <v>858</v>
      </c>
      <c r="AZ560" t="s">
        <v>858</v>
      </c>
    </row>
    <row r="561" spans="1:52" x14ac:dyDescent="0.25">
      <c r="A561" t="s">
        <v>3559</v>
      </c>
      <c r="B561" s="1">
        <v>42052</v>
      </c>
      <c r="C561" t="s">
        <v>3560</v>
      </c>
      <c r="D561">
        <v>497023</v>
      </c>
      <c r="E561" t="s">
        <v>46</v>
      </c>
      <c r="F561" t="s">
        <v>760</v>
      </c>
      <c r="G561" t="s">
        <v>329</v>
      </c>
      <c r="H561" t="s">
        <v>3560</v>
      </c>
      <c r="I561" t="s">
        <v>280</v>
      </c>
      <c r="J561">
        <v>26</v>
      </c>
      <c r="K561">
        <v>-28</v>
      </c>
      <c r="L561">
        <v>28</v>
      </c>
      <c r="M561">
        <v>28</v>
      </c>
      <c r="N561">
        <v>54</v>
      </c>
      <c r="O561" t="s">
        <v>65</v>
      </c>
      <c r="P561">
        <v>35</v>
      </c>
      <c r="Q561">
        <v>37</v>
      </c>
      <c r="R561">
        <v>39</v>
      </c>
      <c r="S561">
        <v>39</v>
      </c>
      <c r="T561">
        <v>76</v>
      </c>
      <c r="U561" t="s">
        <v>48</v>
      </c>
      <c r="V561">
        <f t="shared" si="24"/>
        <v>5</v>
      </c>
      <c r="W561">
        <f t="shared" si="25"/>
        <v>0</v>
      </c>
      <c r="X561">
        <f t="shared" si="26"/>
        <v>0</v>
      </c>
      <c r="Y561">
        <v>67</v>
      </c>
      <c r="Z561">
        <v>130</v>
      </c>
      <c r="AA561" t="s">
        <v>3561</v>
      </c>
      <c r="AB561" t="s">
        <v>3562</v>
      </c>
      <c r="AC561" t="s">
        <v>49</v>
      </c>
      <c r="AD561">
        <v>999</v>
      </c>
      <c r="AE561" t="s">
        <v>190</v>
      </c>
      <c r="AF561" t="s">
        <v>80</v>
      </c>
      <c r="AH561" t="s">
        <v>191</v>
      </c>
      <c r="AI561">
        <v>184.12</v>
      </c>
      <c r="AJ561" t="s">
        <v>132</v>
      </c>
      <c r="AK561" t="s">
        <v>760</v>
      </c>
      <c r="AL561" t="s">
        <v>763</v>
      </c>
      <c r="AM561" t="s">
        <v>133</v>
      </c>
      <c r="AN561" s="1">
        <v>45640</v>
      </c>
      <c r="AO561">
        <v>2024</v>
      </c>
      <c r="AP561">
        <v>12</v>
      </c>
      <c r="AQ561" t="s">
        <v>116</v>
      </c>
      <c r="AS561" t="s">
        <v>85</v>
      </c>
      <c r="AT561">
        <v>2025</v>
      </c>
      <c r="AU561" t="s">
        <v>329</v>
      </c>
      <c r="AV561" t="s">
        <v>133</v>
      </c>
      <c r="AW561" t="s">
        <v>3560</v>
      </c>
      <c r="AX561">
        <v>2025</v>
      </c>
      <c r="AY561" t="s">
        <v>3561</v>
      </c>
      <c r="AZ561" t="s">
        <v>3561</v>
      </c>
    </row>
    <row r="562" spans="1:52" x14ac:dyDescent="0.25">
      <c r="A562" t="s">
        <v>3566</v>
      </c>
      <c r="B562" s="1">
        <v>34652</v>
      </c>
      <c r="C562" t="s">
        <v>3567</v>
      </c>
      <c r="D562">
        <v>497768</v>
      </c>
      <c r="E562" t="s">
        <v>46</v>
      </c>
      <c r="F562" t="s">
        <v>109</v>
      </c>
      <c r="G562" t="s">
        <v>1627</v>
      </c>
      <c r="H562" t="s">
        <v>3567</v>
      </c>
      <c r="I562" t="s">
        <v>237</v>
      </c>
      <c r="J562">
        <v>-65</v>
      </c>
      <c r="K562">
        <v>65</v>
      </c>
      <c r="L562">
        <v>-68</v>
      </c>
      <c r="M562">
        <v>65</v>
      </c>
      <c r="N562">
        <v>0</v>
      </c>
      <c r="O562" t="s">
        <v>104</v>
      </c>
      <c r="P562">
        <v>75</v>
      </c>
      <c r="Q562">
        <v>80</v>
      </c>
      <c r="R562">
        <v>-85</v>
      </c>
      <c r="S562">
        <v>80</v>
      </c>
      <c r="T562">
        <v>155</v>
      </c>
      <c r="U562" t="s">
        <v>60</v>
      </c>
      <c r="V562">
        <f t="shared" si="24"/>
        <v>3</v>
      </c>
      <c r="W562">
        <f t="shared" si="25"/>
        <v>0</v>
      </c>
      <c r="X562">
        <f t="shared" si="26"/>
        <v>0</v>
      </c>
      <c r="Y562">
        <v>145</v>
      </c>
      <c r="Z562">
        <v>155</v>
      </c>
      <c r="AA562" t="s">
        <v>3568</v>
      </c>
      <c r="AB562" t="s">
        <v>3569</v>
      </c>
      <c r="AC562" t="s">
        <v>93</v>
      </c>
      <c r="AD562">
        <v>6</v>
      </c>
      <c r="AE562">
        <v>71</v>
      </c>
      <c r="AF562" t="s">
        <v>126</v>
      </c>
      <c r="AH562" t="s">
        <v>226</v>
      </c>
      <c r="AI562">
        <v>178.22</v>
      </c>
      <c r="AJ562" t="s">
        <v>132</v>
      </c>
      <c r="AK562" t="s">
        <v>109</v>
      </c>
      <c r="AL562" t="s">
        <v>115</v>
      </c>
      <c r="AM562" t="s">
        <v>90</v>
      </c>
      <c r="AN562" s="1">
        <v>45639</v>
      </c>
      <c r="AO562">
        <v>2024</v>
      </c>
      <c r="AP562">
        <v>12</v>
      </c>
      <c r="AQ562" t="s">
        <v>116</v>
      </c>
      <c r="AS562" t="s">
        <v>85</v>
      </c>
      <c r="AT562">
        <v>2025</v>
      </c>
      <c r="AU562" t="s">
        <v>1627</v>
      </c>
      <c r="AV562" t="s">
        <v>91</v>
      </c>
      <c r="AW562" t="s">
        <v>3567</v>
      </c>
      <c r="AX562">
        <v>2025</v>
      </c>
      <c r="AY562" t="s">
        <v>3568</v>
      </c>
      <c r="AZ562" t="s">
        <v>3568</v>
      </c>
    </row>
    <row r="563" spans="1:52" x14ac:dyDescent="0.25">
      <c r="A563" t="s">
        <v>3570</v>
      </c>
      <c r="B563" s="1">
        <v>32138</v>
      </c>
      <c r="C563" t="s">
        <v>3571</v>
      </c>
      <c r="D563">
        <v>462602</v>
      </c>
      <c r="E563" t="s">
        <v>46</v>
      </c>
      <c r="F563" t="s">
        <v>941</v>
      </c>
      <c r="G563" t="s">
        <v>674</v>
      </c>
      <c r="H563" t="s">
        <v>3571</v>
      </c>
      <c r="I563" t="s">
        <v>484</v>
      </c>
      <c r="J563">
        <v>62</v>
      </c>
      <c r="K563">
        <v>-65</v>
      </c>
      <c r="L563">
        <v>65</v>
      </c>
      <c r="M563">
        <v>65</v>
      </c>
      <c r="N563">
        <v>127</v>
      </c>
      <c r="O563" t="s">
        <v>65</v>
      </c>
      <c r="P563">
        <v>78</v>
      </c>
      <c r="Q563">
        <v>82</v>
      </c>
      <c r="R563">
        <v>-85</v>
      </c>
      <c r="S563">
        <v>82</v>
      </c>
      <c r="T563">
        <v>160</v>
      </c>
      <c r="U563" t="s">
        <v>60</v>
      </c>
      <c r="V563">
        <f t="shared" si="24"/>
        <v>4</v>
      </c>
      <c r="W563">
        <f t="shared" si="25"/>
        <v>0</v>
      </c>
      <c r="X563">
        <f t="shared" si="26"/>
        <v>0</v>
      </c>
      <c r="Y563">
        <v>147</v>
      </c>
      <c r="Z563">
        <v>287</v>
      </c>
      <c r="AA563" t="s">
        <v>3381</v>
      </c>
      <c r="AB563" t="s">
        <v>3572</v>
      </c>
      <c r="AC563" t="s">
        <v>89</v>
      </c>
      <c r="AD563">
        <v>5</v>
      </c>
      <c r="AE563">
        <v>64</v>
      </c>
      <c r="AF563" t="s">
        <v>126</v>
      </c>
      <c r="AG563">
        <v>35</v>
      </c>
      <c r="AH563" t="s">
        <v>167</v>
      </c>
      <c r="AI563">
        <v>191.86</v>
      </c>
      <c r="AJ563" t="s">
        <v>132</v>
      </c>
      <c r="AK563" t="s">
        <v>941</v>
      </c>
      <c r="AL563" t="s">
        <v>944</v>
      </c>
      <c r="AM563" t="s">
        <v>53</v>
      </c>
      <c r="AN563" s="1">
        <v>45640</v>
      </c>
      <c r="AO563">
        <v>2024</v>
      </c>
      <c r="AP563">
        <v>12</v>
      </c>
      <c r="AQ563" t="s">
        <v>116</v>
      </c>
      <c r="AS563" t="s">
        <v>85</v>
      </c>
      <c r="AT563">
        <v>2025</v>
      </c>
      <c r="AU563" t="s">
        <v>674</v>
      </c>
      <c r="AV563" t="s">
        <v>54</v>
      </c>
      <c r="AW563" t="s">
        <v>3571</v>
      </c>
      <c r="AX563">
        <v>2025</v>
      </c>
      <c r="AY563" t="s">
        <v>3381</v>
      </c>
      <c r="AZ563" t="s">
        <v>3381</v>
      </c>
    </row>
    <row r="564" spans="1:52" x14ac:dyDescent="0.25">
      <c r="A564" t="s">
        <v>3573</v>
      </c>
      <c r="B564" s="1">
        <v>40380</v>
      </c>
      <c r="C564" t="s">
        <v>3574</v>
      </c>
      <c r="D564">
        <v>492416</v>
      </c>
      <c r="E564" t="s">
        <v>46</v>
      </c>
      <c r="F564" t="s">
        <v>999</v>
      </c>
      <c r="G564" t="s">
        <v>653</v>
      </c>
      <c r="H564" t="s">
        <v>3574</v>
      </c>
      <c r="I564" t="s">
        <v>2136</v>
      </c>
      <c r="J564">
        <v>78</v>
      </c>
      <c r="K564">
        <v>83</v>
      </c>
      <c r="L564">
        <v>88</v>
      </c>
      <c r="M564">
        <v>88</v>
      </c>
      <c r="N564">
        <v>171</v>
      </c>
      <c r="O564" t="s">
        <v>48</v>
      </c>
      <c r="P564">
        <v>105</v>
      </c>
      <c r="Q564">
        <v>110</v>
      </c>
      <c r="R564">
        <v>-115</v>
      </c>
      <c r="S564">
        <v>110</v>
      </c>
      <c r="T564">
        <v>215</v>
      </c>
      <c r="U564" t="s">
        <v>60</v>
      </c>
      <c r="V564">
        <f t="shared" si="24"/>
        <v>5</v>
      </c>
      <c r="W564">
        <f t="shared" si="25"/>
        <v>0</v>
      </c>
      <c r="X564">
        <f t="shared" si="26"/>
        <v>0</v>
      </c>
      <c r="Y564">
        <v>198</v>
      </c>
      <c r="Z564">
        <v>386</v>
      </c>
      <c r="AA564" t="s">
        <v>3575</v>
      </c>
      <c r="AB564" t="s">
        <v>3576</v>
      </c>
      <c r="AC564" t="s">
        <v>98</v>
      </c>
      <c r="AD564">
        <v>3</v>
      </c>
      <c r="AE564">
        <v>67</v>
      </c>
      <c r="AF564" t="s">
        <v>57</v>
      </c>
      <c r="AH564" t="s">
        <v>185</v>
      </c>
      <c r="AI564">
        <v>285.5</v>
      </c>
      <c r="AJ564" t="s">
        <v>52</v>
      </c>
      <c r="AK564" t="s">
        <v>999</v>
      </c>
      <c r="AL564" t="s">
        <v>1001</v>
      </c>
      <c r="AM564" t="s">
        <v>53</v>
      </c>
      <c r="AN564" s="1">
        <v>45640</v>
      </c>
      <c r="AO564">
        <v>2024</v>
      </c>
      <c r="AP564">
        <v>12</v>
      </c>
      <c r="AQ564" t="s">
        <v>116</v>
      </c>
      <c r="AS564" t="s">
        <v>85</v>
      </c>
      <c r="AT564">
        <v>2025</v>
      </c>
      <c r="AU564" t="s">
        <v>653</v>
      </c>
      <c r="AV564" t="s">
        <v>54</v>
      </c>
      <c r="AW564" t="s">
        <v>3574</v>
      </c>
      <c r="AX564">
        <v>2025</v>
      </c>
      <c r="AY564" t="s">
        <v>3575</v>
      </c>
      <c r="AZ564" t="s">
        <v>3575</v>
      </c>
    </row>
    <row r="565" spans="1:52" x14ac:dyDescent="0.25">
      <c r="A565" t="s">
        <v>3577</v>
      </c>
      <c r="B565" s="1">
        <v>36402</v>
      </c>
      <c r="C565" t="s">
        <v>3578</v>
      </c>
      <c r="D565">
        <v>478347</v>
      </c>
      <c r="E565" t="s">
        <v>46</v>
      </c>
      <c r="F565" t="s">
        <v>109</v>
      </c>
      <c r="G565" t="s">
        <v>88</v>
      </c>
      <c r="H565" t="s">
        <v>3578</v>
      </c>
      <c r="I565" t="s">
        <v>511</v>
      </c>
      <c r="J565">
        <v>42</v>
      </c>
      <c r="K565">
        <v>-44</v>
      </c>
      <c r="L565">
        <v>-45</v>
      </c>
      <c r="M565">
        <v>42</v>
      </c>
      <c r="N565">
        <v>0</v>
      </c>
      <c r="O565" t="s">
        <v>55</v>
      </c>
      <c r="P565">
        <v>50</v>
      </c>
      <c r="Q565">
        <v>-53</v>
      </c>
      <c r="R565">
        <v>53</v>
      </c>
      <c r="S565">
        <v>53</v>
      </c>
      <c r="T565">
        <v>103</v>
      </c>
      <c r="U565" t="s">
        <v>65</v>
      </c>
      <c r="V565">
        <f t="shared" si="24"/>
        <v>3</v>
      </c>
      <c r="W565">
        <f t="shared" si="25"/>
        <v>0</v>
      </c>
      <c r="X565">
        <f t="shared" si="26"/>
        <v>0</v>
      </c>
      <c r="Y565">
        <v>95</v>
      </c>
      <c r="Z565">
        <v>103</v>
      </c>
      <c r="AA565" t="s">
        <v>3579</v>
      </c>
      <c r="AB565" t="s">
        <v>3580</v>
      </c>
      <c r="AC565" t="s">
        <v>93</v>
      </c>
      <c r="AD565">
        <v>6</v>
      </c>
      <c r="AE565">
        <v>49</v>
      </c>
      <c r="AF565" t="s">
        <v>126</v>
      </c>
      <c r="AH565" t="s">
        <v>195</v>
      </c>
      <c r="AI565">
        <v>150.72</v>
      </c>
      <c r="AJ565" t="s">
        <v>132</v>
      </c>
      <c r="AK565" t="s">
        <v>109</v>
      </c>
      <c r="AL565" t="s">
        <v>115</v>
      </c>
      <c r="AM565" t="s">
        <v>90</v>
      </c>
      <c r="AN565" s="1">
        <v>45639</v>
      </c>
      <c r="AO565">
        <v>2024</v>
      </c>
      <c r="AP565">
        <v>12</v>
      </c>
      <c r="AQ565" t="s">
        <v>116</v>
      </c>
      <c r="AS565" t="s">
        <v>85</v>
      </c>
      <c r="AT565">
        <v>2025</v>
      </c>
      <c r="AU565" t="s">
        <v>88</v>
      </c>
      <c r="AV565" t="s">
        <v>91</v>
      </c>
      <c r="AW565" t="s">
        <v>3578</v>
      </c>
      <c r="AX565">
        <v>2025</v>
      </c>
      <c r="AY565" t="s">
        <v>2250</v>
      </c>
      <c r="AZ565" t="s">
        <v>3579</v>
      </c>
    </row>
    <row r="566" spans="1:52" x14ac:dyDescent="0.25">
      <c r="A566" t="s">
        <v>3581</v>
      </c>
      <c r="B566" s="1">
        <v>38600</v>
      </c>
      <c r="C566" t="s">
        <v>3582</v>
      </c>
      <c r="D566">
        <v>472423</v>
      </c>
      <c r="E566" t="s">
        <v>46</v>
      </c>
      <c r="F566" t="s">
        <v>1071</v>
      </c>
      <c r="G566" t="s">
        <v>255</v>
      </c>
      <c r="H566" t="s">
        <v>3582</v>
      </c>
      <c r="I566" t="s">
        <v>299</v>
      </c>
      <c r="J566">
        <v>85</v>
      </c>
      <c r="K566">
        <v>90</v>
      </c>
      <c r="L566">
        <v>-95</v>
      </c>
      <c r="M566">
        <v>90</v>
      </c>
      <c r="N566">
        <v>175</v>
      </c>
      <c r="O566" t="s">
        <v>60</v>
      </c>
      <c r="P566">
        <v>105</v>
      </c>
      <c r="Q566">
        <v>110</v>
      </c>
      <c r="R566">
        <v>115</v>
      </c>
      <c r="S566">
        <v>115</v>
      </c>
      <c r="T566">
        <v>225</v>
      </c>
      <c r="U566" t="s">
        <v>48</v>
      </c>
      <c r="V566">
        <f t="shared" si="24"/>
        <v>5</v>
      </c>
      <c r="W566">
        <f t="shared" si="25"/>
        <v>0</v>
      </c>
      <c r="X566">
        <f t="shared" si="26"/>
        <v>0</v>
      </c>
      <c r="Y566">
        <v>205</v>
      </c>
      <c r="Z566">
        <v>400</v>
      </c>
      <c r="AA566" t="s">
        <v>743</v>
      </c>
      <c r="AB566" t="s">
        <v>1228</v>
      </c>
      <c r="AC566" t="s">
        <v>89</v>
      </c>
      <c r="AD566">
        <v>5</v>
      </c>
      <c r="AE566">
        <v>73</v>
      </c>
      <c r="AF566" t="s">
        <v>113</v>
      </c>
      <c r="AH566" t="s">
        <v>218</v>
      </c>
      <c r="AI566">
        <v>279.91000000000003</v>
      </c>
      <c r="AJ566" t="s">
        <v>52</v>
      </c>
      <c r="AK566" t="s">
        <v>1071</v>
      </c>
      <c r="AL566" t="s">
        <v>1073</v>
      </c>
      <c r="AM566" t="s">
        <v>68</v>
      </c>
      <c r="AN566" s="1">
        <v>45640</v>
      </c>
      <c r="AO566">
        <v>2024</v>
      </c>
      <c r="AP566">
        <v>12</v>
      </c>
      <c r="AQ566" t="s">
        <v>116</v>
      </c>
      <c r="AS566" t="s">
        <v>85</v>
      </c>
      <c r="AT566">
        <v>2025</v>
      </c>
      <c r="AU566" t="s">
        <v>255</v>
      </c>
      <c r="AV566" t="s">
        <v>68</v>
      </c>
      <c r="AW566" t="s">
        <v>3582</v>
      </c>
      <c r="AX566">
        <v>2025</v>
      </c>
      <c r="AY566" t="s">
        <v>743</v>
      </c>
      <c r="AZ566" t="s">
        <v>743</v>
      </c>
    </row>
    <row r="567" spans="1:52" x14ac:dyDescent="0.25">
      <c r="A567" t="s">
        <v>3583</v>
      </c>
      <c r="B567" s="1">
        <v>33445</v>
      </c>
      <c r="C567" t="s">
        <v>3584</v>
      </c>
      <c r="D567">
        <v>454457</v>
      </c>
      <c r="E567" t="s">
        <v>46</v>
      </c>
      <c r="F567" t="s">
        <v>1400</v>
      </c>
      <c r="G567" t="s">
        <v>124</v>
      </c>
      <c r="H567" t="s">
        <v>3584</v>
      </c>
      <c r="I567">
        <v>96</v>
      </c>
      <c r="J567">
        <v>105</v>
      </c>
      <c r="K567">
        <v>-109</v>
      </c>
      <c r="L567">
        <v>-110</v>
      </c>
      <c r="M567">
        <v>105</v>
      </c>
      <c r="N567">
        <v>0</v>
      </c>
      <c r="O567" t="s">
        <v>55</v>
      </c>
      <c r="P567">
        <v>-132</v>
      </c>
      <c r="Q567">
        <v>-135</v>
      </c>
      <c r="R567">
        <v>135</v>
      </c>
      <c r="S567">
        <v>135</v>
      </c>
      <c r="T567">
        <v>0</v>
      </c>
      <c r="U567" t="s">
        <v>102</v>
      </c>
      <c r="V567">
        <f t="shared" si="24"/>
        <v>2</v>
      </c>
      <c r="W567">
        <f t="shared" si="25"/>
        <v>1</v>
      </c>
      <c r="X567">
        <f t="shared" si="26"/>
        <v>0</v>
      </c>
      <c r="Y567">
        <v>240</v>
      </c>
      <c r="Z567">
        <v>0</v>
      </c>
      <c r="AA567" t="s">
        <v>3586</v>
      </c>
      <c r="AB567" t="s">
        <v>99</v>
      </c>
      <c r="AC567" t="s">
        <v>93</v>
      </c>
      <c r="AD567">
        <v>6</v>
      </c>
      <c r="AE567">
        <v>96</v>
      </c>
      <c r="AF567" t="s">
        <v>126</v>
      </c>
      <c r="AH567" t="s">
        <v>222</v>
      </c>
      <c r="AI567">
        <v>280.08</v>
      </c>
      <c r="AJ567" t="s">
        <v>52</v>
      </c>
      <c r="AK567" t="s">
        <v>1400</v>
      </c>
      <c r="AL567" t="s">
        <v>1402</v>
      </c>
      <c r="AM567" t="s">
        <v>128</v>
      </c>
      <c r="AN567" s="1">
        <v>45640</v>
      </c>
      <c r="AO567">
        <v>2024</v>
      </c>
      <c r="AP567">
        <v>12</v>
      </c>
      <c r="AQ567" t="s">
        <v>116</v>
      </c>
      <c r="AS567" t="s">
        <v>85</v>
      </c>
      <c r="AT567">
        <v>2025</v>
      </c>
      <c r="AU567" t="s">
        <v>124</v>
      </c>
      <c r="AV567" t="s">
        <v>128</v>
      </c>
      <c r="AW567" t="s">
        <v>3584</v>
      </c>
      <c r="AX567">
        <v>2025</v>
      </c>
      <c r="AY567" t="s">
        <v>3585</v>
      </c>
      <c r="AZ567" t="s">
        <v>3586</v>
      </c>
    </row>
    <row r="568" spans="1:52" x14ac:dyDescent="0.25">
      <c r="A568" t="s">
        <v>3587</v>
      </c>
      <c r="B568" s="1">
        <v>34316</v>
      </c>
      <c r="C568" t="s">
        <v>3588</v>
      </c>
      <c r="D568">
        <v>478771</v>
      </c>
      <c r="E568" t="s">
        <v>46</v>
      </c>
      <c r="F568" t="s">
        <v>633</v>
      </c>
      <c r="G568" t="s">
        <v>271</v>
      </c>
      <c r="H568" t="s">
        <v>3588</v>
      </c>
      <c r="I568">
        <v>87</v>
      </c>
      <c r="J568">
        <v>113</v>
      </c>
      <c r="K568">
        <v>117</v>
      </c>
      <c r="L568">
        <v>120</v>
      </c>
      <c r="M568">
        <v>120</v>
      </c>
      <c r="N568">
        <v>237</v>
      </c>
      <c r="O568" t="s">
        <v>48</v>
      </c>
      <c r="P568">
        <v>130</v>
      </c>
      <c r="Q568">
        <v>-140</v>
      </c>
      <c r="R568">
        <v>140</v>
      </c>
      <c r="S568">
        <v>140</v>
      </c>
      <c r="T568">
        <v>270</v>
      </c>
      <c r="U568" t="s">
        <v>65</v>
      </c>
      <c r="V568">
        <f t="shared" si="24"/>
        <v>5</v>
      </c>
      <c r="W568">
        <f t="shared" si="25"/>
        <v>0</v>
      </c>
      <c r="X568">
        <f t="shared" si="26"/>
        <v>0</v>
      </c>
      <c r="Y568">
        <v>260</v>
      </c>
      <c r="Z568">
        <v>507</v>
      </c>
      <c r="AA568" t="s">
        <v>3589</v>
      </c>
      <c r="AB568" t="s">
        <v>3590</v>
      </c>
      <c r="AC568" t="s">
        <v>89</v>
      </c>
      <c r="AD568">
        <v>5</v>
      </c>
      <c r="AE568">
        <v>89</v>
      </c>
      <c r="AF568" t="s">
        <v>126</v>
      </c>
      <c r="AH568" t="s">
        <v>155</v>
      </c>
      <c r="AI568">
        <v>317.83</v>
      </c>
      <c r="AJ568" t="s">
        <v>52</v>
      </c>
      <c r="AK568" t="s">
        <v>633</v>
      </c>
      <c r="AL568" t="s">
        <v>637</v>
      </c>
      <c r="AM568" t="s">
        <v>139</v>
      </c>
      <c r="AN568" s="1">
        <v>45640</v>
      </c>
      <c r="AO568">
        <v>2024</v>
      </c>
      <c r="AP568">
        <v>12</v>
      </c>
      <c r="AQ568" t="s">
        <v>116</v>
      </c>
      <c r="AS568" t="s">
        <v>85</v>
      </c>
      <c r="AT568">
        <v>2025</v>
      </c>
      <c r="AU568" t="s">
        <v>271</v>
      </c>
      <c r="AV568" t="s">
        <v>140</v>
      </c>
      <c r="AW568" t="s">
        <v>3588</v>
      </c>
      <c r="AX568">
        <v>2025</v>
      </c>
      <c r="AY568" t="s">
        <v>3589</v>
      </c>
      <c r="AZ568" t="s">
        <v>3589</v>
      </c>
    </row>
    <row r="569" spans="1:52" x14ac:dyDescent="0.25">
      <c r="A569" t="s">
        <v>3591</v>
      </c>
      <c r="B569" s="1">
        <v>34994</v>
      </c>
      <c r="C569" t="s">
        <v>3592</v>
      </c>
      <c r="D569">
        <v>441475</v>
      </c>
      <c r="E569" t="s">
        <v>46</v>
      </c>
      <c r="F569" t="s">
        <v>1254</v>
      </c>
      <c r="G569" t="s">
        <v>400</v>
      </c>
      <c r="H569" t="s">
        <v>3592</v>
      </c>
      <c r="I569" t="s">
        <v>502</v>
      </c>
      <c r="J569">
        <v>126</v>
      </c>
      <c r="K569">
        <v>130</v>
      </c>
      <c r="L569">
        <v>133</v>
      </c>
      <c r="M569">
        <v>133</v>
      </c>
      <c r="N569">
        <v>263</v>
      </c>
      <c r="O569" t="s">
        <v>48</v>
      </c>
      <c r="P569">
        <v>-155</v>
      </c>
      <c r="Q569">
        <v>155</v>
      </c>
      <c r="R569">
        <v>-162</v>
      </c>
      <c r="S569">
        <v>155</v>
      </c>
      <c r="T569">
        <v>0</v>
      </c>
      <c r="U569" t="s">
        <v>104</v>
      </c>
      <c r="V569">
        <f t="shared" si="24"/>
        <v>4</v>
      </c>
      <c r="W569">
        <f t="shared" si="25"/>
        <v>0</v>
      </c>
      <c r="X569">
        <f t="shared" si="26"/>
        <v>0</v>
      </c>
      <c r="Y569">
        <v>288</v>
      </c>
      <c r="Z569">
        <v>263</v>
      </c>
      <c r="AA569" t="s">
        <v>3593</v>
      </c>
      <c r="AB569" t="s">
        <v>3594</v>
      </c>
      <c r="AC569" t="s">
        <v>89</v>
      </c>
      <c r="AD569">
        <v>5</v>
      </c>
      <c r="AE569">
        <v>96</v>
      </c>
      <c r="AF569" t="s">
        <v>126</v>
      </c>
      <c r="AH569" t="s">
        <v>222</v>
      </c>
      <c r="AI569">
        <v>337.51</v>
      </c>
      <c r="AJ569" t="s">
        <v>52</v>
      </c>
      <c r="AK569" t="s">
        <v>1254</v>
      </c>
      <c r="AL569" t="s">
        <v>1256</v>
      </c>
      <c r="AM569" t="s">
        <v>72</v>
      </c>
      <c r="AN569" s="1">
        <v>45640</v>
      </c>
      <c r="AO569">
        <v>2024</v>
      </c>
      <c r="AP569">
        <v>12</v>
      </c>
      <c r="AQ569" t="s">
        <v>116</v>
      </c>
      <c r="AS569" t="s">
        <v>85</v>
      </c>
      <c r="AT569">
        <v>2025</v>
      </c>
      <c r="AU569" t="s">
        <v>400</v>
      </c>
      <c r="AV569" t="s">
        <v>72</v>
      </c>
      <c r="AW569" t="s">
        <v>3592</v>
      </c>
      <c r="AX569">
        <v>2025</v>
      </c>
      <c r="AY569" t="s">
        <v>3593</v>
      </c>
      <c r="AZ569" t="s">
        <v>3593</v>
      </c>
    </row>
    <row r="570" spans="1:52" x14ac:dyDescent="0.25">
      <c r="A570" t="s">
        <v>3595</v>
      </c>
      <c r="B570" s="1">
        <v>37446</v>
      </c>
      <c r="C570" t="s">
        <v>3596</v>
      </c>
      <c r="D570">
        <v>465788</v>
      </c>
      <c r="E570" t="s">
        <v>46</v>
      </c>
      <c r="F570" t="s">
        <v>263</v>
      </c>
      <c r="G570" t="s">
        <v>697</v>
      </c>
      <c r="H570" t="s">
        <v>3596</v>
      </c>
      <c r="I570" t="s">
        <v>149</v>
      </c>
      <c r="J570">
        <v>104</v>
      </c>
      <c r="K570">
        <v>108</v>
      </c>
      <c r="L570">
        <v>-112</v>
      </c>
      <c r="M570">
        <v>108</v>
      </c>
      <c r="N570">
        <v>212</v>
      </c>
      <c r="O570" t="s">
        <v>60</v>
      </c>
      <c r="P570">
        <v>-133</v>
      </c>
      <c r="Q570">
        <v>133</v>
      </c>
      <c r="R570">
        <v>138</v>
      </c>
      <c r="S570">
        <v>138</v>
      </c>
      <c r="T570">
        <v>271</v>
      </c>
      <c r="U570" t="s">
        <v>63</v>
      </c>
      <c r="V570">
        <f t="shared" si="24"/>
        <v>4</v>
      </c>
      <c r="W570">
        <f t="shared" si="25"/>
        <v>0</v>
      </c>
      <c r="X570">
        <f t="shared" si="26"/>
        <v>0</v>
      </c>
      <c r="Y570">
        <v>246</v>
      </c>
      <c r="Z570">
        <v>483</v>
      </c>
      <c r="AA570" t="s">
        <v>3598</v>
      </c>
      <c r="AB570" t="s">
        <v>3599</v>
      </c>
      <c r="AC570" t="s">
        <v>93</v>
      </c>
      <c r="AD570">
        <v>6</v>
      </c>
      <c r="AE570">
        <v>102</v>
      </c>
      <c r="AF570" t="s">
        <v>126</v>
      </c>
      <c r="AH570" t="s">
        <v>148</v>
      </c>
      <c r="AI570">
        <v>282.23</v>
      </c>
      <c r="AJ570" t="s">
        <v>52</v>
      </c>
      <c r="AK570" t="s">
        <v>263</v>
      </c>
      <c r="AL570" t="s">
        <v>267</v>
      </c>
      <c r="AM570" t="s">
        <v>145</v>
      </c>
      <c r="AN570" s="1">
        <v>45640</v>
      </c>
      <c r="AO570">
        <v>2024</v>
      </c>
      <c r="AP570">
        <v>12</v>
      </c>
      <c r="AQ570" t="s">
        <v>116</v>
      </c>
      <c r="AS570" t="s">
        <v>85</v>
      </c>
      <c r="AT570">
        <v>2025</v>
      </c>
      <c r="AU570" t="s">
        <v>697</v>
      </c>
      <c r="AV570" t="s">
        <v>145</v>
      </c>
      <c r="AW570" t="s">
        <v>3596</v>
      </c>
      <c r="AX570">
        <v>2025</v>
      </c>
      <c r="AY570" t="s">
        <v>3597</v>
      </c>
      <c r="AZ570" t="s">
        <v>3597</v>
      </c>
    </row>
    <row r="571" spans="1:52" x14ac:dyDescent="0.25">
      <c r="A571" t="s">
        <v>3601</v>
      </c>
      <c r="B571" s="1">
        <v>40728</v>
      </c>
      <c r="C571" t="s">
        <v>3602</v>
      </c>
      <c r="D571">
        <v>460193</v>
      </c>
      <c r="E571" t="s">
        <v>46</v>
      </c>
      <c r="F571" t="s">
        <v>837</v>
      </c>
      <c r="G571" t="s">
        <v>602</v>
      </c>
      <c r="H571" t="s">
        <v>3602</v>
      </c>
      <c r="I571" t="s">
        <v>212</v>
      </c>
      <c r="J571">
        <v>34</v>
      </c>
      <c r="K571">
        <v>36</v>
      </c>
      <c r="L571">
        <v>38</v>
      </c>
      <c r="M571">
        <v>38</v>
      </c>
      <c r="N571">
        <v>74</v>
      </c>
      <c r="O571" t="s">
        <v>48</v>
      </c>
      <c r="P571">
        <v>45</v>
      </c>
      <c r="Q571">
        <v>47</v>
      </c>
      <c r="R571">
        <v>50</v>
      </c>
      <c r="S571">
        <v>50</v>
      </c>
      <c r="T571">
        <v>97</v>
      </c>
      <c r="U571" t="s">
        <v>48</v>
      </c>
      <c r="V571">
        <f t="shared" si="24"/>
        <v>6</v>
      </c>
      <c r="W571">
        <f t="shared" si="25"/>
        <v>0</v>
      </c>
      <c r="X571">
        <f t="shared" si="26"/>
        <v>0</v>
      </c>
      <c r="Y571">
        <v>88</v>
      </c>
      <c r="Z571">
        <v>171</v>
      </c>
      <c r="AA571" t="s">
        <v>3604</v>
      </c>
      <c r="AB571" t="s">
        <v>3605</v>
      </c>
      <c r="AC571" t="s">
        <v>93</v>
      </c>
      <c r="AD571">
        <v>6</v>
      </c>
      <c r="AE571">
        <v>49</v>
      </c>
      <c r="AF571" t="s">
        <v>57</v>
      </c>
      <c r="AH571" t="s">
        <v>58</v>
      </c>
      <c r="AI571">
        <v>169.62</v>
      </c>
      <c r="AJ571" t="s">
        <v>52</v>
      </c>
      <c r="AK571" t="s">
        <v>837</v>
      </c>
      <c r="AL571" t="s">
        <v>840</v>
      </c>
      <c r="AM571" t="s">
        <v>173</v>
      </c>
      <c r="AN571" s="1">
        <v>45640</v>
      </c>
      <c r="AO571">
        <v>2024</v>
      </c>
      <c r="AP571">
        <v>12</v>
      </c>
      <c r="AQ571" t="s">
        <v>116</v>
      </c>
      <c r="AS571" t="s">
        <v>85</v>
      </c>
      <c r="AT571">
        <v>2025</v>
      </c>
      <c r="AU571" t="s">
        <v>602</v>
      </c>
      <c r="AV571" t="s">
        <v>173</v>
      </c>
      <c r="AW571" t="s">
        <v>3602</v>
      </c>
      <c r="AX571">
        <v>2025</v>
      </c>
      <c r="AY571" t="s">
        <v>3603</v>
      </c>
      <c r="AZ571" t="s">
        <v>3604</v>
      </c>
    </row>
    <row r="572" spans="1:52" x14ac:dyDescent="0.25">
      <c r="A572" t="s">
        <v>3606</v>
      </c>
      <c r="B572" s="1">
        <v>39660</v>
      </c>
      <c r="C572" t="s">
        <v>3607</v>
      </c>
      <c r="D572">
        <v>466996</v>
      </c>
      <c r="E572" t="s">
        <v>46</v>
      </c>
      <c r="F572" t="s">
        <v>456</v>
      </c>
      <c r="G572" t="s">
        <v>171</v>
      </c>
      <c r="H572" t="s">
        <v>3607</v>
      </c>
      <c r="I572" t="s">
        <v>876</v>
      </c>
      <c r="J572">
        <v>67</v>
      </c>
      <c r="K572">
        <v>71</v>
      </c>
      <c r="L572">
        <v>73</v>
      </c>
      <c r="M572">
        <v>73</v>
      </c>
      <c r="N572">
        <v>144</v>
      </c>
      <c r="O572" t="s">
        <v>48</v>
      </c>
      <c r="P572">
        <v>77</v>
      </c>
      <c r="Q572">
        <v>81</v>
      </c>
      <c r="R572">
        <v>-85</v>
      </c>
      <c r="S572">
        <v>81</v>
      </c>
      <c r="T572">
        <v>158</v>
      </c>
      <c r="U572" t="s">
        <v>60</v>
      </c>
      <c r="V572">
        <f t="shared" si="24"/>
        <v>5</v>
      </c>
      <c r="W572">
        <f t="shared" si="25"/>
        <v>0</v>
      </c>
      <c r="X572">
        <f t="shared" si="26"/>
        <v>0</v>
      </c>
      <c r="Y572">
        <v>154</v>
      </c>
      <c r="Z572">
        <v>302</v>
      </c>
      <c r="AA572" t="s">
        <v>3608</v>
      </c>
      <c r="AB572" t="s">
        <v>3609</v>
      </c>
      <c r="AC572" t="s">
        <v>98</v>
      </c>
      <c r="AD572">
        <v>3</v>
      </c>
      <c r="AE572">
        <v>76</v>
      </c>
      <c r="AF572" t="s">
        <v>95</v>
      </c>
      <c r="AH572" t="s">
        <v>304</v>
      </c>
      <c r="AI572">
        <v>183.72</v>
      </c>
      <c r="AJ572" t="s">
        <v>132</v>
      </c>
      <c r="AK572" t="s">
        <v>456</v>
      </c>
      <c r="AL572" t="s">
        <v>460</v>
      </c>
      <c r="AM572" t="s">
        <v>173</v>
      </c>
      <c r="AN572" s="1">
        <v>45641</v>
      </c>
      <c r="AO572">
        <v>2024</v>
      </c>
      <c r="AP572">
        <v>12</v>
      </c>
      <c r="AQ572" t="s">
        <v>116</v>
      </c>
      <c r="AS572" t="s">
        <v>85</v>
      </c>
      <c r="AT572">
        <v>2025</v>
      </c>
      <c r="AU572" t="s">
        <v>171</v>
      </c>
      <c r="AV572" t="s">
        <v>173</v>
      </c>
      <c r="AW572" t="s">
        <v>3607</v>
      </c>
      <c r="AX572">
        <v>2025</v>
      </c>
      <c r="AY572" t="s">
        <v>3608</v>
      </c>
      <c r="AZ572" t="s">
        <v>3608</v>
      </c>
    </row>
    <row r="573" spans="1:52" x14ac:dyDescent="0.25">
      <c r="A573" t="s">
        <v>3618</v>
      </c>
      <c r="B573" s="1">
        <v>35287</v>
      </c>
      <c r="C573" t="s">
        <v>3619</v>
      </c>
      <c r="D573">
        <v>441781</v>
      </c>
      <c r="E573" t="s">
        <v>1224</v>
      </c>
      <c r="F573" t="s">
        <v>588</v>
      </c>
      <c r="G573" t="s">
        <v>589</v>
      </c>
      <c r="H573" t="s">
        <v>3619</v>
      </c>
      <c r="I573" t="s">
        <v>424</v>
      </c>
      <c r="J573">
        <v>-105</v>
      </c>
      <c r="K573">
        <v>-105</v>
      </c>
      <c r="L573">
        <v>-105</v>
      </c>
      <c r="M573">
        <v>0</v>
      </c>
      <c r="N573">
        <v>0</v>
      </c>
      <c r="O573" t="s">
        <v>108</v>
      </c>
      <c r="P573">
        <v>0</v>
      </c>
      <c r="Q573">
        <v>0</v>
      </c>
      <c r="R573">
        <v>0</v>
      </c>
      <c r="S573">
        <v>0</v>
      </c>
      <c r="T573">
        <v>0</v>
      </c>
      <c r="U573" t="s">
        <v>108</v>
      </c>
      <c r="V573">
        <f t="shared" si="24"/>
        <v>0</v>
      </c>
      <c r="W573">
        <f t="shared" si="25"/>
        <v>0</v>
      </c>
      <c r="X573">
        <f t="shared" si="26"/>
        <v>0</v>
      </c>
      <c r="Y573">
        <v>0</v>
      </c>
      <c r="Z573">
        <v>0</v>
      </c>
      <c r="AA573" t="s">
        <v>99</v>
      </c>
      <c r="AB573" t="s">
        <v>99</v>
      </c>
      <c r="AC573" t="s">
        <v>49</v>
      </c>
      <c r="AD573">
        <v>999</v>
      </c>
      <c r="AE573">
        <v>81</v>
      </c>
      <c r="AF573" t="s">
        <v>126</v>
      </c>
      <c r="AH573" t="s">
        <v>138</v>
      </c>
      <c r="AI573">
        <v>0</v>
      </c>
      <c r="AJ573" t="s">
        <v>52</v>
      </c>
      <c r="AK573" t="s">
        <v>588</v>
      </c>
      <c r="AL573" t="s">
        <v>592</v>
      </c>
      <c r="AM573" t="s">
        <v>68</v>
      </c>
      <c r="AN573" s="1">
        <v>45640</v>
      </c>
      <c r="AO573">
        <v>2024</v>
      </c>
      <c r="AP573">
        <v>12</v>
      </c>
      <c r="AQ573" t="s">
        <v>116</v>
      </c>
      <c r="AS573" t="s">
        <v>85</v>
      </c>
      <c r="AT573">
        <v>2025</v>
      </c>
      <c r="AU573" t="s">
        <v>589</v>
      </c>
      <c r="AV573" t="s">
        <v>68</v>
      </c>
      <c r="AW573" t="s">
        <v>3619</v>
      </c>
      <c r="AX573">
        <v>2025</v>
      </c>
      <c r="AY573" t="s">
        <v>3620</v>
      </c>
      <c r="AZ573" t="s">
        <v>3620</v>
      </c>
    </row>
    <row r="574" spans="1:52" x14ac:dyDescent="0.25">
      <c r="A574" t="s">
        <v>3621</v>
      </c>
      <c r="B574" s="1">
        <v>35263</v>
      </c>
      <c r="C574" t="s">
        <v>3622</v>
      </c>
      <c r="D574">
        <v>491500</v>
      </c>
      <c r="E574" t="s">
        <v>46</v>
      </c>
      <c r="F574" t="s">
        <v>338</v>
      </c>
      <c r="G574" t="s">
        <v>427</v>
      </c>
      <c r="H574" t="s">
        <v>3622</v>
      </c>
      <c r="I574" t="s">
        <v>367</v>
      </c>
      <c r="J574">
        <v>50</v>
      </c>
      <c r="K574">
        <v>-53</v>
      </c>
      <c r="L574">
        <v>-54</v>
      </c>
      <c r="M574">
        <v>50</v>
      </c>
      <c r="N574">
        <v>0</v>
      </c>
      <c r="O574" t="s">
        <v>55</v>
      </c>
      <c r="P574">
        <v>-60</v>
      </c>
      <c r="Q574">
        <v>60</v>
      </c>
      <c r="R574">
        <v>-63</v>
      </c>
      <c r="S574">
        <v>60</v>
      </c>
      <c r="T574">
        <v>0</v>
      </c>
      <c r="U574" t="s">
        <v>104</v>
      </c>
      <c r="V574">
        <f t="shared" si="24"/>
        <v>2</v>
      </c>
      <c r="W574">
        <f t="shared" si="25"/>
        <v>0</v>
      </c>
      <c r="X574">
        <f t="shared" si="26"/>
        <v>0</v>
      </c>
      <c r="Y574">
        <v>110</v>
      </c>
      <c r="Z574">
        <v>0</v>
      </c>
      <c r="AA574" t="s">
        <v>3624</v>
      </c>
      <c r="AB574" t="s">
        <v>99</v>
      </c>
      <c r="AC574" t="s">
        <v>64</v>
      </c>
      <c r="AD574">
        <v>7</v>
      </c>
      <c r="AE574">
        <v>59</v>
      </c>
      <c r="AF574" t="s">
        <v>126</v>
      </c>
      <c r="AH574" t="s">
        <v>202</v>
      </c>
      <c r="AI574">
        <v>151.87</v>
      </c>
      <c r="AJ574" t="s">
        <v>132</v>
      </c>
      <c r="AK574" t="s">
        <v>338</v>
      </c>
      <c r="AL574" t="s">
        <v>340</v>
      </c>
      <c r="AM574" t="s">
        <v>128</v>
      </c>
      <c r="AN574" s="1">
        <v>45640</v>
      </c>
      <c r="AO574">
        <v>2024</v>
      </c>
      <c r="AP574">
        <v>12</v>
      </c>
      <c r="AQ574" t="s">
        <v>116</v>
      </c>
      <c r="AS574" t="s">
        <v>85</v>
      </c>
      <c r="AT574">
        <v>2025</v>
      </c>
      <c r="AU574" t="s">
        <v>427</v>
      </c>
      <c r="AV574" t="s">
        <v>128</v>
      </c>
      <c r="AW574" t="s">
        <v>3622</v>
      </c>
      <c r="AX574">
        <v>2025</v>
      </c>
      <c r="AY574" t="s">
        <v>3623</v>
      </c>
      <c r="AZ574" t="s">
        <v>3625</v>
      </c>
    </row>
    <row r="575" spans="1:52" x14ac:dyDescent="0.25">
      <c r="A575" t="s">
        <v>3626</v>
      </c>
      <c r="B575" s="1">
        <v>29844</v>
      </c>
      <c r="C575" t="s">
        <v>3627</v>
      </c>
      <c r="D575">
        <v>413530</v>
      </c>
      <c r="E575" t="s">
        <v>46</v>
      </c>
      <c r="F575" t="s">
        <v>232</v>
      </c>
      <c r="G575" t="s">
        <v>258</v>
      </c>
      <c r="H575" t="s">
        <v>3627</v>
      </c>
      <c r="I575" t="s">
        <v>297</v>
      </c>
      <c r="J575">
        <v>53</v>
      </c>
      <c r="K575">
        <v>-57</v>
      </c>
      <c r="L575">
        <v>57</v>
      </c>
      <c r="M575">
        <v>57</v>
      </c>
      <c r="N575">
        <v>110</v>
      </c>
      <c r="O575" t="s">
        <v>65</v>
      </c>
      <c r="P575">
        <v>63</v>
      </c>
      <c r="Q575">
        <v>67</v>
      </c>
      <c r="R575">
        <v>-70</v>
      </c>
      <c r="S575">
        <v>67</v>
      </c>
      <c r="T575">
        <v>130</v>
      </c>
      <c r="U575" t="s">
        <v>60</v>
      </c>
      <c r="V575">
        <f t="shared" si="24"/>
        <v>4</v>
      </c>
      <c r="W575">
        <f t="shared" si="25"/>
        <v>0</v>
      </c>
      <c r="X575">
        <f t="shared" si="26"/>
        <v>0</v>
      </c>
      <c r="Y575">
        <v>124</v>
      </c>
      <c r="Z575">
        <v>240</v>
      </c>
      <c r="AA575" t="s">
        <v>3629</v>
      </c>
      <c r="AB575" t="s">
        <v>3630</v>
      </c>
      <c r="AC575" t="s">
        <v>64</v>
      </c>
      <c r="AD575">
        <v>7</v>
      </c>
      <c r="AE575">
        <v>71</v>
      </c>
      <c r="AF575" t="s">
        <v>126</v>
      </c>
      <c r="AG575">
        <v>40</v>
      </c>
      <c r="AH575" t="s">
        <v>226</v>
      </c>
      <c r="AI575">
        <v>152.52000000000001</v>
      </c>
      <c r="AJ575" t="s">
        <v>132</v>
      </c>
      <c r="AK575" t="s">
        <v>232</v>
      </c>
      <c r="AL575" t="s">
        <v>236</v>
      </c>
      <c r="AM575" t="s">
        <v>128</v>
      </c>
      <c r="AN575" s="1">
        <v>45640</v>
      </c>
      <c r="AO575">
        <v>2024</v>
      </c>
      <c r="AP575">
        <v>12</v>
      </c>
      <c r="AQ575" t="s">
        <v>116</v>
      </c>
      <c r="AS575" t="s">
        <v>85</v>
      </c>
      <c r="AT575">
        <v>2025</v>
      </c>
      <c r="AU575" t="s">
        <v>258</v>
      </c>
      <c r="AV575" t="s">
        <v>128</v>
      </c>
      <c r="AW575" t="s">
        <v>3627</v>
      </c>
      <c r="AX575">
        <v>2025</v>
      </c>
      <c r="AY575" t="s">
        <v>3628</v>
      </c>
      <c r="AZ575" t="s">
        <v>3628</v>
      </c>
    </row>
    <row r="576" spans="1:52" x14ac:dyDescent="0.25">
      <c r="A576" t="s">
        <v>3631</v>
      </c>
      <c r="B576" s="1">
        <v>41129</v>
      </c>
      <c r="C576" t="s">
        <v>3632</v>
      </c>
      <c r="D576">
        <v>452223</v>
      </c>
      <c r="E576" t="s">
        <v>46</v>
      </c>
      <c r="F576" t="s">
        <v>1788</v>
      </c>
      <c r="G576" t="s">
        <v>335</v>
      </c>
      <c r="H576" t="s">
        <v>3632</v>
      </c>
      <c r="I576">
        <v>35</v>
      </c>
      <c r="J576">
        <v>-26</v>
      </c>
      <c r="K576">
        <v>26</v>
      </c>
      <c r="L576">
        <v>-27</v>
      </c>
      <c r="M576">
        <v>26</v>
      </c>
      <c r="N576">
        <v>0</v>
      </c>
      <c r="O576" t="s">
        <v>104</v>
      </c>
      <c r="P576">
        <v>33</v>
      </c>
      <c r="Q576">
        <v>35</v>
      </c>
      <c r="R576">
        <v>37</v>
      </c>
      <c r="S576">
        <v>37</v>
      </c>
      <c r="T576">
        <v>72</v>
      </c>
      <c r="U576" t="s">
        <v>48</v>
      </c>
      <c r="V576">
        <f t="shared" si="24"/>
        <v>4</v>
      </c>
      <c r="W576">
        <f t="shared" si="25"/>
        <v>0</v>
      </c>
      <c r="X576">
        <f t="shared" si="26"/>
        <v>0</v>
      </c>
      <c r="Y576">
        <v>63</v>
      </c>
      <c r="Z576">
        <v>72</v>
      </c>
      <c r="AA576" t="s">
        <v>3633</v>
      </c>
      <c r="AB576" t="s">
        <v>3634</v>
      </c>
      <c r="AC576" t="s">
        <v>49</v>
      </c>
      <c r="AD576">
        <v>999</v>
      </c>
      <c r="AE576">
        <v>35</v>
      </c>
      <c r="AF576" t="s">
        <v>50</v>
      </c>
      <c r="AH576" t="s">
        <v>450</v>
      </c>
      <c r="AI576">
        <v>0</v>
      </c>
      <c r="AJ576" t="s">
        <v>132</v>
      </c>
      <c r="AK576" t="s">
        <v>1788</v>
      </c>
      <c r="AL576" t="s">
        <v>1791</v>
      </c>
      <c r="AM576" t="s">
        <v>128</v>
      </c>
      <c r="AN576" s="1">
        <v>45641</v>
      </c>
      <c r="AO576">
        <v>2024</v>
      </c>
      <c r="AP576">
        <v>12</v>
      </c>
      <c r="AQ576" t="s">
        <v>116</v>
      </c>
      <c r="AS576" t="s">
        <v>85</v>
      </c>
      <c r="AT576">
        <v>2025</v>
      </c>
      <c r="AU576" t="s">
        <v>335</v>
      </c>
      <c r="AV576" t="s">
        <v>128</v>
      </c>
      <c r="AW576" t="s">
        <v>3632</v>
      </c>
      <c r="AX576">
        <v>2025</v>
      </c>
      <c r="AY576" t="s">
        <v>3633</v>
      </c>
      <c r="AZ576" t="s">
        <v>3633</v>
      </c>
    </row>
    <row r="577" spans="1:52" x14ac:dyDescent="0.25">
      <c r="A577" t="s">
        <v>3681</v>
      </c>
      <c r="B577" s="1">
        <v>41620</v>
      </c>
      <c r="C577" t="s">
        <v>3682</v>
      </c>
      <c r="D577">
        <v>492404</v>
      </c>
      <c r="E577" t="s">
        <v>46</v>
      </c>
      <c r="F577" t="s">
        <v>2029</v>
      </c>
      <c r="G577" t="s">
        <v>594</v>
      </c>
      <c r="H577" t="s">
        <v>3682</v>
      </c>
      <c r="I577" t="s">
        <v>475</v>
      </c>
      <c r="J577">
        <v>31</v>
      </c>
      <c r="K577">
        <v>33</v>
      </c>
      <c r="L577">
        <v>35</v>
      </c>
      <c r="M577">
        <v>35</v>
      </c>
      <c r="N577">
        <v>68</v>
      </c>
      <c r="O577" t="s">
        <v>48</v>
      </c>
      <c r="P577">
        <v>43</v>
      </c>
      <c r="Q577">
        <v>45</v>
      </c>
      <c r="R577">
        <v>47</v>
      </c>
      <c r="S577">
        <v>47</v>
      </c>
      <c r="T577">
        <v>92</v>
      </c>
      <c r="U577" t="s">
        <v>48</v>
      </c>
      <c r="V577">
        <f t="shared" si="24"/>
        <v>6</v>
      </c>
      <c r="W577">
        <f t="shared" si="25"/>
        <v>0</v>
      </c>
      <c r="X577">
        <f t="shared" si="26"/>
        <v>0</v>
      </c>
      <c r="Y577">
        <v>82</v>
      </c>
      <c r="Z577">
        <v>160</v>
      </c>
      <c r="AA577" t="s">
        <v>3683</v>
      </c>
      <c r="AB577" t="s">
        <v>3684</v>
      </c>
      <c r="AC577" t="s">
        <v>49</v>
      </c>
      <c r="AD577">
        <v>999</v>
      </c>
      <c r="AE577">
        <v>64</v>
      </c>
      <c r="AF577" t="s">
        <v>50</v>
      </c>
      <c r="AH577" t="s">
        <v>131</v>
      </c>
      <c r="AI577">
        <v>209.22</v>
      </c>
      <c r="AJ577" t="s">
        <v>132</v>
      </c>
      <c r="AK577" t="s">
        <v>2029</v>
      </c>
      <c r="AL577" t="s">
        <v>2032</v>
      </c>
      <c r="AM577" t="s">
        <v>170</v>
      </c>
      <c r="AN577" s="1">
        <v>45641</v>
      </c>
      <c r="AO577">
        <v>2024</v>
      </c>
      <c r="AP577">
        <v>12</v>
      </c>
      <c r="AQ577" t="s">
        <v>116</v>
      </c>
      <c r="AS577" t="s">
        <v>85</v>
      </c>
      <c r="AT577">
        <v>2025</v>
      </c>
      <c r="AU577" t="s">
        <v>594</v>
      </c>
      <c r="AV577" t="s">
        <v>170</v>
      </c>
      <c r="AW577" t="s">
        <v>3682</v>
      </c>
      <c r="AX577">
        <v>2025</v>
      </c>
      <c r="AY577" t="s">
        <v>3683</v>
      </c>
      <c r="AZ577" t="s">
        <v>3683</v>
      </c>
    </row>
    <row r="578" spans="1:52" x14ac:dyDescent="0.25">
      <c r="A578" t="s">
        <v>3636</v>
      </c>
      <c r="B578" s="1">
        <v>42071</v>
      </c>
      <c r="C578" t="s">
        <v>3637</v>
      </c>
      <c r="D578">
        <v>475162</v>
      </c>
      <c r="E578" t="s">
        <v>46</v>
      </c>
      <c r="F578" t="s">
        <v>1788</v>
      </c>
      <c r="G578" t="s">
        <v>335</v>
      </c>
      <c r="H578" t="s">
        <v>3637</v>
      </c>
      <c r="I578" t="s">
        <v>2744</v>
      </c>
      <c r="J578">
        <v>17</v>
      </c>
      <c r="K578">
        <v>18</v>
      </c>
      <c r="L578">
        <v>-19</v>
      </c>
      <c r="M578">
        <v>18</v>
      </c>
      <c r="N578">
        <v>35</v>
      </c>
      <c r="O578" t="s">
        <v>60</v>
      </c>
      <c r="P578">
        <v>24</v>
      </c>
      <c r="Q578">
        <v>25</v>
      </c>
      <c r="R578">
        <v>-26</v>
      </c>
      <c r="S578">
        <v>25</v>
      </c>
      <c r="T578">
        <v>49</v>
      </c>
      <c r="U578" t="s">
        <v>60</v>
      </c>
      <c r="V578">
        <f t="shared" si="24"/>
        <v>4</v>
      </c>
      <c r="W578">
        <f t="shared" si="25"/>
        <v>0</v>
      </c>
      <c r="X578">
        <f t="shared" si="26"/>
        <v>0</v>
      </c>
      <c r="Y578">
        <v>43</v>
      </c>
      <c r="Z578">
        <v>84</v>
      </c>
      <c r="AA578" t="s">
        <v>3639</v>
      </c>
      <c r="AB578" t="s">
        <v>3640</v>
      </c>
      <c r="AC578" t="s">
        <v>49</v>
      </c>
      <c r="AD578">
        <v>999</v>
      </c>
      <c r="AE578" t="s">
        <v>190</v>
      </c>
      <c r="AF578" t="s">
        <v>80</v>
      </c>
      <c r="AH578" t="s">
        <v>191</v>
      </c>
      <c r="AI578">
        <v>176.07</v>
      </c>
      <c r="AJ578" t="s">
        <v>132</v>
      </c>
      <c r="AK578" t="s">
        <v>1788</v>
      </c>
      <c r="AL578" t="s">
        <v>1791</v>
      </c>
      <c r="AM578" t="s">
        <v>128</v>
      </c>
      <c r="AN578" s="1">
        <v>45641</v>
      </c>
      <c r="AO578">
        <v>2024</v>
      </c>
      <c r="AP578">
        <v>12</v>
      </c>
      <c r="AQ578" t="s">
        <v>116</v>
      </c>
      <c r="AS578" t="s">
        <v>85</v>
      </c>
      <c r="AT578">
        <v>2025</v>
      </c>
      <c r="AU578" t="s">
        <v>335</v>
      </c>
      <c r="AV578" t="s">
        <v>128</v>
      </c>
      <c r="AW578" t="s">
        <v>3637</v>
      </c>
      <c r="AX578">
        <v>2025</v>
      </c>
      <c r="AY578" t="s">
        <v>3638</v>
      </c>
      <c r="AZ578" t="s">
        <v>3638</v>
      </c>
    </row>
    <row r="579" spans="1:52" x14ac:dyDescent="0.25">
      <c r="A579" t="s">
        <v>3641</v>
      </c>
      <c r="B579" s="1">
        <v>33689</v>
      </c>
      <c r="C579" t="s">
        <v>3642</v>
      </c>
      <c r="D579">
        <v>468722</v>
      </c>
      <c r="E579" t="s">
        <v>46</v>
      </c>
      <c r="F579" t="s">
        <v>710</v>
      </c>
      <c r="G579" t="s">
        <v>335</v>
      </c>
      <c r="H579" t="s">
        <v>3642</v>
      </c>
      <c r="I579">
        <v>88</v>
      </c>
      <c r="J579">
        <v>103</v>
      </c>
      <c r="K579">
        <v>107</v>
      </c>
      <c r="L579">
        <v>-110</v>
      </c>
      <c r="M579">
        <v>107</v>
      </c>
      <c r="N579">
        <v>210</v>
      </c>
      <c r="O579" t="s">
        <v>60</v>
      </c>
      <c r="P579">
        <v>-132</v>
      </c>
      <c r="Q579">
        <v>-132</v>
      </c>
      <c r="R579">
        <v>-133</v>
      </c>
      <c r="S579">
        <v>0</v>
      </c>
      <c r="T579">
        <v>0</v>
      </c>
      <c r="U579" t="s">
        <v>108</v>
      </c>
      <c r="V579">
        <f t="shared" ref="V579:V642" si="27">IF(O579="OOO",3,IF(O579="XXX",0,IF(OR(O579="OOX",O579="OXO",O579="XOO"),2,1)))+IF(U579="OOO",3,IF(U579="XXX",0,IF(OR(U579="OOX",U579="OXO",U579="XOO"),2,1)))</f>
        <v>2</v>
      </c>
      <c r="W579">
        <f t="shared" ref="W579:W642" si="28">IF(OR(O579="XXO",U579="XXO"),1,0)</f>
        <v>0</v>
      </c>
      <c r="X579">
        <f t="shared" ref="X579:X642" si="29">IF(AND(O579="XXO",U579="XXO"),1,0)</f>
        <v>0</v>
      </c>
      <c r="Y579">
        <v>107</v>
      </c>
      <c r="Z579">
        <v>210</v>
      </c>
      <c r="AA579" t="s">
        <v>3644</v>
      </c>
      <c r="AB579" t="s">
        <v>3645</v>
      </c>
      <c r="AC579" t="s">
        <v>49</v>
      </c>
      <c r="AD579">
        <v>999</v>
      </c>
      <c r="AE579">
        <v>89</v>
      </c>
      <c r="AF579" t="s">
        <v>126</v>
      </c>
      <c r="AH579" t="s">
        <v>155</v>
      </c>
      <c r="AI579">
        <v>0</v>
      </c>
      <c r="AJ579" t="s">
        <v>52</v>
      </c>
      <c r="AK579" t="s">
        <v>710</v>
      </c>
      <c r="AL579" t="s">
        <v>712</v>
      </c>
      <c r="AM579" t="s">
        <v>128</v>
      </c>
      <c r="AN579" s="1">
        <v>45640</v>
      </c>
      <c r="AO579">
        <v>2024</v>
      </c>
      <c r="AP579">
        <v>12</v>
      </c>
      <c r="AQ579" t="s">
        <v>116</v>
      </c>
      <c r="AS579" t="s">
        <v>85</v>
      </c>
      <c r="AT579">
        <v>2025</v>
      </c>
      <c r="AU579" t="s">
        <v>335</v>
      </c>
      <c r="AV579" t="s">
        <v>128</v>
      </c>
      <c r="AW579" t="s">
        <v>3642</v>
      </c>
      <c r="AX579">
        <v>2025</v>
      </c>
      <c r="AY579" t="s">
        <v>3643</v>
      </c>
      <c r="AZ579" t="s">
        <v>3643</v>
      </c>
    </row>
    <row r="580" spans="1:52" x14ac:dyDescent="0.25">
      <c r="A580" t="s">
        <v>3646</v>
      </c>
      <c r="B580" s="1">
        <v>35710</v>
      </c>
      <c r="C580" t="s">
        <v>3647</v>
      </c>
      <c r="D580">
        <v>473765</v>
      </c>
      <c r="E580" t="s">
        <v>2385</v>
      </c>
      <c r="F580" t="s">
        <v>1400</v>
      </c>
      <c r="G580" t="s">
        <v>124</v>
      </c>
      <c r="H580" t="s">
        <v>3647</v>
      </c>
      <c r="I580" t="s">
        <v>220</v>
      </c>
      <c r="J580">
        <v>-95</v>
      </c>
      <c r="K580">
        <v>95</v>
      </c>
      <c r="L580">
        <v>100</v>
      </c>
      <c r="M580">
        <v>100</v>
      </c>
      <c r="N580">
        <v>195</v>
      </c>
      <c r="O580" t="s">
        <v>63</v>
      </c>
      <c r="P580">
        <v>125</v>
      </c>
      <c r="Q580">
        <v>130</v>
      </c>
      <c r="R580">
        <v>-136</v>
      </c>
      <c r="S580">
        <v>130</v>
      </c>
      <c r="T580">
        <v>255</v>
      </c>
      <c r="U580" t="s">
        <v>60</v>
      </c>
      <c r="V580">
        <f t="shared" si="27"/>
        <v>4</v>
      </c>
      <c r="W580">
        <f t="shared" si="28"/>
        <v>0</v>
      </c>
      <c r="X580">
        <f t="shared" si="29"/>
        <v>0</v>
      </c>
      <c r="Y580">
        <v>230</v>
      </c>
      <c r="Z580">
        <v>450</v>
      </c>
      <c r="AA580" t="s">
        <v>3649</v>
      </c>
      <c r="AB580" t="s">
        <v>3650</v>
      </c>
      <c r="AC580" t="s">
        <v>93</v>
      </c>
      <c r="AD580">
        <v>6</v>
      </c>
      <c r="AE580">
        <v>81</v>
      </c>
      <c r="AF580" t="s">
        <v>126</v>
      </c>
      <c r="AH580" t="s">
        <v>138</v>
      </c>
      <c r="AI580">
        <v>300.57</v>
      </c>
      <c r="AJ580" t="s">
        <v>52</v>
      </c>
      <c r="AK580" t="s">
        <v>1400</v>
      </c>
      <c r="AL580" t="s">
        <v>1402</v>
      </c>
      <c r="AM580" t="s">
        <v>128</v>
      </c>
      <c r="AN580" s="1">
        <v>45640</v>
      </c>
      <c r="AO580">
        <v>2024</v>
      </c>
      <c r="AP580">
        <v>12</v>
      </c>
      <c r="AQ580" t="s">
        <v>116</v>
      </c>
      <c r="AS580" t="s">
        <v>85</v>
      </c>
      <c r="AT580">
        <v>2025</v>
      </c>
      <c r="AU580" t="s">
        <v>124</v>
      </c>
      <c r="AV580" t="s">
        <v>128</v>
      </c>
      <c r="AW580" t="s">
        <v>3647</v>
      </c>
      <c r="AX580">
        <v>2025</v>
      </c>
      <c r="AY580" t="s">
        <v>3648</v>
      </c>
      <c r="AZ580" t="s">
        <v>3649</v>
      </c>
    </row>
    <row r="581" spans="1:52" x14ac:dyDescent="0.25">
      <c r="A581" t="s">
        <v>3651</v>
      </c>
      <c r="B581" s="1">
        <v>41386</v>
      </c>
      <c r="C581" t="s">
        <v>3652</v>
      </c>
      <c r="D581">
        <v>475704</v>
      </c>
      <c r="E581" t="s">
        <v>46</v>
      </c>
      <c r="F581" t="s">
        <v>199</v>
      </c>
      <c r="G581" t="s">
        <v>535</v>
      </c>
      <c r="H581" t="s">
        <v>3652</v>
      </c>
      <c r="I581" t="s">
        <v>1133</v>
      </c>
      <c r="J581">
        <v>26</v>
      </c>
      <c r="K581">
        <v>28</v>
      </c>
      <c r="L581">
        <v>30</v>
      </c>
      <c r="M581">
        <v>30</v>
      </c>
      <c r="N581">
        <v>58</v>
      </c>
      <c r="O581" t="s">
        <v>48</v>
      </c>
      <c r="P581">
        <v>36</v>
      </c>
      <c r="Q581">
        <v>38</v>
      </c>
      <c r="R581">
        <v>40</v>
      </c>
      <c r="S581">
        <v>40</v>
      </c>
      <c r="T581">
        <v>78</v>
      </c>
      <c r="U581" t="s">
        <v>48</v>
      </c>
      <c r="V581">
        <f t="shared" si="27"/>
        <v>6</v>
      </c>
      <c r="W581">
        <f t="shared" si="28"/>
        <v>0</v>
      </c>
      <c r="X581">
        <f t="shared" si="29"/>
        <v>0</v>
      </c>
      <c r="Y581">
        <v>70</v>
      </c>
      <c r="Z581">
        <v>136</v>
      </c>
      <c r="AA581" t="s">
        <v>1374</v>
      </c>
      <c r="AB581" t="s">
        <v>1567</v>
      </c>
      <c r="AC581" t="s">
        <v>49</v>
      </c>
      <c r="AD581">
        <v>999</v>
      </c>
      <c r="AE581">
        <v>45</v>
      </c>
      <c r="AF581" t="s">
        <v>50</v>
      </c>
      <c r="AH581" t="s">
        <v>206</v>
      </c>
      <c r="AI581">
        <v>230.44</v>
      </c>
      <c r="AJ581" t="s">
        <v>132</v>
      </c>
      <c r="AK581" t="s">
        <v>199</v>
      </c>
      <c r="AL581" t="s">
        <v>203</v>
      </c>
      <c r="AM581" t="s">
        <v>53</v>
      </c>
      <c r="AN581" s="1">
        <v>45640</v>
      </c>
      <c r="AO581">
        <v>2024</v>
      </c>
      <c r="AP581">
        <v>12</v>
      </c>
      <c r="AQ581" t="s">
        <v>116</v>
      </c>
      <c r="AS581" t="s">
        <v>85</v>
      </c>
      <c r="AT581">
        <v>2025</v>
      </c>
      <c r="AU581" t="s">
        <v>535</v>
      </c>
      <c r="AV581" t="s">
        <v>54</v>
      </c>
      <c r="AW581" t="s">
        <v>3652</v>
      </c>
      <c r="AX581">
        <v>2025</v>
      </c>
      <c r="AY581" t="s">
        <v>1374</v>
      </c>
      <c r="AZ581" t="s">
        <v>1374</v>
      </c>
    </row>
    <row r="582" spans="1:52" x14ac:dyDescent="0.25">
      <c r="A582" t="s">
        <v>3653</v>
      </c>
      <c r="B582" s="1">
        <v>31223</v>
      </c>
      <c r="C582" t="s">
        <v>3654</v>
      </c>
      <c r="D582">
        <v>465913</v>
      </c>
      <c r="E582" t="s">
        <v>46</v>
      </c>
      <c r="F582" t="s">
        <v>582</v>
      </c>
      <c r="G582" t="s">
        <v>168</v>
      </c>
      <c r="H582" t="s">
        <v>3654</v>
      </c>
      <c r="I582">
        <v>89</v>
      </c>
      <c r="J582">
        <v>92</v>
      </c>
      <c r="K582">
        <v>97</v>
      </c>
      <c r="L582">
        <v>100</v>
      </c>
      <c r="M582">
        <v>100</v>
      </c>
      <c r="N582">
        <v>197</v>
      </c>
      <c r="O582" t="s">
        <v>48</v>
      </c>
      <c r="P582">
        <v>125</v>
      </c>
      <c r="Q582">
        <v>-130</v>
      </c>
      <c r="R582">
        <v>130</v>
      </c>
      <c r="S582">
        <v>130</v>
      </c>
      <c r="T582">
        <v>255</v>
      </c>
      <c r="U582" t="s">
        <v>65</v>
      </c>
      <c r="V582">
        <f t="shared" si="27"/>
        <v>5</v>
      </c>
      <c r="W582">
        <f t="shared" si="28"/>
        <v>0</v>
      </c>
      <c r="X582">
        <f t="shared" si="29"/>
        <v>0</v>
      </c>
      <c r="Y582">
        <v>230</v>
      </c>
      <c r="Z582">
        <v>452</v>
      </c>
      <c r="AA582" t="s">
        <v>2231</v>
      </c>
      <c r="AB582" t="s">
        <v>3659</v>
      </c>
      <c r="AC582" t="s">
        <v>93</v>
      </c>
      <c r="AD582">
        <v>6</v>
      </c>
      <c r="AE582">
        <v>89</v>
      </c>
      <c r="AF582" t="s">
        <v>126</v>
      </c>
      <c r="AG582">
        <v>40</v>
      </c>
      <c r="AH582" t="s">
        <v>155</v>
      </c>
      <c r="AI582">
        <v>278.01</v>
      </c>
      <c r="AJ582" t="s">
        <v>52</v>
      </c>
      <c r="AK582" t="s">
        <v>582</v>
      </c>
      <c r="AL582" t="s">
        <v>585</v>
      </c>
      <c r="AM582" t="s">
        <v>170</v>
      </c>
      <c r="AN582" s="1">
        <v>45640</v>
      </c>
      <c r="AO582">
        <v>2024</v>
      </c>
      <c r="AP582">
        <v>12</v>
      </c>
      <c r="AQ582" t="s">
        <v>116</v>
      </c>
      <c r="AS582" t="s">
        <v>85</v>
      </c>
      <c r="AT582">
        <v>2025</v>
      </c>
      <c r="AU582" t="s">
        <v>168</v>
      </c>
      <c r="AV582" t="s">
        <v>170</v>
      </c>
      <c r="AW582" t="s">
        <v>3654</v>
      </c>
      <c r="AX582">
        <v>2025</v>
      </c>
      <c r="AY582" t="s">
        <v>3655</v>
      </c>
      <c r="AZ582" t="s">
        <v>3656</v>
      </c>
    </row>
    <row r="583" spans="1:52" x14ac:dyDescent="0.25">
      <c r="A583" t="s">
        <v>3666</v>
      </c>
      <c r="B583" s="1">
        <v>31413</v>
      </c>
      <c r="C583" t="s">
        <v>3667</v>
      </c>
      <c r="D583">
        <v>478608</v>
      </c>
      <c r="E583" t="s">
        <v>46</v>
      </c>
      <c r="F583" t="s">
        <v>1400</v>
      </c>
      <c r="G583" t="s">
        <v>606</v>
      </c>
      <c r="H583" t="s">
        <v>3667</v>
      </c>
      <c r="I583">
        <v>81</v>
      </c>
      <c r="J583">
        <v>100</v>
      </c>
      <c r="K583">
        <v>-105</v>
      </c>
      <c r="L583">
        <v>-110</v>
      </c>
      <c r="M583">
        <v>100</v>
      </c>
      <c r="N583">
        <v>0</v>
      </c>
      <c r="O583" t="s">
        <v>55</v>
      </c>
      <c r="P583">
        <v>115</v>
      </c>
      <c r="Q583">
        <v>120</v>
      </c>
      <c r="R583">
        <v>123</v>
      </c>
      <c r="S583">
        <v>123</v>
      </c>
      <c r="T583">
        <v>243</v>
      </c>
      <c r="U583" t="s">
        <v>48</v>
      </c>
      <c r="V583">
        <f t="shared" si="27"/>
        <v>4</v>
      </c>
      <c r="W583">
        <f t="shared" si="28"/>
        <v>0</v>
      </c>
      <c r="X583">
        <f t="shared" si="29"/>
        <v>0</v>
      </c>
      <c r="Y583">
        <v>223</v>
      </c>
      <c r="Z583">
        <v>243</v>
      </c>
      <c r="AA583" t="s">
        <v>3668</v>
      </c>
      <c r="AB583" t="s">
        <v>3669</v>
      </c>
      <c r="AC583" t="s">
        <v>93</v>
      </c>
      <c r="AD583">
        <v>6</v>
      </c>
      <c r="AE583">
        <v>81</v>
      </c>
      <c r="AF583" t="s">
        <v>126</v>
      </c>
      <c r="AG583">
        <v>35</v>
      </c>
      <c r="AH583" t="s">
        <v>138</v>
      </c>
      <c r="AI583">
        <v>283.01</v>
      </c>
      <c r="AJ583" t="s">
        <v>52</v>
      </c>
      <c r="AK583" t="s">
        <v>1400</v>
      </c>
      <c r="AL583" t="s">
        <v>1402</v>
      </c>
      <c r="AM583" t="s">
        <v>128</v>
      </c>
      <c r="AN583" s="1">
        <v>45640</v>
      </c>
      <c r="AO583">
        <v>2024</v>
      </c>
      <c r="AP583">
        <v>12</v>
      </c>
      <c r="AQ583" t="s">
        <v>116</v>
      </c>
      <c r="AS583" t="s">
        <v>85</v>
      </c>
      <c r="AT583">
        <v>2025</v>
      </c>
      <c r="AU583" t="s">
        <v>606</v>
      </c>
      <c r="AV583" t="s">
        <v>128</v>
      </c>
      <c r="AW583" t="s">
        <v>3667</v>
      </c>
      <c r="AX583">
        <v>2025</v>
      </c>
      <c r="AY583" t="s">
        <v>2313</v>
      </c>
      <c r="AZ583" t="s">
        <v>2313</v>
      </c>
    </row>
    <row r="584" spans="1:52" x14ac:dyDescent="0.25">
      <c r="A584" t="s">
        <v>3661</v>
      </c>
      <c r="B584" s="1">
        <v>32466</v>
      </c>
      <c r="C584" t="s">
        <v>3662</v>
      </c>
      <c r="D584">
        <v>461759</v>
      </c>
      <c r="E584" t="s">
        <v>46</v>
      </c>
      <c r="F584" t="s">
        <v>1173</v>
      </c>
      <c r="G584" t="s">
        <v>538</v>
      </c>
      <c r="H584" t="s">
        <v>3662</v>
      </c>
      <c r="I584" t="s">
        <v>527</v>
      </c>
      <c r="J584">
        <v>70</v>
      </c>
      <c r="K584">
        <v>74</v>
      </c>
      <c r="L584">
        <v>-78</v>
      </c>
      <c r="M584">
        <v>74</v>
      </c>
      <c r="N584">
        <v>144</v>
      </c>
      <c r="O584" t="s">
        <v>60</v>
      </c>
      <c r="P584">
        <v>90</v>
      </c>
      <c r="Q584">
        <v>95</v>
      </c>
      <c r="R584">
        <v>-100</v>
      </c>
      <c r="S584">
        <v>95</v>
      </c>
      <c r="T584">
        <v>185</v>
      </c>
      <c r="U584" t="s">
        <v>60</v>
      </c>
      <c r="V584">
        <f t="shared" si="27"/>
        <v>4</v>
      </c>
      <c r="W584">
        <f t="shared" si="28"/>
        <v>0</v>
      </c>
      <c r="X584">
        <f t="shared" si="29"/>
        <v>0</v>
      </c>
      <c r="Y584">
        <v>169</v>
      </c>
      <c r="Z584">
        <v>329</v>
      </c>
      <c r="AA584" t="s">
        <v>3663</v>
      </c>
      <c r="AB584" t="s">
        <v>3664</v>
      </c>
      <c r="AC584" t="s">
        <v>94</v>
      </c>
      <c r="AD584">
        <v>4</v>
      </c>
      <c r="AE584">
        <v>59</v>
      </c>
      <c r="AF584" t="s">
        <v>126</v>
      </c>
      <c r="AG584">
        <v>35</v>
      </c>
      <c r="AH584" t="s">
        <v>202</v>
      </c>
      <c r="AI584">
        <v>232.48</v>
      </c>
      <c r="AJ584" t="s">
        <v>132</v>
      </c>
      <c r="AK584" t="s">
        <v>1173</v>
      </c>
      <c r="AL584" t="s">
        <v>1177</v>
      </c>
      <c r="AM584" t="s">
        <v>173</v>
      </c>
      <c r="AN584" s="1">
        <v>45641</v>
      </c>
      <c r="AO584">
        <v>2024</v>
      </c>
      <c r="AP584">
        <v>12</v>
      </c>
      <c r="AQ584" t="s">
        <v>116</v>
      </c>
      <c r="AS584" t="s">
        <v>85</v>
      </c>
      <c r="AT584">
        <v>2025</v>
      </c>
      <c r="AU584" t="s">
        <v>538</v>
      </c>
      <c r="AV584" t="s">
        <v>173</v>
      </c>
      <c r="AW584" t="s">
        <v>3662</v>
      </c>
      <c r="AX584">
        <v>2025</v>
      </c>
      <c r="AY584" t="s">
        <v>3447</v>
      </c>
      <c r="AZ584" t="s">
        <v>3663</v>
      </c>
    </row>
    <row r="585" spans="1:52" x14ac:dyDescent="0.25">
      <c r="A585" t="s">
        <v>3670</v>
      </c>
      <c r="B585" s="1">
        <v>41029</v>
      </c>
      <c r="C585" t="s">
        <v>3671</v>
      </c>
      <c r="D585">
        <v>475795</v>
      </c>
      <c r="E585" t="s">
        <v>46</v>
      </c>
      <c r="F585" t="s">
        <v>867</v>
      </c>
      <c r="G585" t="s">
        <v>255</v>
      </c>
      <c r="H585" t="s">
        <v>3671</v>
      </c>
      <c r="I585" t="s">
        <v>2550</v>
      </c>
      <c r="J585">
        <v>40</v>
      </c>
      <c r="K585">
        <v>-42</v>
      </c>
      <c r="L585">
        <v>42</v>
      </c>
      <c r="M585">
        <v>42</v>
      </c>
      <c r="N585">
        <v>82</v>
      </c>
      <c r="O585" t="s">
        <v>65</v>
      </c>
      <c r="P585">
        <v>50</v>
      </c>
      <c r="Q585">
        <v>52</v>
      </c>
      <c r="R585">
        <v>54</v>
      </c>
      <c r="S585">
        <v>54</v>
      </c>
      <c r="T585">
        <v>106</v>
      </c>
      <c r="U585" t="s">
        <v>48</v>
      </c>
      <c r="V585">
        <f t="shared" si="27"/>
        <v>5</v>
      </c>
      <c r="W585">
        <f t="shared" si="28"/>
        <v>0</v>
      </c>
      <c r="X585">
        <f t="shared" si="29"/>
        <v>0</v>
      </c>
      <c r="Y585">
        <v>96</v>
      </c>
      <c r="Z585">
        <v>188</v>
      </c>
      <c r="AA585" t="s">
        <v>3673</v>
      </c>
      <c r="AB585" t="s">
        <v>3674</v>
      </c>
      <c r="AC585" t="s">
        <v>49</v>
      </c>
      <c r="AD585">
        <v>999</v>
      </c>
      <c r="AE585" t="s">
        <v>873</v>
      </c>
      <c r="AF585" t="s">
        <v>50</v>
      </c>
      <c r="AH585" t="s">
        <v>874</v>
      </c>
      <c r="AI585">
        <v>193.87</v>
      </c>
      <c r="AJ585" t="s">
        <v>132</v>
      </c>
      <c r="AK585" t="s">
        <v>867</v>
      </c>
      <c r="AL585" t="s">
        <v>869</v>
      </c>
      <c r="AM585" t="s">
        <v>68</v>
      </c>
      <c r="AN585" s="1">
        <v>45641</v>
      </c>
      <c r="AO585">
        <v>2024</v>
      </c>
      <c r="AP585">
        <v>12</v>
      </c>
      <c r="AQ585" t="s">
        <v>116</v>
      </c>
      <c r="AS585" t="s">
        <v>85</v>
      </c>
      <c r="AT585">
        <v>2025</v>
      </c>
      <c r="AU585" t="s">
        <v>255</v>
      </c>
      <c r="AV585" t="s">
        <v>68</v>
      </c>
      <c r="AW585" t="s">
        <v>3671</v>
      </c>
      <c r="AX585">
        <v>2025</v>
      </c>
      <c r="AY585" t="s">
        <v>3672</v>
      </c>
      <c r="AZ585" t="s">
        <v>3672</v>
      </c>
    </row>
    <row r="586" spans="1:52" x14ac:dyDescent="0.25">
      <c r="A586" t="s">
        <v>3675</v>
      </c>
      <c r="B586" s="1">
        <v>40861</v>
      </c>
      <c r="C586" t="s">
        <v>3676</v>
      </c>
      <c r="D586">
        <v>497391</v>
      </c>
      <c r="E586" t="s">
        <v>46</v>
      </c>
      <c r="F586" t="s">
        <v>456</v>
      </c>
      <c r="G586" t="s">
        <v>2051</v>
      </c>
      <c r="H586" t="s">
        <v>3676</v>
      </c>
      <c r="I586" t="s">
        <v>3085</v>
      </c>
      <c r="J586">
        <v>33</v>
      </c>
      <c r="K586">
        <v>-36</v>
      </c>
      <c r="L586">
        <v>36</v>
      </c>
      <c r="M586">
        <v>36</v>
      </c>
      <c r="N586">
        <v>69</v>
      </c>
      <c r="O586" t="s">
        <v>65</v>
      </c>
      <c r="P586">
        <v>-46</v>
      </c>
      <c r="Q586">
        <v>46</v>
      </c>
      <c r="R586">
        <v>0</v>
      </c>
      <c r="S586">
        <v>46</v>
      </c>
      <c r="T586">
        <v>0</v>
      </c>
      <c r="U586" t="s">
        <v>104</v>
      </c>
      <c r="V586">
        <f t="shared" si="27"/>
        <v>3</v>
      </c>
      <c r="W586">
        <f t="shared" si="28"/>
        <v>0</v>
      </c>
      <c r="X586">
        <f t="shared" si="29"/>
        <v>0</v>
      </c>
      <c r="Y586">
        <v>82</v>
      </c>
      <c r="Z586">
        <v>69</v>
      </c>
      <c r="AA586" t="s">
        <v>3678</v>
      </c>
      <c r="AB586" t="s">
        <v>3679</v>
      </c>
      <c r="AC586" t="s">
        <v>94</v>
      </c>
      <c r="AD586">
        <v>4</v>
      </c>
      <c r="AE586">
        <v>45</v>
      </c>
      <c r="AF586" t="s">
        <v>57</v>
      </c>
      <c r="AH586" t="s">
        <v>313</v>
      </c>
      <c r="AI586">
        <v>142.47</v>
      </c>
      <c r="AJ586" t="s">
        <v>132</v>
      </c>
      <c r="AK586" t="s">
        <v>456</v>
      </c>
      <c r="AL586" t="s">
        <v>460</v>
      </c>
      <c r="AM586" t="s">
        <v>173</v>
      </c>
      <c r="AN586" s="1">
        <v>45641</v>
      </c>
      <c r="AO586">
        <v>2024</v>
      </c>
      <c r="AP586">
        <v>12</v>
      </c>
      <c r="AQ586" t="s">
        <v>116</v>
      </c>
      <c r="AS586" t="s">
        <v>85</v>
      </c>
      <c r="AT586">
        <v>2025</v>
      </c>
      <c r="AU586" t="s">
        <v>2051</v>
      </c>
      <c r="AV586" t="s">
        <v>173</v>
      </c>
      <c r="AW586" t="s">
        <v>3676</v>
      </c>
      <c r="AX586">
        <v>2025</v>
      </c>
      <c r="AY586" t="s">
        <v>3677</v>
      </c>
      <c r="AZ586" t="s">
        <v>3677</v>
      </c>
    </row>
    <row r="587" spans="1:52" x14ac:dyDescent="0.25">
      <c r="A587" t="s">
        <v>3686</v>
      </c>
      <c r="B587" s="1">
        <v>31722</v>
      </c>
      <c r="C587" t="s">
        <v>3687</v>
      </c>
      <c r="D587">
        <v>461183</v>
      </c>
      <c r="E587" t="s">
        <v>46</v>
      </c>
      <c r="F587" t="s">
        <v>859</v>
      </c>
      <c r="G587" t="s">
        <v>120</v>
      </c>
      <c r="H587" t="s">
        <v>3687</v>
      </c>
      <c r="I587" t="s">
        <v>485</v>
      </c>
      <c r="J587">
        <v>52</v>
      </c>
      <c r="K587">
        <v>55</v>
      </c>
      <c r="L587">
        <v>-57</v>
      </c>
      <c r="M587">
        <v>55</v>
      </c>
      <c r="N587">
        <v>107</v>
      </c>
      <c r="O587" t="s">
        <v>60</v>
      </c>
      <c r="P587">
        <v>67</v>
      </c>
      <c r="Q587">
        <v>72</v>
      </c>
      <c r="R587">
        <v>-75</v>
      </c>
      <c r="S587">
        <v>72</v>
      </c>
      <c r="T587">
        <v>139</v>
      </c>
      <c r="U587" t="s">
        <v>60</v>
      </c>
      <c r="V587">
        <f t="shared" si="27"/>
        <v>4</v>
      </c>
      <c r="W587">
        <f t="shared" si="28"/>
        <v>0</v>
      </c>
      <c r="X587">
        <f t="shared" si="29"/>
        <v>0</v>
      </c>
      <c r="Y587">
        <v>127</v>
      </c>
      <c r="Z587">
        <v>246</v>
      </c>
      <c r="AA587" t="s">
        <v>3688</v>
      </c>
      <c r="AB587" t="s">
        <v>3689</v>
      </c>
      <c r="AC587" t="s">
        <v>93</v>
      </c>
      <c r="AD587">
        <v>6</v>
      </c>
      <c r="AE587">
        <v>64</v>
      </c>
      <c r="AF587" t="s">
        <v>126</v>
      </c>
      <c r="AG587">
        <v>35</v>
      </c>
      <c r="AH587" t="s">
        <v>167</v>
      </c>
      <c r="AI587">
        <v>165.44</v>
      </c>
      <c r="AJ587" t="s">
        <v>132</v>
      </c>
      <c r="AK587" t="s">
        <v>859</v>
      </c>
      <c r="AL587" t="s">
        <v>862</v>
      </c>
      <c r="AM587" t="s">
        <v>123</v>
      </c>
      <c r="AN587" s="1">
        <v>45640</v>
      </c>
      <c r="AO587">
        <v>2024</v>
      </c>
      <c r="AP587">
        <v>12</v>
      </c>
      <c r="AQ587" t="s">
        <v>116</v>
      </c>
      <c r="AS587" t="s">
        <v>85</v>
      </c>
      <c r="AT587">
        <v>2025</v>
      </c>
      <c r="AU587" t="s">
        <v>120</v>
      </c>
      <c r="AV587" t="s">
        <v>123</v>
      </c>
      <c r="AW587" t="s">
        <v>3687</v>
      </c>
      <c r="AX587">
        <v>2025</v>
      </c>
      <c r="AY587" t="s">
        <v>3688</v>
      </c>
      <c r="AZ587" t="s">
        <v>3688</v>
      </c>
    </row>
    <row r="588" spans="1:52" x14ac:dyDescent="0.25">
      <c r="A588" t="s">
        <v>3690</v>
      </c>
      <c r="B588" s="1">
        <v>41569</v>
      </c>
      <c r="C588" t="s">
        <v>3691</v>
      </c>
      <c r="D588">
        <v>466387</v>
      </c>
      <c r="E588" t="s">
        <v>46</v>
      </c>
      <c r="F588" t="s">
        <v>964</v>
      </c>
      <c r="G588" t="s">
        <v>296</v>
      </c>
      <c r="H588" t="s">
        <v>3691</v>
      </c>
      <c r="I588" t="s">
        <v>3694</v>
      </c>
      <c r="J588">
        <v>21</v>
      </c>
      <c r="K588">
        <v>-23</v>
      </c>
      <c r="L588">
        <v>23</v>
      </c>
      <c r="M588">
        <v>23</v>
      </c>
      <c r="N588">
        <v>44</v>
      </c>
      <c r="O588" t="s">
        <v>65</v>
      </c>
      <c r="P588">
        <v>29</v>
      </c>
      <c r="Q588">
        <v>30</v>
      </c>
      <c r="R588">
        <v>32</v>
      </c>
      <c r="S588">
        <v>32</v>
      </c>
      <c r="T588">
        <v>62</v>
      </c>
      <c r="U588" t="s">
        <v>48</v>
      </c>
      <c r="V588">
        <f t="shared" si="27"/>
        <v>5</v>
      </c>
      <c r="W588">
        <f t="shared" si="28"/>
        <v>0</v>
      </c>
      <c r="X588">
        <f t="shared" si="29"/>
        <v>0</v>
      </c>
      <c r="Y588">
        <v>55</v>
      </c>
      <c r="Z588">
        <v>106</v>
      </c>
      <c r="AA588" t="s">
        <v>3695</v>
      </c>
      <c r="AB588" t="s">
        <v>3696</v>
      </c>
      <c r="AC588" t="s">
        <v>49</v>
      </c>
      <c r="AD588">
        <v>999</v>
      </c>
      <c r="AE588">
        <v>35</v>
      </c>
      <c r="AF588" t="s">
        <v>50</v>
      </c>
      <c r="AH588" t="s">
        <v>253</v>
      </c>
      <c r="AI588">
        <v>322.26</v>
      </c>
      <c r="AJ588" t="s">
        <v>52</v>
      </c>
      <c r="AK588" t="s">
        <v>964</v>
      </c>
      <c r="AL588" t="s">
        <v>967</v>
      </c>
      <c r="AM588" t="s">
        <v>68</v>
      </c>
      <c r="AN588" s="1">
        <v>45641</v>
      </c>
      <c r="AO588">
        <v>2024</v>
      </c>
      <c r="AP588">
        <v>12</v>
      </c>
      <c r="AQ588" t="s">
        <v>116</v>
      </c>
      <c r="AS588" t="s">
        <v>85</v>
      </c>
      <c r="AT588">
        <v>2025</v>
      </c>
      <c r="AU588" t="s">
        <v>296</v>
      </c>
      <c r="AV588" t="s">
        <v>68</v>
      </c>
      <c r="AW588" t="s">
        <v>3691</v>
      </c>
      <c r="AX588">
        <v>2025</v>
      </c>
      <c r="AY588" t="s">
        <v>3692</v>
      </c>
      <c r="AZ588" t="s">
        <v>3693</v>
      </c>
    </row>
    <row r="589" spans="1:52" x14ac:dyDescent="0.25">
      <c r="A589" t="s">
        <v>3697</v>
      </c>
      <c r="B589" s="1">
        <v>39926</v>
      </c>
      <c r="C589" t="s">
        <v>3698</v>
      </c>
      <c r="D589">
        <v>475381</v>
      </c>
      <c r="E589" t="s">
        <v>46</v>
      </c>
      <c r="F589" t="s">
        <v>199</v>
      </c>
      <c r="G589" t="s">
        <v>47</v>
      </c>
      <c r="H589" t="s">
        <v>3698</v>
      </c>
      <c r="I589" t="s">
        <v>118</v>
      </c>
      <c r="J589">
        <v>54</v>
      </c>
      <c r="K589">
        <v>57</v>
      </c>
      <c r="L589">
        <v>-60</v>
      </c>
      <c r="M589">
        <v>57</v>
      </c>
      <c r="N589">
        <v>111</v>
      </c>
      <c r="O589" t="s">
        <v>60</v>
      </c>
      <c r="P589">
        <v>63</v>
      </c>
      <c r="Q589">
        <v>67</v>
      </c>
      <c r="R589">
        <v>70</v>
      </c>
      <c r="S589">
        <v>70</v>
      </c>
      <c r="T589">
        <v>137</v>
      </c>
      <c r="U589" t="s">
        <v>48</v>
      </c>
      <c r="V589">
        <f t="shared" si="27"/>
        <v>5</v>
      </c>
      <c r="W589">
        <f t="shared" si="28"/>
        <v>0</v>
      </c>
      <c r="X589">
        <f t="shared" si="29"/>
        <v>0</v>
      </c>
      <c r="Y589">
        <v>127</v>
      </c>
      <c r="Z589">
        <v>248</v>
      </c>
      <c r="AA589" t="s">
        <v>2732</v>
      </c>
      <c r="AB589" t="s">
        <v>3700</v>
      </c>
      <c r="AC589" t="s">
        <v>94</v>
      </c>
      <c r="AD589">
        <v>4</v>
      </c>
      <c r="AE589">
        <v>64</v>
      </c>
      <c r="AF589" t="s">
        <v>95</v>
      </c>
      <c r="AH589" t="s">
        <v>169</v>
      </c>
      <c r="AI589">
        <v>167.2</v>
      </c>
      <c r="AJ589" t="s">
        <v>132</v>
      </c>
      <c r="AK589" t="s">
        <v>199</v>
      </c>
      <c r="AL589" t="s">
        <v>203</v>
      </c>
      <c r="AM589" t="s">
        <v>53</v>
      </c>
      <c r="AN589" s="1">
        <v>45640</v>
      </c>
      <c r="AO589">
        <v>2024</v>
      </c>
      <c r="AP589">
        <v>12</v>
      </c>
      <c r="AQ589" t="s">
        <v>116</v>
      </c>
      <c r="AS589" t="s">
        <v>85</v>
      </c>
      <c r="AT589">
        <v>2025</v>
      </c>
      <c r="AU589" t="s">
        <v>47</v>
      </c>
      <c r="AV589" t="s">
        <v>54</v>
      </c>
      <c r="AW589" t="s">
        <v>3698</v>
      </c>
      <c r="AX589">
        <v>2025</v>
      </c>
      <c r="AY589" t="s">
        <v>3699</v>
      </c>
      <c r="AZ589" t="s">
        <v>2732</v>
      </c>
    </row>
    <row r="590" spans="1:52" x14ac:dyDescent="0.25">
      <c r="A590" t="s">
        <v>3710</v>
      </c>
      <c r="B590" s="1">
        <v>39489</v>
      </c>
      <c r="C590" t="s">
        <v>3711</v>
      </c>
      <c r="D590">
        <v>501329</v>
      </c>
      <c r="E590" t="s">
        <v>46</v>
      </c>
      <c r="F590" t="s">
        <v>679</v>
      </c>
      <c r="G590" t="s">
        <v>335</v>
      </c>
      <c r="H590" t="s">
        <v>3711</v>
      </c>
      <c r="I590" t="s">
        <v>557</v>
      </c>
      <c r="J590">
        <v>95</v>
      </c>
      <c r="K590">
        <v>-99</v>
      </c>
      <c r="L590">
        <v>-100</v>
      </c>
      <c r="M590">
        <v>95</v>
      </c>
      <c r="N590">
        <v>0</v>
      </c>
      <c r="O590" t="s">
        <v>55</v>
      </c>
      <c r="P590">
        <v>117</v>
      </c>
      <c r="Q590">
        <v>121</v>
      </c>
      <c r="R590">
        <v>-125</v>
      </c>
      <c r="S590">
        <v>121</v>
      </c>
      <c r="T590">
        <v>238</v>
      </c>
      <c r="U590" t="s">
        <v>60</v>
      </c>
      <c r="V590">
        <f t="shared" si="27"/>
        <v>3</v>
      </c>
      <c r="W590">
        <f t="shared" si="28"/>
        <v>0</v>
      </c>
      <c r="X590">
        <f t="shared" si="29"/>
        <v>0</v>
      </c>
      <c r="Y590">
        <v>216</v>
      </c>
      <c r="Z590">
        <v>238</v>
      </c>
      <c r="AA590" t="s">
        <v>3712</v>
      </c>
      <c r="AB590" t="s">
        <v>3713</v>
      </c>
      <c r="AC590" t="s">
        <v>94</v>
      </c>
      <c r="AD590">
        <v>4</v>
      </c>
      <c r="AE590">
        <v>73</v>
      </c>
      <c r="AF590" t="s">
        <v>95</v>
      </c>
      <c r="AH590" t="s">
        <v>276</v>
      </c>
      <c r="AI590">
        <v>292.64999999999998</v>
      </c>
      <c r="AJ590" t="s">
        <v>52</v>
      </c>
      <c r="AK590" t="s">
        <v>679</v>
      </c>
      <c r="AL590" t="s">
        <v>682</v>
      </c>
      <c r="AM590" t="s">
        <v>128</v>
      </c>
      <c r="AN590" s="1">
        <v>45641</v>
      </c>
      <c r="AO590">
        <v>2024</v>
      </c>
      <c r="AP590">
        <v>12</v>
      </c>
      <c r="AQ590" t="s">
        <v>116</v>
      </c>
      <c r="AS590" t="s">
        <v>85</v>
      </c>
      <c r="AT590">
        <v>2025</v>
      </c>
      <c r="AU590" t="s">
        <v>335</v>
      </c>
      <c r="AV590" t="s">
        <v>128</v>
      </c>
      <c r="AW590" t="s">
        <v>3711</v>
      </c>
      <c r="AX590">
        <v>2025</v>
      </c>
      <c r="AY590" t="s">
        <v>3712</v>
      </c>
      <c r="AZ590" t="s">
        <v>3712</v>
      </c>
    </row>
    <row r="591" spans="1:52" x14ac:dyDescent="0.25">
      <c r="A591" t="s">
        <v>3714</v>
      </c>
      <c r="B591" s="1">
        <v>41011</v>
      </c>
      <c r="C591" t="s">
        <v>3715</v>
      </c>
      <c r="D591">
        <v>503930</v>
      </c>
      <c r="E591" t="s">
        <v>46</v>
      </c>
      <c r="F591" t="s">
        <v>964</v>
      </c>
      <c r="G591" t="s">
        <v>255</v>
      </c>
      <c r="H591" t="s">
        <v>3715</v>
      </c>
      <c r="I591" t="s">
        <v>832</v>
      </c>
      <c r="J591">
        <v>18</v>
      </c>
      <c r="K591">
        <v>20</v>
      </c>
      <c r="L591">
        <v>22</v>
      </c>
      <c r="M591">
        <v>22</v>
      </c>
      <c r="N591">
        <v>42</v>
      </c>
      <c r="O591" t="s">
        <v>48</v>
      </c>
      <c r="P591">
        <v>28</v>
      </c>
      <c r="Q591">
        <v>30</v>
      </c>
      <c r="R591">
        <v>32</v>
      </c>
      <c r="S591">
        <v>32</v>
      </c>
      <c r="T591">
        <v>62</v>
      </c>
      <c r="U591" t="s">
        <v>48</v>
      </c>
      <c r="V591">
        <f t="shared" si="27"/>
        <v>6</v>
      </c>
      <c r="W591">
        <f t="shared" si="28"/>
        <v>0</v>
      </c>
      <c r="X591">
        <f t="shared" si="29"/>
        <v>0</v>
      </c>
      <c r="Y591">
        <v>54</v>
      </c>
      <c r="Z591">
        <v>104</v>
      </c>
      <c r="AA591" t="s">
        <v>3717</v>
      </c>
      <c r="AB591" t="s">
        <v>3718</v>
      </c>
      <c r="AC591" t="s">
        <v>49</v>
      </c>
      <c r="AD591">
        <v>999</v>
      </c>
      <c r="AE591">
        <v>49</v>
      </c>
      <c r="AF591" t="s">
        <v>50</v>
      </c>
      <c r="AH591" t="s">
        <v>74</v>
      </c>
      <c r="AI591">
        <v>194.36</v>
      </c>
      <c r="AJ591" t="s">
        <v>52</v>
      </c>
      <c r="AK591" t="s">
        <v>964</v>
      </c>
      <c r="AL591" t="s">
        <v>967</v>
      </c>
      <c r="AM591" t="s">
        <v>68</v>
      </c>
      <c r="AN591" s="1">
        <v>45641</v>
      </c>
      <c r="AO591">
        <v>2024</v>
      </c>
      <c r="AP591">
        <v>12</v>
      </c>
      <c r="AQ591" t="s">
        <v>116</v>
      </c>
      <c r="AS591" t="s">
        <v>85</v>
      </c>
      <c r="AT591">
        <v>2025</v>
      </c>
      <c r="AU591" t="s">
        <v>255</v>
      </c>
      <c r="AV591" t="s">
        <v>68</v>
      </c>
      <c r="AW591" t="s">
        <v>3715</v>
      </c>
      <c r="AX591">
        <v>2025</v>
      </c>
      <c r="AY591" t="s">
        <v>3716</v>
      </c>
      <c r="AZ591" t="s">
        <v>3716</v>
      </c>
    </row>
    <row r="592" spans="1:52" x14ac:dyDescent="0.25">
      <c r="A592" t="s">
        <v>3701</v>
      </c>
      <c r="B592" s="1">
        <v>38365</v>
      </c>
      <c r="C592" t="s">
        <v>3702</v>
      </c>
      <c r="D592">
        <v>402794</v>
      </c>
      <c r="E592" t="s">
        <v>46</v>
      </c>
      <c r="F592" t="s">
        <v>1240</v>
      </c>
      <c r="G592" t="s">
        <v>419</v>
      </c>
      <c r="H592" t="s">
        <v>3702</v>
      </c>
      <c r="I592" t="s">
        <v>1856</v>
      </c>
      <c r="J592">
        <v>80</v>
      </c>
      <c r="K592">
        <v>85</v>
      </c>
      <c r="L592">
        <v>90</v>
      </c>
      <c r="M592">
        <v>90</v>
      </c>
      <c r="N592">
        <v>175</v>
      </c>
      <c r="O592" t="s">
        <v>48</v>
      </c>
      <c r="P592">
        <v>105</v>
      </c>
      <c r="Q592">
        <v>-110</v>
      </c>
      <c r="R592">
        <v>-110</v>
      </c>
      <c r="S592">
        <v>105</v>
      </c>
      <c r="T592">
        <v>0</v>
      </c>
      <c r="U592" t="s">
        <v>55</v>
      </c>
      <c r="V592">
        <f t="shared" si="27"/>
        <v>4</v>
      </c>
      <c r="W592">
        <f t="shared" si="28"/>
        <v>0</v>
      </c>
      <c r="X592">
        <f t="shared" si="29"/>
        <v>0</v>
      </c>
      <c r="Y592">
        <v>195</v>
      </c>
      <c r="Z592">
        <v>175</v>
      </c>
      <c r="AA592" t="s">
        <v>3703</v>
      </c>
      <c r="AB592" t="s">
        <v>3704</v>
      </c>
      <c r="AC592" t="s">
        <v>93</v>
      </c>
      <c r="AD592">
        <v>6</v>
      </c>
      <c r="AE592">
        <v>73</v>
      </c>
      <c r="AF592" t="s">
        <v>113</v>
      </c>
      <c r="AH592" t="s">
        <v>218</v>
      </c>
      <c r="AI592">
        <v>262.97000000000003</v>
      </c>
      <c r="AJ592" t="s">
        <v>52</v>
      </c>
      <c r="AK592" t="s">
        <v>1240</v>
      </c>
      <c r="AL592" t="s">
        <v>1243</v>
      </c>
      <c r="AM592" t="s">
        <v>133</v>
      </c>
      <c r="AN592" s="1">
        <v>45641</v>
      </c>
      <c r="AO592">
        <v>2024</v>
      </c>
      <c r="AP592">
        <v>12</v>
      </c>
      <c r="AQ592" t="s">
        <v>116</v>
      </c>
      <c r="AS592" t="s">
        <v>85</v>
      </c>
      <c r="AT592">
        <v>2025</v>
      </c>
      <c r="AU592" t="s">
        <v>419</v>
      </c>
      <c r="AV592" t="s">
        <v>133</v>
      </c>
      <c r="AW592" t="s">
        <v>3702</v>
      </c>
      <c r="AX592">
        <v>2025</v>
      </c>
      <c r="AY592" t="s">
        <v>3703</v>
      </c>
      <c r="AZ592" t="s">
        <v>3703</v>
      </c>
    </row>
    <row r="593" spans="1:52" x14ac:dyDescent="0.25">
      <c r="A593" t="s">
        <v>3705</v>
      </c>
      <c r="B593" s="1">
        <v>41534</v>
      </c>
      <c r="C593" t="s">
        <v>3706</v>
      </c>
      <c r="D593">
        <v>490798</v>
      </c>
      <c r="E593" t="s">
        <v>46</v>
      </c>
      <c r="F593" t="s">
        <v>964</v>
      </c>
      <c r="G593" t="s">
        <v>66</v>
      </c>
      <c r="H593" t="s">
        <v>3706</v>
      </c>
      <c r="I593" t="s">
        <v>1558</v>
      </c>
      <c r="J593">
        <v>16</v>
      </c>
      <c r="K593">
        <v>18</v>
      </c>
      <c r="L593">
        <v>-19</v>
      </c>
      <c r="M593">
        <v>18</v>
      </c>
      <c r="N593">
        <v>34</v>
      </c>
      <c r="O593" t="s">
        <v>60</v>
      </c>
      <c r="P593">
        <v>24</v>
      </c>
      <c r="Q593">
        <v>25</v>
      </c>
      <c r="R593">
        <v>-26</v>
      </c>
      <c r="S593">
        <v>25</v>
      </c>
      <c r="T593">
        <v>49</v>
      </c>
      <c r="U593" t="s">
        <v>60</v>
      </c>
      <c r="V593">
        <f t="shared" si="27"/>
        <v>4</v>
      </c>
      <c r="W593">
        <f t="shared" si="28"/>
        <v>0</v>
      </c>
      <c r="X593">
        <f t="shared" si="29"/>
        <v>0</v>
      </c>
      <c r="Y593">
        <v>43</v>
      </c>
      <c r="Z593">
        <v>83</v>
      </c>
      <c r="AA593" t="s">
        <v>3708</v>
      </c>
      <c r="AB593" t="s">
        <v>3709</v>
      </c>
      <c r="AC593" t="s">
        <v>49</v>
      </c>
      <c r="AD593">
        <v>999</v>
      </c>
      <c r="AE593">
        <v>73</v>
      </c>
      <c r="AF593" t="s">
        <v>50</v>
      </c>
      <c r="AH593" t="s">
        <v>242</v>
      </c>
      <c r="AI593">
        <v>112.57</v>
      </c>
      <c r="AJ593" t="s">
        <v>52</v>
      </c>
      <c r="AK593" t="s">
        <v>964</v>
      </c>
      <c r="AL593" t="s">
        <v>967</v>
      </c>
      <c r="AM593" t="s">
        <v>68</v>
      </c>
      <c r="AN593" s="1">
        <v>45641</v>
      </c>
      <c r="AO593">
        <v>2024</v>
      </c>
      <c r="AP593">
        <v>12</v>
      </c>
      <c r="AQ593" t="s">
        <v>116</v>
      </c>
      <c r="AS593" t="s">
        <v>85</v>
      </c>
      <c r="AT593">
        <v>2025</v>
      </c>
      <c r="AU593" t="s">
        <v>66</v>
      </c>
      <c r="AV593" t="s">
        <v>68</v>
      </c>
      <c r="AW593" t="s">
        <v>3706</v>
      </c>
      <c r="AX593">
        <v>2025</v>
      </c>
      <c r="AY593" t="s">
        <v>3707</v>
      </c>
      <c r="AZ593" t="s">
        <v>3707</v>
      </c>
    </row>
    <row r="594" spans="1:52" x14ac:dyDescent="0.25">
      <c r="A594" t="s">
        <v>3719</v>
      </c>
      <c r="B594" s="1">
        <v>34617</v>
      </c>
      <c r="C594" t="s">
        <v>3720</v>
      </c>
      <c r="D594">
        <v>496440</v>
      </c>
      <c r="E594" t="s">
        <v>46</v>
      </c>
      <c r="F594" t="s">
        <v>859</v>
      </c>
      <c r="G594" t="s">
        <v>120</v>
      </c>
      <c r="H594" t="s">
        <v>3720</v>
      </c>
      <c r="I594" t="s">
        <v>163</v>
      </c>
      <c r="J594">
        <v>90</v>
      </c>
      <c r="K594">
        <v>95</v>
      </c>
      <c r="L594">
        <v>100</v>
      </c>
      <c r="M594">
        <v>100</v>
      </c>
      <c r="N594">
        <v>195</v>
      </c>
      <c r="O594" t="s">
        <v>48</v>
      </c>
      <c r="P594">
        <v>110</v>
      </c>
      <c r="Q594">
        <v>115</v>
      </c>
      <c r="R594">
        <v>120</v>
      </c>
      <c r="S594">
        <v>120</v>
      </c>
      <c r="T594">
        <v>235</v>
      </c>
      <c r="U594" t="s">
        <v>48</v>
      </c>
      <c r="V594">
        <f t="shared" si="27"/>
        <v>6</v>
      </c>
      <c r="W594">
        <f t="shared" si="28"/>
        <v>0</v>
      </c>
      <c r="X594">
        <f t="shared" si="29"/>
        <v>0</v>
      </c>
      <c r="Y594">
        <v>220</v>
      </c>
      <c r="Z594">
        <v>430</v>
      </c>
      <c r="AA594" t="s">
        <v>2632</v>
      </c>
      <c r="AB594" t="s">
        <v>2633</v>
      </c>
      <c r="AC594" t="s">
        <v>93</v>
      </c>
      <c r="AD594">
        <v>6</v>
      </c>
      <c r="AE594">
        <v>81</v>
      </c>
      <c r="AF594" t="s">
        <v>126</v>
      </c>
      <c r="AH594" t="s">
        <v>138</v>
      </c>
      <c r="AI594">
        <v>284.12</v>
      </c>
      <c r="AJ594" t="s">
        <v>52</v>
      </c>
      <c r="AK594" t="s">
        <v>859</v>
      </c>
      <c r="AL594" t="s">
        <v>862</v>
      </c>
      <c r="AM594" t="s">
        <v>123</v>
      </c>
      <c r="AN594" s="1">
        <v>45640</v>
      </c>
      <c r="AO594">
        <v>2024</v>
      </c>
      <c r="AP594">
        <v>12</v>
      </c>
      <c r="AQ594" t="s">
        <v>116</v>
      </c>
      <c r="AS594" t="s">
        <v>85</v>
      </c>
      <c r="AT594">
        <v>2025</v>
      </c>
      <c r="AU594" t="s">
        <v>120</v>
      </c>
      <c r="AV594" t="s">
        <v>123</v>
      </c>
      <c r="AW594" t="s">
        <v>3720</v>
      </c>
      <c r="AX594">
        <v>2025</v>
      </c>
      <c r="AY594" t="s">
        <v>1403</v>
      </c>
      <c r="AZ594" t="s">
        <v>1403</v>
      </c>
    </row>
    <row r="595" spans="1:52" x14ac:dyDescent="0.25">
      <c r="A595" t="s">
        <v>3721</v>
      </c>
      <c r="B595" s="1">
        <v>35051</v>
      </c>
      <c r="C595" t="s">
        <v>3722</v>
      </c>
      <c r="D595">
        <v>421575</v>
      </c>
      <c r="E595" t="s">
        <v>46</v>
      </c>
      <c r="F595" t="s">
        <v>338</v>
      </c>
      <c r="G595" t="s">
        <v>606</v>
      </c>
      <c r="H595" t="s">
        <v>3722</v>
      </c>
      <c r="I595" t="s">
        <v>317</v>
      </c>
      <c r="J595">
        <v>50</v>
      </c>
      <c r="K595">
        <v>-55</v>
      </c>
      <c r="L595">
        <v>-55</v>
      </c>
      <c r="M595">
        <v>50</v>
      </c>
      <c r="N595">
        <v>0</v>
      </c>
      <c r="O595" t="s">
        <v>55</v>
      </c>
      <c r="P595">
        <v>70</v>
      </c>
      <c r="Q595">
        <v>-73</v>
      </c>
      <c r="R595">
        <v>-73</v>
      </c>
      <c r="S595">
        <v>70</v>
      </c>
      <c r="T595">
        <v>0</v>
      </c>
      <c r="U595" t="s">
        <v>55</v>
      </c>
      <c r="V595">
        <f t="shared" si="27"/>
        <v>2</v>
      </c>
      <c r="W595">
        <f t="shared" si="28"/>
        <v>0</v>
      </c>
      <c r="X595">
        <f t="shared" si="29"/>
        <v>0</v>
      </c>
      <c r="Y595">
        <v>120</v>
      </c>
      <c r="Z595">
        <v>0</v>
      </c>
      <c r="AA595" t="s">
        <v>3723</v>
      </c>
      <c r="AB595" t="s">
        <v>99</v>
      </c>
      <c r="AC595" t="s">
        <v>64</v>
      </c>
      <c r="AD595">
        <v>7</v>
      </c>
      <c r="AE595">
        <v>71</v>
      </c>
      <c r="AF595" t="s">
        <v>126</v>
      </c>
      <c r="AH595" t="s">
        <v>226</v>
      </c>
      <c r="AI595">
        <v>153.5</v>
      </c>
      <c r="AJ595" t="s">
        <v>132</v>
      </c>
      <c r="AK595" t="s">
        <v>338</v>
      </c>
      <c r="AL595" t="s">
        <v>340</v>
      </c>
      <c r="AM595" t="s">
        <v>128</v>
      </c>
      <c r="AN595" s="1">
        <v>45640</v>
      </c>
      <c r="AO595">
        <v>2024</v>
      </c>
      <c r="AP595">
        <v>12</v>
      </c>
      <c r="AQ595" t="s">
        <v>116</v>
      </c>
      <c r="AS595" t="s">
        <v>85</v>
      </c>
      <c r="AT595">
        <v>2025</v>
      </c>
      <c r="AU595" t="s">
        <v>606</v>
      </c>
      <c r="AV595" t="s">
        <v>128</v>
      </c>
      <c r="AW595" t="s">
        <v>3722</v>
      </c>
      <c r="AX595">
        <v>2025</v>
      </c>
      <c r="AY595" t="s">
        <v>2121</v>
      </c>
      <c r="AZ595" t="s">
        <v>3723</v>
      </c>
    </row>
    <row r="596" spans="1:52" x14ac:dyDescent="0.25">
      <c r="A596" t="s">
        <v>3724</v>
      </c>
      <c r="B596" s="1">
        <v>34567</v>
      </c>
      <c r="C596" t="s">
        <v>3725</v>
      </c>
      <c r="D596">
        <v>475249</v>
      </c>
      <c r="E596" t="s">
        <v>46</v>
      </c>
      <c r="F596" t="s">
        <v>559</v>
      </c>
      <c r="G596" t="s">
        <v>1085</v>
      </c>
      <c r="H596" t="s">
        <v>3725</v>
      </c>
      <c r="I596" t="s">
        <v>3727</v>
      </c>
      <c r="J596">
        <v>-120</v>
      </c>
      <c r="K596">
        <v>120</v>
      </c>
      <c r="L596">
        <v>123</v>
      </c>
      <c r="M596">
        <v>123</v>
      </c>
      <c r="N596">
        <v>243</v>
      </c>
      <c r="O596" t="s">
        <v>63</v>
      </c>
      <c r="P596">
        <v>142</v>
      </c>
      <c r="Q596">
        <v>147</v>
      </c>
      <c r="R596">
        <v>150</v>
      </c>
      <c r="S596">
        <v>150</v>
      </c>
      <c r="T596">
        <v>297</v>
      </c>
      <c r="U596" t="s">
        <v>48</v>
      </c>
      <c r="V596">
        <f t="shared" si="27"/>
        <v>5</v>
      </c>
      <c r="W596">
        <f t="shared" si="28"/>
        <v>0</v>
      </c>
      <c r="X596">
        <f t="shared" si="29"/>
        <v>0</v>
      </c>
      <c r="Y596">
        <v>273</v>
      </c>
      <c r="Z596">
        <v>540</v>
      </c>
      <c r="AA596" t="s">
        <v>3726</v>
      </c>
      <c r="AB596" t="s">
        <v>3728</v>
      </c>
      <c r="AC596" t="s">
        <v>89</v>
      </c>
      <c r="AD596">
        <v>5</v>
      </c>
      <c r="AE596">
        <v>102</v>
      </c>
      <c r="AF596" t="s">
        <v>126</v>
      </c>
      <c r="AH596" t="s">
        <v>148</v>
      </c>
      <c r="AI596">
        <v>314.07</v>
      </c>
      <c r="AJ596" t="s">
        <v>52</v>
      </c>
      <c r="AK596" t="s">
        <v>559</v>
      </c>
      <c r="AL596" t="s">
        <v>562</v>
      </c>
      <c r="AM596" t="s">
        <v>302</v>
      </c>
      <c r="AN596" s="1">
        <v>45640</v>
      </c>
      <c r="AO596">
        <v>2024</v>
      </c>
      <c r="AP596">
        <v>12</v>
      </c>
      <c r="AQ596" t="s">
        <v>116</v>
      </c>
      <c r="AS596" t="s">
        <v>85</v>
      </c>
      <c r="AT596">
        <v>2025</v>
      </c>
      <c r="AU596" t="s">
        <v>1085</v>
      </c>
      <c r="AV596" t="s">
        <v>303</v>
      </c>
      <c r="AW596" t="s">
        <v>3725</v>
      </c>
      <c r="AX596">
        <v>2025</v>
      </c>
      <c r="AY596" t="s">
        <v>3726</v>
      </c>
      <c r="AZ596" t="s">
        <v>3726</v>
      </c>
    </row>
    <row r="597" spans="1:52" x14ac:dyDescent="0.25">
      <c r="A597" t="s">
        <v>3729</v>
      </c>
      <c r="B597" s="1">
        <v>32948</v>
      </c>
      <c r="C597" t="s">
        <v>3730</v>
      </c>
      <c r="D597">
        <v>493784</v>
      </c>
      <c r="E597" t="s">
        <v>46</v>
      </c>
      <c r="F597" t="s">
        <v>710</v>
      </c>
      <c r="G597" t="s">
        <v>258</v>
      </c>
      <c r="H597" t="s">
        <v>3730</v>
      </c>
      <c r="I597" t="s">
        <v>706</v>
      </c>
      <c r="J597">
        <v>90</v>
      </c>
      <c r="K597">
        <v>-95</v>
      </c>
      <c r="L597">
        <v>95</v>
      </c>
      <c r="M597">
        <v>95</v>
      </c>
      <c r="N597">
        <v>185</v>
      </c>
      <c r="O597" t="s">
        <v>65</v>
      </c>
      <c r="P597">
        <v>110</v>
      </c>
      <c r="Q597">
        <v>115</v>
      </c>
      <c r="R597">
        <v>118</v>
      </c>
      <c r="S597">
        <v>118</v>
      </c>
      <c r="T597">
        <v>233</v>
      </c>
      <c r="U597" t="s">
        <v>48</v>
      </c>
      <c r="V597">
        <f t="shared" si="27"/>
        <v>5</v>
      </c>
      <c r="W597">
        <f t="shared" si="28"/>
        <v>0</v>
      </c>
      <c r="X597">
        <f t="shared" si="29"/>
        <v>0</v>
      </c>
      <c r="Y597">
        <v>213</v>
      </c>
      <c r="Z597">
        <v>418</v>
      </c>
      <c r="AA597" t="s">
        <v>3731</v>
      </c>
      <c r="AB597" t="s">
        <v>3732</v>
      </c>
      <c r="AC597" t="s">
        <v>93</v>
      </c>
      <c r="AD597">
        <v>6</v>
      </c>
      <c r="AE597">
        <v>73</v>
      </c>
      <c r="AF597" t="s">
        <v>126</v>
      </c>
      <c r="AG597">
        <v>35</v>
      </c>
      <c r="AH597" t="s">
        <v>141</v>
      </c>
      <c r="AI597">
        <v>290.58</v>
      </c>
      <c r="AJ597" t="s">
        <v>52</v>
      </c>
      <c r="AK597" t="s">
        <v>710</v>
      </c>
      <c r="AL597" t="s">
        <v>712</v>
      </c>
      <c r="AM597" t="s">
        <v>128</v>
      </c>
      <c r="AN597" s="1">
        <v>45640</v>
      </c>
      <c r="AO597">
        <v>2024</v>
      </c>
      <c r="AP597">
        <v>12</v>
      </c>
      <c r="AQ597" t="s">
        <v>116</v>
      </c>
      <c r="AS597" t="s">
        <v>85</v>
      </c>
      <c r="AT597">
        <v>2025</v>
      </c>
      <c r="AU597" t="s">
        <v>258</v>
      </c>
      <c r="AV597" t="s">
        <v>128</v>
      </c>
      <c r="AW597" t="s">
        <v>3730</v>
      </c>
      <c r="AX597">
        <v>2025</v>
      </c>
      <c r="AY597" t="s">
        <v>3731</v>
      </c>
      <c r="AZ597" t="s">
        <v>3731</v>
      </c>
    </row>
    <row r="598" spans="1:52" x14ac:dyDescent="0.25">
      <c r="A598" t="s">
        <v>3733</v>
      </c>
      <c r="B598" s="1">
        <v>35809</v>
      </c>
      <c r="C598" t="s">
        <v>3734</v>
      </c>
      <c r="D598">
        <v>471498</v>
      </c>
      <c r="E598" t="s">
        <v>46</v>
      </c>
      <c r="F598" t="s">
        <v>492</v>
      </c>
      <c r="G598" t="s">
        <v>684</v>
      </c>
      <c r="H598" t="s">
        <v>3734</v>
      </c>
      <c r="I598" t="s">
        <v>593</v>
      </c>
      <c r="J598">
        <v>115</v>
      </c>
      <c r="K598">
        <v>119</v>
      </c>
      <c r="L598">
        <v>-123</v>
      </c>
      <c r="M598">
        <v>119</v>
      </c>
      <c r="N598">
        <v>234</v>
      </c>
      <c r="O598" t="s">
        <v>60</v>
      </c>
      <c r="P598">
        <v>-150</v>
      </c>
      <c r="Q598">
        <v>-156</v>
      </c>
      <c r="R598">
        <v>-156</v>
      </c>
      <c r="S598">
        <v>0</v>
      </c>
      <c r="T598">
        <v>0</v>
      </c>
      <c r="U598" t="s">
        <v>108</v>
      </c>
      <c r="V598">
        <f t="shared" si="27"/>
        <v>2</v>
      </c>
      <c r="W598">
        <f t="shared" si="28"/>
        <v>0</v>
      </c>
      <c r="X598">
        <f t="shared" si="29"/>
        <v>0</v>
      </c>
      <c r="Y598">
        <v>119</v>
      </c>
      <c r="Z598">
        <v>234</v>
      </c>
      <c r="AA598" t="s">
        <v>3736</v>
      </c>
      <c r="AB598" t="s">
        <v>3737</v>
      </c>
      <c r="AC598" t="s">
        <v>49</v>
      </c>
      <c r="AD598">
        <v>999</v>
      </c>
      <c r="AE598">
        <v>81</v>
      </c>
      <c r="AF598" t="s">
        <v>126</v>
      </c>
      <c r="AH598" t="s">
        <v>138</v>
      </c>
      <c r="AI598">
        <v>0</v>
      </c>
      <c r="AJ598" t="s">
        <v>52</v>
      </c>
      <c r="AK598" t="s">
        <v>492</v>
      </c>
      <c r="AL598" t="s">
        <v>494</v>
      </c>
      <c r="AM598" t="s">
        <v>90</v>
      </c>
      <c r="AN598" s="1">
        <v>45640</v>
      </c>
      <c r="AO598">
        <v>2024</v>
      </c>
      <c r="AP598">
        <v>12</v>
      </c>
      <c r="AQ598" t="s">
        <v>116</v>
      </c>
      <c r="AS598" t="s">
        <v>85</v>
      </c>
      <c r="AT598">
        <v>2025</v>
      </c>
      <c r="AU598" t="s">
        <v>684</v>
      </c>
      <c r="AV598" t="s">
        <v>91</v>
      </c>
      <c r="AW598" t="s">
        <v>3734</v>
      </c>
      <c r="AX598">
        <v>2025</v>
      </c>
      <c r="AY598" t="s">
        <v>3735</v>
      </c>
      <c r="AZ598" t="s">
        <v>3738</v>
      </c>
    </row>
    <row r="599" spans="1:52" x14ac:dyDescent="0.25">
      <c r="A599" t="s">
        <v>3739</v>
      </c>
      <c r="B599" s="1">
        <v>34732</v>
      </c>
      <c r="C599" t="s">
        <v>3740</v>
      </c>
      <c r="D599">
        <v>504867</v>
      </c>
      <c r="E599" t="s">
        <v>46</v>
      </c>
      <c r="F599" t="s">
        <v>582</v>
      </c>
      <c r="G599" t="s">
        <v>386</v>
      </c>
      <c r="H599" t="s">
        <v>3740</v>
      </c>
      <c r="I599" t="s">
        <v>1270</v>
      </c>
      <c r="J599">
        <v>120</v>
      </c>
      <c r="K599">
        <v>125</v>
      </c>
      <c r="L599">
        <v>-130</v>
      </c>
      <c r="M599">
        <v>125</v>
      </c>
      <c r="N599">
        <v>245</v>
      </c>
      <c r="O599" t="s">
        <v>60</v>
      </c>
      <c r="P599">
        <v>150</v>
      </c>
      <c r="Q599">
        <v>-155</v>
      </c>
      <c r="R599">
        <v>-157</v>
      </c>
      <c r="S599">
        <v>150</v>
      </c>
      <c r="T599">
        <v>0</v>
      </c>
      <c r="U599" t="s">
        <v>55</v>
      </c>
      <c r="V599">
        <f t="shared" si="27"/>
        <v>3</v>
      </c>
      <c r="W599">
        <f t="shared" si="28"/>
        <v>0</v>
      </c>
      <c r="X599">
        <f t="shared" si="29"/>
        <v>0</v>
      </c>
      <c r="Y599">
        <v>275</v>
      </c>
      <c r="Z599">
        <v>245</v>
      </c>
      <c r="AA599" t="s">
        <v>3741</v>
      </c>
      <c r="AB599" t="s">
        <v>3742</v>
      </c>
      <c r="AC599" t="s">
        <v>89</v>
      </c>
      <c r="AD599">
        <v>5</v>
      </c>
      <c r="AE599">
        <v>96</v>
      </c>
      <c r="AF599" t="s">
        <v>126</v>
      </c>
      <c r="AH599" t="s">
        <v>222</v>
      </c>
      <c r="AI599">
        <v>329.39</v>
      </c>
      <c r="AJ599" t="s">
        <v>52</v>
      </c>
      <c r="AK599" t="s">
        <v>582</v>
      </c>
      <c r="AL599" t="s">
        <v>585</v>
      </c>
      <c r="AM599" t="s">
        <v>170</v>
      </c>
      <c r="AN599" s="1">
        <v>45640</v>
      </c>
      <c r="AO599">
        <v>2024</v>
      </c>
      <c r="AP599">
        <v>12</v>
      </c>
      <c r="AQ599" t="s">
        <v>116</v>
      </c>
      <c r="AS599" t="s">
        <v>85</v>
      </c>
      <c r="AT599">
        <v>2025</v>
      </c>
      <c r="AU599" t="s">
        <v>386</v>
      </c>
      <c r="AV599" t="s">
        <v>170</v>
      </c>
      <c r="AW599" t="s">
        <v>3740</v>
      </c>
      <c r="AX599">
        <v>2025</v>
      </c>
      <c r="AY599" t="s">
        <v>3741</v>
      </c>
      <c r="AZ599" t="s">
        <v>3741</v>
      </c>
    </row>
    <row r="600" spans="1:52" x14ac:dyDescent="0.25">
      <c r="A600" t="s">
        <v>3743</v>
      </c>
      <c r="B600" s="1">
        <v>35992</v>
      </c>
      <c r="C600" t="s">
        <v>3744</v>
      </c>
      <c r="D600">
        <v>501181</v>
      </c>
      <c r="E600" t="s">
        <v>46</v>
      </c>
      <c r="F600" t="s">
        <v>518</v>
      </c>
      <c r="G600" t="s">
        <v>1489</v>
      </c>
      <c r="H600" t="s">
        <v>3744</v>
      </c>
      <c r="I600" t="s">
        <v>118</v>
      </c>
      <c r="J600">
        <v>-68</v>
      </c>
      <c r="K600">
        <v>72</v>
      </c>
      <c r="L600">
        <v>75</v>
      </c>
      <c r="M600">
        <v>75</v>
      </c>
      <c r="N600">
        <v>147</v>
      </c>
      <c r="O600" t="s">
        <v>63</v>
      </c>
      <c r="P600">
        <v>85</v>
      </c>
      <c r="Q600">
        <v>-90</v>
      </c>
      <c r="R600">
        <v>-90</v>
      </c>
      <c r="S600">
        <v>85</v>
      </c>
      <c r="T600">
        <v>0</v>
      </c>
      <c r="U600" t="s">
        <v>55</v>
      </c>
      <c r="V600">
        <f t="shared" si="27"/>
        <v>3</v>
      </c>
      <c r="W600">
        <f t="shared" si="28"/>
        <v>0</v>
      </c>
      <c r="X600">
        <f t="shared" si="29"/>
        <v>0</v>
      </c>
      <c r="Y600">
        <v>160</v>
      </c>
      <c r="Z600">
        <v>147</v>
      </c>
      <c r="AA600" t="s">
        <v>3745</v>
      </c>
      <c r="AB600" t="s">
        <v>3746</v>
      </c>
      <c r="AC600" t="s">
        <v>89</v>
      </c>
      <c r="AD600">
        <v>5</v>
      </c>
      <c r="AE600">
        <v>64</v>
      </c>
      <c r="AF600" t="s">
        <v>126</v>
      </c>
      <c r="AH600" t="s">
        <v>167</v>
      </c>
      <c r="AI600">
        <v>210.64</v>
      </c>
      <c r="AJ600" t="s">
        <v>132</v>
      </c>
      <c r="AK600" t="s">
        <v>518</v>
      </c>
      <c r="AL600" t="s">
        <v>522</v>
      </c>
      <c r="AM600" t="s">
        <v>177</v>
      </c>
      <c r="AN600" s="1">
        <v>45640</v>
      </c>
      <c r="AO600">
        <v>2024</v>
      </c>
      <c r="AP600">
        <v>12</v>
      </c>
      <c r="AQ600" t="s">
        <v>116</v>
      </c>
      <c r="AS600" t="s">
        <v>85</v>
      </c>
      <c r="AT600">
        <v>2025</v>
      </c>
      <c r="AU600" t="s">
        <v>1489</v>
      </c>
      <c r="AV600" t="s">
        <v>177</v>
      </c>
      <c r="AW600" t="s">
        <v>3744</v>
      </c>
      <c r="AX600">
        <v>2025</v>
      </c>
      <c r="AY600" t="s">
        <v>3745</v>
      </c>
      <c r="AZ600" t="s">
        <v>3745</v>
      </c>
    </row>
    <row r="601" spans="1:52" x14ac:dyDescent="0.25">
      <c r="A601" t="s">
        <v>3747</v>
      </c>
      <c r="B601" s="1">
        <v>37548</v>
      </c>
      <c r="C601" t="s">
        <v>3748</v>
      </c>
      <c r="D601">
        <v>447739</v>
      </c>
      <c r="E601" t="s">
        <v>46</v>
      </c>
      <c r="F601" t="s">
        <v>441</v>
      </c>
      <c r="G601" t="s">
        <v>417</v>
      </c>
      <c r="H601" t="s">
        <v>3748</v>
      </c>
      <c r="I601">
        <v>62</v>
      </c>
      <c r="J601">
        <v>59</v>
      </c>
      <c r="K601">
        <v>62</v>
      </c>
      <c r="L601">
        <v>65</v>
      </c>
      <c r="M601">
        <v>65</v>
      </c>
      <c r="N601">
        <v>127</v>
      </c>
      <c r="O601" t="s">
        <v>48</v>
      </c>
      <c r="P601">
        <v>77</v>
      </c>
      <c r="Q601">
        <v>-80</v>
      </c>
      <c r="R601">
        <v>82</v>
      </c>
      <c r="S601">
        <v>82</v>
      </c>
      <c r="T601">
        <v>159</v>
      </c>
      <c r="U601" t="s">
        <v>65</v>
      </c>
      <c r="V601">
        <f t="shared" si="27"/>
        <v>5</v>
      </c>
      <c r="W601">
        <f t="shared" si="28"/>
        <v>0</v>
      </c>
      <c r="X601">
        <f t="shared" si="29"/>
        <v>0</v>
      </c>
      <c r="Y601">
        <v>147</v>
      </c>
      <c r="Z601">
        <v>286</v>
      </c>
      <c r="AA601" t="s">
        <v>2267</v>
      </c>
      <c r="AB601" t="s">
        <v>3749</v>
      </c>
      <c r="AC601" t="s">
        <v>89</v>
      </c>
      <c r="AD601">
        <v>5</v>
      </c>
      <c r="AE601">
        <v>64</v>
      </c>
      <c r="AF601" t="s">
        <v>126</v>
      </c>
      <c r="AH601" t="s">
        <v>167</v>
      </c>
      <c r="AI601">
        <v>194.87</v>
      </c>
      <c r="AJ601" t="s">
        <v>132</v>
      </c>
      <c r="AK601" t="s">
        <v>441</v>
      </c>
      <c r="AL601" t="s">
        <v>445</v>
      </c>
      <c r="AM601" t="s">
        <v>72</v>
      </c>
      <c r="AN601" s="1">
        <v>45640</v>
      </c>
      <c r="AO601">
        <v>2024</v>
      </c>
      <c r="AP601">
        <v>12</v>
      </c>
      <c r="AQ601" t="s">
        <v>116</v>
      </c>
      <c r="AS601" t="s">
        <v>85</v>
      </c>
      <c r="AT601">
        <v>2025</v>
      </c>
      <c r="AU601" t="s">
        <v>417</v>
      </c>
      <c r="AV601" t="s">
        <v>72</v>
      </c>
      <c r="AW601" t="s">
        <v>3748</v>
      </c>
      <c r="AX601">
        <v>2025</v>
      </c>
      <c r="AY601" t="s">
        <v>2267</v>
      </c>
      <c r="AZ601" t="s">
        <v>2267</v>
      </c>
    </row>
    <row r="602" spans="1:52" x14ac:dyDescent="0.25">
      <c r="A602" t="s">
        <v>3750</v>
      </c>
      <c r="B602" s="1">
        <v>39087</v>
      </c>
      <c r="C602" t="s">
        <v>3751</v>
      </c>
      <c r="D602">
        <v>442092</v>
      </c>
      <c r="E602" t="s">
        <v>46</v>
      </c>
      <c r="F602" t="s">
        <v>801</v>
      </c>
      <c r="G602" t="s">
        <v>296</v>
      </c>
      <c r="H602" t="s">
        <v>3751</v>
      </c>
      <c r="I602" t="s">
        <v>3753</v>
      </c>
      <c r="J602">
        <v>48</v>
      </c>
      <c r="K602">
        <v>-51</v>
      </c>
      <c r="L602">
        <v>51</v>
      </c>
      <c r="M602">
        <v>51</v>
      </c>
      <c r="N602">
        <v>99</v>
      </c>
      <c r="O602" t="s">
        <v>65</v>
      </c>
      <c r="P602">
        <v>60</v>
      </c>
      <c r="Q602">
        <v>64</v>
      </c>
      <c r="R602">
        <v>-68</v>
      </c>
      <c r="S602">
        <v>64</v>
      </c>
      <c r="T602">
        <v>124</v>
      </c>
      <c r="U602" t="s">
        <v>60</v>
      </c>
      <c r="V602">
        <f t="shared" si="27"/>
        <v>4</v>
      </c>
      <c r="W602">
        <f t="shared" si="28"/>
        <v>0</v>
      </c>
      <c r="X602">
        <f t="shared" si="29"/>
        <v>0</v>
      </c>
      <c r="Y602">
        <v>115</v>
      </c>
      <c r="Z602">
        <v>223</v>
      </c>
      <c r="AA602" t="s">
        <v>3754</v>
      </c>
      <c r="AB602" t="s">
        <v>3755</v>
      </c>
      <c r="AC602" t="s">
        <v>89</v>
      </c>
      <c r="AD602">
        <v>5</v>
      </c>
      <c r="AE602">
        <v>55</v>
      </c>
      <c r="AF602" t="s">
        <v>113</v>
      </c>
      <c r="AH602" t="s">
        <v>465</v>
      </c>
      <c r="AI602">
        <v>171.78</v>
      </c>
      <c r="AJ602" t="s">
        <v>132</v>
      </c>
      <c r="AK602" t="s">
        <v>801</v>
      </c>
      <c r="AL602" t="s">
        <v>804</v>
      </c>
      <c r="AM602" t="s">
        <v>68</v>
      </c>
      <c r="AN602" s="1">
        <v>45640</v>
      </c>
      <c r="AO602">
        <v>2024</v>
      </c>
      <c r="AP602">
        <v>12</v>
      </c>
      <c r="AQ602" t="s">
        <v>116</v>
      </c>
      <c r="AS602" t="s">
        <v>85</v>
      </c>
      <c r="AT602">
        <v>2025</v>
      </c>
      <c r="AU602" t="s">
        <v>296</v>
      </c>
      <c r="AV602" t="s">
        <v>68</v>
      </c>
      <c r="AW602" t="s">
        <v>3751</v>
      </c>
      <c r="AX602">
        <v>2025</v>
      </c>
      <c r="AY602" t="s">
        <v>3752</v>
      </c>
      <c r="AZ602" t="s">
        <v>3754</v>
      </c>
    </row>
    <row r="603" spans="1:52" x14ac:dyDescent="0.25">
      <c r="A603" t="s">
        <v>3756</v>
      </c>
      <c r="B603" s="1">
        <v>40312</v>
      </c>
      <c r="C603" t="s">
        <v>3757</v>
      </c>
      <c r="D603">
        <v>490436</v>
      </c>
      <c r="E603" t="s">
        <v>46</v>
      </c>
      <c r="F603" t="s">
        <v>3514</v>
      </c>
      <c r="G603" t="s">
        <v>168</v>
      </c>
      <c r="H603" t="s">
        <v>3757</v>
      </c>
      <c r="I603" t="s">
        <v>211</v>
      </c>
      <c r="J603">
        <v>-42</v>
      </c>
      <c r="K603">
        <v>42</v>
      </c>
      <c r="L603">
        <v>-45</v>
      </c>
      <c r="M603">
        <v>42</v>
      </c>
      <c r="N603">
        <v>0</v>
      </c>
      <c r="O603" t="s">
        <v>104</v>
      </c>
      <c r="P603">
        <v>50</v>
      </c>
      <c r="Q603">
        <v>54</v>
      </c>
      <c r="R603">
        <v>-58</v>
      </c>
      <c r="S603">
        <v>54</v>
      </c>
      <c r="T603">
        <v>104</v>
      </c>
      <c r="U603" t="s">
        <v>60</v>
      </c>
      <c r="V603">
        <f t="shared" si="27"/>
        <v>3</v>
      </c>
      <c r="W603">
        <f t="shared" si="28"/>
        <v>0</v>
      </c>
      <c r="X603">
        <f t="shared" si="29"/>
        <v>0</v>
      </c>
      <c r="Y603">
        <v>96</v>
      </c>
      <c r="Z603">
        <v>104</v>
      </c>
      <c r="AA603" t="s">
        <v>793</v>
      </c>
      <c r="AB603" t="s">
        <v>3758</v>
      </c>
      <c r="AC603" t="s">
        <v>89</v>
      </c>
      <c r="AD603">
        <v>5</v>
      </c>
      <c r="AE603">
        <v>55</v>
      </c>
      <c r="AF603" t="s">
        <v>57</v>
      </c>
      <c r="AH603" t="s">
        <v>172</v>
      </c>
      <c r="AI603">
        <v>139.02000000000001</v>
      </c>
      <c r="AJ603" t="s">
        <v>132</v>
      </c>
      <c r="AK603" t="s">
        <v>3514</v>
      </c>
      <c r="AL603" t="s">
        <v>3517</v>
      </c>
      <c r="AM603" t="s">
        <v>170</v>
      </c>
      <c r="AN603" s="1">
        <v>45641</v>
      </c>
      <c r="AO603">
        <v>2024</v>
      </c>
      <c r="AP603">
        <v>12</v>
      </c>
      <c r="AQ603" t="s">
        <v>116</v>
      </c>
      <c r="AS603" t="s">
        <v>85</v>
      </c>
      <c r="AT603">
        <v>2025</v>
      </c>
      <c r="AU603" t="s">
        <v>168</v>
      </c>
      <c r="AV603" t="s">
        <v>170</v>
      </c>
      <c r="AW603" t="s">
        <v>3757</v>
      </c>
      <c r="AX603">
        <v>2025</v>
      </c>
      <c r="AY603" t="s">
        <v>2876</v>
      </c>
      <c r="AZ603" t="s">
        <v>2876</v>
      </c>
    </row>
    <row r="604" spans="1:52" x14ac:dyDescent="0.25">
      <c r="A604" t="s">
        <v>3759</v>
      </c>
      <c r="B604" s="1">
        <v>34178</v>
      </c>
      <c r="C604" t="s">
        <v>3760</v>
      </c>
      <c r="D604">
        <v>468466</v>
      </c>
      <c r="E604" t="s">
        <v>46</v>
      </c>
      <c r="F604" t="s">
        <v>617</v>
      </c>
      <c r="G604" t="s">
        <v>490</v>
      </c>
      <c r="H604" t="s">
        <v>3760</v>
      </c>
      <c r="I604" t="s">
        <v>575</v>
      </c>
      <c r="J604">
        <v>69</v>
      </c>
      <c r="K604">
        <v>72</v>
      </c>
      <c r="L604">
        <v>75</v>
      </c>
      <c r="M604">
        <v>75</v>
      </c>
      <c r="N604">
        <v>147</v>
      </c>
      <c r="O604" t="s">
        <v>48</v>
      </c>
      <c r="P604">
        <v>90</v>
      </c>
      <c r="Q604">
        <v>-93</v>
      </c>
      <c r="R604">
        <v>-95</v>
      </c>
      <c r="S604">
        <v>90</v>
      </c>
      <c r="T604">
        <v>0</v>
      </c>
      <c r="U604" t="s">
        <v>55</v>
      </c>
      <c r="V604">
        <f t="shared" si="27"/>
        <v>4</v>
      </c>
      <c r="W604">
        <f t="shared" si="28"/>
        <v>0</v>
      </c>
      <c r="X604">
        <f t="shared" si="29"/>
        <v>0</v>
      </c>
      <c r="Y604">
        <v>165</v>
      </c>
      <c r="Z604">
        <v>147</v>
      </c>
      <c r="AA604" t="s">
        <v>3761</v>
      </c>
      <c r="AB604" t="s">
        <v>3762</v>
      </c>
      <c r="AC604" t="s">
        <v>94</v>
      </c>
      <c r="AD604">
        <v>4</v>
      </c>
      <c r="AE604">
        <v>64</v>
      </c>
      <c r="AF604" t="s">
        <v>126</v>
      </c>
      <c r="AH604" t="s">
        <v>167</v>
      </c>
      <c r="AI604">
        <v>215.05</v>
      </c>
      <c r="AJ604" t="s">
        <v>132</v>
      </c>
      <c r="AK604" t="s">
        <v>617</v>
      </c>
      <c r="AL604" t="s">
        <v>620</v>
      </c>
      <c r="AM604" t="s">
        <v>90</v>
      </c>
      <c r="AN604" s="1">
        <v>45640</v>
      </c>
      <c r="AO604">
        <v>2024</v>
      </c>
      <c r="AP604">
        <v>12</v>
      </c>
      <c r="AQ604" t="s">
        <v>116</v>
      </c>
      <c r="AS604" t="s">
        <v>85</v>
      </c>
      <c r="AT604">
        <v>2025</v>
      </c>
      <c r="AU604" t="s">
        <v>490</v>
      </c>
      <c r="AV604" t="s">
        <v>91</v>
      </c>
      <c r="AW604" t="s">
        <v>3760</v>
      </c>
      <c r="AX604">
        <v>2025</v>
      </c>
      <c r="AY604" t="s">
        <v>686</v>
      </c>
      <c r="AZ604" t="s">
        <v>3761</v>
      </c>
    </row>
    <row r="605" spans="1:52" x14ac:dyDescent="0.25">
      <c r="A605" t="s">
        <v>3776</v>
      </c>
      <c r="B605" s="1">
        <v>38614</v>
      </c>
      <c r="C605" t="s">
        <v>3777</v>
      </c>
      <c r="D605">
        <v>443330</v>
      </c>
      <c r="E605" t="s">
        <v>46</v>
      </c>
      <c r="F605" t="s">
        <v>679</v>
      </c>
      <c r="G605" t="s">
        <v>606</v>
      </c>
      <c r="H605" t="s">
        <v>3777</v>
      </c>
      <c r="I605">
        <v>81</v>
      </c>
      <c r="J605">
        <v>90</v>
      </c>
      <c r="K605">
        <v>95</v>
      </c>
      <c r="L605">
        <v>98</v>
      </c>
      <c r="M605">
        <v>98</v>
      </c>
      <c r="N605">
        <v>193</v>
      </c>
      <c r="O605" t="s">
        <v>48</v>
      </c>
      <c r="P605">
        <v>110</v>
      </c>
      <c r="Q605">
        <v>117</v>
      </c>
      <c r="R605">
        <v>-120</v>
      </c>
      <c r="S605">
        <v>117</v>
      </c>
      <c r="T605">
        <v>227</v>
      </c>
      <c r="U605" t="s">
        <v>60</v>
      </c>
      <c r="V605">
        <f t="shared" si="27"/>
        <v>5</v>
      </c>
      <c r="W605">
        <f t="shared" si="28"/>
        <v>0</v>
      </c>
      <c r="X605">
        <f t="shared" si="29"/>
        <v>0</v>
      </c>
      <c r="Y605">
        <v>215</v>
      </c>
      <c r="Z605">
        <v>420</v>
      </c>
      <c r="AA605" t="s">
        <v>667</v>
      </c>
      <c r="AB605" t="s">
        <v>668</v>
      </c>
      <c r="AC605" t="s">
        <v>89</v>
      </c>
      <c r="AD605">
        <v>5</v>
      </c>
      <c r="AE605">
        <v>81</v>
      </c>
      <c r="AF605" t="s">
        <v>113</v>
      </c>
      <c r="AH605" t="s">
        <v>252</v>
      </c>
      <c r="AI605">
        <v>272.86</v>
      </c>
      <c r="AJ605" t="s">
        <v>52</v>
      </c>
      <c r="AK605" t="s">
        <v>679</v>
      </c>
      <c r="AL605" t="s">
        <v>682</v>
      </c>
      <c r="AM605" t="s">
        <v>128</v>
      </c>
      <c r="AN605" s="1">
        <v>45641</v>
      </c>
      <c r="AO605">
        <v>2024</v>
      </c>
      <c r="AP605">
        <v>12</v>
      </c>
      <c r="AQ605" t="s">
        <v>116</v>
      </c>
      <c r="AS605" t="s">
        <v>85</v>
      </c>
      <c r="AT605">
        <v>2025</v>
      </c>
      <c r="AU605" t="s">
        <v>606</v>
      </c>
      <c r="AV605" t="s">
        <v>128</v>
      </c>
      <c r="AW605" t="s">
        <v>3777</v>
      </c>
      <c r="AX605">
        <v>2025</v>
      </c>
      <c r="AY605" t="s">
        <v>667</v>
      </c>
      <c r="AZ605" t="s">
        <v>667</v>
      </c>
    </row>
    <row r="606" spans="1:52" x14ac:dyDescent="0.25">
      <c r="A606" t="s">
        <v>3765</v>
      </c>
      <c r="B606" s="1">
        <v>41470</v>
      </c>
      <c r="C606" t="s">
        <v>3766</v>
      </c>
      <c r="D606">
        <v>494545</v>
      </c>
      <c r="E606" t="s">
        <v>46</v>
      </c>
      <c r="F606" t="s">
        <v>760</v>
      </c>
      <c r="G606" t="s">
        <v>419</v>
      </c>
      <c r="H606" t="s">
        <v>3766</v>
      </c>
      <c r="I606" t="s">
        <v>3768</v>
      </c>
      <c r="J606">
        <v>14</v>
      </c>
      <c r="K606">
        <v>16</v>
      </c>
      <c r="L606">
        <v>18</v>
      </c>
      <c r="M606">
        <v>18</v>
      </c>
      <c r="N606">
        <v>34</v>
      </c>
      <c r="O606" t="s">
        <v>48</v>
      </c>
      <c r="P606">
        <v>17</v>
      </c>
      <c r="Q606">
        <v>19</v>
      </c>
      <c r="R606">
        <v>21</v>
      </c>
      <c r="S606">
        <v>21</v>
      </c>
      <c r="T606">
        <v>40</v>
      </c>
      <c r="U606" t="s">
        <v>48</v>
      </c>
      <c r="V606">
        <f t="shared" si="27"/>
        <v>6</v>
      </c>
      <c r="W606">
        <f t="shared" si="28"/>
        <v>0</v>
      </c>
      <c r="X606">
        <f t="shared" si="29"/>
        <v>0</v>
      </c>
      <c r="Y606">
        <v>39</v>
      </c>
      <c r="Z606">
        <v>74</v>
      </c>
      <c r="AA606" t="s">
        <v>3767</v>
      </c>
      <c r="AB606" t="s">
        <v>3769</v>
      </c>
      <c r="AC606" t="s">
        <v>49</v>
      </c>
      <c r="AD606">
        <v>999</v>
      </c>
      <c r="AE606">
        <v>67</v>
      </c>
      <c r="AF606" t="s">
        <v>50</v>
      </c>
      <c r="AH606" t="s">
        <v>249</v>
      </c>
      <c r="AI606">
        <v>108.26</v>
      </c>
      <c r="AJ606" t="s">
        <v>52</v>
      </c>
      <c r="AK606" t="s">
        <v>760</v>
      </c>
      <c r="AL606" t="s">
        <v>763</v>
      </c>
      <c r="AM606" t="s">
        <v>133</v>
      </c>
      <c r="AN606" s="1">
        <v>45640</v>
      </c>
      <c r="AO606">
        <v>2024</v>
      </c>
      <c r="AP606">
        <v>12</v>
      </c>
      <c r="AQ606" t="s">
        <v>116</v>
      </c>
      <c r="AS606" t="s">
        <v>85</v>
      </c>
      <c r="AT606">
        <v>2025</v>
      </c>
      <c r="AU606" t="s">
        <v>419</v>
      </c>
      <c r="AV606" t="s">
        <v>133</v>
      </c>
      <c r="AW606" t="s">
        <v>3766</v>
      </c>
      <c r="AX606">
        <v>2025</v>
      </c>
      <c r="AY606" t="s">
        <v>3767</v>
      </c>
      <c r="AZ606" t="s">
        <v>3767</v>
      </c>
    </row>
    <row r="607" spans="1:52" x14ac:dyDescent="0.25">
      <c r="A607" t="s">
        <v>3770</v>
      </c>
      <c r="B607" s="1">
        <v>41234</v>
      </c>
      <c r="C607" t="s">
        <v>3771</v>
      </c>
      <c r="D607">
        <v>455178</v>
      </c>
      <c r="E607" t="s">
        <v>46</v>
      </c>
      <c r="F607" t="s">
        <v>837</v>
      </c>
      <c r="G607" t="s">
        <v>449</v>
      </c>
      <c r="H607" t="s">
        <v>3771</v>
      </c>
      <c r="I607" t="s">
        <v>1802</v>
      </c>
      <c r="J607">
        <v>33</v>
      </c>
      <c r="K607">
        <v>35</v>
      </c>
      <c r="L607">
        <v>37</v>
      </c>
      <c r="M607">
        <v>37</v>
      </c>
      <c r="N607">
        <v>72</v>
      </c>
      <c r="O607" t="s">
        <v>48</v>
      </c>
      <c r="P607">
        <v>42</v>
      </c>
      <c r="Q607">
        <v>44</v>
      </c>
      <c r="R607">
        <v>46</v>
      </c>
      <c r="S607">
        <v>46</v>
      </c>
      <c r="T607">
        <v>90</v>
      </c>
      <c r="U607" t="s">
        <v>48</v>
      </c>
      <c r="V607">
        <f t="shared" si="27"/>
        <v>6</v>
      </c>
      <c r="W607">
        <f t="shared" si="28"/>
        <v>0</v>
      </c>
      <c r="X607">
        <f t="shared" si="29"/>
        <v>0</v>
      </c>
      <c r="Y607">
        <v>83</v>
      </c>
      <c r="Z607">
        <v>162</v>
      </c>
      <c r="AA607" t="s">
        <v>3772</v>
      </c>
      <c r="AB607" t="s">
        <v>3773</v>
      </c>
      <c r="AC607" t="s">
        <v>49</v>
      </c>
      <c r="AD607">
        <v>999</v>
      </c>
      <c r="AE607">
        <v>35</v>
      </c>
      <c r="AF607" t="s">
        <v>50</v>
      </c>
      <c r="AH607" t="s">
        <v>253</v>
      </c>
      <c r="AI607">
        <v>449.55</v>
      </c>
      <c r="AJ607" t="s">
        <v>52</v>
      </c>
      <c r="AK607" t="s">
        <v>837</v>
      </c>
      <c r="AL607" t="s">
        <v>840</v>
      </c>
      <c r="AM607" t="s">
        <v>173</v>
      </c>
      <c r="AN607" s="1">
        <v>45640</v>
      </c>
      <c r="AO607">
        <v>2024</v>
      </c>
      <c r="AP607">
        <v>12</v>
      </c>
      <c r="AQ607" t="s">
        <v>116</v>
      </c>
      <c r="AS607" t="s">
        <v>85</v>
      </c>
      <c r="AT607">
        <v>2025</v>
      </c>
      <c r="AU607" t="s">
        <v>449</v>
      </c>
      <c r="AV607" t="s">
        <v>173</v>
      </c>
      <c r="AW607" t="s">
        <v>3771</v>
      </c>
      <c r="AX607">
        <v>2025</v>
      </c>
      <c r="AY607" t="s">
        <v>3772</v>
      </c>
      <c r="AZ607" t="s">
        <v>3772</v>
      </c>
    </row>
    <row r="608" spans="1:52" x14ac:dyDescent="0.25">
      <c r="A608" t="s">
        <v>3783</v>
      </c>
      <c r="B608" s="1">
        <v>39576</v>
      </c>
      <c r="C608" t="s">
        <v>3784</v>
      </c>
      <c r="D608">
        <v>466313</v>
      </c>
      <c r="E608" t="s">
        <v>46</v>
      </c>
      <c r="F608" t="s">
        <v>729</v>
      </c>
      <c r="G608" t="s">
        <v>255</v>
      </c>
      <c r="H608" t="s">
        <v>3784</v>
      </c>
      <c r="I608" t="s">
        <v>2528</v>
      </c>
      <c r="J608">
        <v>105</v>
      </c>
      <c r="K608">
        <v>-110</v>
      </c>
      <c r="L608">
        <v>112</v>
      </c>
      <c r="M608">
        <v>112</v>
      </c>
      <c r="N608">
        <v>217</v>
      </c>
      <c r="O608" t="s">
        <v>65</v>
      </c>
      <c r="P608">
        <v>-130</v>
      </c>
      <c r="Q608">
        <v>-130</v>
      </c>
      <c r="R608">
        <v>135</v>
      </c>
      <c r="S608">
        <v>135</v>
      </c>
      <c r="T608">
        <v>0</v>
      </c>
      <c r="U608" t="s">
        <v>102</v>
      </c>
      <c r="V608">
        <f t="shared" si="27"/>
        <v>3</v>
      </c>
      <c r="W608">
        <f t="shared" si="28"/>
        <v>1</v>
      </c>
      <c r="X608">
        <f t="shared" si="29"/>
        <v>0</v>
      </c>
      <c r="Y608">
        <v>247</v>
      </c>
      <c r="Z608">
        <v>217</v>
      </c>
      <c r="AA608" t="s">
        <v>3785</v>
      </c>
      <c r="AB608" t="s">
        <v>3786</v>
      </c>
      <c r="AC608" t="s">
        <v>98</v>
      </c>
      <c r="AD608">
        <v>3</v>
      </c>
      <c r="AE608">
        <v>89</v>
      </c>
      <c r="AF608" t="s">
        <v>95</v>
      </c>
      <c r="AH608" t="s">
        <v>745</v>
      </c>
      <c r="AI608">
        <v>300.16000000000003</v>
      </c>
      <c r="AJ608" t="s">
        <v>52</v>
      </c>
      <c r="AK608" t="s">
        <v>729</v>
      </c>
      <c r="AL608" t="s">
        <v>732</v>
      </c>
      <c r="AM608" t="s">
        <v>68</v>
      </c>
      <c r="AN608" s="1">
        <v>45640</v>
      </c>
      <c r="AO608">
        <v>2024</v>
      </c>
      <c r="AP608">
        <v>12</v>
      </c>
      <c r="AQ608" t="s">
        <v>116</v>
      </c>
      <c r="AS608" t="s">
        <v>85</v>
      </c>
      <c r="AT608">
        <v>2025</v>
      </c>
      <c r="AU608" t="s">
        <v>255</v>
      </c>
      <c r="AV608" t="s">
        <v>68</v>
      </c>
      <c r="AW608" t="s">
        <v>3784</v>
      </c>
      <c r="AX608">
        <v>2025</v>
      </c>
      <c r="AY608" t="s">
        <v>3785</v>
      </c>
      <c r="AZ608" t="s">
        <v>3785</v>
      </c>
    </row>
    <row r="609" spans="1:52" x14ac:dyDescent="0.25">
      <c r="A609" t="s">
        <v>3778</v>
      </c>
      <c r="B609" s="1">
        <v>37054</v>
      </c>
      <c r="C609" t="s">
        <v>3779</v>
      </c>
      <c r="D609">
        <v>499873</v>
      </c>
      <c r="E609" t="s">
        <v>46</v>
      </c>
      <c r="F609" t="s">
        <v>770</v>
      </c>
      <c r="G609" t="s">
        <v>396</v>
      </c>
      <c r="H609" t="s">
        <v>3779</v>
      </c>
      <c r="I609">
        <v>59</v>
      </c>
      <c r="J609">
        <v>45</v>
      </c>
      <c r="K609">
        <v>48</v>
      </c>
      <c r="L609">
        <v>51</v>
      </c>
      <c r="M609">
        <v>51</v>
      </c>
      <c r="N609">
        <v>99</v>
      </c>
      <c r="O609" t="s">
        <v>48</v>
      </c>
      <c r="P609">
        <v>68</v>
      </c>
      <c r="Q609">
        <v>72</v>
      </c>
      <c r="R609">
        <v>-75</v>
      </c>
      <c r="S609">
        <v>72</v>
      </c>
      <c r="T609">
        <v>140</v>
      </c>
      <c r="U609" t="s">
        <v>60</v>
      </c>
      <c r="V609">
        <f t="shared" si="27"/>
        <v>5</v>
      </c>
      <c r="W609">
        <f t="shared" si="28"/>
        <v>0</v>
      </c>
      <c r="X609">
        <f t="shared" si="29"/>
        <v>0</v>
      </c>
      <c r="Y609">
        <v>123</v>
      </c>
      <c r="Z609">
        <v>239</v>
      </c>
      <c r="AA609" t="s">
        <v>3417</v>
      </c>
      <c r="AB609" t="s">
        <v>3775</v>
      </c>
      <c r="AC609" t="s">
        <v>93</v>
      </c>
      <c r="AD609">
        <v>6</v>
      </c>
      <c r="AE609">
        <v>59</v>
      </c>
      <c r="AF609" t="s">
        <v>126</v>
      </c>
      <c r="AH609" t="s">
        <v>202</v>
      </c>
      <c r="AI609">
        <v>168.3</v>
      </c>
      <c r="AJ609" t="s">
        <v>132</v>
      </c>
      <c r="AK609" t="s">
        <v>770</v>
      </c>
      <c r="AL609" t="s">
        <v>773</v>
      </c>
      <c r="AM609" t="s">
        <v>302</v>
      </c>
      <c r="AN609" s="1">
        <v>45640</v>
      </c>
      <c r="AO609">
        <v>2024</v>
      </c>
      <c r="AP609">
        <v>12</v>
      </c>
      <c r="AQ609" t="s">
        <v>116</v>
      </c>
      <c r="AS609" t="s">
        <v>85</v>
      </c>
      <c r="AT609">
        <v>2025</v>
      </c>
      <c r="AU609" t="s">
        <v>396</v>
      </c>
      <c r="AV609" t="s">
        <v>303</v>
      </c>
      <c r="AW609" t="s">
        <v>3779</v>
      </c>
      <c r="AX609">
        <v>2025</v>
      </c>
      <c r="AY609" t="s">
        <v>3417</v>
      </c>
      <c r="AZ609" t="s">
        <v>3417</v>
      </c>
    </row>
    <row r="610" spans="1:52" x14ac:dyDescent="0.25">
      <c r="A610" t="s">
        <v>3780</v>
      </c>
      <c r="B610" s="1">
        <v>37615</v>
      </c>
      <c r="C610" t="s">
        <v>3781</v>
      </c>
      <c r="D610">
        <v>448938</v>
      </c>
      <c r="E610" t="s">
        <v>46</v>
      </c>
      <c r="F610" t="s">
        <v>912</v>
      </c>
      <c r="G610" t="s">
        <v>154</v>
      </c>
      <c r="H610" t="s">
        <v>3781</v>
      </c>
      <c r="I610">
        <v>55</v>
      </c>
      <c r="J610">
        <v>-57</v>
      </c>
      <c r="K610">
        <v>-57</v>
      </c>
      <c r="L610">
        <v>57</v>
      </c>
      <c r="M610">
        <v>57</v>
      </c>
      <c r="N610">
        <v>0</v>
      </c>
      <c r="O610" t="s">
        <v>102</v>
      </c>
      <c r="P610">
        <v>-67</v>
      </c>
      <c r="Q610">
        <v>-67</v>
      </c>
      <c r="R610">
        <v>67</v>
      </c>
      <c r="S610">
        <v>67</v>
      </c>
      <c r="T610">
        <v>0</v>
      </c>
      <c r="U610" t="s">
        <v>102</v>
      </c>
      <c r="V610">
        <f t="shared" si="27"/>
        <v>2</v>
      </c>
      <c r="W610">
        <f t="shared" si="28"/>
        <v>1</v>
      </c>
      <c r="X610">
        <f t="shared" si="29"/>
        <v>1</v>
      </c>
      <c r="Y610">
        <v>124</v>
      </c>
      <c r="Z610">
        <v>0</v>
      </c>
      <c r="AA610" t="s">
        <v>900</v>
      </c>
      <c r="AB610" t="s">
        <v>99</v>
      </c>
      <c r="AC610" t="s">
        <v>93</v>
      </c>
      <c r="AD610">
        <v>6</v>
      </c>
      <c r="AE610">
        <v>55</v>
      </c>
      <c r="AF610" t="s">
        <v>126</v>
      </c>
      <c r="AH610" t="s">
        <v>197</v>
      </c>
      <c r="AI610">
        <v>177.95</v>
      </c>
      <c r="AJ610" t="s">
        <v>132</v>
      </c>
      <c r="AK610" t="s">
        <v>912</v>
      </c>
      <c r="AL610" t="s">
        <v>914</v>
      </c>
      <c r="AM610" t="s">
        <v>128</v>
      </c>
      <c r="AN610" s="1">
        <v>45640</v>
      </c>
      <c r="AO610">
        <v>2024</v>
      </c>
      <c r="AP610">
        <v>12</v>
      </c>
      <c r="AQ610" t="s">
        <v>116</v>
      </c>
      <c r="AS610" t="s">
        <v>85</v>
      </c>
      <c r="AT610">
        <v>2025</v>
      </c>
      <c r="AU610" t="s">
        <v>154</v>
      </c>
      <c r="AV610" t="s">
        <v>128</v>
      </c>
      <c r="AW610" t="s">
        <v>3781</v>
      </c>
      <c r="AX610">
        <v>2025</v>
      </c>
      <c r="AY610" t="s">
        <v>3782</v>
      </c>
      <c r="AZ610" t="s">
        <v>3660</v>
      </c>
    </row>
    <row r="611" spans="1:52" x14ac:dyDescent="0.25">
      <c r="A611" t="s">
        <v>3795</v>
      </c>
      <c r="B611" s="1">
        <v>38521</v>
      </c>
      <c r="C611" t="s">
        <v>3796</v>
      </c>
      <c r="D611">
        <v>402003</v>
      </c>
      <c r="E611" t="s">
        <v>46</v>
      </c>
      <c r="F611" t="s">
        <v>518</v>
      </c>
      <c r="G611" t="s">
        <v>639</v>
      </c>
      <c r="H611" t="s">
        <v>3796</v>
      </c>
      <c r="I611" t="s">
        <v>484</v>
      </c>
      <c r="J611">
        <v>56</v>
      </c>
      <c r="K611">
        <v>59</v>
      </c>
      <c r="L611">
        <v>-61</v>
      </c>
      <c r="M611">
        <v>59</v>
      </c>
      <c r="N611">
        <v>115</v>
      </c>
      <c r="O611" t="s">
        <v>60</v>
      </c>
      <c r="P611">
        <v>65</v>
      </c>
      <c r="Q611">
        <v>-69</v>
      </c>
      <c r="R611">
        <v>-69</v>
      </c>
      <c r="S611">
        <v>65</v>
      </c>
      <c r="T611">
        <v>0</v>
      </c>
      <c r="U611" t="s">
        <v>55</v>
      </c>
      <c r="V611">
        <f t="shared" si="27"/>
        <v>3</v>
      </c>
      <c r="W611">
        <f t="shared" si="28"/>
        <v>0</v>
      </c>
      <c r="X611">
        <f t="shared" si="29"/>
        <v>0</v>
      </c>
      <c r="Y611">
        <v>124</v>
      </c>
      <c r="Z611">
        <v>115</v>
      </c>
      <c r="AA611" t="s">
        <v>2811</v>
      </c>
      <c r="AB611" t="s">
        <v>3797</v>
      </c>
      <c r="AC611" t="s">
        <v>89</v>
      </c>
      <c r="AD611">
        <v>5</v>
      </c>
      <c r="AE611">
        <v>64</v>
      </c>
      <c r="AF611" t="s">
        <v>113</v>
      </c>
      <c r="AH611" t="s">
        <v>355</v>
      </c>
      <c r="AI611">
        <v>161.84</v>
      </c>
      <c r="AJ611" t="s">
        <v>132</v>
      </c>
      <c r="AK611" t="s">
        <v>518</v>
      </c>
      <c r="AL611" t="s">
        <v>522</v>
      </c>
      <c r="AM611" t="s">
        <v>177</v>
      </c>
      <c r="AN611" s="1">
        <v>45640</v>
      </c>
      <c r="AO611">
        <v>2024</v>
      </c>
      <c r="AP611">
        <v>12</v>
      </c>
      <c r="AQ611" t="s">
        <v>116</v>
      </c>
      <c r="AS611" t="s">
        <v>85</v>
      </c>
      <c r="AT611">
        <v>2025</v>
      </c>
      <c r="AU611" t="s">
        <v>639</v>
      </c>
      <c r="AV611" t="s">
        <v>177</v>
      </c>
      <c r="AW611" t="s">
        <v>3796</v>
      </c>
      <c r="AX611">
        <v>2025</v>
      </c>
      <c r="AY611" t="s">
        <v>1982</v>
      </c>
      <c r="AZ611" t="s">
        <v>1982</v>
      </c>
    </row>
    <row r="612" spans="1:52" x14ac:dyDescent="0.25">
      <c r="A612" t="s">
        <v>3798</v>
      </c>
      <c r="B612" s="1">
        <v>36278</v>
      </c>
      <c r="C612" t="s">
        <v>3799</v>
      </c>
      <c r="D612">
        <v>477029</v>
      </c>
      <c r="E612" t="s">
        <v>46</v>
      </c>
      <c r="F612" t="s">
        <v>263</v>
      </c>
      <c r="G612" t="s">
        <v>513</v>
      </c>
      <c r="H612" t="s">
        <v>3799</v>
      </c>
      <c r="I612" t="s">
        <v>119</v>
      </c>
      <c r="J612">
        <v>53</v>
      </c>
      <c r="K612">
        <v>-55</v>
      </c>
      <c r="L612">
        <v>-55</v>
      </c>
      <c r="M612">
        <v>53</v>
      </c>
      <c r="N612">
        <v>0</v>
      </c>
      <c r="O612" t="s">
        <v>55</v>
      </c>
      <c r="P612">
        <v>65</v>
      </c>
      <c r="Q612">
        <v>-68</v>
      </c>
      <c r="R612">
        <v>-68</v>
      </c>
      <c r="S612">
        <v>65</v>
      </c>
      <c r="T612">
        <v>0</v>
      </c>
      <c r="U612" t="s">
        <v>55</v>
      </c>
      <c r="V612">
        <f t="shared" si="27"/>
        <v>2</v>
      </c>
      <c r="W612">
        <f t="shared" si="28"/>
        <v>0</v>
      </c>
      <c r="X612">
        <f t="shared" si="29"/>
        <v>0</v>
      </c>
      <c r="Y612">
        <v>118</v>
      </c>
      <c r="Z612">
        <v>0</v>
      </c>
      <c r="AA612" t="s">
        <v>1492</v>
      </c>
      <c r="AB612" t="s">
        <v>99</v>
      </c>
      <c r="AC612" t="s">
        <v>93</v>
      </c>
      <c r="AD612">
        <v>6</v>
      </c>
      <c r="AE612">
        <v>55</v>
      </c>
      <c r="AF612" t="s">
        <v>126</v>
      </c>
      <c r="AH612" t="s">
        <v>197</v>
      </c>
      <c r="AI612">
        <v>170.21</v>
      </c>
      <c r="AJ612" t="s">
        <v>132</v>
      </c>
      <c r="AK612" t="s">
        <v>263</v>
      </c>
      <c r="AL612" t="s">
        <v>267</v>
      </c>
      <c r="AM612" t="s">
        <v>145</v>
      </c>
      <c r="AN612" s="1">
        <v>45640</v>
      </c>
      <c r="AO612">
        <v>2024</v>
      </c>
      <c r="AP612">
        <v>12</v>
      </c>
      <c r="AQ612" t="s">
        <v>116</v>
      </c>
      <c r="AS612" t="s">
        <v>85</v>
      </c>
      <c r="AT612">
        <v>2025</v>
      </c>
      <c r="AU612" t="s">
        <v>513</v>
      </c>
      <c r="AV612" t="s">
        <v>145</v>
      </c>
      <c r="AW612" t="s">
        <v>3799</v>
      </c>
      <c r="AX612">
        <v>2025</v>
      </c>
      <c r="AY612" t="s">
        <v>1473</v>
      </c>
      <c r="AZ612" t="s">
        <v>1492</v>
      </c>
    </row>
    <row r="613" spans="1:52" x14ac:dyDescent="0.25">
      <c r="A613" t="s">
        <v>3787</v>
      </c>
      <c r="B613" s="1">
        <v>41374</v>
      </c>
      <c r="C613" t="s">
        <v>3788</v>
      </c>
      <c r="D613">
        <v>499645</v>
      </c>
      <c r="E613" t="s">
        <v>46</v>
      </c>
      <c r="F613" t="s">
        <v>964</v>
      </c>
      <c r="G613" t="s">
        <v>66</v>
      </c>
      <c r="H613" t="s">
        <v>3788</v>
      </c>
      <c r="I613" t="s">
        <v>3790</v>
      </c>
      <c r="J613">
        <v>9</v>
      </c>
      <c r="K613">
        <v>11</v>
      </c>
      <c r="L613">
        <v>-12</v>
      </c>
      <c r="M613">
        <v>11</v>
      </c>
      <c r="N613">
        <v>20</v>
      </c>
      <c r="O613" t="s">
        <v>60</v>
      </c>
      <c r="P613">
        <v>14</v>
      </c>
      <c r="Q613">
        <v>16</v>
      </c>
      <c r="R613">
        <v>-18</v>
      </c>
      <c r="S613">
        <v>16</v>
      </c>
      <c r="T613">
        <v>30</v>
      </c>
      <c r="U613" t="s">
        <v>60</v>
      </c>
      <c r="V613">
        <f t="shared" si="27"/>
        <v>4</v>
      </c>
      <c r="W613">
        <f t="shared" si="28"/>
        <v>0</v>
      </c>
      <c r="X613">
        <f t="shared" si="29"/>
        <v>0</v>
      </c>
      <c r="Y613">
        <v>27</v>
      </c>
      <c r="Z613">
        <v>50</v>
      </c>
      <c r="AA613" t="s">
        <v>3789</v>
      </c>
      <c r="AB613" t="s">
        <v>3791</v>
      </c>
      <c r="AC613" t="s">
        <v>49</v>
      </c>
      <c r="AD613">
        <v>999</v>
      </c>
      <c r="AE613">
        <v>35</v>
      </c>
      <c r="AF613" t="s">
        <v>50</v>
      </c>
      <c r="AH613" t="s">
        <v>253</v>
      </c>
      <c r="AI613">
        <v>129.13</v>
      </c>
      <c r="AJ613" t="s">
        <v>52</v>
      </c>
      <c r="AK613" t="s">
        <v>964</v>
      </c>
      <c r="AL613" t="s">
        <v>967</v>
      </c>
      <c r="AM613" t="s">
        <v>68</v>
      </c>
      <c r="AN613" s="1">
        <v>45641</v>
      </c>
      <c r="AO613">
        <v>2024</v>
      </c>
      <c r="AP613">
        <v>12</v>
      </c>
      <c r="AQ613" t="s">
        <v>116</v>
      </c>
      <c r="AS613" t="s">
        <v>85</v>
      </c>
      <c r="AT613">
        <v>2025</v>
      </c>
      <c r="AU613" t="s">
        <v>66</v>
      </c>
      <c r="AV613" t="s">
        <v>68</v>
      </c>
      <c r="AW613" t="s">
        <v>3788</v>
      </c>
      <c r="AX613">
        <v>2025</v>
      </c>
      <c r="AY613" t="s">
        <v>3789</v>
      </c>
      <c r="AZ613" t="s">
        <v>3789</v>
      </c>
    </row>
    <row r="614" spans="1:52" x14ac:dyDescent="0.25">
      <c r="A614" t="s">
        <v>3792</v>
      </c>
      <c r="B614" s="1">
        <v>37797</v>
      </c>
      <c r="C614" t="s">
        <v>3793</v>
      </c>
      <c r="D614">
        <v>476397</v>
      </c>
      <c r="E614" t="s">
        <v>2401</v>
      </c>
      <c r="F614" t="s">
        <v>518</v>
      </c>
      <c r="G614" t="s">
        <v>1489</v>
      </c>
      <c r="H614" t="s">
        <v>3793</v>
      </c>
      <c r="I614" t="s">
        <v>377</v>
      </c>
      <c r="J614">
        <v>54</v>
      </c>
      <c r="K614">
        <v>58</v>
      </c>
      <c r="L614">
        <v>60</v>
      </c>
      <c r="M614">
        <v>60</v>
      </c>
      <c r="N614">
        <v>118</v>
      </c>
      <c r="O614" t="s">
        <v>48</v>
      </c>
      <c r="P614">
        <v>73</v>
      </c>
      <c r="Q614">
        <v>77</v>
      </c>
      <c r="R614">
        <v>80</v>
      </c>
      <c r="S614">
        <v>80</v>
      </c>
      <c r="T614">
        <v>157</v>
      </c>
      <c r="U614" t="s">
        <v>48</v>
      </c>
      <c r="V614">
        <f t="shared" si="27"/>
        <v>6</v>
      </c>
      <c r="W614">
        <f t="shared" si="28"/>
        <v>0</v>
      </c>
      <c r="X614">
        <f t="shared" si="29"/>
        <v>0</v>
      </c>
      <c r="Y614">
        <v>140</v>
      </c>
      <c r="Z614">
        <v>275</v>
      </c>
      <c r="AA614" t="s">
        <v>2107</v>
      </c>
      <c r="AB614" t="s">
        <v>3794</v>
      </c>
      <c r="AC614" t="s">
        <v>89</v>
      </c>
      <c r="AD614">
        <v>5</v>
      </c>
      <c r="AE614">
        <v>59</v>
      </c>
      <c r="AF614" t="s">
        <v>126</v>
      </c>
      <c r="AH614" t="s">
        <v>202</v>
      </c>
      <c r="AI614">
        <v>195.55</v>
      </c>
      <c r="AJ614" t="s">
        <v>132</v>
      </c>
      <c r="AK614" t="s">
        <v>518</v>
      </c>
      <c r="AL614" t="s">
        <v>522</v>
      </c>
      <c r="AM614" t="s">
        <v>177</v>
      </c>
      <c r="AN614" s="1">
        <v>45640</v>
      </c>
      <c r="AO614">
        <v>2024</v>
      </c>
      <c r="AP614">
        <v>12</v>
      </c>
      <c r="AQ614" t="s">
        <v>116</v>
      </c>
      <c r="AS614" t="s">
        <v>85</v>
      </c>
      <c r="AT614">
        <v>2025</v>
      </c>
      <c r="AU614" t="s">
        <v>1489</v>
      </c>
      <c r="AV614" t="s">
        <v>177</v>
      </c>
      <c r="AW614" t="s">
        <v>3793</v>
      </c>
      <c r="AX614">
        <v>2025</v>
      </c>
      <c r="AY614" t="s">
        <v>2107</v>
      </c>
      <c r="AZ614" t="s">
        <v>2107</v>
      </c>
    </row>
    <row r="615" spans="1:52" x14ac:dyDescent="0.25">
      <c r="A615" t="s">
        <v>3800</v>
      </c>
      <c r="B615" s="1">
        <v>39321</v>
      </c>
      <c r="C615" t="s">
        <v>3801</v>
      </c>
      <c r="D615">
        <v>491338</v>
      </c>
      <c r="E615" t="s">
        <v>46</v>
      </c>
      <c r="F615" t="s">
        <v>1163</v>
      </c>
      <c r="G615" t="s">
        <v>691</v>
      </c>
      <c r="H615" t="s">
        <v>3801</v>
      </c>
      <c r="I615" t="s">
        <v>130</v>
      </c>
      <c r="J615">
        <v>50</v>
      </c>
      <c r="K615">
        <v>53</v>
      </c>
      <c r="L615">
        <v>-55</v>
      </c>
      <c r="M615">
        <v>53</v>
      </c>
      <c r="N615">
        <v>103</v>
      </c>
      <c r="O615" t="s">
        <v>60</v>
      </c>
      <c r="P615">
        <v>64</v>
      </c>
      <c r="Q615">
        <v>66</v>
      </c>
      <c r="R615">
        <v>70</v>
      </c>
      <c r="S615">
        <v>70</v>
      </c>
      <c r="T615">
        <v>136</v>
      </c>
      <c r="U615" t="s">
        <v>48</v>
      </c>
      <c r="V615">
        <f t="shared" si="27"/>
        <v>5</v>
      </c>
      <c r="W615">
        <f t="shared" si="28"/>
        <v>0</v>
      </c>
      <c r="X615">
        <f t="shared" si="29"/>
        <v>0</v>
      </c>
      <c r="Y615">
        <v>123</v>
      </c>
      <c r="Z615">
        <v>239</v>
      </c>
      <c r="AA615" t="s">
        <v>3802</v>
      </c>
      <c r="AB615" t="s">
        <v>1607</v>
      </c>
      <c r="AC615" t="s">
        <v>89</v>
      </c>
      <c r="AD615">
        <v>5</v>
      </c>
      <c r="AE615">
        <v>64</v>
      </c>
      <c r="AF615" t="s">
        <v>113</v>
      </c>
      <c r="AH615" t="s">
        <v>355</v>
      </c>
      <c r="AI615">
        <v>162.41</v>
      </c>
      <c r="AJ615" t="s">
        <v>132</v>
      </c>
      <c r="AK615" t="s">
        <v>1163</v>
      </c>
      <c r="AL615" t="s">
        <v>1165</v>
      </c>
      <c r="AM615" t="s">
        <v>139</v>
      </c>
      <c r="AN615" s="1">
        <v>45640</v>
      </c>
      <c r="AO615">
        <v>2024</v>
      </c>
      <c r="AP615">
        <v>12</v>
      </c>
      <c r="AQ615" t="s">
        <v>116</v>
      </c>
      <c r="AS615" t="s">
        <v>85</v>
      </c>
      <c r="AT615">
        <v>2025</v>
      </c>
      <c r="AU615" t="s">
        <v>691</v>
      </c>
      <c r="AV615" t="s">
        <v>140</v>
      </c>
      <c r="AW615" t="s">
        <v>3801</v>
      </c>
      <c r="AX615">
        <v>2025</v>
      </c>
      <c r="AY615" t="s">
        <v>3802</v>
      </c>
      <c r="AZ615" t="s">
        <v>3802</v>
      </c>
    </row>
    <row r="616" spans="1:52" x14ac:dyDescent="0.25">
      <c r="A616" t="s">
        <v>3803</v>
      </c>
      <c r="B616" s="1">
        <v>36135</v>
      </c>
      <c r="C616" t="s">
        <v>3804</v>
      </c>
      <c r="D616">
        <v>491574</v>
      </c>
      <c r="E616" t="s">
        <v>46</v>
      </c>
      <c r="F616" t="s">
        <v>232</v>
      </c>
      <c r="G616" t="s">
        <v>258</v>
      </c>
      <c r="H616" t="s">
        <v>3804</v>
      </c>
      <c r="I616" t="s">
        <v>2968</v>
      </c>
      <c r="J616">
        <v>-62</v>
      </c>
      <c r="K616">
        <v>-62</v>
      </c>
      <c r="L616">
        <v>62</v>
      </c>
      <c r="M616">
        <v>62</v>
      </c>
      <c r="N616">
        <v>0</v>
      </c>
      <c r="O616" t="s">
        <v>102</v>
      </c>
      <c r="P616">
        <v>85</v>
      </c>
      <c r="Q616">
        <v>-90</v>
      </c>
      <c r="R616">
        <v>-90</v>
      </c>
      <c r="S616">
        <v>85</v>
      </c>
      <c r="T616">
        <v>0</v>
      </c>
      <c r="U616" t="s">
        <v>55</v>
      </c>
      <c r="V616">
        <f t="shared" si="27"/>
        <v>2</v>
      </c>
      <c r="W616">
        <f t="shared" si="28"/>
        <v>1</v>
      </c>
      <c r="X616">
        <f t="shared" si="29"/>
        <v>0</v>
      </c>
      <c r="Y616">
        <v>147</v>
      </c>
      <c r="Z616">
        <v>0</v>
      </c>
      <c r="AA616" t="s">
        <v>3805</v>
      </c>
      <c r="AB616" t="s">
        <v>99</v>
      </c>
      <c r="AC616" t="s">
        <v>89</v>
      </c>
      <c r="AD616">
        <v>5</v>
      </c>
      <c r="AE616">
        <v>64</v>
      </c>
      <c r="AF616" t="s">
        <v>126</v>
      </c>
      <c r="AH616" t="s">
        <v>167</v>
      </c>
      <c r="AI616">
        <v>194.6</v>
      </c>
      <c r="AJ616" t="s">
        <v>132</v>
      </c>
      <c r="AK616" t="s">
        <v>232</v>
      </c>
      <c r="AL616" t="s">
        <v>236</v>
      </c>
      <c r="AM616" t="s">
        <v>128</v>
      </c>
      <c r="AN616" s="1">
        <v>45640</v>
      </c>
      <c r="AO616">
        <v>2024</v>
      </c>
      <c r="AP616">
        <v>12</v>
      </c>
      <c r="AQ616" t="s">
        <v>116</v>
      </c>
      <c r="AS616" t="s">
        <v>85</v>
      </c>
      <c r="AT616">
        <v>2025</v>
      </c>
      <c r="AU616" t="s">
        <v>258</v>
      </c>
      <c r="AV616" t="s">
        <v>128</v>
      </c>
      <c r="AW616" t="s">
        <v>3804</v>
      </c>
      <c r="AX616">
        <v>2025</v>
      </c>
      <c r="AY616" t="s">
        <v>354</v>
      </c>
      <c r="AZ616" t="s">
        <v>3805</v>
      </c>
    </row>
    <row r="617" spans="1:52" x14ac:dyDescent="0.25">
      <c r="A617" t="s">
        <v>3806</v>
      </c>
      <c r="B617" s="1">
        <v>38934</v>
      </c>
      <c r="C617" t="s">
        <v>3807</v>
      </c>
      <c r="D617">
        <v>476999</v>
      </c>
      <c r="E617" t="s">
        <v>46</v>
      </c>
      <c r="F617" t="s">
        <v>360</v>
      </c>
      <c r="G617" t="s">
        <v>1032</v>
      </c>
      <c r="H617" t="s">
        <v>3807</v>
      </c>
      <c r="I617" t="s">
        <v>751</v>
      </c>
      <c r="J617">
        <v>44</v>
      </c>
      <c r="K617">
        <v>47</v>
      </c>
      <c r="L617">
        <v>-50</v>
      </c>
      <c r="M617">
        <v>47</v>
      </c>
      <c r="N617">
        <v>91</v>
      </c>
      <c r="O617" t="s">
        <v>60</v>
      </c>
      <c r="P617">
        <v>58</v>
      </c>
      <c r="Q617">
        <v>62</v>
      </c>
      <c r="R617">
        <v>65</v>
      </c>
      <c r="S617">
        <v>65</v>
      </c>
      <c r="T617">
        <v>127</v>
      </c>
      <c r="U617" t="s">
        <v>48</v>
      </c>
      <c r="V617">
        <f t="shared" si="27"/>
        <v>5</v>
      </c>
      <c r="W617">
        <f t="shared" si="28"/>
        <v>0</v>
      </c>
      <c r="X617">
        <f t="shared" si="29"/>
        <v>0</v>
      </c>
      <c r="Y617">
        <v>112</v>
      </c>
      <c r="Z617">
        <v>218</v>
      </c>
      <c r="AA617" t="s">
        <v>3808</v>
      </c>
      <c r="AB617" t="s">
        <v>3809</v>
      </c>
      <c r="AC617" t="s">
        <v>93</v>
      </c>
      <c r="AD617">
        <v>6</v>
      </c>
      <c r="AE617">
        <v>64</v>
      </c>
      <c r="AF617" t="s">
        <v>113</v>
      </c>
      <c r="AH617" t="s">
        <v>355</v>
      </c>
      <c r="AI617">
        <v>148.15</v>
      </c>
      <c r="AJ617" t="s">
        <v>132</v>
      </c>
      <c r="AK617" t="s">
        <v>360</v>
      </c>
      <c r="AL617" t="s">
        <v>363</v>
      </c>
      <c r="AM617" t="s">
        <v>53</v>
      </c>
      <c r="AN617" s="1">
        <v>45640</v>
      </c>
      <c r="AO617">
        <v>2024</v>
      </c>
      <c r="AP617">
        <v>12</v>
      </c>
      <c r="AQ617" t="s">
        <v>116</v>
      </c>
      <c r="AS617" t="s">
        <v>85</v>
      </c>
      <c r="AT617">
        <v>2025</v>
      </c>
      <c r="AU617" t="s">
        <v>1032</v>
      </c>
      <c r="AV617" t="s">
        <v>54</v>
      </c>
      <c r="AW617" t="s">
        <v>3807</v>
      </c>
      <c r="AX617">
        <v>2025</v>
      </c>
      <c r="AY617" t="s">
        <v>3808</v>
      </c>
      <c r="AZ617" t="s">
        <v>3808</v>
      </c>
    </row>
    <row r="618" spans="1:52" x14ac:dyDescent="0.25">
      <c r="A618" t="s">
        <v>3810</v>
      </c>
      <c r="B618" s="1">
        <v>38210</v>
      </c>
      <c r="C618" t="s">
        <v>3811</v>
      </c>
      <c r="D618">
        <v>463095</v>
      </c>
      <c r="E618" t="s">
        <v>46</v>
      </c>
      <c r="F618" t="s">
        <v>1173</v>
      </c>
      <c r="G618" t="s">
        <v>416</v>
      </c>
      <c r="H618" t="s">
        <v>3811</v>
      </c>
      <c r="I618" t="s">
        <v>1096</v>
      </c>
      <c r="J618">
        <v>52</v>
      </c>
      <c r="K618">
        <v>56</v>
      </c>
      <c r="L618">
        <v>60</v>
      </c>
      <c r="M618">
        <v>60</v>
      </c>
      <c r="N618">
        <v>116</v>
      </c>
      <c r="O618" t="s">
        <v>48</v>
      </c>
      <c r="P618">
        <v>65</v>
      </c>
      <c r="Q618">
        <v>70</v>
      </c>
      <c r="R618">
        <v>-75</v>
      </c>
      <c r="S618">
        <v>70</v>
      </c>
      <c r="T618">
        <v>135</v>
      </c>
      <c r="U618" t="s">
        <v>60</v>
      </c>
      <c r="V618">
        <f t="shared" si="27"/>
        <v>5</v>
      </c>
      <c r="W618">
        <f t="shared" si="28"/>
        <v>0</v>
      </c>
      <c r="X618">
        <f t="shared" si="29"/>
        <v>0</v>
      </c>
      <c r="Y618">
        <v>130</v>
      </c>
      <c r="Z618">
        <v>251</v>
      </c>
      <c r="AA618" t="s">
        <v>3813</v>
      </c>
      <c r="AB618" t="s">
        <v>3814</v>
      </c>
      <c r="AC618" t="s">
        <v>93</v>
      </c>
      <c r="AD618">
        <v>6</v>
      </c>
      <c r="AE618">
        <v>64</v>
      </c>
      <c r="AF618" t="s">
        <v>126</v>
      </c>
      <c r="AH618" t="s">
        <v>167</v>
      </c>
      <c r="AI618">
        <v>176.75</v>
      </c>
      <c r="AJ618" t="s">
        <v>132</v>
      </c>
      <c r="AK618" t="s">
        <v>1173</v>
      </c>
      <c r="AL618" t="s">
        <v>1177</v>
      </c>
      <c r="AM618" t="s">
        <v>173</v>
      </c>
      <c r="AN618" s="1">
        <v>45641</v>
      </c>
      <c r="AO618">
        <v>2024</v>
      </c>
      <c r="AP618">
        <v>12</v>
      </c>
      <c r="AQ618" t="s">
        <v>116</v>
      </c>
      <c r="AS618" t="s">
        <v>85</v>
      </c>
      <c r="AT618">
        <v>2025</v>
      </c>
      <c r="AU618" t="s">
        <v>416</v>
      </c>
      <c r="AV618" t="s">
        <v>173</v>
      </c>
      <c r="AW618" t="s">
        <v>3811</v>
      </c>
      <c r="AX618">
        <v>2025</v>
      </c>
      <c r="AY618" t="s">
        <v>3812</v>
      </c>
      <c r="AZ618" t="s">
        <v>1371</v>
      </c>
    </row>
    <row r="619" spans="1:52" x14ac:dyDescent="0.25">
      <c r="A619" t="s">
        <v>3815</v>
      </c>
      <c r="B619" s="1">
        <v>34870</v>
      </c>
      <c r="C619" t="s">
        <v>3816</v>
      </c>
      <c r="D619">
        <v>475064</v>
      </c>
      <c r="E619" t="s">
        <v>46</v>
      </c>
      <c r="F619" t="s">
        <v>770</v>
      </c>
      <c r="G619" t="s">
        <v>427</v>
      </c>
      <c r="H619" t="s">
        <v>3816</v>
      </c>
      <c r="I619" t="s">
        <v>716</v>
      </c>
      <c r="J619">
        <v>65</v>
      </c>
      <c r="K619">
        <v>68</v>
      </c>
      <c r="L619">
        <v>-70</v>
      </c>
      <c r="M619">
        <v>68</v>
      </c>
      <c r="N619">
        <v>133</v>
      </c>
      <c r="O619" t="s">
        <v>60</v>
      </c>
      <c r="P619">
        <v>83</v>
      </c>
      <c r="Q619">
        <v>-85</v>
      </c>
      <c r="R619">
        <v>-85</v>
      </c>
      <c r="S619">
        <v>83</v>
      </c>
      <c r="T619">
        <v>0</v>
      </c>
      <c r="U619" t="s">
        <v>55</v>
      </c>
      <c r="V619">
        <f t="shared" si="27"/>
        <v>3</v>
      </c>
      <c r="W619">
        <f t="shared" si="28"/>
        <v>0</v>
      </c>
      <c r="X619">
        <f t="shared" si="29"/>
        <v>0</v>
      </c>
      <c r="Y619">
        <v>151</v>
      </c>
      <c r="Z619">
        <v>133</v>
      </c>
      <c r="AA619" t="s">
        <v>3817</v>
      </c>
      <c r="AB619" t="s">
        <v>3818</v>
      </c>
      <c r="AC619" t="s">
        <v>93</v>
      </c>
      <c r="AD619">
        <v>6</v>
      </c>
      <c r="AE619">
        <v>81</v>
      </c>
      <c r="AF619" t="s">
        <v>126</v>
      </c>
      <c r="AH619" t="s">
        <v>319</v>
      </c>
      <c r="AI619">
        <v>173.99</v>
      </c>
      <c r="AJ619" t="s">
        <v>132</v>
      </c>
      <c r="AK619" t="s">
        <v>770</v>
      </c>
      <c r="AL619" t="s">
        <v>773</v>
      </c>
      <c r="AM619" t="s">
        <v>302</v>
      </c>
      <c r="AN619" s="1">
        <v>45640</v>
      </c>
      <c r="AO619">
        <v>2024</v>
      </c>
      <c r="AP619">
        <v>12</v>
      </c>
      <c r="AQ619" t="s">
        <v>116</v>
      </c>
      <c r="AS619" t="s">
        <v>85</v>
      </c>
      <c r="AT619">
        <v>2025</v>
      </c>
      <c r="AU619" t="s">
        <v>427</v>
      </c>
      <c r="AV619" t="s">
        <v>128</v>
      </c>
      <c r="AW619" t="s">
        <v>3816</v>
      </c>
      <c r="AX619">
        <v>2025</v>
      </c>
      <c r="AY619" t="s">
        <v>3817</v>
      </c>
      <c r="AZ619" t="s">
        <v>3817</v>
      </c>
    </row>
    <row r="620" spans="1:52" x14ac:dyDescent="0.25">
      <c r="A620" t="s">
        <v>3819</v>
      </c>
      <c r="B620" s="1">
        <v>29548</v>
      </c>
      <c r="C620" t="s">
        <v>3820</v>
      </c>
      <c r="D620">
        <v>400972</v>
      </c>
      <c r="E620" t="s">
        <v>46</v>
      </c>
      <c r="F620" t="s">
        <v>837</v>
      </c>
      <c r="G620" t="s">
        <v>449</v>
      </c>
      <c r="H620" t="s">
        <v>3820</v>
      </c>
      <c r="I620" t="s">
        <v>642</v>
      </c>
      <c r="J620">
        <v>67</v>
      </c>
      <c r="K620">
        <v>72</v>
      </c>
      <c r="L620">
        <v>77</v>
      </c>
      <c r="M620">
        <v>77</v>
      </c>
      <c r="N620">
        <v>149</v>
      </c>
      <c r="O620" t="s">
        <v>48</v>
      </c>
      <c r="P620">
        <v>87</v>
      </c>
      <c r="Q620">
        <v>92</v>
      </c>
      <c r="R620">
        <v>97</v>
      </c>
      <c r="S620">
        <v>97</v>
      </c>
      <c r="T620">
        <v>189</v>
      </c>
      <c r="U620" t="s">
        <v>48</v>
      </c>
      <c r="V620">
        <f t="shared" si="27"/>
        <v>6</v>
      </c>
      <c r="W620">
        <f t="shared" si="28"/>
        <v>0</v>
      </c>
      <c r="X620">
        <f t="shared" si="29"/>
        <v>0</v>
      </c>
      <c r="Y620">
        <v>174</v>
      </c>
      <c r="Z620">
        <v>338</v>
      </c>
      <c r="AA620" t="s">
        <v>3821</v>
      </c>
      <c r="AB620" t="s">
        <v>3822</v>
      </c>
      <c r="AC620" t="s">
        <v>56</v>
      </c>
      <c r="AD620">
        <v>8</v>
      </c>
      <c r="AE620">
        <v>73</v>
      </c>
      <c r="AF620" t="s">
        <v>126</v>
      </c>
      <c r="AG620">
        <v>45</v>
      </c>
      <c r="AH620" t="s">
        <v>141</v>
      </c>
      <c r="AI620">
        <v>239.05</v>
      </c>
      <c r="AJ620" t="s">
        <v>52</v>
      </c>
      <c r="AK620" t="s">
        <v>837</v>
      </c>
      <c r="AL620" t="s">
        <v>840</v>
      </c>
      <c r="AM620" t="s">
        <v>173</v>
      </c>
      <c r="AN620" s="1">
        <v>45640</v>
      </c>
      <c r="AO620">
        <v>2024</v>
      </c>
      <c r="AP620">
        <v>12</v>
      </c>
      <c r="AQ620" t="s">
        <v>116</v>
      </c>
      <c r="AS620" t="s">
        <v>85</v>
      </c>
      <c r="AT620">
        <v>2025</v>
      </c>
      <c r="AU620" t="s">
        <v>449</v>
      </c>
      <c r="AV620" t="s">
        <v>173</v>
      </c>
      <c r="AW620" t="s">
        <v>3820</v>
      </c>
      <c r="AX620">
        <v>2025</v>
      </c>
      <c r="AY620" t="s">
        <v>1083</v>
      </c>
      <c r="AZ620" t="s">
        <v>3821</v>
      </c>
    </row>
    <row r="621" spans="1:52" x14ac:dyDescent="0.25">
      <c r="A621" t="s">
        <v>3823</v>
      </c>
      <c r="B621" s="1">
        <v>39591</v>
      </c>
      <c r="C621" t="s">
        <v>3824</v>
      </c>
      <c r="D621">
        <v>491280</v>
      </c>
      <c r="E621" t="s">
        <v>46</v>
      </c>
      <c r="F621" t="s">
        <v>1300</v>
      </c>
      <c r="G621" t="s">
        <v>506</v>
      </c>
      <c r="H621" t="s">
        <v>3824</v>
      </c>
      <c r="I621" t="s">
        <v>915</v>
      </c>
      <c r="J621">
        <v>33</v>
      </c>
      <c r="K621">
        <v>35</v>
      </c>
      <c r="L621">
        <v>-37</v>
      </c>
      <c r="M621">
        <v>35</v>
      </c>
      <c r="N621">
        <v>68</v>
      </c>
      <c r="O621" t="s">
        <v>60</v>
      </c>
      <c r="P621">
        <v>43</v>
      </c>
      <c r="Q621">
        <v>46</v>
      </c>
      <c r="R621">
        <v>-50</v>
      </c>
      <c r="S621">
        <v>46</v>
      </c>
      <c r="T621">
        <v>89</v>
      </c>
      <c r="U621" t="s">
        <v>60</v>
      </c>
      <c r="V621">
        <f t="shared" si="27"/>
        <v>4</v>
      </c>
      <c r="W621">
        <f t="shared" si="28"/>
        <v>0</v>
      </c>
      <c r="X621">
        <f t="shared" si="29"/>
        <v>0</v>
      </c>
      <c r="Y621">
        <v>81</v>
      </c>
      <c r="Z621">
        <v>157</v>
      </c>
      <c r="AA621" t="s">
        <v>3825</v>
      </c>
      <c r="AB621" t="s">
        <v>3826</v>
      </c>
      <c r="AC621" t="s">
        <v>93</v>
      </c>
      <c r="AD621">
        <v>6</v>
      </c>
      <c r="AE621">
        <v>55</v>
      </c>
      <c r="AF621" t="s">
        <v>95</v>
      </c>
      <c r="AH621" t="s">
        <v>175</v>
      </c>
      <c r="AI621">
        <v>124.58</v>
      </c>
      <c r="AJ621" t="s">
        <v>132</v>
      </c>
      <c r="AK621" t="s">
        <v>1300</v>
      </c>
      <c r="AL621" t="s">
        <v>1302</v>
      </c>
      <c r="AM621" t="s">
        <v>170</v>
      </c>
      <c r="AN621" s="1">
        <v>45640</v>
      </c>
      <c r="AO621">
        <v>2024</v>
      </c>
      <c r="AP621">
        <v>12</v>
      </c>
      <c r="AQ621" t="s">
        <v>116</v>
      </c>
      <c r="AS621" t="s">
        <v>85</v>
      </c>
      <c r="AT621">
        <v>2025</v>
      </c>
      <c r="AU621" t="s">
        <v>506</v>
      </c>
      <c r="AV621" t="s">
        <v>170</v>
      </c>
      <c r="AW621" t="s">
        <v>3824</v>
      </c>
      <c r="AX621">
        <v>2025</v>
      </c>
      <c r="AY621" t="s">
        <v>3825</v>
      </c>
      <c r="AZ621" t="s">
        <v>3825</v>
      </c>
    </row>
    <row r="622" spans="1:52" x14ac:dyDescent="0.25">
      <c r="A622" t="s">
        <v>3827</v>
      </c>
      <c r="B622" s="1">
        <v>36333</v>
      </c>
      <c r="C622" t="s">
        <v>3828</v>
      </c>
      <c r="D622">
        <v>472035</v>
      </c>
      <c r="E622" t="s">
        <v>46</v>
      </c>
      <c r="F622" t="s">
        <v>441</v>
      </c>
      <c r="G622" t="s">
        <v>417</v>
      </c>
      <c r="H622" t="s">
        <v>3828</v>
      </c>
      <c r="I622" t="s">
        <v>369</v>
      </c>
      <c r="J622">
        <v>-65</v>
      </c>
      <c r="K622">
        <v>-65</v>
      </c>
      <c r="L622">
        <v>66</v>
      </c>
      <c r="M622">
        <v>66</v>
      </c>
      <c r="N622">
        <v>0</v>
      </c>
      <c r="O622" t="s">
        <v>102</v>
      </c>
      <c r="P622">
        <v>81</v>
      </c>
      <c r="Q622">
        <v>84</v>
      </c>
      <c r="R622">
        <v>-88</v>
      </c>
      <c r="S622">
        <v>84</v>
      </c>
      <c r="T622">
        <v>165</v>
      </c>
      <c r="U622" t="s">
        <v>60</v>
      </c>
      <c r="V622">
        <f t="shared" si="27"/>
        <v>3</v>
      </c>
      <c r="W622">
        <f t="shared" si="28"/>
        <v>1</v>
      </c>
      <c r="X622">
        <f t="shared" si="29"/>
        <v>0</v>
      </c>
      <c r="Y622">
        <v>150</v>
      </c>
      <c r="Z622">
        <v>165</v>
      </c>
      <c r="AA622" t="s">
        <v>3763</v>
      </c>
      <c r="AB622" t="s">
        <v>2057</v>
      </c>
      <c r="AC622" t="s">
        <v>89</v>
      </c>
      <c r="AD622">
        <v>5</v>
      </c>
      <c r="AE622">
        <v>64</v>
      </c>
      <c r="AF622" t="s">
        <v>126</v>
      </c>
      <c r="AH622" t="s">
        <v>167</v>
      </c>
      <c r="AI622">
        <v>198.45</v>
      </c>
      <c r="AJ622" t="s">
        <v>132</v>
      </c>
      <c r="AK622" t="s">
        <v>441</v>
      </c>
      <c r="AL622" t="s">
        <v>445</v>
      </c>
      <c r="AM622" t="s">
        <v>72</v>
      </c>
      <c r="AN622" s="1">
        <v>45640</v>
      </c>
      <c r="AO622">
        <v>2024</v>
      </c>
      <c r="AP622">
        <v>12</v>
      </c>
      <c r="AQ622" t="s">
        <v>116</v>
      </c>
      <c r="AS622" t="s">
        <v>85</v>
      </c>
      <c r="AT622">
        <v>2025</v>
      </c>
      <c r="AU622" t="s">
        <v>417</v>
      </c>
      <c r="AV622" t="s">
        <v>72</v>
      </c>
      <c r="AW622" t="s">
        <v>3828</v>
      </c>
      <c r="AX622">
        <v>2025</v>
      </c>
      <c r="AY622" t="s">
        <v>3763</v>
      </c>
      <c r="AZ622" t="s">
        <v>3763</v>
      </c>
    </row>
    <row r="623" spans="1:52" x14ac:dyDescent="0.25">
      <c r="A623" t="s">
        <v>3829</v>
      </c>
      <c r="B623" s="1">
        <v>34253</v>
      </c>
      <c r="C623" t="s">
        <v>3830</v>
      </c>
      <c r="D623">
        <v>501892</v>
      </c>
      <c r="E623" t="s">
        <v>46</v>
      </c>
      <c r="F623" t="s">
        <v>801</v>
      </c>
      <c r="G623" t="s">
        <v>66</v>
      </c>
      <c r="H623" t="s">
        <v>3830</v>
      </c>
      <c r="I623" t="s">
        <v>3831</v>
      </c>
      <c r="J623">
        <v>60</v>
      </c>
      <c r="K623">
        <v>64</v>
      </c>
      <c r="L623">
        <v>67</v>
      </c>
      <c r="M623">
        <v>67</v>
      </c>
      <c r="N623">
        <v>131</v>
      </c>
      <c r="O623" t="s">
        <v>48</v>
      </c>
      <c r="P623">
        <v>78</v>
      </c>
      <c r="Q623">
        <v>82</v>
      </c>
      <c r="R623">
        <v>85</v>
      </c>
      <c r="S623">
        <v>85</v>
      </c>
      <c r="T623">
        <v>167</v>
      </c>
      <c r="U623" t="s">
        <v>48</v>
      </c>
      <c r="V623">
        <f t="shared" si="27"/>
        <v>6</v>
      </c>
      <c r="W623">
        <f t="shared" si="28"/>
        <v>0</v>
      </c>
      <c r="X623">
        <f t="shared" si="29"/>
        <v>0</v>
      </c>
      <c r="Y623">
        <v>152</v>
      </c>
      <c r="Z623">
        <v>298</v>
      </c>
      <c r="AA623" t="s">
        <v>3832</v>
      </c>
      <c r="AB623" t="s">
        <v>3833</v>
      </c>
      <c r="AC623" t="s">
        <v>93</v>
      </c>
      <c r="AD623">
        <v>6</v>
      </c>
      <c r="AE623">
        <v>81</v>
      </c>
      <c r="AF623" t="s">
        <v>126</v>
      </c>
      <c r="AH623" t="s">
        <v>319</v>
      </c>
      <c r="AI623">
        <v>176.63</v>
      </c>
      <c r="AJ623" t="s">
        <v>132</v>
      </c>
      <c r="AK623" t="s">
        <v>801</v>
      </c>
      <c r="AL623" t="s">
        <v>804</v>
      </c>
      <c r="AM623" t="s">
        <v>68</v>
      </c>
      <c r="AN623" s="1">
        <v>45640</v>
      </c>
      <c r="AO623">
        <v>2024</v>
      </c>
      <c r="AP623">
        <v>12</v>
      </c>
      <c r="AQ623" t="s">
        <v>116</v>
      </c>
      <c r="AS623" t="s">
        <v>85</v>
      </c>
      <c r="AT623">
        <v>2025</v>
      </c>
      <c r="AU623" t="s">
        <v>66</v>
      </c>
      <c r="AV623" t="s">
        <v>68</v>
      </c>
      <c r="AW623" t="s">
        <v>3830</v>
      </c>
      <c r="AX623">
        <v>2025</v>
      </c>
      <c r="AY623" t="s">
        <v>3832</v>
      </c>
      <c r="AZ623" t="s">
        <v>3832</v>
      </c>
    </row>
    <row r="624" spans="1:52" x14ac:dyDescent="0.25">
      <c r="A624" t="s">
        <v>3834</v>
      </c>
      <c r="B624" s="1">
        <v>39517</v>
      </c>
      <c r="C624" t="s">
        <v>3835</v>
      </c>
      <c r="D624">
        <v>493802</v>
      </c>
      <c r="E624" t="s">
        <v>46</v>
      </c>
      <c r="F624" t="s">
        <v>360</v>
      </c>
      <c r="G624" t="s">
        <v>937</v>
      </c>
      <c r="H624" t="s">
        <v>3835</v>
      </c>
      <c r="I624" t="s">
        <v>1196</v>
      </c>
      <c r="J624">
        <v>48</v>
      </c>
      <c r="K624">
        <v>-51</v>
      </c>
      <c r="L624">
        <v>51</v>
      </c>
      <c r="M624">
        <v>51</v>
      </c>
      <c r="N624">
        <v>99</v>
      </c>
      <c r="O624" t="s">
        <v>65</v>
      </c>
      <c r="P624">
        <v>61</v>
      </c>
      <c r="Q624">
        <v>65</v>
      </c>
      <c r="R624">
        <v>-67</v>
      </c>
      <c r="S624">
        <v>65</v>
      </c>
      <c r="T624">
        <v>126</v>
      </c>
      <c r="U624" t="s">
        <v>60</v>
      </c>
      <c r="V624">
        <f t="shared" si="27"/>
        <v>4</v>
      </c>
      <c r="W624">
        <f t="shared" si="28"/>
        <v>0</v>
      </c>
      <c r="X624">
        <f t="shared" si="29"/>
        <v>0</v>
      </c>
      <c r="Y624">
        <v>116</v>
      </c>
      <c r="Z624">
        <v>225</v>
      </c>
      <c r="AA624" t="s">
        <v>3836</v>
      </c>
      <c r="AB624" t="s">
        <v>3837</v>
      </c>
      <c r="AC624" t="s">
        <v>94</v>
      </c>
      <c r="AD624">
        <v>4</v>
      </c>
      <c r="AE624">
        <v>55</v>
      </c>
      <c r="AF624" t="s">
        <v>95</v>
      </c>
      <c r="AH624" t="s">
        <v>175</v>
      </c>
      <c r="AI624">
        <v>169</v>
      </c>
      <c r="AJ624" t="s">
        <v>132</v>
      </c>
      <c r="AK624" t="s">
        <v>360</v>
      </c>
      <c r="AL624" t="s">
        <v>363</v>
      </c>
      <c r="AM624" t="s">
        <v>53</v>
      </c>
      <c r="AN624" s="1">
        <v>45640</v>
      </c>
      <c r="AO624">
        <v>2024</v>
      </c>
      <c r="AP624">
        <v>12</v>
      </c>
      <c r="AQ624" t="s">
        <v>116</v>
      </c>
      <c r="AS624" t="s">
        <v>85</v>
      </c>
      <c r="AT624">
        <v>2025</v>
      </c>
      <c r="AU624" t="s">
        <v>937</v>
      </c>
      <c r="AV624" t="s">
        <v>54</v>
      </c>
      <c r="AW624" t="s">
        <v>3835</v>
      </c>
      <c r="AX624">
        <v>2025</v>
      </c>
      <c r="AY624" t="s">
        <v>3836</v>
      </c>
      <c r="AZ624" t="s">
        <v>3836</v>
      </c>
    </row>
    <row r="625" spans="1:52" x14ac:dyDescent="0.25">
      <c r="A625" t="s">
        <v>3838</v>
      </c>
      <c r="B625" s="1">
        <v>34234</v>
      </c>
      <c r="C625" t="s">
        <v>3839</v>
      </c>
      <c r="D625">
        <v>458251</v>
      </c>
      <c r="E625" t="s">
        <v>46</v>
      </c>
      <c r="F625" t="s">
        <v>109</v>
      </c>
      <c r="G625" t="s">
        <v>783</v>
      </c>
      <c r="H625" t="s">
        <v>3839</v>
      </c>
      <c r="I625" t="s">
        <v>2947</v>
      </c>
      <c r="J625">
        <v>65</v>
      </c>
      <c r="K625">
        <v>-70</v>
      </c>
      <c r="L625">
        <v>-70</v>
      </c>
      <c r="M625">
        <v>65</v>
      </c>
      <c r="N625">
        <v>0</v>
      </c>
      <c r="O625" t="s">
        <v>55</v>
      </c>
      <c r="P625">
        <v>-85</v>
      </c>
      <c r="Q625">
        <v>90</v>
      </c>
      <c r="R625">
        <v>-92</v>
      </c>
      <c r="S625">
        <v>90</v>
      </c>
      <c r="T625">
        <v>0</v>
      </c>
      <c r="U625" t="s">
        <v>104</v>
      </c>
      <c r="V625">
        <f t="shared" si="27"/>
        <v>2</v>
      </c>
      <c r="W625">
        <f t="shared" si="28"/>
        <v>0</v>
      </c>
      <c r="X625">
        <f t="shared" si="29"/>
        <v>0</v>
      </c>
      <c r="Y625">
        <v>155</v>
      </c>
      <c r="Z625">
        <v>0</v>
      </c>
      <c r="AA625" t="s">
        <v>3840</v>
      </c>
      <c r="AB625" t="s">
        <v>99</v>
      </c>
      <c r="AC625" t="s">
        <v>94</v>
      </c>
      <c r="AD625">
        <v>4</v>
      </c>
      <c r="AE625">
        <v>59</v>
      </c>
      <c r="AF625" t="s">
        <v>126</v>
      </c>
      <c r="AH625" t="s">
        <v>202</v>
      </c>
      <c r="AI625">
        <v>215.84</v>
      </c>
      <c r="AJ625" t="s">
        <v>132</v>
      </c>
      <c r="AK625" t="s">
        <v>109</v>
      </c>
      <c r="AL625" t="s">
        <v>115</v>
      </c>
      <c r="AM625" t="s">
        <v>90</v>
      </c>
      <c r="AN625" s="1">
        <v>45639</v>
      </c>
      <c r="AO625">
        <v>2024</v>
      </c>
      <c r="AP625">
        <v>12</v>
      </c>
      <c r="AQ625" t="s">
        <v>116</v>
      </c>
      <c r="AS625" t="s">
        <v>85</v>
      </c>
      <c r="AT625">
        <v>2025</v>
      </c>
      <c r="AU625" t="s">
        <v>783</v>
      </c>
      <c r="AV625" t="s">
        <v>91</v>
      </c>
      <c r="AW625" t="s">
        <v>3839</v>
      </c>
      <c r="AX625">
        <v>2025</v>
      </c>
      <c r="AY625" t="s">
        <v>3840</v>
      </c>
      <c r="AZ625" t="s">
        <v>3840</v>
      </c>
    </row>
    <row r="626" spans="1:52" x14ac:dyDescent="0.25">
      <c r="A626" t="s">
        <v>3842</v>
      </c>
      <c r="B626" s="1">
        <v>40796</v>
      </c>
      <c r="C626" t="s">
        <v>3843</v>
      </c>
      <c r="D626">
        <v>490778</v>
      </c>
      <c r="E626" t="s">
        <v>46</v>
      </c>
      <c r="F626" t="s">
        <v>199</v>
      </c>
      <c r="G626" t="s">
        <v>47</v>
      </c>
      <c r="H626" t="s">
        <v>3843</v>
      </c>
      <c r="I626" t="s">
        <v>69</v>
      </c>
      <c r="J626">
        <v>35</v>
      </c>
      <c r="K626">
        <v>-38</v>
      </c>
      <c r="L626">
        <v>38</v>
      </c>
      <c r="M626">
        <v>38</v>
      </c>
      <c r="N626">
        <v>73</v>
      </c>
      <c r="O626" t="s">
        <v>65</v>
      </c>
      <c r="P626">
        <v>45</v>
      </c>
      <c r="Q626">
        <v>50</v>
      </c>
      <c r="R626">
        <v>-54</v>
      </c>
      <c r="S626">
        <v>50</v>
      </c>
      <c r="T626">
        <v>95</v>
      </c>
      <c r="U626" t="s">
        <v>60</v>
      </c>
      <c r="V626">
        <f t="shared" si="27"/>
        <v>4</v>
      </c>
      <c r="W626">
        <f t="shared" si="28"/>
        <v>0</v>
      </c>
      <c r="X626">
        <f t="shared" si="29"/>
        <v>0</v>
      </c>
      <c r="Y626">
        <v>88</v>
      </c>
      <c r="Z626">
        <v>168</v>
      </c>
      <c r="AA626" t="s">
        <v>3845</v>
      </c>
      <c r="AB626" t="s">
        <v>3846</v>
      </c>
      <c r="AC626" t="s">
        <v>93</v>
      </c>
      <c r="AD626">
        <v>6</v>
      </c>
      <c r="AE626">
        <v>49</v>
      </c>
      <c r="AF626" t="s">
        <v>57</v>
      </c>
      <c r="AH626" t="s">
        <v>58</v>
      </c>
      <c r="AI626">
        <v>186.15</v>
      </c>
      <c r="AJ626" t="s">
        <v>52</v>
      </c>
      <c r="AK626" t="s">
        <v>199</v>
      </c>
      <c r="AL626" t="s">
        <v>203</v>
      </c>
      <c r="AM626" t="s">
        <v>53</v>
      </c>
      <c r="AN626" s="1">
        <v>45640</v>
      </c>
      <c r="AO626">
        <v>2024</v>
      </c>
      <c r="AP626">
        <v>12</v>
      </c>
      <c r="AQ626" t="s">
        <v>116</v>
      </c>
      <c r="AS626" t="s">
        <v>85</v>
      </c>
      <c r="AT626">
        <v>2025</v>
      </c>
      <c r="AU626" t="s">
        <v>47</v>
      </c>
      <c r="AV626" t="s">
        <v>54</v>
      </c>
      <c r="AW626" t="s">
        <v>3843</v>
      </c>
      <c r="AX626">
        <v>2025</v>
      </c>
      <c r="AY626" t="s">
        <v>3844</v>
      </c>
      <c r="AZ626" t="s">
        <v>3844</v>
      </c>
    </row>
    <row r="627" spans="1:52" x14ac:dyDescent="0.25">
      <c r="A627" t="s">
        <v>3847</v>
      </c>
      <c r="B627" s="1">
        <v>35976</v>
      </c>
      <c r="C627" t="s">
        <v>3848</v>
      </c>
      <c r="D627">
        <v>273469</v>
      </c>
      <c r="E627" t="s">
        <v>46</v>
      </c>
      <c r="F627" t="s">
        <v>999</v>
      </c>
      <c r="G627" t="s">
        <v>937</v>
      </c>
      <c r="H627" t="s">
        <v>3848</v>
      </c>
      <c r="I627" t="s">
        <v>2188</v>
      </c>
      <c r="J627">
        <v>90</v>
      </c>
      <c r="K627">
        <v>-95</v>
      </c>
      <c r="L627">
        <v>95</v>
      </c>
      <c r="M627">
        <v>95</v>
      </c>
      <c r="N627">
        <v>185</v>
      </c>
      <c r="O627" t="s">
        <v>65</v>
      </c>
      <c r="P627">
        <v>125</v>
      </c>
      <c r="Q627">
        <v>130</v>
      </c>
      <c r="R627">
        <v>-135</v>
      </c>
      <c r="S627">
        <v>130</v>
      </c>
      <c r="T627">
        <v>255</v>
      </c>
      <c r="U627" t="s">
        <v>60</v>
      </c>
      <c r="V627">
        <f t="shared" si="27"/>
        <v>4</v>
      </c>
      <c r="W627">
        <f t="shared" si="28"/>
        <v>0</v>
      </c>
      <c r="X627">
        <f t="shared" si="29"/>
        <v>0</v>
      </c>
      <c r="Y627">
        <v>225</v>
      </c>
      <c r="Z627">
        <v>440</v>
      </c>
      <c r="AA627" t="s">
        <v>3849</v>
      </c>
      <c r="AB627" t="s">
        <v>3850</v>
      </c>
      <c r="AC627" t="s">
        <v>93</v>
      </c>
      <c r="AD627">
        <v>6</v>
      </c>
      <c r="AE627">
        <v>73</v>
      </c>
      <c r="AF627" t="s">
        <v>126</v>
      </c>
      <c r="AH627" t="s">
        <v>141</v>
      </c>
      <c r="AI627">
        <v>304.94</v>
      </c>
      <c r="AJ627" t="s">
        <v>52</v>
      </c>
      <c r="AK627" t="s">
        <v>999</v>
      </c>
      <c r="AL627" t="s">
        <v>1001</v>
      </c>
      <c r="AM627" t="s">
        <v>53</v>
      </c>
      <c r="AN627" s="1">
        <v>45640</v>
      </c>
      <c r="AO627">
        <v>2024</v>
      </c>
      <c r="AP627">
        <v>12</v>
      </c>
      <c r="AQ627" t="s">
        <v>116</v>
      </c>
      <c r="AS627" t="s">
        <v>85</v>
      </c>
      <c r="AT627">
        <v>2025</v>
      </c>
      <c r="AU627" t="s">
        <v>937</v>
      </c>
      <c r="AV627" t="s">
        <v>54</v>
      </c>
      <c r="AW627" t="s">
        <v>3848</v>
      </c>
      <c r="AX627">
        <v>2025</v>
      </c>
      <c r="AY627" t="s">
        <v>2210</v>
      </c>
      <c r="AZ627" t="s">
        <v>3851</v>
      </c>
    </row>
    <row r="628" spans="1:52" x14ac:dyDescent="0.25">
      <c r="A628" t="s">
        <v>3853</v>
      </c>
      <c r="B628" s="1">
        <v>34310</v>
      </c>
      <c r="C628" t="s">
        <v>3854</v>
      </c>
      <c r="D628">
        <v>453271</v>
      </c>
      <c r="E628" t="s">
        <v>46</v>
      </c>
      <c r="F628" t="s">
        <v>1350</v>
      </c>
      <c r="G628" t="s">
        <v>1236</v>
      </c>
      <c r="H628" t="s">
        <v>3854</v>
      </c>
      <c r="I628" t="s">
        <v>121</v>
      </c>
      <c r="J628">
        <v>-60</v>
      </c>
      <c r="K628">
        <v>65</v>
      </c>
      <c r="L628">
        <v>-67</v>
      </c>
      <c r="M628">
        <v>65</v>
      </c>
      <c r="N628">
        <v>0</v>
      </c>
      <c r="O628" t="s">
        <v>104</v>
      </c>
      <c r="P628">
        <v>75</v>
      </c>
      <c r="Q628">
        <v>80</v>
      </c>
      <c r="R628">
        <v>-83</v>
      </c>
      <c r="S628">
        <v>80</v>
      </c>
      <c r="T628">
        <v>155</v>
      </c>
      <c r="U628" t="s">
        <v>60</v>
      </c>
      <c r="V628">
        <f t="shared" si="27"/>
        <v>3</v>
      </c>
      <c r="W628">
        <f t="shared" si="28"/>
        <v>0</v>
      </c>
      <c r="X628">
        <f t="shared" si="29"/>
        <v>0</v>
      </c>
      <c r="Y628">
        <v>145</v>
      </c>
      <c r="Z628">
        <v>155</v>
      </c>
      <c r="AA628" t="s">
        <v>2679</v>
      </c>
      <c r="AB628" t="s">
        <v>2824</v>
      </c>
      <c r="AC628" t="s">
        <v>94</v>
      </c>
      <c r="AD628">
        <v>4</v>
      </c>
      <c r="AE628">
        <v>55</v>
      </c>
      <c r="AF628" t="s">
        <v>126</v>
      </c>
      <c r="AH628" t="s">
        <v>197</v>
      </c>
      <c r="AI628">
        <v>208.89</v>
      </c>
      <c r="AJ628" t="s">
        <v>132</v>
      </c>
      <c r="AK628" t="s">
        <v>1350</v>
      </c>
      <c r="AL628" t="s">
        <v>1352</v>
      </c>
      <c r="AM628" t="s">
        <v>90</v>
      </c>
      <c r="AN628" s="1">
        <v>45640</v>
      </c>
      <c r="AO628">
        <v>2024</v>
      </c>
      <c r="AP628">
        <v>12</v>
      </c>
      <c r="AQ628" t="s">
        <v>116</v>
      </c>
      <c r="AS628" t="s">
        <v>85</v>
      </c>
      <c r="AT628">
        <v>2025</v>
      </c>
      <c r="AU628" t="s">
        <v>1236</v>
      </c>
      <c r="AV628" t="s">
        <v>91</v>
      </c>
      <c r="AW628" t="s">
        <v>3854</v>
      </c>
      <c r="AX628">
        <v>2025</v>
      </c>
      <c r="AY628" t="s">
        <v>2679</v>
      </c>
      <c r="AZ628" t="s">
        <v>2679</v>
      </c>
    </row>
    <row r="629" spans="1:52" x14ac:dyDescent="0.25">
      <c r="A629" t="s">
        <v>3876</v>
      </c>
      <c r="B629" s="1">
        <v>34633</v>
      </c>
      <c r="C629" t="s">
        <v>3877</v>
      </c>
      <c r="D629">
        <v>143327</v>
      </c>
      <c r="E629" t="s">
        <v>46</v>
      </c>
      <c r="F629" t="s">
        <v>1107</v>
      </c>
      <c r="G629" t="s">
        <v>1085</v>
      </c>
      <c r="H629" t="s">
        <v>3877</v>
      </c>
      <c r="I629">
        <v>96</v>
      </c>
      <c r="J629">
        <v>-120</v>
      </c>
      <c r="K629">
        <v>-124</v>
      </c>
      <c r="L629">
        <v>125</v>
      </c>
      <c r="M629">
        <v>125</v>
      </c>
      <c r="N629">
        <v>0</v>
      </c>
      <c r="O629" t="s">
        <v>102</v>
      </c>
      <c r="P629">
        <v>163</v>
      </c>
      <c r="Q629">
        <v>-170</v>
      </c>
      <c r="R629">
        <v>-170</v>
      </c>
      <c r="S629">
        <v>163</v>
      </c>
      <c r="T629">
        <v>0</v>
      </c>
      <c r="U629" t="s">
        <v>55</v>
      </c>
      <c r="V629">
        <f t="shared" si="27"/>
        <v>2</v>
      </c>
      <c r="W629">
        <f t="shared" si="28"/>
        <v>1</v>
      </c>
      <c r="X629">
        <f t="shared" si="29"/>
        <v>0</v>
      </c>
      <c r="Y629">
        <v>288</v>
      </c>
      <c r="Z629">
        <v>0</v>
      </c>
      <c r="AA629" t="s">
        <v>3879</v>
      </c>
      <c r="AB629" t="s">
        <v>99</v>
      </c>
      <c r="AC629" t="s">
        <v>89</v>
      </c>
      <c r="AD629">
        <v>5</v>
      </c>
      <c r="AE629">
        <v>96</v>
      </c>
      <c r="AF629" t="s">
        <v>126</v>
      </c>
      <c r="AH629" t="s">
        <v>222</v>
      </c>
      <c r="AI629">
        <v>336.1</v>
      </c>
      <c r="AJ629" t="s">
        <v>52</v>
      </c>
      <c r="AK629" t="s">
        <v>1107</v>
      </c>
      <c r="AL629" t="s">
        <v>1108</v>
      </c>
      <c r="AM629" t="s">
        <v>302</v>
      </c>
      <c r="AN629" s="1">
        <v>45640</v>
      </c>
      <c r="AO629">
        <v>2024</v>
      </c>
      <c r="AP629">
        <v>12</v>
      </c>
      <c r="AQ629" t="s">
        <v>116</v>
      </c>
      <c r="AS629" t="s">
        <v>85</v>
      </c>
      <c r="AT629">
        <v>2025</v>
      </c>
      <c r="AU629" t="s">
        <v>1085</v>
      </c>
      <c r="AV629" t="s">
        <v>303</v>
      </c>
      <c r="AW629" t="s">
        <v>3877</v>
      </c>
      <c r="AX629">
        <v>2025</v>
      </c>
      <c r="AY629" t="s">
        <v>3878</v>
      </c>
      <c r="AZ629" t="s">
        <v>3879</v>
      </c>
    </row>
    <row r="630" spans="1:52" x14ac:dyDescent="0.25">
      <c r="A630" t="s">
        <v>3859</v>
      </c>
      <c r="B630" s="1">
        <v>37038</v>
      </c>
      <c r="C630" t="s">
        <v>3860</v>
      </c>
      <c r="D630">
        <v>472091</v>
      </c>
      <c r="E630" t="s">
        <v>46</v>
      </c>
      <c r="F630" t="s">
        <v>518</v>
      </c>
      <c r="G630" t="s">
        <v>134</v>
      </c>
      <c r="H630" t="s">
        <v>3860</v>
      </c>
      <c r="I630" t="s">
        <v>557</v>
      </c>
      <c r="J630">
        <v>80</v>
      </c>
      <c r="K630">
        <v>84</v>
      </c>
      <c r="L630">
        <v>87</v>
      </c>
      <c r="M630">
        <v>87</v>
      </c>
      <c r="N630">
        <v>171</v>
      </c>
      <c r="O630" t="s">
        <v>48</v>
      </c>
      <c r="P630">
        <v>-100</v>
      </c>
      <c r="Q630">
        <v>100</v>
      </c>
      <c r="R630">
        <v>-108</v>
      </c>
      <c r="S630">
        <v>100</v>
      </c>
      <c r="T630">
        <v>0</v>
      </c>
      <c r="U630" t="s">
        <v>104</v>
      </c>
      <c r="V630">
        <f t="shared" si="27"/>
        <v>4</v>
      </c>
      <c r="W630">
        <f t="shared" si="28"/>
        <v>0</v>
      </c>
      <c r="X630">
        <f t="shared" si="29"/>
        <v>0</v>
      </c>
      <c r="Y630">
        <v>187</v>
      </c>
      <c r="Z630">
        <v>171</v>
      </c>
      <c r="AA630" t="s">
        <v>3861</v>
      </c>
      <c r="AB630" t="s">
        <v>3862</v>
      </c>
      <c r="AC630" t="s">
        <v>94</v>
      </c>
      <c r="AD630">
        <v>4</v>
      </c>
      <c r="AE630">
        <v>76</v>
      </c>
      <c r="AF630" t="s">
        <v>126</v>
      </c>
      <c r="AH630" t="s">
        <v>228</v>
      </c>
      <c r="AI630">
        <v>227</v>
      </c>
      <c r="AJ630" t="s">
        <v>132</v>
      </c>
      <c r="AK630" t="s">
        <v>518</v>
      </c>
      <c r="AL630" t="s">
        <v>522</v>
      </c>
      <c r="AM630" t="s">
        <v>177</v>
      </c>
      <c r="AN630" s="1">
        <v>45640</v>
      </c>
      <c r="AO630">
        <v>2024</v>
      </c>
      <c r="AP630">
        <v>12</v>
      </c>
      <c r="AQ630" t="s">
        <v>116</v>
      </c>
      <c r="AS630" t="s">
        <v>85</v>
      </c>
      <c r="AT630">
        <v>2025</v>
      </c>
      <c r="AU630" t="s">
        <v>134</v>
      </c>
      <c r="AV630" t="s">
        <v>54</v>
      </c>
      <c r="AW630" t="s">
        <v>3860</v>
      </c>
      <c r="AX630">
        <v>2025</v>
      </c>
      <c r="AY630" t="s">
        <v>3863</v>
      </c>
      <c r="AZ630" t="s">
        <v>3863</v>
      </c>
    </row>
    <row r="631" spans="1:52" x14ac:dyDescent="0.25">
      <c r="A631" t="s">
        <v>3864</v>
      </c>
      <c r="B631" s="1">
        <v>41407</v>
      </c>
      <c r="C631" t="s">
        <v>3865</v>
      </c>
      <c r="D631">
        <v>501166</v>
      </c>
      <c r="E631" t="s">
        <v>46</v>
      </c>
      <c r="F631" t="s">
        <v>837</v>
      </c>
      <c r="G631" t="s">
        <v>449</v>
      </c>
      <c r="H631" t="s">
        <v>3865</v>
      </c>
      <c r="I631" t="s">
        <v>2924</v>
      </c>
      <c r="J631">
        <v>13</v>
      </c>
      <c r="K631">
        <v>15</v>
      </c>
      <c r="L631">
        <v>17</v>
      </c>
      <c r="M631">
        <v>17</v>
      </c>
      <c r="N631">
        <v>32</v>
      </c>
      <c r="O631" t="s">
        <v>48</v>
      </c>
      <c r="P631">
        <v>22</v>
      </c>
      <c r="Q631">
        <v>24</v>
      </c>
      <c r="R631">
        <v>-26</v>
      </c>
      <c r="S631">
        <v>24</v>
      </c>
      <c r="T631">
        <v>46</v>
      </c>
      <c r="U631" t="s">
        <v>60</v>
      </c>
      <c r="V631">
        <f t="shared" si="27"/>
        <v>5</v>
      </c>
      <c r="W631">
        <f t="shared" si="28"/>
        <v>0</v>
      </c>
      <c r="X631">
        <f t="shared" si="29"/>
        <v>0</v>
      </c>
      <c r="Y631">
        <v>41</v>
      </c>
      <c r="Z631">
        <v>78</v>
      </c>
      <c r="AA631" t="s">
        <v>3866</v>
      </c>
      <c r="AB631" t="s">
        <v>3867</v>
      </c>
      <c r="AC631" t="s">
        <v>49</v>
      </c>
      <c r="AD631">
        <v>999</v>
      </c>
      <c r="AE631">
        <v>35</v>
      </c>
      <c r="AF631" t="s">
        <v>50</v>
      </c>
      <c r="AH631" t="s">
        <v>450</v>
      </c>
      <c r="AI631">
        <v>171.74</v>
      </c>
      <c r="AJ631" t="s">
        <v>132</v>
      </c>
      <c r="AK631" t="s">
        <v>837</v>
      </c>
      <c r="AL631" t="s">
        <v>840</v>
      </c>
      <c r="AM631" t="s">
        <v>173</v>
      </c>
      <c r="AN631" s="1">
        <v>45640</v>
      </c>
      <c r="AO631">
        <v>2024</v>
      </c>
      <c r="AP631">
        <v>12</v>
      </c>
      <c r="AQ631" t="s">
        <v>116</v>
      </c>
      <c r="AS631" t="s">
        <v>85</v>
      </c>
      <c r="AT631">
        <v>2025</v>
      </c>
      <c r="AU631" t="s">
        <v>449</v>
      </c>
      <c r="AV631" t="s">
        <v>173</v>
      </c>
      <c r="AW631" t="s">
        <v>3865</v>
      </c>
      <c r="AX631">
        <v>2025</v>
      </c>
      <c r="AY631" t="s">
        <v>3866</v>
      </c>
      <c r="AZ631" t="s">
        <v>3866</v>
      </c>
    </row>
    <row r="632" spans="1:52" x14ac:dyDescent="0.25">
      <c r="A632" t="s">
        <v>3868</v>
      </c>
      <c r="B632" s="1">
        <v>36599</v>
      </c>
      <c r="C632" t="s">
        <v>3869</v>
      </c>
      <c r="D632">
        <v>466554</v>
      </c>
      <c r="E632" t="s">
        <v>46</v>
      </c>
      <c r="F632" t="s">
        <v>232</v>
      </c>
      <c r="G632" t="s">
        <v>335</v>
      </c>
      <c r="H632" t="s">
        <v>3869</v>
      </c>
      <c r="I632" t="s">
        <v>189</v>
      </c>
      <c r="J632">
        <v>65</v>
      </c>
      <c r="K632">
        <v>70</v>
      </c>
      <c r="L632">
        <v>-73</v>
      </c>
      <c r="M632">
        <v>70</v>
      </c>
      <c r="N632">
        <v>135</v>
      </c>
      <c r="O632" t="s">
        <v>60</v>
      </c>
      <c r="P632">
        <v>82</v>
      </c>
      <c r="Q632">
        <v>-86</v>
      </c>
      <c r="R632">
        <v>-86</v>
      </c>
      <c r="S632">
        <v>82</v>
      </c>
      <c r="T632">
        <v>0</v>
      </c>
      <c r="U632" t="s">
        <v>55</v>
      </c>
      <c r="V632">
        <f t="shared" si="27"/>
        <v>3</v>
      </c>
      <c r="W632">
        <f t="shared" si="28"/>
        <v>0</v>
      </c>
      <c r="X632">
        <f t="shared" si="29"/>
        <v>0</v>
      </c>
      <c r="Y632">
        <v>152</v>
      </c>
      <c r="Z632">
        <v>135</v>
      </c>
      <c r="AA632" t="s">
        <v>3871</v>
      </c>
      <c r="AB632" t="s">
        <v>2120</v>
      </c>
      <c r="AC632" t="s">
        <v>89</v>
      </c>
      <c r="AD632">
        <v>5</v>
      </c>
      <c r="AE632">
        <v>71</v>
      </c>
      <c r="AF632" t="s">
        <v>126</v>
      </c>
      <c r="AH632" t="s">
        <v>226</v>
      </c>
      <c r="AI632">
        <v>194.95</v>
      </c>
      <c r="AJ632" t="s">
        <v>132</v>
      </c>
      <c r="AK632" t="s">
        <v>232</v>
      </c>
      <c r="AL632" t="s">
        <v>236</v>
      </c>
      <c r="AM632" t="s">
        <v>128</v>
      </c>
      <c r="AN632" s="1">
        <v>45640</v>
      </c>
      <c r="AO632">
        <v>2024</v>
      </c>
      <c r="AP632">
        <v>12</v>
      </c>
      <c r="AQ632" t="s">
        <v>116</v>
      </c>
      <c r="AS632" t="s">
        <v>85</v>
      </c>
      <c r="AT632">
        <v>2025</v>
      </c>
      <c r="AU632" t="s">
        <v>335</v>
      </c>
      <c r="AV632" t="s">
        <v>128</v>
      </c>
      <c r="AW632" t="s">
        <v>3869</v>
      </c>
      <c r="AX632">
        <v>2025</v>
      </c>
      <c r="AY632" t="s">
        <v>3870</v>
      </c>
      <c r="AZ632" t="s">
        <v>3226</v>
      </c>
    </row>
    <row r="633" spans="1:52" x14ac:dyDescent="0.25">
      <c r="A633" t="s">
        <v>3872</v>
      </c>
      <c r="B633" s="1">
        <v>35771</v>
      </c>
      <c r="C633" t="s">
        <v>3873</v>
      </c>
      <c r="D633">
        <v>466558</v>
      </c>
      <c r="E633" t="s">
        <v>46</v>
      </c>
      <c r="F633" t="s">
        <v>941</v>
      </c>
      <c r="G633" t="s">
        <v>1032</v>
      </c>
      <c r="H633" t="s">
        <v>3873</v>
      </c>
      <c r="I633" t="s">
        <v>2090</v>
      </c>
      <c r="J633">
        <v>62</v>
      </c>
      <c r="K633">
        <v>-65</v>
      </c>
      <c r="L633">
        <v>-66</v>
      </c>
      <c r="M633">
        <v>62</v>
      </c>
      <c r="N633">
        <v>0</v>
      </c>
      <c r="O633" t="s">
        <v>55</v>
      </c>
      <c r="P633">
        <v>-82</v>
      </c>
      <c r="Q633">
        <v>-83</v>
      </c>
      <c r="R633">
        <v>83</v>
      </c>
      <c r="S633">
        <v>83</v>
      </c>
      <c r="T633">
        <v>0</v>
      </c>
      <c r="U633" t="s">
        <v>102</v>
      </c>
      <c r="V633">
        <f t="shared" si="27"/>
        <v>2</v>
      </c>
      <c r="W633">
        <f t="shared" si="28"/>
        <v>1</v>
      </c>
      <c r="X633">
        <f t="shared" si="29"/>
        <v>0</v>
      </c>
      <c r="Y633">
        <v>145</v>
      </c>
      <c r="Z633">
        <v>0</v>
      </c>
      <c r="AA633" t="s">
        <v>3875</v>
      </c>
      <c r="AB633" t="s">
        <v>99</v>
      </c>
      <c r="AC633" t="s">
        <v>89</v>
      </c>
      <c r="AD633">
        <v>5</v>
      </c>
      <c r="AE633">
        <v>59</v>
      </c>
      <c r="AF633" t="s">
        <v>126</v>
      </c>
      <c r="AH633" t="s">
        <v>202</v>
      </c>
      <c r="AI633">
        <v>200.84</v>
      </c>
      <c r="AJ633" t="s">
        <v>132</v>
      </c>
      <c r="AK633" t="s">
        <v>941</v>
      </c>
      <c r="AL633" t="s">
        <v>944</v>
      </c>
      <c r="AM633" t="s">
        <v>53</v>
      </c>
      <c r="AN633" s="1">
        <v>45640</v>
      </c>
      <c r="AO633">
        <v>2024</v>
      </c>
      <c r="AP633">
        <v>12</v>
      </c>
      <c r="AQ633" t="s">
        <v>116</v>
      </c>
      <c r="AS633" t="s">
        <v>85</v>
      </c>
      <c r="AT633">
        <v>2025</v>
      </c>
      <c r="AU633" t="s">
        <v>1032</v>
      </c>
      <c r="AV633" t="s">
        <v>54</v>
      </c>
      <c r="AW633" t="s">
        <v>3873</v>
      </c>
      <c r="AX633">
        <v>2025</v>
      </c>
      <c r="AY633" t="s">
        <v>3874</v>
      </c>
      <c r="AZ633" t="s">
        <v>3875</v>
      </c>
    </row>
    <row r="634" spans="1:52" x14ac:dyDescent="0.25">
      <c r="A634" t="s">
        <v>3855</v>
      </c>
      <c r="B634" s="1">
        <v>40701</v>
      </c>
      <c r="C634" t="s">
        <v>3856</v>
      </c>
      <c r="D634">
        <v>479279</v>
      </c>
      <c r="E634" t="s">
        <v>46</v>
      </c>
      <c r="F634" t="s">
        <v>837</v>
      </c>
      <c r="G634" t="s">
        <v>602</v>
      </c>
      <c r="H634" t="s">
        <v>3856</v>
      </c>
      <c r="I634" t="s">
        <v>851</v>
      </c>
      <c r="J634">
        <v>27</v>
      </c>
      <c r="K634">
        <v>28</v>
      </c>
      <c r="L634">
        <v>-29</v>
      </c>
      <c r="M634">
        <v>28</v>
      </c>
      <c r="N634">
        <v>55</v>
      </c>
      <c r="O634" t="s">
        <v>60</v>
      </c>
      <c r="P634">
        <v>33</v>
      </c>
      <c r="Q634">
        <v>34</v>
      </c>
      <c r="R634">
        <v>-36</v>
      </c>
      <c r="S634">
        <v>34</v>
      </c>
      <c r="T634">
        <v>67</v>
      </c>
      <c r="U634" t="s">
        <v>60</v>
      </c>
      <c r="V634">
        <f t="shared" si="27"/>
        <v>4</v>
      </c>
      <c r="W634">
        <f t="shared" si="28"/>
        <v>0</v>
      </c>
      <c r="X634">
        <f t="shared" si="29"/>
        <v>0</v>
      </c>
      <c r="Y634">
        <v>62</v>
      </c>
      <c r="Z634">
        <v>122</v>
      </c>
      <c r="AA634" t="s">
        <v>3857</v>
      </c>
      <c r="AB634" t="s">
        <v>3858</v>
      </c>
      <c r="AC634" t="s">
        <v>56</v>
      </c>
      <c r="AD634">
        <v>8</v>
      </c>
      <c r="AE634">
        <v>49</v>
      </c>
      <c r="AF634" t="s">
        <v>57</v>
      </c>
      <c r="AH634" t="s">
        <v>58</v>
      </c>
      <c r="AI634">
        <v>120.47</v>
      </c>
      <c r="AJ634" t="s">
        <v>52</v>
      </c>
      <c r="AK634" t="s">
        <v>837</v>
      </c>
      <c r="AL634" t="s">
        <v>840</v>
      </c>
      <c r="AM634" t="s">
        <v>173</v>
      </c>
      <c r="AN634" s="1">
        <v>45640</v>
      </c>
      <c r="AO634">
        <v>2024</v>
      </c>
      <c r="AP634">
        <v>12</v>
      </c>
      <c r="AQ634" t="s">
        <v>116</v>
      </c>
      <c r="AS634" t="s">
        <v>85</v>
      </c>
      <c r="AT634">
        <v>2025</v>
      </c>
      <c r="AU634" t="s">
        <v>602</v>
      </c>
      <c r="AV634" t="s">
        <v>173</v>
      </c>
      <c r="AW634" t="s">
        <v>3856</v>
      </c>
      <c r="AX634">
        <v>2025</v>
      </c>
      <c r="AY634" t="s">
        <v>3857</v>
      </c>
      <c r="AZ634" t="s">
        <v>3857</v>
      </c>
    </row>
    <row r="635" spans="1:52" x14ac:dyDescent="0.25">
      <c r="A635" t="s">
        <v>3880</v>
      </c>
      <c r="B635" s="1">
        <v>34248</v>
      </c>
      <c r="C635" t="s">
        <v>3881</v>
      </c>
      <c r="D635">
        <v>472663</v>
      </c>
      <c r="E635" t="s">
        <v>179</v>
      </c>
      <c r="F635" t="s">
        <v>1400</v>
      </c>
      <c r="G635" t="s">
        <v>606</v>
      </c>
      <c r="H635" t="s">
        <v>3881</v>
      </c>
      <c r="I635" t="s">
        <v>411</v>
      </c>
      <c r="J635">
        <v>115</v>
      </c>
      <c r="K635">
        <v>120</v>
      </c>
      <c r="L635">
        <v>123</v>
      </c>
      <c r="M635">
        <v>123</v>
      </c>
      <c r="N635">
        <v>243</v>
      </c>
      <c r="O635" t="s">
        <v>48</v>
      </c>
      <c r="P635">
        <v>-142</v>
      </c>
      <c r="Q635">
        <v>-142</v>
      </c>
      <c r="R635">
        <v>-142</v>
      </c>
      <c r="S635">
        <v>0</v>
      </c>
      <c r="T635">
        <v>0</v>
      </c>
      <c r="U635" t="s">
        <v>108</v>
      </c>
      <c r="V635">
        <f t="shared" si="27"/>
        <v>3</v>
      </c>
      <c r="W635">
        <f t="shared" si="28"/>
        <v>0</v>
      </c>
      <c r="X635">
        <f t="shared" si="29"/>
        <v>0</v>
      </c>
      <c r="Y635">
        <v>123</v>
      </c>
      <c r="Z635">
        <v>243</v>
      </c>
      <c r="AA635" t="s">
        <v>3883</v>
      </c>
      <c r="AB635" t="s">
        <v>3884</v>
      </c>
      <c r="AC635" t="s">
        <v>49</v>
      </c>
      <c r="AD635">
        <v>999</v>
      </c>
      <c r="AE635">
        <v>96</v>
      </c>
      <c r="AF635" t="s">
        <v>126</v>
      </c>
      <c r="AH635" t="s">
        <v>222</v>
      </c>
      <c r="AI635">
        <v>0</v>
      </c>
      <c r="AJ635" t="s">
        <v>52</v>
      </c>
      <c r="AK635" t="s">
        <v>1400</v>
      </c>
      <c r="AL635" t="s">
        <v>1402</v>
      </c>
      <c r="AM635" t="s">
        <v>128</v>
      </c>
      <c r="AN635" s="1">
        <v>45640</v>
      </c>
      <c r="AO635">
        <v>2024</v>
      </c>
      <c r="AP635">
        <v>12</v>
      </c>
      <c r="AQ635" t="s">
        <v>116</v>
      </c>
      <c r="AS635" t="s">
        <v>85</v>
      </c>
      <c r="AT635">
        <v>2025</v>
      </c>
      <c r="AU635" t="s">
        <v>606</v>
      </c>
      <c r="AV635" t="s">
        <v>128</v>
      </c>
      <c r="AW635" t="s">
        <v>3881</v>
      </c>
      <c r="AX635">
        <v>2025</v>
      </c>
      <c r="AY635" t="s">
        <v>3882</v>
      </c>
      <c r="AZ635" t="s">
        <v>3885</v>
      </c>
    </row>
    <row r="636" spans="1:52" x14ac:dyDescent="0.25">
      <c r="A636" t="s">
        <v>3886</v>
      </c>
      <c r="B636" s="1">
        <v>39859</v>
      </c>
      <c r="C636" t="s">
        <v>3887</v>
      </c>
      <c r="D636">
        <v>500601</v>
      </c>
      <c r="E636" t="s">
        <v>46</v>
      </c>
      <c r="F636" t="s">
        <v>263</v>
      </c>
      <c r="G636" t="s">
        <v>418</v>
      </c>
      <c r="H636" t="s">
        <v>3887</v>
      </c>
      <c r="I636" t="s">
        <v>130</v>
      </c>
      <c r="J636">
        <v>40</v>
      </c>
      <c r="K636">
        <v>-43</v>
      </c>
      <c r="L636">
        <v>43</v>
      </c>
      <c r="M636">
        <v>43</v>
      </c>
      <c r="N636">
        <v>83</v>
      </c>
      <c r="O636" t="s">
        <v>65</v>
      </c>
      <c r="P636">
        <v>50</v>
      </c>
      <c r="Q636">
        <v>-53</v>
      </c>
      <c r="R636">
        <v>-55</v>
      </c>
      <c r="S636">
        <v>50</v>
      </c>
      <c r="T636">
        <v>0</v>
      </c>
      <c r="U636" t="s">
        <v>55</v>
      </c>
      <c r="V636">
        <f t="shared" si="27"/>
        <v>3</v>
      </c>
      <c r="W636">
        <f t="shared" si="28"/>
        <v>0</v>
      </c>
      <c r="X636">
        <f t="shared" si="29"/>
        <v>0</v>
      </c>
      <c r="Y636">
        <v>93</v>
      </c>
      <c r="Z636">
        <v>83</v>
      </c>
      <c r="AA636" t="s">
        <v>2915</v>
      </c>
      <c r="AB636" t="s">
        <v>3888</v>
      </c>
      <c r="AC636" t="s">
        <v>93</v>
      </c>
      <c r="AD636">
        <v>6</v>
      </c>
      <c r="AE636">
        <v>64</v>
      </c>
      <c r="AF636" t="s">
        <v>95</v>
      </c>
      <c r="AH636" t="s">
        <v>169</v>
      </c>
      <c r="AI636">
        <v>122.8</v>
      </c>
      <c r="AJ636" t="s">
        <v>132</v>
      </c>
      <c r="AK636" t="s">
        <v>263</v>
      </c>
      <c r="AL636" t="s">
        <v>267</v>
      </c>
      <c r="AM636" t="s">
        <v>145</v>
      </c>
      <c r="AN636" s="1">
        <v>45640</v>
      </c>
      <c r="AO636">
        <v>2024</v>
      </c>
      <c r="AP636">
        <v>12</v>
      </c>
      <c r="AQ636" t="s">
        <v>116</v>
      </c>
      <c r="AS636" t="s">
        <v>85</v>
      </c>
      <c r="AT636">
        <v>2025</v>
      </c>
      <c r="AU636" t="s">
        <v>418</v>
      </c>
      <c r="AV636" t="s">
        <v>145</v>
      </c>
      <c r="AW636" t="s">
        <v>3887</v>
      </c>
      <c r="AX636">
        <v>2025</v>
      </c>
      <c r="AY636" t="s">
        <v>2915</v>
      </c>
      <c r="AZ636" t="s">
        <v>2915</v>
      </c>
    </row>
    <row r="637" spans="1:52" x14ac:dyDescent="0.25">
      <c r="A637" t="s">
        <v>3889</v>
      </c>
      <c r="B637" s="1">
        <v>35847</v>
      </c>
      <c r="C637" t="s">
        <v>3890</v>
      </c>
      <c r="D637">
        <v>470647</v>
      </c>
      <c r="E637" t="s">
        <v>46</v>
      </c>
      <c r="F637" t="s">
        <v>213</v>
      </c>
      <c r="G637" t="s">
        <v>400</v>
      </c>
      <c r="H637" t="s">
        <v>3890</v>
      </c>
      <c r="I637" t="s">
        <v>370</v>
      </c>
      <c r="J637">
        <v>62</v>
      </c>
      <c r="K637">
        <v>65</v>
      </c>
      <c r="L637">
        <v>67</v>
      </c>
      <c r="M637">
        <v>67</v>
      </c>
      <c r="N637">
        <v>132</v>
      </c>
      <c r="O637" t="s">
        <v>48</v>
      </c>
      <c r="P637">
        <v>-75</v>
      </c>
      <c r="Q637">
        <v>78</v>
      </c>
      <c r="R637">
        <v>-80</v>
      </c>
      <c r="S637">
        <v>78</v>
      </c>
      <c r="T637">
        <v>0</v>
      </c>
      <c r="U637" t="s">
        <v>104</v>
      </c>
      <c r="V637">
        <f t="shared" si="27"/>
        <v>4</v>
      </c>
      <c r="W637">
        <f t="shared" si="28"/>
        <v>0</v>
      </c>
      <c r="X637">
        <f t="shared" si="29"/>
        <v>0</v>
      </c>
      <c r="Y637">
        <v>145</v>
      </c>
      <c r="Z637">
        <v>132</v>
      </c>
      <c r="AA637" t="s">
        <v>3891</v>
      </c>
      <c r="AB637" t="s">
        <v>3892</v>
      </c>
      <c r="AC637" t="s">
        <v>94</v>
      </c>
      <c r="AD637">
        <v>4</v>
      </c>
      <c r="AE637">
        <v>55</v>
      </c>
      <c r="AF637" t="s">
        <v>126</v>
      </c>
      <c r="AH637" t="s">
        <v>197</v>
      </c>
      <c r="AI637">
        <v>217.62</v>
      </c>
      <c r="AJ637" t="s">
        <v>132</v>
      </c>
      <c r="AK637" t="s">
        <v>213</v>
      </c>
      <c r="AL637" t="s">
        <v>217</v>
      </c>
      <c r="AM637" t="s">
        <v>72</v>
      </c>
      <c r="AN637" s="1">
        <v>45640</v>
      </c>
      <c r="AO637">
        <v>2024</v>
      </c>
      <c r="AP637">
        <v>12</v>
      </c>
      <c r="AQ637" t="s">
        <v>116</v>
      </c>
      <c r="AS637" t="s">
        <v>85</v>
      </c>
      <c r="AT637">
        <v>2025</v>
      </c>
      <c r="AU637" t="s">
        <v>400</v>
      </c>
      <c r="AV637" t="s">
        <v>72</v>
      </c>
      <c r="AW637" t="s">
        <v>3890</v>
      </c>
      <c r="AX637">
        <v>2025</v>
      </c>
      <c r="AY637" t="s">
        <v>3891</v>
      </c>
      <c r="AZ637" t="s">
        <v>3891</v>
      </c>
    </row>
    <row r="638" spans="1:52" x14ac:dyDescent="0.25">
      <c r="A638" t="s">
        <v>3893</v>
      </c>
      <c r="B638" s="1">
        <v>37776</v>
      </c>
      <c r="C638" t="s">
        <v>3894</v>
      </c>
      <c r="D638">
        <v>481982</v>
      </c>
      <c r="E638" t="s">
        <v>46</v>
      </c>
      <c r="F638" t="s">
        <v>263</v>
      </c>
      <c r="G638" t="s">
        <v>532</v>
      </c>
      <c r="H638" t="s">
        <v>3894</v>
      </c>
      <c r="I638" t="s">
        <v>237</v>
      </c>
      <c r="J638">
        <v>-70</v>
      </c>
      <c r="K638">
        <v>-70</v>
      </c>
      <c r="L638">
        <v>-70</v>
      </c>
      <c r="M638">
        <v>0</v>
      </c>
      <c r="N638">
        <v>0</v>
      </c>
      <c r="O638" t="s">
        <v>108</v>
      </c>
      <c r="P638">
        <v>0</v>
      </c>
      <c r="Q638">
        <v>0</v>
      </c>
      <c r="R638">
        <v>0</v>
      </c>
      <c r="S638">
        <v>0</v>
      </c>
      <c r="T638">
        <v>0</v>
      </c>
      <c r="U638" t="s">
        <v>108</v>
      </c>
      <c r="V638">
        <f t="shared" si="27"/>
        <v>0</v>
      </c>
      <c r="W638">
        <f t="shared" si="28"/>
        <v>0</v>
      </c>
      <c r="X638">
        <f t="shared" si="29"/>
        <v>0</v>
      </c>
      <c r="Y638">
        <v>0</v>
      </c>
      <c r="Z638">
        <v>0</v>
      </c>
      <c r="AA638" t="s">
        <v>99</v>
      </c>
      <c r="AB638" t="s">
        <v>99</v>
      </c>
      <c r="AC638" t="s">
        <v>49</v>
      </c>
      <c r="AD638">
        <v>999</v>
      </c>
      <c r="AE638">
        <v>71</v>
      </c>
      <c r="AF638" t="s">
        <v>126</v>
      </c>
      <c r="AH638" t="s">
        <v>226</v>
      </c>
      <c r="AI638">
        <v>0</v>
      </c>
      <c r="AJ638" t="s">
        <v>132</v>
      </c>
      <c r="AK638" t="s">
        <v>263</v>
      </c>
      <c r="AL638" t="s">
        <v>267</v>
      </c>
      <c r="AM638" t="s">
        <v>145</v>
      </c>
      <c r="AN638" s="1">
        <v>45640</v>
      </c>
      <c r="AO638">
        <v>2024</v>
      </c>
      <c r="AP638">
        <v>12</v>
      </c>
      <c r="AQ638" t="s">
        <v>116</v>
      </c>
      <c r="AS638" t="s">
        <v>85</v>
      </c>
      <c r="AT638">
        <v>2025</v>
      </c>
      <c r="AU638" t="s">
        <v>532</v>
      </c>
      <c r="AV638" t="s">
        <v>145</v>
      </c>
      <c r="AW638" t="s">
        <v>3894</v>
      </c>
      <c r="AX638">
        <v>2025</v>
      </c>
      <c r="AY638" t="s">
        <v>3895</v>
      </c>
      <c r="AZ638" t="s">
        <v>3895</v>
      </c>
    </row>
    <row r="639" spans="1:52" x14ac:dyDescent="0.25">
      <c r="A639" t="s">
        <v>3896</v>
      </c>
      <c r="B639" s="1">
        <v>38869</v>
      </c>
      <c r="C639" t="s">
        <v>3897</v>
      </c>
      <c r="D639">
        <v>479056</v>
      </c>
      <c r="E639" t="s">
        <v>46</v>
      </c>
      <c r="F639" t="s">
        <v>770</v>
      </c>
      <c r="G639" t="s">
        <v>395</v>
      </c>
      <c r="H639" t="s">
        <v>3897</v>
      </c>
      <c r="I639" t="s">
        <v>344</v>
      </c>
      <c r="J639">
        <v>55</v>
      </c>
      <c r="K639">
        <v>58</v>
      </c>
      <c r="L639">
        <v>-61</v>
      </c>
      <c r="M639">
        <v>58</v>
      </c>
      <c r="N639">
        <v>113</v>
      </c>
      <c r="O639" t="s">
        <v>60</v>
      </c>
      <c r="P639">
        <v>70</v>
      </c>
      <c r="Q639">
        <v>74</v>
      </c>
      <c r="R639">
        <v>77</v>
      </c>
      <c r="S639">
        <v>77</v>
      </c>
      <c r="T639">
        <v>151</v>
      </c>
      <c r="U639" t="s">
        <v>48</v>
      </c>
      <c r="V639">
        <f t="shared" si="27"/>
        <v>5</v>
      </c>
      <c r="W639">
        <f t="shared" si="28"/>
        <v>0</v>
      </c>
      <c r="X639">
        <f t="shared" si="29"/>
        <v>0</v>
      </c>
      <c r="Y639">
        <v>135</v>
      </c>
      <c r="Z639">
        <v>264</v>
      </c>
      <c r="AA639" t="s">
        <v>3898</v>
      </c>
      <c r="AB639" t="s">
        <v>3899</v>
      </c>
      <c r="AC639" t="s">
        <v>89</v>
      </c>
      <c r="AD639">
        <v>5</v>
      </c>
      <c r="AE639">
        <v>71</v>
      </c>
      <c r="AF639" t="s">
        <v>113</v>
      </c>
      <c r="AH639" t="s">
        <v>305</v>
      </c>
      <c r="AI639">
        <v>167.33</v>
      </c>
      <c r="AJ639" t="s">
        <v>132</v>
      </c>
      <c r="AK639" t="s">
        <v>770</v>
      </c>
      <c r="AL639" t="s">
        <v>773</v>
      </c>
      <c r="AM639" t="s">
        <v>302</v>
      </c>
      <c r="AN639" s="1">
        <v>45640</v>
      </c>
      <c r="AO639">
        <v>2024</v>
      </c>
      <c r="AP639">
        <v>12</v>
      </c>
      <c r="AQ639" t="s">
        <v>116</v>
      </c>
      <c r="AS639" t="s">
        <v>85</v>
      </c>
      <c r="AT639">
        <v>2025</v>
      </c>
      <c r="AU639" t="s">
        <v>395</v>
      </c>
      <c r="AV639" t="s">
        <v>303</v>
      </c>
      <c r="AW639" t="s">
        <v>3897</v>
      </c>
      <c r="AX639">
        <v>2025</v>
      </c>
      <c r="AY639" t="s">
        <v>3898</v>
      </c>
      <c r="AZ639" t="s">
        <v>3898</v>
      </c>
    </row>
    <row r="640" spans="1:52" x14ac:dyDescent="0.25">
      <c r="A640" t="s">
        <v>3901</v>
      </c>
      <c r="B640" s="1">
        <v>35273</v>
      </c>
      <c r="C640" t="s">
        <v>3902</v>
      </c>
      <c r="D640">
        <v>463784</v>
      </c>
      <c r="E640" t="s">
        <v>46</v>
      </c>
      <c r="F640" t="s">
        <v>633</v>
      </c>
      <c r="G640" t="s">
        <v>1004</v>
      </c>
      <c r="H640" t="s">
        <v>3902</v>
      </c>
      <c r="I640" t="s">
        <v>1271</v>
      </c>
      <c r="J640">
        <v>105</v>
      </c>
      <c r="K640">
        <v>-109</v>
      </c>
      <c r="L640">
        <v>-109</v>
      </c>
      <c r="M640">
        <v>105</v>
      </c>
      <c r="N640">
        <v>0</v>
      </c>
      <c r="O640" t="s">
        <v>55</v>
      </c>
      <c r="P640">
        <v>130</v>
      </c>
      <c r="Q640">
        <v>135</v>
      </c>
      <c r="R640">
        <v>-140</v>
      </c>
      <c r="S640">
        <v>135</v>
      </c>
      <c r="T640">
        <v>265</v>
      </c>
      <c r="U640" t="s">
        <v>60</v>
      </c>
      <c r="V640">
        <f t="shared" si="27"/>
        <v>3</v>
      </c>
      <c r="W640">
        <f t="shared" si="28"/>
        <v>0</v>
      </c>
      <c r="X640">
        <f t="shared" si="29"/>
        <v>0</v>
      </c>
      <c r="Y640">
        <v>240</v>
      </c>
      <c r="Z640">
        <v>265</v>
      </c>
      <c r="AA640" t="s">
        <v>3904</v>
      </c>
      <c r="AB640" t="s">
        <v>3905</v>
      </c>
      <c r="AC640" t="s">
        <v>64</v>
      </c>
      <c r="AD640">
        <v>7</v>
      </c>
      <c r="AE640">
        <v>109</v>
      </c>
      <c r="AF640" t="s">
        <v>126</v>
      </c>
      <c r="AH640" t="s">
        <v>151</v>
      </c>
      <c r="AI640">
        <v>268.38</v>
      </c>
      <c r="AJ640" t="s">
        <v>52</v>
      </c>
      <c r="AK640" t="s">
        <v>633</v>
      </c>
      <c r="AL640" t="s">
        <v>637</v>
      </c>
      <c r="AM640" t="s">
        <v>139</v>
      </c>
      <c r="AN640" s="1">
        <v>45640</v>
      </c>
      <c r="AO640">
        <v>2024</v>
      </c>
      <c r="AP640">
        <v>12</v>
      </c>
      <c r="AQ640" t="s">
        <v>116</v>
      </c>
      <c r="AS640" t="s">
        <v>85</v>
      </c>
      <c r="AT640">
        <v>2025</v>
      </c>
      <c r="AU640" t="s">
        <v>1004</v>
      </c>
      <c r="AV640" t="s">
        <v>140</v>
      </c>
      <c r="AW640" t="s">
        <v>3902</v>
      </c>
      <c r="AX640">
        <v>2025</v>
      </c>
      <c r="AY640" t="s">
        <v>3903</v>
      </c>
      <c r="AZ640" t="s">
        <v>3903</v>
      </c>
    </row>
    <row r="641" spans="1:52" x14ac:dyDescent="0.25">
      <c r="A641" t="s">
        <v>3906</v>
      </c>
      <c r="B641" s="1">
        <v>40458</v>
      </c>
      <c r="C641" t="s">
        <v>3907</v>
      </c>
      <c r="D641">
        <v>484252</v>
      </c>
      <c r="E641" t="s">
        <v>46</v>
      </c>
      <c r="F641" t="s">
        <v>770</v>
      </c>
      <c r="G641" t="s">
        <v>933</v>
      </c>
      <c r="H641" t="s">
        <v>3907</v>
      </c>
      <c r="I641" t="s">
        <v>181</v>
      </c>
      <c r="J641">
        <v>38</v>
      </c>
      <c r="K641">
        <v>41</v>
      </c>
      <c r="L641">
        <v>-43</v>
      </c>
      <c r="M641">
        <v>41</v>
      </c>
      <c r="N641">
        <v>79</v>
      </c>
      <c r="O641" t="s">
        <v>60</v>
      </c>
      <c r="P641">
        <v>50</v>
      </c>
      <c r="Q641">
        <v>53</v>
      </c>
      <c r="R641">
        <v>55</v>
      </c>
      <c r="S641">
        <v>55</v>
      </c>
      <c r="T641">
        <v>108</v>
      </c>
      <c r="U641" t="s">
        <v>48</v>
      </c>
      <c r="V641">
        <f t="shared" si="27"/>
        <v>5</v>
      </c>
      <c r="W641">
        <f t="shared" si="28"/>
        <v>0</v>
      </c>
      <c r="X641">
        <f t="shared" si="29"/>
        <v>0</v>
      </c>
      <c r="Y641">
        <v>96</v>
      </c>
      <c r="Z641">
        <v>187</v>
      </c>
      <c r="AA641" t="s">
        <v>3908</v>
      </c>
      <c r="AB641" t="s">
        <v>3909</v>
      </c>
      <c r="AC641" t="s">
        <v>89</v>
      </c>
      <c r="AD641">
        <v>5</v>
      </c>
      <c r="AE641">
        <v>55</v>
      </c>
      <c r="AF641" t="s">
        <v>57</v>
      </c>
      <c r="AH641" t="s">
        <v>172</v>
      </c>
      <c r="AI641">
        <v>143.87</v>
      </c>
      <c r="AJ641" t="s">
        <v>132</v>
      </c>
      <c r="AK641" t="s">
        <v>770</v>
      </c>
      <c r="AL641" t="s">
        <v>773</v>
      </c>
      <c r="AM641" t="s">
        <v>302</v>
      </c>
      <c r="AN641" s="1">
        <v>45640</v>
      </c>
      <c r="AO641">
        <v>2024</v>
      </c>
      <c r="AP641">
        <v>12</v>
      </c>
      <c r="AQ641" t="s">
        <v>116</v>
      </c>
      <c r="AS641" t="s">
        <v>85</v>
      </c>
      <c r="AT641">
        <v>2025</v>
      </c>
      <c r="AU641" t="s">
        <v>933</v>
      </c>
      <c r="AV641" t="s">
        <v>303</v>
      </c>
      <c r="AW641" t="s">
        <v>3907</v>
      </c>
      <c r="AX641">
        <v>2025</v>
      </c>
      <c r="AY641" t="s">
        <v>3908</v>
      </c>
      <c r="AZ641" t="s">
        <v>3908</v>
      </c>
    </row>
    <row r="642" spans="1:52" x14ac:dyDescent="0.25">
      <c r="A642" t="s">
        <v>3910</v>
      </c>
      <c r="B642" s="1">
        <v>38523</v>
      </c>
      <c r="C642" t="s">
        <v>3911</v>
      </c>
      <c r="D642">
        <v>463562</v>
      </c>
      <c r="E642" t="s">
        <v>46</v>
      </c>
      <c r="F642" t="s">
        <v>456</v>
      </c>
      <c r="G642" t="s">
        <v>602</v>
      </c>
      <c r="H642" t="s">
        <v>3911</v>
      </c>
      <c r="I642" t="s">
        <v>3545</v>
      </c>
      <c r="J642">
        <v>33</v>
      </c>
      <c r="K642">
        <v>35</v>
      </c>
      <c r="L642">
        <v>-38</v>
      </c>
      <c r="M642">
        <v>35</v>
      </c>
      <c r="N642">
        <v>68</v>
      </c>
      <c r="O642" t="s">
        <v>60</v>
      </c>
      <c r="P642">
        <v>45</v>
      </c>
      <c r="Q642">
        <v>48</v>
      </c>
      <c r="R642">
        <v>-50</v>
      </c>
      <c r="S642">
        <v>48</v>
      </c>
      <c r="T642">
        <v>93</v>
      </c>
      <c r="U642" t="s">
        <v>60</v>
      </c>
      <c r="V642">
        <f t="shared" si="27"/>
        <v>4</v>
      </c>
      <c r="W642">
        <f t="shared" si="28"/>
        <v>0</v>
      </c>
      <c r="X642">
        <f t="shared" si="29"/>
        <v>0</v>
      </c>
      <c r="Y642">
        <v>83</v>
      </c>
      <c r="Z642">
        <v>161</v>
      </c>
      <c r="AA642" t="s">
        <v>3913</v>
      </c>
      <c r="AB642" t="s">
        <v>3914</v>
      </c>
      <c r="AC642" t="s">
        <v>93</v>
      </c>
      <c r="AD642">
        <v>6</v>
      </c>
      <c r="AE642">
        <v>49</v>
      </c>
      <c r="AF642" t="s">
        <v>113</v>
      </c>
      <c r="AH642" t="s">
        <v>821</v>
      </c>
      <c r="AI642">
        <v>137.04</v>
      </c>
      <c r="AJ642" t="s">
        <v>132</v>
      </c>
      <c r="AK642" t="s">
        <v>456</v>
      </c>
      <c r="AL642" t="s">
        <v>460</v>
      </c>
      <c r="AM642" t="s">
        <v>173</v>
      </c>
      <c r="AN642" s="1">
        <v>45641</v>
      </c>
      <c r="AO642">
        <v>2024</v>
      </c>
      <c r="AP642">
        <v>12</v>
      </c>
      <c r="AQ642" t="s">
        <v>116</v>
      </c>
      <c r="AS642" t="s">
        <v>85</v>
      </c>
      <c r="AT642">
        <v>2025</v>
      </c>
      <c r="AU642" t="s">
        <v>602</v>
      </c>
      <c r="AV642" t="s">
        <v>173</v>
      </c>
      <c r="AW642" t="s">
        <v>3911</v>
      </c>
      <c r="AX642">
        <v>2025</v>
      </c>
      <c r="AY642" t="s">
        <v>3912</v>
      </c>
      <c r="AZ642" t="s">
        <v>3913</v>
      </c>
    </row>
    <row r="643" spans="1:52" x14ac:dyDescent="0.25">
      <c r="A643" t="s">
        <v>3916</v>
      </c>
      <c r="B643" s="1">
        <v>38797</v>
      </c>
      <c r="C643" t="s">
        <v>3917</v>
      </c>
      <c r="D643">
        <v>434315</v>
      </c>
      <c r="E643" t="s">
        <v>46</v>
      </c>
      <c r="F643" t="s">
        <v>1071</v>
      </c>
      <c r="G643" t="s">
        <v>255</v>
      </c>
      <c r="H643" t="s">
        <v>3917</v>
      </c>
      <c r="I643">
        <v>81</v>
      </c>
      <c r="J643">
        <v>90</v>
      </c>
      <c r="K643">
        <v>95</v>
      </c>
      <c r="L643">
        <v>-98</v>
      </c>
      <c r="M643">
        <v>95</v>
      </c>
      <c r="N643">
        <v>185</v>
      </c>
      <c r="O643" t="s">
        <v>60</v>
      </c>
      <c r="P643">
        <v>110</v>
      </c>
      <c r="Q643">
        <v>-120</v>
      </c>
      <c r="R643">
        <v>-120</v>
      </c>
      <c r="S643">
        <v>110</v>
      </c>
      <c r="T643">
        <v>0</v>
      </c>
      <c r="U643" t="s">
        <v>55</v>
      </c>
      <c r="V643">
        <f t="shared" ref="V643:V706" si="30">IF(O643="OOO",3,IF(O643="XXX",0,IF(OR(O643="OOX",O643="OXO",O643="XOO"),2,1)))+IF(U643="OOO",3,IF(U643="XXX",0,IF(OR(U643="OOX",U643="OXO",U643="XOO"),2,1)))</f>
        <v>3</v>
      </c>
      <c r="W643">
        <f t="shared" ref="W643:W706" si="31">IF(OR(O643="XXO",U643="XXO"),1,0)</f>
        <v>0</v>
      </c>
      <c r="X643">
        <f t="shared" ref="X643:X706" si="32">IF(AND(O643="XXO",U643="XXO"),1,0)</f>
        <v>0</v>
      </c>
      <c r="Y643">
        <v>205</v>
      </c>
      <c r="Z643">
        <v>185</v>
      </c>
      <c r="AA643" t="s">
        <v>1047</v>
      </c>
      <c r="AB643" t="s">
        <v>577</v>
      </c>
      <c r="AC643" t="s">
        <v>93</v>
      </c>
      <c r="AD643">
        <v>6</v>
      </c>
      <c r="AE643">
        <v>81</v>
      </c>
      <c r="AF643" t="s">
        <v>113</v>
      </c>
      <c r="AH643" t="s">
        <v>252</v>
      </c>
      <c r="AI643">
        <v>260.17</v>
      </c>
      <c r="AJ643" t="s">
        <v>52</v>
      </c>
      <c r="AK643" t="s">
        <v>1071</v>
      </c>
      <c r="AL643" t="s">
        <v>1073</v>
      </c>
      <c r="AM643" t="s">
        <v>68</v>
      </c>
      <c r="AN643" s="1">
        <v>45640</v>
      </c>
      <c r="AO643">
        <v>2024</v>
      </c>
      <c r="AP643">
        <v>12</v>
      </c>
      <c r="AQ643" t="s">
        <v>116</v>
      </c>
      <c r="AS643" t="s">
        <v>85</v>
      </c>
      <c r="AT643">
        <v>2025</v>
      </c>
      <c r="AU643" t="s">
        <v>255</v>
      </c>
      <c r="AV643" t="s">
        <v>68</v>
      </c>
      <c r="AW643" t="s">
        <v>3917</v>
      </c>
      <c r="AX643">
        <v>2025</v>
      </c>
      <c r="AY643" t="s">
        <v>735</v>
      </c>
      <c r="AZ643" t="s">
        <v>3657</v>
      </c>
    </row>
    <row r="644" spans="1:52" x14ac:dyDescent="0.25">
      <c r="A644" t="s">
        <v>3918</v>
      </c>
      <c r="B644" s="1">
        <v>34908</v>
      </c>
      <c r="C644" t="s">
        <v>3919</v>
      </c>
      <c r="D644">
        <v>494276</v>
      </c>
      <c r="E644" t="s">
        <v>46</v>
      </c>
      <c r="F644" t="s">
        <v>492</v>
      </c>
      <c r="G644" t="s">
        <v>2286</v>
      </c>
      <c r="H644" t="s">
        <v>3919</v>
      </c>
      <c r="I644" t="s">
        <v>431</v>
      </c>
      <c r="J644">
        <v>90</v>
      </c>
      <c r="K644">
        <v>-95</v>
      </c>
      <c r="L644">
        <v>-100</v>
      </c>
      <c r="M644">
        <v>90</v>
      </c>
      <c r="N644">
        <v>0</v>
      </c>
      <c r="O644" t="s">
        <v>55</v>
      </c>
      <c r="P644">
        <v>115</v>
      </c>
      <c r="Q644">
        <v>-125</v>
      </c>
      <c r="R644">
        <v>-130</v>
      </c>
      <c r="S644">
        <v>115</v>
      </c>
      <c r="T644">
        <v>0</v>
      </c>
      <c r="U644" t="s">
        <v>55</v>
      </c>
      <c r="V644">
        <f t="shared" si="30"/>
        <v>2</v>
      </c>
      <c r="W644">
        <f t="shared" si="31"/>
        <v>0</v>
      </c>
      <c r="X644">
        <f t="shared" si="32"/>
        <v>0</v>
      </c>
      <c r="Y644">
        <v>205</v>
      </c>
      <c r="Z644">
        <v>0</v>
      </c>
      <c r="AA644" t="s">
        <v>715</v>
      </c>
      <c r="AB644" t="s">
        <v>99</v>
      </c>
      <c r="AC644" t="s">
        <v>64</v>
      </c>
      <c r="AD644">
        <v>7</v>
      </c>
      <c r="AE644">
        <v>81</v>
      </c>
      <c r="AF644" t="s">
        <v>126</v>
      </c>
      <c r="AH644" t="s">
        <v>138</v>
      </c>
      <c r="AI644">
        <v>261.24</v>
      </c>
      <c r="AJ644" t="s">
        <v>52</v>
      </c>
      <c r="AK644" t="s">
        <v>492</v>
      </c>
      <c r="AL644" t="s">
        <v>494</v>
      </c>
      <c r="AM644" t="s">
        <v>90</v>
      </c>
      <c r="AN644" s="1">
        <v>45640</v>
      </c>
      <c r="AO644">
        <v>2024</v>
      </c>
      <c r="AP644">
        <v>12</v>
      </c>
      <c r="AQ644" t="s">
        <v>116</v>
      </c>
      <c r="AS644" t="s">
        <v>85</v>
      </c>
      <c r="AT644">
        <v>2025</v>
      </c>
      <c r="AU644" t="s">
        <v>2286</v>
      </c>
      <c r="AV644" t="s">
        <v>91</v>
      </c>
      <c r="AW644" t="s">
        <v>3919</v>
      </c>
      <c r="AX644">
        <v>2025</v>
      </c>
      <c r="AY644" t="s">
        <v>3920</v>
      </c>
      <c r="AZ644" t="s">
        <v>2374</v>
      </c>
    </row>
    <row r="645" spans="1:52" x14ac:dyDescent="0.25">
      <c r="A645" t="s">
        <v>3921</v>
      </c>
      <c r="B645" s="1">
        <v>37064</v>
      </c>
      <c r="C645" t="s">
        <v>3922</v>
      </c>
      <c r="D645">
        <v>493055</v>
      </c>
      <c r="E645" t="s">
        <v>46</v>
      </c>
      <c r="F645" t="s">
        <v>693</v>
      </c>
      <c r="G645" t="s">
        <v>271</v>
      </c>
      <c r="H645" t="s">
        <v>3922</v>
      </c>
      <c r="I645" t="s">
        <v>539</v>
      </c>
      <c r="J645">
        <v>-65</v>
      </c>
      <c r="K645">
        <v>-65</v>
      </c>
      <c r="L645">
        <v>-67</v>
      </c>
      <c r="M645">
        <v>0</v>
      </c>
      <c r="N645">
        <v>0</v>
      </c>
      <c r="O645" t="s">
        <v>108</v>
      </c>
      <c r="P645">
        <v>0</v>
      </c>
      <c r="Q645">
        <v>0</v>
      </c>
      <c r="R645">
        <v>0</v>
      </c>
      <c r="S645">
        <v>0</v>
      </c>
      <c r="T645">
        <v>0</v>
      </c>
      <c r="U645" t="s">
        <v>108</v>
      </c>
      <c r="V645">
        <f t="shared" si="30"/>
        <v>0</v>
      </c>
      <c r="W645">
        <f t="shared" si="31"/>
        <v>0</v>
      </c>
      <c r="X645">
        <f t="shared" si="32"/>
        <v>0</v>
      </c>
      <c r="Y645">
        <v>0</v>
      </c>
      <c r="Z645">
        <v>0</v>
      </c>
      <c r="AA645" t="s">
        <v>99</v>
      </c>
      <c r="AB645" t="s">
        <v>99</v>
      </c>
      <c r="AC645" t="s">
        <v>49</v>
      </c>
      <c r="AD645">
        <v>999</v>
      </c>
      <c r="AE645">
        <v>71</v>
      </c>
      <c r="AF645" t="s">
        <v>126</v>
      </c>
      <c r="AH645" t="s">
        <v>226</v>
      </c>
      <c r="AI645">
        <v>0</v>
      </c>
      <c r="AJ645" t="s">
        <v>132</v>
      </c>
      <c r="AK645" t="s">
        <v>693</v>
      </c>
      <c r="AL645" t="s">
        <v>696</v>
      </c>
      <c r="AM645" t="s">
        <v>139</v>
      </c>
      <c r="AN645" s="1">
        <v>45641</v>
      </c>
      <c r="AO645">
        <v>2024</v>
      </c>
      <c r="AP645">
        <v>12</v>
      </c>
      <c r="AQ645" t="s">
        <v>116</v>
      </c>
      <c r="AS645" t="s">
        <v>85</v>
      </c>
      <c r="AT645">
        <v>2025</v>
      </c>
      <c r="AU645" t="s">
        <v>271</v>
      </c>
      <c r="AV645" t="s">
        <v>140</v>
      </c>
      <c r="AW645" t="s">
        <v>3922</v>
      </c>
      <c r="AX645">
        <v>2025</v>
      </c>
      <c r="AY645" t="s">
        <v>1568</v>
      </c>
      <c r="AZ645" t="s">
        <v>99</v>
      </c>
    </row>
    <row r="646" spans="1:52" x14ac:dyDescent="0.25">
      <c r="A646" t="s">
        <v>3923</v>
      </c>
      <c r="B646" s="1">
        <v>36969</v>
      </c>
      <c r="C646" t="s">
        <v>3924</v>
      </c>
      <c r="D646">
        <v>504647</v>
      </c>
      <c r="E646" t="s">
        <v>46</v>
      </c>
      <c r="F646" t="s">
        <v>1007</v>
      </c>
      <c r="G646" t="s">
        <v>1285</v>
      </c>
      <c r="H646" t="s">
        <v>3924</v>
      </c>
      <c r="I646" t="s">
        <v>813</v>
      </c>
      <c r="J646">
        <v>55</v>
      </c>
      <c r="K646">
        <v>57</v>
      </c>
      <c r="L646">
        <v>60</v>
      </c>
      <c r="M646">
        <v>60</v>
      </c>
      <c r="N646">
        <v>117</v>
      </c>
      <c r="O646" t="s">
        <v>48</v>
      </c>
      <c r="P646">
        <v>70</v>
      </c>
      <c r="Q646">
        <v>73</v>
      </c>
      <c r="R646">
        <v>76</v>
      </c>
      <c r="S646">
        <v>76</v>
      </c>
      <c r="T646">
        <v>149</v>
      </c>
      <c r="U646" t="s">
        <v>48</v>
      </c>
      <c r="V646">
        <f t="shared" si="30"/>
        <v>6</v>
      </c>
      <c r="W646">
        <f t="shared" si="31"/>
        <v>0</v>
      </c>
      <c r="X646">
        <f t="shared" si="32"/>
        <v>0</v>
      </c>
      <c r="Y646">
        <v>136</v>
      </c>
      <c r="Z646">
        <v>266</v>
      </c>
      <c r="AA646" t="s">
        <v>3925</v>
      </c>
      <c r="AB646" t="s">
        <v>3338</v>
      </c>
      <c r="AC646" t="s">
        <v>93</v>
      </c>
      <c r="AD646">
        <v>6</v>
      </c>
      <c r="AE646">
        <v>64</v>
      </c>
      <c r="AF646" t="s">
        <v>126</v>
      </c>
      <c r="AH646" t="s">
        <v>167</v>
      </c>
      <c r="AI646">
        <v>181.2</v>
      </c>
      <c r="AJ646" t="s">
        <v>132</v>
      </c>
      <c r="AK646" t="s">
        <v>1007</v>
      </c>
      <c r="AL646" t="s">
        <v>1009</v>
      </c>
      <c r="AM646" t="s">
        <v>139</v>
      </c>
      <c r="AN646" s="1">
        <v>45641</v>
      </c>
      <c r="AO646">
        <v>2024</v>
      </c>
      <c r="AP646">
        <v>12</v>
      </c>
      <c r="AQ646" t="s">
        <v>116</v>
      </c>
      <c r="AS646" t="s">
        <v>85</v>
      </c>
      <c r="AT646">
        <v>2025</v>
      </c>
      <c r="AU646" t="s">
        <v>1285</v>
      </c>
      <c r="AV646" t="s">
        <v>140</v>
      </c>
      <c r="AW646" t="s">
        <v>3924</v>
      </c>
      <c r="AX646">
        <v>2025</v>
      </c>
      <c r="AY646" t="s">
        <v>3925</v>
      </c>
      <c r="AZ646" t="s">
        <v>3925</v>
      </c>
    </row>
    <row r="647" spans="1:52" x14ac:dyDescent="0.25">
      <c r="A647" t="s">
        <v>3927</v>
      </c>
      <c r="B647" s="1">
        <v>38427</v>
      </c>
      <c r="C647" t="s">
        <v>3928</v>
      </c>
      <c r="D647">
        <v>505185</v>
      </c>
      <c r="E647" t="s">
        <v>254</v>
      </c>
      <c r="F647" t="s">
        <v>801</v>
      </c>
      <c r="G647" t="s">
        <v>255</v>
      </c>
      <c r="H647" t="s">
        <v>3928</v>
      </c>
      <c r="I647" t="s">
        <v>415</v>
      </c>
      <c r="J647">
        <v>78</v>
      </c>
      <c r="K647">
        <v>80</v>
      </c>
      <c r="L647">
        <v>-82</v>
      </c>
      <c r="M647">
        <v>80</v>
      </c>
      <c r="N647">
        <v>158</v>
      </c>
      <c r="O647" t="s">
        <v>60</v>
      </c>
      <c r="P647">
        <v>-100</v>
      </c>
      <c r="Q647">
        <v>-100</v>
      </c>
      <c r="R647">
        <v>-100</v>
      </c>
      <c r="S647">
        <v>0</v>
      </c>
      <c r="T647">
        <v>0</v>
      </c>
      <c r="U647" t="s">
        <v>108</v>
      </c>
      <c r="V647">
        <f t="shared" si="30"/>
        <v>2</v>
      </c>
      <c r="W647">
        <f t="shared" si="31"/>
        <v>0</v>
      </c>
      <c r="X647">
        <f t="shared" si="32"/>
        <v>0</v>
      </c>
      <c r="Y647">
        <v>80</v>
      </c>
      <c r="Z647">
        <v>158</v>
      </c>
      <c r="AA647" t="s">
        <v>3930</v>
      </c>
      <c r="AB647" t="s">
        <v>3931</v>
      </c>
      <c r="AC647" t="s">
        <v>49</v>
      </c>
      <c r="AD647">
        <v>999</v>
      </c>
      <c r="AE647">
        <v>81</v>
      </c>
      <c r="AF647" t="s">
        <v>113</v>
      </c>
      <c r="AH647" t="s">
        <v>881</v>
      </c>
      <c r="AI647">
        <v>0</v>
      </c>
      <c r="AJ647" t="s">
        <v>132</v>
      </c>
      <c r="AK647" t="s">
        <v>801</v>
      </c>
      <c r="AL647" t="s">
        <v>804</v>
      </c>
      <c r="AM647" t="s">
        <v>68</v>
      </c>
      <c r="AN647" s="1">
        <v>45640</v>
      </c>
      <c r="AO647">
        <v>2024</v>
      </c>
      <c r="AP647">
        <v>12</v>
      </c>
      <c r="AQ647" t="s">
        <v>116</v>
      </c>
      <c r="AS647" t="s">
        <v>85</v>
      </c>
      <c r="AT647">
        <v>2025</v>
      </c>
      <c r="AU647" t="s">
        <v>255</v>
      </c>
      <c r="AV647" t="s">
        <v>68</v>
      </c>
      <c r="AW647" t="s">
        <v>3928</v>
      </c>
      <c r="AX647">
        <v>2025</v>
      </c>
      <c r="AY647" t="s">
        <v>3929</v>
      </c>
      <c r="AZ647" t="s">
        <v>3929</v>
      </c>
    </row>
    <row r="648" spans="1:52" x14ac:dyDescent="0.25">
      <c r="A648" t="s">
        <v>3936</v>
      </c>
      <c r="B648" s="1">
        <v>33994</v>
      </c>
      <c r="C648" t="s">
        <v>3937</v>
      </c>
      <c r="D648">
        <v>465782</v>
      </c>
      <c r="E648" t="s">
        <v>46</v>
      </c>
      <c r="F648" t="s">
        <v>1400</v>
      </c>
      <c r="G648" t="s">
        <v>124</v>
      </c>
      <c r="H648" t="s">
        <v>3937</v>
      </c>
      <c r="I648" t="s">
        <v>412</v>
      </c>
      <c r="J648">
        <v>100</v>
      </c>
      <c r="K648">
        <v>105</v>
      </c>
      <c r="L648">
        <v>107</v>
      </c>
      <c r="M648">
        <v>107</v>
      </c>
      <c r="N648">
        <v>212</v>
      </c>
      <c r="O648" t="s">
        <v>48</v>
      </c>
      <c r="P648">
        <v>-130</v>
      </c>
      <c r="Q648">
        <v>-130</v>
      </c>
      <c r="R648">
        <v>130</v>
      </c>
      <c r="S648">
        <v>130</v>
      </c>
      <c r="T648">
        <v>0</v>
      </c>
      <c r="U648" t="s">
        <v>102</v>
      </c>
      <c r="V648">
        <f t="shared" si="30"/>
        <v>4</v>
      </c>
      <c r="W648">
        <f t="shared" si="31"/>
        <v>1</v>
      </c>
      <c r="X648">
        <f t="shared" si="32"/>
        <v>0</v>
      </c>
      <c r="Y648">
        <v>237</v>
      </c>
      <c r="Z648">
        <v>212</v>
      </c>
      <c r="AA648" t="s">
        <v>3939</v>
      </c>
      <c r="AB648" t="s">
        <v>3940</v>
      </c>
      <c r="AC648" t="s">
        <v>93</v>
      </c>
      <c r="AD648">
        <v>6</v>
      </c>
      <c r="AE648">
        <v>81</v>
      </c>
      <c r="AF648" t="s">
        <v>126</v>
      </c>
      <c r="AH648" t="s">
        <v>138</v>
      </c>
      <c r="AI648">
        <v>310.66000000000003</v>
      </c>
      <c r="AJ648" t="s">
        <v>52</v>
      </c>
      <c r="AK648" t="s">
        <v>1400</v>
      </c>
      <c r="AL648" t="s">
        <v>1402</v>
      </c>
      <c r="AM648" t="s">
        <v>128</v>
      </c>
      <c r="AN648" s="1">
        <v>45640</v>
      </c>
      <c r="AO648">
        <v>2024</v>
      </c>
      <c r="AP648">
        <v>12</v>
      </c>
      <c r="AQ648" t="s">
        <v>116</v>
      </c>
      <c r="AS648" t="s">
        <v>85</v>
      </c>
      <c r="AT648">
        <v>2025</v>
      </c>
      <c r="AU648" t="s">
        <v>124</v>
      </c>
      <c r="AV648" t="s">
        <v>128</v>
      </c>
      <c r="AW648" t="s">
        <v>3937</v>
      </c>
      <c r="AX648">
        <v>2025</v>
      </c>
      <c r="AY648" t="s">
        <v>3938</v>
      </c>
      <c r="AZ648" t="s">
        <v>3939</v>
      </c>
    </row>
    <row r="649" spans="1:52" x14ac:dyDescent="0.25">
      <c r="A649" t="s">
        <v>3941</v>
      </c>
      <c r="B649" s="1">
        <v>35856</v>
      </c>
      <c r="C649" t="s">
        <v>3942</v>
      </c>
      <c r="D649">
        <v>475028</v>
      </c>
      <c r="E649" t="s">
        <v>46</v>
      </c>
      <c r="F649" t="s">
        <v>1254</v>
      </c>
      <c r="G649" t="s">
        <v>417</v>
      </c>
      <c r="H649" t="s">
        <v>3942</v>
      </c>
      <c r="I649" t="s">
        <v>156</v>
      </c>
      <c r="J649">
        <v>-117</v>
      </c>
      <c r="K649">
        <v>-117</v>
      </c>
      <c r="L649">
        <v>117</v>
      </c>
      <c r="M649">
        <v>117</v>
      </c>
      <c r="N649">
        <v>0</v>
      </c>
      <c r="O649" t="s">
        <v>102</v>
      </c>
      <c r="P649">
        <v>-138</v>
      </c>
      <c r="Q649">
        <v>-143</v>
      </c>
      <c r="R649">
        <v>-143</v>
      </c>
      <c r="S649">
        <v>0</v>
      </c>
      <c r="T649">
        <v>0</v>
      </c>
      <c r="U649" t="s">
        <v>108</v>
      </c>
      <c r="V649">
        <f t="shared" si="30"/>
        <v>1</v>
      </c>
      <c r="W649">
        <f t="shared" si="31"/>
        <v>1</v>
      </c>
      <c r="X649">
        <f t="shared" si="32"/>
        <v>0</v>
      </c>
      <c r="Y649">
        <v>117</v>
      </c>
      <c r="Z649">
        <v>0</v>
      </c>
      <c r="AA649" t="s">
        <v>3944</v>
      </c>
      <c r="AB649" t="s">
        <v>99</v>
      </c>
      <c r="AC649" t="s">
        <v>49</v>
      </c>
      <c r="AD649">
        <v>999</v>
      </c>
      <c r="AE649">
        <v>89</v>
      </c>
      <c r="AF649" t="s">
        <v>126</v>
      </c>
      <c r="AH649" t="s">
        <v>155</v>
      </c>
      <c r="AI649">
        <v>0</v>
      </c>
      <c r="AJ649" t="s">
        <v>52</v>
      </c>
      <c r="AK649" t="s">
        <v>1254</v>
      </c>
      <c r="AL649" t="s">
        <v>1256</v>
      </c>
      <c r="AM649" t="s">
        <v>72</v>
      </c>
      <c r="AN649" s="1">
        <v>45640</v>
      </c>
      <c r="AO649">
        <v>2024</v>
      </c>
      <c r="AP649">
        <v>12</v>
      </c>
      <c r="AQ649" t="s">
        <v>116</v>
      </c>
      <c r="AS649" t="s">
        <v>85</v>
      </c>
      <c r="AT649">
        <v>2025</v>
      </c>
      <c r="AU649" t="s">
        <v>417</v>
      </c>
      <c r="AV649" t="s">
        <v>72</v>
      </c>
      <c r="AW649" t="s">
        <v>3942</v>
      </c>
      <c r="AX649">
        <v>2025</v>
      </c>
      <c r="AY649" t="s">
        <v>3943</v>
      </c>
      <c r="AZ649" t="s">
        <v>3944</v>
      </c>
    </row>
    <row r="650" spans="1:52" x14ac:dyDescent="0.25">
      <c r="A650" t="s">
        <v>3945</v>
      </c>
      <c r="B650" s="1">
        <v>38609</v>
      </c>
      <c r="C650" t="s">
        <v>3946</v>
      </c>
      <c r="D650">
        <v>491554</v>
      </c>
      <c r="E650" t="s">
        <v>46</v>
      </c>
      <c r="F650" t="s">
        <v>1254</v>
      </c>
      <c r="G650" t="s">
        <v>400</v>
      </c>
      <c r="H650" t="s">
        <v>3946</v>
      </c>
      <c r="I650" t="s">
        <v>261</v>
      </c>
      <c r="J650">
        <v>-106</v>
      </c>
      <c r="K650">
        <v>107</v>
      </c>
      <c r="L650">
        <v>110</v>
      </c>
      <c r="M650">
        <v>110</v>
      </c>
      <c r="N650">
        <v>217</v>
      </c>
      <c r="O650" t="s">
        <v>63</v>
      </c>
      <c r="P650">
        <v>-135</v>
      </c>
      <c r="Q650">
        <v>135</v>
      </c>
      <c r="R650">
        <v>-139</v>
      </c>
      <c r="S650">
        <v>135</v>
      </c>
      <c r="T650">
        <v>0</v>
      </c>
      <c r="U650" t="s">
        <v>104</v>
      </c>
      <c r="V650">
        <f t="shared" si="30"/>
        <v>3</v>
      </c>
      <c r="W650">
        <f t="shared" si="31"/>
        <v>0</v>
      </c>
      <c r="X650">
        <f t="shared" si="32"/>
        <v>0</v>
      </c>
      <c r="Y650">
        <v>245</v>
      </c>
      <c r="Z650">
        <v>217</v>
      </c>
      <c r="AA650" t="s">
        <v>3947</v>
      </c>
      <c r="AB650" t="s">
        <v>3948</v>
      </c>
      <c r="AC650" t="s">
        <v>94</v>
      </c>
      <c r="AD650">
        <v>4</v>
      </c>
      <c r="AE650">
        <v>81</v>
      </c>
      <c r="AF650" t="s">
        <v>113</v>
      </c>
      <c r="AH650" t="s">
        <v>252</v>
      </c>
      <c r="AI650">
        <v>311.36</v>
      </c>
      <c r="AJ650" t="s">
        <v>52</v>
      </c>
      <c r="AK650" t="s">
        <v>1254</v>
      </c>
      <c r="AL650" t="s">
        <v>1256</v>
      </c>
      <c r="AM650" t="s">
        <v>72</v>
      </c>
      <c r="AN650" s="1">
        <v>45640</v>
      </c>
      <c r="AO650">
        <v>2024</v>
      </c>
      <c r="AP650">
        <v>12</v>
      </c>
      <c r="AQ650" t="s">
        <v>116</v>
      </c>
      <c r="AS650" t="s">
        <v>85</v>
      </c>
      <c r="AT650">
        <v>2025</v>
      </c>
      <c r="AU650" t="s">
        <v>400</v>
      </c>
      <c r="AV650" t="s">
        <v>72</v>
      </c>
      <c r="AW650" t="s">
        <v>3946</v>
      </c>
      <c r="AX650">
        <v>2025</v>
      </c>
      <c r="AY650" t="s">
        <v>1625</v>
      </c>
      <c r="AZ650" t="s">
        <v>3947</v>
      </c>
    </row>
    <row r="651" spans="1:52" x14ac:dyDescent="0.25">
      <c r="A651" t="s">
        <v>3949</v>
      </c>
      <c r="B651" s="1">
        <v>41692</v>
      </c>
      <c r="C651" t="s">
        <v>3950</v>
      </c>
      <c r="D651">
        <v>485228</v>
      </c>
      <c r="E651" t="s">
        <v>46</v>
      </c>
      <c r="F651" t="s">
        <v>837</v>
      </c>
      <c r="G651" t="s">
        <v>602</v>
      </c>
      <c r="H651" t="s">
        <v>3950</v>
      </c>
      <c r="I651" t="s">
        <v>3952</v>
      </c>
      <c r="J651">
        <v>22</v>
      </c>
      <c r="K651">
        <v>23</v>
      </c>
      <c r="L651">
        <v>25</v>
      </c>
      <c r="M651">
        <v>25</v>
      </c>
      <c r="N651">
        <v>48</v>
      </c>
      <c r="O651" t="s">
        <v>48</v>
      </c>
      <c r="P651">
        <v>29</v>
      </c>
      <c r="Q651">
        <v>30</v>
      </c>
      <c r="R651">
        <v>32</v>
      </c>
      <c r="S651">
        <v>32</v>
      </c>
      <c r="T651">
        <v>62</v>
      </c>
      <c r="U651" t="s">
        <v>48</v>
      </c>
      <c r="V651">
        <f t="shared" si="30"/>
        <v>6</v>
      </c>
      <c r="W651">
        <f t="shared" si="31"/>
        <v>0</v>
      </c>
      <c r="X651">
        <f t="shared" si="32"/>
        <v>0</v>
      </c>
      <c r="Y651">
        <v>57</v>
      </c>
      <c r="Z651">
        <v>110</v>
      </c>
      <c r="AA651" t="s">
        <v>3951</v>
      </c>
      <c r="AB651" t="s">
        <v>3953</v>
      </c>
      <c r="AC651" t="s">
        <v>49</v>
      </c>
      <c r="AD651">
        <v>999</v>
      </c>
      <c r="AE651">
        <v>35</v>
      </c>
      <c r="AF651" t="s">
        <v>50</v>
      </c>
      <c r="AH651" t="s">
        <v>253</v>
      </c>
      <c r="AI651">
        <v>307.77</v>
      </c>
      <c r="AJ651" t="s">
        <v>52</v>
      </c>
      <c r="AK651" t="s">
        <v>837</v>
      </c>
      <c r="AL651" t="s">
        <v>840</v>
      </c>
      <c r="AM651" t="s">
        <v>173</v>
      </c>
      <c r="AN651" s="1">
        <v>45640</v>
      </c>
      <c r="AO651">
        <v>2024</v>
      </c>
      <c r="AP651">
        <v>12</v>
      </c>
      <c r="AQ651" t="s">
        <v>116</v>
      </c>
      <c r="AS651" t="s">
        <v>85</v>
      </c>
      <c r="AT651">
        <v>2025</v>
      </c>
      <c r="AU651" t="s">
        <v>602</v>
      </c>
      <c r="AV651" t="s">
        <v>173</v>
      </c>
      <c r="AW651" t="s">
        <v>3950</v>
      </c>
      <c r="AX651">
        <v>2025</v>
      </c>
      <c r="AY651" t="s">
        <v>3951</v>
      </c>
      <c r="AZ651" t="s">
        <v>3951</v>
      </c>
    </row>
    <row r="652" spans="1:52" x14ac:dyDescent="0.25">
      <c r="A652" t="s">
        <v>3932</v>
      </c>
      <c r="B652" s="1">
        <v>33957</v>
      </c>
      <c r="C652" t="s">
        <v>3933</v>
      </c>
      <c r="D652">
        <v>377412</v>
      </c>
      <c r="E652" t="s">
        <v>46</v>
      </c>
      <c r="F652" t="s">
        <v>518</v>
      </c>
      <c r="G652" t="s">
        <v>621</v>
      </c>
      <c r="H652" t="s">
        <v>3933</v>
      </c>
      <c r="I652" t="s">
        <v>1428</v>
      </c>
      <c r="J652">
        <v>59</v>
      </c>
      <c r="K652">
        <v>62</v>
      </c>
      <c r="L652">
        <v>65</v>
      </c>
      <c r="M652">
        <v>65</v>
      </c>
      <c r="N652">
        <v>127</v>
      </c>
      <c r="O652" t="s">
        <v>48</v>
      </c>
      <c r="P652">
        <v>69</v>
      </c>
      <c r="Q652">
        <v>72</v>
      </c>
      <c r="R652">
        <v>-75</v>
      </c>
      <c r="S652">
        <v>72</v>
      </c>
      <c r="T652">
        <v>141</v>
      </c>
      <c r="U652" t="s">
        <v>60</v>
      </c>
      <c r="V652">
        <f t="shared" si="30"/>
        <v>5</v>
      </c>
      <c r="W652">
        <f t="shared" si="31"/>
        <v>0</v>
      </c>
      <c r="X652">
        <f t="shared" si="32"/>
        <v>0</v>
      </c>
      <c r="Y652">
        <v>137</v>
      </c>
      <c r="Z652">
        <v>268</v>
      </c>
      <c r="AA652" t="s">
        <v>3934</v>
      </c>
      <c r="AB652" t="s">
        <v>3935</v>
      </c>
      <c r="AC652" t="s">
        <v>89</v>
      </c>
      <c r="AD652">
        <v>5</v>
      </c>
      <c r="AE652">
        <v>55</v>
      </c>
      <c r="AF652" t="s">
        <v>126</v>
      </c>
      <c r="AH652" t="s">
        <v>197</v>
      </c>
      <c r="AI652">
        <v>198.52</v>
      </c>
      <c r="AJ652" t="s">
        <v>132</v>
      </c>
      <c r="AK652" t="s">
        <v>518</v>
      </c>
      <c r="AL652" t="s">
        <v>522</v>
      </c>
      <c r="AM652" t="s">
        <v>177</v>
      </c>
      <c r="AN652" s="1">
        <v>45640</v>
      </c>
      <c r="AO652">
        <v>2024</v>
      </c>
      <c r="AP652">
        <v>12</v>
      </c>
      <c r="AQ652" t="s">
        <v>116</v>
      </c>
      <c r="AS652" t="s">
        <v>85</v>
      </c>
      <c r="AT652">
        <v>2025</v>
      </c>
      <c r="AU652" t="s">
        <v>621</v>
      </c>
      <c r="AV652" t="s">
        <v>177</v>
      </c>
      <c r="AW652" t="s">
        <v>3933</v>
      </c>
      <c r="AX652">
        <v>2025</v>
      </c>
      <c r="AY652" t="s">
        <v>3934</v>
      </c>
      <c r="AZ652" t="s">
        <v>3934</v>
      </c>
    </row>
    <row r="653" spans="1:52" x14ac:dyDescent="0.25">
      <c r="A653" t="s">
        <v>4008</v>
      </c>
      <c r="B653" s="1">
        <v>35748</v>
      </c>
      <c r="C653" t="s">
        <v>4009</v>
      </c>
      <c r="D653">
        <v>496771</v>
      </c>
      <c r="E653" t="s">
        <v>46</v>
      </c>
      <c r="F653" t="s">
        <v>588</v>
      </c>
      <c r="G653" t="s">
        <v>469</v>
      </c>
      <c r="H653" t="s">
        <v>4009</v>
      </c>
      <c r="I653" t="s">
        <v>2074</v>
      </c>
      <c r="J653">
        <v>-104</v>
      </c>
      <c r="K653">
        <v>107</v>
      </c>
      <c r="L653">
        <v>-111</v>
      </c>
      <c r="M653">
        <v>107</v>
      </c>
      <c r="N653">
        <v>0</v>
      </c>
      <c r="O653" t="s">
        <v>104</v>
      </c>
      <c r="P653">
        <v>136</v>
      </c>
      <c r="Q653">
        <v>-143</v>
      </c>
      <c r="R653">
        <v>-144</v>
      </c>
      <c r="S653">
        <v>136</v>
      </c>
      <c r="T653">
        <v>0</v>
      </c>
      <c r="U653" t="s">
        <v>55</v>
      </c>
      <c r="V653">
        <f t="shared" si="30"/>
        <v>2</v>
      </c>
      <c r="W653">
        <f t="shared" si="31"/>
        <v>0</v>
      </c>
      <c r="X653">
        <f t="shared" si="32"/>
        <v>0</v>
      </c>
      <c r="Y653">
        <v>243</v>
      </c>
      <c r="Z653">
        <v>0</v>
      </c>
      <c r="AA653" t="s">
        <v>4010</v>
      </c>
      <c r="AB653" t="s">
        <v>99</v>
      </c>
      <c r="AC653" t="s">
        <v>93</v>
      </c>
      <c r="AD653">
        <v>6</v>
      </c>
      <c r="AE653">
        <v>81</v>
      </c>
      <c r="AF653" t="s">
        <v>126</v>
      </c>
      <c r="AH653" t="s">
        <v>138</v>
      </c>
      <c r="AI653">
        <v>313.72000000000003</v>
      </c>
      <c r="AJ653" t="s">
        <v>52</v>
      </c>
      <c r="AK653" t="s">
        <v>588</v>
      </c>
      <c r="AL653" t="s">
        <v>592</v>
      </c>
      <c r="AM653" t="s">
        <v>68</v>
      </c>
      <c r="AN653" s="1">
        <v>45640</v>
      </c>
      <c r="AO653">
        <v>2024</v>
      </c>
      <c r="AP653">
        <v>12</v>
      </c>
      <c r="AQ653" t="s">
        <v>116</v>
      </c>
      <c r="AS653" t="s">
        <v>85</v>
      </c>
      <c r="AT653">
        <v>2025</v>
      </c>
      <c r="AU653" t="s">
        <v>469</v>
      </c>
      <c r="AV653" t="s">
        <v>68</v>
      </c>
      <c r="AW653" t="s">
        <v>4009</v>
      </c>
      <c r="AX653">
        <v>2025</v>
      </c>
      <c r="AY653" t="s">
        <v>655</v>
      </c>
      <c r="AZ653" t="s">
        <v>655</v>
      </c>
    </row>
    <row r="654" spans="1:52" x14ac:dyDescent="0.25">
      <c r="A654" t="s">
        <v>3954</v>
      </c>
      <c r="B654" s="1">
        <v>32858</v>
      </c>
      <c r="C654" t="s">
        <v>3955</v>
      </c>
      <c r="D654">
        <v>484190</v>
      </c>
      <c r="E654" t="s">
        <v>46</v>
      </c>
      <c r="F654" t="s">
        <v>1315</v>
      </c>
      <c r="G654" t="s">
        <v>404</v>
      </c>
      <c r="H654" t="s">
        <v>3955</v>
      </c>
      <c r="I654" t="s">
        <v>428</v>
      </c>
      <c r="J654">
        <v>95</v>
      </c>
      <c r="K654">
        <v>-100</v>
      </c>
      <c r="L654">
        <v>100</v>
      </c>
      <c r="M654">
        <v>100</v>
      </c>
      <c r="N654">
        <v>195</v>
      </c>
      <c r="O654" t="s">
        <v>65</v>
      </c>
      <c r="P654">
        <v>125</v>
      </c>
      <c r="Q654">
        <v>130</v>
      </c>
      <c r="R654">
        <v>-133</v>
      </c>
      <c r="S654">
        <v>130</v>
      </c>
      <c r="T654">
        <v>255</v>
      </c>
      <c r="U654" t="s">
        <v>60</v>
      </c>
      <c r="V654">
        <f t="shared" si="30"/>
        <v>4</v>
      </c>
      <c r="W654">
        <f t="shared" si="31"/>
        <v>0</v>
      </c>
      <c r="X654">
        <f t="shared" si="32"/>
        <v>0</v>
      </c>
      <c r="Y654">
        <v>230</v>
      </c>
      <c r="Z654">
        <v>450</v>
      </c>
      <c r="AA654" t="s">
        <v>3957</v>
      </c>
      <c r="AB654" t="s">
        <v>3958</v>
      </c>
      <c r="AC654" t="s">
        <v>93</v>
      </c>
      <c r="AD654">
        <v>6</v>
      </c>
      <c r="AE654">
        <v>89</v>
      </c>
      <c r="AF654" t="s">
        <v>126</v>
      </c>
      <c r="AG654">
        <v>35</v>
      </c>
      <c r="AH654" t="s">
        <v>155</v>
      </c>
      <c r="AI654">
        <v>283.64999999999998</v>
      </c>
      <c r="AJ654" t="s">
        <v>52</v>
      </c>
      <c r="AK654" t="s">
        <v>1315</v>
      </c>
      <c r="AL654" t="s">
        <v>1317</v>
      </c>
      <c r="AM654" t="s">
        <v>143</v>
      </c>
      <c r="AN654" s="1">
        <v>45640</v>
      </c>
      <c r="AO654">
        <v>2024</v>
      </c>
      <c r="AP654">
        <v>12</v>
      </c>
      <c r="AQ654" t="s">
        <v>116</v>
      </c>
      <c r="AS654" t="s">
        <v>85</v>
      </c>
      <c r="AT654">
        <v>2025</v>
      </c>
      <c r="AU654" t="s">
        <v>404</v>
      </c>
      <c r="AV654" t="s">
        <v>143</v>
      </c>
      <c r="AW654" t="s">
        <v>3955</v>
      </c>
      <c r="AX654">
        <v>2025</v>
      </c>
      <c r="AY654" t="s">
        <v>3956</v>
      </c>
      <c r="AZ654" t="s">
        <v>3956</v>
      </c>
    </row>
    <row r="655" spans="1:52" x14ac:dyDescent="0.25">
      <c r="A655" t="s">
        <v>3959</v>
      </c>
      <c r="B655" s="1">
        <v>41781</v>
      </c>
      <c r="C655" t="s">
        <v>3960</v>
      </c>
      <c r="D655">
        <v>477120</v>
      </c>
      <c r="E655" t="s">
        <v>46</v>
      </c>
      <c r="F655" t="s">
        <v>760</v>
      </c>
      <c r="G655" t="s">
        <v>329</v>
      </c>
      <c r="H655" t="s">
        <v>3960</v>
      </c>
      <c r="I655" t="s">
        <v>3915</v>
      </c>
      <c r="J655">
        <v>26</v>
      </c>
      <c r="K655">
        <v>-28</v>
      </c>
      <c r="L655">
        <v>-28</v>
      </c>
      <c r="M655">
        <v>26</v>
      </c>
      <c r="N655">
        <v>0</v>
      </c>
      <c r="O655" t="s">
        <v>55</v>
      </c>
      <c r="P655">
        <v>35</v>
      </c>
      <c r="Q655">
        <v>-37</v>
      </c>
      <c r="R655">
        <v>37</v>
      </c>
      <c r="S655">
        <v>37</v>
      </c>
      <c r="T655">
        <v>72</v>
      </c>
      <c r="U655" t="s">
        <v>65</v>
      </c>
      <c r="V655">
        <f t="shared" si="30"/>
        <v>3</v>
      </c>
      <c r="W655">
        <f t="shared" si="31"/>
        <v>0</v>
      </c>
      <c r="X655">
        <f t="shared" si="32"/>
        <v>0</v>
      </c>
      <c r="Y655">
        <v>63</v>
      </c>
      <c r="Z655">
        <v>72</v>
      </c>
      <c r="AA655" t="s">
        <v>3962</v>
      </c>
      <c r="AB655" t="s">
        <v>3963</v>
      </c>
      <c r="AC655" t="s">
        <v>49</v>
      </c>
      <c r="AD655">
        <v>999</v>
      </c>
      <c r="AE655">
        <v>45</v>
      </c>
      <c r="AF655" t="s">
        <v>50</v>
      </c>
      <c r="AH655" t="s">
        <v>67</v>
      </c>
      <c r="AI655">
        <v>0</v>
      </c>
      <c r="AJ655" t="s">
        <v>52</v>
      </c>
      <c r="AK655" t="s">
        <v>760</v>
      </c>
      <c r="AL655" t="s">
        <v>763</v>
      </c>
      <c r="AM655" t="s">
        <v>133</v>
      </c>
      <c r="AN655" s="1">
        <v>45640</v>
      </c>
      <c r="AO655">
        <v>2024</v>
      </c>
      <c r="AP655">
        <v>12</v>
      </c>
      <c r="AQ655" t="s">
        <v>116</v>
      </c>
      <c r="AS655" t="s">
        <v>85</v>
      </c>
      <c r="AT655">
        <v>2025</v>
      </c>
      <c r="AU655" t="s">
        <v>329</v>
      </c>
      <c r="AV655" t="s">
        <v>133</v>
      </c>
      <c r="AW655" t="s">
        <v>3960</v>
      </c>
      <c r="AX655">
        <v>2025</v>
      </c>
      <c r="AY655" t="s">
        <v>3961</v>
      </c>
      <c r="AZ655" t="s">
        <v>3961</v>
      </c>
    </row>
    <row r="656" spans="1:52" x14ac:dyDescent="0.25">
      <c r="A656" t="s">
        <v>3964</v>
      </c>
      <c r="B656" s="1">
        <v>33669</v>
      </c>
      <c r="C656" t="s">
        <v>3965</v>
      </c>
      <c r="D656">
        <v>501976</v>
      </c>
      <c r="E656" t="s">
        <v>46</v>
      </c>
      <c r="F656" t="s">
        <v>837</v>
      </c>
      <c r="G656" t="s">
        <v>660</v>
      </c>
      <c r="H656" t="s">
        <v>3965</v>
      </c>
      <c r="I656" t="s">
        <v>399</v>
      </c>
      <c r="J656">
        <v>95</v>
      </c>
      <c r="K656">
        <v>102</v>
      </c>
      <c r="L656">
        <v>107</v>
      </c>
      <c r="M656">
        <v>107</v>
      </c>
      <c r="N656">
        <v>209</v>
      </c>
      <c r="O656" t="s">
        <v>48</v>
      </c>
      <c r="P656">
        <v>125</v>
      </c>
      <c r="Q656">
        <v>133</v>
      </c>
      <c r="R656">
        <v>138</v>
      </c>
      <c r="S656">
        <v>138</v>
      </c>
      <c r="T656">
        <v>271</v>
      </c>
      <c r="U656" t="s">
        <v>48</v>
      </c>
      <c r="V656">
        <f t="shared" si="30"/>
        <v>6</v>
      </c>
      <c r="W656">
        <f t="shared" si="31"/>
        <v>0</v>
      </c>
      <c r="X656">
        <f t="shared" si="32"/>
        <v>0</v>
      </c>
      <c r="Y656">
        <v>245</v>
      </c>
      <c r="Z656">
        <v>480</v>
      </c>
      <c r="AA656" t="s">
        <v>3493</v>
      </c>
      <c r="AB656" t="s">
        <v>3966</v>
      </c>
      <c r="AC656" t="s">
        <v>93</v>
      </c>
      <c r="AD656">
        <v>6</v>
      </c>
      <c r="AE656">
        <v>89</v>
      </c>
      <c r="AF656" t="s">
        <v>126</v>
      </c>
      <c r="AH656" t="s">
        <v>155</v>
      </c>
      <c r="AI656">
        <v>299.83999999999997</v>
      </c>
      <c r="AJ656" t="s">
        <v>52</v>
      </c>
      <c r="AK656" t="s">
        <v>837</v>
      </c>
      <c r="AL656" t="s">
        <v>840</v>
      </c>
      <c r="AM656" t="s">
        <v>173</v>
      </c>
      <c r="AN656" s="1">
        <v>45640</v>
      </c>
      <c r="AO656">
        <v>2024</v>
      </c>
      <c r="AP656">
        <v>12</v>
      </c>
      <c r="AQ656" t="s">
        <v>116</v>
      </c>
      <c r="AS656" t="s">
        <v>85</v>
      </c>
      <c r="AT656">
        <v>2025</v>
      </c>
      <c r="AU656" t="s">
        <v>660</v>
      </c>
      <c r="AV656" t="s">
        <v>173</v>
      </c>
      <c r="AW656" t="s">
        <v>3965</v>
      </c>
      <c r="AX656">
        <v>2025</v>
      </c>
      <c r="AY656" t="s">
        <v>3493</v>
      </c>
      <c r="AZ656" t="s">
        <v>3493</v>
      </c>
    </row>
    <row r="657" spans="1:52" x14ac:dyDescent="0.25">
      <c r="A657" t="s">
        <v>3967</v>
      </c>
      <c r="B657" s="1">
        <v>38386</v>
      </c>
      <c r="C657" t="s">
        <v>3968</v>
      </c>
      <c r="D657">
        <v>410980</v>
      </c>
      <c r="E657" t="s">
        <v>46</v>
      </c>
      <c r="F657" t="s">
        <v>281</v>
      </c>
      <c r="G657" t="s">
        <v>402</v>
      </c>
      <c r="H657" t="s">
        <v>3968</v>
      </c>
      <c r="I657" t="s">
        <v>420</v>
      </c>
      <c r="J657">
        <v>120</v>
      </c>
      <c r="K657">
        <v>125</v>
      </c>
      <c r="L657">
        <v>-130</v>
      </c>
      <c r="M657">
        <v>125</v>
      </c>
      <c r="N657">
        <v>245</v>
      </c>
      <c r="O657" t="s">
        <v>60</v>
      </c>
      <c r="P657">
        <v>145</v>
      </c>
      <c r="Q657">
        <v>150</v>
      </c>
      <c r="R657">
        <v>154</v>
      </c>
      <c r="S657">
        <v>154</v>
      </c>
      <c r="T657">
        <v>304</v>
      </c>
      <c r="U657" t="s">
        <v>48</v>
      </c>
      <c r="V657">
        <f t="shared" si="30"/>
        <v>5</v>
      </c>
      <c r="W657">
        <f t="shared" si="31"/>
        <v>0</v>
      </c>
      <c r="X657">
        <f t="shared" si="32"/>
        <v>0</v>
      </c>
      <c r="Y657">
        <v>279</v>
      </c>
      <c r="Z657">
        <v>549</v>
      </c>
      <c r="AA657" t="s">
        <v>3971</v>
      </c>
      <c r="AB657" t="s">
        <v>3972</v>
      </c>
      <c r="AC657" t="s">
        <v>98</v>
      </c>
      <c r="AD657">
        <v>3</v>
      </c>
      <c r="AE657">
        <v>81</v>
      </c>
      <c r="AF657" t="s">
        <v>113</v>
      </c>
      <c r="AH657" t="s">
        <v>252</v>
      </c>
      <c r="AI657">
        <v>354.33</v>
      </c>
      <c r="AJ657" t="s">
        <v>52</v>
      </c>
      <c r="AK657" t="s">
        <v>281</v>
      </c>
      <c r="AL657" t="s">
        <v>284</v>
      </c>
      <c r="AM657" t="s">
        <v>139</v>
      </c>
      <c r="AN657" s="1">
        <v>45640</v>
      </c>
      <c r="AO657">
        <v>2024</v>
      </c>
      <c r="AP657">
        <v>12</v>
      </c>
      <c r="AQ657" t="s">
        <v>116</v>
      </c>
      <c r="AS657" t="s">
        <v>85</v>
      </c>
      <c r="AT657">
        <v>2025</v>
      </c>
      <c r="AU657" t="s">
        <v>402</v>
      </c>
      <c r="AV657" t="s">
        <v>140</v>
      </c>
      <c r="AW657" t="s">
        <v>3968</v>
      </c>
      <c r="AX657">
        <v>2025</v>
      </c>
      <c r="AY657" t="s">
        <v>3969</v>
      </c>
      <c r="AZ657" t="s">
        <v>3970</v>
      </c>
    </row>
    <row r="658" spans="1:52" x14ac:dyDescent="0.25">
      <c r="A658" t="s">
        <v>3973</v>
      </c>
      <c r="B658" s="1">
        <v>32948</v>
      </c>
      <c r="C658" t="s">
        <v>3974</v>
      </c>
      <c r="D658">
        <v>481465</v>
      </c>
      <c r="E658" t="s">
        <v>46</v>
      </c>
      <c r="F658" t="s">
        <v>263</v>
      </c>
      <c r="G658" t="s">
        <v>513</v>
      </c>
      <c r="H658" t="s">
        <v>3974</v>
      </c>
      <c r="I658" t="s">
        <v>282</v>
      </c>
      <c r="J658">
        <v>90</v>
      </c>
      <c r="K658">
        <v>-95</v>
      </c>
      <c r="L658">
        <v>-96</v>
      </c>
      <c r="M658">
        <v>90</v>
      </c>
      <c r="N658">
        <v>0</v>
      </c>
      <c r="O658" t="s">
        <v>55</v>
      </c>
      <c r="P658">
        <v>115</v>
      </c>
      <c r="Q658">
        <v>-120</v>
      </c>
      <c r="R658">
        <v>-120</v>
      </c>
      <c r="S658">
        <v>115</v>
      </c>
      <c r="T658">
        <v>0</v>
      </c>
      <c r="U658" t="s">
        <v>55</v>
      </c>
      <c r="V658">
        <f t="shared" si="30"/>
        <v>2</v>
      </c>
      <c r="W658">
        <f t="shared" si="31"/>
        <v>0</v>
      </c>
      <c r="X658">
        <f t="shared" si="32"/>
        <v>0</v>
      </c>
      <c r="Y658">
        <v>205</v>
      </c>
      <c r="Z658">
        <v>0</v>
      </c>
      <c r="AA658" t="s">
        <v>3975</v>
      </c>
      <c r="AB658" t="s">
        <v>99</v>
      </c>
      <c r="AC658" t="s">
        <v>64</v>
      </c>
      <c r="AD658">
        <v>7</v>
      </c>
      <c r="AE658">
        <v>73</v>
      </c>
      <c r="AF658" t="s">
        <v>126</v>
      </c>
      <c r="AG658">
        <v>35</v>
      </c>
      <c r="AH658" t="s">
        <v>141</v>
      </c>
      <c r="AI658">
        <v>279.42</v>
      </c>
      <c r="AJ658" t="s">
        <v>52</v>
      </c>
      <c r="AK658" t="s">
        <v>263</v>
      </c>
      <c r="AL658" t="s">
        <v>267</v>
      </c>
      <c r="AM658" t="s">
        <v>145</v>
      </c>
      <c r="AN658" s="1">
        <v>45640</v>
      </c>
      <c r="AO658">
        <v>2024</v>
      </c>
      <c r="AP658">
        <v>12</v>
      </c>
      <c r="AQ658" t="s">
        <v>116</v>
      </c>
      <c r="AS658" t="s">
        <v>85</v>
      </c>
      <c r="AT658">
        <v>2025</v>
      </c>
      <c r="AU658" t="s">
        <v>513</v>
      </c>
      <c r="AV658" t="s">
        <v>145</v>
      </c>
      <c r="AW658" t="s">
        <v>3974</v>
      </c>
      <c r="AX658">
        <v>2025</v>
      </c>
      <c r="AY658" t="s">
        <v>3975</v>
      </c>
      <c r="AZ658" t="s">
        <v>3975</v>
      </c>
    </row>
    <row r="659" spans="1:52" x14ac:dyDescent="0.25">
      <c r="A659" t="s">
        <v>3976</v>
      </c>
      <c r="B659" s="1">
        <v>33571</v>
      </c>
      <c r="C659" t="s">
        <v>3977</v>
      </c>
      <c r="D659">
        <v>484405</v>
      </c>
      <c r="E659" t="s">
        <v>46</v>
      </c>
      <c r="F659" t="s">
        <v>1254</v>
      </c>
      <c r="G659" t="s">
        <v>548</v>
      </c>
      <c r="H659" t="s">
        <v>3977</v>
      </c>
      <c r="I659" t="s">
        <v>433</v>
      </c>
      <c r="J659">
        <v>100</v>
      </c>
      <c r="K659">
        <v>105</v>
      </c>
      <c r="L659">
        <v>-110</v>
      </c>
      <c r="M659">
        <v>105</v>
      </c>
      <c r="N659">
        <v>205</v>
      </c>
      <c r="O659" t="s">
        <v>60</v>
      </c>
      <c r="P659">
        <v>130</v>
      </c>
      <c r="Q659">
        <v>-135</v>
      </c>
      <c r="R659">
        <v>135</v>
      </c>
      <c r="S659">
        <v>135</v>
      </c>
      <c r="T659">
        <v>265</v>
      </c>
      <c r="U659" t="s">
        <v>65</v>
      </c>
      <c r="V659">
        <f t="shared" si="30"/>
        <v>4</v>
      </c>
      <c r="W659">
        <f t="shared" si="31"/>
        <v>0</v>
      </c>
      <c r="X659">
        <f t="shared" si="32"/>
        <v>0</v>
      </c>
      <c r="Y659">
        <v>240</v>
      </c>
      <c r="Z659">
        <v>470</v>
      </c>
      <c r="AA659" t="s">
        <v>3978</v>
      </c>
      <c r="AB659" t="s">
        <v>3979</v>
      </c>
      <c r="AC659" t="s">
        <v>93</v>
      </c>
      <c r="AD659">
        <v>6</v>
      </c>
      <c r="AE659">
        <v>96</v>
      </c>
      <c r="AF659" t="s">
        <v>126</v>
      </c>
      <c r="AH659" t="s">
        <v>222</v>
      </c>
      <c r="AI659">
        <v>281.52</v>
      </c>
      <c r="AJ659" t="s">
        <v>52</v>
      </c>
      <c r="AK659" t="s">
        <v>1254</v>
      </c>
      <c r="AL659" t="s">
        <v>1256</v>
      </c>
      <c r="AM659" t="s">
        <v>72</v>
      </c>
      <c r="AN659" s="1">
        <v>45640</v>
      </c>
      <c r="AO659">
        <v>2024</v>
      </c>
      <c r="AP659">
        <v>12</v>
      </c>
      <c r="AQ659" t="s">
        <v>116</v>
      </c>
      <c r="AS659" t="s">
        <v>85</v>
      </c>
      <c r="AT659">
        <v>2025</v>
      </c>
      <c r="AU659" t="s">
        <v>548</v>
      </c>
      <c r="AV659" t="s">
        <v>72</v>
      </c>
      <c r="AW659" t="s">
        <v>3977</v>
      </c>
      <c r="AX659">
        <v>2025</v>
      </c>
      <c r="AY659" t="s">
        <v>3978</v>
      </c>
      <c r="AZ659" t="s">
        <v>3978</v>
      </c>
    </row>
    <row r="660" spans="1:52" x14ac:dyDescent="0.25">
      <c r="A660" t="s">
        <v>3980</v>
      </c>
      <c r="B660" s="1">
        <v>39928</v>
      </c>
      <c r="C660" t="s">
        <v>3981</v>
      </c>
      <c r="D660">
        <v>467887</v>
      </c>
      <c r="E660" t="s">
        <v>46</v>
      </c>
      <c r="F660" t="s">
        <v>281</v>
      </c>
      <c r="G660" t="s">
        <v>738</v>
      </c>
      <c r="H660" t="s">
        <v>3981</v>
      </c>
      <c r="I660" t="s">
        <v>504</v>
      </c>
      <c r="J660">
        <v>83</v>
      </c>
      <c r="K660">
        <v>87</v>
      </c>
      <c r="L660">
        <v>90</v>
      </c>
      <c r="M660">
        <v>90</v>
      </c>
      <c r="N660">
        <v>177</v>
      </c>
      <c r="O660" t="s">
        <v>48</v>
      </c>
      <c r="P660">
        <v>110</v>
      </c>
      <c r="Q660">
        <v>115</v>
      </c>
      <c r="R660">
        <v>-118</v>
      </c>
      <c r="S660">
        <v>115</v>
      </c>
      <c r="T660">
        <v>225</v>
      </c>
      <c r="U660" t="s">
        <v>60</v>
      </c>
      <c r="V660">
        <f t="shared" si="30"/>
        <v>5</v>
      </c>
      <c r="W660">
        <f t="shared" si="31"/>
        <v>0</v>
      </c>
      <c r="X660">
        <f t="shared" si="32"/>
        <v>0</v>
      </c>
      <c r="Y660">
        <v>205</v>
      </c>
      <c r="Z660">
        <v>402</v>
      </c>
      <c r="AA660" t="s">
        <v>3982</v>
      </c>
      <c r="AB660" t="s">
        <v>3983</v>
      </c>
      <c r="AC660" t="s">
        <v>89</v>
      </c>
      <c r="AD660">
        <v>5</v>
      </c>
      <c r="AE660">
        <v>96</v>
      </c>
      <c r="AF660" t="s">
        <v>95</v>
      </c>
      <c r="AH660" t="s">
        <v>2322</v>
      </c>
      <c r="AI660">
        <v>239.9</v>
      </c>
      <c r="AJ660" t="s">
        <v>52</v>
      </c>
      <c r="AK660" t="s">
        <v>281</v>
      </c>
      <c r="AL660" t="s">
        <v>284</v>
      </c>
      <c r="AM660" t="s">
        <v>139</v>
      </c>
      <c r="AN660" s="1">
        <v>45640</v>
      </c>
      <c r="AO660">
        <v>2024</v>
      </c>
      <c r="AP660">
        <v>12</v>
      </c>
      <c r="AQ660" t="s">
        <v>116</v>
      </c>
      <c r="AS660" t="s">
        <v>85</v>
      </c>
      <c r="AT660">
        <v>2025</v>
      </c>
      <c r="AU660" t="s">
        <v>738</v>
      </c>
      <c r="AV660" t="s">
        <v>140</v>
      </c>
      <c r="AW660" t="s">
        <v>3981</v>
      </c>
      <c r="AX660">
        <v>2025</v>
      </c>
      <c r="AY660" t="s">
        <v>3982</v>
      </c>
      <c r="AZ660" t="s">
        <v>3982</v>
      </c>
    </row>
    <row r="661" spans="1:52" x14ac:dyDescent="0.25">
      <c r="A661" t="s">
        <v>3984</v>
      </c>
      <c r="B661" s="1">
        <v>39548</v>
      </c>
      <c r="C661" t="s">
        <v>3985</v>
      </c>
      <c r="D661">
        <v>481917</v>
      </c>
      <c r="E661" t="s">
        <v>46</v>
      </c>
      <c r="F661" t="s">
        <v>109</v>
      </c>
      <c r="G661" t="s">
        <v>413</v>
      </c>
      <c r="H661" t="s">
        <v>3985</v>
      </c>
      <c r="I661" t="s">
        <v>765</v>
      </c>
      <c r="J661">
        <v>44</v>
      </c>
      <c r="K661">
        <v>-46</v>
      </c>
      <c r="L661">
        <v>-46</v>
      </c>
      <c r="M661">
        <v>44</v>
      </c>
      <c r="N661">
        <v>0</v>
      </c>
      <c r="O661" t="s">
        <v>55</v>
      </c>
      <c r="P661">
        <v>-55</v>
      </c>
      <c r="Q661">
        <v>-55</v>
      </c>
      <c r="R661">
        <v>-55</v>
      </c>
      <c r="S661">
        <v>0</v>
      </c>
      <c r="T661">
        <v>0</v>
      </c>
      <c r="U661" t="s">
        <v>108</v>
      </c>
      <c r="V661">
        <f t="shared" si="30"/>
        <v>1</v>
      </c>
      <c r="W661">
        <f t="shared" si="31"/>
        <v>0</v>
      </c>
      <c r="X661">
        <f t="shared" si="32"/>
        <v>0</v>
      </c>
      <c r="Y661">
        <v>44</v>
      </c>
      <c r="Z661">
        <v>0</v>
      </c>
      <c r="AA661" t="s">
        <v>3986</v>
      </c>
      <c r="AB661" t="s">
        <v>99</v>
      </c>
      <c r="AC661" t="s">
        <v>49</v>
      </c>
      <c r="AD661">
        <v>999</v>
      </c>
      <c r="AE661">
        <v>64</v>
      </c>
      <c r="AF661" t="s">
        <v>95</v>
      </c>
      <c r="AH661" t="s">
        <v>169</v>
      </c>
      <c r="AI661">
        <v>0</v>
      </c>
      <c r="AJ661" t="s">
        <v>132</v>
      </c>
      <c r="AK661" t="s">
        <v>109</v>
      </c>
      <c r="AL661" t="s">
        <v>115</v>
      </c>
      <c r="AM661" t="s">
        <v>90</v>
      </c>
      <c r="AN661" s="1">
        <v>45639</v>
      </c>
      <c r="AO661">
        <v>2024</v>
      </c>
      <c r="AP661">
        <v>12</v>
      </c>
      <c r="AQ661" t="s">
        <v>116</v>
      </c>
      <c r="AS661" t="s">
        <v>85</v>
      </c>
      <c r="AT661">
        <v>2025</v>
      </c>
      <c r="AU661" t="s">
        <v>413</v>
      </c>
      <c r="AV661" t="s">
        <v>91</v>
      </c>
      <c r="AW661" t="s">
        <v>3985</v>
      </c>
      <c r="AX661">
        <v>2025</v>
      </c>
      <c r="AY661" t="s">
        <v>2669</v>
      </c>
      <c r="AZ661" t="s">
        <v>2669</v>
      </c>
    </row>
    <row r="662" spans="1:52" x14ac:dyDescent="0.25">
      <c r="A662" t="s">
        <v>3987</v>
      </c>
      <c r="B662" s="1">
        <v>35676</v>
      </c>
      <c r="C662" t="s">
        <v>3988</v>
      </c>
      <c r="D662">
        <v>484331</v>
      </c>
      <c r="E662" t="s">
        <v>46</v>
      </c>
      <c r="F662" t="s">
        <v>338</v>
      </c>
      <c r="G662" t="s">
        <v>606</v>
      </c>
      <c r="H662" t="s">
        <v>3988</v>
      </c>
      <c r="I662" t="s">
        <v>747</v>
      </c>
      <c r="J662">
        <v>-55</v>
      </c>
      <c r="K662">
        <v>-60</v>
      </c>
      <c r="L662">
        <v>-60</v>
      </c>
      <c r="M662">
        <v>0</v>
      </c>
      <c r="N662">
        <v>0</v>
      </c>
      <c r="O662" t="s">
        <v>108</v>
      </c>
      <c r="P662">
        <v>-70</v>
      </c>
      <c r="Q662">
        <v>70</v>
      </c>
      <c r="R662">
        <v>-75</v>
      </c>
      <c r="S662">
        <v>70</v>
      </c>
      <c r="T662">
        <v>0</v>
      </c>
      <c r="U662" t="s">
        <v>104</v>
      </c>
      <c r="V662">
        <f t="shared" si="30"/>
        <v>1</v>
      </c>
      <c r="W662">
        <f t="shared" si="31"/>
        <v>0</v>
      </c>
      <c r="X662">
        <f t="shared" si="32"/>
        <v>0</v>
      </c>
      <c r="Y662">
        <v>70</v>
      </c>
      <c r="Z662">
        <v>0</v>
      </c>
      <c r="AA662" t="s">
        <v>2529</v>
      </c>
      <c r="AB662" t="s">
        <v>99</v>
      </c>
      <c r="AC662" t="s">
        <v>49</v>
      </c>
      <c r="AD662">
        <v>999</v>
      </c>
      <c r="AE662">
        <v>59</v>
      </c>
      <c r="AF662" t="s">
        <v>126</v>
      </c>
      <c r="AH662" t="s">
        <v>202</v>
      </c>
      <c r="AI662">
        <v>0</v>
      </c>
      <c r="AJ662" t="s">
        <v>132</v>
      </c>
      <c r="AK662" t="s">
        <v>338</v>
      </c>
      <c r="AL662" t="s">
        <v>340</v>
      </c>
      <c r="AM662" t="s">
        <v>128</v>
      </c>
      <c r="AN662" s="1">
        <v>45640</v>
      </c>
      <c r="AO662">
        <v>2024</v>
      </c>
      <c r="AP662">
        <v>12</v>
      </c>
      <c r="AQ662" t="s">
        <v>116</v>
      </c>
      <c r="AS662" t="s">
        <v>85</v>
      </c>
      <c r="AT662">
        <v>2025</v>
      </c>
      <c r="AU662" t="s">
        <v>606</v>
      </c>
      <c r="AV662" t="s">
        <v>128</v>
      </c>
      <c r="AW662" t="s">
        <v>3988</v>
      </c>
      <c r="AX662">
        <v>2025</v>
      </c>
      <c r="AY662" t="s">
        <v>1902</v>
      </c>
      <c r="AZ662" t="s">
        <v>3989</v>
      </c>
    </row>
    <row r="663" spans="1:52" x14ac:dyDescent="0.25">
      <c r="A663" t="s">
        <v>3990</v>
      </c>
      <c r="B663" s="1">
        <v>40084</v>
      </c>
      <c r="C663" t="s">
        <v>3991</v>
      </c>
      <c r="D663">
        <v>410121</v>
      </c>
      <c r="E663" t="s">
        <v>46</v>
      </c>
      <c r="F663" t="s">
        <v>199</v>
      </c>
      <c r="G663" t="s">
        <v>968</v>
      </c>
      <c r="H663" t="s">
        <v>3991</v>
      </c>
      <c r="I663">
        <v>40</v>
      </c>
      <c r="J663">
        <v>29</v>
      </c>
      <c r="K663">
        <v>-33</v>
      </c>
      <c r="L663">
        <v>-33</v>
      </c>
      <c r="M663">
        <v>29</v>
      </c>
      <c r="N663">
        <v>0</v>
      </c>
      <c r="O663" t="s">
        <v>55</v>
      </c>
      <c r="P663">
        <v>39</v>
      </c>
      <c r="Q663">
        <v>41</v>
      </c>
      <c r="R663">
        <v>-44</v>
      </c>
      <c r="S663">
        <v>41</v>
      </c>
      <c r="T663">
        <v>80</v>
      </c>
      <c r="U663" t="s">
        <v>60</v>
      </c>
      <c r="V663">
        <f t="shared" si="30"/>
        <v>3</v>
      </c>
      <c r="W663">
        <f t="shared" si="31"/>
        <v>0</v>
      </c>
      <c r="X663">
        <f t="shared" si="32"/>
        <v>0</v>
      </c>
      <c r="Y663">
        <v>70</v>
      </c>
      <c r="Z663">
        <v>80</v>
      </c>
      <c r="AA663" t="s">
        <v>3993</v>
      </c>
      <c r="AB663" t="s">
        <v>3994</v>
      </c>
      <c r="AC663" t="s">
        <v>89</v>
      </c>
      <c r="AD663">
        <v>5</v>
      </c>
      <c r="AE663">
        <v>40</v>
      </c>
      <c r="AF663" t="s">
        <v>95</v>
      </c>
      <c r="AH663" t="s">
        <v>701</v>
      </c>
      <c r="AI663">
        <v>130.08000000000001</v>
      </c>
      <c r="AJ663" t="s">
        <v>132</v>
      </c>
      <c r="AK663" t="s">
        <v>199</v>
      </c>
      <c r="AL663" t="s">
        <v>203</v>
      </c>
      <c r="AM663" t="s">
        <v>53</v>
      </c>
      <c r="AN663" s="1">
        <v>45640</v>
      </c>
      <c r="AO663">
        <v>2024</v>
      </c>
      <c r="AP663">
        <v>12</v>
      </c>
      <c r="AQ663" t="s">
        <v>116</v>
      </c>
      <c r="AS663" t="s">
        <v>85</v>
      </c>
      <c r="AT663">
        <v>2025</v>
      </c>
      <c r="AU663" t="s">
        <v>968</v>
      </c>
      <c r="AV663" t="s">
        <v>54</v>
      </c>
      <c r="AW663" t="s">
        <v>3991</v>
      </c>
      <c r="AX663">
        <v>2025</v>
      </c>
      <c r="AY663" t="s">
        <v>3992</v>
      </c>
      <c r="AZ663" t="s">
        <v>3993</v>
      </c>
    </row>
    <row r="664" spans="1:52" x14ac:dyDescent="0.25">
      <c r="A664" t="s">
        <v>3995</v>
      </c>
      <c r="B664" s="1">
        <v>39574</v>
      </c>
      <c r="C664" t="s">
        <v>3996</v>
      </c>
      <c r="D664">
        <v>478979</v>
      </c>
      <c r="E664" t="s">
        <v>46</v>
      </c>
      <c r="F664" t="s">
        <v>109</v>
      </c>
      <c r="G664" t="s">
        <v>413</v>
      </c>
      <c r="H664" t="s">
        <v>3996</v>
      </c>
      <c r="I664" t="s">
        <v>1266</v>
      </c>
      <c r="J664">
        <v>-100</v>
      </c>
      <c r="K664">
        <v>-100</v>
      </c>
      <c r="L664">
        <v>-100</v>
      </c>
      <c r="M664">
        <v>0</v>
      </c>
      <c r="N664">
        <v>0</v>
      </c>
      <c r="O664" t="s">
        <v>108</v>
      </c>
      <c r="P664">
        <v>-105</v>
      </c>
      <c r="Q664">
        <v>105</v>
      </c>
      <c r="R664">
        <v>110</v>
      </c>
      <c r="S664">
        <v>110</v>
      </c>
      <c r="T664">
        <v>215</v>
      </c>
      <c r="U664" t="s">
        <v>63</v>
      </c>
      <c r="V664">
        <f t="shared" si="30"/>
        <v>2</v>
      </c>
      <c r="W664">
        <f t="shared" si="31"/>
        <v>0</v>
      </c>
      <c r="X664">
        <f t="shared" si="32"/>
        <v>0</v>
      </c>
      <c r="Y664">
        <v>110</v>
      </c>
      <c r="Z664">
        <v>215</v>
      </c>
      <c r="AA664" t="s">
        <v>3998</v>
      </c>
      <c r="AB664" t="s">
        <v>3999</v>
      </c>
      <c r="AC664" t="s">
        <v>49</v>
      </c>
      <c r="AD664">
        <v>999</v>
      </c>
      <c r="AE664" t="s">
        <v>1010</v>
      </c>
      <c r="AF664" t="s">
        <v>95</v>
      </c>
      <c r="AH664" t="s">
        <v>1918</v>
      </c>
      <c r="AI664">
        <v>0</v>
      </c>
      <c r="AJ664" t="s">
        <v>52</v>
      </c>
      <c r="AK664" t="s">
        <v>109</v>
      </c>
      <c r="AL664" t="s">
        <v>115</v>
      </c>
      <c r="AM664" t="s">
        <v>90</v>
      </c>
      <c r="AN664" s="1">
        <v>45639</v>
      </c>
      <c r="AO664">
        <v>2024</v>
      </c>
      <c r="AP664">
        <v>12</v>
      </c>
      <c r="AQ664" t="s">
        <v>116</v>
      </c>
      <c r="AS664" t="s">
        <v>85</v>
      </c>
      <c r="AT664">
        <v>2025</v>
      </c>
      <c r="AU664" t="s">
        <v>413</v>
      </c>
      <c r="AV664" t="s">
        <v>91</v>
      </c>
      <c r="AW664" t="s">
        <v>3996</v>
      </c>
      <c r="AX664">
        <v>2025</v>
      </c>
      <c r="AY664" t="s">
        <v>3997</v>
      </c>
      <c r="AZ664" t="s">
        <v>3997</v>
      </c>
    </row>
    <row r="665" spans="1:52" x14ac:dyDescent="0.25">
      <c r="A665" t="s">
        <v>4000</v>
      </c>
      <c r="B665" s="1">
        <v>41683</v>
      </c>
      <c r="C665" t="s">
        <v>4001</v>
      </c>
      <c r="D665">
        <v>483425</v>
      </c>
      <c r="E665" t="s">
        <v>46</v>
      </c>
      <c r="F665" t="s">
        <v>1788</v>
      </c>
      <c r="G665" t="s">
        <v>606</v>
      </c>
      <c r="H665" t="s">
        <v>4001</v>
      </c>
      <c r="I665" t="s">
        <v>824</v>
      </c>
      <c r="J665">
        <v>11</v>
      </c>
      <c r="K665">
        <v>13</v>
      </c>
      <c r="L665">
        <v>14</v>
      </c>
      <c r="M665">
        <v>14</v>
      </c>
      <c r="N665">
        <v>27</v>
      </c>
      <c r="O665" t="s">
        <v>48</v>
      </c>
      <c r="P665">
        <v>18</v>
      </c>
      <c r="Q665">
        <v>19</v>
      </c>
      <c r="R665">
        <v>20</v>
      </c>
      <c r="S665">
        <v>20</v>
      </c>
      <c r="T665">
        <v>39</v>
      </c>
      <c r="U665" t="s">
        <v>48</v>
      </c>
      <c r="V665">
        <f t="shared" si="30"/>
        <v>6</v>
      </c>
      <c r="W665">
        <f t="shared" si="31"/>
        <v>0</v>
      </c>
      <c r="X665">
        <f t="shared" si="32"/>
        <v>0</v>
      </c>
      <c r="Y665">
        <v>34</v>
      </c>
      <c r="Z665">
        <v>66</v>
      </c>
      <c r="AA665" t="s">
        <v>4002</v>
      </c>
      <c r="AB665" t="s">
        <v>4003</v>
      </c>
      <c r="AC665" t="s">
        <v>49</v>
      </c>
      <c r="AD665">
        <v>999</v>
      </c>
      <c r="AE665">
        <v>40</v>
      </c>
      <c r="AF665" t="s">
        <v>50</v>
      </c>
      <c r="AH665" t="s">
        <v>51</v>
      </c>
      <c r="AI665">
        <v>158.6</v>
      </c>
      <c r="AJ665" t="s">
        <v>52</v>
      </c>
      <c r="AK665" t="s">
        <v>1788</v>
      </c>
      <c r="AL665" t="s">
        <v>1791</v>
      </c>
      <c r="AM665" t="s">
        <v>128</v>
      </c>
      <c r="AN665" s="1">
        <v>45641</v>
      </c>
      <c r="AO665">
        <v>2024</v>
      </c>
      <c r="AP665">
        <v>12</v>
      </c>
      <c r="AQ665" t="s">
        <v>116</v>
      </c>
      <c r="AS665" t="s">
        <v>85</v>
      </c>
      <c r="AT665">
        <v>2025</v>
      </c>
      <c r="AU665" t="s">
        <v>606</v>
      </c>
      <c r="AV665" t="s">
        <v>128</v>
      </c>
      <c r="AW665" t="s">
        <v>4001</v>
      </c>
      <c r="AX665">
        <v>2025</v>
      </c>
      <c r="AY665" t="s">
        <v>4002</v>
      </c>
      <c r="AZ665" t="s">
        <v>4002</v>
      </c>
    </row>
    <row r="666" spans="1:52" x14ac:dyDescent="0.25">
      <c r="A666" t="s">
        <v>4004</v>
      </c>
      <c r="B666" s="1">
        <v>41483</v>
      </c>
      <c r="C666" t="s">
        <v>4005</v>
      </c>
      <c r="D666">
        <v>503821</v>
      </c>
      <c r="E666" t="s">
        <v>46</v>
      </c>
      <c r="F666" t="s">
        <v>964</v>
      </c>
      <c r="G666" t="s">
        <v>66</v>
      </c>
      <c r="H666" t="s">
        <v>4005</v>
      </c>
      <c r="I666" t="s">
        <v>1814</v>
      </c>
      <c r="J666">
        <v>16</v>
      </c>
      <c r="K666">
        <v>18</v>
      </c>
      <c r="L666">
        <v>-20</v>
      </c>
      <c r="M666">
        <v>18</v>
      </c>
      <c r="N666">
        <v>34</v>
      </c>
      <c r="O666" t="s">
        <v>60</v>
      </c>
      <c r="P666">
        <v>20</v>
      </c>
      <c r="Q666">
        <v>22</v>
      </c>
      <c r="R666">
        <v>-24</v>
      </c>
      <c r="S666">
        <v>22</v>
      </c>
      <c r="T666">
        <v>42</v>
      </c>
      <c r="U666" t="s">
        <v>60</v>
      </c>
      <c r="V666">
        <f t="shared" si="30"/>
        <v>4</v>
      </c>
      <c r="W666">
        <f t="shared" si="31"/>
        <v>0</v>
      </c>
      <c r="X666">
        <f t="shared" si="32"/>
        <v>0</v>
      </c>
      <c r="Y666">
        <v>40</v>
      </c>
      <c r="Z666">
        <v>76</v>
      </c>
      <c r="AA666" t="s">
        <v>4006</v>
      </c>
      <c r="AB666" t="s">
        <v>4007</v>
      </c>
      <c r="AC666" t="s">
        <v>49</v>
      </c>
      <c r="AD666">
        <v>999</v>
      </c>
      <c r="AE666">
        <v>49</v>
      </c>
      <c r="AF666" t="s">
        <v>50</v>
      </c>
      <c r="AH666" t="s">
        <v>74</v>
      </c>
      <c r="AI666">
        <v>142.65</v>
      </c>
      <c r="AJ666" t="s">
        <v>52</v>
      </c>
      <c r="AK666" t="s">
        <v>964</v>
      </c>
      <c r="AL666" t="s">
        <v>967</v>
      </c>
      <c r="AM666" t="s">
        <v>68</v>
      </c>
      <c r="AN666" s="1">
        <v>45641</v>
      </c>
      <c r="AO666">
        <v>2024</v>
      </c>
      <c r="AP666">
        <v>12</v>
      </c>
      <c r="AQ666" t="s">
        <v>116</v>
      </c>
      <c r="AS666" t="s">
        <v>85</v>
      </c>
      <c r="AT666">
        <v>2025</v>
      </c>
      <c r="AU666" t="s">
        <v>66</v>
      </c>
      <c r="AV666" t="s">
        <v>68</v>
      </c>
      <c r="AW666" t="s">
        <v>4005</v>
      </c>
      <c r="AX666">
        <v>2025</v>
      </c>
      <c r="AY666" t="s">
        <v>4006</v>
      </c>
      <c r="AZ666" t="s">
        <v>4006</v>
      </c>
    </row>
    <row r="667" spans="1:52" x14ac:dyDescent="0.25">
      <c r="A667" t="s">
        <v>4012</v>
      </c>
      <c r="B667" s="1">
        <v>36449</v>
      </c>
      <c r="C667" t="s">
        <v>4013</v>
      </c>
      <c r="D667">
        <v>416133</v>
      </c>
      <c r="E667" t="s">
        <v>46</v>
      </c>
      <c r="F667" t="s">
        <v>582</v>
      </c>
      <c r="G667" t="s">
        <v>386</v>
      </c>
      <c r="H667" t="s">
        <v>4013</v>
      </c>
      <c r="I667" t="s">
        <v>2340</v>
      </c>
      <c r="J667">
        <v>125</v>
      </c>
      <c r="K667">
        <v>130</v>
      </c>
      <c r="L667">
        <v>135</v>
      </c>
      <c r="M667">
        <v>135</v>
      </c>
      <c r="N667">
        <v>265</v>
      </c>
      <c r="O667" t="s">
        <v>48</v>
      </c>
      <c r="P667">
        <v>153</v>
      </c>
      <c r="Q667">
        <v>160</v>
      </c>
      <c r="R667">
        <v>-170</v>
      </c>
      <c r="S667">
        <v>160</v>
      </c>
      <c r="T667">
        <v>313</v>
      </c>
      <c r="U667" t="s">
        <v>60</v>
      </c>
      <c r="V667">
        <f t="shared" si="30"/>
        <v>5</v>
      </c>
      <c r="W667">
        <f t="shared" si="31"/>
        <v>0</v>
      </c>
      <c r="X667">
        <f t="shared" si="32"/>
        <v>0</v>
      </c>
      <c r="Y667">
        <v>295</v>
      </c>
      <c r="Z667">
        <v>578</v>
      </c>
      <c r="AA667" t="s">
        <v>4015</v>
      </c>
      <c r="AB667" t="s">
        <v>4016</v>
      </c>
      <c r="AC667" t="s">
        <v>94</v>
      </c>
      <c r="AD667">
        <v>4</v>
      </c>
      <c r="AE667">
        <v>96</v>
      </c>
      <c r="AF667" t="s">
        <v>126</v>
      </c>
      <c r="AH667" t="s">
        <v>222</v>
      </c>
      <c r="AI667">
        <v>351.43</v>
      </c>
      <c r="AJ667" t="s">
        <v>52</v>
      </c>
      <c r="AK667" t="s">
        <v>582</v>
      </c>
      <c r="AL667" t="s">
        <v>585</v>
      </c>
      <c r="AM667" t="s">
        <v>170</v>
      </c>
      <c r="AN667" s="1">
        <v>45640</v>
      </c>
      <c r="AO667">
        <v>2024</v>
      </c>
      <c r="AP667">
        <v>12</v>
      </c>
      <c r="AQ667" t="s">
        <v>116</v>
      </c>
      <c r="AS667" t="s">
        <v>85</v>
      </c>
      <c r="AT667">
        <v>2025</v>
      </c>
      <c r="AU667" t="s">
        <v>386</v>
      </c>
      <c r="AV667" t="s">
        <v>170</v>
      </c>
      <c r="AW667" t="s">
        <v>4013</v>
      </c>
      <c r="AX667">
        <v>2025</v>
      </c>
      <c r="AY667" t="s">
        <v>4014</v>
      </c>
      <c r="AZ667" t="s">
        <v>4015</v>
      </c>
    </row>
    <row r="668" spans="1:52" x14ac:dyDescent="0.25">
      <c r="A668" t="s">
        <v>4017</v>
      </c>
      <c r="B668" s="1">
        <v>39398</v>
      </c>
      <c r="C668" t="s">
        <v>4018</v>
      </c>
      <c r="D668">
        <v>474709</v>
      </c>
      <c r="E668" t="s">
        <v>46</v>
      </c>
      <c r="F668" t="s">
        <v>338</v>
      </c>
      <c r="G668" t="s">
        <v>124</v>
      </c>
      <c r="H668" t="s">
        <v>4018</v>
      </c>
      <c r="I668" t="s">
        <v>353</v>
      </c>
      <c r="J668">
        <v>65</v>
      </c>
      <c r="K668">
        <v>68</v>
      </c>
      <c r="L668">
        <v>70</v>
      </c>
      <c r="M668">
        <v>70</v>
      </c>
      <c r="N668">
        <v>138</v>
      </c>
      <c r="O668" t="s">
        <v>48</v>
      </c>
      <c r="P668">
        <v>-80</v>
      </c>
      <c r="Q668">
        <v>80</v>
      </c>
      <c r="R668">
        <v>-90</v>
      </c>
      <c r="S668">
        <v>80</v>
      </c>
      <c r="T668">
        <v>0</v>
      </c>
      <c r="U668" t="s">
        <v>104</v>
      </c>
      <c r="V668">
        <f t="shared" si="30"/>
        <v>4</v>
      </c>
      <c r="W668">
        <f t="shared" si="31"/>
        <v>0</v>
      </c>
      <c r="X668">
        <f t="shared" si="32"/>
        <v>0</v>
      </c>
      <c r="Y668">
        <v>150</v>
      </c>
      <c r="Z668">
        <v>138</v>
      </c>
      <c r="AA668" t="s">
        <v>4020</v>
      </c>
      <c r="AB668" t="s">
        <v>1983</v>
      </c>
      <c r="AC668" t="s">
        <v>94</v>
      </c>
      <c r="AD668">
        <v>4</v>
      </c>
      <c r="AE668">
        <v>64</v>
      </c>
      <c r="AF668" t="s">
        <v>113</v>
      </c>
      <c r="AH668" t="s">
        <v>355</v>
      </c>
      <c r="AI668">
        <v>196.33</v>
      </c>
      <c r="AJ668" t="s">
        <v>132</v>
      </c>
      <c r="AK668" t="s">
        <v>338</v>
      </c>
      <c r="AL668" t="s">
        <v>340</v>
      </c>
      <c r="AM668" t="s">
        <v>128</v>
      </c>
      <c r="AN668" s="1">
        <v>45640</v>
      </c>
      <c r="AO668">
        <v>2024</v>
      </c>
      <c r="AP668">
        <v>12</v>
      </c>
      <c r="AQ668" t="s">
        <v>116</v>
      </c>
      <c r="AS668" t="s">
        <v>85</v>
      </c>
      <c r="AT668">
        <v>2025</v>
      </c>
      <c r="AU668" t="s">
        <v>124</v>
      </c>
      <c r="AV668" t="s">
        <v>128</v>
      </c>
      <c r="AW668" t="s">
        <v>4018</v>
      </c>
      <c r="AX668">
        <v>2025</v>
      </c>
      <c r="AY668" t="s">
        <v>4019</v>
      </c>
      <c r="AZ668" t="s">
        <v>4020</v>
      </c>
    </row>
    <row r="669" spans="1:52" x14ac:dyDescent="0.25">
      <c r="A669" t="s">
        <v>4021</v>
      </c>
      <c r="B669" s="1">
        <v>34932</v>
      </c>
      <c r="C669" t="s">
        <v>4022</v>
      </c>
      <c r="D669">
        <v>436651</v>
      </c>
      <c r="E669" t="s">
        <v>46</v>
      </c>
      <c r="F669" t="s">
        <v>948</v>
      </c>
      <c r="G669" t="s">
        <v>221</v>
      </c>
      <c r="H669" t="s">
        <v>4022</v>
      </c>
      <c r="I669" t="s">
        <v>4024</v>
      </c>
      <c r="J669">
        <v>77</v>
      </c>
      <c r="K669">
        <v>85</v>
      </c>
      <c r="L669">
        <v>88</v>
      </c>
      <c r="M669">
        <v>88</v>
      </c>
      <c r="N669">
        <v>173</v>
      </c>
      <c r="O669" t="s">
        <v>48</v>
      </c>
      <c r="P669">
        <v>80</v>
      </c>
      <c r="Q669">
        <v>105</v>
      </c>
      <c r="R669">
        <v>-109</v>
      </c>
      <c r="S669">
        <v>105</v>
      </c>
      <c r="T669">
        <v>185</v>
      </c>
      <c r="U669" t="s">
        <v>60</v>
      </c>
      <c r="V669">
        <f t="shared" si="30"/>
        <v>5</v>
      </c>
      <c r="W669">
        <f t="shared" si="31"/>
        <v>0</v>
      </c>
      <c r="X669">
        <f t="shared" si="32"/>
        <v>0</v>
      </c>
      <c r="Y669">
        <v>193</v>
      </c>
      <c r="Z669">
        <v>358</v>
      </c>
      <c r="AA669" t="s">
        <v>4023</v>
      </c>
      <c r="AB669" t="s">
        <v>4025</v>
      </c>
      <c r="AC669" t="s">
        <v>98</v>
      </c>
      <c r="AD669">
        <v>3</v>
      </c>
      <c r="AE669">
        <v>64</v>
      </c>
      <c r="AF669" t="s">
        <v>126</v>
      </c>
      <c r="AH669" t="s">
        <v>167</v>
      </c>
      <c r="AI669">
        <v>254.44</v>
      </c>
      <c r="AJ669" t="s">
        <v>132</v>
      </c>
      <c r="AK669" t="s">
        <v>948</v>
      </c>
      <c r="AL669" t="s">
        <v>949</v>
      </c>
      <c r="AM669" t="s">
        <v>133</v>
      </c>
      <c r="AN669" s="1">
        <v>45640</v>
      </c>
      <c r="AO669">
        <v>2024</v>
      </c>
      <c r="AP669">
        <v>12</v>
      </c>
      <c r="AQ669" t="s">
        <v>116</v>
      </c>
      <c r="AS669" t="s">
        <v>85</v>
      </c>
      <c r="AT669">
        <v>2025</v>
      </c>
      <c r="AU669" t="s">
        <v>221</v>
      </c>
      <c r="AV669" t="s">
        <v>133</v>
      </c>
      <c r="AW669" t="s">
        <v>4022</v>
      </c>
      <c r="AX669">
        <v>2025</v>
      </c>
      <c r="AY669" t="s">
        <v>4023</v>
      </c>
      <c r="AZ669" t="s">
        <v>4023</v>
      </c>
    </row>
    <row r="670" spans="1:52" x14ac:dyDescent="0.25">
      <c r="A670" t="s">
        <v>4026</v>
      </c>
      <c r="B670" s="1">
        <v>32202</v>
      </c>
      <c r="C670" t="s">
        <v>4027</v>
      </c>
      <c r="D670">
        <v>477570</v>
      </c>
      <c r="E670" t="s">
        <v>4028</v>
      </c>
      <c r="F670" t="s">
        <v>859</v>
      </c>
      <c r="G670" t="s">
        <v>766</v>
      </c>
      <c r="H670" t="s">
        <v>4027</v>
      </c>
      <c r="I670" t="s">
        <v>1842</v>
      </c>
      <c r="J670">
        <v>95</v>
      </c>
      <c r="K670">
        <v>100</v>
      </c>
      <c r="L670">
        <v>-103</v>
      </c>
      <c r="M670">
        <v>100</v>
      </c>
      <c r="N670">
        <v>195</v>
      </c>
      <c r="O670" t="s">
        <v>60</v>
      </c>
      <c r="P670">
        <v>125</v>
      </c>
      <c r="Q670">
        <v>130</v>
      </c>
      <c r="R670">
        <v>-135</v>
      </c>
      <c r="S670">
        <v>130</v>
      </c>
      <c r="T670">
        <v>255</v>
      </c>
      <c r="U670" t="s">
        <v>60</v>
      </c>
      <c r="V670">
        <f t="shared" si="30"/>
        <v>4</v>
      </c>
      <c r="W670">
        <f t="shared" si="31"/>
        <v>0</v>
      </c>
      <c r="X670">
        <f t="shared" si="32"/>
        <v>0</v>
      </c>
      <c r="Y670">
        <v>230</v>
      </c>
      <c r="Z670">
        <v>450</v>
      </c>
      <c r="AA670" t="s">
        <v>4030</v>
      </c>
      <c r="AB670" t="s">
        <v>4031</v>
      </c>
      <c r="AC670" t="s">
        <v>64</v>
      </c>
      <c r="AD670">
        <v>7</v>
      </c>
      <c r="AE670">
        <v>102</v>
      </c>
      <c r="AF670" t="s">
        <v>126</v>
      </c>
      <c r="AG670">
        <v>35</v>
      </c>
      <c r="AH670" t="s">
        <v>148</v>
      </c>
      <c r="AI670">
        <v>262.06</v>
      </c>
      <c r="AJ670" t="s">
        <v>52</v>
      </c>
      <c r="AK670" t="s">
        <v>859</v>
      </c>
      <c r="AL670" t="s">
        <v>862</v>
      </c>
      <c r="AM670" t="s">
        <v>123</v>
      </c>
      <c r="AN670" s="1">
        <v>45640</v>
      </c>
      <c r="AO670">
        <v>2024</v>
      </c>
      <c r="AP670">
        <v>12</v>
      </c>
      <c r="AQ670" t="s">
        <v>116</v>
      </c>
      <c r="AS670" t="s">
        <v>85</v>
      </c>
      <c r="AT670">
        <v>2025</v>
      </c>
      <c r="AU670" t="s">
        <v>766</v>
      </c>
      <c r="AV670" t="s">
        <v>123</v>
      </c>
      <c r="AW670" t="s">
        <v>4027</v>
      </c>
      <c r="AX670">
        <v>2025</v>
      </c>
      <c r="AY670" t="s">
        <v>4029</v>
      </c>
      <c r="AZ670" t="s">
        <v>4030</v>
      </c>
    </row>
    <row r="671" spans="1:52" x14ac:dyDescent="0.25">
      <c r="A671" t="s">
        <v>4032</v>
      </c>
      <c r="B671" s="1">
        <v>40029</v>
      </c>
      <c r="C671" t="s">
        <v>4033</v>
      </c>
      <c r="D671">
        <v>505630</v>
      </c>
      <c r="E671" t="s">
        <v>2657</v>
      </c>
      <c r="F671" t="s">
        <v>390</v>
      </c>
      <c r="G671" t="s">
        <v>386</v>
      </c>
      <c r="H671" t="s">
        <v>4033</v>
      </c>
      <c r="I671" t="s">
        <v>272</v>
      </c>
      <c r="J671">
        <v>-76</v>
      </c>
      <c r="K671">
        <v>77</v>
      </c>
      <c r="L671">
        <v>-83</v>
      </c>
      <c r="M671">
        <v>77</v>
      </c>
      <c r="N671">
        <v>0</v>
      </c>
      <c r="O671" t="s">
        <v>104</v>
      </c>
      <c r="P671">
        <v>92</v>
      </c>
      <c r="Q671">
        <v>-101</v>
      </c>
      <c r="R671">
        <v>-101</v>
      </c>
      <c r="S671">
        <v>92</v>
      </c>
      <c r="T671">
        <v>0</v>
      </c>
      <c r="U671" t="s">
        <v>55</v>
      </c>
      <c r="V671">
        <f t="shared" si="30"/>
        <v>2</v>
      </c>
      <c r="W671">
        <f t="shared" si="31"/>
        <v>0</v>
      </c>
      <c r="X671">
        <f t="shared" si="32"/>
        <v>0</v>
      </c>
      <c r="Y671">
        <v>169</v>
      </c>
      <c r="Z671">
        <v>0</v>
      </c>
      <c r="AA671" t="s">
        <v>4034</v>
      </c>
      <c r="AB671" t="s">
        <v>99</v>
      </c>
      <c r="AC671" t="s">
        <v>89</v>
      </c>
      <c r="AD671">
        <v>5</v>
      </c>
      <c r="AE671">
        <v>61</v>
      </c>
      <c r="AF671" t="s">
        <v>95</v>
      </c>
      <c r="AH671" t="s">
        <v>96</v>
      </c>
      <c r="AI671">
        <v>267.35000000000002</v>
      </c>
      <c r="AJ671" t="s">
        <v>52</v>
      </c>
      <c r="AK671" t="s">
        <v>390</v>
      </c>
      <c r="AL671" t="s">
        <v>392</v>
      </c>
      <c r="AM671" t="s">
        <v>170</v>
      </c>
      <c r="AN671" s="1">
        <v>45641</v>
      </c>
      <c r="AO671">
        <v>2024</v>
      </c>
      <c r="AP671">
        <v>12</v>
      </c>
      <c r="AQ671" t="s">
        <v>116</v>
      </c>
      <c r="AS671" t="s">
        <v>85</v>
      </c>
      <c r="AT671">
        <v>2025</v>
      </c>
      <c r="AU671" t="s">
        <v>386</v>
      </c>
      <c r="AV671" t="s">
        <v>170</v>
      </c>
      <c r="AW671" t="s">
        <v>4033</v>
      </c>
      <c r="AX671">
        <v>2025</v>
      </c>
      <c r="AY671" t="s">
        <v>4034</v>
      </c>
      <c r="AZ671" t="s">
        <v>4034</v>
      </c>
    </row>
    <row r="672" spans="1:52" x14ac:dyDescent="0.25">
      <c r="A672" t="s">
        <v>4035</v>
      </c>
      <c r="B672" s="1">
        <v>36566</v>
      </c>
      <c r="C672" t="s">
        <v>4036</v>
      </c>
      <c r="D672">
        <v>435890</v>
      </c>
      <c r="E672" t="s">
        <v>46</v>
      </c>
      <c r="F672" t="s">
        <v>633</v>
      </c>
      <c r="G672" t="s">
        <v>713</v>
      </c>
      <c r="H672" t="s">
        <v>4036</v>
      </c>
      <c r="I672" t="s">
        <v>398</v>
      </c>
      <c r="J672">
        <v>-110</v>
      </c>
      <c r="K672">
        <v>110</v>
      </c>
      <c r="L672">
        <v>115</v>
      </c>
      <c r="M672">
        <v>115</v>
      </c>
      <c r="N672">
        <v>225</v>
      </c>
      <c r="O672" t="s">
        <v>63</v>
      </c>
      <c r="P672">
        <v>137</v>
      </c>
      <c r="Q672">
        <v>-145</v>
      </c>
      <c r="R672">
        <v>-145</v>
      </c>
      <c r="S672">
        <v>137</v>
      </c>
      <c r="T672">
        <v>0</v>
      </c>
      <c r="U672" t="s">
        <v>55</v>
      </c>
      <c r="V672">
        <f t="shared" si="30"/>
        <v>3</v>
      </c>
      <c r="W672">
        <f t="shared" si="31"/>
        <v>0</v>
      </c>
      <c r="X672">
        <f t="shared" si="32"/>
        <v>0</v>
      </c>
      <c r="Y672">
        <v>252</v>
      </c>
      <c r="Z672">
        <v>225</v>
      </c>
      <c r="AA672" t="s">
        <v>1862</v>
      </c>
      <c r="AB672" t="s">
        <v>3600</v>
      </c>
      <c r="AC672" t="s">
        <v>93</v>
      </c>
      <c r="AD672">
        <v>6</v>
      </c>
      <c r="AE672">
        <v>89</v>
      </c>
      <c r="AF672" t="s">
        <v>126</v>
      </c>
      <c r="AH672" t="s">
        <v>155</v>
      </c>
      <c r="AI672">
        <v>306.64999999999998</v>
      </c>
      <c r="AJ672" t="s">
        <v>52</v>
      </c>
      <c r="AK672" t="s">
        <v>633</v>
      </c>
      <c r="AL672" t="s">
        <v>637</v>
      </c>
      <c r="AM672" t="s">
        <v>139</v>
      </c>
      <c r="AN672" s="1">
        <v>45640</v>
      </c>
      <c r="AO672">
        <v>2024</v>
      </c>
      <c r="AP672">
        <v>12</v>
      </c>
      <c r="AQ672" t="s">
        <v>116</v>
      </c>
      <c r="AS672" t="s">
        <v>85</v>
      </c>
      <c r="AT672">
        <v>2025</v>
      </c>
      <c r="AU672" t="s">
        <v>713</v>
      </c>
      <c r="AV672" t="s">
        <v>140</v>
      </c>
      <c r="AW672" t="s">
        <v>4036</v>
      </c>
      <c r="AX672">
        <v>2025</v>
      </c>
      <c r="AY672" t="s">
        <v>3244</v>
      </c>
      <c r="AZ672" t="s">
        <v>1862</v>
      </c>
    </row>
    <row r="673" spans="1:52" x14ac:dyDescent="0.25">
      <c r="A673" t="s">
        <v>4037</v>
      </c>
      <c r="B673" s="1">
        <v>36385</v>
      </c>
      <c r="C673" t="s">
        <v>4038</v>
      </c>
      <c r="D673">
        <v>467765</v>
      </c>
      <c r="E673" t="s">
        <v>46</v>
      </c>
      <c r="F673" t="s">
        <v>625</v>
      </c>
      <c r="G673" t="s">
        <v>634</v>
      </c>
      <c r="H673" t="s">
        <v>4038</v>
      </c>
      <c r="I673" t="s">
        <v>176</v>
      </c>
      <c r="J673">
        <v>-65</v>
      </c>
      <c r="K673">
        <v>65</v>
      </c>
      <c r="L673">
        <v>-74</v>
      </c>
      <c r="M673">
        <v>65</v>
      </c>
      <c r="N673">
        <v>0</v>
      </c>
      <c r="O673" t="s">
        <v>104</v>
      </c>
      <c r="P673">
        <v>80</v>
      </c>
      <c r="Q673">
        <v>-90</v>
      </c>
      <c r="R673">
        <v>-90</v>
      </c>
      <c r="S673">
        <v>80</v>
      </c>
      <c r="T673">
        <v>0</v>
      </c>
      <c r="U673" t="s">
        <v>55</v>
      </c>
      <c r="V673">
        <f t="shared" si="30"/>
        <v>2</v>
      </c>
      <c r="W673">
        <f t="shared" si="31"/>
        <v>0</v>
      </c>
      <c r="X673">
        <f t="shared" si="32"/>
        <v>0</v>
      </c>
      <c r="Y673">
        <v>145</v>
      </c>
      <c r="Z673">
        <v>0</v>
      </c>
      <c r="AA673" t="s">
        <v>3283</v>
      </c>
      <c r="AB673" t="s">
        <v>99</v>
      </c>
      <c r="AC673" t="s">
        <v>94</v>
      </c>
      <c r="AD673">
        <v>4</v>
      </c>
      <c r="AE673">
        <v>55</v>
      </c>
      <c r="AF673" t="s">
        <v>126</v>
      </c>
      <c r="AH673" t="s">
        <v>197</v>
      </c>
      <c r="AI673">
        <v>210.25</v>
      </c>
      <c r="AJ673" t="s">
        <v>132</v>
      </c>
      <c r="AK673" t="s">
        <v>625</v>
      </c>
      <c r="AL673" t="s">
        <v>627</v>
      </c>
      <c r="AM673" t="s">
        <v>139</v>
      </c>
      <c r="AN673" s="1">
        <v>45641</v>
      </c>
      <c r="AO673">
        <v>2024</v>
      </c>
      <c r="AP673">
        <v>12</v>
      </c>
      <c r="AQ673" t="s">
        <v>116</v>
      </c>
      <c r="AS673" t="s">
        <v>85</v>
      </c>
      <c r="AT673">
        <v>2025</v>
      </c>
      <c r="AU673" t="s">
        <v>634</v>
      </c>
      <c r="AV673" t="s">
        <v>140</v>
      </c>
      <c r="AW673" t="s">
        <v>4038</v>
      </c>
      <c r="AX673">
        <v>2025</v>
      </c>
      <c r="AY673" t="s">
        <v>2851</v>
      </c>
      <c r="AZ673" t="s">
        <v>4039</v>
      </c>
    </row>
    <row r="674" spans="1:52" x14ac:dyDescent="0.25">
      <c r="A674" t="s">
        <v>4053</v>
      </c>
      <c r="B674" s="1">
        <v>38735</v>
      </c>
      <c r="C674" t="s">
        <v>4054</v>
      </c>
      <c r="D674">
        <v>415266</v>
      </c>
      <c r="E674" t="s">
        <v>46</v>
      </c>
      <c r="F674" t="s">
        <v>1163</v>
      </c>
      <c r="G674" t="s">
        <v>271</v>
      </c>
      <c r="H674" t="s">
        <v>4054</v>
      </c>
      <c r="I674" t="s">
        <v>299</v>
      </c>
      <c r="J674">
        <v>-80</v>
      </c>
      <c r="K674">
        <v>82</v>
      </c>
      <c r="L674">
        <v>-86</v>
      </c>
      <c r="M674">
        <v>82</v>
      </c>
      <c r="N674">
        <v>0</v>
      </c>
      <c r="O674" t="s">
        <v>104</v>
      </c>
      <c r="P674">
        <v>0</v>
      </c>
      <c r="Q674">
        <v>0</v>
      </c>
      <c r="R674">
        <v>0</v>
      </c>
      <c r="S674">
        <v>0</v>
      </c>
      <c r="T674">
        <v>0</v>
      </c>
      <c r="U674" t="s">
        <v>108</v>
      </c>
      <c r="V674">
        <f t="shared" si="30"/>
        <v>1</v>
      </c>
      <c r="W674">
        <f t="shared" si="31"/>
        <v>0</v>
      </c>
      <c r="X674">
        <f t="shared" si="32"/>
        <v>0</v>
      </c>
      <c r="Y674">
        <v>82</v>
      </c>
      <c r="Z674">
        <v>0</v>
      </c>
      <c r="AA674" t="s">
        <v>3635</v>
      </c>
      <c r="AB674" t="s">
        <v>99</v>
      </c>
      <c r="AC674" t="s">
        <v>49</v>
      </c>
      <c r="AD674">
        <v>999</v>
      </c>
      <c r="AE674">
        <v>76</v>
      </c>
      <c r="AF674" t="s">
        <v>113</v>
      </c>
      <c r="AH674" t="s">
        <v>916</v>
      </c>
      <c r="AI674">
        <v>0</v>
      </c>
      <c r="AJ674" t="s">
        <v>132</v>
      </c>
      <c r="AK674" t="s">
        <v>1163</v>
      </c>
      <c r="AL674" t="s">
        <v>1165</v>
      </c>
      <c r="AM674" t="s">
        <v>139</v>
      </c>
      <c r="AN674" s="1">
        <v>45640</v>
      </c>
      <c r="AO674">
        <v>2024</v>
      </c>
      <c r="AP674">
        <v>12</v>
      </c>
      <c r="AQ674" t="s">
        <v>116</v>
      </c>
      <c r="AS674" t="s">
        <v>85</v>
      </c>
      <c r="AT674">
        <v>2025</v>
      </c>
      <c r="AU674" t="s">
        <v>271</v>
      </c>
      <c r="AV674" t="s">
        <v>140</v>
      </c>
      <c r="AW674" t="s">
        <v>4054</v>
      </c>
      <c r="AX674">
        <v>2025</v>
      </c>
      <c r="AY674" t="s">
        <v>4055</v>
      </c>
      <c r="AZ674" t="s">
        <v>4056</v>
      </c>
    </row>
    <row r="675" spans="1:52" x14ac:dyDescent="0.25">
      <c r="A675" t="s">
        <v>4057</v>
      </c>
      <c r="B675" s="1">
        <v>41219</v>
      </c>
      <c r="C675" t="s">
        <v>4058</v>
      </c>
      <c r="D675">
        <v>478759</v>
      </c>
      <c r="E675" t="s">
        <v>46</v>
      </c>
      <c r="F675" t="s">
        <v>1360</v>
      </c>
      <c r="G675" t="s">
        <v>883</v>
      </c>
      <c r="H675" t="s">
        <v>4058</v>
      </c>
      <c r="I675" t="s">
        <v>4060</v>
      </c>
      <c r="J675">
        <v>22</v>
      </c>
      <c r="K675">
        <v>24</v>
      </c>
      <c r="L675">
        <v>26</v>
      </c>
      <c r="M675">
        <v>26</v>
      </c>
      <c r="N675">
        <v>50</v>
      </c>
      <c r="O675" t="s">
        <v>48</v>
      </c>
      <c r="P675">
        <v>32</v>
      </c>
      <c r="Q675">
        <v>34</v>
      </c>
      <c r="R675">
        <v>36</v>
      </c>
      <c r="S675">
        <v>36</v>
      </c>
      <c r="T675">
        <v>70</v>
      </c>
      <c r="U675" t="s">
        <v>48</v>
      </c>
      <c r="V675">
        <f t="shared" si="30"/>
        <v>6</v>
      </c>
      <c r="W675">
        <f t="shared" si="31"/>
        <v>0</v>
      </c>
      <c r="X675">
        <f t="shared" si="32"/>
        <v>0</v>
      </c>
      <c r="Y675">
        <v>62</v>
      </c>
      <c r="Z675">
        <v>120</v>
      </c>
      <c r="AA675" t="s">
        <v>4059</v>
      </c>
      <c r="AB675" t="s">
        <v>4061</v>
      </c>
      <c r="AC675" t="s">
        <v>49</v>
      </c>
      <c r="AD675">
        <v>999</v>
      </c>
      <c r="AE675">
        <v>35</v>
      </c>
      <c r="AF675" t="s">
        <v>50</v>
      </c>
      <c r="AH675" t="s">
        <v>450</v>
      </c>
      <c r="AI675">
        <v>257.58999999999997</v>
      </c>
      <c r="AJ675" t="s">
        <v>132</v>
      </c>
      <c r="AK675" t="s">
        <v>1360</v>
      </c>
      <c r="AL675" t="s">
        <v>1364</v>
      </c>
      <c r="AM675" t="s">
        <v>68</v>
      </c>
      <c r="AN675" s="1">
        <v>45640</v>
      </c>
      <c r="AO675">
        <v>2024</v>
      </c>
      <c r="AP675">
        <v>12</v>
      </c>
      <c r="AQ675" t="s">
        <v>116</v>
      </c>
      <c r="AS675" t="s">
        <v>85</v>
      </c>
      <c r="AT675">
        <v>2025</v>
      </c>
      <c r="AU675" t="s">
        <v>883</v>
      </c>
      <c r="AV675" t="s">
        <v>68</v>
      </c>
      <c r="AW675" t="s">
        <v>4058</v>
      </c>
      <c r="AX675">
        <v>2025</v>
      </c>
      <c r="AY675" t="s">
        <v>4059</v>
      </c>
      <c r="AZ675" t="s">
        <v>4059</v>
      </c>
    </row>
    <row r="676" spans="1:52" x14ac:dyDescent="0.25">
      <c r="A676" t="s">
        <v>4062</v>
      </c>
      <c r="B676" s="1">
        <v>33122</v>
      </c>
      <c r="C676" t="s">
        <v>4063</v>
      </c>
      <c r="D676">
        <v>491158</v>
      </c>
      <c r="E676" t="s">
        <v>46</v>
      </c>
      <c r="F676" t="s">
        <v>338</v>
      </c>
      <c r="G676" t="s">
        <v>427</v>
      </c>
      <c r="H676" t="s">
        <v>4063</v>
      </c>
      <c r="I676" t="s">
        <v>388</v>
      </c>
      <c r="J676">
        <v>55</v>
      </c>
      <c r="K676">
        <v>-60</v>
      </c>
      <c r="L676">
        <v>-60</v>
      </c>
      <c r="M676">
        <v>55</v>
      </c>
      <c r="N676">
        <v>0</v>
      </c>
      <c r="O676" t="s">
        <v>55</v>
      </c>
      <c r="P676">
        <v>-68</v>
      </c>
      <c r="Q676">
        <v>68</v>
      </c>
      <c r="R676">
        <v>-73</v>
      </c>
      <c r="S676">
        <v>68</v>
      </c>
      <c r="T676">
        <v>0</v>
      </c>
      <c r="U676" t="s">
        <v>104</v>
      </c>
      <c r="V676">
        <f t="shared" si="30"/>
        <v>2</v>
      </c>
      <c r="W676">
        <f t="shared" si="31"/>
        <v>0</v>
      </c>
      <c r="X676">
        <f t="shared" si="32"/>
        <v>0</v>
      </c>
      <c r="Y676">
        <v>123</v>
      </c>
      <c r="Z676">
        <v>0</v>
      </c>
      <c r="AA676" t="s">
        <v>4065</v>
      </c>
      <c r="AB676" t="s">
        <v>99</v>
      </c>
      <c r="AC676" t="s">
        <v>93</v>
      </c>
      <c r="AD676">
        <v>6</v>
      </c>
      <c r="AE676">
        <v>59</v>
      </c>
      <c r="AF676" t="s">
        <v>126</v>
      </c>
      <c r="AG676">
        <v>35</v>
      </c>
      <c r="AH676" t="s">
        <v>202</v>
      </c>
      <c r="AI676">
        <v>169.24</v>
      </c>
      <c r="AJ676" t="s">
        <v>132</v>
      </c>
      <c r="AK676" t="s">
        <v>338</v>
      </c>
      <c r="AL676" t="s">
        <v>340</v>
      </c>
      <c r="AM676" t="s">
        <v>128</v>
      </c>
      <c r="AN676" s="1">
        <v>45640</v>
      </c>
      <c r="AO676">
        <v>2024</v>
      </c>
      <c r="AP676">
        <v>12</v>
      </c>
      <c r="AQ676" t="s">
        <v>116</v>
      </c>
      <c r="AS676" t="s">
        <v>85</v>
      </c>
      <c r="AT676">
        <v>2025</v>
      </c>
      <c r="AU676" t="s">
        <v>427</v>
      </c>
      <c r="AV676" t="s">
        <v>128</v>
      </c>
      <c r="AW676" t="s">
        <v>4063</v>
      </c>
      <c r="AX676">
        <v>2025</v>
      </c>
      <c r="AY676" t="s">
        <v>4064</v>
      </c>
      <c r="AZ676" t="s">
        <v>4064</v>
      </c>
    </row>
    <row r="677" spans="1:52" x14ac:dyDescent="0.25">
      <c r="A677" t="s">
        <v>4040</v>
      </c>
      <c r="B677" s="1">
        <v>39424</v>
      </c>
      <c r="C677" t="s">
        <v>4041</v>
      </c>
      <c r="D677">
        <v>500075</v>
      </c>
      <c r="E677" t="s">
        <v>46</v>
      </c>
      <c r="F677" t="s">
        <v>360</v>
      </c>
      <c r="G677" t="s">
        <v>674</v>
      </c>
      <c r="H677" t="s">
        <v>4041</v>
      </c>
      <c r="I677" t="s">
        <v>1562</v>
      </c>
      <c r="J677">
        <v>-43</v>
      </c>
      <c r="K677">
        <v>-43</v>
      </c>
      <c r="L677">
        <v>-43</v>
      </c>
      <c r="M677">
        <v>0</v>
      </c>
      <c r="N677">
        <v>0</v>
      </c>
      <c r="O677" t="s">
        <v>108</v>
      </c>
      <c r="P677">
        <v>53</v>
      </c>
      <c r="Q677">
        <v>56</v>
      </c>
      <c r="R677">
        <v>62</v>
      </c>
      <c r="S677">
        <v>62</v>
      </c>
      <c r="T677">
        <v>118</v>
      </c>
      <c r="U677" t="s">
        <v>48</v>
      </c>
      <c r="V677">
        <f t="shared" si="30"/>
        <v>3</v>
      </c>
      <c r="W677">
        <f t="shared" si="31"/>
        <v>0</v>
      </c>
      <c r="X677">
        <f t="shared" si="32"/>
        <v>0</v>
      </c>
      <c r="Y677">
        <v>62</v>
      </c>
      <c r="Z677">
        <v>118</v>
      </c>
      <c r="AA677" t="s">
        <v>4042</v>
      </c>
      <c r="AB677" t="s">
        <v>4043</v>
      </c>
      <c r="AC677" t="s">
        <v>49</v>
      </c>
      <c r="AD677">
        <v>999</v>
      </c>
      <c r="AE677">
        <v>55</v>
      </c>
      <c r="AF677" t="s">
        <v>113</v>
      </c>
      <c r="AH677" t="s">
        <v>465</v>
      </c>
      <c r="AI677">
        <v>0</v>
      </c>
      <c r="AJ677" t="s">
        <v>132</v>
      </c>
      <c r="AK677" t="s">
        <v>360</v>
      </c>
      <c r="AL677" t="s">
        <v>363</v>
      </c>
      <c r="AM677" t="s">
        <v>53</v>
      </c>
      <c r="AN677" s="1">
        <v>45640</v>
      </c>
      <c r="AO677">
        <v>2024</v>
      </c>
      <c r="AP677">
        <v>12</v>
      </c>
      <c r="AQ677" t="s">
        <v>116</v>
      </c>
      <c r="AS677" t="s">
        <v>85</v>
      </c>
      <c r="AT677">
        <v>2025</v>
      </c>
      <c r="AU677" t="s">
        <v>674</v>
      </c>
      <c r="AV677" t="s">
        <v>54</v>
      </c>
      <c r="AW677" t="s">
        <v>4041</v>
      </c>
      <c r="AX677">
        <v>2025</v>
      </c>
      <c r="AY677" t="s">
        <v>4044</v>
      </c>
      <c r="AZ677" t="s">
        <v>4044</v>
      </c>
    </row>
    <row r="678" spans="1:52" x14ac:dyDescent="0.25">
      <c r="A678" t="s">
        <v>4045</v>
      </c>
      <c r="B678" s="1">
        <v>40073</v>
      </c>
      <c r="C678" t="s">
        <v>4046</v>
      </c>
      <c r="D678">
        <v>474160</v>
      </c>
      <c r="E678" t="s">
        <v>46</v>
      </c>
      <c r="F678" t="s">
        <v>1350</v>
      </c>
      <c r="G678" t="s">
        <v>289</v>
      </c>
      <c r="H678" t="s">
        <v>4046</v>
      </c>
      <c r="I678" t="s">
        <v>641</v>
      </c>
      <c r="J678">
        <v>-45</v>
      </c>
      <c r="K678">
        <v>45</v>
      </c>
      <c r="L678">
        <v>-48</v>
      </c>
      <c r="M678">
        <v>45</v>
      </c>
      <c r="N678">
        <v>0</v>
      </c>
      <c r="O678" t="s">
        <v>104</v>
      </c>
      <c r="P678">
        <v>58</v>
      </c>
      <c r="Q678">
        <v>-61</v>
      </c>
      <c r="R678">
        <v>-63</v>
      </c>
      <c r="S678">
        <v>58</v>
      </c>
      <c r="T678">
        <v>0</v>
      </c>
      <c r="U678" t="s">
        <v>55</v>
      </c>
      <c r="V678">
        <f t="shared" si="30"/>
        <v>2</v>
      </c>
      <c r="W678">
        <f t="shared" si="31"/>
        <v>0</v>
      </c>
      <c r="X678">
        <f t="shared" si="32"/>
        <v>0</v>
      </c>
      <c r="Y678">
        <v>103</v>
      </c>
      <c r="Z678">
        <v>0</v>
      </c>
      <c r="AA678" t="s">
        <v>1917</v>
      </c>
      <c r="AB678" t="s">
        <v>99</v>
      </c>
      <c r="AC678" t="s">
        <v>93</v>
      </c>
      <c r="AD678">
        <v>6</v>
      </c>
      <c r="AE678">
        <v>71</v>
      </c>
      <c r="AF678" t="s">
        <v>95</v>
      </c>
      <c r="AH678" t="s">
        <v>301</v>
      </c>
      <c r="AI678">
        <v>127.97</v>
      </c>
      <c r="AJ678" t="s">
        <v>132</v>
      </c>
      <c r="AK678" t="s">
        <v>1350</v>
      </c>
      <c r="AL678" t="s">
        <v>1352</v>
      </c>
      <c r="AM678" t="s">
        <v>90</v>
      </c>
      <c r="AN678" s="1">
        <v>45640</v>
      </c>
      <c r="AO678">
        <v>2024</v>
      </c>
      <c r="AP678">
        <v>12</v>
      </c>
      <c r="AQ678" t="s">
        <v>116</v>
      </c>
      <c r="AS678" t="s">
        <v>85</v>
      </c>
      <c r="AT678">
        <v>2025</v>
      </c>
      <c r="AU678" t="s">
        <v>289</v>
      </c>
      <c r="AV678" t="s">
        <v>91</v>
      </c>
      <c r="AW678" t="s">
        <v>4046</v>
      </c>
      <c r="AX678">
        <v>2025</v>
      </c>
      <c r="AY678" t="s">
        <v>4047</v>
      </c>
      <c r="AZ678" t="s">
        <v>4047</v>
      </c>
    </row>
    <row r="679" spans="1:52" x14ac:dyDescent="0.25">
      <c r="A679" t="s">
        <v>4049</v>
      </c>
      <c r="B679" s="1">
        <v>33400</v>
      </c>
      <c r="C679" t="s">
        <v>4050</v>
      </c>
      <c r="D679">
        <v>372599</v>
      </c>
      <c r="E679" t="s">
        <v>46</v>
      </c>
      <c r="F679" t="s">
        <v>1007</v>
      </c>
      <c r="G679" t="s">
        <v>1004</v>
      </c>
      <c r="H679" t="s">
        <v>4050</v>
      </c>
      <c r="I679" t="s">
        <v>475</v>
      </c>
      <c r="J679">
        <v>80</v>
      </c>
      <c r="K679">
        <v>84</v>
      </c>
      <c r="L679">
        <v>-87</v>
      </c>
      <c r="M679">
        <v>84</v>
      </c>
      <c r="N679">
        <v>164</v>
      </c>
      <c r="O679" t="s">
        <v>60</v>
      </c>
      <c r="P679">
        <v>102</v>
      </c>
      <c r="Q679">
        <v>106</v>
      </c>
      <c r="R679">
        <v>109</v>
      </c>
      <c r="S679">
        <v>109</v>
      </c>
      <c r="T679">
        <v>215</v>
      </c>
      <c r="U679" t="s">
        <v>48</v>
      </c>
      <c r="V679">
        <f t="shared" si="30"/>
        <v>5</v>
      </c>
      <c r="W679">
        <f t="shared" si="31"/>
        <v>0</v>
      </c>
      <c r="X679">
        <f t="shared" si="32"/>
        <v>0</v>
      </c>
      <c r="Y679">
        <v>193</v>
      </c>
      <c r="Z679">
        <v>379</v>
      </c>
      <c r="AA679" t="s">
        <v>4048</v>
      </c>
      <c r="AB679" t="s">
        <v>4052</v>
      </c>
      <c r="AC679" t="s">
        <v>98</v>
      </c>
      <c r="AD679">
        <v>3</v>
      </c>
      <c r="AE679">
        <v>64</v>
      </c>
      <c r="AF679" t="s">
        <v>126</v>
      </c>
      <c r="AH679" t="s">
        <v>167</v>
      </c>
      <c r="AI679">
        <v>252.38</v>
      </c>
      <c r="AJ679" t="s">
        <v>132</v>
      </c>
      <c r="AK679" t="s">
        <v>1007</v>
      </c>
      <c r="AL679" t="s">
        <v>1009</v>
      </c>
      <c r="AM679" t="s">
        <v>139</v>
      </c>
      <c r="AN679" s="1">
        <v>45641</v>
      </c>
      <c r="AO679">
        <v>2024</v>
      </c>
      <c r="AP679">
        <v>12</v>
      </c>
      <c r="AQ679" t="s">
        <v>116</v>
      </c>
      <c r="AS679" t="s">
        <v>85</v>
      </c>
      <c r="AT679">
        <v>2025</v>
      </c>
      <c r="AU679" t="s">
        <v>1004</v>
      </c>
      <c r="AV679" t="s">
        <v>140</v>
      </c>
      <c r="AW679" t="s">
        <v>4050</v>
      </c>
      <c r="AX679">
        <v>2025</v>
      </c>
      <c r="AY679" t="s">
        <v>4051</v>
      </c>
      <c r="AZ679" t="s">
        <v>4048</v>
      </c>
    </row>
    <row r="680" spans="1:52" x14ac:dyDescent="0.25">
      <c r="A680" t="s">
        <v>4066</v>
      </c>
      <c r="B680" s="1">
        <v>40953</v>
      </c>
      <c r="C680" t="s">
        <v>4067</v>
      </c>
      <c r="D680">
        <v>477046</v>
      </c>
      <c r="E680" t="s">
        <v>46</v>
      </c>
      <c r="F680" t="s">
        <v>867</v>
      </c>
      <c r="G680" t="s">
        <v>255</v>
      </c>
      <c r="H680" t="s">
        <v>4067</v>
      </c>
      <c r="I680" t="s">
        <v>4069</v>
      </c>
      <c r="J680">
        <v>31</v>
      </c>
      <c r="K680">
        <v>33</v>
      </c>
      <c r="L680">
        <v>-35</v>
      </c>
      <c r="M680">
        <v>33</v>
      </c>
      <c r="N680">
        <v>64</v>
      </c>
      <c r="O680" t="s">
        <v>60</v>
      </c>
      <c r="P680">
        <v>41</v>
      </c>
      <c r="Q680">
        <v>43</v>
      </c>
      <c r="R680">
        <v>-45</v>
      </c>
      <c r="S680">
        <v>43</v>
      </c>
      <c r="T680">
        <v>84</v>
      </c>
      <c r="U680" t="s">
        <v>60</v>
      </c>
      <c r="V680">
        <f t="shared" si="30"/>
        <v>4</v>
      </c>
      <c r="W680">
        <f t="shared" si="31"/>
        <v>0</v>
      </c>
      <c r="X680">
        <f t="shared" si="32"/>
        <v>0</v>
      </c>
      <c r="Y680">
        <v>76</v>
      </c>
      <c r="Z680">
        <v>148</v>
      </c>
      <c r="AA680" t="s">
        <v>4070</v>
      </c>
      <c r="AB680" t="s">
        <v>4071</v>
      </c>
      <c r="AC680" t="s">
        <v>49</v>
      </c>
      <c r="AD680">
        <v>999</v>
      </c>
      <c r="AE680">
        <v>55</v>
      </c>
      <c r="AF680" t="s">
        <v>50</v>
      </c>
      <c r="AH680" t="s">
        <v>209</v>
      </c>
      <c r="AI680">
        <v>228.44</v>
      </c>
      <c r="AJ680" t="s">
        <v>132</v>
      </c>
      <c r="AK680" t="s">
        <v>867</v>
      </c>
      <c r="AL680" t="s">
        <v>869</v>
      </c>
      <c r="AM680" t="s">
        <v>68</v>
      </c>
      <c r="AN680" s="1">
        <v>45641</v>
      </c>
      <c r="AO680">
        <v>2024</v>
      </c>
      <c r="AP680">
        <v>12</v>
      </c>
      <c r="AQ680" t="s">
        <v>116</v>
      </c>
      <c r="AS680" t="s">
        <v>85</v>
      </c>
      <c r="AT680">
        <v>2025</v>
      </c>
      <c r="AU680" t="s">
        <v>255</v>
      </c>
      <c r="AV680" t="s">
        <v>68</v>
      </c>
      <c r="AW680" t="s">
        <v>4067</v>
      </c>
      <c r="AX680">
        <v>2025</v>
      </c>
      <c r="AY680" t="s">
        <v>4068</v>
      </c>
      <c r="AZ680" t="s">
        <v>4068</v>
      </c>
    </row>
    <row r="681" spans="1:52" x14ac:dyDescent="0.25">
      <c r="A681" t="s">
        <v>4072</v>
      </c>
      <c r="B681" s="1">
        <v>40407</v>
      </c>
      <c r="C681" t="s">
        <v>4073</v>
      </c>
      <c r="D681">
        <v>465928</v>
      </c>
      <c r="E681" t="s">
        <v>46</v>
      </c>
      <c r="F681" t="s">
        <v>1383</v>
      </c>
      <c r="G681" t="s">
        <v>883</v>
      </c>
      <c r="H681" t="s">
        <v>4073</v>
      </c>
      <c r="I681" t="s">
        <v>3774</v>
      </c>
      <c r="J681">
        <v>40</v>
      </c>
      <c r="K681">
        <v>43</v>
      </c>
      <c r="L681">
        <v>-45</v>
      </c>
      <c r="M681">
        <v>43</v>
      </c>
      <c r="N681">
        <v>83</v>
      </c>
      <c r="O681" t="s">
        <v>60</v>
      </c>
      <c r="P681">
        <v>50</v>
      </c>
      <c r="Q681">
        <v>53</v>
      </c>
      <c r="R681">
        <v>-55</v>
      </c>
      <c r="S681">
        <v>53</v>
      </c>
      <c r="T681">
        <v>103</v>
      </c>
      <c r="U681" t="s">
        <v>60</v>
      </c>
      <c r="V681">
        <f t="shared" si="30"/>
        <v>4</v>
      </c>
      <c r="W681">
        <f t="shared" si="31"/>
        <v>0</v>
      </c>
      <c r="X681">
        <f t="shared" si="32"/>
        <v>0</v>
      </c>
      <c r="Y681">
        <v>96</v>
      </c>
      <c r="Z681">
        <v>186</v>
      </c>
      <c r="AA681" t="s">
        <v>4074</v>
      </c>
      <c r="AB681" t="s">
        <v>4075</v>
      </c>
      <c r="AC681" t="s">
        <v>98</v>
      </c>
      <c r="AD681">
        <v>3</v>
      </c>
      <c r="AE681">
        <v>45</v>
      </c>
      <c r="AF681" t="s">
        <v>57</v>
      </c>
      <c r="AH681" t="s">
        <v>313</v>
      </c>
      <c r="AI681">
        <v>176.54</v>
      </c>
      <c r="AJ681" t="s">
        <v>132</v>
      </c>
      <c r="AK681" t="s">
        <v>1383</v>
      </c>
      <c r="AL681" t="s">
        <v>1386</v>
      </c>
      <c r="AM681" t="s">
        <v>68</v>
      </c>
      <c r="AN681" s="1">
        <v>45640</v>
      </c>
      <c r="AO681">
        <v>2024</v>
      </c>
      <c r="AP681">
        <v>12</v>
      </c>
      <c r="AQ681" t="s">
        <v>116</v>
      </c>
      <c r="AS681" t="s">
        <v>85</v>
      </c>
      <c r="AT681">
        <v>2025</v>
      </c>
      <c r="AU681" t="s">
        <v>883</v>
      </c>
      <c r="AV681" t="s">
        <v>68</v>
      </c>
      <c r="AW681" t="s">
        <v>4073</v>
      </c>
      <c r="AX681">
        <v>2025</v>
      </c>
      <c r="AY681" t="s">
        <v>4074</v>
      </c>
      <c r="AZ681" t="s">
        <v>4074</v>
      </c>
    </row>
    <row r="682" spans="1:52" x14ac:dyDescent="0.25">
      <c r="A682" t="s">
        <v>4076</v>
      </c>
      <c r="B682" s="1">
        <v>40143</v>
      </c>
      <c r="C682" t="s">
        <v>4077</v>
      </c>
      <c r="D682">
        <v>471557</v>
      </c>
      <c r="E682" t="s">
        <v>46</v>
      </c>
      <c r="F682" t="s">
        <v>3514</v>
      </c>
      <c r="G682" t="s">
        <v>386</v>
      </c>
      <c r="H682" t="s">
        <v>4077</v>
      </c>
      <c r="I682" t="s">
        <v>211</v>
      </c>
      <c r="J682">
        <v>49</v>
      </c>
      <c r="K682">
        <v>-52</v>
      </c>
      <c r="L682">
        <v>-52</v>
      </c>
      <c r="M682">
        <v>49</v>
      </c>
      <c r="N682">
        <v>0</v>
      </c>
      <c r="O682" t="s">
        <v>55</v>
      </c>
      <c r="P682">
        <v>61</v>
      </c>
      <c r="Q682">
        <v>64</v>
      </c>
      <c r="R682">
        <v>-70</v>
      </c>
      <c r="S682">
        <v>64</v>
      </c>
      <c r="T682">
        <v>125</v>
      </c>
      <c r="U682" t="s">
        <v>60</v>
      </c>
      <c r="V682">
        <f t="shared" si="30"/>
        <v>3</v>
      </c>
      <c r="W682">
        <f t="shared" si="31"/>
        <v>0</v>
      </c>
      <c r="X682">
        <f t="shared" si="32"/>
        <v>0</v>
      </c>
      <c r="Y682">
        <v>113</v>
      </c>
      <c r="Z682">
        <v>125</v>
      </c>
      <c r="AA682" t="s">
        <v>1493</v>
      </c>
      <c r="AB682" t="s">
        <v>1290</v>
      </c>
      <c r="AC682" t="s">
        <v>94</v>
      </c>
      <c r="AD682">
        <v>4</v>
      </c>
      <c r="AE682">
        <v>55</v>
      </c>
      <c r="AF682" t="s">
        <v>95</v>
      </c>
      <c r="AH682" t="s">
        <v>175</v>
      </c>
      <c r="AI682">
        <v>163.63999999999999</v>
      </c>
      <c r="AJ682" t="s">
        <v>132</v>
      </c>
      <c r="AK682" t="s">
        <v>3514</v>
      </c>
      <c r="AL682" t="s">
        <v>3517</v>
      </c>
      <c r="AM682" t="s">
        <v>170</v>
      </c>
      <c r="AN682" s="1">
        <v>45641</v>
      </c>
      <c r="AO682">
        <v>2024</v>
      </c>
      <c r="AP682">
        <v>12</v>
      </c>
      <c r="AQ682" t="s">
        <v>116</v>
      </c>
      <c r="AS682" t="s">
        <v>85</v>
      </c>
      <c r="AT682">
        <v>2025</v>
      </c>
      <c r="AU682" t="s">
        <v>386</v>
      </c>
      <c r="AV682" t="s">
        <v>170</v>
      </c>
      <c r="AW682" t="s">
        <v>4077</v>
      </c>
      <c r="AX682">
        <v>2025</v>
      </c>
      <c r="AY682" t="s">
        <v>4078</v>
      </c>
      <c r="AZ682" t="s">
        <v>1493</v>
      </c>
    </row>
    <row r="683" spans="1:52" x14ac:dyDescent="0.25">
      <c r="A683" t="s">
        <v>4080</v>
      </c>
      <c r="B683" s="1">
        <v>40580</v>
      </c>
      <c r="C683" t="s">
        <v>4081</v>
      </c>
      <c r="D683">
        <v>461624</v>
      </c>
      <c r="E683" t="s">
        <v>46</v>
      </c>
      <c r="F683" t="s">
        <v>529</v>
      </c>
      <c r="G683" t="s">
        <v>255</v>
      </c>
      <c r="H683" t="s">
        <v>4081</v>
      </c>
      <c r="I683" t="s">
        <v>2643</v>
      </c>
      <c r="J683">
        <v>43</v>
      </c>
      <c r="K683">
        <v>46</v>
      </c>
      <c r="L683">
        <v>-48</v>
      </c>
      <c r="M683">
        <v>46</v>
      </c>
      <c r="N683">
        <v>89</v>
      </c>
      <c r="O683" t="s">
        <v>60</v>
      </c>
      <c r="P683">
        <v>55</v>
      </c>
      <c r="Q683">
        <v>-58</v>
      </c>
      <c r="R683">
        <v>58</v>
      </c>
      <c r="S683">
        <v>58</v>
      </c>
      <c r="T683">
        <v>113</v>
      </c>
      <c r="U683" t="s">
        <v>65</v>
      </c>
      <c r="V683">
        <f t="shared" si="30"/>
        <v>4</v>
      </c>
      <c r="W683">
        <f t="shared" si="31"/>
        <v>0</v>
      </c>
      <c r="X683">
        <f t="shared" si="32"/>
        <v>0</v>
      </c>
      <c r="Y683">
        <v>104</v>
      </c>
      <c r="Z683">
        <v>202</v>
      </c>
      <c r="AA683" t="s">
        <v>4082</v>
      </c>
      <c r="AB683" t="s">
        <v>4083</v>
      </c>
      <c r="AC683" t="s">
        <v>94</v>
      </c>
      <c r="AD683">
        <v>4</v>
      </c>
      <c r="AE683">
        <v>55</v>
      </c>
      <c r="AF683" t="s">
        <v>57</v>
      </c>
      <c r="AH683" t="s">
        <v>172</v>
      </c>
      <c r="AI683">
        <v>153.85</v>
      </c>
      <c r="AJ683" t="s">
        <v>132</v>
      </c>
      <c r="AK683" t="s">
        <v>529</v>
      </c>
      <c r="AL683" t="s">
        <v>531</v>
      </c>
      <c r="AM683" t="s">
        <v>68</v>
      </c>
      <c r="AN683" s="1">
        <v>45640</v>
      </c>
      <c r="AO683">
        <v>2024</v>
      </c>
      <c r="AP683">
        <v>12</v>
      </c>
      <c r="AQ683" t="s">
        <v>116</v>
      </c>
      <c r="AS683" t="s">
        <v>85</v>
      </c>
      <c r="AT683">
        <v>2025</v>
      </c>
      <c r="AU683" t="s">
        <v>255</v>
      </c>
      <c r="AV683" t="s">
        <v>68</v>
      </c>
      <c r="AW683" t="s">
        <v>4081</v>
      </c>
      <c r="AX683">
        <v>2025</v>
      </c>
      <c r="AY683" t="s">
        <v>2823</v>
      </c>
      <c r="AZ683" t="s">
        <v>2823</v>
      </c>
    </row>
    <row r="684" spans="1:52" x14ac:dyDescent="0.25">
      <c r="A684" t="s">
        <v>4084</v>
      </c>
      <c r="B684" s="1">
        <v>41149</v>
      </c>
      <c r="C684" t="s">
        <v>4085</v>
      </c>
      <c r="D684">
        <v>496243</v>
      </c>
      <c r="E684" t="s">
        <v>2657</v>
      </c>
      <c r="F684" t="s">
        <v>2029</v>
      </c>
      <c r="G684" t="s">
        <v>386</v>
      </c>
      <c r="H684" t="s">
        <v>4085</v>
      </c>
      <c r="I684" t="s">
        <v>77</v>
      </c>
      <c r="J684">
        <v>36</v>
      </c>
      <c r="K684">
        <v>38</v>
      </c>
      <c r="L684">
        <v>40</v>
      </c>
      <c r="M684">
        <v>40</v>
      </c>
      <c r="N684">
        <v>78</v>
      </c>
      <c r="O684" t="s">
        <v>48</v>
      </c>
      <c r="P684">
        <v>45</v>
      </c>
      <c r="Q684">
        <v>47</v>
      </c>
      <c r="R684">
        <v>49</v>
      </c>
      <c r="S684">
        <v>49</v>
      </c>
      <c r="T684">
        <v>96</v>
      </c>
      <c r="U684" t="s">
        <v>48</v>
      </c>
      <c r="V684">
        <f t="shared" si="30"/>
        <v>6</v>
      </c>
      <c r="W684">
        <f t="shared" si="31"/>
        <v>0</v>
      </c>
      <c r="X684">
        <f t="shared" si="32"/>
        <v>0</v>
      </c>
      <c r="Y684">
        <v>89</v>
      </c>
      <c r="Z684">
        <v>174</v>
      </c>
      <c r="AA684" t="s">
        <v>4086</v>
      </c>
      <c r="AB684" t="s">
        <v>4087</v>
      </c>
      <c r="AC684" t="s">
        <v>49</v>
      </c>
      <c r="AD684">
        <v>999</v>
      </c>
      <c r="AE684">
        <v>49</v>
      </c>
      <c r="AF684" t="s">
        <v>50</v>
      </c>
      <c r="AH684" t="s">
        <v>210</v>
      </c>
      <c r="AI684">
        <v>278.83999999999997</v>
      </c>
      <c r="AJ684" t="s">
        <v>132</v>
      </c>
      <c r="AK684" t="s">
        <v>2029</v>
      </c>
      <c r="AL684" t="s">
        <v>2032</v>
      </c>
      <c r="AM684" t="s">
        <v>170</v>
      </c>
      <c r="AN684" s="1">
        <v>45641</v>
      </c>
      <c r="AO684">
        <v>2024</v>
      </c>
      <c r="AP684">
        <v>12</v>
      </c>
      <c r="AQ684" t="s">
        <v>116</v>
      </c>
      <c r="AS684" t="s">
        <v>85</v>
      </c>
      <c r="AT684">
        <v>2025</v>
      </c>
      <c r="AU684" t="s">
        <v>386</v>
      </c>
      <c r="AV684" t="s">
        <v>170</v>
      </c>
      <c r="AW684" t="s">
        <v>4085</v>
      </c>
      <c r="AX684">
        <v>2025</v>
      </c>
      <c r="AY684" t="s">
        <v>4086</v>
      </c>
      <c r="AZ684" t="s">
        <v>4086</v>
      </c>
    </row>
    <row r="685" spans="1:52" x14ac:dyDescent="0.25">
      <c r="A685" t="s">
        <v>4088</v>
      </c>
      <c r="B685" s="1">
        <v>34920</v>
      </c>
      <c r="C685" t="s">
        <v>4089</v>
      </c>
      <c r="D685">
        <v>468244</v>
      </c>
      <c r="E685" t="s">
        <v>46</v>
      </c>
      <c r="F685" t="s">
        <v>617</v>
      </c>
      <c r="G685" t="s">
        <v>490</v>
      </c>
      <c r="H685" t="s">
        <v>4089</v>
      </c>
      <c r="I685" t="s">
        <v>442</v>
      </c>
      <c r="J685">
        <v>60</v>
      </c>
      <c r="K685">
        <v>63</v>
      </c>
      <c r="L685">
        <v>-65</v>
      </c>
      <c r="M685">
        <v>63</v>
      </c>
      <c r="N685">
        <v>123</v>
      </c>
      <c r="O685" t="s">
        <v>60</v>
      </c>
      <c r="P685">
        <v>73</v>
      </c>
      <c r="Q685">
        <v>77</v>
      </c>
      <c r="R685">
        <v>80</v>
      </c>
      <c r="S685">
        <v>80</v>
      </c>
      <c r="T685">
        <v>157</v>
      </c>
      <c r="U685" t="s">
        <v>48</v>
      </c>
      <c r="V685">
        <f t="shared" si="30"/>
        <v>5</v>
      </c>
      <c r="W685">
        <f t="shared" si="31"/>
        <v>0</v>
      </c>
      <c r="X685">
        <f t="shared" si="32"/>
        <v>0</v>
      </c>
      <c r="Y685">
        <v>143</v>
      </c>
      <c r="Z685">
        <v>280</v>
      </c>
      <c r="AA685" t="s">
        <v>1204</v>
      </c>
      <c r="AB685" t="s">
        <v>4090</v>
      </c>
      <c r="AC685" t="s">
        <v>89</v>
      </c>
      <c r="AD685">
        <v>5</v>
      </c>
      <c r="AE685">
        <v>59</v>
      </c>
      <c r="AF685" t="s">
        <v>126</v>
      </c>
      <c r="AH685" t="s">
        <v>202</v>
      </c>
      <c r="AI685">
        <v>196.1</v>
      </c>
      <c r="AJ685" t="s">
        <v>132</v>
      </c>
      <c r="AK685" t="s">
        <v>617</v>
      </c>
      <c r="AL685" t="s">
        <v>620</v>
      </c>
      <c r="AM685" t="s">
        <v>90</v>
      </c>
      <c r="AN685" s="1">
        <v>45640</v>
      </c>
      <c r="AO685">
        <v>2024</v>
      </c>
      <c r="AP685">
        <v>12</v>
      </c>
      <c r="AQ685" t="s">
        <v>116</v>
      </c>
      <c r="AS685" t="s">
        <v>85</v>
      </c>
      <c r="AT685">
        <v>2025</v>
      </c>
      <c r="AU685" t="s">
        <v>490</v>
      </c>
      <c r="AV685" t="s">
        <v>91</v>
      </c>
      <c r="AW685" t="s">
        <v>4089</v>
      </c>
      <c r="AX685">
        <v>2025</v>
      </c>
      <c r="AY685" t="s">
        <v>2402</v>
      </c>
      <c r="AZ685" t="s">
        <v>1204</v>
      </c>
    </row>
    <row r="686" spans="1:52" x14ac:dyDescent="0.25">
      <c r="A686" t="s">
        <v>4091</v>
      </c>
      <c r="B686" s="1">
        <v>34606</v>
      </c>
      <c r="C686" t="s">
        <v>4092</v>
      </c>
      <c r="D686">
        <v>438963</v>
      </c>
      <c r="E686" t="s">
        <v>46</v>
      </c>
      <c r="F686" t="s">
        <v>912</v>
      </c>
      <c r="G686" t="s">
        <v>258</v>
      </c>
      <c r="H686" t="s">
        <v>4092</v>
      </c>
      <c r="I686" t="s">
        <v>106</v>
      </c>
      <c r="J686">
        <v>-70</v>
      </c>
      <c r="K686">
        <v>-70</v>
      </c>
      <c r="L686">
        <v>70</v>
      </c>
      <c r="M686">
        <v>70</v>
      </c>
      <c r="N686">
        <v>0</v>
      </c>
      <c r="O686" t="s">
        <v>102</v>
      </c>
      <c r="P686">
        <v>90</v>
      </c>
      <c r="Q686">
        <v>95</v>
      </c>
      <c r="R686">
        <v>-97</v>
      </c>
      <c r="S686">
        <v>95</v>
      </c>
      <c r="T686">
        <v>185</v>
      </c>
      <c r="U686" t="s">
        <v>60</v>
      </c>
      <c r="V686">
        <f t="shared" si="30"/>
        <v>3</v>
      </c>
      <c r="W686">
        <f t="shared" si="31"/>
        <v>1</v>
      </c>
      <c r="X686">
        <f t="shared" si="32"/>
        <v>0</v>
      </c>
      <c r="Y686">
        <v>165</v>
      </c>
      <c r="Z686">
        <v>185</v>
      </c>
      <c r="AA686" t="s">
        <v>1426</v>
      </c>
      <c r="AB686" t="s">
        <v>4094</v>
      </c>
      <c r="AC686" t="s">
        <v>98</v>
      </c>
      <c r="AD686">
        <v>3</v>
      </c>
      <c r="AE686">
        <v>55</v>
      </c>
      <c r="AF686" t="s">
        <v>126</v>
      </c>
      <c r="AH686" t="s">
        <v>197</v>
      </c>
      <c r="AI686">
        <v>237.09</v>
      </c>
      <c r="AJ686" t="s">
        <v>132</v>
      </c>
      <c r="AK686" t="s">
        <v>912</v>
      </c>
      <c r="AL686" t="s">
        <v>914</v>
      </c>
      <c r="AM686" t="s">
        <v>128</v>
      </c>
      <c r="AN686" s="1">
        <v>45640</v>
      </c>
      <c r="AO686">
        <v>2024</v>
      </c>
      <c r="AP686">
        <v>12</v>
      </c>
      <c r="AQ686" t="s">
        <v>116</v>
      </c>
      <c r="AS686" t="s">
        <v>85</v>
      </c>
      <c r="AT686">
        <v>2025</v>
      </c>
      <c r="AU686" t="s">
        <v>258</v>
      </c>
      <c r="AV686" t="s">
        <v>128</v>
      </c>
      <c r="AW686" t="s">
        <v>4092</v>
      </c>
      <c r="AX686">
        <v>2025</v>
      </c>
      <c r="AY686" t="s">
        <v>4093</v>
      </c>
      <c r="AZ686" t="s">
        <v>4095</v>
      </c>
    </row>
    <row r="687" spans="1:52" x14ac:dyDescent="0.25">
      <c r="A687" t="s">
        <v>4096</v>
      </c>
      <c r="B687" s="1">
        <v>38087</v>
      </c>
      <c r="C687" t="s">
        <v>4097</v>
      </c>
      <c r="D687">
        <v>466033</v>
      </c>
      <c r="E687" t="s">
        <v>46</v>
      </c>
      <c r="F687" t="s">
        <v>1254</v>
      </c>
      <c r="G687" t="s">
        <v>417</v>
      </c>
      <c r="H687" t="s">
        <v>4097</v>
      </c>
      <c r="I687" t="s">
        <v>650</v>
      </c>
      <c r="J687">
        <v>110</v>
      </c>
      <c r="K687">
        <v>-114</v>
      </c>
      <c r="L687">
        <v>-116</v>
      </c>
      <c r="M687">
        <v>110</v>
      </c>
      <c r="N687">
        <v>0</v>
      </c>
      <c r="O687" t="s">
        <v>55</v>
      </c>
      <c r="P687">
        <v>145</v>
      </c>
      <c r="Q687">
        <v>-150</v>
      </c>
      <c r="R687">
        <v>150</v>
      </c>
      <c r="S687">
        <v>150</v>
      </c>
      <c r="T687">
        <v>295</v>
      </c>
      <c r="U687" t="s">
        <v>65</v>
      </c>
      <c r="V687">
        <f t="shared" si="30"/>
        <v>3</v>
      </c>
      <c r="W687">
        <f t="shared" si="31"/>
        <v>0</v>
      </c>
      <c r="X687">
        <f t="shared" si="32"/>
        <v>0</v>
      </c>
      <c r="Y687">
        <v>260</v>
      </c>
      <c r="Z687">
        <v>295</v>
      </c>
      <c r="AA687" t="s">
        <v>4098</v>
      </c>
      <c r="AB687" t="s">
        <v>4099</v>
      </c>
      <c r="AC687" t="s">
        <v>89</v>
      </c>
      <c r="AD687">
        <v>5</v>
      </c>
      <c r="AE687">
        <v>89</v>
      </c>
      <c r="AF687" t="s">
        <v>126</v>
      </c>
      <c r="AH687" t="s">
        <v>155</v>
      </c>
      <c r="AI687">
        <v>318.76</v>
      </c>
      <c r="AJ687" t="s">
        <v>52</v>
      </c>
      <c r="AK687" t="s">
        <v>1254</v>
      </c>
      <c r="AL687" t="s">
        <v>1256</v>
      </c>
      <c r="AM687" t="s">
        <v>72</v>
      </c>
      <c r="AN687" s="1">
        <v>45640</v>
      </c>
      <c r="AO687">
        <v>2024</v>
      </c>
      <c r="AP687">
        <v>12</v>
      </c>
      <c r="AQ687" t="s">
        <v>116</v>
      </c>
      <c r="AS687" t="s">
        <v>85</v>
      </c>
      <c r="AT687">
        <v>2025</v>
      </c>
      <c r="AU687" t="s">
        <v>417</v>
      </c>
      <c r="AV687" t="s">
        <v>72</v>
      </c>
      <c r="AW687" t="s">
        <v>4097</v>
      </c>
      <c r="AX687">
        <v>2025</v>
      </c>
      <c r="AY687" t="s">
        <v>4098</v>
      </c>
      <c r="AZ687" t="s">
        <v>4098</v>
      </c>
    </row>
    <row r="688" spans="1:52" x14ac:dyDescent="0.25">
      <c r="A688" t="s">
        <v>4100</v>
      </c>
      <c r="B688" s="1">
        <v>34892</v>
      </c>
      <c r="C688" t="s">
        <v>4101</v>
      </c>
      <c r="D688">
        <v>464695</v>
      </c>
      <c r="E688" t="s">
        <v>46</v>
      </c>
      <c r="F688" t="s">
        <v>633</v>
      </c>
      <c r="G688" t="s">
        <v>1004</v>
      </c>
      <c r="H688" t="s">
        <v>4101</v>
      </c>
      <c r="I688" t="s">
        <v>406</v>
      </c>
      <c r="J688">
        <v>105</v>
      </c>
      <c r="K688">
        <v>109</v>
      </c>
      <c r="L688">
        <v>-112</v>
      </c>
      <c r="M688">
        <v>109</v>
      </c>
      <c r="N688">
        <v>214</v>
      </c>
      <c r="O688" t="s">
        <v>60</v>
      </c>
      <c r="P688">
        <v>141</v>
      </c>
      <c r="Q688">
        <v>-145</v>
      </c>
      <c r="R688">
        <v>-145</v>
      </c>
      <c r="S688">
        <v>141</v>
      </c>
      <c r="T688">
        <v>0</v>
      </c>
      <c r="U688" t="s">
        <v>55</v>
      </c>
      <c r="V688">
        <f t="shared" si="30"/>
        <v>3</v>
      </c>
      <c r="W688">
        <f t="shared" si="31"/>
        <v>0</v>
      </c>
      <c r="X688">
        <f t="shared" si="32"/>
        <v>0</v>
      </c>
      <c r="Y688">
        <v>250</v>
      </c>
      <c r="Z688">
        <v>214</v>
      </c>
      <c r="AA688" t="s">
        <v>4079</v>
      </c>
      <c r="AB688" t="s">
        <v>4102</v>
      </c>
      <c r="AC688" t="s">
        <v>89</v>
      </c>
      <c r="AD688">
        <v>5</v>
      </c>
      <c r="AE688">
        <v>81</v>
      </c>
      <c r="AF688" t="s">
        <v>126</v>
      </c>
      <c r="AH688" t="s">
        <v>138</v>
      </c>
      <c r="AI688">
        <v>320.13</v>
      </c>
      <c r="AJ688" t="s">
        <v>52</v>
      </c>
      <c r="AK688" t="s">
        <v>633</v>
      </c>
      <c r="AL688" t="s">
        <v>637</v>
      </c>
      <c r="AM688" t="s">
        <v>139</v>
      </c>
      <c r="AN688" s="1">
        <v>45640</v>
      </c>
      <c r="AO688">
        <v>2024</v>
      </c>
      <c r="AP688">
        <v>12</v>
      </c>
      <c r="AQ688" t="s">
        <v>116</v>
      </c>
      <c r="AS688" t="s">
        <v>85</v>
      </c>
      <c r="AT688">
        <v>2025</v>
      </c>
      <c r="AU688" t="s">
        <v>1004</v>
      </c>
      <c r="AV688" t="s">
        <v>140</v>
      </c>
      <c r="AW688" t="s">
        <v>4101</v>
      </c>
      <c r="AX688">
        <v>2025</v>
      </c>
      <c r="AY688" t="s">
        <v>4079</v>
      </c>
      <c r="AZ688" t="s">
        <v>4079</v>
      </c>
    </row>
    <row r="689" spans="1:52" x14ac:dyDescent="0.25">
      <c r="A689" t="s">
        <v>4103</v>
      </c>
      <c r="B689" s="1">
        <v>38434</v>
      </c>
      <c r="C689" t="s">
        <v>4104</v>
      </c>
      <c r="D689">
        <v>503491</v>
      </c>
      <c r="E689" t="s">
        <v>46</v>
      </c>
      <c r="F689" t="s">
        <v>1240</v>
      </c>
      <c r="G689" t="s">
        <v>792</v>
      </c>
      <c r="H689" t="s">
        <v>4104</v>
      </c>
      <c r="I689" t="s">
        <v>3926</v>
      </c>
      <c r="J689">
        <v>90</v>
      </c>
      <c r="K689">
        <v>95</v>
      </c>
      <c r="L689">
        <v>100</v>
      </c>
      <c r="M689">
        <v>100</v>
      </c>
      <c r="N689">
        <v>195</v>
      </c>
      <c r="O689" t="s">
        <v>48</v>
      </c>
      <c r="P689">
        <v>-120</v>
      </c>
      <c r="Q689">
        <v>120</v>
      </c>
      <c r="R689">
        <v>125</v>
      </c>
      <c r="S689">
        <v>125</v>
      </c>
      <c r="T689">
        <v>245</v>
      </c>
      <c r="U689" t="s">
        <v>63</v>
      </c>
      <c r="V689">
        <f t="shared" si="30"/>
        <v>5</v>
      </c>
      <c r="W689">
        <f t="shared" si="31"/>
        <v>0</v>
      </c>
      <c r="X689">
        <f t="shared" si="32"/>
        <v>0</v>
      </c>
      <c r="Y689">
        <v>225</v>
      </c>
      <c r="Z689">
        <v>440</v>
      </c>
      <c r="AA689" t="s">
        <v>4105</v>
      </c>
      <c r="AB689" t="s">
        <v>4106</v>
      </c>
      <c r="AC689" t="s">
        <v>89</v>
      </c>
      <c r="AD689">
        <v>5</v>
      </c>
      <c r="AE689">
        <v>89</v>
      </c>
      <c r="AF689" t="s">
        <v>113</v>
      </c>
      <c r="AH689" t="s">
        <v>435</v>
      </c>
      <c r="AI689">
        <v>274.81</v>
      </c>
      <c r="AJ689" t="s">
        <v>52</v>
      </c>
      <c r="AK689" t="s">
        <v>1240</v>
      </c>
      <c r="AL689" t="s">
        <v>1243</v>
      </c>
      <c r="AM689" t="s">
        <v>133</v>
      </c>
      <c r="AN689" s="1">
        <v>45641</v>
      </c>
      <c r="AO689">
        <v>2024</v>
      </c>
      <c r="AP689">
        <v>12</v>
      </c>
      <c r="AQ689" t="s">
        <v>116</v>
      </c>
      <c r="AS689" t="s">
        <v>85</v>
      </c>
      <c r="AT689">
        <v>2025</v>
      </c>
      <c r="AU689" t="s">
        <v>792</v>
      </c>
      <c r="AV689" t="s">
        <v>133</v>
      </c>
      <c r="AW689" t="s">
        <v>4104</v>
      </c>
      <c r="AX689">
        <v>2025</v>
      </c>
      <c r="AY689" t="s">
        <v>4105</v>
      </c>
      <c r="AZ689" t="s">
        <v>4105</v>
      </c>
    </row>
    <row r="690" spans="1:52" x14ac:dyDescent="0.25">
      <c r="A690" t="s">
        <v>4107</v>
      </c>
      <c r="B690" s="1">
        <v>41235</v>
      </c>
      <c r="C690" t="s">
        <v>4108</v>
      </c>
      <c r="D690">
        <v>479336</v>
      </c>
      <c r="E690" t="s">
        <v>46</v>
      </c>
      <c r="F690" t="s">
        <v>837</v>
      </c>
      <c r="G690" t="s">
        <v>171</v>
      </c>
      <c r="H690" t="s">
        <v>4108</v>
      </c>
      <c r="I690" t="s">
        <v>953</v>
      </c>
      <c r="J690">
        <v>28</v>
      </c>
      <c r="K690">
        <v>30</v>
      </c>
      <c r="L690">
        <v>32</v>
      </c>
      <c r="M690">
        <v>32</v>
      </c>
      <c r="N690">
        <v>62</v>
      </c>
      <c r="O690" t="s">
        <v>48</v>
      </c>
      <c r="P690">
        <v>34</v>
      </c>
      <c r="Q690">
        <v>36</v>
      </c>
      <c r="R690">
        <v>38</v>
      </c>
      <c r="S690">
        <v>38</v>
      </c>
      <c r="T690">
        <v>74</v>
      </c>
      <c r="U690" t="s">
        <v>48</v>
      </c>
      <c r="V690">
        <f t="shared" si="30"/>
        <v>6</v>
      </c>
      <c r="W690">
        <f t="shared" si="31"/>
        <v>0</v>
      </c>
      <c r="X690">
        <f t="shared" si="32"/>
        <v>0</v>
      </c>
      <c r="Y690">
        <v>70</v>
      </c>
      <c r="Z690">
        <v>136</v>
      </c>
      <c r="AA690" t="s">
        <v>4109</v>
      </c>
      <c r="AB690" t="s">
        <v>4110</v>
      </c>
      <c r="AC690" t="s">
        <v>49</v>
      </c>
      <c r="AD690">
        <v>999</v>
      </c>
      <c r="AE690">
        <v>61</v>
      </c>
      <c r="AF690" t="s">
        <v>50</v>
      </c>
      <c r="AH690" t="s">
        <v>290</v>
      </c>
      <c r="AI690">
        <v>213.86</v>
      </c>
      <c r="AJ690" t="s">
        <v>52</v>
      </c>
      <c r="AK690" t="s">
        <v>837</v>
      </c>
      <c r="AL690" t="s">
        <v>840</v>
      </c>
      <c r="AM690" t="s">
        <v>173</v>
      </c>
      <c r="AN690" s="1">
        <v>45640</v>
      </c>
      <c r="AO690">
        <v>2024</v>
      </c>
      <c r="AP690">
        <v>12</v>
      </c>
      <c r="AQ690" t="s">
        <v>116</v>
      </c>
      <c r="AS690" t="s">
        <v>85</v>
      </c>
      <c r="AT690">
        <v>2025</v>
      </c>
      <c r="AU690" t="s">
        <v>171</v>
      </c>
      <c r="AV690" t="s">
        <v>173</v>
      </c>
      <c r="AW690" t="s">
        <v>4108</v>
      </c>
      <c r="AX690">
        <v>2025</v>
      </c>
      <c r="AY690" t="s">
        <v>4109</v>
      </c>
      <c r="AZ690" t="s">
        <v>4109</v>
      </c>
    </row>
    <row r="691" spans="1:52" x14ac:dyDescent="0.25">
      <c r="A691" t="s">
        <v>4119</v>
      </c>
      <c r="B691" s="1">
        <v>36338</v>
      </c>
      <c r="C691" t="s">
        <v>4120</v>
      </c>
      <c r="D691">
        <v>463094</v>
      </c>
      <c r="E691" t="s">
        <v>46</v>
      </c>
      <c r="F691" t="s">
        <v>441</v>
      </c>
      <c r="G691" t="s">
        <v>417</v>
      </c>
      <c r="H691" t="s">
        <v>4120</v>
      </c>
      <c r="I691" t="s">
        <v>272</v>
      </c>
      <c r="J691">
        <v>66</v>
      </c>
      <c r="K691">
        <v>69</v>
      </c>
      <c r="L691">
        <v>-71</v>
      </c>
      <c r="M691">
        <v>69</v>
      </c>
      <c r="N691">
        <v>135</v>
      </c>
      <c r="O691" t="s">
        <v>60</v>
      </c>
      <c r="P691">
        <v>86</v>
      </c>
      <c r="Q691">
        <v>90</v>
      </c>
      <c r="R691">
        <v>-93</v>
      </c>
      <c r="S691">
        <v>90</v>
      </c>
      <c r="T691">
        <v>176</v>
      </c>
      <c r="U691" t="s">
        <v>60</v>
      </c>
      <c r="V691">
        <f t="shared" si="30"/>
        <v>4</v>
      </c>
      <c r="W691">
        <f t="shared" si="31"/>
        <v>0</v>
      </c>
      <c r="X691">
        <f t="shared" si="32"/>
        <v>0</v>
      </c>
      <c r="Y691">
        <v>159</v>
      </c>
      <c r="Z691">
        <v>311</v>
      </c>
      <c r="AA691" t="s">
        <v>1435</v>
      </c>
      <c r="AB691" t="s">
        <v>4121</v>
      </c>
      <c r="AC691" t="s">
        <v>94</v>
      </c>
      <c r="AD691">
        <v>4</v>
      </c>
      <c r="AE691">
        <v>59</v>
      </c>
      <c r="AF691" t="s">
        <v>126</v>
      </c>
      <c r="AH691" t="s">
        <v>202</v>
      </c>
      <c r="AI691">
        <v>220.54</v>
      </c>
      <c r="AJ691" t="s">
        <v>132</v>
      </c>
      <c r="AK691" t="s">
        <v>441</v>
      </c>
      <c r="AL691" t="s">
        <v>445</v>
      </c>
      <c r="AM691" t="s">
        <v>72</v>
      </c>
      <c r="AN691" s="1">
        <v>45640</v>
      </c>
      <c r="AO691">
        <v>2024</v>
      </c>
      <c r="AP691">
        <v>12</v>
      </c>
      <c r="AQ691" t="s">
        <v>116</v>
      </c>
      <c r="AS691" t="s">
        <v>85</v>
      </c>
      <c r="AT691">
        <v>2025</v>
      </c>
      <c r="AU691" t="s">
        <v>417</v>
      </c>
      <c r="AV691" t="s">
        <v>72</v>
      </c>
      <c r="AW691" t="s">
        <v>4120</v>
      </c>
      <c r="AX691">
        <v>2025</v>
      </c>
      <c r="AY691" t="s">
        <v>1435</v>
      </c>
      <c r="AZ691" t="s">
        <v>1435</v>
      </c>
    </row>
    <row r="692" spans="1:52" x14ac:dyDescent="0.25">
      <c r="A692" t="s">
        <v>4111</v>
      </c>
      <c r="B692" s="1">
        <v>40005</v>
      </c>
      <c r="C692" t="s">
        <v>4112</v>
      </c>
      <c r="D692">
        <v>476821</v>
      </c>
      <c r="E692" t="s">
        <v>46</v>
      </c>
      <c r="F692" t="s">
        <v>456</v>
      </c>
      <c r="G692" t="s">
        <v>416</v>
      </c>
      <c r="H692" t="s">
        <v>4112</v>
      </c>
      <c r="I692" t="s">
        <v>3366</v>
      </c>
      <c r="J692">
        <v>44</v>
      </c>
      <c r="K692">
        <v>47</v>
      </c>
      <c r="L692">
        <v>49</v>
      </c>
      <c r="M692">
        <v>49</v>
      </c>
      <c r="N692">
        <v>96</v>
      </c>
      <c r="O692" t="s">
        <v>48</v>
      </c>
      <c r="P692">
        <v>53</v>
      </c>
      <c r="Q692">
        <v>56</v>
      </c>
      <c r="R692">
        <v>-59</v>
      </c>
      <c r="S692">
        <v>56</v>
      </c>
      <c r="T692">
        <v>109</v>
      </c>
      <c r="U692" t="s">
        <v>60</v>
      </c>
      <c r="V692">
        <f t="shared" si="30"/>
        <v>5</v>
      </c>
      <c r="W692">
        <f t="shared" si="31"/>
        <v>0</v>
      </c>
      <c r="X692">
        <f t="shared" si="32"/>
        <v>0</v>
      </c>
      <c r="Y692">
        <v>105</v>
      </c>
      <c r="Z692">
        <v>205</v>
      </c>
      <c r="AA692" t="s">
        <v>4113</v>
      </c>
      <c r="AB692" t="s">
        <v>4114</v>
      </c>
      <c r="AC692" t="s">
        <v>89</v>
      </c>
      <c r="AD692">
        <v>5</v>
      </c>
      <c r="AE692">
        <v>55</v>
      </c>
      <c r="AF692" t="s">
        <v>95</v>
      </c>
      <c r="AH692" t="s">
        <v>175</v>
      </c>
      <c r="AI692">
        <v>154.05000000000001</v>
      </c>
      <c r="AJ692" t="s">
        <v>132</v>
      </c>
      <c r="AK692" t="s">
        <v>456</v>
      </c>
      <c r="AL692" t="s">
        <v>460</v>
      </c>
      <c r="AM692" t="s">
        <v>173</v>
      </c>
      <c r="AN692" s="1">
        <v>45641</v>
      </c>
      <c r="AO692">
        <v>2024</v>
      </c>
      <c r="AP692">
        <v>12</v>
      </c>
      <c r="AQ692" t="s">
        <v>116</v>
      </c>
      <c r="AS692" t="s">
        <v>85</v>
      </c>
      <c r="AT692">
        <v>2025</v>
      </c>
      <c r="AU692" t="s">
        <v>416</v>
      </c>
      <c r="AV692" t="s">
        <v>173</v>
      </c>
      <c r="AW692" t="s">
        <v>4112</v>
      </c>
      <c r="AX692">
        <v>2025</v>
      </c>
      <c r="AY692" t="s">
        <v>4113</v>
      </c>
      <c r="AZ692" t="s">
        <v>4113</v>
      </c>
    </row>
    <row r="693" spans="1:52" x14ac:dyDescent="0.25">
      <c r="A693" t="s">
        <v>4115</v>
      </c>
      <c r="B693" s="1">
        <v>35948</v>
      </c>
      <c r="C693" t="s">
        <v>4116</v>
      </c>
      <c r="D693">
        <v>457654</v>
      </c>
      <c r="E693" t="s">
        <v>46</v>
      </c>
      <c r="F693" t="s">
        <v>109</v>
      </c>
      <c r="G693" t="s">
        <v>88</v>
      </c>
      <c r="H693" t="s">
        <v>4116</v>
      </c>
      <c r="I693" t="s">
        <v>475</v>
      </c>
      <c r="J693">
        <v>63</v>
      </c>
      <c r="K693">
        <v>66</v>
      </c>
      <c r="L693">
        <v>69</v>
      </c>
      <c r="M693">
        <v>69</v>
      </c>
      <c r="N693">
        <v>135</v>
      </c>
      <c r="O693" t="s">
        <v>48</v>
      </c>
      <c r="P693">
        <v>80</v>
      </c>
      <c r="Q693">
        <v>85</v>
      </c>
      <c r="R693">
        <v>-89</v>
      </c>
      <c r="S693">
        <v>85</v>
      </c>
      <c r="T693">
        <v>165</v>
      </c>
      <c r="U693" t="s">
        <v>60</v>
      </c>
      <c r="V693">
        <f t="shared" si="30"/>
        <v>5</v>
      </c>
      <c r="W693">
        <f t="shared" si="31"/>
        <v>0</v>
      </c>
      <c r="X693">
        <f t="shared" si="32"/>
        <v>0</v>
      </c>
      <c r="Y693">
        <v>154</v>
      </c>
      <c r="Z693">
        <v>300</v>
      </c>
      <c r="AA693" t="s">
        <v>473</v>
      </c>
      <c r="AB693" t="s">
        <v>4118</v>
      </c>
      <c r="AC693" t="s">
        <v>89</v>
      </c>
      <c r="AD693">
        <v>5</v>
      </c>
      <c r="AE693">
        <v>64</v>
      </c>
      <c r="AF693" t="s">
        <v>126</v>
      </c>
      <c r="AH693" t="s">
        <v>167</v>
      </c>
      <c r="AI693">
        <v>201.38</v>
      </c>
      <c r="AJ693" t="s">
        <v>132</v>
      </c>
      <c r="AK693" t="s">
        <v>109</v>
      </c>
      <c r="AL693" t="s">
        <v>115</v>
      </c>
      <c r="AM693" t="s">
        <v>90</v>
      </c>
      <c r="AN693" s="1">
        <v>45639</v>
      </c>
      <c r="AO693">
        <v>2024</v>
      </c>
      <c r="AP693">
        <v>12</v>
      </c>
      <c r="AQ693" t="s">
        <v>116</v>
      </c>
      <c r="AS693" t="s">
        <v>85</v>
      </c>
      <c r="AT693">
        <v>2025</v>
      </c>
      <c r="AU693" t="s">
        <v>88</v>
      </c>
      <c r="AV693" t="s">
        <v>91</v>
      </c>
      <c r="AW693" t="s">
        <v>4116</v>
      </c>
      <c r="AX693">
        <v>2025</v>
      </c>
      <c r="AY693" t="s">
        <v>4117</v>
      </c>
      <c r="AZ693" t="s">
        <v>473</v>
      </c>
    </row>
    <row r="694" spans="1:52" x14ac:dyDescent="0.25">
      <c r="A694" t="s">
        <v>4122</v>
      </c>
      <c r="B694" s="1">
        <v>27195</v>
      </c>
      <c r="C694" t="s">
        <v>4123</v>
      </c>
      <c r="D694">
        <v>358338</v>
      </c>
      <c r="E694" t="s">
        <v>46</v>
      </c>
      <c r="F694" t="s">
        <v>948</v>
      </c>
      <c r="G694" t="s">
        <v>419</v>
      </c>
      <c r="H694" t="s">
        <v>4123</v>
      </c>
      <c r="I694" t="s">
        <v>918</v>
      </c>
      <c r="J694">
        <v>56</v>
      </c>
      <c r="K694">
        <v>58</v>
      </c>
      <c r="L694">
        <v>61</v>
      </c>
      <c r="M694">
        <v>61</v>
      </c>
      <c r="N694">
        <v>119</v>
      </c>
      <c r="O694" t="s">
        <v>48</v>
      </c>
      <c r="P694">
        <v>70</v>
      </c>
      <c r="Q694">
        <v>74</v>
      </c>
      <c r="R694">
        <v>76</v>
      </c>
      <c r="S694">
        <v>76</v>
      </c>
      <c r="T694">
        <v>150</v>
      </c>
      <c r="U694" t="s">
        <v>48</v>
      </c>
      <c r="V694">
        <f t="shared" si="30"/>
        <v>6</v>
      </c>
      <c r="W694">
        <f t="shared" si="31"/>
        <v>0</v>
      </c>
      <c r="X694">
        <f t="shared" si="32"/>
        <v>0</v>
      </c>
      <c r="Y694">
        <v>137</v>
      </c>
      <c r="Z694">
        <v>269</v>
      </c>
      <c r="AA694" t="s">
        <v>4124</v>
      </c>
      <c r="AB694" t="s">
        <v>4125</v>
      </c>
      <c r="AC694" t="s">
        <v>93</v>
      </c>
      <c r="AD694">
        <v>6</v>
      </c>
      <c r="AE694">
        <v>71</v>
      </c>
      <c r="AF694" t="s">
        <v>126</v>
      </c>
      <c r="AG694">
        <v>50</v>
      </c>
      <c r="AH694" t="s">
        <v>226</v>
      </c>
      <c r="AI694">
        <v>169.77</v>
      </c>
      <c r="AJ694" t="s">
        <v>132</v>
      </c>
      <c r="AK694" t="s">
        <v>948</v>
      </c>
      <c r="AL694" t="s">
        <v>949</v>
      </c>
      <c r="AM694" t="s">
        <v>133</v>
      </c>
      <c r="AN694" s="1">
        <v>45640</v>
      </c>
      <c r="AO694">
        <v>2024</v>
      </c>
      <c r="AP694">
        <v>12</v>
      </c>
      <c r="AQ694" t="s">
        <v>116</v>
      </c>
      <c r="AS694" t="s">
        <v>85</v>
      </c>
      <c r="AT694">
        <v>2025</v>
      </c>
      <c r="AU694" t="s">
        <v>419</v>
      </c>
      <c r="AV694" t="s">
        <v>133</v>
      </c>
      <c r="AW694" t="s">
        <v>4123</v>
      </c>
      <c r="AX694">
        <v>2025</v>
      </c>
      <c r="AY694" t="s">
        <v>3507</v>
      </c>
      <c r="AZ694" t="s">
        <v>4124</v>
      </c>
    </row>
    <row r="695" spans="1:52" x14ac:dyDescent="0.25">
      <c r="A695" t="s">
        <v>4126</v>
      </c>
      <c r="B695" s="1">
        <v>34249</v>
      </c>
      <c r="C695" t="s">
        <v>4127</v>
      </c>
      <c r="D695">
        <v>474762</v>
      </c>
      <c r="E695" t="s">
        <v>46</v>
      </c>
      <c r="F695" t="s">
        <v>232</v>
      </c>
      <c r="G695" t="s">
        <v>506</v>
      </c>
      <c r="H695" t="s">
        <v>4127</v>
      </c>
      <c r="I695" t="s">
        <v>434</v>
      </c>
      <c r="J695">
        <v>82</v>
      </c>
      <c r="K695">
        <v>86</v>
      </c>
      <c r="L695">
        <v>-89</v>
      </c>
      <c r="M695">
        <v>86</v>
      </c>
      <c r="N695">
        <v>168</v>
      </c>
      <c r="O695" t="s">
        <v>60</v>
      </c>
      <c r="P695">
        <v>90</v>
      </c>
      <c r="Q695">
        <v>0</v>
      </c>
      <c r="R695">
        <v>0</v>
      </c>
      <c r="S695">
        <v>90</v>
      </c>
      <c r="T695">
        <v>0</v>
      </c>
      <c r="U695" t="s">
        <v>55</v>
      </c>
      <c r="V695">
        <f t="shared" si="30"/>
        <v>3</v>
      </c>
      <c r="W695">
        <f t="shared" si="31"/>
        <v>0</v>
      </c>
      <c r="X695">
        <f t="shared" si="32"/>
        <v>0</v>
      </c>
      <c r="Y695">
        <v>176</v>
      </c>
      <c r="Z695">
        <v>168</v>
      </c>
      <c r="AA695" t="s">
        <v>4130</v>
      </c>
      <c r="AB695" t="s">
        <v>4131</v>
      </c>
      <c r="AC695" t="s">
        <v>94</v>
      </c>
      <c r="AD695">
        <v>4</v>
      </c>
      <c r="AE695">
        <v>76</v>
      </c>
      <c r="AF695" t="s">
        <v>126</v>
      </c>
      <c r="AH695" t="s">
        <v>228</v>
      </c>
      <c r="AI695">
        <v>210.17</v>
      </c>
      <c r="AJ695" t="s">
        <v>132</v>
      </c>
      <c r="AK695" t="s">
        <v>232</v>
      </c>
      <c r="AL695" t="s">
        <v>236</v>
      </c>
      <c r="AM695" t="s">
        <v>128</v>
      </c>
      <c r="AN695" s="1">
        <v>45640</v>
      </c>
      <c r="AO695">
        <v>2024</v>
      </c>
      <c r="AP695">
        <v>12</v>
      </c>
      <c r="AQ695" t="s">
        <v>116</v>
      </c>
      <c r="AS695" t="s">
        <v>85</v>
      </c>
      <c r="AT695">
        <v>2025</v>
      </c>
      <c r="AU695" t="s">
        <v>506</v>
      </c>
      <c r="AV695" t="s">
        <v>170</v>
      </c>
      <c r="AW695" t="s">
        <v>4127</v>
      </c>
      <c r="AX695">
        <v>2025</v>
      </c>
      <c r="AY695" t="s">
        <v>4128</v>
      </c>
      <c r="AZ695" t="s">
        <v>4129</v>
      </c>
    </row>
    <row r="696" spans="1:52" x14ac:dyDescent="0.25">
      <c r="A696" t="s">
        <v>4132</v>
      </c>
      <c r="B696" s="1">
        <v>34850</v>
      </c>
      <c r="C696" t="s">
        <v>4133</v>
      </c>
      <c r="D696">
        <v>497625</v>
      </c>
      <c r="E696" t="s">
        <v>46</v>
      </c>
      <c r="F696" t="s">
        <v>990</v>
      </c>
      <c r="G696" t="s">
        <v>147</v>
      </c>
      <c r="H696" t="s">
        <v>4133</v>
      </c>
      <c r="I696">
        <v>64</v>
      </c>
      <c r="J696">
        <v>70</v>
      </c>
      <c r="K696">
        <v>-73</v>
      </c>
      <c r="L696">
        <v>75</v>
      </c>
      <c r="M696">
        <v>75</v>
      </c>
      <c r="N696">
        <v>145</v>
      </c>
      <c r="O696" t="s">
        <v>65</v>
      </c>
      <c r="P696">
        <v>87</v>
      </c>
      <c r="Q696">
        <v>90</v>
      </c>
      <c r="R696">
        <v>93</v>
      </c>
      <c r="S696">
        <v>93</v>
      </c>
      <c r="T696">
        <v>183</v>
      </c>
      <c r="U696" t="s">
        <v>48</v>
      </c>
      <c r="V696">
        <f t="shared" si="30"/>
        <v>5</v>
      </c>
      <c r="W696">
        <f t="shared" si="31"/>
        <v>0</v>
      </c>
      <c r="X696">
        <f t="shared" si="32"/>
        <v>0</v>
      </c>
      <c r="Y696">
        <v>168</v>
      </c>
      <c r="Z696">
        <v>328</v>
      </c>
      <c r="AA696" t="s">
        <v>1671</v>
      </c>
      <c r="AB696" t="s">
        <v>4134</v>
      </c>
      <c r="AC696" t="s">
        <v>94</v>
      </c>
      <c r="AD696">
        <v>4</v>
      </c>
      <c r="AE696">
        <v>64</v>
      </c>
      <c r="AF696" t="s">
        <v>126</v>
      </c>
      <c r="AH696" t="s">
        <v>167</v>
      </c>
      <c r="AI696">
        <v>218.44</v>
      </c>
      <c r="AJ696" t="s">
        <v>132</v>
      </c>
      <c r="AK696" t="s">
        <v>990</v>
      </c>
      <c r="AL696" t="s">
        <v>993</v>
      </c>
      <c r="AM696" t="s">
        <v>145</v>
      </c>
      <c r="AN696" s="1">
        <v>45640</v>
      </c>
      <c r="AO696">
        <v>2024</v>
      </c>
      <c r="AP696">
        <v>12</v>
      </c>
      <c r="AQ696" t="s">
        <v>116</v>
      </c>
      <c r="AS696" t="s">
        <v>85</v>
      </c>
      <c r="AT696">
        <v>2025</v>
      </c>
      <c r="AU696" t="s">
        <v>147</v>
      </c>
      <c r="AV696" t="s">
        <v>145</v>
      </c>
      <c r="AW696" t="s">
        <v>4133</v>
      </c>
      <c r="AX696">
        <v>2025</v>
      </c>
      <c r="AY696" t="s">
        <v>1671</v>
      </c>
      <c r="AZ696" t="s">
        <v>1671</v>
      </c>
    </row>
    <row r="697" spans="1:52" x14ac:dyDescent="0.25">
      <c r="A697" t="s">
        <v>4135</v>
      </c>
      <c r="B697" s="1">
        <v>32921</v>
      </c>
      <c r="C697" t="s">
        <v>4136</v>
      </c>
      <c r="D697">
        <v>390544</v>
      </c>
      <c r="E697" t="s">
        <v>46</v>
      </c>
      <c r="F697" t="s">
        <v>625</v>
      </c>
      <c r="G697" t="s">
        <v>1004</v>
      </c>
      <c r="H697" t="s">
        <v>4136</v>
      </c>
      <c r="I697">
        <v>55</v>
      </c>
      <c r="J697">
        <v>55</v>
      </c>
      <c r="K697">
        <v>58</v>
      </c>
      <c r="L697">
        <v>-60</v>
      </c>
      <c r="M697">
        <v>58</v>
      </c>
      <c r="N697">
        <v>113</v>
      </c>
      <c r="O697" t="s">
        <v>60</v>
      </c>
      <c r="P697">
        <v>68</v>
      </c>
      <c r="Q697">
        <v>-72</v>
      </c>
      <c r="R697">
        <v>72</v>
      </c>
      <c r="S697">
        <v>72</v>
      </c>
      <c r="T697">
        <v>140</v>
      </c>
      <c r="U697" t="s">
        <v>65</v>
      </c>
      <c r="V697">
        <f t="shared" si="30"/>
        <v>4</v>
      </c>
      <c r="W697">
        <f t="shared" si="31"/>
        <v>0</v>
      </c>
      <c r="X697">
        <f t="shared" si="32"/>
        <v>0</v>
      </c>
      <c r="Y697">
        <v>130</v>
      </c>
      <c r="Z697">
        <v>253</v>
      </c>
      <c r="AA697" t="s">
        <v>1635</v>
      </c>
      <c r="AB697" t="s">
        <v>940</v>
      </c>
      <c r="AC697" t="s">
        <v>89</v>
      </c>
      <c r="AD697">
        <v>5</v>
      </c>
      <c r="AE697">
        <v>55</v>
      </c>
      <c r="AF697" t="s">
        <v>126</v>
      </c>
      <c r="AG697">
        <v>35</v>
      </c>
      <c r="AH697" t="s">
        <v>197</v>
      </c>
      <c r="AI697">
        <v>186.56</v>
      </c>
      <c r="AJ697" t="s">
        <v>132</v>
      </c>
      <c r="AK697" t="s">
        <v>625</v>
      </c>
      <c r="AL697" t="s">
        <v>627</v>
      </c>
      <c r="AM697" t="s">
        <v>139</v>
      </c>
      <c r="AN697" s="1">
        <v>45641</v>
      </c>
      <c r="AO697">
        <v>2024</v>
      </c>
      <c r="AP697">
        <v>12</v>
      </c>
      <c r="AQ697" t="s">
        <v>116</v>
      </c>
      <c r="AS697" t="s">
        <v>85</v>
      </c>
      <c r="AT697">
        <v>2025</v>
      </c>
      <c r="AU697" t="s">
        <v>1004</v>
      </c>
      <c r="AV697" t="s">
        <v>140</v>
      </c>
      <c r="AW697" t="s">
        <v>4136</v>
      </c>
      <c r="AX697">
        <v>2025</v>
      </c>
      <c r="AY697" t="s">
        <v>891</v>
      </c>
      <c r="AZ697" t="s">
        <v>1635</v>
      </c>
    </row>
    <row r="698" spans="1:52" x14ac:dyDescent="0.25">
      <c r="A698" t="s">
        <v>4137</v>
      </c>
      <c r="B698" s="1">
        <v>32736</v>
      </c>
      <c r="C698" t="s">
        <v>4138</v>
      </c>
      <c r="D698">
        <v>441682</v>
      </c>
      <c r="E698" t="s">
        <v>46</v>
      </c>
      <c r="F698" t="s">
        <v>1400</v>
      </c>
      <c r="G698" t="s">
        <v>427</v>
      </c>
      <c r="H698" t="s">
        <v>4138</v>
      </c>
      <c r="I698">
        <v>61</v>
      </c>
      <c r="J698">
        <v>-85</v>
      </c>
      <c r="K698">
        <v>-85</v>
      </c>
      <c r="L698">
        <v>-85</v>
      </c>
      <c r="M698">
        <v>0</v>
      </c>
      <c r="N698">
        <v>0</v>
      </c>
      <c r="O698" t="s">
        <v>108</v>
      </c>
      <c r="P698">
        <v>0</v>
      </c>
      <c r="Q698">
        <v>0</v>
      </c>
      <c r="R698">
        <v>0</v>
      </c>
      <c r="S698">
        <v>0</v>
      </c>
      <c r="T698">
        <v>0</v>
      </c>
      <c r="U698" t="s">
        <v>108</v>
      </c>
      <c r="V698">
        <f t="shared" si="30"/>
        <v>0</v>
      </c>
      <c r="W698">
        <f t="shared" si="31"/>
        <v>0</v>
      </c>
      <c r="X698">
        <f t="shared" si="32"/>
        <v>0</v>
      </c>
      <c r="Y698">
        <v>0</v>
      </c>
      <c r="Z698">
        <v>0</v>
      </c>
      <c r="AA698" t="s">
        <v>99</v>
      </c>
      <c r="AB698" t="s">
        <v>99</v>
      </c>
      <c r="AC698" t="s">
        <v>49</v>
      </c>
      <c r="AD698">
        <v>999</v>
      </c>
      <c r="AE698">
        <v>61</v>
      </c>
      <c r="AF698" t="s">
        <v>126</v>
      </c>
      <c r="AG698">
        <v>35</v>
      </c>
      <c r="AH698" t="s">
        <v>144</v>
      </c>
      <c r="AI698">
        <v>0</v>
      </c>
      <c r="AJ698" t="s">
        <v>52</v>
      </c>
      <c r="AK698" t="s">
        <v>1400</v>
      </c>
      <c r="AL698" t="s">
        <v>1402</v>
      </c>
      <c r="AM698" t="s">
        <v>128</v>
      </c>
      <c r="AN698" s="1">
        <v>45640</v>
      </c>
      <c r="AO698">
        <v>2024</v>
      </c>
      <c r="AP698">
        <v>12</v>
      </c>
      <c r="AQ698" t="s">
        <v>116</v>
      </c>
      <c r="AS698" t="s">
        <v>85</v>
      </c>
      <c r="AT698">
        <v>2025</v>
      </c>
      <c r="AU698" t="s">
        <v>427</v>
      </c>
      <c r="AV698" t="s">
        <v>128</v>
      </c>
      <c r="AW698" t="s">
        <v>4138</v>
      </c>
      <c r="AX698">
        <v>2025</v>
      </c>
      <c r="AY698" t="s">
        <v>4139</v>
      </c>
      <c r="AZ698" t="s">
        <v>4140</v>
      </c>
    </row>
    <row r="699" spans="1:52" x14ac:dyDescent="0.25">
      <c r="A699" t="s">
        <v>4141</v>
      </c>
      <c r="B699" s="1">
        <v>36224</v>
      </c>
      <c r="C699" t="s">
        <v>4142</v>
      </c>
      <c r="D699">
        <v>470012</v>
      </c>
      <c r="E699" t="s">
        <v>46</v>
      </c>
      <c r="F699" t="s">
        <v>338</v>
      </c>
      <c r="G699" t="s">
        <v>606</v>
      </c>
      <c r="H699" t="s">
        <v>4142</v>
      </c>
      <c r="I699" t="s">
        <v>166</v>
      </c>
      <c r="J699">
        <v>-67</v>
      </c>
      <c r="K699">
        <v>67</v>
      </c>
      <c r="L699">
        <v>-70</v>
      </c>
      <c r="M699">
        <v>67</v>
      </c>
      <c r="N699">
        <v>0</v>
      </c>
      <c r="O699" t="s">
        <v>104</v>
      </c>
      <c r="P699">
        <v>75</v>
      </c>
      <c r="Q699">
        <v>-80</v>
      </c>
      <c r="R699">
        <v>-80</v>
      </c>
      <c r="S699">
        <v>75</v>
      </c>
      <c r="T699">
        <v>0</v>
      </c>
      <c r="U699" t="s">
        <v>55</v>
      </c>
      <c r="V699">
        <f t="shared" si="30"/>
        <v>2</v>
      </c>
      <c r="W699">
        <f t="shared" si="31"/>
        <v>0</v>
      </c>
      <c r="X699">
        <f t="shared" si="32"/>
        <v>0</v>
      </c>
      <c r="Y699">
        <v>142</v>
      </c>
      <c r="Z699">
        <v>0</v>
      </c>
      <c r="AA699" t="s">
        <v>1670</v>
      </c>
      <c r="AB699" t="s">
        <v>99</v>
      </c>
      <c r="AC699" t="s">
        <v>93</v>
      </c>
      <c r="AD699">
        <v>6</v>
      </c>
      <c r="AE699">
        <v>64</v>
      </c>
      <c r="AF699" t="s">
        <v>126</v>
      </c>
      <c r="AH699" t="s">
        <v>167</v>
      </c>
      <c r="AI699">
        <v>187.13</v>
      </c>
      <c r="AJ699" t="s">
        <v>132</v>
      </c>
      <c r="AK699" t="s">
        <v>338</v>
      </c>
      <c r="AL699" t="s">
        <v>340</v>
      </c>
      <c r="AM699" t="s">
        <v>128</v>
      </c>
      <c r="AN699" s="1">
        <v>45640</v>
      </c>
      <c r="AO699">
        <v>2024</v>
      </c>
      <c r="AP699">
        <v>12</v>
      </c>
      <c r="AQ699" t="s">
        <v>116</v>
      </c>
      <c r="AS699" t="s">
        <v>85</v>
      </c>
      <c r="AT699">
        <v>2025</v>
      </c>
      <c r="AU699" t="s">
        <v>606</v>
      </c>
      <c r="AV699" t="s">
        <v>128</v>
      </c>
      <c r="AW699" t="s">
        <v>4142</v>
      </c>
      <c r="AX699">
        <v>2025</v>
      </c>
      <c r="AY699" t="s">
        <v>4143</v>
      </c>
      <c r="AZ699" t="s">
        <v>4143</v>
      </c>
    </row>
    <row r="700" spans="1:52" x14ac:dyDescent="0.25">
      <c r="A700" t="s">
        <v>4144</v>
      </c>
      <c r="B700" s="1">
        <v>29990</v>
      </c>
      <c r="C700" t="s">
        <v>4145</v>
      </c>
      <c r="D700">
        <v>1146</v>
      </c>
      <c r="E700" t="s">
        <v>46</v>
      </c>
      <c r="F700" t="s">
        <v>582</v>
      </c>
      <c r="G700" t="s">
        <v>386</v>
      </c>
      <c r="H700" t="s">
        <v>4145</v>
      </c>
      <c r="I700" t="s">
        <v>2416</v>
      </c>
      <c r="J700">
        <v>95</v>
      </c>
      <c r="K700">
        <v>100</v>
      </c>
      <c r="L700">
        <v>-104</v>
      </c>
      <c r="M700">
        <v>100</v>
      </c>
      <c r="N700">
        <v>195</v>
      </c>
      <c r="O700" t="s">
        <v>60</v>
      </c>
      <c r="P700">
        <v>115</v>
      </c>
      <c r="Q700">
        <v>-120</v>
      </c>
      <c r="R700">
        <v>-120</v>
      </c>
      <c r="S700">
        <v>115</v>
      </c>
      <c r="T700">
        <v>0</v>
      </c>
      <c r="U700" t="s">
        <v>55</v>
      </c>
      <c r="V700">
        <f t="shared" si="30"/>
        <v>3</v>
      </c>
      <c r="W700">
        <f t="shared" si="31"/>
        <v>0</v>
      </c>
      <c r="X700">
        <f t="shared" si="32"/>
        <v>0</v>
      </c>
      <c r="Y700">
        <v>215</v>
      </c>
      <c r="Z700">
        <v>195</v>
      </c>
      <c r="AA700" t="s">
        <v>4147</v>
      </c>
      <c r="AB700" t="s">
        <v>4148</v>
      </c>
      <c r="AC700" t="s">
        <v>64</v>
      </c>
      <c r="AD700">
        <v>7</v>
      </c>
      <c r="AE700">
        <v>81</v>
      </c>
      <c r="AF700" t="s">
        <v>126</v>
      </c>
      <c r="AG700">
        <v>40</v>
      </c>
      <c r="AH700" t="s">
        <v>138</v>
      </c>
      <c r="AI700">
        <v>272.95</v>
      </c>
      <c r="AJ700" t="s">
        <v>52</v>
      </c>
      <c r="AK700" t="s">
        <v>582</v>
      </c>
      <c r="AL700" t="s">
        <v>585</v>
      </c>
      <c r="AM700" t="s">
        <v>170</v>
      </c>
      <c r="AN700" s="1">
        <v>45640</v>
      </c>
      <c r="AO700">
        <v>2024</v>
      </c>
      <c r="AP700">
        <v>12</v>
      </c>
      <c r="AQ700" t="s">
        <v>116</v>
      </c>
      <c r="AS700" t="s">
        <v>85</v>
      </c>
      <c r="AT700">
        <v>2025</v>
      </c>
      <c r="AU700" t="s">
        <v>386</v>
      </c>
      <c r="AV700" t="s">
        <v>170</v>
      </c>
      <c r="AW700" t="s">
        <v>4145</v>
      </c>
      <c r="AX700">
        <v>2025</v>
      </c>
      <c r="AY700" t="s">
        <v>4146</v>
      </c>
      <c r="AZ700" t="s">
        <v>3841</v>
      </c>
    </row>
    <row r="701" spans="1:52" x14ac:dyDescent="0.25">
      <c r="A701" t="s">
        <v>4159</v>
      </c>
      <c r="B701" s="1">
        <v>34294</v>
      </c>
      <c r="C701" t="s">
        <v>4160</v>
      </c>
      <c r="D701">
        <v>424290</v>
      </c>
      <c r="E701" t="s">
        <v>46</v>
      </c>
      <c r="F701" t="s">
        <v>710</v>
      </c>
      <c r="G701" t="s">
        <v>335</v>
      </c>
      <c r="H701" t="s">
        <v>4160</v>
      </c>
      <c r="I701" t="s">
        <v>507</v>
      </c>
      <c r="J701">
        <v>125</v>
      </c>
      <c r="K701">
        <v>-130</v>
      </c>
      <c r="L701">
        <v>-130</v>
      </c>
      <c r="M701">
        <v>125</v>
      </c>
      <c r="N701">
        <v>0</v>
      </c>
      <c r="O701" t="s">
        <v>55</v>
      </c>
      <c r="P701">
        <v>155</v>
      </c>
      <c r="Q701">
        <v>163</v>
      </c>
      <c r="R701">
        <v>-170</v>
      </c>
      <c r="S701">
        <v>163</v>
      </c>
      <c r="T701">
        <v>318</v>
      </c>
      <c r="U701" t="s">
        <v>60</v>
      </c>
      <c r="V701">
        <f t="shared" si="30"/>
        <v>3</v>
      </c>
      <c r="W701">
        <f t="shared" si="31"/>
        <v>0</v>
      </c>
      <c r="X701">
        <f t="shared" si="32"/>
        <v>0</v>
      </c>
      <c r="Y701">
        <v>288</v>
      </c>
      <c r="Z701">
        <v>318</v>
      </c>
      <c r="AA701" t="s">
        <v>4161</v>
      </c>
      <c r="AB701" t="s">
        <v>4162</v>
      </c>
      <c r="AC701" t="s">
        <v>89</v>
      </c>
      <c r="AD701">
        <v>5</v>
      </c>
      <c r="AE701">
        <v>96</v>
      </c>
      <c r="AF701" t="s">
        <v>126</v>
      </c>
      <c r="AH701" t="s">
        <v>222</v>
      </c>
      <c r="AI701">
        <v>338.3</v>
      </c>
      <c r="AJ701" t="s">
        <v>52</v>
      </c>
      <c r="AK701" t="s">
        <v>710</v>
      </c>
      <c r="AL701" t="s">
        <v>712</v>
      </c>
      <c r="AM701" t="s">
        <v>128</v>
      </c>
      <c r="AN701" s="1">
        <v>45640</v>
      </c>
      <c r="AO701">
        <v>2024</v>
      </c>
      <c r="AP701">
        <v>12</v>
      </c>
      <c r="AQ701" t="s">
        <v>116</v>
      </c>
      <c r="AS701" t="s">
        <v>85</v>
      </c>
      <c r="AT701">
        <v>2025</v>
      </c>
      <c r="AU701" t="s">
        <v>335</v>
      </c>
      <c r="AV701" t="s">
        <v>128</v>
      </c>
      <c r="AW701" t="s">
        <v>4160</v>
      </c>
      <c r="AX701">
        <v>2025</v>
      </c>
      <c r="AY701" t="s">
        <v>4161</v>
      </c>
      <c r="AZ701" t="s">
        <v>4161</v>
      </c>
    </row>
    <row r="702" spans="1:52" x14ac:dyDescent="0.25">
      <c r="A702" t="s">
        <v>4149</v>
      </c>
      <c r="B702" s="1">
        <v>36968</v>
      </c>
      <c r="C702" t="s">
        <v>4150</v>
      </c>
      <c r="D702">
        <v>464931</v>
      </c>
      <c r="E702" t="s">
        <v>46</v>
      </c>
      <c r="F702" t="s">
        <v>492</v>
      </c>
      <c r="G702" t="s">
        <v>1202</v>
      </c>
      <c r="H702" t="s">
        <v>4150</v>
      </c>
      <c r="I702" t="s">
        <v>830</v>
      </c>
      <c r="J702">
        <v>72</v>
      </c>
      <c r="K702">
        <v>77</v>
      </c>
      <c r="L702">
        <v>-85</v>
      </c>
      <c r="M702">
        <v>77</v>
      </c>
      <c r="N702">
        <v>149</v>
      </c>
      <c r="O702" t="s">
        <v>60</v>
      </c>
      <c r="P702">
        <v>98</v>
      </c>
      <c r="Q702">
        <v>104</v>
      </c>
      <c r="R702">
        <v>-110</v>
      </c>
      <c r="S702">
        <v>104</v>
      </c>
      <c r="T702">
        <v>202</v>
      </c>
      <c r="U702" t="s">
        <v>60</v>
      </c>
      <c r="V702">
        <f t="shared" si="30"/>
        <v>4</v>
      </c>
      <c r="W702">
        <f t="shared" si="31"/>
        <v>0</v>
      </c>
      <c r="X702">
        <f t="shared" si="32"/>
        <v>0</v>
      </c>
      <c r="Y702">
        <v>181</v>
      </c>
      <c r="Z702">
        <v>351</v>
      </c>
      <c r="AA702" t="s">
        <v>4011</v>
      </c>
      <c r="AB702" t="s">
        <v>4151</v>
      </c>
      <c r="AC702" t="s">
        <v>93</v>
      </c>
      <c r="AD702">
        <v>6</v>
      </c>
      <c r="AE702">
        <v>61</v>
      </c>
      <c r="AF702" t="s">
        <v>126</v>
      </c>
      <c r="AH702" t="s">
        <v>144</v>
      </c>
      <c r="AI702">
        <v>276.77</v>
      </c>
      <c r="AJ702" t="s">
        <v>52</v>
      </c>
      <c r="AK702" t="s">
        <v>492</v>
      </c>
      <c r="AL702" t="s">
        <v>494</v>
      </c>
      <c r="AM702" t="s">
        <v>90</v>
      </c>
      <c r="AN702" s="1">
        <v>45640</v>
      </c>
      <c r="AO702">
        <v>2024</v>
      </c>
      <c r="AP702">
        <v>12</v>
      </c>
      <c r="AQ702" t="s">
        <v>116</v>
      </c>
      <c r="AS702" t="s">
        <v>85</v>
      </c>
      <c r="AT702">
        <v>2025</v>
      </c>
      <c r="AU702" t="s">
        <v>1202</v>
      </c>
      <c r="AV702" t="s">
        <v>91</v>
      </c>
      <c r="AW702" t="s">
        <v>4150</v>
      </c>
      <c r="AX702">
        <v>2025</v>
      </c>
      <c r="AY702" t="s">
        <v>4011</v>
      </c>
      <c r="AZ702" t="s">
        <v>4011</v>
      </c>
    </row>
    <row r="703" spans="1:52" x14ac:dyDescent="0.25">
      <c r="A703" t="s">
        <v>4152</v>
      </c>
      <c r="B703" s="1">
        <v>36786</v>
      </c>
      <c r="C703" t="s">
        <v>4153</v>
      </c>
      <c r="D703">
        <v>489854</v>
      </c>
      <c r="E703" t="s">
        <v>46</v>
      </c>
      <c r="F703" t="s">
        <v>582</v>
      </c>
      <c r="G703" t="s">
        <v>394</v>
      </c>
      <c r="H703" t="s">
        <v>4153</v>
      </c>
      <c r="I703" t="s">
        <v>666</v>
      </c>
      <c r="J703">
        <v>110</v>
      </c>
      <c r="K703">
        <v>115</v>
      </c>
      <c r="L703">
        <v>-120</v>
      </c>
      <c r="M703">
        <v>115</v>
      </c>
      <c r="N703">
        <v>225</v>
      </c>
      <c r="O703" t="s">
        <v>60</v>
      </c>
      <c r="P703">
        <v>140</v>
      </c>
      <c r="Q703">
        <v>145</v>
      </c>
      <c r="R703">
        <v>-153</v>
      </c>
      <c r="S703">
        <v>145</v>
      </c>
      <c r="T703">
        <v>285</v>
      </c>
      <c r="U703" t="s">
        <v>60</v>
      </c>
      <c r="V703">
        <f t="shared" si="30"/>
        <v>4</v>
      </c>
      <c r="W703">
        <f t="shared" si="31"/>
        <v>0</v>
      </c>
      <c r="X703">
        <f t="shared" si="32"/>
        <v>0</v>
      </c>
      <c r="Y703">
        <v>260</v>
      </c>
      <c r="Z703">
        <v>510</v>
      </c>
      <c r="AA703" t="s">
        <v>2135</v>
      </c>
      <c r="AB703" t="s">
        <v>4154</v>
      </c>
      <c r="AC703" t="s">
        <v>89</v>
      </c>
      <c r="AD703">
        <v>5</v>
      </c>
      <c r="AE703">
        <v>81</v>
      </c>
      <c r="AF703" t="s">
        <v>126</v>
      </c>
      <c r="AH703" t="s">
        <v>138</v>
      </c>
      <c r="AI703">
        <v>345.63</v>
      </c>
      <c r="AJ703" t="s">
        <v>52</v>
      </c>
      <c r="AK703" t="s">
        <v>582</v>
      </c>
      <c r="AL703" t="s">
        <v>585</v>
      </c>
      <c r="AM703" t="s">
        <v>170</v>
      </c>
      <c r="AN703" s="1">
        <v>45640</v>
      </c>
      <c r="AO703">
        <v>2024</v>
      </c>
      <c r="AP703">
        <v>12</v>
      </c>
      <c r="AQ703" t="s">
        <v>116</v>
      </c>
      <c r="AS703" t="s">
        <v>85</v>
      </c>
      <c r="AT703">
        <v>2025</v>
      </c>
      <c r="AU703" t="s">
        <v>394</v>
      </c>
      <c r="AV703" t="s">
        <v>170</v>
      </c>
      <c r="AW703" t="s">
        <v>4153</v>
      </c>
      <c r="AX703">
        <v>2025</v>
      </c>
      <c r="AY703" t="s">
        <v>2135</v>
      </c>
      <c r="AZ703" t="s">
        <v>2135</v>
      </c>
    </row>
    <row r="704" spans="1:52" x14ac:dyDescent="0.25">
      <c r="A704" t="s">
        <v>4155</v>
      </c>
      <c r="B704" s="1">
        <v>36902</v>
      </c>
      <c r="C704" t="s">
        <v>4156</v>
      </c>
      <c r="D704">
        <v>489974</v>
      </c>
      <c r="E704" t="s">
        <v>46</v>
      </c>
      <c r="F704" t="s">
        <v>1254</v>
      </c>
      <c r="G704" t="s">
        <v>417</v>
      </c>
      <c r="H704" t="s">
        <v>4156</v>
      </c>
      <c r="I704" t="s">
        <v>654</v>
      </c>
      <c r="J704">
        <v>113</v>
      </c>
      <c r="K704">
        <v>118</v>
      </c>
      <c r="L704">
        <v>123</v>
      </c>
      <c r="M704">
        <v>123</v>
      </c>
      <c r="N704">
        <v>241</v>
      </c>
      <c r="O704" t="s">
        <v>48</v>
      </c>
      <c r="P704">
        <v>140</v>
      </c>
      <c r="Q704">
        <v>147</v>
      </c>
      <c r="R704">
        <v>-152</v>
      </c>
      <c r="S704">
        <v>147</v>
      </c>
      <c r="T704">
        <v>287</v>
      </c>
      <c r="U704" t="s">
        <v>60</v>
      </c>
      <c r="V704">
        <f t="shared" si="30"/>
        <v>5</v>
      </c>
      <c r="W704">
        <f t="shared" si="31"/>
        <v>0</v>
      </c>
      <c r="X704">
        <f t="shared" si="32"/>
        <v>0</v>
      </c>
      <c r="Y704">
        <v>270</v>
      </c>
      <c r="Z704">
        <v>528</v>
      </c>
      <c r="AA704" t="s">
        <v>4157</v>
      </c>
      <c r="AB704" t="s">
        <v>4158</v>
      </c>
      <c r="AC704" t="s">
        <v>89</v>
      </c>
      <c r="AD704">
        <v>5</v>
      </c>
      <c r="AE704">
        <v>81</v>
      </c>
      <c r="AF704" t="s">
        <v>126</v>
      </c>
      <c r="AH704" t="s">
        <v>138</v>
      </c>
      <c r="AI704">
        <v>347.2</v>
      </c>
      <c r="AJ704" t="s">
        <v>52</v>
      </c>
      <c r="AK704" t="s">
        <v>1254</v>
      </c>
      <c r="AL704" t="s">
        <v>1256</v>
      </c>
      <c r="AM704" t="s">
        <v>72</v>
      </c>
      <c r="AN704" s="1">
        <v>45640</v>
      </c>
      <c r="AO704">
        <v>2024</v>
      </c>
      <c r="AP704">
        <v>12</v>
      </c>
      <c r="AQ704" t="s">
        <v>116</v>
      </c>
      <c r="AS704" t="s">
        <v>85</v>
      </c>
      <c r="AT704">
        <v>2025</v>
      </c>
      <c r="AU704" t="s">
        <v>417</v>
      </c>
      <c r="AV704" t="s">
        <v>72</v>
      </c>
      <c r="AW704" t="s">
        <v>4156</v>
      </c>
      <c r="AX704">
        <v>2025</v>
      </c>
      <c r="AY704" t="s">
        <v>4157</v>
      </c>
      <c r="AZ704" t="s">
        <v>4157</v>
      </c>
    </row>
    <row r="705" spans="1:52" x14ac:dyDescent="0.25">
      <c r="A705" t="s">
        <v>4163</v>
      </c>
      <c r="B705" s="1">
        <v>33883</v>
      </c>
      <c r="C705" t="s">
        <v>4164</v>
      </c>
      <c r="D705">
        <v>468517</v>
      </c>
      <c r="E705" t="s">
        <v>46</v>
      </c>
      <c r="F705" t="s">
        <v>390</v>
      </c>
      <c r="G705" t="s">
        <v>386</v>
      </c>
      <c r="H705" t="s">
        <v>4164</v>
      </c>
      <c r="I705" t="s">
        <v>670</v>
      </c>
      <c r="J705">
        <v>98</v>
      </c>
      <c r="K705">
        <v>102</v>
      </c>
      <c r="L705">
        <v>105</v>
      </c>
      <c r="M705">
        <v>105</v>
      </c>
      <c r="N705">
        <v>207</v>
      </c>
      <c r="O705" t="s">
        <v>48</v>
      </c>
      <c r="P705">
        <v>115</v>
      </c>
      <c r="Q705">
        <v>120</v>
      </c>
      <c r="R705">
        <v>-125</v>
      </c>
      <c r="S705">
        <v>120</v>
      </c>
      <c r="T705">
        <v>235</v>
      </c>
      <c r="U705" t="s">
        <v>60</v>
      </c>
      <c r="V705">
        <f t="shared" si="30"/>
        <v>5</v>
      </c>
      <c r="W705">
        <f t="shared" si="31"/>
        <v>0</v>
      </c>
      <c r="X705">
        <f t="shared" si="32"/>
        <v>0</v>
      </c>
      <c r="Y705">
        <v>225</v>
      </c>
      <c r="Z705">
        <v>442</v>
      </c>
      <c r="AA705" t="s">
        <v>4165</v>
      </c>
      <c r="AB705" t="s">
        <v>4166</v>
      </c>
      <c r="AC705" t="s">
        <v>89</v>
      </c>
      <c r="AD705">
        <v>5</v>
      </c>
      <c r="AE705">
        <v>67</v>
      </c>
      <c r="AF705" t="s">
        <v>126</v>
      </c>
      <c r="AH705" t="s">
        <v>401</v>
      </c>
      <c r="AI705">
        <v>320.55</v>
      </c>
      <c r="AJ705" t="s">
        <v>52</v>
      </c>
      <c r="AK705" t="s">
        <v>390</v>
      </c>
      <c r="AL705" t="s">
        <v>392</v>
      </c>
      <c r="AM705" t="s">
        <v>170</v>
      </c>
      <c r="AN705" s="1">
        <v>45641</v>
      </c>
      <c r="AO705">
        <v>2024</v>
      </c>
      <c r="AP705">
        <v>12</v>
      </c>
      <c r="AQ705" t="s">
        <v>116</v>
      </c>
      <c r="AS705" t="s">
        <v>85</v>
      </c>
      <c r="AT705">
        <v>2025</v>
      </c>
      <c r="AU705" t="s">
        <v>386</v>
      </c>
      <c r="AV705" t="s">
        <v>170</v>
      </c>
      <c r="AW705" t="s">
        <v>4164</v>
      </c>
      <c r="AX705">
        <v>2025</v>
      </c>
      <c r="AY705" t="s">
        <v>4165</v>
      </c>
      <c r="AZ705" t="s">
        <v>4165</v>
      </c>
    </row>
    <row r="706" spans="1:52" x14ac:dyDescent="0.25">
      <c r="A706" t="s">
        <v>4167</v>
      </c>
      <c r="B706" s="1">
        <v>29554</v>
      </c>
      <c r="C706" t="s">
        <v>4168</v>
      </c>
      <c r="D706">
        <v>467304</v>
      </c>
      <c r="E706" t="s">
        <v>46</v>
      </c>
      <c r="F706" t="s">
        <v>232</v>
      </c>
      <c r="G706" t="s">
        <v>258</v>
      </c>
      <c r="H706" t="s">
        <v>4168</v>
      </c>
      <c r="I706" t="s">
        <v>288</v>
      </c>
      <c r="J706">
        <v>65</v>
      </c>
      <c r="K706">
        <v>-68</v>
      </c>
      <c r="L706">
        <v>-68</v>
      </c>
      <c r="M706">
        <v>65</v>
      </c>
      <c r="N706">
        <v>0</v>
      </c>
      <c r="O706" t="s">
        <v>55</v>
      </c>
      <c r="P706">
        <v>80</v>
      </c>
      <c r="Q706">
        <v>82</v>
      </c>
      <c r="R706">
        <v>-85</v>
      </c>
      <c r="S706">
        <v>82</v>
      </c>
      <c r="T706">
        <v>162</v>
      </c>
      <c r="U706" t="s">
        <v>60</v>
      </c>
      <c r="V706">
        <f t="shared" si="30"/>
        <v>3</v>
      </c>
      <c r="W706">
        <f t="shared" si="31"/>
        <v>0</v>
      </c>
      <c r="X706">
        <f t="shared" si="32"/>
        <v>0</v>
      </c>
      <c r="Y706">
        <v>147</v>
      </c>
      <c r="Z706">
        <v>162</v>
      </c>
      <c r="AA706" t="s">
        <v>2648</v>
      </c>
      <c r="AB706" t="s">
        <v>2350</v>
      </c>
      <c r="AC706" t="s">
        <v>89</v>
      </c>
      <c r="AD706">
        <v>5</v>
      </c>
      <c r="AE706">
        <v>64</v>
      </c>
      <c r="AF706" t="s">
        <v>126</v>
      </c>
      <c r="AG706">
        <v>45</v>
      </c>
      <c r="AH706" t="s">
        <v>167</v>
      </c>
      <c r="AI706">
        <v>191.31</v>
      </c>
      <c r="AJ706" t="s">
        <v>132</v>
      </c>
      <c r="AK706" t="s">
        <v>232</v>
      </c>
      <c r="AL706" t="s">
        <v>236</v>
      </c>
      <c r="AM706" t="s">
        <v>128</v>
      </c>
      <c r="AN706" s="1">
        <v>45640</v>
      </c>
      <c r="AO706">
        <v>2024</v>
      </c>
      <c r="AP706">
        <v>12</v>
      </c>
      <c r="AQ706" t="s">
        <v>116</v>
      </c>
      <c r="AS706" t="s">
        <v>85</v>
      </c>
      <c r="AT706">
        <v>2025</v>
      </c>
      <c r="AU706" t="s">
        <v>258</v>
      </c>
      <c r="AV706" t="s">
        <v>128</v>
      </c>
      <c r="AW706" t="s">
        <v>4168</v>
      </c>
      <c r="AX706">
        <v>2025</v>
      </c>
      <c r="AY706" t="s">
        <v>978</v>
      </c>
      <c r="AZ706" t="s">
        <v>4169</v>
      </c>
    </row>
    <row r="707" spans="1:52" x14ac:dyDescent="0.25">
      <c r="A707" t="s">
        <v>4170</v>
      </c>
      <c r="B707" s="1">
        <v>31957</v>
      </c>
      <c r="C707" t="s">
        <v>4171</v>
      </c>
      <c r="D707">
        <v>440699</v>
      </c>
      <c r="E707" t="s">
        <v>46</v>
      </c>
      <c r="F707" t="s">
        <v>859</v>
      </c>
      <c r="G707" t="s">
        <v>120</v>
      </c>
      <c r="H707" t="s">
        <v>4171</v>
      </c>
      <c r="I707">
        <v>94</v>
      </c>
      <c r="J707">
        <v>60</v>
      </c>
      <c r="K707">
        <v>65</v>
      </c>
      <c r="L707">
        <v>-68</v>
      </c>
      <c r="M707">
        <v>65</v>
      </c>
      <c r="N707">
        <v>125</v>
      </c>
      <c r="O707" t="s">
        <v>60</v>
      </c>
      <c r="P707">
        <v>85</v>
      </c>
      <c r="Q707">
        <v>90</v>
      </c>
      <c r="R707">
        <v>-95</v>
      </c>
      <c r="S707">
        <v>90</v>
      </c>
      <c r="T707">
        <v>175</v>
      </c>
      <c r="U707" t="s">
        <v>60</v>
      </c>
      <c r="V707">
        <f t="shared" ref="V707:V769" si="33">IF(O707="OOO",3,IF(O707="XXX",0,IF(OR(O707="OOX",O707="OXO",O707="XOO"),2,1)))+IF(U707="OOO",3,IF(U707="XXX",0,IF(OR(U707="OOX",U707="OXO",U707="XOO"),2,1)))</f>
        <v>4</v>
      </c>
      <c r="W707">
        <f t="shared" ref="W707:W769" si="34">IF(OR(O707="XXO",U707="XXO"),1,0)</f>
        <v>0</v>
      </c>
      <c r="X707">
        <f t="shared" ref="X707:X769" si="35">IF(AND(O707="XXO",U707="XXO"),1,0)</f>
        <v>0</v>
      </c>
      <c r="Y707">
        <v>155</v>
      </c>
      <c r="Z707">
        <v>300</v>
      </c>
      <c r="AA707" t="s">
        <v>4173</v>
      </c>
      <c r="AB707" t="s">
        <v>4174</v>
      </c>
      <c r="AC707" t="s">
        <v>93</v>
      </c>
      <c r="AD707">
        <v>6</v>
      </c>
      <c r="AE707" t="s">
        <v>135</v>
      </c>
      <c r="AF707" t="s">
        <v>126</v>
      </c>
      <c r="AG707">
        <v>35</v>
      </c>
      <c r="AH707" t="s">
        <v>136</v>
      </c>
      <c r="AI707">
        <v>168.37</v>
      </c>
      <c r="AJ707" t="s">
        <v>132</v>
      </c>
      <c r="AK707" t="s">
        <v>859</v>
      </c>
      <c r="AL707" t="s">
        <v>862</v>
      </c>
      <c r="AM707" t="s">
        <v>123</v>
      </c>
      <c r="AN707" s="1">
        <v>45640</v>
      </c>
      <c r="AO707">
        <v>2024</v>
      </c>
      <c r="AP707">
        <v>12</v>
      </c>
      <c r="AQ707" t="s">
        <v>116</v>
      </c>
      <c r="AS707" t="s">
        <v>85</v>
      </c>
      <c r="AT707">
        <v>2025</v>
      </c>
      <c r="AU707" t="s">
        <v>120</v>
      </c>
      <c r="AV707" t="s">
        <v>123</v>
      </c>
      <c r="AW707" t="s">
        <v>4171</v>
      </c>
      <c r="AX707">
        <v>2025</v>
      </c>
      <c r="AY707" t="s">
        <v>4172</v>
      </c>
      <c r="AZ707" t="s">
        <v>4173</v>
      </c>
    </row>
    <row r="708" spans="1:52" x14ac:dyDescent="0.25">
      <c r="A708" t="s">
        <v>4175</v>
      </c>
      <c r="B708" s="1">
        <v>36237</v>
      </c>
      <c r="C708" t="s">
        <v>4176</v>
      </c>
      <c r="D708">
        <v>277015</v>
      </c>
      <c r="E708" t="s">
        <v>46</v>
      </c>
      <c r="F708" t="s">
        <v>948</v>
      </c>
      <c r="G708" t="s">
        <v>792</v>
      </c>
      <c r="H708" t="s">
        <v>4176</v>
      </c>
      <c r="I708" t="s">
        <v>309</v>
      </c>
      <c r="J708">
        <v>-65</v>
      </c>
      <c r="K708">
        <v>65</v>
      </c>
      <c r="L708">
        <v>-70</v>
      </c>
      <c r="M708">
        <v>65</v>
      </c>
      <c r="N708">
        <v>0</v>
      </c>
      <c r="O708" t="s">
        <v>104</v>
      </c>
      <c r="P708">
        <v>-80</v>
      </c>
      <c r="Q708">
        <v>81</v>
      </c>
      <c r="R708">
        <v>-85</v>
      </c>
      <c r="S708">
        <v>81</v>
      </c>
      <c r="T708">
        <v>0</v>
      </c>
      <c r="U708" t="s">
        <v>104</v>
      </c>
      <c r="V708">
        <f t="shared" si="33"/>
        <v>2</v>
      </c>
      <c r="W708">
        <f t="shared" si="34"/>
        <v>0</v>
      </c>
      <c r="X708">
        <f t="shared" si="35"/>
        <v>0</v>
      </c>
      <c r="Y708">
        <v>146</v>
      </c>
      <c r="Z708">
        <v>0</v>
      </c>
      <c r="AA708" t="s">
        <v>4178</v>
      </c>
      <c r="AB708" t="s">
        <v>99</v>
      </c>
      <c r="AC708" t="s">
        <v>93</v>
      </c>
      <c r="AD708">
        <v>6</v>
      </c>
      <c r="AE708">
        <v>71</v>
      </c>
      <c r="AF708" t="s">
        <v>126</v>
      </c>
      <c r="AH708" t="s">
        <v>226</v>
      </c>
      <c r="AI708">
        <v>181.5</v>
      </c>
      <c r="AJ708" t="s">
        <v>132</v>
      </c>
      <c r="AK708" t="s">
        <v>948</v>
      </c>
      <c r="AL708" t="s">
        <v>949</v>
      </c>
      <c r="AM708" t="s">
        <v>133</v>
      </c>
      <c r="AN708" s="1">
        <v>45640</v>
      </c>
      <c r="AO708">
        <v>2024</v>
      </c>
      <c r="AP708">
        <v>12</v>
      </c>
      <c r="AQ708" t="s">
        <v>116</v>
      </c>
      <c r="AS708" t="s">
        <v>85</v>
      </c>
      <c r="AT708">
        <v>2025</v>
      </c>
      <c r="AU708" t="s">
        <v>792</v>
      </c>
      <c r="AV708" t="s">
        <v>133</v>
      </c>
      <c r="AW708" t="s">
        <v>4176</v>
      </c>
      <c r="AX708">
        <v>2025</v>
      </c>
      <c r="AY708" t="s">
        <v>4177</v>
      </c>
      <c r="AZ708" t="s">
        <v>4178</v>
      </c>
    </row>
    <row r="709" spans="1:52" x14ac:dyDescent="0.25">
      <c r="A709" t="s">
        <v>4179</v>
      </c>
      <c r="B709" s="1">
        <v>40658</v>
      </c>
      <c r="C709" t="s">
        <v>4180</v>
      </c>
      <c r="D709">
        <v>476348</v>
      </c>
      <c r="E709" t="s">
        <v>46</v>
      </c>
      <c r="F709" t="s">
        <v>263</v>
      </c>
      <c r="G709" t="s">
        <v>544</v>
      </c>
      <c r="H709" t="s">
        <v>4180</v>
      </c>
      <c r="I709" t="s">
        <v>1133</v>
      </c>
      <c r="J709">
        <v>38</v>
      </c>
      <c r="K709">
        <v>-41</v>
      </c>
      <c r="L709">
        <v>42</v>
      </c>
      <c r="M709">
        <v>42</v>
      </c>
      <c r="N709">
        <v>80</v>
      </c>
      <c r="O709" t="s">
        <v>65</v>
      </c>
      <c r="P709">
        <v>48</v>
      </c>
      <c r="Q709">
        <v>-51</v>
      </c>
      <c r="R709">
        <v>-51</v>
      </c>
      <c r="S709">
        <v>48</v>
      </c>
      <c r="T709">
        <v>0</v>
      </c>
      <c r="U709" t="s">
        <v>55</v>
      </c>
      <c r="V709">
        <f t="shared" si="33"/>
        <v>3</v>
      </c>
      <c r="W709">
        <f t="shared" si="34"/>
        <v>0</v>
      </c>
      <c r="X709">
        <f t="shared" si="35"/>
        <v>0</v>
      </c>
      <c r="Y709">
        <v>90</v>
      </c>
      <c r="Z709">
        <v>80</v>
      </c>
      <c r="AA709" t="s">
        <v>2504</v>
      </c>
      <c r="AB709" t="s">
        <v>4182</v>
      </c>
      <c r="AC709" t="s">
        <v>94</v>
      </c>
      <c r="AD709">
        <v>4</v>
      </c>
      <c r="AE709">
        <v>45</v>
      </c>
      <c r="AF709" t="s">
        <v>57</v>
      </c>
      <c r="AH709" t="s">
        <v>313</v>
      </c>
      <c r="AI709">
        <v>152.49</v>
      </c>
      <c r="AJ709" t="s">
        <v>132</v>
      </c>
      <c r="AK709" t="s">
        <v>263</v>
      </c>
      <c r="AL709" t="s">
        <v>267</v>
      </c>
      <c r="AM709" t="s">
        <v>145</v>
      </c>
      <c r="AN709" s="1">
        <v>45640</v>
      </c>
      <c r="AO709">
        <v>2024</v>
      </c>
      <c r="AP709">
        <v>12</v>
      </c>
      <c r="AQ709" t="s">
        <v>116</v>
      </c>
      <c r="AS709" t="s">
        <v>85</v>
      </c>
      <c r="AT709">
        <v>2025</v>
      </c>
      <c r="AU709" t="s">
        <v>544</v>
      </c>
      <c r="AV709" t="s">
        <v>145</v>
      </c>
      <c r="AW709" t="s">
        <v>4180</v>
      </c>
      <c r="AX709">
        <v>2025</v>
      </c>
      <c r="AY709" t="s">
        <v>4181</v>
      </c>
      <c r="AZ709" t="s">
        <v>4181</v>
      </c>
    </row>
    <row r="710" spans="1:52" x14ac:dyDescent="0.25">
      <c r="A710" t="s">
        <v>4183</v>
      </c>
      <c r="B710" s="1">
        <v>30139</v>
      </c>
      <c r="C710" t="s">
        <v>4184</v>
      </c>
      <c r="D710">
        <v>481962</v>
      </c>
      <c r="E710" t="s">
        <v>46</v>
      </c>
      <c r="F710" t="s">
        <v>859</v>
      </c>
      <c r="G710" t="s">
        <v>766</v>
      </c>
      <c r="H710" t="s">
        <v>4184</v>
      </c>
      <c r="I710" t="s">
        <v>652</v>
      </c>
      <c r="J710">
        <v>97</v>
      </c>
      <c r="K710">
        <v>102</v>
      </c>
      <c r="L710">
        <v>-105</v>
      </c>
      <c r="M710">
        <v>102</v>
      </c>
      <c r="N710">
        <v>199</v>
      </c>
      <c r="O710" t="s">
        <v>60</v>
      </c>
      <c r="P710">
        <v>125</v>
      </c>
      <c r="Q710">
        <v>-130</v>
      </c>
      <c r="R710">
        <v>130</v>
      </c>
      <c r="S710">
        <v>130</v>
      </c>
      <c r="T710">
        <v>255</v>
      </c>
      <c r="U710" t="s">
        <v>65</v>
      </c>
      <c r="V710">
        <f t="shared" si="33"/>
        <v>4</v>
      </c>
      <c r="W710">
        <f t="shared" si="34"/>
        <v>0</v>
      </c>
      <c r="X710">
        <f t="shared" si="35"/>
        <v>0</v>
      </c>
      <c r="Y710">
        <v>232</v>
      </c>
      <c r="Z710">
        <v>454</v>
      </c>
      <c r="AA710" t="s">
        <v>3658</v>
      </c>
      <c r="AB710" t="s">
        <v>4185</v>
      </c>
      <c r="AC710" t="s">
        <v>93</v>
      </c>
      <c r="AD710">
        <v>6</v>
      </c>
      <c r="AE710">
        <v>89</v>
      </c>
      <c r="AF710" t="s">
        <v>126</v>
      </c>
      <c r="AG710">
        <v>40</v>
      </c>
      <c r="AH710" t="s">
        <v>155</v>
      </c>
      <c r="AI710">
        <v>280.89</v>
      </c>
      <c r="AJ710" t="s">
        <v>52</v>
      </c>
      <c r="AK710" t="s">
        <v>859</v>
      </c>
      <c r="AL710" t="s">
        <v>862</v>
      </c>
      <c r="AM710" t="s">
        <v>123</v>
      </c>
      <c r="AN710" s="1">
        <v>45640</v>
      </c>
      <c r="AO710">
        <v>2024</v>
      </c>
      <c r="AP710">
        <v>12</v>
      </c>
      <c r="AQ710" t="s">
        <v>116</v>
      </c>
      <c r="AS710" t="s">
        <v>85</v>
      </c>
      <c r="AT710">
        <v>2025</v>
      </c>
      <c r="AU710" t="s">
        <v>766</v>
      </c>
      <c r="AV710" t="s">
        <v>123</v>
      </c>
      <c r="AW710" t="s">
        <v>4184</v>
      </c>
      <c r="AX710">
        <v>2025</v>
      </c>
      <c r="AY710" t="s">
        <v>3658</v>
      </c>
      <c r="AZ710" t="s">
        <v>3658</v>
      </c>
    </row>
    <row r="711" spans="1:52" x14ac:dyDescent="0.25">
      <c r="A711" t="s">
        <v>4186</v>
      </c>
      <c r="B711" s="1">
        <v>38687</v>
      </c>
      <c r="C711" t="s">
        <v>4187</v>
      </c>
      <c r="D711">
        <v>448770</v>
      </c>
      <c r="E711" t="s">
        <v>46</v>
      </c>
      <c r="F711" t="s">
        <v>859</v>
      </c>
      <c r="G711" t="s">
        <v>120</v>
      </c>
      <c r="H711" t="s">
        <v>4187</v>
      </c>
      <c r="I711">
        <v>81</v>
      </c>
      <c r="J711">
        <v>105</v>
      </c>
      <c r="K711">
        <v>110</v>
      </c>
      <c r="L711">
        <v>115</v>
      </c>
      <c r="M711">
        <v>115</v>
      </c>
      <c r="N711">
        <v>225</v>
      </c>
      <c r="O711" t="s">
        <v>48</v>
      </c>
      <c r="P711">
        <v>130</v>
      </c>
      <c r="Q711">
        <v>135</v>
      </c>
      <c r="R711">
        <v>138</v>
      </c>
      <c r="S711">
        <v>138</v>
      </c>
      <c r="T711">
        <v>273</v>
      </c>
      <c r="U711" t="s">
        <v>48</v>
      </c>
      <c r="V711">
        <f t="shared" si="33"/>
        <v>6</v>
      </c>
      <c r="W711">
        <f t="shared" si="34"/>
        <v>0</v>
      </c>
      <c r="X711">
        <f t="shared" si="35"/>
        <v>0</v>
      </c>
      <c r="Y711">
        <v>253</v>
      </c>
      <c r="Z711">
        <v>498</v>
      </c>
      <c r="AA711" t="s">
        <v>4188</v>
      </c>
      <c r="AB711" t="s">
        <v>4189</v>
      </c>
      <c r="AC711" t="s">
        <v>94</v>
      </c>
      <c r="AD711">
        <v>4</v>
      </c>
      <c r="AE711">
        <v>81</v>
      </c>
      <c r="AF711" t="s">
        <v>113</v>
      </c>
      <c r="AH711" t="s">
        <v>252</v>
      </c>
      <c r="AI711">
        <v>321.08999999999997</v>
      </c>
      <c r="AJ711" t="s">
        <v>52</v>
      </c>
      <c r="AK711" t="s">
        <v>859</v>
      </c>
      <c r="AL711" t="s">
        <v>862</v>
      </c>
      <c r="AM711" t="s">
        <v>123</v>
      </c>
      <c r="AN711" s="1">
        <v>45640</v>
      </c>
      <c r="AO711">
        <v>2024</v>
      </c>
      <c r="AP711">
        <v>12</v>
      </c>
      <c r="AQ711" t="s">
        <v>116</v>
      </c>
      <c r="AS711" t="s">
        <v>85</v>
      </c>
      <c r="AT711">
        <v>2025</v>
      </c>
      <c r="AU711" t="s">
        <v>120</v>
      </c>
      <c r="AV711" t="s">
        <v>123</v>
      </c>
      <c r="AW711" t="s">
        <v>4187</v>
      </c>
      <c r="AX711">
        <v>2025</v>
      </c>
      <c r="AY711" t="s">
        <v>4188</v>
      </c>
      <c r="AZ711" t="s">
        <v>4188</v>
      </c>
    </row>
    <row r="712" spans="1:52" x14ac:dyDescent="0.25">
      <c r="A712" t="s">
        <v>4190</v>
      </c>
      <c r="B712" s="1">
        <v>39302</v>
      </c>
      <c r="C712" t="s">
        <v>4191</v>
      </c>
      <c r="D712">
        <v>461765</v>
      </c>
      <c r="E712" t="s">
        <v>46</v>
      </c>
      <c r="F712" t="s">
        <v>1300</v>
      </c>
      <c r="G712" t="s">
        <v>168</v>
      </c>
      <c r="H712" t="s">
        <v>4191</v>
      </c>
      <c r="I712" t="s">
        <v>468</v>
      </c>
      <c r="J712">
        <v>77</v>
      </c>
      <c r="K712">
        <v>-79</v>
      </c>
      <c r="L712">
        <v>80</v>
      </c>
      <c r="M712">
        <v>80</v>
      </c>
      <c r="N712">
        <v>157</v>
      </c>
      <c r="O712" t="s">
        <v>65</v>
      </c>
      <c r="P712">
        <v>87</v>
      </c>
      <c r="Q712">
        <v>90</v>
      </c>
      <c r="R712">
        <v>-93</v>
      </c>
      <c r="S712">
        <v>90</v>
      </c>
      <c r="T712">
        <v>177</v>
      </c>
      <c r="U712" t="s">
        <v>60</v>
      </c>
      <c r="V712">
        <f t="shared" si="33"/>
        <v>4</v>
      </c>
      <c r="W712">
        <f t="shared" si="34"/>
        <v>0</v>
      </c>
      <c r="X712">
        <f t="shared" si="35"/>
        <v>0</v>
      </c>
      <c r="Y712">
        <v>170</v>
      </c>
      <c r="Z712">
        <v>334</v>
      </c>
      <c r="AA712" t="s">
        <v>4193</v>
      </c>
      <c r="AB712" t="s">
        <v>4194</v>
      </c>
      <c r="AC712" t="s">
        <v>98</v>
      </c>
      <c r="AD712">
        <v>3</v>
      </c>
      <c r="AE712">
        <v>71</v>
      </c>
      <c r="AF712" t="s">
        <v>113</v>
      </c>
      <c r="AH712" t="s">
        <v>305</v>
      </c>
      <c r="AI712">
        <v>212.39</v>
      </c>
      <c r="AJ712" t="s">
        <v>132</v>
      </c>
      <c r="AK712" t="s">
        <v>1300</v>
      </c>
      <c r="AL712" t="s">
        <v>1302</v>
      </c>
      <c r="AM712" t="s">
        <v>170</v>
      </c>
      <c r="AN712" s="1">
        <v>45640</v>
      </c>
      <c r="AO712">
        <v>2024</v>
      </c>
      <c r="AP712">
        <v>12</v>
      </c>
      <c r="AQ712" t="s">
        <v>116</v>
      </c>
      <c r="AS712" t="s">
        <v>85</v>
      </c>
      <c r="AT712">
        <v>2025</v>
      </c>
      <c r="AU712" t="s">
        <v>168</v>
      </c>
      <c r="AV712" t="s">
        <v>170</v>
      </c>
      <c r="AW712" t="s">
        <v>4191</v>
      </c>
      <c r="AX712">
        <v>2025</v>
      </c>
      <c r="AY712" t="s">
        <v>4192</v>
      </c>
      <c r="AZ712" t="s">
        <v>4193</v>
      </c>
    </row>
    <row r="713" spans="1:52" x14ac:dyDescent="0.25">
      <c r="A713" t="s">
        <v>4195</v>
      </c>
      <c r="B713" s="1">
        <v>37266</v>
      </c>
      <c r="C713" t="s">
        <v>4196</v>
      </c>
      <c r="D713">
        <v>355921</v>
      </c>
      <c r="E713" t="s">
        <v>46</v>
      </c>
      <c r="F713" t="s">
        <v>1737</v>
      </c>
      <c r="G713" t="s">
        <v>419</v>
      </c>
      <c r="H713" t="s">
        <v>4196</v>
      </c>
      <c r="I713" t="s">
        <v>1205</v>
      </c>
      <c r="J713">
        <v>122</v>
      </c>
      <c r="K713">
        <v>127</v>
      </c>
      <c r="L713">
        <v>130</v>
      </c>
      <c r="M713">
        <v>130</v>
      </c>
      <c r="N713">
        <v>257</v>
      </c>
      <c r="O713" t="s">
        <v>48</v>
      </c>
      <c r="P713">
        <v>-150</v>
      </c>
      <c r="Q713">
        <v>157</v>
      </c>
      <c r="R713">
        <v>-160</v>
      </c>
      <c r="S713">
        <v>157</v>
      </c>
      <c r="T713">
        <v>0</v>
      </c>
      <c r="U713" t="s">
        <v>104</v>
      </c>
      <c r="V713">
        <f t="shared" si="33"/>
        <v>4</v>
      </c>
      <c r="W713">
        <f t="shared" si="34"/>
        <v>0</v>
      </c>
      <c r="X713">
        <f t="shared" si="35"/>
        <v>0</v>
      </c>
      <c r="Y713">
        <v>287</v>
      </c>
      <c r="Z713">
        <v>257</v>
      </c>
      <c r="AA713" t="s">
        <v>4197</v>
      </c>
      <c r="AB713" t="s">
        <v>4198</v>
      </c>
      <c r="AC713" t="s">
        <v>94</v>
      </c>
      <c r="AD713">
        <v>4</v>
      </c>
      <c r="AE713">
        <v>89</v>
      </c>
      <c r="AF713" t="s">
        <v>126</v>
      </c>
      <c r="AH713" t="s">
        <v>155</v>
      </c>
      <c r="AI713">
        <v>349.93</v>
      </c>
      <c r="AJ713" t="s">
        <v>52</v>
      </c>
      <c r="AK713" t="s">
        <v>1737</v>
      </c>
      <c r="AL713" t="s">
        <v>1739</v>
      </c>
      <c r="AM713" t="s">
        <v>133</v>
      </c>
      <c r="AN713" s="1">
        <v>45640</v>
      </c>
      <c r="AO713">
        <v>2024</v>
      </c>
      <c r="AP713">
        <v>12</v>
      </c>
      <c r="AQ713" t="s">
        <v>116</v>
      </c>
      <c r="AS713" t="s">
        <v>85</v>
      </c>
      <c r="AT713">
        <v>2025</v>
      </c>
      <c r="AU713" t="s">
        <v>419</v>
      </c>
      <c r="AV713" t="s">
        <v>133</v>
      </c>
      <c r="AW713" t="s">
        <v>4196</v>
      </c>
      <c r="AX713">
        <v>2025</v>
      </c>
      <c r="AY713" t="s">
        <v>4197</v>
      </c>
      <c r="AZ713" t="s">
        <v>4197</v>
      </c>
    </row>
    <row r="714" spans="1:52" x14ac:dyDescent="0.25">
      <c r="A714" t="s">
        <v>4233</v>
      </c>
      <c r="B714" s="1">
        <v>38499</v>
      </c>
      <c r="C714" t="s">
        <v>4234</v>
      </c>
      <c r="D714">
        <v>380190</v>
      </c>
      <c r="E714" t="s">
        <v>46</v>
      </c>
      <c r="F714" t="s">
        <v>360</v>
      </c>
      <c r="G714" t="s">
        <v>134</v>
      </c>
      <c r="H714" t="s">
        <v>4234</v>
      </c>
      <c r="I714" t="s">
        <v>2998</v>
      </c>
      <c r="J714">
        <v>70</v>
      </c>
      <c r="K714">
        <v>72</v>
      </c>
      <c r="L714">
        <v>-74</v>
      </c>
      <c r="M714">
        <v>72</v>
      </c>
      <c r="N714">
        <v>142</v>
      </c>
      <c r="O714" t="s">
        <v>60</v>
      </c>
      <c r="P714">
        <v>84</v>
      </c>
      <c r="Q714">
        <v>-87</v>
      </c>
      <c r="R714">
        <v>87</v>
      </c>
      <c r="S714">
        <v>87</v>
      </c>
      <c r="T714">
        <v>171</v>
      </c>
      <c r="U714" t="s">
        <v>65</v>
      </c>
      <c r="V714">
        <f t="shared" si="33"/>
        <v>4</v>
      </c>
      <c r="W714">
        <f t="shared" si="34"/>
        <v>0</v>
      </c>
      <c r="X714">
        <f t="shared" si="35"/>
        <v>0</v>
      </c>
      <c r="Y714">
        <v>159</v>
      </c>
      <c r="Z714">
        <v>313</v>
      </c>
      <c r="AA714" t="s">
        <v>4235</v>
      </c>
      <c r="AB714" t="s">
        <v>4236</v>
      </c>
      <c r="AC714" t="s">
        <v>94</v>
      </c>
      <c r="AD714">
        <v>4</v>
      </c>
      <c r="AE714">
        <v>71</v>
      </c>
      <c r="AF714" t="s">
        <v>113</v>
      </c>
      <c r="AH714" t="s">
        <v>305</v>
      </c>
      <c r="AI714">
        <v>205.07</v>
      </c>
      <c r="AJ714" t="s">
        <v>132</v>
      </c>
      <c r="AK714" t="s">
        <v>360</v>
      </c>
      <c r="AL714" t="s">
        <v>363</v>
      </c>
      <c r="AM714" t="s">
        <v>53</v>
      </c>
      <c r="AN714" s="1">
        <v>45640</v>
      </c>
      <c r="AO714">
        <v>2024</v>
      </c>
      <c r="AP714">
        <v>12</v>
      </c>
      <c r="AQ714" t="s">
        <v>116</v>
      </c>
      <c r="AS714" t="s">
        <v>85</v>
      </c>
      <c r="AT714">
        <v>2025</v>
      </c>
      <c r="AU714" t="s">
        <v>134</v>
      </c>
      <c r="AV714" t="s">
        <v>54</v>
      </c>
      <c r="AW714" t="s">
        <v>4234</v>
      </c>
      <c r="AX714">
        <v>2025</v>
      </c>
      <c r="AY714" t="s">
        <v>2099</v>
      </c>
      <c r="AZ714" t="s">
        <v>4235</v>
      </c>
    </row>
    <row r="715" spans="1:52" x14ac:dyDescent="0.25">
      <c r="A715" t="s">
        <v>4199</v>
      </c>
      <c r="B715" s="1">
        <v>33631</v>
      </c>
      <c r="C715" t="s">
        <v>4200</v>
      </c>
      <c r="D715">
        <v>474898</v>
      </c>
      <c r="E715" t="s">
        <v>46</v>
      </c>
      <c r="F715" t="s">
        <v>588</v>
      </c>
      <c r="G715" t="s">
        <v>66</v>
      </c>
      <c r="H715" t="s">
        <v>4200</v>
      </c>
      <c r="I715" t="s">
        <v>3617</v>
      </c>
      <c r="J715">
        <v>70</v>
      </c>
      <c r="K715">
        <v>75</v>
      </c>
      <c r="L715">
        <v>-78</v>
      </c>
      <c r="M715">
        <v>75</v>
      </c>
      <c r="N715">
        <v>145</v>
      </c>
      <c r="O715" t="s">
        <v>60</v>
      </c>
      <c r="P715">
        <v>90</v>
      </c>
      <c r="Q715">
        <v>95</v>
      </c>
      <c r="R715">
        <v>-98</v>
      </c>
      <c r="S715">
        <v>95</v>
      </c>
      <c r="T715">
        <v>185</v>
      </c>
      <c r="U715" t="s">
        <v>60</v>
      </c>
      <c r="V715">
        <f t="shared" si="33"/>
        <v>4</v>
      </c>
      <c r="W715">
        <f t="shared" si="34"/>
        <v>0</v>
      </c>
      <c r="X715">
        <f t="shared" si="35"/>
        <v>0</v>
      </c>
      <c r="Y715">
        <v>170</v>
      </c>
      <c r="Z715">
        <v>330</v>
      </c>
      <c r="AA715" t="s">
        <v>4201</v>
      </c>
      <c r="AB715" t="s">
        <v>4202</v>
      </c>
      <c r="AC715" t="s">
        <v>93</v>
      </c>
      <c r="AD715">
        <v>6</v>
      </c>
      <c r="AE715">
        <v>61</v>
      </c>
      <c r="AF715" t="s">
        <v>126</v>
      </c>
      <c r="AH715" t="s">
        <v>144</v>
      </c>
      <c r="AI715">
        <v>259.54000000000002</v>
      </c>
      <c r="AJ715" t="s">
        <v>52</v>
      </c>
      <c r="AK715" t="s">
        <v>588</v>
      </c>
      <c r="AL715" t="s">
        <v>592</v>
      </c>
      <c r="AM715" t="s">
        <v>68</v>
      </c>
      <c r="AN715" s="1">
        <v>45640</v>
      </c>
      <c r="AO715">
        <v>2024</v>
      </c>
      <c r="AP715">
        <v>12</v>
      </c>
      <c r="AQ715" t="s">
        <v>116</v>
      </c>
      <c r="AS715" t="s">
        <v>85</v>
      </c>
      <c r="AT715">
        <v>2025</v>
      </c>
      <c r="AU715" t="s">
        <v>66</v>
      </c>
      <c r="AV715" t="s">
        <v>68</v>
      </c>
      <c r="AW715" t="s">
        <v>4200</v>
      </c>
      <c r="AX715">
        <v>2025</v>
      </c>
      <c r="AY715" t="s">
        <v>4201</v>
      </c>
      <c r="AZ715" t="s">
        <v>4201</v>
      </c>
    </row>
    <row r="716" spans="1:52" x14ac:dyDescent="0.25">
      <c r="A716" t="s">
        <v>4203</v>
      </c>
      <c r="B716" s="1">
        <v>33456</v>
      </c>
      <c r="C716" t="s">
        <v>4204</v>
      </c>
      <c r="D716">
        <v>473742</v>
      </c>
      <c r="E716" t="s">
        <v>46</v>
      </c>
      <c r="F716" t="s">
        <v>633</v>
      </c>
      <c r="G716" t="s">
        <v>611</v>
      </c>
      <c r="H716" t="s">
        <v>4204</v>
      </c>
      <c r="I716" t="s">
        <v>229</v>
      </c>
      <c r="J716">
        <v>90</v>
      </c>
      <c r="K716">
        <v>-94</v>
      </c>
      <c r="L716">
        <v>-94</v>
      </c>
      <c r="M716">
        <v>90</v>
      </c>
      <c r="N716">
        <v>0</v>
      </c>
      <c r="O716" t="s">
        <v>55</v>
      </c>
      <c r="P716">
        <v>110</v>
      </c>
      <c r="Q716">
        <v>-114</v>
      </c>
      <c r="R716">
        <v>-114</v>
      </c>
      <c r="S716">
        <v>110</v>
      </c>
      <c r="T716">
        <v>0</v>
      </c>
      <c r="U716" t="s">
        <v>55</v>
      </c>
      <c r="V716">
        <f t="shared" si="33"/>
        <v>2</v>
      </c>
      <c r="W716">
        <f t="shared" si="34"/>
        <v>0</v>
      </c>
      <c r="X716">
        <f t="shared" si="35"/>
        <v>0</v>
      </c>
      <c r="Y716">
        <v>200</v>
      </c>
      <c r="Z716">
        <v>0</v>
      </c>
      <c r="AA716" t="s">
        <v>4205</v>
      </c>
      <c r="AB716" t="s">
        <v>99</v>
      </c>
      <c r="AC716" t="s">
        <v>64</v>
      </c>
      <c r="AD716">
        <v>7</v>
      </c>
      <c r="AE716">
        <v>73</v>
      </c>
      <c r="AF716" t="s">
        <v>126</v>
      </c>
      <c r="AH716" t="s">
        <v>141</v>
      </c>
      <c r="AI716">
        <v>274.52999999999997</v>
      </c>
      <c r="AJ716" t="s">
        <v>52</v>
      </c>
      <c r="AK716" t="s">
        <v>633</v>
      </c>
      <c r="AL716" t="s">
        <v>637</v>
      </c>
      <c r="AM716" t="s">
        <v>139</v>
      </c>
      <c r="AN716" s="1">
        <v>45640</v>
      </c>
      <c r="AO716">
        <v>2024</v>
      </c>
      <c r="AP716">
        <v>12</v>
      </c>
      <c r="AQ716" t="s">
        <v>116</v>
      </c>
      <c r="AS716" t="s">
        <v>85</v>
      </c>
      <c r="AT716">
        <v>2025</v>
      </c>
      <c r="AU716" t="s">
        <v>611</v>
      </c>
      <c r="AV716" t="s">
        <v>140</v>
      </c>
      <c r="AW716" t="s">
        <v>4204</v>
      </c>
      <c r="AX716">
        <v>2025</v>
      </c>
      <c r="AY716" t="s">
        <v>998</v>
      </c>
      <c r="AZ716" t="s">
        <v>998</v>
      </c>
    </row>
    <row r="717" spans="1:52" x14ac:dyDescent="0.25">
      <c r="A717" t="s">
        <v>4206</v>
      </c>
      <c r="B717" s="1">
        <v>42281</v>
      </c>
      <c r="C717" t="s">
        <v>4207</v>
      </c>
      <c r="D717">
        <v>493013</v>
      </c>
      <c r="E717" t="s">
        <v>46</v>
      </c>
      <c r="F717" t="s">
        <v>760</v>
      </c>
      <c r="G717" t="s">
        <v>329</v>
      </c>
      <c r="H717" t="s">
        <v>4207</v>
      </c>
      <c r="I717" t="s">
        <v>973</v>
      </c>
      <c r="J717">
        <v>14</v>
      </c>
      <c r="K717">
        <v>15</v>
      </c>
      <c r="L717">
        <v>16</v>
      </c>
      <c r="M717">
        <v>16</v>
      </c>
      <c r="N717">
        <v>31</v>
      </c>
      <c r="O717" t="s">
        <v>48</v>
      </c>
      <c r="P717">
        <v>17</v>
      </c>
      <c r="Q717">
        <v>19</v>
      </c>
      <c r="R717">
        <v>21</v>
      </c>
      <c r="S717">
        <v>21</v>
      </c>
      <c r="T717">
        <v>40</v>
      </c>
      <c r="U717" t="s">
        <v>48</v>
      </c>
      <c r="V717">
        <f t="shared" si="33"/>
        <v>6</v>
      </c>
      <c r="W717">
        <f t="shared" si="34"/>
        <v>0</v>
      </c>
      <c r="X717">
        <f t="shared" si="35"/>
        <v>0</v>
      </c>
      <c r="Y717">
        <v>37</v>
      </c>
      <c r="Z717">
        <v>71</v>
      </c>
      <c r="AA717" t="s">
        <v>4208</v>
      </c>
      <c r="AB717" t="s">
        <v>4209</v>
      </c>
      <c r="AC717" t="s">
        <v>49</v>
      </c>
      <c r="AD717">
        <v>999</v>
      </c>
      <c r="AE717" t="s">
        <v>79</v>
      </c>
      <c r="AF717" t="s">
        <v>80</v>
      </c>
      <c r="AH717" t="s">
        <v>81</v>
      </c>
      <c r="AI717">
        <v>183.6</v>
      </c>
      <c r="AJ717" t="s">
        <v>52</v>
      </c>
      <c r="AK717" t="s">
        <v>760</v>
      </c>
      <c r="AL717" t="s">
        <v>763</v>
      </c>
      <c r="AM717" t="s">
        <v>133</v>
      </c>
      <c r="AN717" s="1">
        <v>45640</v>
      </c>
      <c r="AO717">
        <v>2024</v>
      </c>
      <c r="AP717">
        <v>12</v>
      </c>
      <c r="AQ717" t="s">
        <v>116</v>
      </c>
      <c r="AS717" t="s">
        <v>85</v>
      </c>
      <c r="AT717">
        <v>2025</v>
      </c>
      <c r="AU717" t="s">
        <v>329</v>
      </c>
      <c r="AV717" t="s">
        <v>133</v>
      </c>
      <c r="AW717" t="s">
        <v>4207</v>
      </c>
      <c r="AX717">
        <v>2025</v>
      </c>
      <c r="AY717" t="s">
        <v>4208</v>
      </c>
      <c r="AZ717" t="s">
        <v>4208</v>
      </c>
    </row>
    <row r="718" spans="1:52" x14ac:dyDescent="0.25">
      <c r="A718" t="s">
        <v>4211</v>
      </c>
      <c r="B718" s="1">
        <v>36094</v>
      </c>
      <c r="C718" t="s">
        <v>4212</v>
      </c>
      <c r="D718">
        <v>481205</v>
      </c>
      <c r="E718" t="s">
        <v>46</v>
      </c>
      <c r="F718" t="s">
        <v>492</v>
      </c>
      <c r="G718" t="s">
        <v>490</v>
      </c>
      <c r="H718" t="s">
        <v>4212</v>
      </c>
      <c r="I718">
        <v>72</v>
      </c>
      <c r="J718">
        <v>-100</v>
      </c>
      <c r="K718">
        <v>100</v>
      </c>
      <c r="L718">
        <v>-107</v>
      </c>
      <c r="M718">
        <v>100</v>
      </c>
      <c r="N718">
        <v>0</v>
      </c>
      <c r="O718" t="s">
        <v>104</v>
      </c>
      <c r="P718">
        <v>-125</v>
      </c>
      <c r="Q718">
        <v>127</v>
      </c>
      <c r="R718">
        <v>-131</v>
      </c>
      <c r="S718">
        <v>127</v>
      </c>
      <c r="T718">
        <v>0</v>
      </c>
      <c r="U718" t="s">
        <v>104</v>
      </c>
      <c r="V718">
        <f t="shared" si="33"/>
        <v>2</v>
      </c>
      <c r="W718">
        <f t="shared" si="34"/>
        <v>0</v>
      </c>
      <c r="X718">
        <f t="shared" si="35"/>
        <v>0</v>
      </c>
      <c r="Y718">
        <v>227</v>
      </c>
      <c r="Z718">
        <v>0</v>
      </c>
      <c r="AA718" t="s">
        <v>4214</v>
      </c>
      <c r="AB718" t="s">
        <v>99</v>
      </c>
      <c r="AC718" t="s">
        <v>93</v>
      </c>
      <c r="AD718">
        <v>6</v>
      </c>
      <c r="AE718">
        <v>73</v>
      </c>
      <c r="AF718" t="s">
        <v>126</v>
      </c>
      <c r="AH718" t="s">
        <v>141</v>
      </c>
      <c r="AI718">
        <v>308.61</v>
      </c>
      <c r="AJ718" t="s">
        <v>52</v>
      </c>
      <c r="AK718" t="s">
        <v>492</v>
      </c>
      <c r="AL718" t="s">
        <v>494</v>
      </c>
      <c r="AM718" t="s">
        <v>90</v>
      </c>
      <c r="AN718" s="1">
        <v>45640</v>
      </c>
      <c r="AO718">
        <v>2024</v>
      </c>
      <c r="AP718">
        <v>12</v>
      </c>
      <c r="AQ718" t="s">
        <v>116</v>
      </c>
      <c r="AS718" t="s">
        <v>85</v>
      </c>
      <c r="AT718">
        <v>2025</v>
      </c>
      <c r="AU718" t="s">
        <v>490</v>
      </c>
      <c r="AV718" t="s">
        <v>91</v>
      </c>
      <c r="AW718" t="s">
        <v>4212</v>
      </c>
      <c r="AX718">
        <v>2025</v>
      </c>
      <c r="AY718" t="s">
        <v>4213</v>
      </c>
      <c r="AZ718" t="s">
        <v>1625</v>
      </c>
    </row>
    <row r="719" spans="1:52" x14ac:dyDescent="0.25">
      <c r="A719" t="s">
        <v>4215</v>
      </c>
      <c r="B719" s="1">
        <v>40746</v>
      </c>
      <c r="C719" t="s">
        <v>4216</v>
      </c>
      <c r="D719">
        <v>453678</v>
      </c>
      <c r="E719" t="s">
        <v>46</v>
      </c>
      <c r="F719" t="s">
        <v>547</v>
      </c>
      <c r="G719" t="s">
        <v>687</v>
      </c>
      <c r="H719" t="s">
        <v>4216</v>
      </c>
      <c r="I719" t="s">
        <v>119</v>
      </c>
      <c r="J719">
        <v>57</v>
      </c>
      <c r="K719">
        <v>62</v>
      </c>
      <c r="L719">
        <v>65</v>
      </c>
      <c r="M719">
        <v>65</v>
      </c>
      <c r="N719">
        <v>127</v>
      </c>
      <c r="O719" t="s">
        <v>48</v>
      </c>
      <c r="P719">
        <v>75</v>
      </c>
      <c r="Q719">
        <v>80</v>
      </c>
      <c r="R719">
        <v>85</v>
      </c>
      <c r="S719">
        <v>85</v>
      </c>
      <c r="T719">
        <v>165</v>
      </c>
      <c r="U719" t="s">
        <v>48</v>
      </c>
      <c r="V719">
        <f t="shared" si="33"/>
        <v>6</v>
      </c>
      <c r="W719">
        <f t="shared" si="34"/>
        <v>0</v>
      </c>
      <c r="X719">
        <f t="shared" si="35"/>
        <v>0</v>
      </c>
      <c r="Y719">
        <v>150</v>
      </c>
      <c r="Z719">
        <v>292</v>
      </c>
      <c r="AA719" t="s">
        <v>4217</v>
      </c>
      <c r="AB719" t="s">
        <v>4218</v>
      </c>
      <c r="AC719" t="s">
        <v>98</v>
      </c>
      <c r="AD719">
        <v>3</v>
      </c>
      <c r="AE719">
        <v>55</v>
      </c>
      <c r="AF719" t="s">
        <v>57</v>
      </c>
      <c r="AH719" t="s">
        <v>61</v>
      </c>
      <c r="AI719">
        <v>248.03</v>
      </c>
      <c r="AJ719" t="s">
        <v>52</v>
      </c>
      <c r="AK719" t="s">
        <v>547</v>
      </c>
      <c r="AL719" t="s">
        <v>551</v>
      </c>
      <c r="AM719" t="s">
        <v>72</v>
      </c>
      <c r="AN719" s="1">
        <v>45640</v>
      </c>
      <c r="AO719">
        <v>2024</v>
      </c>
      <c r="AP719">
        <v>12</v>
      </c>
      <c r="AQ719" t="s">
        <v>116</v>
      </c>
      <c r="AS719" t="s">
        <v>85</v>
      </c>
      <c r="AT719">
        <v>2025</v>
      </c>
      <c r="AU719" t="s">
        <v>687</v>
      </c>
      <c r="AV719" t="s">
        <v>72</v>
      </c>
      <c r="AW719" t="s">
        <v>4216</v>
      </c>
      <c r="AX719">
        <v>2025</v>
      </c>
      <c r="AY719" t="s">
        <v>4217</v>
      </c>
      <c r="AZ719" t="s">
        <v>4217</v>
      </c>
    </row>
    <row r="720" spans="1:52" x14ac:dyDescent="0.25">
      <c r="A720" t="s">
        <v>4219</v>
      </c>
      <c r="B720" s="1">
        <v>33885</v>
      </c>
      <c r="C720" t="s">
        <v>4220</v>
      </c>
      <c r="D720">
        <v>474777</v>
      </c>
      <c r="E720" t="s">
        <v>46</v>
      </c>
      <c r="F720" t="s">
        <v>710</v>
      </c>
      <c r="G720" t="s">
        <v>258</v>
      </c>
      <c r="H720" t="s">
        <v>4220</v>
      </c>
      <c r="I720" t="s">
        <v>373</v>
      </c>
      <c r="J720">
        <v>125</v>
      </c>
      <c r="K720">
        <v>-130</v>
      </c>
      <c r="L720">
        <v>130</v>
      </c>
      <c r="M720">
        <v>130</v>
      </c>
      <c r="N720">
        <v>255</v>
      </c>
      <c r="O720" t="s">
        <v>65</v>
      </c>
      <c r="P720">
        <v>157</v>
      </c>
      <c r="Q720">
        <v>-165</v>
      </c>
      <c r="R720">
        <v>-165</v>
      </c>
      <c r="S720">
        <v>157</v>
      </c>
      <c r="T720">
        <v>0</v>
      </c>
      <c r="U720" t="s">
        <v>55</v>
      </c>
      <c r="V720">
        <f t="shared" si="33"/>
        <v>3</v>
      </c>
      <c r="W720">
        <f t="shared" si="34"/>
        <v>0</v>
      </c>
      <c r="X720">
        <f t="shared" si="35"/>
        <v>0</v>
      </c>
      <c r="Y720">
        <v>287</v>
      </c>
      <c r="Z720">
        <v>255</v>
      </c>
      <c r="AA720" t="s">
        <v>4222</v>
      </c>
      <c r="AB720" t="s">
        <v>4223</v>
      </c>
      <c r="AC720" t="s">
        <v>94</v>
      </c>
      <c r="AD720">
        <v>4</v>
      </c>
      <c r="AE720">
        <v>89</v>
      </c>
      <c r="AF720" t="s">
        <v>126</v>
      </c>
      <c r="AH720" t="s">
        <v>155</v>
      </c>
      <c r="AI720">
        <v>347.87</v>
      </c>
      <c r="AJ720" t="s">
        <v>52</v>
      </c>
      <c r="AK720" t="s">
        <v>710</v>
      </c>
      <c r="AL720" t="s">
        <v>712</v>
      </c>
      <c r="AM720" t="s">
        <v>128</v>
      </c>
      <c r="AN720" s="1">
        <v>45640</v>
      </c>
      <c r="AO720">
        <v>2024</v>
      </c>
      <c r="AP720">
        <v>12</v>
      </c>
      <c r="AQ720" t="s">
        <v>116</v>
      </c>
      <c r="AS720" t="s">
        <v>85</v>
      </c>
      <c r="AT720">
        <v>2025</v>
      </c>
      <c r="AU720" t="s">
        <v>258</v>
      </c>
      <c r="AV720" t="s">
        <v>128</v>
      </c>
      <c r="AW720" t="s">
        <v>4220</v>
      </c>
      <c r="AX720">
        <v>2025</v>
      </c>
      <c r="AY720" t="s">
        <v>4221</v>
      </c>
      <c r="AZ720" t="s">
        <v>3764</v>
      </c>
    </row>
    <row r="721" spans="1:52" x14ac:dyDescent="0.25">
      <c r="A721" t="s">
        <v>4224</v>
      </c>
      <c r="B721" s="1">
        <v>35137</v>
      </c>
      <c r="C721" t="s">
        <v>4225</v>
      </c>
      <c r="D721">
        <v>497607</v>
      </c>
      <c r="E721" t="s">
        <v>46</v>
      </c>
      <c r="F721" t="s">
        <v>109</v>
      </c>
      <c r="G721" t="s">
        <v>88</v>
      </c>
      <c r="H721" t="s">
        <v>4225</v>
      </c>
      <c r="I721" t="s">
        <v>410</v>
      </c>
      <c r="J721">
        <v>110</v>
      </c>
      <c r="K721">
        <v>115</v>
      </c>
      <c r="L721">
        <v>-120</v>
      </c>
      <c r="M721">
        <v>115</v>
      </c>
      <c r="N721">
        <v>225</v>
      </c>
      <c r="O721" t="s">
        <v>60</v>
      </c>
      <c r="P721">
        <v>140</v>
      </c>
      <c r="Q721">
        <v>-145</v>
      </c>
      <c r="R721">
        <v>-145</v>
      </c>
      <c r="S721">
        <v>140</v>
      </c>
      <c r="T721">
        <v>0</v>
      </c>
      <c r="U721" t="s">
        <v>55</v>
      </c>
      <c r="V721">
        <f t="shared" si="33"/>
        <v>3</v>
      </c>
      <c r="W721">
        <f t="shared" si="34"/>
        <v>0</v>
      </c>
      <c r="X721">
        <f t="shared" si="35"/>
        <v>0</v>
      </c>
      <c r="Y721">
        <v>255</v>
      </c>
      <c r="Z721">
        <v>225</v>
      </c>
      <c r="AA721" t="s">
        <v>2211</v>
      </c>
      <c r="AB721" t="s">
        <v>4226</v>
      </c>
      <c r="AC721" t="s">
        <v>93</v>
      </c>
      <c r="AD721">
        <v>6</v>
      </c>
      <c r="AE721">
        <v>89</v>
      </c>
      <c r="AF721" t="s">
        <v>126</v>
      </c>
      <c r="AH721" t="s">
        <v>155</v>
      </c>
      <c r="AI721">
        <v>308.39999999999998</v>
      </c>
      <c r="AJ721" t="s">
        <v>52</v>
      </c>
      <c r="AK721" t="s">
        <v>109</v>
      </c>
      <c r="AL721" t="s">
        <v>115</v>
      </c>
      <c r="AM721" t="s">
        <v>90</v>
      </c>
      <c r="AN721" s="1">
        <v>45639</v>
      </c>
      <c r="AO721">
        <v>2024</v>
      </c>
      <c r="AP721">
        <v>12</v>
      </c>
      <c r="AQ721" t="s">
        <v>116</v>
      </c>
      <c r="AS721" t="s">
        <v>85</v>
      </c>
      <c r="AT721">
        <v>2025</v>
      </c>
      <c r="AU721" t="s">
        <v>88</v>
      </c>
      <c r="AV721" t="s">
        <v>91</v>
      </c>
      <c r="AW721" t="s">
        <v>4225</v>
      </c>
      <c r="AX721">
        <v>2025</v>
      </c>
      <c r="AY721" t="s">
        <v>599</v>
      </c>
      <c r="AZ721" t="s">
        <v>2211</v>
      </c>
    </row>
    <row r="722" spans="1:52" x14ac:dyDescent="0.25">
      <c r="A722" t="s">
        <v>4227</v>
      </c>
      <c r="B722" s="1">
        <v>39075</v>
      </c>
      <c r="C722" t="s">
        <v>4228</v>
      </c>
      <c r="D722">
        <v>432236</v>
      </c>
      <c r="E722" t="s">
        <v>46</v>
      </c>
      <c r="F722" t="s">
        <v>1240</v>
      </c>
      <c r="G722" t="s">
        <v>419</v>
      </c>
      <c r="H722" t="s">
        <v>4228</v>
      </c>
      <c r="I722" t="s">
        <v>4230</v>
      </c>
      <c r="J722">
        <v>104</v>
      </c>
      <c r="K722">
        <v>107</v>
      </c>
      <c r="L722">
        <v>-111</v>
      </c>
      <c r="M722">
        <v>107</v>
      </c>
      <c r="N722">
        <v>211</v>
      </c>
      <c r="O722" t="s">
        <v>60</v>
      </c>
      <c r="P722">
        <v>133</v>
      </c>
      <c r="Q722">
        <v>-137</v>
      </c>
      <c r="R722">
        <v>-137</v>
      </c>
      <c r="S722">
        <v>133</v>
      </c>
      <c r="T722">
        <v>0</v>
      </c>
      <c r="U722" t="s">
        <v>55</v>
      </c>
      <c r="V722">
        <f t="shared" si="33"/>
        <v>3</v>
      </c>
      <c r="W722">
        <f t="shared" si="34"/>
        <v>0</v>
      </c>
      <c r="X722">
        <f t="shared" si="35"/>
        <v>0</v>
      </c>
      <c r="Y722">
        <v>240</v>
      </c>
      <c r="Z722">
        <v>211</v>
      </c>
      <c r="AA722" t="s">
        <v>4231</v>
      </c>
      <c r="AB722" t="s">
        <v>4232</v>
      </c>
      <c r="AC722" t="s">
        <v>89</v>
      </c>
      <c r="AD722">
        <v>5</v>
      </c>
      <c r="AE722">
        <v>89</v>
      </c>
      <c r="AF722" t="s">
        <v>113</v>
      </c>
      <c r="AH722" t="s">
        <v>435</v>
      </c>
      <c r="AI722">
        <v>298.83</v>
      </c>
      <c r="AJ722" t="s">
        <v>52</v>
      </c>
      <c r="AK722" t="s">
        <v>1240</v>
      </c>
      <c r="AL722" t="s">
        <v>1243</v>
      </c>
      <c r="AM722" t="s">
        <v>133</v>
      </c>
      <c r="AN722" s="1">
        <v>45641</v>
      </c>
      <c r="AO722">
        <v>2024</v>
      </c>
      <c r="AP722">
        <v>12</v>
      </c>
      <c r="AQ722" t="s">
        <v>116</v>
      </c>
      <c r="AS722" t="s">
        <v>85</v>
      </c>
      <c r="AT722">
        <v>2025</v>
      </c>
      <c r="AU722" t="s">
        <v>419</v>
      </c>
      <c r="AV722" t="s">
        <v>133</v>
      </c>
      <c r="AW722" t="s">
        <v>4228</v>
      </c>
      <c r="AX722">
        <v>2025</v>
      </c>
      <c r="AY722" t="s">
        <v>4229</v>
      </c>
      <c r="AZ722" t="s">
        <v>4229</v>
      </c>
    </row>
    <row r="723" spans="1:52" x14ac:dyDescent="0.25">
      <c r="A723" t="s">
        <v>4237</v>
      </c>
      <c r="B723" s="1">
        <v>40715</v>
      </c>
      <c r="C723" t="s">
        <v>4238</v>
      </c>
      <c r="D723">
        <v>493572</v>
      </c>
      <c r="E723" t="s">
        <v>46</v>
      </c>
      <c r="F723" t="s">
        <v>1350</v>
      </c>
      <c r="G723" t="s">
        <v>165</v>
      </c>
      <c r="H723" t="s">
        <v>4238</v>
      </c>
      <c r="I723" t="s">
        <v>214</v>
      </c>
      <c r="J723">
        <v>50</v>
      </c>
      <c r="K723">
        <v>-53</v>
      </c>
      <c r="L723">
        <v>53</v>
      </c>
      <c r="M723">
        <v>53</v>
      </c>
      <c r="N723">
        <v>103</v>
      </c>
      <c r="O723" t="s">
        <v>65</v>
      </c>
      <c r="P723">
        <v>63</v>
      </c>
      <c r="Q723">
        <v>66</v>
      </c>
      <c r="R723">
        <v>-70</v>
      </c>
      <c r="S723">
        <v>66</v>
      </c>
      <c r="T723">
        <v>129</v>
      </c>
      <c r="U723" t="s">
        <v>60</v>
      </c>
      <c r="V723">
        <f t="shared" si="33"/>
        <v>4</v>
      </c>
      <c r="W723">
        <f t="shared" si="34"/>
        <v>0</v>
      </c>
      <c r="X723">
        <f t="shared" si="35"/>
        <v>0</v>
      </c>
      <c r="Y723">
        <v>119</v>
      </c>
      <c r="Z723">
        <v>232</v>
      </c>
      <c r="AA723" t="s">
        <v>1861</v>
      </c>
      <c r="AB723" t="s">
        <v>4239</v>
      </c>
      <c r="AC723" t="s">
        <v>98</v>
      </c>
      <c r="AD723">
        <v>3</v>
      </c>
      <c r="AE723">
        <v>55</v>
      </c>
      <c r="AF723" t="s">
        <v>57</v>
      </c>
      <c r="AH723" t="s">
        <v>172</v>
      </c>
      <c r="AI723">
        <v>174.17</v>
      </c>
      <c r="AJ723" t="s">
        <v>132</v>
      </c>
      <c r="AK723" t="s">
        <v>1350</v>
      </c>
      <c r="AL723" t="s">
        <v>1352</v>
      </c>
      <c r="AM723" t="s">
        <v>90</v>
      </c>
      <c r="AN723" s="1">
        <v>45640</v>
      </c>
      <c r="AO723">
        <v>2024</v>
      </c>
      <c r="AP723">
        <v>12</v>
      </c>
      <c r="AQ723" t="s">
        <v>116</v>
      </c>
      <c r="AS723" t="s">
        <v>85</v>
      </c>
      <c r="AT723">
        <v>2025</v>
      </c>
      <c r="AU723" t="s">
        <v>165</v>
      </c>
      <c r="AV723" t="s">
        <v>91</v>
      </c>
      <c r="AW723" t="s">
        <v>4238</v>
      </c>
      <c r="AX723">
        <v>2025</v>
      </c>
      <c r="AY723" t="s">
        <v>1861</v>
      </c>
      <c r="AZ723" t="s">
        <v>1861</v>
      </c>
    </row>
    <row r="724" spans="1:52" x14ac:dyDescent="0.25">
      <c r="A724" t="s">
        <v>4240</v>
      </c>
      <c r="B724" s="1">
        <v>40440</v>
      </c>
      <c r="C724" t="s">
        <v>4241</v>
      </c>
      <c r="D724">
        <v>491334</v>
      </c>
      <c r="E724" t="s">
        <v>46</v>
      </c>
      <c r="F724" t="s">
        <v>1240</v>
      </c>
      <c r="G724" t="s">
        <v>329</v>
      </c>
      <c r="H724" t="s">
        <v>4241</v>
      </c>
      <c r="I724" t="s">
        <v>1506</v>
      </c>
      <c r="J724">
        <v>48</v>
      </c>
      <c r="K724">
        <v>52</v>
      </c>
      <c r="L724">
        <v>55</v>
      </c>
      <c r="M724">
        <v>55</v>
      </c>
      <c r="N724">
        <v>107</v>
      </c>
      <c r="O724" t="s">
        <v>48</v>
      </c>
      <c r="P724">
        <v>62</v>
      </c>
      <c r="Q724">
        <v>-66</v>
      </c>
      <c r="R724">
        <v>-66</v>
      </c>
      <c r="S724">
        <v>62</v>
      </c>
      <c r="T724">
        <v>0</v>
      </c>
      <c r="U724" t="s">
        <v>55</v>
      </c>
      <c r="V724">
        <f t="shared" si="33"/>
        <v>4</v>
      </c>
      <c r="W724">
        <f t="shared" si="34"/>
        <v>0</v>
      </c>
      <c r="X724">
        <f t="shared" si="35"/>
        <v>0</v>
      </c>
      <c r="Y724">
        <v>117</v>
      </c>
      <c r="Z724">
        <v>107</v>
      </c>
      <c r="AA724" t="s">
        <v>4242</v>
      </c>
      <c r="AB724" t="s">
        <v>4243</v>
      </c>
      <c r="AC724" t="s">
        <v>93</v>
      </c>
      <c r="AD724">
        <v>6</v>
      </c>
      <c r="AE724">
        <v>61</v>
      </c>
      <c r="AF724" t="s">
        <v>57</v>
      </c>
      <c r="AH724" t="s">
        <v>73</v>
      </c>
      <c r="AI724">
        <v>178.73</v>
      </c>
      <c r="AJ724" t="s">
        <v>52</v>
      </c>
      <c r="AK724" t="s">
        <v>1240</v>
      </c>
      <c r="AL724" t="s">
        <v>1243</v>
      </c>
      <c r="AM724" t="s">
        <v>133</v>
      </c>
      <c r="AN724" s="1">
        <v>45641</v>
      </c>
      <c r="AO724">
        <v>2024</v>
      </c>
      <c r="AP724">
        <v>12</v>
      </c>
      <c r="AQ724" t="s">
        <v>116</v>
      </c>
      <c r="AS724" t="s">
        <v>85</v>
      </c>
      <c r="AT724">
        <v>2025</v>
      </c>
      <c r="AU724" t="s">
        <v>329</v>
      </c>
      <c r="AV724" t="s">
        <v>133</v>
      </c>
      <c r="AW724" t="s">
        <v>4241</v>
      </c>
      <c r="AX724">
        <v>2025</v>
      </c>
      <c r="AY724" t="s">
        <v>4242</v>
      </c>
      <c r="AZ724" t="s">
        <v>4242</v>
      </c>
    </row>
    <row r="725" spans="1:52" x14ac:dyDescent="0.25">
      <c r="A725" t="s">
        <v>4244</v>
      </c>
      <c r="B725" s="1">
        <v>41218</v>
      </c>
      <c r="C725" t="s">
        <v>4245</v>
      </c>
      <c r="D725">
        <v>494853</v>
      </c>
      <c r="E725" t="s">
        <v>46</v>
      </c>
      <c r="F725" t="s">
        <v>964</v>
      </c>
      <c r="G725" t="s">
        <v>255</v>
      </c>
      <c r="H725" t="s">
        <v>4245</v>
      </c>
      <c r="I725" t="s">
        <v>453</v>
      </c>
      <c r="J725">
        <v>11</v>
      </c>
      <c r="K725">
        <v>-13</v>
      </c>
      <c r="L725">
        <v>13</v>
      </c>
      <c r="M725">
        <v>13</v>
      </c>
      <c r="N725">
        <v>24</v>
      </c>
      <c r="O725" t="s">
        <v>65</v>
      </c>
      <c r="P725">
        <v>20</v>
      </c>
      <c r="Q725">
        <v>21</v>
      </c>
      <c r="R725">
        <v>-23</v>
      </c>
      <c r="S725">
        <v>21</v>
      </c>
      <c r="T725">
        <v>41</v>
      </c>
      <c r="U725" t="s">
        <v>60</v>
      </c>
      <c r="V725">
        <f t="shared" si="33"/>
        <v>4</v>
      </c>
      <c r="W725">
        <f t="shared" si="34"/>
        <v>0</v>
      </c>
      <c r="X725">
        <f t="shared" si="35"/>
        <v>0</v>
      </c>
      <c r="Y725">
        <v>34</v>
      </c>
      <c r="Z725">
        <v>65</v>
      </c>
      <c r="AA725" t="s">
        <v>4246</v>
      </c>
      <c r="AB725" t="s">
        <v>4247</v>
      </c>
      <c r="AC725" t="s">
        <v>49</v>
      </c>
      <c r="AD725">
        <v>999</v>
      </c>
      <c r="AE725">
        <v>35</v>
      </c>
      <c r="AF725" t="s">
        <v>50</v>
      </c>
      <c r="AH725" t="s">
        <v>253</v>
      </c>
      <c r="AI725">
        <v>182.32</v>
      </c>
      <c r="AJ725" t="s">
        <v>52</v>
      </c>
      <c r="AK725" t="s">
        <v>964</v>
      </c>
      <c r="AL725" t="s">
        <v>967</v>
      </c>
      <c r="AM725" t="s">
        <v>68</v>
      </c>
      <c r="AN725" s="1">
        <v>45641</v>
      </c>
      <c r="AO725">
        <v>2024</v>
      </c>
      <c r="AP725">
        <v>12</v>
      </c>
      <c r="AQ725" t="s">
        <v>116</v>
      </c>
      <c r="AS725" t="s">
        <v>85</v>
      </c>
      <c r="AT725">
        <v>2025</v>
      </c>
      <c r="AU725" t="s">
        <v>255</v>
      </c>
      <c r="AV725" t="s">
        <v>68</v>
      </c>
      <c r="AW725" t="s">
        <v>4245</v>
      </c>
      <c r="AX725">
        <v>2025</v>
      </c>
      <c r="AY725" t="s">
        <v>4246</v>
      </c>
      <c r="AZ725" t="s">
        <v>4246</v>
      </c>
    </row>
    <row r="726" spans="1:52" x14ac:dyDescent="0.25">
      <c r="A726" t="s">
        <v>4248</v>
      </c>
      <c r="B726" s="1">
        <v>41681</v>
      </c>
      <c r="C726" t="s">
        <v>4249</v>
      </c>
      <c r="D726">
        <v>477644</v>
      </c>
      <c r="E726" t="s">
        <v>46</v>
      </c>
      <c r="F726" t="s">
        <v>964</v>
      </c>
      <c r="G726" t="s">
        <v>296</v>
      </c>
      <c r="H726" t="s">
        <v>4249</v>
      </c>
      <c r="I726" t="s">
        <v>4251</v>
      </c>
      <c r="J726">
        <v>13</v>
      </c>
      <c r="K726">
        <v>14</v>
      </c>
      <c r="L726">
        <v>-15</v>
      </c>
      <c r="M726">
        <v>14</v>
      </c>
      <c r="N726">
        <v>27</v>
      </c>
      <c r="O726" t="s">
        <v>60</v>
      </c>
      <c r="P726">
        <v>19</v>
      </c>
      <c r="Q726">
        <v>20</v>
      </c>
      <c r="R726">
        <v>22</v>
      </c>
      <c r="S726">
        <v>22</v>
      </c>
      <c r="T726">
        <v>42</v>
      </c>
      <c r="U726" t="s">
        <v>48</v>
      </c>
      <c r="V726">
        <f t="shared" si="33"/>
        <v>5</v>
      </c>
      <c r="W726">
        <f t="shared" si="34"/>
        <v>0</v>
      </c>
      <c r="X726">
        <f t="shared" si="35"/>
        <v>0</v>
      </c>
      <c r="Y726">
        <v>36</v>
      </c>
      <c r="Z726">
        <v>69</v>
      </c>
      <c r="AA726" t="s">
        <v>4250</v>
      </c>
      <c r="AB726" t="s">
        <v>4252</v>
      </c>
      <c r="AC726" t="s">
        <v>49</v>
      </c>
      <c r="AD726">
        <v>999</v>
      </c>
      <c r="AE726">
        <v>35</v>
      </c>
      <c r="AF726" t="s">
        <v>50</v>
      </c>
      <c r="AH726" t="s">
        <v>253</v>
      </c>
      <c r="AI726">
        <v>197.24</v>
      </c>
      <c r="AJ726" t="s">
        <v>52</v>
      </c>
      <c r="AK726" t="s">
        <v>964</v>
      </c>
      <c r="AL726" t="s">
        <v>967</v>
      </c>
      <c r="AM726" t="s">
        <v>68</v>
      </c>
      <c r="AN726" s="1">
        <v>45641</v>
      </c>
      <c r="AO726">
        <v>2024</v>
      </c>
      <c r="AP726">
        <v>12</v>
      </c>
      <c r="AQ726" t="s">
        <v>116</v>
      </c>
      <c r="AS726" t="s">
        <v>85</v>
      </c>
      <c r="AT726">
        <v>2025</v>
      </c>
      <c r="AU726" t="s">
        <v>296</v>
      </c>
      <c r="AV726" t="s">
        <v>68</v>
      </c>
      <c r="AW726" t="s">
        <v>4249</v>
      </c>
      <c r="AX726">
        <v>2025</v>
      </c>
      <c r="AY726" t="s">
        <v>4250</v>
      </c>
      <c r="AZ726" t="s">
        <v>4250</v>
      </c>
    </row>
    <row r="727" spans="1:52" x14ac:dyDescent="0.25">
      <c r="A727" t="s">
        <v>4253</v>
      </c>
      <c r="B727" s="1">
        <v>41314</v>
      </c>
      <c r="C727" t="s">
        <v>4254</v>
      </c>
      <c r="D727">
        <v>474042</v>
      </c>
      <c r="E727" t="s">
        <v>46</v>
      </c>
      <c r="F727" t="s">
        <v>2029</v>
      </c>
      <c r="G727" t="s">
        <v>594</v>
      </c>
      <c r="H727" t="s">
        <v>4254</v>
      </c>
      <c r="I727">
        <v>45</v>
      </c>
      <c r="J727">
        <v>33</v>
      </c>
      <c r="K727">
        <v>35</v>
      </c>
      <c r="L727">
        <v>37</v>
      </c>
      <c r="M727">
        <v>37</v>
      </c>
      <c r="N727">
        <v>72</v>
      </c>
      <c r="O727" t="s">
        <v>48</v>
      </c>
      <c r="P727">
        <v>42</v>
      </c>
      <c r="Q727">
        <v>44</v>
      </c>
      <c r="R727">
        <v>46</v>
      </c>
      <c r="S727">
        <v>46</v>
      </c>
      <c r="T727">
        <v>90</v>
      </c>
      <c r="U727" t="s">
        <v>48</v>
      </c>
      <c r="V727">
        <f t="shared" si="33"/>
        <v>6</v>
      </c>
      <c r="W727">
        <f t="shared" si="34"/>
        <v>0</v>
      </c>
      <c r="X727">
        <f t="shared" si="35"/>
        <v>0</v>
      </c>
      <c r="Y727">
        <v>83</v>
      </c>
      <c r="Z727">
        <v>162</v>
      </c>
      <c r="AA727" t="s">
        <v>2297</v>
      </c>
      <c r="AB727" t="s">
        <v>4257</v>
      </c>
      <c r="AC727" t="s">
        <v>49</v>
      </c>
      <c r="AD727">
        <v>999</v>
      </c>
      <c r="AE727">
        <v>45</v>
      </c>
      <c r="AF727" t="s">
        <v>50</v>
      </c>
      <c r="AH727" t="s">
        <v>206</v>
      </c>
      <c r="AI727">
        <v>271.39999999999998</v>
      </c>
      <c r="AJ727" t="s">
        <v>132</v>
      </c>
      <c r="AK727" t="s">
        <v>2029</v>
      </c>
      <c r="AL727" t="s">
        <v>2032</v>
      </c>
      <c r="AM727" t="s">
        <v>170</v>
      </c>
      <c r="AN727" s="1">
        <v>45641</v>
      </c>
      <c r="AO727">
        <v>2024</v>
      </c>
      <c r="AP727">
        <v>12</v>
      </c>
      <c r="AQ727" t="s">
        <v>116</v>
      </c>
      <c r="AS727" t="s">
        <v>85</v>
      </c>
      <c r="AT727">
        <v>2025</v>
      </c>
      <c r="AU727" t="s">
        <v>594</v>
      </c>
      <c r="AV727" t="s">
        <v>170</v>
      </c>
      <c r="AW727" t="s">
        <v>4254</v>
      </c>
      <c r="AX727">
        <v>2025</v>
      </c>
      <c r="AY727" t="s">
        <v>4255</v>
      </c>
      <c r="AZ727" t="s">
        <v>4256</v>
      </c>
    </row>
    <row r="728" spans="1:52" x14ac:dyDescent="0.25">
      <c r="A728" t="s">
        <v>4262</v>
      </c>
      <c r="B728" s="1">
        <v>41312</v>
      </c>
      <c r="C728" t="s">
        <v>4263</v>
      </c>
      <c r="D728">
        <v>483754</v>
      </c>
      <c r="E728" t="s">
        <v>46</v>
      </c>
      <c r="F728" t="s">
        <v>760</v>
      </c>
      <c r="G728" t="s">
        <v>422</v>
      </c>
      <c r="H728" t="s">
        <v>4263</v>
      </c>
      <c r="I728" t="s">
        <v>1310</v>
      </c>
      <c r="J728">
        <v>18</v>
      </c>
      <c r="K728">
        <v>19</v>
      </c>
      <c r="L728">
        <v>-21</v>
      </c>
      <c r="M728">
        <v>19</v>
      </c>
      <c r="N728">
        <v>37</v>
      </c>
      <c r="O728" t="s">
        <v>60</v>
      </c>
      <c r="P728">
        <v>20</v>
      </c>
      <c r="Q728">
        <v>21</v>
      </c>
      <c r="R728">
        <v>23</v>
      </c>
      <c r="S728">
        <v>23</v>
      </c>
      <c r="T728">
        <v>44</v>
      </c>
      <c r="U728" t="s">
        <v>48</v>
      </c>
      <c r="V728">
        <f t="shared" si="33"/>
        <v>5</v>
      </c>
      <c r="W728">
        <f t="shared" si="34"/>
        <v>0</v>
      </c>
      <c r="X728">
        <f t="shared" si="35"/>
        <v>0</v>
      </c>
      <c r="Y728">
        <v>42</v>
      </c>
      <c r="Z728">
        <v>81</v>
      </c>
      <c r="AA728" t="s">
        <v>1311</v>
      </c>
      <c r="AB728" t="s">
        <v>4264</v>
      </c>
      <c r="AC728" t="s">
        <v>49</v>
      </c>
      <c r="AD728">
        <v>999</v>
      </c>
      <c r="AE728">
        <v>45</v>
      </c>
      <c r="AF728" t="s">
        <v>50</v>
      </c>
      <c r="AH728" t="s">
        <v>67</v>
      </c>
      <c r="AI728">
        <v>170.15</v>
      </c>
      <c r="AJ728" t="s">
        <v>52</v>
      </c>
      <c r="AK728" t="s">
        <v>760</v>
      </c>
      <c r="AL728" t="s">
        <v>763</v>
      </c>
      <c r="AM728" t="s">
        <v>133</v>
      </c>
      <c r="AN728" s="1">
        <v>45640</v>
      </c>
      <c r="AO728">
        <v>2024</v>
      </c>
      <c r="AP728">
        <v>12</v>
      </c>
      <c r="AQ728" t="s">
        <v>116</v>
      </c>
      <c r="AS728" t="s">
        <v>85</v>
      </c>
      <c r="AT728">
        <v>2025</v>
      </c>
      <c r="AU728" t="s">
        <v>422</v>
      </c>
      <c r="AV728" t="s">
        <v>133</v>
      </c>
      <c r="AW728" t="s">
        <v>4263</v>
      </c>
      <c r="AX728">
        <v>2025</v>
      </c>
      <c r="AY728" t="s">
        <v>1311</v>
      </c>
      <c r="AZ728" t="s">
        <v>1311</v>
      </c>
    </row>
    <row r="729" spans="1:52" x14ac:dyDescent="0.25">
      <c r="A729" t="s">
        <v>4265</v>
      </c>
      <c r="B729" s="1">
        <v>39653</v>
      </c>
      <c r="C729" t="s">
        <v>4266</v>
      </c>
      <c r="D729">
        <v>462203</v>
      </c>
      <c r="E729" t="s">
        <v>46</v>
      </c>
      <c r="F729" t="s">
        <v>199</v>
      </c>
      <c r="G729" t="s">
        <v>47</v>
      </c>
      <c r="H729" t="s">
        <v>4266</v>
      </c>
      <c r="I729" t="s">
        <v>657</v>
      </c>
      <c r="J729">
        <v>90</v>
      </c>
      <c r="K729">
        <v>93</v>
      </c>
      <c r="L729">
        <v>95</v>
      </c>
      <c r="M729">
        <v>95</v>
      </c>
      <c r="N729">
        <v>188</v>
      </c>
      <c r="O729" t="s">
        <v>48</v>
      </c>
      <c r="P729">
        <v>108</v>
      </c>
      <c r="Q729">
        <v>112</v>
      </c>
      <c r="R729">
        <v>115</v>
      </c>
      <c r="S729">
        <v>115</v>
      </c>
      <c r="T729">
        <v>227</v>
      </c>
      <c r="U729" t="s">
        <v>48</v>
      </c>
      <c r="V729">
        <f t="shared" si="33"/>
        <v>6</v>
      </c>
      <c r="W729">
        <f t="shared" si="34"/>
        <v>0</v>
      </c>
      <c r="X729">
        <f t="shared" si="35"/>
        <v>0</v>
      </c>
      <c r="Y729">
        <v>210</v>
      </c>
      <c r="Z729">
        <v>415</v>
      </c>
      <c r="AA729" t="s">
        <v>3089</v>
      </c>
      <c r="AB729" t="s">
        <v>4267</v>
      </c>
      <c r="AC729" t="s">
        <v>94</v>
      </c>
      <c r="AD729">
        <v>4</v>
      </c>
      <c r="AE729">
        <v>73</v>
      </c>
      <c r="AF729" t="s">
        <v>95</v>
      </c>
      <c r="AH729" t="s">
        <v>276</v>
      </c>
      <c r="AI729">
        <v>287.24</v>
      </c>
      <c r="AJ729" t="s">
        <v>52</v>
      </c>
      <c r="AK729" t="s">
        <v>199</v>
      </c>
      <c r="AL729" t="s">
        <v>203</v>
      </c>
      <c r="AM729" t="s">
        <v>53</v>
      </c>
      <c r="AN729" s="1">
        <v>45640</v>
      </c>
      <c r="AO729">
        <v>2024</v>
      </c>
      <c r="AP729">
        <v>12</v>
      </c>
      <c r="AQ729" t="s">
        <v>116</v>
      </c>
      <c r="AS729" t="s">
        <v>85</v>
      </c>
      <c r="AT729">
        <v>2025</v>
      </c>
      <c r="AU729" t="s">
        <v>47</v>
      </c>
      <c r="AV729" t="s">
        <v>54</v>
      </c>
      <c r="AW729" t="s">
        <v>4266</v>
      </c>
      <c r="AX729">
        <v>2025</v>
      </c>
      <c r="AY729" t="s">
        <v>3089</v>
      </c>
      <c r="AZ729" t="s">
        <v>3089</v>
      </c>
    </row>
    <row r="730" spans="1:52" x14ac:dyDescent="0.25">
      <c r="A730" t="s">
        <v>4268</v>
      </c>
      <c r="B730" s="1">
        <v>35892</v>
      </c>
      <c r="C730" t="s">
        <v>4269</v>
      </c>
      <c r="D730">
        <v>446586</v>
      </c>
      <c r="E730" t="s">
        <v>46</v>
      </c>
      <c r="F730" t="s">
        <v>263</v>
      </c>
      <c r="G730" t="s">
        <v>697</v>
      </c>
      <c r="H730" t="s">
        <v>4269</v>
      </c>
      <c r="I730" t="s">
        <v>552</v>
      </c>
      <c r="J730">
        <v>125</v>
      </c>
      <c r="K730">
        <v>130</v>
      </c>
      <c r="L730">
        <v>-135</v>
      </c>
      <c r="M730">
        <v>130</v>
      </c>
      <c r="N730">
        <v>255</v>
      </c>
      <c r="O730" t="s">
        <v>60</v>
      </c>
      <c r="P730">
        <v>-157</v>
      </c>
      <c r="Q730">
        <v>157</v>
      </c>
      <c r="R730">
        <v>-163</v>
      </c>
      <c r="S730">
        <v>157</v>
      </c>
      <c r="T730">
        <v>0</v>
      </c>
      <c r="U730" t="s">
        <v>104</v>
      </c>
      <c r="V730">
        <f t="shared" si="33"/>
        <v>3</v>
      </c>
      <c r="W730">
        <f t="shared" si="34"/>
        <v>0</v>
      </c>
      <c r="X730">
        <f t="shared" si="35"/>
        <v>0</v>
      </c>
      <c r="Y730">
        <v>287</v>
      </c>
      <c r="Z730">
        <v>255</v>
      </c>
      <c r="AA730" t="s">
        <v>553</v>
      </c>
      <c r="AB730" t="s">
        <v>4271</v>
      </c>
      <c r="AC730" t="s">
        <v>94</v>
      </c>
      <c r="AD730">
        <v>4</v>
      </c>
      <c r="AE730">
        <v>89</v>
      </c>
      <c r="AF730" t="s">
        <v>126</v>
      </c>
      <c r="AH730" t="s">
        <v>155</v>
      </c>
      <c r="AI730">
        <v>350.23</v>
      </c>
      <c r="AJ730" t="s">
        <v>52</v>
      </c>
      <c r="AK730" t="s">
        <v>263</v>
      </c>
      <c r="AL730" t="s">
        <v>267</v>
      </c>
      <c r="AM730" t="s">
        <v>145</v>
      </c>
      <c r="AN730" s="1">
        <v>45640</v>
      </c>
      <c r="AO730">
        <v>2024</v>
      </c>
      <c r="AP730">
        <v>12</v>
      </c>
      <c r="AQ730" t="s">
        <v>116</v>
      </c>
      <c r="AS730" t="s">
        <v>85</v>
      </c>
      <c r="AT730">
        <v>2025</v>
      </c>
      <c r="AU730" t="s">
        <v>697</v>
      </c>
      <c r="AV730" t="s">
        <v>145</v>
      </c>
      <c r="AW730" t="s">
        <v>4269</v>
      </c>
      <c r="AX730">
        <v>2025</v>
      </c>
      <c r="AY730" t="s">
        <v>4270</v>
      </c>
      <c r="AZ730" t="s">
        <v>4270</v>
      </c>
    </row>
    <row r="731" spans="1:52" x14ac:dyDescent="0.25">
      <c r="A731" t="s">
        <v>4258</v>
      </c>
      <c r="B731" s="1">
        <v>35437</v>
      </c>
      <c r="C731" t="s">
        <v>4259</v>
      </c>
      <c r="D731">
        <v>461849</v>
      </c>
      <c r="E731" t="s">
        <v>46</v>
      </c>
      <c r="F731" t="s">
        <v>263</v>
      </c>
      <c r="G731" t="s">
        <v>147</v>
      </c>
      <c r="H731" t="s">
        <v>4259</v>
      </c>
      <c r="I731" t="s">
        <v>426</v>
      </c>
      <c r="J731">
        <v>115</v>
      </c>
      <c r="K731">
        <v>120</v>
      </c>
      <c r="L731">
        <v>-125</v>
      </c>
      <c r="M731">
        <v>120</v>
      </c>
      <c r="N731">
        <v>235</v>
      </c>
      <c r="O731" t="s">
        <v>60</v>
      </c>
      <c r="P731">
        <v>135</v>
      </c>
      <c r="Q731">
        <v>147</v>
      </c>
      <c r="R731">
        <v>-155</v>
      </c>
      <c r="S731">
        <v>147</v>
      </c>
      <c r="T731">
        <v>282</v>
      </c>
      <c r="U731" t="s">
        <v>60</v>
      </c>
      <c r="V731">
        <f t="shared" si="33"/>
        <v>4</v>
      </c>
      <c r="W731">
        <f t="shared" si="34"/>
        <v>0</v>
      </c>
      <c r="X731">
        <f t="shared" si="35"/>
        <v>0</v>
      </c>
      <c r="Y731">
        <v>267</v>
      </c>
      <c r="Z731">
        <v>517</v>
      </c>
      <c r="AA731" t="s">
        <v>4260</v>
      </c>
      <c r="AB731" t="s">
        <v>4261</v>
      </c>
      <c r="AC731" t="s">
        <v>89</v>
      </c>
      <c r="AD731">
        <v>5</v>
      </c>
      <c r="AE731">
        <v>81</v>
      </c>
      <c r="AF731" t="s">
        <v>126</v>
      </c>
      <c r="AH731" t="s">
        <v>138</v>
      </c>
      <c r="AI731">
        <v>339.78</v>
      </c>
      <c r="AJ731" t="s">
        <v>52</v>
      </c>
      <c r="AK731" t="s">
        <v>263</v>
      </c>
      <c r="AL731" t="s">
        <v>267</v>
      </c>
      <c r="AM731" t="s">
        <v>145</v>
      </c>
      <c r="AN731" s="1">
        <v>45640</v>
      </c>
      <c r="AO731">
        <v>2024</v>
      </c>
      <c r="AP731">
        <v>12</v>
      </c>
      <c r="AQ731" t="s">
        <v>116</v>
      </c>
      <c r="AS731" t="s">
        <v>85</v>
      </c>
      <c r="AT731">
        <v>2025</v>
      </c>
      <c r="AU731" t="s">
        <v>147</v>
      </c>
      <c r="AV731" t="s">
        <v>145</v>
      </c>
      <c r="AW731" t="s">
        <v>4259</v>
      </c>
      <c r="AX731">
        <v>2025</v>
      </c>
      <c r="AY731" t="s">
        <v>4260</v>
      </c>
      <c r="AZ731" t="s">
        <v>4260</v>
      </c>
    </row>
    <row r="732" spans="1:52" x14ac:dyDescent="0.25">
      <c r="A732" t="s">
        <v>4272</v>
      </c>
      <c r="B732" s="1">
        <v>40878</v>
      </c>
      <c r="C732" t="s">
        <v>4273</v>
      </c>
      <c r="D732">
        <v>479768</v>
      </c>
      <c r="E732" t="s">
        <v>46</v>
      </c>
      <c r="F732" t="s">
        <v>582</v>
      </c>
      <c r="G732" t="s">
        <v>2910</v>
      </c>
      <c r="H732" t="s">
        <v>4273</v>
      </c>
      <c r="I732" t="s">
        <v>466</v>
      </c>
      <c r="J732">
        <v>35</v>
      </c>
      <c r="K732">
        <v>-37</v>
      </c>
      <c r="L732">
        <v>37</v>
      </c>
      <c r="M732">
        <v>37</v>
      </c>
      <c r="N732">
        <v>72</v>
      </c>
      <c r="O732" t="s">
        <v>65</v>
      </c>
      <c r="P732">
        <v>40</v>
      </c>
      <c r="Q732">
        <v>43</v>
      </c>
      <c r="R732">
        <v>46</v>
      </c>
      <c r="S732">
        <v>46</v>
      </c>
      <c r="T732">
        <v>89</v>
      </c>
      <c r="U732" t="s">
        <v>48</v>
      </c>
      <c r="V732">
        <f t="shared" si="33"/>
        <v>5</v>
      </c>
      <c r="W732">
        <f t="shared" si="34"/>
        <v>0</v>
      </c>
      <c r="X732">
        <f t="shared" si="35"/>
        <v>0</v>
      </c>
      <c r="Y732">
        <v>83</v>
      </c>
      <c r="Z732">
        <v>161</v>
      </c>
      <c r="AA732" t="s">
        <v>4274</v>
      </c>
      <c r="AB732" t="s">
        <v>4275</v>
      </c>
      <c r="AC732" t="s">
        <v>56</v>
      </c>
      <c r="AD732">
        <v>8</v>
      </c>
      <c r="AE732">
        <v>55</v>
      </c>
      <c r="AF732" t="s">
        <v>57</v>
      </c>
      <c r="AH732" t="s">
        <v>61</v>
      </c>
      <c r="AI732">
        <v>142.1</v>
      </c>
      <c r="AJ732" t="s">
        <v>52</v>
      </c>
      <c r="AK732" t="s">
        <v>582</v>
      </c>
      <c r="AL732" t="s">
        <v>585</v>
      </c>
      <c r="AM732" t="s">
        <v>170</v>
      </c>
      <c r="AN732" s="1">
        <v>45640</v>
      </c>
      <c r="AO732">
        <v>2024</v>
      </c>
      <c r="AP732">
        <v>12</v>
      </c>
      <c r="AQ732" t="s">
        <v>116</v>
      </c>
      <c r="AS732" t="s">
        <v>85</v>
      </c>
      <c r="AT732">
        <v>2025</v>
      </c>
      <c r="AU732" t="s">
        <v>2910</v>
      </c>
      <c r="AV732" t="s">
        <v>170</v>
      </c>
      <c r="AW732" t="s">
        <v>4273</v>
      </c>
      <c r="AX732">
        <v>2025</v>
      </c>
      <c r="AY732" t="s">
        <v>4274</v>
      </c>
      <c r="AZ732" t="s">
        <v>4274</v>
      </c>
    </row>
    <row r="733" spans="1:52" x14ac:dyDescent="0.25">
      <c r="A733" t="s">
        <v>4276</v>
      </c>
      <c r="B733" s="1">
        <v>35158</v>
      </c>
      <c r="C733" t="s">
        <v>4277</v>
      </c>
      <c r="D733">
        <v>493004</v>
      </c>
      <c r="E733" t="s">
        <v>46</v>
      </c>
      <c r="F733" t="s">
        <v>263</v>
      </c>
      <c r="G733" t="s">
        <v>598</v>
      </c>
      <c r="H733" t="s">
        <v>4277</v>
      </c>
      <c r="I733" t="s">
        <v>442</v>
      </c>
      <c r="J733">
        <v>60</v>
      </c>
      <c r="K733">
        <v>-63</v>
      </c>
      <c r="L733">
        <v>63</v>
      </c>
      <c r="M733">
        <v>63</v>
      </c>
      <c r="N733">
        <v>123</v>
      </c>
      <c r="O733" t="s">
        <v>65</v>
      </c>
      <c r="P733">
        <v>-74</v>
      </c>
      <c r="Q733">
        <v>-77</v>
      </c>
      <c r="R733">
        <v>-77</v>
      </c>
      <c r="S733">
        <v>0</v>
      </c>
      <c r="T733">
        <v>0</v>
      </c>
      <c r="U733" t="s">
        <v>108</v>
      </c>
      <c r="V733">
        <f t="shared" si="33"/>
        <v>2</v>
      </c>
      <c r="W733">
        <f t="shared" si="34"/>
        <v>0</v>
      </c>
      <c r="X733">
        <f t="shared" si="35"/>
        <v>0</v>
      </c>
      <c r="Y733">
        <v>63</v>
      </c>
      <c r="Z733">
        <v>123</v>
      </c>
      <c r="AA733" t="s">
        <v>1180</v>
      </c>
      <c r="AB733" t="s">
        <v>4278</v>
      </c>
      <c r="AC733" t="s">
        <v>49</v>
      </c>
      <c r="AD733">
        <v>999</v>
      </c>
      <c r="AE733">
        <v>59</v>
      </c>
      <c r="AF733" t="s">
        <v>126</v>
      </c>
      <c r="AH733" t="s">
        <v>202</v>
      </c>
      <c r="AI733">
        <v>0</v>
      </c>
      <c r="AJ733" t="s">
        <v>132</v>
      </c>
      <c r="AK733" t="s">
        <v>263</v>
      </c>
      <c r="AL733" t="s">
        <v>267</v>
      </c>
      <c r="AM733" t="s">
        <v>145</v>
      </c>
      <c r="AN733" s="1">
        <v>45640</v>
      </c>
      <c r="AO733">
        <v>2024</v>
      </c>
      <c r="AP733">
        <v>12</v>
      </c>
      <c r="AQ733" t="s">
        <v>116</v>
      </c>
      <c r="AS733" t="s">
        <v>85</v>
      </c>
      <c r="AT733">
        <v>2025</v>
      </c>
      <c r="AU733" t="s">
        <v>598</v>
      </c>
      <c r="AV733" t="s">
        <v>145</v>
      </c>
      <c r="AW733" t="s">
        <v>4277</v>
      </c>
      <c r="AX733">
        <v>2025</v>
      </c>
      <c r="AY733" t="s">
        <v>3225</v>
      </c>
      <c r="AZ733" t="s">
        <v>1180</v>
      </c>
    </row>
    <row r="734" spans="1:52" x14ac:dyDescent="0.25">
      <c r="A734" t="s">
        <v>4279</v>
      </c>
      <c r="B734" s="1">
        <v>41625</v>
      </c>
      <c r="C734" t="s">
        <v>4280</v>
      </c>
      <c r="D734">
        <v>493914</v>
      </c>
      <c r="E734" t="s">
        <v>46</v>
      </c>
      <c r="F734" t="s">
        <v>964</v>
      </c>
      <c r="G734" t="s">
        <v>296</v>
      </c>
      <c r="H734" t="s">
        <v>4280</v>
      </c>
      <c r="I734" t="s">
        <v>4283</v>
      </c>
      <c r="J734">
        <v>16</v>
      </c>
      <c r="K734">
        <v>18</v>
      </c>
      <c r="L734">
        <v>-20</v>
      </c>
      <c r="M734">
        <v>18</v>
      </c>
      <c r="N734">
        <v>34</v>
      </c>
      <c r="O734" t="s">
        <v>60</v>
      </c>
      <c r="P734">
        <v>24</v>
      </c>
      <c r="Q734">
        <v>26</v>
      </c>
      <c r="R734">
        <v>28</v>
      </c>
      <c r="S734">
        <v>28</v>
      </c>
      <c r="T734">
        <v>54</v>
      </c>
      <c r="U734" t="s">
        <v>48</v>
      </c>
      <c r="V734">
        <f t="shared" si="33"/>
        <v>5</v>
      </c>
      <c r="W734">
        <f t="shared" si="34"/>
        <v>0</v>
      </c>
      <c r="X734">
        <f t="shared" si="35"/>
        <v>0</v>
      </c>
      <c r="Y734">
        <v>46</v>
      </c>
      <c r="Z734">
        <v>88</v>
      </c>
      <c r="AA734" t="s">
        <v>4282</v>
      </c>
      <c r="AB734" t="s">
        <v>4284</v>
      </c>
      <c r="AC734" t="s">
        <v>49</v>
      </c>
      <c r="AD734">
        <v>999</v>
      </c>
      <c r="AE734">
        <v>35</v>
      </c>
      <c r="AF734" t="s">
        <v>50</v>
      </c>
      <c r="AH734" t="s">
        <v>253</v>
      </c>
      <c r="AI734">
        <v>245.51</v>
      </c>
      <c r="AJ734" t="s">
        <v>52</v>
      </c>
      <c r="AK734" t="s">
        <v>964</v>
      </c>
      <c r="AL734" t="s">
        <v>967</v>
      </c>
      <c r="AM734" t="s">
        <v>68</v>
      </c>
      <c r="AN734" s="1">
        <v>45641</v>
      </c>
      <c r="AO734">
        <v>2024</v>
      </c>
      <c r="AP734">
        <v>12</v>
      </c>
      <c r="AQ734" t="s">
        <v>116</v>
      </c>
      <c r="AS734" t="s">
        <v>85</v>
      </c>
      <c r="AT734">
        <v>2025</v>
      </c>
      <c r="AU734" t="s">
        <v>296</v>
      </c>
      <c r="AV734" t="s">
        <v>68</v>
      </c>
      <c r="AW734" t="s">
        <v>4280</v>
      </c>
      <c r="AX734">
        <v>2025</v>
      </c>
      <c r="AY734" t="s">
        <v>4281</v>
      </c>
      <c r="AZ734" t="s">
        <v>4282</v>
      </c>
    </row>
    <row r="735" spans="1:52" x14ac:dyDescent="0.25">
      <c r="A735" t="s">
        <v>4285</v>
      </c>
      <c r="B735" s="1">
        <v>36535</v>
      </c>
      <c r="C735" t="s">
        <v>4286</v>
      </c>
      <c r="D735">
        <v>402059</v>
      </c>
      <c r="E735" t="s">
        <v>46</v>
      </c>
      <c r="F735" t="s">
        <v>710</v>
      </c>
      <c r="G735" t="s">
        <v>258</v>
      </c>
      <c r="H735" t="s">
        <v>4286</v>
      </c>
      <c r="I735">
        <v>81</v>
      </c>
      <c r="J735">
        <v>-112</v>
      </c>
      <c r="K735">
        <v>112</v>
      </c>
      <c r="L735">
        <v>-117</v>
      </c>
      <c r="M735">
        <v>112</v>
      </c>
      <c r="N735">
        <v>0</v>
      </c>
      <c r="O735" t="s">
        <v>104</v>
      </c>
      <c r="P735">
        <v>-138</v>
      </c>
      <c r="Q735">
        <v>138</v>
      </c>
      <c r="R735">
        <v>139</v>
      </c>
      <c r="S735">
        <v>139</v>
      </c>
      <c r="T735">
        <v>277</v>
      </c>
      <c r="U735" t="s">
        <v>63</v>
      </c>
      <c r="V735">
        <f t="shared" si="33"/>
        <v>3</v>
      </c>
      <c r="W735">
        <f t="shared" si="34"/>
        <v>0</v>
      </c>
      <c r="X735">
        <f t="shared" si="35"/>
        <v>0</v>
      </c>
      <c r="Y735">
        <v>251</v>
      </c>
      <c r="Z735">
        <v>277</v>
      </c>
      <c r="AA735" t="s">
        <v>4287</v>
      </c>
      <c r="AB735" t="s">
        <v>4288</v>
      </c>
      <c r="AC735" t="s">
        <v>89</v>
      </c>
      <c r="AD735">
        <v>5</v>
      </c>
      <c r="AE735">
        <v>81</v>
      </c>
      <c r="AF735" t="s">
        <v>126</v>
      </c>
      <c r="AH735" t="s">
        <v>138</v>
      </c>
      <c r="AI735">
        <v>318.55</v>
      </c>
      <c r="AJ735" t="s">
        <v>52</v>
      </c>
      <c r="AK735" t="s">
        <v>710</v>
      </c>
      <c r="AL735" t="s">
        <v>712</v>
      </c>
      <c r="AM735" t="s">
        <v>128</v>
      </c>
      <c r="AN735" s="1">
        <v>45640</v>
      </c>
      <c r="AO735">
        <v>2024</v>
      </c>
      <c r="AP735">
        <v>12</v>
      </c>
      <c r="AQ735" t="s">
        <v>116</v>
      </c>
      <c r="AS735" t="s">
        <v>85</v>
      </c>
      <c r="AT735">
        <v>2025</v>
      </c>
      <c r="AU735" t="s">
        <v>258</v>
      </c>
      <c r="AV735" t="s">
        <v>128</v>
      </c>
      <c r="AW735" t="s">
        <v>4286</v>
      </c>
      <c r="AX735">
        <v>2025</v>
      </c>
      <c r="AY735" t="s">
        <v>2597</v>
      </c>
      <c r="AZ735" t="s">
        <v>4287</v>
      </c>
    </row>
    <row r="736" spans="1:52" x14ac:dyDescent="0.25">
      <c r="A736" t="s">
        <v>4289</v>
      </c>
      <c r="B736" s="1">
        <v>38936</v>
      </c>
      <c r="C736" t="s">
        <v>4290</v>
      </c>
      <c r="D736">
        <v>476196</v>
      </c>
      <c r="E736" t="s">
        <v>46</v>
      </c>
      <c r="F736" t="s">
        <v>1071</v>
      </c>
      <c r="G736" t="s">
        <v>478</v>
      </c>
      <c r="H736" t="s">
        <v>4290</v>
      </c>
      <c r="I736" t="s">
        <v>657</v>
      </c>
      <c r="J736">
        <v>80</v>
      </c>
      <c r="K736">
        <v>-85</v>
      </c>
      <c r="L736">
        <v>-86</v>
      </c>
      <c r="M736">
        <v>80</v>
      </c>
      <c r="N736">
        <v>0</v>
      </c>
      <c r="O736" t="s">
        <v>55</v>
      </c>
      <c r="P736">
        <v>95</v>
      </c>
      <c r="Q736">
        <v>100</v>
      </c>
      <c r="R736">
        <v>-103</v>
      </c>
      <c r="S736">
        <v>100</v>
      </c>
      <c r="T736">
        <v>195</v>
      </c>
      <c r="U736" t="s">
        <v>60</v>
      </c>
      <c r="V736">
        <f t="shared" si="33"/>
        <v>3</v>
      </c>
      <c r="W736">
        <f t="shared" si="34"/>
        <v>0</v>
      </c>
      <c r="X736">
        <f t="shared" si="35"/>
        <v>0</v>
      </c>
      <c r="Y736">
        <v>180</v>
      </c>
      <c r="Z736">
        <v>195</v>
      </c>
      <c r="AA736" t="s">
        <v>4291</v>
      </c>
      <c r="AB736" t="s">
        <v>3900</v>
      </c>
      <c r="AC736" t="s">
        <v>93</v>
      </c>
      <c r="AD736">
        <v>6</v>
      </c>
      <c r="AE736">
        <v>73</v>
      </c>
      <c r="AF736" t="s">
        <v>113</v>
      </c>
      <c r="AH736" t="s">
        <v>218</v>
      </c>
      <c r="AI736">
        <v>246.21</v>
      </c>
      <c r="AJ736" t="s">
        <v>52</v>
      </c>
      <c r="AK736" t="s">
        <v>1071</v>
      </c>
      <c r="AL736" t="s">
        <v>1073</v>
      </c>
      <c r="AM736" t="s">
        <v>68</v>
      </c>
      <c r="AN736" s="1">
        <v>45640</v>
      </c>
      <c r="AO736">
        <v>2024</v>
      </c>
      <c r="AP736">
        <v>12</v>
      </c>
      <c r="AQ736" t="s">
        <v>116</v>
      </c>
      <c r="AS736" t="s">
        <v>85</v>
      </c>
      <c r="AT736">
        <v>2025</v>
      </c>
      <c r="AU736" t="s">
        <v>478</v>
      </c>
      <c r="AV736" t="s">
        <v>68</v>
      </c>
      <c r="AW736" t="s">
        <v>4290</v>
      </c>
      <c r="AX736">
        <v>2025</v>
      </c>
      <c r="AY736" t="s">
        <v>1849</v>
      </c>
      <c r="AZ736" t="s">
        <v>1849</v>
      </c>
    </row>
    <row r="737" spans="1:52" x14ac:dyDescent="0.25">
      <c r="A737" t="s">
        <v>4294</v>
      </c>
      <c r="B737" s="1">
        <v>33952</v>
      </c>
      <c r="C737" t="s">
        <v>4295</v>
      </c>
      <c r="D737">
        <v>496251</v>
      </c>
      <c r="E737" t="s">
        <v>46</v>
      </c>
      <c r="F737" t="s">
        <v>582</v>
      </c>
      <c r="G737" t="s">
        <v>386</v>
      </c>
      <c r="H737" t="s">
        <v>4295</v>
      </c>
      <c r="I737" t="s">
        <v>372</v>
      </c>
      <c r="J737">
        <v>100</v>
      </c>
      <c r="K737">
        <v>-104</v>
      </c>
      <c r="L737">
        <v>-104</v>
      </c>
      <c r="M737">
        <v>100</v>
      </c>
      <c r="N737">
        <v>0</v>
      </c>
      <c r="O737" t="s">
        <v>55</v>
      </c>
      <c r="P737">
        <v>120</v>
      </c>
      <c r="Q737">
        <v>125</v>
      </c>
      <c r="R737">
        <v>-130</v>
      </c>
      <c r="S737">
        <v>125</v>
      </c>
      <c r="T737">
        <v>245</v>
      </c>
      <c r="U737" t="s">
        <v>60</v>
      </c>
      <c r="V737">
        <f t="shared" si="33"/>
        <v>3</v>
      </c>
      <c r="W737">
        <f t="shared" si="34"/>
        <v>0</v>
      </c>
      <c r="X737">
        <f t="shared" si="35"/>
        <v>0</v>
      </c>
      <c r="Y737">
        <v>225</v>
      </c>
      <c r="Z737">
        <v>245</v>
      </c>
      <c r="AA737" t="s">
        <v>4297</v>
      </c>
      <c r="AB737" t="s">
        <v>3852</v>
      </c>
      <c r="AC737" t="s">
        <v>64</v>
      </c>
      <c r="AD737">
        <v>7</v>
      </c>
      <c r="AE737">
        <v>89</v>
      </c>
      <c r="AF737" t="s">
        <v>126</v>
      </c>
      <c r="AH737" t="s">
        <v>155</v>
      </c>
      <c r="AI737">
        <v>273.02</v>
      </c>
      <c r="AJ737" t="s">
        <v>52</v>
      </c>
      <c r="AK737" t="s">
        <v>582</v>
      </c>
      <c r="AL737" t="s">
        <v>585</v>
      </c>
      <c r="AM737" t="s">
        <v>170</v>
      </c>
      <c r="AN737" s="1">
        <v>45640</v>
      </c>
      <c r="AO737">
        <v>2024</v>
      </c>
      <c r="AP737">
        <v>12</v>
      </c>
      <c r="AQ737" t="s">
        <v>116</v>
      </c>
      <c r="AS737" t="s">
        <v>85</v>
      </c>
      <c r="AT737">
        <v>2025</v>
      </c>
      <c r="AU737" t="s">
        <v>386</v>
      </c>
      <c r="AV737" t="s">
        <v>170</v>
      </c>
      <c r="AW737" t="s">
        <v>4295</v>
      </c>
      <c r="AX737">
        <v>2025</v>
      </c>
      <c r="AY737" t="s">
        <v>4296</v>
      </c>
      <c r="AZ737" t="s">
        <v>4297</v>
      </c>
    </row>
    <row r="738" spans="1:52" x14ac:dyDescent="0.25">
      <c r="A738" t="s">
        <v>4298</v>
      </c>
      <c r="B738" s="1">
        <v>38239</v>
      </c>
      <c r="C738" t="s">
        <v>4299</v>
      </c>
      <c r="D738">
        <v>371915</v>
      </c>
      <c r="E738" t="s">
        <v>46</v>
      </c>
      <c r="F738" t="s">
        <v>999</v>
      </c>
      <c r="G738" t="s">
        <v>134</v>
      </c>
      <c r="H738" t="s">
        <v>4299</v>
      </c>
      <c r="I738">
        <v>73</v>
      </c>
      <c r="J738">
        <v>117</v>
      </c>
      <c r="K738">
        <v>121</v>
      </c>
      <c r="L738">
        <v>125</v>
      </c>
      <c r="M738">
        <v>125</v>
      </c>
      <c r="N738">
        <v>246</v>
      </c>
      <c r="O738" t="s">
        <v>48</v>
      </c>
      <c r="P738">
        <v>140</v>
      </c>
      <c r="Q738">
        <v>145</v>
      </c>
      <c r="R738">
        <v>-150</v>
      </c>
      <c r="S738">
        <v>145</v>
      </c>
      <c r="T738">
        <v>285</v>
      </c>
      <c r="U738" t="s">
        <v>60</v>
      </c>
      <c r="V738">
        <f t="shared" si="33"/>
        <v>5</v>
      </c>
      <c r="W738">
        <f t="shared" si="34"/>
        <v>0</v>
      </c>
      <c r="X738">
        <f t="shared" si="35"/>
        <v>0</v>
      </c>
      <c r="Y738">
        <v>270</v>
      </c>
      <c r="Z738">
        <v>531</v>
      </c>
      <c r="AA738" t="s">
        <v>1291</v>
      </c>
      <c r="AB738" t="s">
        <v>4300</v>
      </c>
      <c r="AC738" t="s">
        <v>94</v>
      </c>
      <c r="AD738">
        <v>4</v>
      </c>
      <c r="AE738">
        <v>73</v>
      </c>
      <c r="AF738" t="s">
        <v>126</v>
      </c>
      <c r="AH738" t="s">
        <v>141</v>
      </c>
      <c r="AI738">
        <v>363.96</v>
      </c>
      <c r="AJ738" t="s">
        <v>52</v>
      </c>
      <c r="AK738" t="s">
        <v>999</v>
      </c>
      <c r="AL738" t="s">
        <v>1001</v>
      </c>
      <c r="AM738" t="s">
        <v>53</v>
      </c>
      <c r="AN738" s="1">
        <v>45640</v>
      </c>
      <c r="AO738">
        <v>2024</v>
      </c>
      <c r="AP738">
        <v>12</v>
      </c>
      <c r="AQ738" t="s">
        <v>116</v>
      </c>
      <c r="AS738" t="s">
        <v>85</v>
      </c>
      <c r="AT738">
        <v>2025</v>
      </c>
      <c r="AU738" t="s">
        <v>134</v>
      </c>
      <c r="AV738" t="s">
        <v>54</v>
      </c>
      <c r="AW738" t="s">
        <v>4299</v>
      </c>
      <c r="AX738">
        <v>2025</v>
      </c>
      <c r="AY738" t="s">
        <v>1291</v>
      </c>
      <c r="AZ738" t="s">
        <v>1291</v>
      </c>
    </row>
    <row r="739" spans="1:52" x14ac:dyDescent="0.25">
      <c r="A739" t="s">
        <v>4301</v>
      </c>
      <c r="B739" s="1">
        <v>38194</v>
      </c>
      <c r="C739" t="s">
        <v>4302</v>
      </c>
      <c r="D739">
        <v>476922</v>
      </c>
      <c r="E739" t="s">
        <v>46</v>
      </c>
      <c r="F739" t="s">
        <v>837</v>
      </c>
      <c r="G739" t="s">
        <v>917</v>
      </c>
      <c r="H739" t="s">
        <v>4302</v>
      </c>
      <c r="I739" t="s">
        <v>293</v>
      </c>
      <c r="J739">
        <v>87</v>
      </c>
      <c r="K739">
        <v>90</v>
      </c>
      <c r="L739">
        <v>93</v>
      </c>
      <c r="M739">
        <v>93</v>
      </c>
      <c r="N739">
        <v>183</v>
      </c>
      <c r="O739" t="s">
        <v>48</v>
      </c>
      <c r="P739">
        <v>100</v>
      </c>
      <c r="Q739">
        <v>0</v>
      </c>
      <c r="R739">
        <v>0</v>
      </c>
      <c r="S739">
        <v>100</v>
      </c>
      <c r="T739">
        <v>0</v>
      </c>
      <c r="U739" t="s">
        <v>55</v>
      </c>
      <c r="V739">
        <f t="shared" si="33"/>
        <v>4</v>
      </c>
      <c r="W739">
        <f t="shared" si="34"/>
        <v>0</v>
      </c>
      <c r="X739">
        <f t="shared" si="35"/>
        <v>0</v>
      </c>
      <c r="Y739">
        <v>193</v>
      </c>
      <c r="Z739">
        <v>183</v>
      </c>
      <c r="AA739" t="s">
        <v>4303</v>
      </c>
      <c r="AB739" t="s">
        <v>4304</v>
      </c>
      <c r="AC739" t="s">
        <v>64</v>
      </c>
      <c r="AD739">
        <v>7</v>
      </c>
      <c r="AE739">
        <v>67</v>
      </c>
      <c r="AF739" t="s">
        <v>126</v>
      </c>
      <c r="AH739" t="s">
        <v>401</v>
      </c>
      <c r="AI739">
        <v>278.75</v>
      </c>
      <c r="AJ739" t="s">
        <v>52</v>
      </c>
      <c r="AK739" t="s">
        <v>837</v>
      </c>
      <c r="AL739" t="s">
        <v>840</v>
      </c>
      <c r="AM739" t="s">
        <v>173</v>
      </c>
      <c r="AN739" s="1">
        <v>45640</v>
      </c>
      <c r="AO739">
        <v>2024</v>
      </c>
      <c r="AP739">
        <v>12</v>
      </c>
      <c r="AQ739" t="s">
        <v>116</v>
      </c>
      <c r="AS739" t="s">
        <v>85</v>
      </c>
      <c r="AT739">
        <v>2025</v>
      </c>
      <c r="AU739" t="s">
        <v>917</v>
      </c>
      <c r="AV739" t="s">
        <v>173</v>
      </c>
      <c r="AW739" t="s">
        <v>4302</v>
      </c>
      <c r="AX739">
        <v>2025</v>
      </c>
      <c r="AY739" t="s">
        <v>2307</v>
      </c>
      <c r="AZ739" t="s">
        <v>4303</v>
      </c>
    </row>
    <row r="740" spans="1:52" x14ac:dyDescent="0.25">
      <c r="A740" t="s">
        <v>4292</v>
      </c>
      <c r="B740" s="1">
        <v>36357</v>
      </c>
      <c r="C740" t="s">
        <v>4293</v>
      </c>
      <c r="D740">
        <v>490720</v>
      </c>
      <c r="E740" t="s">
        <v>46</v>
      </c>
      <c r="F740" t="s">
        <v>518</v>
      </c>
      <c r="G740" t="s">
        <v>901</v>
      </c>
      <c r="H740" t="s">
        <v>4293</v>
      </c>
      <c r="I740" t="s">
        <v>919</v>
      </c>
      <c r="J740">
        <v>-59</v>
      </c>
      <c r="K740">
        <v>-59</v>
      </c>
      <c r="L740">
        <v>-59</v>
      </c>
      <c r="M740">
        <v>0</v>
      </c>
      <c r="N740">
        <v>0</v>
      </c>
      <c r="O740" t="s">
        <v>108</v>
      </c>
      <c r="P740">
        <v>0</v>
      </c>
      <c r="Q740">
        <v>0</v>
      </c>
      <c r="R740">
        <v>0</v>
      </c>
      <c r="S740">
        <v>0</v>
      </c>
      <c r="T740">
        <v>0</v>
      </c>
      <c r="U740" t="s">
        <v>108</v>
      </c>
      <c r="V740">
        <f t="shared" si="33"/>
        <v>0</v>
      </c>
      <c r="W740">
        <f t="shared" si="34"/>
        <v>0</v>
      </c>
      <c r="X740">
        <f t="shared" si="35"/>
        <v>0</v>
      </c>
      <c r="Y740">
        <v>0</v>
      </c>
      <c r="Z740">
        <v>0</v>
      </c>
      <c r="AA740" t="s">
        <v>99</v>
      </c>
      <c r="AB740" t="s">
        <v>99</v>
      </c>
      <c r="AC740" t="s">
        <v>49</v>
      </c>
      <c r="AD740">
        <v>999</v>
      </c>
      <c r="AE740">
        <v>71</v>
      </c>
      <c r="AF740" t="s">
        <v>126</v>
      </c>
      <c r="AH740" t="s">
        <v>226</v>
      </c>
      <c r="AI740">
        <v>0</v>
      </c>
      <c r="AJ740" t="s">
        <v>132</v>
      </c>
      <c r="AK740" t="s">
        <v>518</v>
      </c>
      <c r="AL740" t="s">
        <v>522</v>
      </c>
      <c r="AM740" t="s">
        <v>177</v>
      </c>
      <c r="AN740" s="1">
        <v>45640</v>
      </c>
      <c r="AO740">
        <v>2024</v>
      </c>
      <c r="AP740">
        <v>12</v>
      </c>
      <c r="AQ740" t="s">
        <v>116</v>
      </c>
      <c r="AS740" t="s">
        <v>85</v>
      </c>
      <c r="AT740">
        <v>2025</v>
      </c>
      <c r="AU740" t="s">
        <v>901</v>
      </c>
      <c r="AV740" t="s">
        <v>177</v>
      </c>
      <c r="AW740" t="s">
        <v>4293</v>
      </c>
      <c r="AX740">
        <v>2025</v>
      </c>
      <c r="AY740" t="s">
        <v>567</v>
      </c>
      <c r="AZ740" t="s">
        <v>3518</v>
      </c>
    </row>
    <row r="741" spans="1:52" x14ac:dyDescent="0.25">
      <c r="A741" t="s">
        <v>4305</v>
      </c>
      <c r="B741" s="1">
        <v>36756</v>
      </c>
      <c r="C741" t="s">
        <v>4306</v>
      </c>
      <c r="D741">
        <v>483111</v>
      </c>
      <c r="E741" t="s">
        <v>46</v>
      </c>
      <c r="F741" t="s">
        <v>617</v>
      </c>
      <c r="G741" t="s">
        <v>490</v>
      </c>
      <c r="H741" t="s">
        <v>4306</v>
      </c>
      <c r="I741" t="s">
        <v>1263</v>
      </c>
      <c r="J741">
        <v>62</v>
      </c>
      <c r="K741">
        <v>66</v>
      </c>
      <c r="L741">
        <v>67</v>
      </c>
      <c r="M741">
        <v>67</v>
      </c>
      <c r="N741">
        <v>133</v>
      </c>
      <c r="O741" t="s">
        <v>48</v>
      </c>
      <c r="P741">
        <v>88</v>
      </c>
      <c r="Q741">
        <v>95</v>
      </c>
      <c r="R741">
        <v>-100</v>
      </c>
      <c r="S741">
        <v>95</v>
      </c>
      <c r="T741">
        <v>183</v>
      </c>
      <c r="U741" t="s">
        <v>60</v>
      </c>
      <c r="V741">
        <f t="shared" si="33"/>
        <v>5</v>
      </c>
      <c r="W741">
        <f t="shared" si="34"/>
        <v>0</v>
      </c>
      <c r="X741">
        <f t="shared" si="35"/>
        <v>0</v>
      </c>
      <c r="Y741">
        <v>162</v>
      </c>
      <c r="Z741">
        <v>316</v>
      </c>
      <c r="AA741" t="s">
        <v>4307</v>
      </c>
      <c r="AB741" t="s">
        <v>4308</v>
      </c>
      <c r="AC741" t="s">
        <v>89</v>
      </c>
      <c r="AD741">
        <v>5</v>
      </c>
      <c r="AE741" t="s">
        <v>135</v>
      </c>
      <c r="AF741" t="s">
        <v>126</v>
      </c>
      <c r="AH741" t="s">
        <v>136</v>
      </c>
      <c r="AI741">
        <v>170.17</v>
      </c>
      <c r="AJ741" t="s">
        <v>132</v>
      </c>
      <c r="AK741" t="s">
        <v>617</v>
      </c>
      <c r="AL741" t="s">
        <v>620</v>
      </c>
      <c r="AM741" t="s">
        <v>90</v>
      </c>
      <c r="AN741" s="1">
        <v>45640</v>
      </c>
      <c r="AO741">
        <v>2024</v>
      </c>
      <c r="AP741">
        <v>12</v>
      </c>
      <c r="AQ741" t="s">
        <v>116</v>
      </c>
      <c r="AS741" t="s">
        <v>85</v>
      </c>
      <c r="AT741">
        <v>2025</v>
      </c>
      <c r="AU741" t="s">
        <v>490</v>
      </c>
      <c r="AV741" t="s">
        <v>91</v>
      </c>
      <c r="AW741" t="s">
        <v>4306</v>
      </c>
      <c r="AX741">
        <v>2025</v>
      </c>
      <c r="AY741" t="s">
        <v>4307</v>
      </c>
      <c r="AZ741" t="s">
        <v>4307</v>
      </c>
    </row>
    <row r="742" spans="1:52" x14ac:dyDescent="0.25">
      <c r="A742" t="s">
        <v>4317</v>
      </c>
      <c r="B742" s="1">
        <v>36971</v>
      </c>
      <c r="C742" t="s">
        <v>4318</v>
      </c>
      <c r="D742">
        <v>462183</v>
      </c>
      <c r="E742" t="s">
        <v>46</v>
      </c>
      <c r="F742" t="s">
        <v>1107</v>
      </c>
      <c r="G742" t="s">
        <v>396</v>
      </c>
      <c r="H742" t="s">
        <v>4318</v>
      </c>
      <c r="I742" t="s">
        <v>408</v>
      </c>
      <c r="J742">
        <v>99</v>
      </c>
      <c r="K742">
        <v>-103</v>
      </c>
      <c r="L742">
        <v>105</v>
      </c>
      <c r="M742">
        <v>105</v>
      </c>
      <c r="N742">
        <v>204</v>
      </c>
      <c r="O742" t="s">
        <v>65</v>
      </c>
      <c r="P742">
        <v>130</v>
      </c>
      <c r="Q742">
        <v>135</v>
      </c>
      <c r="R742">
        <v>-140</v>
      </c>
      <c r="S742">
        <v>135</v>
      </c>
      <c r="T742">
        <v>265</v>
      </c>
      <c r="U742" t="s">
        <v>60</v>
      </c>
      <c r="V742">
        <f t="shared" si="33"/>
        <v>4</v>
      </c>
      <c r="W742">
        <f t="shared" si="34"/>
        <v>0</v>
      </c>
      <c r="X742">
        <f t="shared" si="35"/>
        <v>0</v>
      </c>
      <c r="Y742">
        <v>240</v>
      </c>
      <c r="Z742">
        <v>469</v>
      </c>
      <c r="AA742" t="s">
        <v>1624</v>
      </c>
      <c r="AB742" t="s">
        <v>4319</v>
      </c>
      <c r="AC742" t="s">
        <v>89</v>
      </c>
      <c r="AD742">
        <v>5</v>
      </c>
      <c r="AE742">
        <v>73</v>
      </c>
      <c r="AF742" t="s">
        <v>126</v>
      </c>
      <c r="AH742" t="s">
        <v>141</v>
      </c>
      <c r="AI742">
        <v>324.89</v>
      </c>
      <c r="AJ742" t="s">
        <v>52</v>
      </c>
      <c r="AK742" t="s">
        <v>1107</v>
      </c>
      <c r="AL742" t="s">
        <v>1108</v>
      </c>
      <c r="AM742" t="s">
        <v>302</v>
      </c>
      <c r="AN742" s="1">
        <v>45640</v>
      </c>
      <c r="AO742">
        <v>2024</v>
      </c>
      <c r="AP742">
        <v>12</v>
      </c>
      <c r="AQ742" t="s">
        <v>116</v>
      </c>
      <c r="AS742" t="s">
        <v>85</v>
      </c>
      <c r="AT742">
        <v>2025</v>
      </c>
      <c r="AU742" t="s">
        <v>396</v>
      </c>
      <c r="AV742" t="s">
        <v>303</v>
      </c>
      <c r="AW742" t="s">
        <v>4318</v>
      </c>
      <c r="AX742">
        <v>2025</v>
      </c>
      <c r="AY742" t="s">
        <v>1624</v>
      </c>
      <c r="AZ742" t="s">
        <v>1624</v>
      </c>
    </row>
    <row r="743" spans="1:52" x14ac:dyDescent="0.25">
      <c r="A743" t="s">
        <v>4320</v>
      </c>
      <c r="B743" s="1">
        <v>35593</v>
      </c>
      <c r="C743" t="s">
        <v>4321</v>
      </c>
      <c r="D743">
        <v>501526</v>
      </c>
      <c r="E743" t="s">
        <v>46</v>
      </c>
      <c r="F743" t="s">
        <v>1737</v>
      </c>
      <c r="G743" t="s">
        <v>129</v>
      </c>
      <c r="H743" t="s">
        <v>4321</v>
      </c>
      <c r="I743" t="s">
        <v>2150</v>
      </c>
      <c r="J743">
        <v>95</v>
      </c>
      <c r="K743">
        <v>-100</v>
      </c>
      <c r="L743">
        <v>-100</v>
      </c>
      <c r="M743">
        <v>95</v>
      </c>
      <c r="N743">
        <v>0</v>
      </c>
      <c r="O743" t="s">
        <v>55</v>
      </c>
      <c r="P743">
        <v>122</v>
      </c>
      <c r="Q743">
        <v>-126</v>
      </c>
      <c r="R743">
        <v>-126</v>
      </c>
      <c r="S743">
        <v>122</v>
      </c>
      <c r="T743">
        <v>0</v>
      </c>
      <c r="U743" t="s">
        <v>55</v>
      </c>
      <c r="V743">
        <f t="shared" si="33"/>
        <v>2</v>
      </c>
      <c r="W743">
        <f t="shared" si="34"/>
        <v>0</v>
      </c>
      <c r="X743">
        <f t="shared" si="35"/>
        <v>0</v>
      </c>
      <c r="Y743">
        <v>217</v>
      </c>
      <c r="Z743">
        <v>0</v>
      </c>
      <c r="AA743" t="s">
        <v>4322</v>
      </c>
      <c r="AB743" t="s">
        <v>99</v>
      </c>
      <c r="AC743" t="s">
        <v>93</v>
      </c>
      <c r="AD743">
        <v>6</v>
      </c>
      <c r="AE743">
        <v>73</v>
      </c>
      <c r="AF743" t="s">
        <v>126</v>
      </c>
      <c r="AH743" t="s">
        <v>141</v>
      </c>
      <c r="AI743">
        <v>299.33999999999997</v>
      </c>
      <c r="AJ743" t="s">
        <v>52</v>
      </c>
      <c r="AK743" t="s">
        <v>1737</v>
      </c>
      <c r="AL743" t="s">
        <v>1739</v>
      </c>
      <c r="AM743" t="s">
        <v>133</v>
      </c>
      <c r="AN743" s="1">
        <v>45640</v>
      </c>
      <c r="AO743">
        <v>2024</v>
      </c>
      <c r="AP743">
        <v>12</v>
      </c>
      <c r="AQ743" t="s">
        <v>116</v>
      </c>
      <c r="AS743" t="s">
        <v>85</v>
      </c>
      <c r="AT743">
        <v>2025</v>
      </c>
      <c r="AU743" t="s">
        <v>129</v>
      </c>
      <c r="AV743" t="s">
        <v>133</v>
      </c>
      <c r="AW743" t="s">
        <v>4321</v>
      </c>
      <c r="AX743">
        <v>2025</v>
      </c>
      <c r="AY743" t="s">
        <v>4323</v>
      </c>
      <c r="AZ743" t="s">
        <v>4323</v>
      </c>
    </row>
    <row r="744" spans="1:52" x14ac:dyDescent="0.25">
      <c r="A744" t="s">
        <v>4309</v>
      </c>
      <c r="B744" s="1">
        <v>35003</v>
      </c>
      <c r="C744" t="s">
        <v>4310</v>
      </c>
      <c r="D744">
        <v>468247</v>
      </c>
      <c r="E744" t="s">
        <v>46</v>
      </c>
      <c r="F744" t="s">
        <v>693</v>
      </c>
      <c r="G744" t="s">
        <v>312</v>
      </c>
      <c r="H744" t="s">
        <v>4310</v>
      </c>
      <c r="I744" t="s">
        <v>481</v>
      </c>
      <c r="J744">
        <v>75</v>
      </c>
      <c r="K744">
        <v>78</v>
      </c>
      <c r="L744">
        <v>-81</v>
      </c>
      <c r="M744">
        <v>78</v>
      </c>
      <c r="N744">
        <v>153</v>
      </c>
      <c r="O744" t="s">
        <v>60</v>
      </c>
      <c r="P744">
        <v>-94</v>
      </c>
      <c r="Q744">
        <v>94</v>
      </c>
      <c r="R744">
        <v>-98</v>
      </c>
      <c r="S744">
        <v>94</v>
      </c>
      <c r="T744">
        <v>0</v>
      </c>
      <c r="U744" t="s">
        <v>104</v>
      </c>
      <c r="V744">
        <f t="shared" si="33"/>
        <v>3</v>
      </c>
      <c r="W744">
        <f t="shared" si="34"/>
        <v>0</v>
      </c>
      <c r="X744">
        <f t="shared" si="35"/>
        <v>0</v>
      </c>
      <c r="Y744">
        <v>172</v>
      </c>
      <c r="Z744">
        <v>153</v>
      </c>
      <c r="AA744" t="s">
        <v>4311</v>
      </c>
      <c r="AB744" t="s">
        <v>4312</v>
      </c>
      <c r="AC744" t="s">
        <v>94</v>
      </c>
      <c r="AD744">
        <v>4</v>
      </c>
      <c r="AE744">
        <v>71</v>
      </c>
      <c r="AF744" t="s">
        <v>126</v>
      </c>
      <c r="AH744" t="s">
        <v>226</v>
      </c>
      <c r="AI744">
        <v>218.68</v>
      </c>
      <c r="AJ744" t="s">
        <v>132</v>
      </c>
      <c r="AK744" t="s">
        <v>693</v>
      </c>
      <c r="AL744" t="s">
        <v>696</v>
      </c>
      <c r="AM744" t="s">
        <v>139</v>
      </c>
      <c r="AN744" s="1">
        <v>45641</v>
      </c>
      <c r="AO744">
        <v>2024</v>
      </c>
      <c r="AP744">
        <v>12</v>
      </c>
      <c r="AQ744" t="s">
        <v>116</v>
      </c>
      <c r="AS744" t="s">
        <v>85</v>
      </c>
      <c r="AT744">
        <v>2025</v>
      </c>
      <c r="AU744" t="s">
        <v>312</v>
      </c>
      <c r="AV744" t="s">
        <v>140</v>
      </c>
      <c r="AW744" t="s">
        <v>4310</v>
      </c>
      <c r="AX744">
        <v>2025</v>
      </c>
      <c r="AY744" t="s">
        <v>4311</v>
      </c>
      <c r="AZ744" t="s">
        <v>4311</v>
      </c>
    </row>
    <row r="745" spans="1:52" x14ac:dyDescent="0.25">
      <c r="A745" t="s">
        <v>4313</v>
      </c>
      <c r="B745" s="1">
        <v>34002</v>
      </c>
      <c r="C745" t="s">
        <v>4314</v>
      </c>
      <c r="D745">
        <v>501704</v>
      </c>
      <c r="E745" t="s">
        <v>46</v>
      </c>
      <c r="F745" t="s">
        <v>232</v>
      </c>
      <c r="G745" t="s">
        <v>161</v>
      </c>
      <c r="H745" t="s">
        <v>4314</v>
      </c>
      <c r="I745" t="s">
        <v>307</v>
      </c>
      <c r="J745">
        <v>62</v>
      </c>
      <c r="K745">
        <v>64</v>
      </c>
      <c r="L745">
        <v>67</v>
      </c>
      <c r="M745">
        <v>67</v>
      </c>
      <c r="N745">
        <v>131</v>
      </c>
      <c r="O745" t="s">
        <v>48</v>
      </c>
      <c r="P745">
        <v>-88</v>
      </c>
      <c r="Q745">
        <v>88</v>
      </c>
      <c r="R745">
        <v>-93</v>
      </c>
      <c r="S745">
        <v>88</v>
      </c>
      <c r="T745">
        <v>0</v>
      </c>
      <c r="U745" t="s">
        <v>104</v>
      </c>
      <c r="V745">
        <f t="shared" si="33"/>
        <v>4</v>
      </c>
      <c r="W745">
        <f t="shared" si="34"/>
        <v>0</v>
      </c>
      <c r="X745">
        <f t="shared" si="35"/>
        <v>0</v>
      </c>
      <c r="Y745">
        <v>155</v>
      </c>
      <c r="Z745">
        <v>131</v>
      </c>
      <c r="AA745" t="s">
        <v>4315</v>
      </c>
      <c r="AB745" t="s">
        <v>4316</v>
      </c>
      <c r="AC745" t="s">
        <v>89</v>
      </c>
      <c r="AD745">
        <v>5</v>
      </c>
      <c r="AE745">
        <v>71</v>
      </c>
      <c r="AF745" t="s">
        <v>126</v>
      </c>
      <c r="AH745" t="s">
        <v>226</v>
      </c>
      <c r="AI745">
        <v>191.23</v>
      </c>
      <c r="AJ745" t="s">
        <v>132</v>
      </c>
      <c r="AK745" t="s">
        <v>232</v>
      </c>
      <c r="AL745" t="s">
        <v>236</v>
      </c>
      <c r="AM745" t="s">
        <v>128</v>
      </c>
      <c r="AN745" s="1">
        <v>45640</v>
      </c>
      <c r="AO745">
        <v>2024</v>
      </c>
      <c r="AP745">
        <v>12</v>
      </c>
      <c r="AQ745" t="s">
        <v>116</v>
      </c>
      <c r="AS745" t="s">
        <v>85</v>
      </c>
      <c r="AT745">
        <v>2025</v>
      </c>
      <c r="AU745" t="s">
        <v>161</v>
      </c>
      <c r="AV745" t="s">
        <v>128</v>
      </c>
      <c r="AW745" t="s">
        <v>4314</v>
      </c>
      <c r="AX745">
        <v>2025</v>
      </c>
      <c r="AY745" t="s">
        <v>4315</v>
      </c>
      <c r="AZ745" t="s">
        <v>4315</v>
      </c>
    </row>
    <row r="746" spans="1:52" x14ac:dyDescent="0.25">
      <c r="A746" t="s">
        <v>4324</v>
      </c>
      <c r="B746" s="1">
        <v>34974</v>
      </c>
      <c r="C746" t="s">
        <v>4325</v>
      </c>
      <c r="D746">
        <v>425254</v>
      </c>
      <c r="E746" t="s">
        <v>46</v>
      </c>
      <c r="F746" t="s">
        <v>1400</v>
      </c>
      <c r="G746" t="s">
        <v>536</v>
      </c>
      <c r="H746" t="s">
        <v>4325</v>
      </c>
      <c r="I746" t="s">
        <v>503</v>
      </c>
      <c r="J746">
        <v>-103</v>
      </c>
      <c r="K746">
        <v>103</v>
      </c>
      <c r="L746">
        <v>-107</v>
      </c>
      <c r="M746">
        <v>103</v>
      </c>
      <c r="N746">
        <v>0</v>
      </c>
      <c r="O746" t="s">
        <v>104</v>
      </c>
      <c r="P746">
        <v>125</v>
      </c>
      <c r="Q746">
        <v>-130</v>
      </c>
      <c r="R746">
        <v>-130</v>
      </c>
      <c r="S746">
        <v>125</v>
      </c>
      <c r="T746">
        <v>0</v>
      </c>
      <c r="U746" t="s">
        <v>55</v>
      </c>
      <c r="V746">
        <f t="shared" si="33"/>
        <v>2</v>
      </c>
      <c r="W746">
        <f t="shared" si="34"/>
        <v>0</v>
      </c>
      <c r="X746">
        <f t="shared" si="35"/>
        <v>0</v>
      </c>
      <c r="Y746">
        <v>228</v>
      </c>
      <c r="Z746">
        <v>0</v>
      </c>
      <c r="AA746" t="s">
        <v>4327</v>
      </c>
      <c r="AB746" t="s">
        <v>99</v>
      </c>
      <c r="AC746" t="s">
        <v>64</v>
      </c>
      <c r="AD746">
        <v>7</v>
      </c>
      <c r="AE746">
        <v>96</v>
      </c>
      <c r="AF746" t="s">
        <v>126</v>
      </c>
      <c r="AH746" t="s">
        <v>222</v>
      </c>
      <c r="AI746">
        <v>266.69</v>
      </c>
      <c r="AJ746" t="s">
        <v>52</v>
      </c>
      <c r="AK746" t="s">
        <v>1400</v>
      </c>
      <c r="AL746" t="s">
        <v>1402</v>
      </c>
      <c r="AM746" t="s">
        <v>128</v>
      </c>
      <c r="AN746" s="1">
        <v>45640</v>
      </c>
      <c r="AO746">
        <v>2024</v>
      </c>
      <c r="AP746">
        <v>12</v>
      </c>
      <c r="AQ746" t="s">
        <v>116</v>
      </c>
      <c r="AS746" t="s">
        <v>85</v>
      </c>
      <c r="AT746">
        <v>2025</v>
      </c>
      <c r="AU746" t="s">
        <v>536</v>
      </c>
      <c r="AV746" t="s">
        <v>128</v>
      </c>
      <c r="AW746" t="s">
        <v>4325</v>
      </c>
      <c r="AX746">
        <v>2025</v>
      </c>
      <c r="AY746" t="s">
        <v>4326</v>
      </c>
      <c r="AZ746" t="s">
        <v>4326</v>
      </c>
    </row>
    <row r="747" spans="1:52" x14ac:dyDescent="0.25">
      <c r="A747" t="s">
        <v>4328</v>
      </c>
      <c r="B747" s="1">
        <v>29414</v>
      </c>
      <c r="C747" t="s">
        <v>4329</v>
      </c>
      <c r="D747">
        <v>9108</v>
      </c>
      <c r="E747" t="s">
        <v>46</v>
      </c>
      <c r="F747" t="s">
        <v>588</v>
      </c>
      <c r="G747" t="s">
        <v>66</v>
      </c>
      <c r="H747" t="s">
        <v>4329</v>
      </c>
      <c r="I747">
        <v>94</v>
      </c>
      <c r="J747">
        <v>-120</v>
      </c>
      <c r="K747">
        <v>120</v>
      </c>
      <c r="L747">
        <v>-127</v>
      </c>
      <c r="M747">
        <v>120</v>
      </c>
      <c r="N747">
        <v>0</v>
      </c>
      <c r="O747" t="s">
        <v>104</v>
      </c>
      <c r="P747">
        <v>145</v>
      </c>
      <c r="Q747">
        <v>156</v>
      </c>
      <c r="R747">
        <v>0</v>
      </c>
      <c r="S747">
        <v>156</v>
      </c>
      <c r="T747">
        <v>301</v>
      </c>
      <c r="U747" t="s">
        <v>60</v>
      </c>
      <c r="V747">
        <f t="shared" si="33"/>
        <v>3</v>
      </c>
      <c r="W747">
        <f t="shared" si="34"/>
        <v>0</v>
      </c>
      <c r="X747">
        <f t="shared" si="35"/>
        <v>0</v>
      </c>
      <c r="Y747">
        <v>276</v>
      </c>
      <c r="Z747">
        <v>301</v>
      </c>
      <c r="AA747" t="s">
        <v>4332</v>
      </c>
      <c r="AB747" t="s">
        <v>4333</v>
      </c>
      <c r="AC747" t="s">
        <v>89</v>
      </c>
      <c r="AD747">
        <v>5</v>
      </c>
      <c r="AE747">
        <v>96</v>
      </c>
      <c r="AF747" t="s">
        <v>126</v>
      </c>
      <c r="AG747">
        <v>45</v>
      </c>
      <c r="AH747" t="s">
        <v>222</v>
      </c>
      <c r="AI747">
        <v>325.14</v>
      </c>
      <c r="AJ747" t="s">
        <v>52</v>
      </c>
      <c r="AK747" t="s">
        <v>588</v>
      </c>
      <c r="AL747" t="s">
        <v>592</v>
      </c>
      <c r="AM747" t="s">
        <v>68</v>
      </c>
      <c r="AN747" s="1">
        <v>45640</v>
      </c>
      <c r="AO747">
        <v>2024</v>
      </c>
      <c r="AP747">
        <v>12</v>
      </c>
      <c r="AQ747" t="s">
        <v>116</v>
      </c>
      <c r="AS747" t="s">
        <v>85</v>
      </c>
      <c r="AT747">
        <v>2025</v>
      </c>
      <c r="AU747" t="s">
        <v>66</v>
      </c>
      <c r="AV747" t="s">
        <v>68</v>
      </c>
      <c r="AW747" t="s">
        <v>4329</v>
      </c>
      <c r="AX747">
        <v>2025</v>
      </c>
      <c r="AY747" t="s">
        <v>4330</v>
      </c>
      <c r="AZ747" t="s">
        <v>4331</v>
      </c>
    </row>
    <row r="748" spans="1:52" x14ac:dyDescent="0.25">
      <c r="A748" t="s">
        <v>4334</v>
      </c>
      <c r="B748" s="1">
        <v>38553</v>
      </c>
      <c r="C748" t="s">
        <v>4335</v>
      </c>
      <c r="D748">
        <v>438874</v>
      </c>
      <c r="E748" t="s">
        <v>46</v>
      </c>
      <c r="F748" t="s">
        <v>338</v>
      </c>
      <c r="G748" t="s">
        <v>124</v>
      </c>
      <c r="H748" t="s">
        <v>4335</v>
      </c>
      <c r="I748" t="s">
        <v>378</v>
      </c>
      <c r="J748">
        <v>-48</v>
      </c>
      <c r="K748">
        <v>48</v>
      </c>
      <c r="L748">
        <v>-51</v>
      </c>
      <c r="M748">
        <v>48</v>
      </c>
      <c r="N748">
        <v>0</v>
      </c>
      <c r="O748" t="s">
        <v>104</v>
      </c>
      <c r="P748">
        <v>-55</v>
      </c>
      <c r="Q748">
        <v>-55</v>
      </c>
      <c r="R748">
        <v>-55</v>
      </c>
      <c r="S748">
        <v>0</v>
      </c>
      <c r="T748">
        <v>0</v>
      </c>
      <c r="U748" t="s">
        <v>108</v>
      </c>
      <c r="V748">
        <f t="shared" si="33"/>
        <v>1</v>
      </c>
      <c r="W748">
        <f t="shared" si="34"/>
        <v>0</v>
      </c>
      <c r="X748">
        <f t="shared" si="35"/>
        <v>0</v>
      </c>
      <c r="Y748">
        <v>48</v>
      </c>
      <c r="Z748">
        <v>0</v>
      </c>
      <c r="AA748" t="s">
        <v>4337</v>
      </c>
      <c r="AB748" t="s">
        <v>99</v>
      </c>
      <c r="AC748" t="s">
        <v>49</v>
      </c>
      <c r="AD748">
        <v>999</v>
      </c>
      <c r="AE748">
        <v>59</v>
      </c>
      <c r="AF748" t="s">
        <v>113</v>
      </c>
      <c r="AH748" t="s">
        <v>352</v>
      </c>
      <c r="AI748">
        <v>0</v>
      </c>
      <c r="AJ748" t="s">
        <v>132</v>
      </c>
      <c r="AK748" t="s">
        <v>338</v>
      </c>
      <c r="AL748" t="s">
        <v>340</v>
      </c>
      <c r="AM748" t="s">
        <v>128</v>
      </c>
      <c r="AN748" s="1">
        <v>45640</v>
      </c>
      <c r="AO748">
        <v>2024</v>
      </c>
      <c r="AP748">
        <v>12</v>
      </c>
      <c r="AQ748" t="s">
        <v>116</v>
      </c>
      <c r="AS748" t="s">
        <v>85</v>
      </c>
      <c r="AT748">
        <v>2025</v>
      </c>
      <c r="AU748" t="s">
        <v>124</v>
      </c>
      <c r="AV748" t="s">
        <v>128</v>
      </c>
      <c r="AW748" t="s">
        <v>4335</v>
      </c>
      <c r="AX748">
        <v>2025</v>
      </c>
      <c r="AY748" t="s">
        <v>4336</v>
      </c>
      <c r="AZ748" t="s">
        <v>4338</v>
      </c>
    </row>
    <row r="749" spans="1:52" x14ac:dyDescent="0.25">
      <c r="A749" t="s">
        <v>4339</v>
      </c>
      <c r="B749" s="1">
        <v>35142</v>
      </c>
      <c r="C749" t="s">
        <v>4340</v>
      </c>
      <c r="D749">
        <v>502536</v>
      </c>
      <c r="E749" t="s">
        <v>46</v>
      </c>
      <c r="F749" t="s">
        <v>859</v>
      </c>
      <c r="G749" t="s">
        <v>766</v>
      </c>
      <c r="H749" t="s">
        <v>4340</v>
      </c>
      <c r="I749" t="s">
        <v>1265</v>
      </c>
      <c r="J749">
        <v>115</v>
      </c>
      <c r="K749">
        <v>120</v>
      </c>
      <c r="L749">
        <v>-123</v>
      </c>
      <c r="M749">
        <v>120</v>
      </c>
      <c r="N749">
        <v>235</v>
      </c>
      <c r="O749" t="s">
        <v>60</v>
      </c>
      <c r="P749">
        <v>145</v>
      </c>
      <c r="Q749">
        <v>150</v>
      </c>
      <c r="R749">
        <v>-155</v>
      </c>
      <c r="S749">
        <v>150</v>
      </c>
      <c r="T749">
        <v>295</v>
      </c>
      <c r="U749" t="s">
        <v>60</v>
      </c>
      <c r="V749">
        <f t="shared" si="33"/>
        <v>4</v>
      </c>
      <c r="W749">
        <f t="shared" si="34"/>
        <v>0</v>
      </c>
      <c r="X749">
        <f t="shared" si="35"/>
        <v>0</v>
      </c>
      <c r="Y749">
        <v>270</v>
      </c>
      <c r="Z749">
        <v>530</v>
      </c>
      <c r="AA749" t="s">
        <v>4341</v>
      </c>
      <c r="AB749" t="s">
        <v>4342</v>
      </c>
      <c r="AC749" t="s">
        <v>89</v>
      </c>
      <c r="AD749">
        <v>5</v>
      </c>
      <c r="AE749">
        <v>102</v>
      </c>
      <c r="AF749" t="s">
        <v>126</v>
      </c>
      <c r="AH749" t="s">
        <v>148</v>
      </c>
      <c r="AI749">
        <v>307.76</v>
      </c>
      <c r="AJ749" t="s">
        <v>52</v>
      </c>
      <c r="AK749" t="s">
        <v>859</v>
      </c>
      <c r="AL749" t="s">
        <v>862</v>
      </c>
      <c r="AM749" t="s">
        <v>123</v>
      </c>
      <c r="AN749" s="1">
        <v>45640</v>
      </c>
      <c r="AO749">
        <v>2024</v>
      </c>
      <c r="AP749">
        <v>12</v>
      </c>
      <c r="AQ749" t="s">
        <v>116</v>
      </c>
      <c r="AS749" t="s">
        <v>85</v>
      </c>
      <c r="AT749">
        <v>2025</v>
      </c>
      <c r="AU749" t="s">
        <v>766</v>
      </c>
      <c r="AV749" t="s">
        <v>123</v>
      </c>
      <c r="AW749" t="s">
        <v>4340</v>
      </c>
      <c r="AX749">
        <v>2025</v>
      </c>
      <c r="AY749" t="s">
        <v>4341</v>
      </c>
      <c r="AZ749" t="s">
        <v>4341</v>
      </c>
    </row>
    <row r="750" spans="1:52" x14ac:dyDescent="0.25">
      <c r="A750" t="s">
        <v>4343</v>
      </c>
      <c r="B750" s="1">
        <v>38728</v>
      </c>
      <c r="C750" t="s">
        <v>4344</v>
      </c>
      <c r="D750">
        <v>484632</v>
      </c>
      <c r="E750" t="s">
        <v>1626</v>
      </c>
      <c r="F750" t="s">
        <v>390</v>
      </c>
      <c r="G750" t="s">
        <v>394</v>
      </c>
      <c r="H750" t="s">
        <v>4344</v>
      </c>
      <c r="I750">
        <v>76</v>
      </c>
      <c r="J750">
        <v>75</v>
      </c>
      <c r="K750">
        <v>-80</v>
      </c>
      <c r="L750">
        <v>-85</v>
      </c>
      <c r="M750">
        <v>75</v>
      </c>
      <c r="N750">
        <v>0</v>
      </c>
      <c r="O750" t="s">
        <v>55</v>
      </c>
      <c r="P750">
        <v>95</v>
      </c>
      <c r="Q750">
        <v>100</v>
      </c>
      <c r="R750">
        <v>-105</v>
      </c>
      <c r="S750">
        <v>100</v>
      </c>
      <c r="T750">
        <v>195</v>
      </c>
      <c r="U750" t="s">
        <v>60</v>
      </c>
      <c r="V750">
        <f t="shared" si="33"/>
        <v>3</v>
      </c>
      <c r="W750">
        <f t="shared" si="34"/>
        <v>0</v>
      </c>
      <c r="X750">
        <f t="shared" si="35"/>
        <v>0</v>
      </c>
      <c r="Y750">
        <v>175</v>
      </c>
      <c r="Z750">
        <v>195</v>
      </c>
      <c r="AA750" t="s">
        <v>3665</v>
      </c>
      <c r="AB750" t="s">
        <v>2655</v>
      </c>
      <c r="AC750" t="s">
        <v>64</v>
      </c>
      <c r="AD750">
        <v>7</v>
      </c>
      <c r="AE750">
        <v>81</v>
      </c>
      <c r="AF750" t="s">
        <v>113</v>
      </c>
      <c r="AH750" t="s">
        <v>252</v>
      </c>
      <c r="AI750">
        <v>230.27</v>
      </c>
      <c r="AJ750" t="s">
        <v>52</v>
      </c>
      <c r="AK750" t="s">
        <v>390</v>
      </c>
      <c r="AL750" t="s">
        <v>392</v>
      </c>
      <c r="AM750" t="s">
        <v>170</v>
      </c>
      <c r="AN750" s="1">
        <v>45641</v>
      </c>
      <c r="AO750">
        <v>2024</v>
      </c>
      <c r="AP750">
        <v>12</v>
      </c>
      <c r="AQ750" t="s">
        <v>116</v>
      </c>
      <c r="AS750" t="s">
        <v>85</v>
      </c>
      <c r="AT750">
        <v>2025</v>
      </c>
      <c r="AU750" t="s">
        <v>394</v>
      </c>
      <c r="AV750" t="s">
        <v>170</v>
      </c>
      <c r="AW750" t="s">
        <v>4344</v>
      </c>
      <c r="AX750">
        <v>2025</v>
      </c>
      <c r="AY750" t="s">
        <v>4345</v>
      </c>
      <c r="AZ750" t="s">
        <v>4345</v>
      </c>
    </row>
    <row r="751" spans="1:52" x14ac:dyDescent="0.25">
      <c r="A751" t="s">
        <v>4346</v>
      </c>
      <c r="B751" s="1">
        <v>33526</v>
      </c>
      <c r="C751" t="s">
        <v>4347</v>
      </c>
      <c r="D751">
        <v>198301</v>
      </c>
      <c r="E751" t="s">
        <v>46</v>
      </c>
      <c r="F751" t="s">
        <v>588</v>
      </c>
      <c r="G751" t="s">
        <v>589</v>
      </c>
      <c r="H751" t="s">
        <v>4347</v>
      </c>
      <c r="I751" t="s">
        <v>1058</v>
      </c>
      <c r="J751">
        <v>-120</v>
      </c>
      <c r="K751">
        <v>120</v>
      </c>
      <c r="L751">
        <v>-127</v>
      </c>
      <c r="M751">
        <v>120</v>
      </c>
      <c r="N751">
        <v>0</v>
      </c>
      <c r="O751" t="s">
        <v>104</v>
      </c>
      <c r="P751">
        <v>140</v>
      </c>
      <c r="Q751">
        <v>150</v>
      </c>
      <c r="R751">
        <v>-160</v>
      </c>
      <c r="S751">
        <v>150</v>
      </c>
      <c r="T751">
        <v>290</v>
      </c>
      <c r="U751" t="s">
        <v>60</v>
      </c>
      <c r="V751">
        <f t="shared" si="33"/>
        <v>3</v>
      </c>
      <c r="W751">
        <f t="shared" si="34"/>
        <v>0</v>
      </c>
      <c r="X751">
        <f t="shared" si="35"/>
        <v>0</v>
      </c>
      <c r="Y751">
        <v>270</v>
      </c>
      <c r="Z751">
        <v>290</v>
      </c>
      <c r="AA751" t="s">
        <v>4349</v>
      </c>
      <c r="AB751" t="s">
        <v>4350</v>
      </c>
      <c r="AC751" t="s">
        <v>89</v>
      </c>
      <c r="AD751">
        <v>5</v>
      </c>
      <c r="AE751">
        <v>102</v>
      </c>
      <c r="AF751" t="s">
        <v>126</v>
      </c>
      <c r="AH751" t="s">
        <v>148</v>
      </c>
      <c r="AI751">
        <v>313.11</v>
      </c>
      <c r="AJ751" t="s">
        <v>52</v>
      </c>
      <c r="AK751" t="s">
        <v>588</v>
      </c>
      <c r="AL751" t="s">
        <v>592</v>
      </c>
      <c r="AM751" t="s">
        <v>68</v>
      </c>
      <c r="AN751" s="1">
        <v>45640</v>
      </c>
      <c r="AO751">
        <v>2024</v>
      </c>
      <c r="AP751">
        <v>12</v>
      </c>
      <c r="AQ751" t="s">
        <v>116</v>
      </c>
      <c r="AS751" t="s">
        <v>85</v>
      </c>
      <c r="AT751">
        <v>2025</v>
      </c>
      <c r="AU751" t="s">
        <v>589</v>
      </c>
      <c r="AV751" t="s">
        <v>68</v>
      </c>
      <c r="AW751" t="s">
        <v>4347</v>
      </c>
      <c r="AX751">
        <v>2025</v>
      </c>
      <c r="AY751" t="s">
        <v>4348</v>
      </c>
      <c r="AZ751" t="s">
        <v>4351</v>
      </c>
    </row>
    <row r="752" spans="1:52" x14ac:dyDescent="0.25">
      <c r="A752" t="s">
        <v>4352</v>
      </c>
      <c r="B752" s="1">
        <v>39570</v>
      </c>
      <c r="C752" t="s">
        <v>4353</v>
      </c>
      <c r="D752">
        <v>475479</v>
      </c>
      <c r="E752" t="s">
        <v>46</v>
      </c>
      <c r="F752" t="s">
        <v>547</v>
      </c>
      <c r="G752" t="s">
        <v>687</v>
      </c>
      <c r="H752" t="s">
        <v>4353</v>
      </c>
      <c r="I752" t="s">
        <v>514</v>
      </c>
      <c r="J752">
        <v>55</v>
      </c>
      <c r="K752">
        <v>60</v>
      </c>
      <c r="L752">
        <v>64</v>
      </c>
      <c r="M752">
        <v>64</v>
      </c>
      <c r="N752">
        <v>124</v>
      </c>
      <c r="O752" t="s">
        <v>48</v>
      </c>
      <c r="P752">
        <v>72</v>
      </c>
      <c r="Q752">
        <v>77</v>
      </c>
      <c r="R752">
        <v>82</v>
      </c>
      <c r="S752">
        <v>82</v>
      </c>
      <c r="T752">
        <v>159</v>
      </c>
      <c r="U752" t="s">
        <v>48</v>
      </c>
      <c r="V752">
        <f t="shared" si="33"/>
        <v>6</v>
      </c>
      <c r="W752">
        <f t="shared" si="34"/>
        <v>0</v>
      </c>
      <c r="X752">
        <f t="shared" si="35"/>
        <v>0</v>
      </c>
      <c r="Y752">
        <v>146</v>
      </c>
      <c r="Z752">
        <v>283</v>
      </c>
      <c r="AA752" t="s">
        <v>4210</v>
      </c>
      <c r="AB752" t="s">
        <v>4354</v>
      </c>
      <c r="AC752" t="s">
        <v>98</v>
      </c>
      <c r="AD752">
        <v>3</v>
      </c>
      <c r="AE752">
        <v>49</v>
      </c>
      <c r="AF752" t="s">
        <v>95</v>
      </c>
      <c r="AH752" t="s">
        <v>740</v>
      </c>
      <c r="AI752">
        <v>269.33</v>
      </c>
      <c r="AJ752" t="s">
        <v>52</v>
      </c>
      <c r="AK752" t="s">
        <v>547</v>
      </c>
      <c r="AL752" t="s">
        <v>551</v>
      </c>
      <c r="AM752" t="s">
        <v>72</v>
      </c>
      <c r="AN752" s="1">
        <v>45640</v>
      </c>
      <c r="AO752">
        <v>2024</v>
      </c>
      <c r="AP752">
        <v>12</v>
      </c>
      <c r="AQ752" t="s">
        <v>116</v>
      </c>
      <c r="AS752" t="s">
        <v>85</v>
      </c>
      <c r="AT752">
        <v>2025</v>
      </c>
      <c r="AU752" t="s">
        <v>687</v>
      </c>
      <c r="AV752" t="s">
        <v>72</v>
      </c>
      <c r="AW752" t="s">
        <v>4353</v>
      </c>
      <c r="AX752">
        <v>2025</v>
      </c>
      <c r="AY752" t="s">
        <v>4210</v>
      </c>
      <c r="AZ752" t="s">
        <v>4210</v>
      </c>
    </row>
    <row r="753" spans="1:52" x14ac:dyDescent="0.25">
      <c r="A753" t="s">
        <v>4355</v>
      </c>
      <c r="B753" s="1">
        <v>39399</v>
      </c>
      <c r="C753" t="s">
        <v>4356</v>
      </c>
      <c r="D753">
        <v>473925</v>
      </c>
      <c r="E753" t="s">
        <v>46</v>
      </c>
      <c r="F753" t="s">
        <v>1221</v>
      </c>
      <c r="G753" t="s">
        <v>161</v>
      </c>
      <c r="H753" t="s">
        <v>4356</v>
      </c>
      <c r="I753" t="s">
        <v>292</v>
      </c>
      <c r="J753">
        <v>47</v>
      </c>
      <c r="K753">
        <v>50</v>
      </c>
      <c r="L753">
        <v>-52</v>
      </c>
      <c r="M753">
        <v>50</v>
      </c>
      <c r="N753">
        <v>97</v>
      </c>
      <c r="O753" t="s">
        <v>60</v>
      </c>
      <c r="P753">
        <v>64</v>
      </c>
      <c r="Q753">
        <v>66</v>
      </c>
      <c r="R753">
        <v>-68</v>
      </c>
      <c r="S753">
        <v>66</v>
      </c>
      <c r="T753">
        <v>130</v>
      </c>
      <c r="U753" t="s">
        <v>60</v>
      </c>
      <c r="V753">
        <f t="shared" si="33"/>
        <v>4</v>
      </c>
      <c r="W753">
        <f t="shared" si="34"/>
        <v>0</v>
      </c>
      <c r="X753">
        <f t="shared" si="35"/>
        <v>0</v>
      </c>
      <c r="Y753">
        <v>116</v>
      </c>
      <c r="Z753">
        <v>227</v>
      </c>
      <c r="AA753" t="s">
        <v>3685</v>
      </c>
      <c r="AB753" t="s">
        <v>4357</v>
      </c>
      <c r="AC753" t="s">
        <v>93</v>
      </c>
      <c r="AD753">
        <v>6</v>
      </c>
      <c r="AE753">
        <v>64</v>
      </c>
      <c r="AF753" t="s">
        <v>113</v>
      </c>
      <c r="AH753" t="s">
        <v>355</v>
      </c>
      <c r="AI753">
        <v>151.54</v>
      </c>
      <c r="AJ753" t="s">
        <v>132</v>
      </c>
      <c r="AK753" t="s">
        <v>1221</v>
      </c>
      <c r="AL753" t="s">
        <v>1223</v>
      </c>
      <c r="AM753" t="s">
        <v>128</v>
      </c>
      <c r="AN753" s="1">
        <v>45641</v>
      </c>
      <c r="AO753">
        <v>2024</v>
      </c>
      <c r="AP753">
        <v>12</v>
      </c>
      <c r="AQ753" t="s">
        <v>116</v>
      </c>
      <c r="AS753" t="s">
        <v>85</v>
      </c>
      <c r="AT753">
        <v>2025</v>
      </c>
      <c r="AU753" t="s">
        <v>161</v>
      </c>
      <c r="AV753" t="s">
        <v>128</v>
      </c>
      <c r="AW753" t="s">
        <v>4356</v>
      </c>
      <c r="AX753">
        <v>2025</v>
      </c>
      <c r="AY753" t="s">
        <v>3685</v>
      </c>
      <c r="AZ753" t="s">
        <v>3685</v>
      </c>
    </row>
    <row r="754" spans="1:52" x14ac:dyDescent="0.25">
      <c r="A754" t="s">
        <v>4358</v>
      </c>
      <c r="B754" s="1">
        <v>40193</v>
      </c>
      <c r="C754" t="s">
        <v>4359</v>
      </c>
      <c r="D754">
        <v>491569</v>
      </c>
      <c r="E754" t="s">
        <v>46</v>
      </c>
      <c r="F754" t="s">
        <v>679</v>
      </c>
      <c r="G754" t="s">
        <v>258</v>
      </c>
      <c r="H754" t="s">
        <v>4359</v>
      </c>
      <c r="I754" t="s">
        <v>378</v>
      </c>
      <c r="J754">
        <v>52</v>
      </c>
      <c r="K754">
        <v>56</v>
      </c>
      <c r="L754">
        <v>-60</v>
      </c>
      <c r="M754">
        <v>56</v>
      </c>
      <c r="N754">
        <v>108</v>
      </c>
      <c r="O754" t="s">
        <v>60</v>
      </c>
      <c r="P754">
        <v>-60</v>
      </c>
      <c r="Q754">
        <v>60</v>
      </c>
      <c r="R754">
        <v>-65</v>
      </c>
      <c r="S754">
        <v>60</v>
      </c>
      <c r="T754">
        <v>0</v>
      </c>
      <c r="U754" t="s">
        <v>104</v>
      </c>
      <c r="V754">
        <f t="shared" si="33"/>
        <v>3</v>
      </c>
      <c r="W754">
        <f t="shared" si="34"/>
        <v>0</v>
      </c>
      <c r="X754">
        <f t="shared" si="35"/>
        <v>0</v>
      </c>
      <c r="Y754">
        <v>116</v>
      </c>
      <c r="Z754">
        <v>108</v>
      </c>
      <c r="AA754" t="s">
        <v>2341</v>
      </c>
      <c r="AB754" t="s">
        <v>4361</v>
      </c>
      <c r="AC754" t="s">
        <v>93</v>
      </c>
      <c r="AD754">
        <v>6</v>
      </c>
      <c r="AE754">
        <v>61</v>
      </c>
      <c r="AF754" t="s">
        <v>57</v>
      </c>
      <c r="AH754" t="s">
        <v>73</v>
      </c>
      <c r="AI754">
        <v>180.92</v>
      </c>
      <c r="AJ754" t="s">
        <v>52</v>
      </c>
      <c r="AK754" t="s">
        <v>679</v>
      </c>
      <c r="AL754" t="s">
        <v>682</v>
      </c>
      <c r="AM754" t="s">
        <v>128</v>
      </c>
      <c r="AN754" s="1">
        <v>45641</v>
      </c>
      <c r="AO754">
        <v>2024</v>
      </c>
      <c r="AP754">
        <v>12</v>
      </c>
      <c r="AQ754" t="s">
        <v>116</v>
      </c>
      <c r="AS754" t="s">
        <v>85</v>
      </c>
      <c r="AT754">
        <v>2025</v>
      </c>
      <c r="AU754" t="s">
        <v>258</v>
      </c>
      <c r="AV754" t="s">
        <v>128</v>
      </c>
      <c r="AW754" t="s">
        <v>4359</v>
      </c>
      <c r="AX754">
        <v>2025</v>
      </c>
      <c r="AY754" t="s">
        <v>4360</v>
      </c>
      <c r="AZ754" t="s">
        <v>4360</v>
      </c>
    </row>
    <row r="755" spans="1:52" x14ac:dyDescent="0.25">
      <c r="A755" t="s">
        <v>4364</v>
      </c>
      <c r="B755" s="1">
        <v>37593</v>
      </c>
      <c r="C755" t="s">
        <v>4365</v>
      </c>
      <c r="D755">
        <v>419843</v>
      </c>
      <c r="E755" t="s">
        <v>46</v>
      </c>
      <c r="F755" t="s">
        <v>1107</v>
      </c>
      <c r="G755" t="s">
        <v>535</v>
      </c>
      <c r="H755" t="s">
        <v>4365</v>
      </c>
      <c r="I755" t="s">
        <v>152</v>
      </c>
      <c r="J755">
        <v>151</v>
      </c>
      <c r="K755">
        <v>156</v>
      </c>
      <c r="L755">
        <v>161</v>
      </c>
      <c r="M755">
        <v>161</v>
      </c>
      <c r="N755">
        <v>317</v>
      </c>
      <c r="O755" t="s">
        <v>48</v>
      </c>
      <c r="P755">
        <v>175</v>
      </c>
      <c r="Q755">
        <v>180</v>
      </c>
      <c r="R755">
        <v>-185</v>
      </c>
      <c r="S755">
        <v>180</v>
      </c>
      <c r="T755">
        <v>355</v>
      </c>
      <c r="U755" t="s">
        <v>60</v>
      </c>
      <c r="V755">
        <f t="shared" si="33"/>
        <v>5</v>
      </c>
      <c r="W755">
        <f t="shared" si="34"/>
        <v>0</v>
      </c>
      <c r="X755">
        <f t="shared" si="35"/>
        <v>0</v>
      </c>
      <c r="Y755">
        <v>341</v>
      </c>
      <c r="Z755">
        <v>672</v>
      </c>
      <c r="AA755" t="s">
        <v>4367</v>
      </c>
      <c r="AB755" t="s">
        <v>4368</v>
      </c>
      <c r="AC755" t="s">
        <v>98</v>
      </c>
      <c r="AD755">
        <v>3</v>
      </c>
      <c r="AE755">
        <v>102</v>
      </c>
      <c r="AF755" t="s">
        <v>126</v>
      </c>
      <c r="AH755" t="s">
        <v>148</v>
      </c>
      <c r="AI755">
        <v>388.84</v>
      </c>
      <c r="AJ755" t="s">
        <v>52</v>
      </c>
      <c r="AK755" t="s">
        <v>1107</v>
      </c>
      <c r="AL755" t="s">
        <v>1108</v>
      </c>
      <c r="AM755" t="s">
        <v>302</v>
      </c>
      <c r="AN755" s="1">
        <v>45640</v>
      </c>
      <c r="AO755">
        <v>2024</v>
      </c>
      <c r="AP755">
        <v>12</v>
      </c>
      <c r="AQ755" t="s">
        <v>116</v>
      </c>
      <c r="AS755" t="s">
        <v>85</v>
      </c>
      <c r="AT755">
        <v>2025</v>
      </c>
      <c r="AU755" t="s">
        <v>535</v>
      </c>
      <c r="AV755" t="s">
        <v>54</v>
      </c>
      <c r="AW755" t="s">
        <v>4365</v>
      </c>
      <c r="AX755">
        <v>2025</v>
      </c>
      <c r="AY755" t="s">
        <v>4366</v>
      </c>
      <c r="AZ755" t="s">
        <v>4366</v>
      </c>
    </row>
    <row r="756" spans="1:52" x14ac:dyDescent="0.25">
      <c r="A756" t="s">
        <v>4362</v>
      </c>
      <c r="B756" s="1">
        <v>35854</v>
      </c>
      <c r="C756" t="s">
        <v>4363</v>
      </c>
      <c r="D756">
        <v>440505</v>
      </c>
      <c r="E756" t="s">
        <v>46</v>
      </c>
      <c r="F756" t="s">
        <v>859</v>
      </c>
      <c r="G756" t="s">
        <v>120</v>
      </c>
      <c r="H756" t="s">
        <v>4363</v>
      </c>
      <c r="I756">
        <v>81</v>
      </c>
      <c r="J756">
        <v>105</v>
      </c>
      <c r="K756">
        <v>110</v>
      </c>
      <c r="L756">
        <v>115</v>
      </c>
      <c r="M756">
        <v>115</v>
      </c>
      <c r="N756">
        <v>225</v>
      </c>
      <c r="O756" t="s">
        <v>48</v>
      </c>
      <c r="P756">
        <v>150</v>
      </c>
      <c r="Q756">
        <v>155</v>
      </c>
      <c r="R756">
        <v>160</v>
      </c>
      <c r="S756">
        <v>160</v>
      </c>
      <c r="T756">
        <v>315</v>
      </c>
      <c r="U756" t="s">
        <v>48</v>
      </c>
      <c r="V756">
        <f t="shared" si="33"/>
        <v>6</v>
      </c>
      <c r="W756">
        <f t="shared" si="34"/>
        <v>0</v>
      </c>
      <c r="X756">
        <f t="shared" si="35"/>
        <v>0</v>
      </c>
      <c r="Y756">
        <v>275</v>
      </c>
      <c r="Z756">
        <v>540</v>
      </c>
      <c r="AA756" t="s">
        <v>3179</v>
      </c>
      <c r="AB756" t="s">
        <v>3180</v>
      </c>
      <c r="AC756" t="s">
        <v>94</v>
      </c>
      <c r="AD756">
        <v>4</v>
      </c>
      <c r="AE756">
        <v>81</v>
      </c>
      <c r="AF756" t="s">
        <v>126</v>
      </c>
      <c r="AH756" t="s">
        <v>138</v>
      </c>
      <c r="AI756">
        <v>349.01</v>
      </c>
      <c r="AJ756" t="s">
        <v>52</v>
      </c>
      <c r="AK756" t="s">
        <v>859</v>
      </c>
      <c r="AL756" t="s">
        <v>862</v>
      </c>
      <c r="AM756" t="s">
        <v>123</v>
      </c>
      <c r="AN756" s="1">
        <v>45640</v>
      </c>
      <c r="AO756">
        <v>2024</v>
      </c>
      <c r="AP756">
        <v>12</v>
      </c>
      <c r="AQ756" t="s">
        <v>116</v>
      </c>
      <c r="AS756" t="s">
        <v>85</v>
      </c>
      <c r="AT756">
        <v>2025</v>
      </c>
      <c r="AU756" t="s">
        <v>120</v>
      </c>
      <c r="AV756" t="s">
        <v>123</v>
      </c>
      <c r="AW756" t="s">
        <v>4363</v>
      </c>
      <c r="AX756">
        <v>2025</v>
      </c>
      <c r="AY756" t="s">
        <v>631</v>
      </c>
      <c r="AZ756" t="s">
        <v>3179</v>
      </c>
    </row>
    <row r="757" spans="1:52" x14ac:dyDescent="0.25">
      <c r="A757" t="s">
        <v>4372</v>
      </c>
      <c r="B757" s="1">
        <v>37144</v>
      </c>
      <c r="C757" t="s">
        <v>4373</v>
      </c>
      <c r="D757">
        <v>475452</v>
      </c>
      <c r="E757" t="s">
        <v>46</v>
      </c>
      <c r="F757" t="s">
        <v>999</v>
      </c>
      <c r="G757" t="s">
        <v>134</v>
      </c>
      <c r="H757" t="s">
        <v>4373</v>
      </c>
      <c r="I757" t="s">
        <v>734</v>
      </c>
      <c r="J757">
        <v>97</v>
      </c>
      <c r="K757">
        <v>102</v>
      </c>
      <c r="L757">
        <v>-107</v>
      </c>
      <c r="M757">
        <v>102</v>
      </c>
      <c r="N757">
        <v>199</v>
      </c>
      <c r="O757" t="s">
        <v>60</v>
      </c>
      <c r="P757">
        <v>112</v>
      </c>
      <c r="Q757">
        <v>120</v>
      </c>
      <c r="R757">
        <v>128</v>
      </c>
      <c r="S757">
        <v>128</v>
      </c>
      <c r="T757">
        <v>248</v>
      </c>
      <c r="U757" t="s">
        <v>48</v>
      </c>
      <c r="V757">
        <f t="shared" si="33"/>
        <v>5</v>
      </c>
      <c r="W757">
        <f t="shared" si="34"/>
        <v>0</v>
      </c>
      <c r="X757">
        <f t="shared" si="35"/>
        <v>0</v>
      </c>
      <c r="Y757">
        <v>230</v>
      </c>
      <c r="Z757">
        <v>447</v>
      </c>
      <c r="AA757" t="s">
        <v>4374</v>
      </c>
      <c r="AB757" t="s">
        <v>4375</v>
      </c>
      <c r="AC757" t="s">
        <v>64</v>
      </c>
      <c r="AD757">
        <v>7</v>
      </c>
      <c r="AE757">
        <v>96</v>
      </c>
      <c r="AF757" t="s">
        <v>126</v>
      </c>
      <c r="AH757" t="s">
        <v>222</v>
      </c>
      <c r="AI757">
        <v>270.3</v>
      </c>
      <c r="AJ757" t="s">
        <v>52</v>
      </c>
      <c r="AK757" t="s">
        <v>999</v>
      </c>
      <c r="AL757" t="s">
        <v>1001</v>
      </c>
      <c r="AM757" t="s">
        <v>53</v>
      </c>
      <c r="AN757" s="1">
        <v>45640</v>
      </c>
      <c r="AO757">
        <v>2024</v>
      </c>
      <c r="AP757">
        <v>12</v>
      </c>
      <c r="AQ757" t="s">
        <v>116</v>
      </c>
      <c r="AS757" t="s">
        <v>85</v>
      </c>
      <c r="AT757">
        <v>2025</v>
      </c>
      <c r="AU757" t="s">
        <v>134</v>
      </c>
      <c r="AV757" t="s">
        <v>54</v>
      </c>
      <c r="AW757" t="s">
        <v>4373</v>
      </c>
      <c r="AX757">
        <v>2025</v>
      </c>
      <c r="AY757" t="s">
        <v>2622</v>
      </c>
      <c r="AZ757" t="s">
        <v>4374</v>
      </c>
    </row>
    <row r="758" spans="1:52" x14ac:dyDescent="0.25">
      <c r="A758" t="s">
        <v>4369</v>
      </c>
      <c r="B758" s="1">
        <v>37038</v>
      </c>
      <c r="C758" t="s">
        <v>4370</v>
      </c>
      <c r="D758">
        <v>491119</v>
      </c>
      <c r="E758" t="s">
        <v>46</v>
      </c>
      <c r="F758" t="s">
        <v>547</v>
      </c>
      <c r="G758" t="s">
        <v>548</v>
      </c>
      <c r="H758" t="s">
        <v>4370</v>
      </c>
      <c r="I758" t="s">
        <v>278</v>
      </c>
      <c r="J758">
        <v>80</v>
      </c>
      <c r="K758">
        <v>-85</v>
      </c>
      <c r="L758">
        <v>85</v>
      </c>
      <c r="M758">
        <v>85</v>
      </c>
      <c r="N758">
        <v>165</v>
      </c>
      <c r="O758" t="s">
        <v>65</v>
      </c>
      <c r="P758">
        <v>-100</v>
      </c>
      <c r="Q758">
        <v>100</v>
      </c>
      <c r="R758">
        <v>-105</v>
      </c>
      <c r="S758">
        <v>100</v>
      </c>
      <c r="T758">
        <v>0</v>
      </c>
      <c r="U758" t="s">
        <v>104</v>
      </c>
      <c r="V758">
        <f t="shared" si="33"/>
        <v>3</v>
      </c>
      <c r="W758">
        <f t="shared" si="34"/>
        <v>0</v>
      </c>
      <c r="X758">
        <f t="shared" si="35"/>
        <v>0</v>
      </c>
      <c r="Y758">
        <v>185</v>
      </c>
      <c r="Z758">
        <v>165</v>
      </c>
      <c r="AA758" t="s">
        <v>1884</v>
      </c>
      <c r="AB758" t="s">
        <v>4371</v>
      </c>
      <c r="AC758" t="s">
        <v>93</v>
      </c>
      <c r="AD758">
        <v>6</v>
      </c>
      <c r="AE758">
        <v>61</v>
      </c>
      <c r="AF758" t="s">
        <v>126</v>
      </c>
      <c r="AH758" t="s">
        <v>144</v>
      </c>
      <c r="AI758">
        <v>285.31</v>
      </c>
      <c r="AJ758" t="s">
        <v>52</v>
      </c>
      <c r="AK758" t="s">
        <v>547</v>
      </c>
      <c r="AL758" t="s">
        <v>551</v>
      </c>
      <c r="AM758" t="s">
        <v>72</v>
      </c>
      <c r="AN758" s="1">
        <v>45640</v>
      </c>
      <c r="AO758">
        <v>2024</v>
      </c>
      <c r="AP758">
        <v>12</v>
      </c>
      <c r="AQ758" t="s">
        <v>116</v>
      </c>
      <c r="AS758" t="s">
        <v>85</v>
      </c>
      <c r="AT758">
        <v>2025</v>
      </c>
      <c r="AU758" t="s">
        <v>548</v>
      </c>
      <c r="AV758" t="s">
        <v>72</v>
      </c>
      <c r="AW758" t="s">
        <v>4370</v>
      </c>
      <c r="AX758">
        <v>2025</v>
      </c>
      <c r="AY758" t="s">
        <v>1884</v>
      </c>
      <c r="AZ758" t="s">
        <v>1884</v>
      </c>
    </row>
    <row r="759" spans="1:52" x14ac:dyDescent="0.25">
      <c r="A759" t="s">
        <v>4376</v>
      </c>
      <c r="B759" s="1">
        <v>41709</v>
      </c>
      <c r="C759" t="s">
        <v>4377</v>
      </c>
      <c r="D759">
        <v>469042</v>
      </c>
      <c r="E759" t="s">
        <v>46</v>
      </c>
      <c r="F759" t="s">
        <v>964</v>
      </c>
      <c r="G759" t="s">
        <v>66</v>
      </c>
      <c r="H759" t="s">
        <v>4377</v>
      </c>
      <c r="I759">
        <v>30</v>
      </c>
      <c r="J759">
        <v>14</v>
      </c>
      <c r="K759">
        <v>15</v>
      </c>
      <c r="L759">
        <v>-17</v>
      </c>
      <c r="M759">
        <v>15</v>
      </c>
      <c r="N759">
        <v>29</v>
      </c>
      <c r="O759" t="s">
        <v>60</v>
      </c>
      <c r="P759">
        <v>20</v>
      </c>
      <c r="Q759">
        <v>21</v>
      </c>
      <c r="R759">
        <v>-23</v>
      </c>
      <c r="S759">
        <v>21</v>
      </c>
      <c r="T759">
        <v>41</v>
      </c>
      <c r="U759" t="s">
        <v>60</v>
      </c>
      <c r="V759">
        <f t="shared" si="33"/>
        <v>4</v>
      </c>
      <c r="W759">
        <f t="shared" si="34"/>
        <v>0</v>
      </c>
      <c r="X759">
        <f t="shared" si="35"/>
        <v>0</v>
      </c>
      <c r="Y759">
        <v>36</v>
      </c>
      <c r="Z759">
        <v>70</v>
      </c>
      <c r="AA759" t="s">
        <v>4380</v>
      </c>
      <c r="AB759" t="s">
        <v>4381</v>
      </c>
      <c r="AC759" t="s">
        <v>49</v>
      </c>
      <c r="AD759">
        <v>999</v>
      </c>
      <c r="AE759">
        <v>35</v>
      </c>
      <c r="AF759" t="s">
        <v>50</v>
      </c>
      <c r="AH759" t="s">
        <v>253</v>
      </c>
      <c r="AI759">
        <v>208.48</v>
      </c>
      <c r="AJ759" t="s">
        <v>52</v>
      </c>
      <c r="AK759" t="s">
        <v>964</v>
      </c>
      <c r="AL759" t="s">
        <v>967</v>
      </c>
      <c r="AM759" t="s">
        <v>68</v>
      </c>
      <c r="AN759" s="1">
        <v>45641</v>
      </c>
      <c r="AO759">
        <v>2024</v>
      </c>
      <c r="AP759">
        <v>12</v>
      </c>
      <c r="AQ759" t="s">
        <v>116</v>
      </c>
      <c r="AS759" t="s">
        <v>85</v>
      </c>
      <c r="AT759">
        <v>2025</v>
      </c>
      <c r="AU759" t="s">
        <v>66</v>
      </c>
      <c r="AV759" t="s">
        <v>68</v>
      </c>
      <c r="AW759" t="s">
        <v>4377</v>
      </c>
      <c r="AX759">
        <v>2025</v>
      </c>
      <c r="AY759" t="s">
        <v>4378</v>
      </c>
      <c r="AZ759" t="s">
        <v>4379</v>
      </c>
    </row>
    <row r="760" spans="1:52" x14ac:dyDescent="0.25">
      <c r="A760" t="s">
        <v>4382</v>
      </c>
      <c r="B760" s="1">
        <v>38318</v>
      </c>
      <c r="C760" t="s">
        <v>4383</v>
      </c>
      <c r="D760">
        <v>490707</v>
      </c>
      <c r="E760" t="s">
        <v>46</v>
      </c>
      <c r="F760" t="s">
        <v>1254</v>
      </c>
      <c r="G760" t="s">
        <v>400</v>
      </c>
      <c r="H760" t="s">
        <v>4383</v>
      </c>
      <c r="I760">
        <v>80</v>
      </c>
      <c r="J760">
        <v>124</v>
      </c>
      <c r="K760">
        <v>127</v>
      </c>
      <c r="L760">
        <v>-130</v>
      </c>
      <c r="M760">
        <v>127</v>
      </c>
      <c r="N760">
        <v>251</v>
      </c>
      <c r="O760" t="s">
        <v>60</v>
      </c>
      <c r="P760">
        <v>152</v>
      </c>
      <c r="Q760">
        <v>157</v>
      </c>
      <c r="R760">
        <v>161</v>
      </c>
      <c r="S760">
        <v>161</v>
      </c>
      <c r="T760">
        <v>318</v>
      </c>
      <c r="U760" t="s">
        <v>48</v>
      </c>
      <c r="V760">
        <f t="shared" si="33"/>
        <v>5</v>
      </c>
      <c r="W760">
        <f t="shared" si="34"/>
        <v>0</v>
      </c>
      <c r="X760">
        <f t="shared" si="35"/>
        <v>0</v>
      </c>
      <c r="Y760">
        <v>288</v>
      </c>
      <c r="Z760">
        <v>569</v>
      </c>
      <c r="AA760" t="s">
        <v>4384</v>
      </c>
      <c r="AB760" t="s">
        <v>4385</v>
      </c>
      <c r="AC760" t="s">
        <v>94</v>
      </c>
      <c r="AD760">
        <v>4</v>
      </c>
      <c r="AE760">
        <v>81</v>
      </c>
      <c r="AF760" t="s">
        <v>126</v>
      </c>
      <c r="AH760" t="s">
        <v>138</v>
      </c>
      <c r="AI760">
        <v>368.02</v>
      </c>
      <c r="AJ760" t="s">
        <v>52</v>
      </c>
      <c r="AK760" t="s">
        <v>1254</v>
      </c>
      <c r="AL760" t="s">
        <v>1256</v>
      </c>
      <c r="AM760" t="s">
        <v>72</v>
      </c>
      <c r="AN760" s="1">
        <v>45640</v>
      </c>
      <c r="AO760">
        <v>2024</v>
      </c>
      <c r="AP760">
        <v>12</v>
      </c>
      <c r="AQ760" t="s">
        <v>116</v>
      </c>
      <c r="AS760" t="s">
        <v>85</v>
      </c>
      <c r="AT760">
        <v>2025</v>
      </c>
      <c r="AU760" t="s">
        <v>400</v>
      </c>
      <c r="AV760" t="s">
        <v>72</v>
      </c>
      <c r="AW760" t="s">
        <v>4383</v>
      </c>
      <c r="AX760">
        <v>2025</v>
      </c>
      <c r="AY760" t="s">
        <v>4384</v>
      </c>
      <c r="AZ760" t="s">
        <v>4384</v>
      </c>
    </row>
    <row r="761" spans="1:52" x14ac:dyDescent="0.25">
      <c r="A761" t="s">
        <v>4386</v>
      </c>
      <c r="B761" s="1">
        <v>33822</v>
      </c>
      <c r="C761" t="s">
        <v>4387</v>
      </c>
      <c r="D761">
        <v>471304</v>
      </c>
      <c r="E761" t="s">
        <v>46</v>
      </c>
      <c r="F761" t="s">
        <v>547</v>
      </c>
      <c r="G761" t="s">
        <v>400</v>
      </c>
      <c r="H761" t="s">
        <v>4387</v>
      </c>
      <c r="I761" t="s">
        <v>326</v>
      </c>
      <c r="J761">
        <v>90</v>
      </c>
      <c r="K761">
        <v>95</v>
      </c>
      <c r="L761">
        <v>100</v>
      </c>
      <c r="M761">
        <v>100</v>
      </c>
      <c r="N761">
        <v>195</v>
      </c>
      <c r="O761" t="s">
        <v>48</v>
      </c>
      <c r="P761">
        <v>108</v>
      </c>
      <c r="Q761">
        <v>112</v>
      </c>
      <c r="R761">
        <v>-120</v>
      </c>
      <c r="S761">
        <v>112</v>
      </c>
      <c r="T761">
        <v>220</v>
      </c>
      <c r="U761" t="s">
        <v>60</v>
      </c>
      <c r="V761">
        <f t="shared" si="33"/>
        <v>5</v>
      </c>
      <c r="W761">
        <f t="shared" si="34"/>
        <v>0</v>
      </c>
      <c r="X761">
        <f t="shared" si="35"/>
        <v>0</v>
      </c>
      <c r="Y761">
        <v>212</v>
      </c>
      <c r="Z761">
        <v>415</v>
      </c>
      <c r="AA761" t="s">
        <v>4389</v>
      </c>
      <c r="AB761" t="s">
        <v>4390</v>
      </c>
      <c r="AC761" t="s">
        <v>64</v>
      </c>
      <c r="AD761">
        <v>7</v>
      </c>
      <c r="AE761">
        <v>81</v>
      </c>
      <c r="AF761" t="s">
        <v>126</v>
      </c>
      <c r="AH761" t="s">
        <v>138</v>
      </c>
      <c r="AI761">
        <v>280.92</v>
      </c>
      <c r="AJ761" t="s">
        <v>52</v>
      </c>
      <c r="AK761" t="s">
        <v>547</v>
      </c>
      <c r="AL761" t="s">
        <v>551</v>
      </c>
      <c r="AM761" t="s">
        <v>72</v>
      </c>
      <c r="AN761" s="1">
        <v>45640</v>
      </c>
      <c r="AO761">
        <v>2024</v>
      </c>
      <c r="AP761">
        <v>12</v>
      </c>
      <c r="AQ761" t="s">
        <v>116</v>
      </c>
      <c r="AS761" t="s">
        <v>85</v>
      </c>
      <c r="AT761">
        <v>2025</v>
      </c>
      <c r="AU761" t="s">
        <v>400</v>
      </c>
      <c r="AV761" t="s">
        <v>72</v>
      </c>
      <c r="AW761" t="s">
        <v>4387</v>
      </c>
      <c r="AX761">
        <v>2025</v>
      </c>
      <c r="AY761" t="s">
        <v>4388</v>
      </c>
      <c r="AZ761" t="s">
        <v>4389</v>
      </c>
    </row>
    <row r="762" spans="1:52" x14ac:dyDescent="0.25">
      <c r="A762" t="s">
        <v>4391</v>
      </c>
      <c r="B762" s="1">
        <v>36053</v>
      </c>
      <c r="C762" t="s">
        <v>4392</v>
      </c>
      <c r="D762">
        <v>483288</v>
      </c>
      <c r="E762" t="s">
        <v>1224</v>
      </c>
      <c r="F762" t="s">
        <v>912</v>
      </c>
      <c r="G762" t="s">
        <v>536</v>
      </c>
      <c r="H762" t="s">
        <v>4392</v>
      </c>
      <c r="I762">
        <v>59</v>
      </c>
      <c r="J762">
        <v>57</v>
      </c>
      <c r="K762">
        <v>60</v>
      </c>
      <c r="L762">
        <v>-62</v>
      </c>
      <c r="M762">
        <v>60</v>
      </c>
      <c r="N762">
        <v>117</v>
      </c>
      <c r="O762" t="s">
        <v>60</v>
      </c>
      <c r="P762">
        <v>-75</v>
      </c>
      <c r="Q762">
        <v>-75</v>
      </c>
      <c r="R762">
        <v>80</v>
      </c>
      <c r="S762">
        <v>80</v>
      </c>
      <c r="T762">
        <v>0</v>
      </c>
      <c r="U762" t="s">
        <v>102</v>
      </c>
      <c r="V762">
        <f t="shared" si="33"/>
        <v>3</v>
      </c>
      <c r="W762">
        <f t="shared" si="34"/>
        <v>1</v>
      </c>
      <c r="X762">
        <f t="shared" si="35"/>
        <v>0</v>
      </c>
      <c r="Y762">
        <v>140</v>
      </c>
      <c r="Z762">
        <v>117</v>
      </c>
      <c r="AA762" t="s">
        <v>1902</v>
      </c>
      <c r="AB762" t="s">
        <v>1783</v>
      </c>
      <c r="AC762" t="s">
        <v>89</v>
      </c>
      <c r="AD762">
        <v>5</v>
      </c>
      <c r="AE762">
        <v>59</v>
      </c>
      <c r="AF762" t="s">
        <v>126</v>
      </c>
      <c r="AH762" t="s">
        <v>202</v>
      </c>
      <c r="AI762">
        <v>191.56</v>
      </c>
      <c r="AJ762" t="s">
        <v>132</v>
      </c>
      <c r="AK762" t="s">
        <v>912</v>
      </c>
      <c r="AL762" t="s">
        <v>914</v>
      </c>
      <c r="AM762" t="s">
        <v>128</v>
      </c>
      <c r="AN762" s="1">
        <v>45640</v>
      </c>
      <c r="AO762">
        <v>2024</v>
      </c>
      <c r="AP762">
        <v>12</v>
      </c>
      <c r="AQ762" t="s">
        <v>116</v>
      </c>
      <c r="AS762" t="s">
        <v>85</v>
      </c>
      <c r="AT762">
        <v>2025</v>
      </c>
      <c r="AU762" t="s">
        <v>536</v>
      </c>
      <c r="AV762" t="s">
        <v>128</v>
      </c>
      <c r="AW762" t="s">
        <v>4392</v>
      </c>
      <c r="AX762">
        <v>2025</v>
      </c>
      <c r="AY762" t="s">
        <v>1902</v>
      </c>
      <c r="AZ762" t="s">
        <v>1902</v>
      </c>
    </row>
    <row r="763" spans="1:52" x14ac:dyDescent="0.25">
      <c r="A763" t="s">
        <v>4393</v>
      </c>
      <c r="B763" s="1">
        <v>39216</v>
      </c>
      <c r="C763" t="s">
        <v>4394</v>
      </c>
      <c r="D763">
        <v>479215</v>
      </c>
      <c r="E763" t="s">
        <v>2401</v>
      </c>
      <c r="F763" t="s">
        <v>954</v>
      </c>
      <c r="G763" t="s">
        <v>329</v>
      </c>
      <c r="H763" t="s">
        <v>4394</v>
      </c>
      <c r="I763" t="s">
        <v>1342</v>
      </c>
      <c r="J763">
        <v>59</v>
      </c>
      <c r="K763">
        <v>62</v>
      </c>
      <c r="L763">
        <v>-64</v>
      </c>
      <c r="M763">
        <v>62</v>
      </c>
      <c r="N763">
        <v>121</v>
      </c>
      <c r="O763" t="s">
        <v>60</v>
      </c>
      <c r="P763">
        <v>75</v>
      </c>
      <c r="Q763">
        <v>-79</v>
      </c>
      <c r="R763">
        <v>-80</v>
      </c>
      <c r="S763">
        <v>75</v>
      </c>
      <c r="T763">
        <v>0</v>
      </c>
      <c r="U763" t="s">
        <v>55</v>
      </c>
      <c r="V763">
        <f t="shared" si="33"/>
        <v>3</v>
      </c>
      <c r="W763">
        <f t="shared" si="34"/>
        <v>0</v>
      </c>
      <c r="X763">
        <f t="shared" si="35"/>
        <v>0</v>
      </c>
      <c r="Y763">
        <v>137</v>
      </c>
      <c r="Z763">
        <v>121</v>
      </c>
      <c r="AA763" t="s">
        <v>4395</v>
      </c>
      <c r="AB763" t="s">
        <v>4396</v>
      </c>
      <c r="AC763" t="s">
        <v>94</v>
      </c>
      <c r="AD763">
        <v>4</v>
      </c>
      <c r="AE763">
        <v>59</v>
      </c>
      <c r="AF763" t="s">
        <v>113</v>
      </c>
      <c r="AH763" t="s">
        <v>352</v>
      </c>
      <c r="AI763">
        <v>195.24</v>
      </c>
      <c r="AJ763" t="s">
        <v>132</v>
      </c>
      <c r="AK763" t="s">
        <v>954</v>
      </c>
      <c r="AL763" t="s">
        <v>957</v>
      </c>
      <c r="AM763" t="s">
        <v>133</v>
      </c>
      <c r="AN763" s="1">
        <v>45641</v>
      </c>
      <c r="AO763">
        <v>2024</v>
      </c>
      <c r="AP763">
        <v>12</v>
      </c>
      <c r="AQ763" t="s">
        <v>116</v>
      </c>
      <c r="AS763" t="s">
        <v>85</v>
      </c>
      <c r="AT763">
        <v>2025</v>
      </c>
      <c r="AU763" t="s">
        <v>329</v>
      </c>
      <c r="AV763" t="s">
        <v>133</v>
      </c>
      <c r="AW763" t="s">
        <v>4394</v>
      </c>
      <c r="AX763">
        <v>2025</v>
      </c>
      <c r="AY763" t="s">
        <v>1718</v>
      </c>
      <c r="AZ763" t="s">
        <v>3086</v>
      </c>
    </row>
    <row r="764" spans="1:52" x14ac:dyDescent="0.25">
      <c r="A764" t="s">
        <v>4397</v>
      </c>
      <c r="B764" s="1">
        <v>40383</v>
      </c>
      <c r="C764" t="s">
        <v>4398</v>
      </c>
      <c r="D764">
        <v>489951</v>
      </c>
      <c r="E764" t="s">
        <v>46</v>
      </c>
      <c r="F764" t="s">
        <v>1071</v>
      </c>
      <c r="G764" t="s">
        <v>469</v>
      </c>
      <c r="H764" t="s">
        <v>4398</v>
      </c>
      <c r="I764" t="s">
        <v>176</v>
      </c>
      <c r="J764">
        <v>-50</v>
      </c>
      <c r="K764">
        <v>50</v>
      </c>
      <c r="L764">
        <v>-53</v>
      </c>
      <c r="M764">
        <v>50</v>
      </c>
      <c r="N764">
        <v>0</v>
      </c>
      <c r="O764" t="s">
        <v>104</v>
      </c>
      <c r="P764">
        <v>60</v>
      </c>
      <c r="Q764">
        <v>65</v>
      </c>
      <c r="R764">
        <v>-70</v>
      </c>
      <c r="S764">
        <v>65</v>
      </c>
      <c r="T764">
        <v>125</v>
      </c>
      <c r="U764" t="s">
        <v>60</v>
      </c>
      <c r="V764">
        <f t="shared" si="33"/>
        <v>3</v>
      </c>
      <c r="W764">
        <f t="shared" si="34"/>
        <v>0</v>
      </c>
      <c r="X764">
        <f t="shared" si="35"/>
        <v>0</v>
      </c>
      <c r="Y764">
        <v>115</v>
      </c>
      <c r="Z764">
        <v>125</v>
      </c>
      <c r="AA764" t="s">
        <v>2366</v>
      </c>
      <c r="AB764" t="s">
        <v>4399</v>
      </c>
      <c r="AC764" t="s">
        <v>89</v>
      </c>
      <c r="AD764">
        <v>5</v>
      </c>
      <c r="AE764">
        <v>55</v>
      </c>
      <c r="AF764" t="s">
        <v>57</v>
      </c>
      <c r="AH764" t="s">
        <v>61</v>
      </c>
      <c r="AI764">
        <v>191.27</v>
      </c>
      <c r="AJ764" t="s">
        <v>52</v>
      </c>
      <c r="AK764" t="s">
        <v>1071</v>
      </c>
      <c r="AL764" t="s">
        <v>1073</v>
      </c>
      <c r="AM764" t="s">
        <v>68</v>
      </c>
      <c r="AN764" s="1">
        <v>45640</v>
      </c>
      <c r="AO764">
        <v>2024</v>
      </c>
      <c r="AP764">
        <v>12</v>
      </c>
      <c r="AQ764" t="s">
        <v>116</v>
      </c>
      <c r="AS764" t="s">
        <v>85</v>
      </c>
      <c r="AT764">
        <v>2025</v>
      </c>
      <c r="AU764" t="s">
        <v>469</v>
      </c>
      <c r="AV764" t="s">
        <v>68</v>
      </c>
      <c r="AW764" t="s">
        <v>4398</v>
      </c>
      <c r="AX764">
        <v>2025</v>
      </c>
      <c r="AY764" t="s">
        <v>2366</v>
      </c>
      <c r="AZ764" t="s">
        <v>2366</v>
      </c>
    </row>
    <row r="765" spans="1:52" x14ac:dyDescent="0.25">
      <c r="A765" t="s">
        <v>4400</v>
      </c>
      <c r="B765" s="1">
        <v>34931</v>
      </c>
      <c r="C765" t="s">
        <v>4401</v>
      </c>
      <c r="D765">
        <v>459924</v>
      </c>
      <c r="E765" t="s">
        <v>46</v>
      </c>
      <c r="F765" t="s">
        <v>710</v>
      </c>
      <c r="G765" t="s">
        <v>258</v>
      </c>
      <c r="H765" t="s">
        <v>4401</v>
      </c>
      <c r="I765" t="s">
        <v>640</v>
      </c>
      <c r="J765">
        <v>110</v>
      </c>
      <c r="K765">
        <v>-115</v>
      </c>
      <c r="L765">
        <v>-115</v>
      </c>
      <c r="M765">
        <v>110</v>
      </c>
      <c r="N765">
        <v>0</v>
      </c>
      <c r="O765" t="s">
        <v>55</v>
      </c>
      <c r="P765">
        <v>-145</v>
      </c>
      <c r="Q765">
        <v>-145</v>
      </c>
      <c r="R765">
        <v>-145</v>
      </c>
      <c r="S765">
        <v>0</v>
      </c>
      <c r="T765">
        <v>0</v>
      </c>
      <c r="U765" t="s">
        <v>108</v>
      </c>
      <c r="V765">
        <f t="shared" si="33"/>
        <v>1</v>
      </c>
      <c r="W765">
        <f t="shared" si="34"/>
        <v>0</v>
      </c>
      <c r="X765">
        <f t="shared" si="35"/>
        <v>0</v>
      </c>
      <c r="Y765">
        <v>110</v>
      </c>
      <c r="Z765">
        <v>0</v>
      </c>
      <c r="AA765" t="s">
        <v>4403</v>
      </c>
      <c r="AB765" t="s">
        <v>99</v>
      </c>
      <c r="AC765" t="s">
        <v>49</v>
      </c>
      <c r="AD765">
        <v>999</v>
      </c>
      <c r="AE765">
        <v>96</v>
      </c>
      <c r="AF765" t="s">
        <v>126</v>
      </c>
      <c r="AH765" t="s">
        <v>222</v>
      </c>
      <c r="AI765">
        <v>0</v>
      </c>
      <c r="AJ765" t="s">
        <v>52</v>
      </c>
      <c r="AK765" t="s">
        <v>710</v>
      </c>
      <c r="AL765" t="s">
        <v>712</v>
      </c>
      <c r="AM765" t="s">
        <v>128</v>
      </c>
      <c r="AN765" s="1">
        <v>45640</v>
      </c>
      <c r="AO765">
        <v>2024</v>
      </c>
      <c r="AP765">
        <v>12</v>
      </c>
      <c r="AQ765" t="s">
        <v>116</v>
      </c>
      <c r="AS765" t="s">
        <v>85</v>
      </c>
      <c r="AT765">
        <v>2025</v>
      </c>
      <c r="AU765" t="s">
        <v>258</v>
      </c>
      <c r="AV765" t="s">
        <v>128</v>
      </c>
      <c r="AW765" t="s">
        <v>4401</v>
      </c>
      <c r="AX765">
        <v>2025</v>
      </c>
      <c r="AY765" t="s">
        <v>4402</v>
      </c>
      <c r="AZ765" t="s">
        <v>4404</v>
      </c>
    </row>
    <row r="766" spans="1:52" x14ac:dyDescent="0.25">
      <c r="A766" t="s">
        <v>4405</v>
      </c>
      <c r="B766" s="1">
        <v>37665</v>
      </c>
      <c r="C766" t="s">
        <v>4406</v>
      </c>
      <c r="D766">
        <v>352110</v>
      </c>
      <c r="E766" t="s">
        <v>46</v>
      </c>
      <c r="F766" t="s">
        <v>693</v>
      </c>
      <c r="G766" t="s">
        <v>402</v>
      </c>
      <c r="H766" t="s">
        <v>4406</v>
      </c>
      <c r="I766" t="s">
        <v>341</v>
      </c>
      <c r="J766">
        <v>72</v>
      </c>
      <c r="K766">
        <v>75</v>
      </c>
      <c r="L766">
        <v>77</v>
      </c>
      <c r="M766">
        <v>77</v>
      </c>
      <c r="N766">
        <v>152</v>
      </c>
      <c r="O766" t="s">
        <v>48</v>
      </c>
      <c r="P766">
        <v>90</v>
      </c>
      <c r="Q766">
        <v>95</v>
      </c>
      <c r="R766">
        <v>-101</v>
      </c>
      <c r="S766">
        <v>95</v>
      </c>
      <c r="T766">
        <v>185</v>
      </c>
      <c r="U766" t="s">
        <v>60</v>
      </c>
      <c r="V766">
        <f t="shared" si="33"/>
        <v>5</v>
      </c>
      <c r="W766">
        <f t="shared" si="34"/>
        <v>0</v>
      </c>
      <c r="X766">
        <f t="shared" si="35"/>
        <v>0</v>
      </c>
      <c r="Y766">
        <v>172</v>
      </c>
      <c r="Z766">
        <v>337</v>
      </c>
      <c r="AA766" t="s">
        <v>3680</v>
      </c>
      <c r="AB766" t="s">
        <v>4408</v>
      </c>
      <c r="AC766" t="s">
        <v>94</v>
      </c>
      <c r="AD766">
        <v>4</v>
      </c>
      <c r="AE766">
        <v>71</v>
      </c>
      <c r="AF766" t="s">
        <v>126</v>
      </c>
      <c r="AH766" t="s">
        <v>226</v>
      </c>
      <c r="AI766">
        <v>211.89</v>
      </c>
      <c r="AJ766" t="s">
        <v>132</v>
      </c>
      <c r="AK766" t="s">
        <v>693</v>
      </c>
      <c r="AL766" t="s">
        <v>696</v>
      </c>
      <c r="AM766" t="s">
        <v>139</v>
      </c>
      <c r="AN766" s="1">
        <v>45641</v>
      </c>
      <c r="AO766">
        <v>2024</v>
      </c>
      <c r="AP766">
        <v>12</v>
      </c>
      <c r="AQ766" t="s">
        <v>116</v>
      </c>
      <c r="AS766" t="s">
        <v>85</v>
      </c>
      <c r="AT766">
        <v>2025</v>
      </c>
      <c r="AU766" t="s">
        <v>402</v>
      </c>
      <c r="AV766" t="s">
        <v>140</v>
      </c>
      <c r="AW766" t="s">
        <v>4406</v>
      </c>
      <c r="AX766">
        <v>2025</v>
      </c>
      <c r="AY766" t="s">
        <v>4407</v>
      </c>
      <c r="AZ766" t="s">
        <v>3680</v>
      </c>
    </row>
    <row r="767" spans="1:52" x14ac:dyDescent="0.25">
      <c r="A767" t="s">
        <v>4417</v>
      </c>
      <c r="B767" s="1">
        <v>41736</v>
      </c>
      <c r="C767" t="s">
        <v>4418</v>
      </c>
      <c r="D767">
        <v>477641</v>
      </c>
      <c r="E767" t="s">
        <v>46</v>
      </c>
      <c r="F767" t="s">
        <v>867</v>
      </c>
      <c r="G767" t="s">
        <v>296</v>
      </c>
      <c r="H767" t="s">
        <v>4418</v>
      </c>
      <c r="I767" t="s">
        <v>4420</v>
      </c>
      <c r="J767">
        <v>20</v>
      </c>
      <c r="K767">
        <v>22</v>
      </c>
      <c r="L767">
        <v>-24</v>
      </c>
      <c r="M767">
        <v>22</v>
      </c>
      <c r="N767">
        <v>42</v>
      </c>
      <c r="O767" t="s">
        <v>60</v>
      </c>
      <c r="P767">
        <v>26</v>
      </c>
      <c r="Q767">
        <v>-28</v>
      </c>
      <c r="R767">
        <v>-28</v>
      </c>
      <c r="S767">
        <v>26</v>
      </c>
      <c r="T767">
        <v>0</v>
      </c>
      <c r="U767" t="s">
        <v>55</v>
      </c>
      <c r="V767">
        <f t="shared" si="33"/>
        <v>3</v>
      </c>
      <c r="W767">
        <f t="shared" si="34"/>
        <v>0</v>
      </c>
      <c r="X767">
        <f t="shared" si="35"/>
        <v>0</v>
      </c>
      <c r="Y767">
        <v>48</v>
      </c>
      <c r="Z767">
        <v>42</v>
      </c>
      <c r="AA767" t="s">
        <v>4421</v>
      </c>
      <c r="AB767" t="s">
        <v>4422</v>
      </c>
      <c r="AC767" t="s">
        <v>49</v>
      </c>
      <c r="AD767">
        <v>999</v>
      </c>
      <c r="AE767">
        <v>35</v>
      </c>
      <c r="AF767" t="s">
        <v>50</v>
      </c>
      <c r="AH767" t="s">
        <v>450</v>
      </c>
      <c r="AI767">
        <v>0</v>
      </c>
      <c r="AJ767" t="s">
        <v>132</v>
      </c>
      <c r="AK767" t="s">
        <v>867</v>
      </c>
      <c r="AL767" t="s">
        <v>869</v>
      </c>
      <c r="AM767" t="s">
        <v>68</v>
      </c>
      <c r="AN767" s="1">
        <v>45641</v>
      </c>
      <c r="AO767">
        <v>2024</v>
      </c>
      <c r="AP767">
        <v>12</v>
      </c>
      <c r="AQ767" t="s">
        <v>116</v>
      </c>
      <c r="AS767" t="s">
        <v>85</v>
      </c>
      <c r="AT767">
        <v>2025</v>
      </c>
      <c r="AU767" t="s">
        <v>296</v>
      </c>
      <c r="AV767" t="s">
        <v>68</v>
      </c>
      <c r="AW767" t="s">
        <v>4418</v>
      </c>
      <c r="AX767">
        <v>2025</v>
      </c>
      <c r="AY767" t="s">
        <v>4419</v>
      </c>
      <c r="AZ767" t="s">
        <v>4419</v>
      </c>
    </row>
    <row r="768" spans="1:52" x14ac:dyDescent="0.25">
      <c r="A768" t="s">
        <v>4409</v>
      </c>
      <c r="B768" s="1">
        <v>40817</v>
      </c>
      <c r="C768" t="s">
        <v>4410</v>
      </c>
      <c r="D768">
        <v>479033</v>
      </c>
      <c r="E768" t="s">
        <v>46</v>
      </c>
      <c r="F768" t="s">
        <v>213</v>
      </c>
      <c r="G768" t="s">
        <v>70</v>
      </c>
      <c r="H768" t="s">
        <v>4410</v>
      </c>
      <c r="I768" t="s">
        <v>508</v>
      </c>
      <c r="J768">
        <v>28</v>
      </c>
      <c r="K768">
        <v>-31</v>
      </c>
      <c r="L768">
        <v>31</v>
      </c>
      <c r="M768">
        <v>31</v>
      </c>
      <c r="N768">
        <v>59</v>
      </c>
      <c r="O768" t="s">
        <v>65</v>
      </c>
      <c r="P768">
        <v>38</v>
      </c>
      <c r="Q768">
        <v>41</v>
      </c>
      <c r="R768">
        <v>44</v>
      </c>
      <c r="S768">
        <v>44</v>
      </c>
      <c r="T768">
        <v>85</v>
      </c>
      <c r="U768" t="s">
        <v>48</v>
      </c>
      <c r="V768">
        <f t="shared" si="33"/>
        <v>5</v>
      </c>
      <c r="W768">
        <f t="shared" si="34"/>
        <v>0</v>
      </c>
      <c r="X768">
        <f t="shared" si="35"/>
        <v>0</v>
      </c>
      <c r="Y768">
        <v>75</v>
      </c>
      <c r="Z768">
        <v>144</v>
      </c>
      <c r="AA768" t="s">
        <v>4411</v>
      </c>
      <c r="AB768" t="s">
        <v>4412</v>
      </c>
      <c r="AC768" t="s">
        <v>89</v>
      </c>
      <c r="AD768">
        <v>5</v>
      </c>
      <c r="AE768">
        <v>49</v>
      </c>
      <c r="AF768" t="s">
        <v>57</v>
      </c>
      <c r="AH768" t="s">
        <v>784</v>
      </c>
      <c r="AI768">
        <v>119.78</v>
      </c>
      <c r="AJ768" t="s">
        <v>132</v>
      </c>
      <c r="AK768" t="s">
        <v>213</v>
      </c>
      <c r="AL768" t="s">
        <v>217</v>
      </c>
      <c r="AM768" t="s">
        <v>72</v>
      </c>
      <c r="AN768" s="1">
        <v>45640</v>
      </c>
      <c r="AO768">
        <v>2024</v>
      </c>
      <c r="AP768">
        <v>12</v>
      </c>
      <c r="AQ768" t="s">
        <v>116</v>
      </c>
      <c r="AS768" t="s">
        <v>85</v>
      </c>
      <c r="AT768">
        <v>2025</v>
      </c>
      <c r="AU768" t="s">
        <v>70</v>
      </c>
      <c r="AV768" t="s">
        <v>72</v>
      </c>
      <c r="AW768" t="s">
        <v>4410</v>
      </c>
      <c r="AX768">
        <v>2025</v>
      </c>
      <c r="AY768" t="s">
        <v>4411</v>
      </c>
      <c r="AZ768" t="s">
        <v>4411</v>
      </c>
    </row>
    <row r="769" spans="1:52" x14ac:dyDescent="0.25">
      <c r="A769" t="s">
        <v>4413</v>
      </c>
      <c r="B769" s="1">
        <v>38374</v>
      </c>
      <c r="C769" t="s">
        <v>4414</v>
      </c>
      <c r="D769">
        <v>473962</v>
      </c>
      <c r="E769" t="s">
        <v>46</v>
      </c>
      <c r="F769" t="s">
        <v>263</v>
      </c>
      <c r="G769" t="s">
        <v>544</v>
      </c>
      <c r="H769" t="s">
        <v>4414</v>
      </c>
      <c r="I769" t="s">
        <v>259</v>
      </c>
      <c r="J769">
        <v>77</v>
      </c>
      <c r="K769">
        <v>82</v>
      </c>
      <c r="L769">
        <v>85</v>
      </c>
      <c r="M769">
        <v>85</v>
      </c>
      <c r="N769">
        <v>167</v>
      </c>
      <c r="O769" t="s">
        <v>48</v>
      </c>
      <c r="P769">
        <v>89</v>
      </c>
      <c r="Q769">
        <v>93</v>
      </c>
      <c r="R769">
        <v>95</v>
      </c>
      <c r="S769">
        <v>95</v>
      </c>
      <c r="T769">
        <v>188</v>
      </c>
      <c r="U769" t="s">
        <v>48</v>
      </c>
      <c r="V769">
        <f t="shared" si="33"/>
        <v>6</v>
      </c>
      <c r="W769">
        <f t="shared" si="34"/>
        <v>0</v>
      </c>
      <c r="X769">
        <f t="shared" si="35"/>
        <v>0</v>
      </c>
      <c r="Y769">
        <v>180</v>
      </c>
      <c r="Z769">
        <v>355</v>
      </c>
      <c r="AA769" t="s">
        <v>4415</v>
      </c>
      <c r="AB769" t="s">
        <v>4416</v>
      </c>
      <c r="AC769" t="s">
        <v>98</v>
      </c>
      <c r="AD769">
        <v>3</v>
      </c>
      <c r="AE769">
        <v>81</v>
      </c>
      <c r="AF769" t="s">
        <v>113</v>
      </c>
      <c r="AH769" t="s">
        <v>881</v>
      </c>
      <c r="AI769">
        <v>208.04</v>
      </c>
      <c r="AJ769" t="s">
        <v>132</v>
      </c>
      <c r="AK769" t="s">
        <v>263</v>
      </c>
      <c r="AL769" t="s">
        <v>267</v>
      </c>
      <c r="AM769" t="s">
        <v>145</v>
      </c>
      <c r="AN769" s="1">
        <v>45640</v>
      </c>
      <c r="AO769">
        <v>2024</v>
      </c>
      <c r="AP769">
        <v>12</v>
      </c>
      <c r="AQ769" t="s">
        <v>116</v>
      </c>
      <c r="AS769" t="s">
        <v>85</v>
      </c>
      <c r="AT769">
        <v>2025</v>
      </c>
      <c r="AU769" t="s">
        <v>544</v>
      </c>
      <c r="AV769" t="s">
        <v>145</v>
      </c>
      <c r="AW769" t="s">
        <v>4414</v>
      </c>
      <c r="AX769">
        <v>2025</v>
      </c>
      <c r="AY769" t="s">
        <v>4415</v>
      </c>
      <c r="AZ769" t="s">
        <v>4415</v>
      </c>
    </row>
  </sheetData>
  <autoFilter ref="A1:BA769" xr:uid="{4A871249-3CAF-4048-86F7-34CB95AF254A}"/>
  <sortState xmlns:xlrd2="http://schemas.microsoft.com/office/spreadsheetml/2017/richdata2" ref="A2:BA55629">
    <sortCondition ref="A2:A5562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Bulles&amp;6sur6</vt:lpstr>
      <vt:lpstr>Analyses</vt:lpstr>
      <vt:lpstr>Classement F</vt:lpstr>
      <vt:lpstr>H</vt:lpstr>
      <vt:lpstr>U20 F</vt:lpstr>
      <vt:lpstr>U20 H</vt:lpstr>
      <vt:lpstr>U17 F</vt:lpstr>
      <vt:lpstr>U17 H</vt:lpstr>
      <vt:lpstr>U15 F</vt:lpstr>
      <vt:lpstr>U15 M</vt:lpstr>
      <vt:lpstr>full_haltero_db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Joris Dawid</cp:lastModifiedBy>
  <dcterms:created xsi:type="dcterms:W3CDTF">2024-12-15T20:36:35Z</dcterms:created>
  <dcterms:modified xsi:type="dcterms:W3CDTF">2024-12-16T12:58:00Z</dcterms:modified>
</cp:coreProperties>
</file>