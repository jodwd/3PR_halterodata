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ris\PycharmProjects\halterodata\"/>
    </mc:Choice>
  </mc:AlternateContent>
  <xr:revisionPtr revIDLastSave="0" documentId="13_ncr:1_{1F7B675A-D446-47CC-9C38-98114EEA145D}" xr6:coauthVersionLast="47" xr6:coauthVersionMax="47" xr10:uidLastSave="{00000000-0000-0000-0000-000000000000}"/>
  <bookViews>
    <workbookView xWindow="-23148" yWindow="-108" windowWidth="23256" windowHeight="12456" activeTab="1" xr2:uid="{0F844C67-9F56-40AF-86B0-A02C303EEA64}"/>
  </bookViews>
  <sheets>
    <sheet name="jason_converted" sheetId="1" r:id="rId1"/>
    <sheet name="Feuil1" sheetId="2" r:id="rId2"/>
  </sheets>
  <calcPr calcId="0"/>
</workbook>
</file>

<file path=xl/calcChain.xml><?xml version="1.0" encoding="utf-8"?>
<calcChain xmlns="http://schemas.openxmlformats.org/spreadsheetml/2006/main">
  <c r="A3" i="2" l="1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<sst xmlns="http://schemas.openxmlformats.org/spreadsheetml/2006/main" count="2640" uniqueCount="2322">
  <si>
    <t>clubs</t>
  </si>
  <si>
    <t>{'id': 1</t>
  </si>
  <si>
    <t xml:space="preserve"> 'nom': 'Palais des Sports Xavier Le Louarne - KERVARIC'</t>
  </si>
  <si>
    <t xml:space="preserve"> 'adresse1': 'RUE ALFRED DREYFUS'</t>
  </si>
  <si>
    <t xml:space="preserve"> 'adresse2': 'PALAIS DES SPORTS  KERVARIC '</t>
  </si>
  <si>
    <t xml:space="preserve"> 'codepostal': '56100'</t>
  </si>
  <si>
    <t xml:space="preserve"> 'ville': 'LORIENT'</t>
  </si>
  <si>
    <t xml:space="preserve"> 'tel': None</t>
  </si>
  <si>
    <t xml:space="preserve"> 'lat': '47.747558699999999'</t>
  </si>
  <si>
    <t xml:space="preserve"> 'lng': '-3.387957521849272'</t>
  </si>
  <si>
    <t xml:space="preserve"> 'nomClub': 'CA LORIENTAIS'</t>
  </si>
  <si>
    <t xml:space="preserve"> 'nomCourtClub': 'CA LORIENT'</t>
  </si>
  <si>
    <t xml:space="preserve"> 'url': '/pratiquer/ou-pratiquer/ou-pratiquer-fiche-club/06560092-ca-lorientais'}</t>
  </si>
  <si>
    <t>{'id': 2</t>
  </si>
  <si>
    <t xml:space="preserve"> 'nom': 'Palais des sport de Vaulx en Velin'</t>
  </si>
  <si>
    <t xml:space="preserve"> 'adresse1': 'RUE MAURICE AUDIN'</t>
  </si>
  <si>
    <t xml:space="preserve"> 'adresse2': ''</t>
  </si>
  <si>
    <t xml:space="preserve"> 'codepostal': '69120'</t>
  </si>
  <si>
    <t xml:space="preserve"> 'ville': 'VAULX-EN-VELIN'</t>
  </si>
  <si>
    <t xml:space="preserve"> 'tel': '06.52.21.99.57'</t>
  </si>
  <si>
    <t xml:space="preserve"> 'lat': '45.778045599999999'</t>
  </si>
  <si>
    <t xml:space="preserve"> 'lng': '4.921128509828417'</t>
  </si>
  <si>
    <t xml:space="preserve"> 'nomClub': 'ELITE BARBELL VAULX EN VELIN'</t>
  </si>
  <si>
    <t xml:space="preserve"> 'nomCourtClub': 'ELITE BARBELL VAULX EN VELIN'</t>
  </si>
  <si>
    <t xml:space="preserve"> 'url': '/pratiquer/ou-pratiquer/ou-pratiquer-fiche-club/22690291-elite-barbell-vaulx-en-velin'}</t>
  </si>
  <si>
    <t>{'id': 3</t>
  </si>
  <si>
    <t xml:space="preserve"> 'nom': 'ATHLETIC CLUB SAINT MARCELLIN'</t>
  </si>
  <si>
    <t xml:space="preserve"> 'adresse1': 'AVENUE DU DOCTEUR CARRIER'</t>
  </si>
  <si>
    <t xml:space="preserve"> 'adresse2': 'GYMNASE CARRIER '</t>
  </si>
  <si>
    <t xml:space="preserve"> 'codepostal': '38160'</t>
  </si>
  <si>
    <t xml:space="preserve"> 'ville': 'SAINT-MARCELLIN'</t>
  </si>
  <si>
    <t xml:space="preserve"> 'tel': '04.76.38.32.00'</t>
  </si>
  <si>
    <t xml:space="preserve"> 'lat': '45.151263499999999'</t>
  </si>
  <si>
    <t xml:space="preserve"> 'lng': '5.314602718951019'</t>
  </si>
  <si>
    <t xml:space="preserve"> 'nomClub': 'ATHLETIC CLUB SAINT MARCELLIN'</t>
  </si>
  <si>
    <t xml:space="preserve"> 'nomCourtClub': 'ATHLETIC CLUB SAINT MARCELLIN'</t>
  </si>
  <si>
    <t xml:space="preserve"> 'url': '/pratiquer/ou-pratiquer/ou-pratiquer-fiche-club/22380138-athletic-club-saint-marcellin'}</t>
  </si>
  <si>
    <t>{'id': 4</t>
  </si>
  <si>
    <t xml:space="preserve"> 'nom': 'Istres Sport Haltérophilie'</t>
  </si>
  <si>
    <t xml:space="preserve"> 'adresse1': 'AVENUE RADOLFZELL'</t>
  </si>
  <si>
    <t xml:space="preserve"> 'codepostal': '13800'</t>
  </si>
  <si>
    <t xml:space="preserve"> 'ville': 'ISTRES'</t>
  </si>
  <si>
    <t xml:space="preserve"> 'lat': '43.500787456145993'</t>
  </si>
  <si>
    <t xml:space="preserve"> 'lng': '4.996019303798676'</t>
  </si>
  <si>
    <t xml:space="preserve"> 'nomClub': 'ISTRES SPORT HALTEROPHILIE'</t>
  </si>
  <si>
    <t xml:space="preserve"> 'nomCourtClub': 'ISTRES SPORT HALTEROPHILIE'</t>
  </si>
  <si>
    <t xml:space="preserve"> 'url': '/pratiquer/ou-pratiquer/ou-pratiquer-fiche-club/20130626-istres-sport-halterophilie'}</t>
  </si>
  <si>
    <t>{'id': 5</t>
  </si>
  <si>
    <t xml:space="preserve"> 'nom': 'CHM AUBENAS'</t>
  </si>
  <si>
    <t xml:space="preserve"> 'adresse1': '15 CHEMIN DU TENNIS'</t>
  </si>
  <si>
    <t xml:space="preserve"> 'adresse2': 'QUARTIER ROQUA'</t>
  </si>
  <si>
    <t xml:space="preserve"> 'codepostal': '07200'</t>
  </si>
  <si>
    <t xml:space="preserve"> 'ville': 'AUBENAS'</t>
  </si>
  <si>
    <t xml:space="preserve"> 'tel': '0634368268'</t>
  </si>
  <si>
    <t xml:space="preserve"> 'lat': '44.628847199999996'</t>
  </si>
  <si>
    <t xml:space="preserve"> 'lng': '4.385909122075056'</t>
  </si>
  <si>
    <t xml:space="preserve"> 'nomClub': 'CHM AUBENAS'</t>
  </si>
  <si>
    <t xml:space="preserve"> 'nomCourtClub': 'CHM AUBENAS'</t>
  </si>
  <si>
    <t xml:space="preserve"> 'url': '/pratiquer/ou-pratiquer/ou-pratiquer-fiche-club/22070131-chm-aubenas'}</t>
  </si>
  <si>
    <t>{'id': 6</t>
  </si>
  <si>
    <t xml:space="preserve"> 'nom': 'Palais des sports'</t>
  </si>
  <si>
    <t xml:space="preserve"> 'adresse1': '4 BOULEVARD RICHET'</t>
  </si>
  <si>
    <t xml:space="preserve"> 'codepostal': '70300'</t>
  </si>
  <si>
    <t xml:space="preserve"> 'ville': 'LUXEUIL-LES-BAINS'</t>
  </si>
  <si>
    <t xml:space="preserve"> 'tel': '0672426258'</t>
  </si>
  <si>
    <t xml:space="preserve"> 'lat': '47.816829499999997'</t>
  </si>
  <si>
    <t xml:space="preserve"> 'lng': '6.376739671383646'</t>
  </si>
  <si>
    <t xml:space="preserve"> 'nomClub': 'CLUB HALTEROPHILE LUXOVIEN'</t>
  </si>
  <si>
    <t xml:space="preserve"> 'nomCourtClub': 'CH LUXEUIL'</t>
  </si>
  <si>
    <t xml:space="preserve"> 'url': '/pratiquer/ou-pratiquer/ou-pratiquer-fiche-club/10700164-club-halterophile-luxovien'}</t>
  </si>
  <si>
    <t>{'id': 7</t>
  </si>
  <si>
    <t xml:space="preserve"> 'nom': 'CENTRE SPORTIF OUEST'</t>
  </si>
  <si>
    <t xml:space="preserve"> 'adresse1': '6 RUE CHEMIN LONG'</t>
  </si>
  <si>
    <t xml:space="preserve"> 'adresse2': 'HALL DES SPORTS '</t>
  </si>
  <si>
    <t xml:space="preserve"> 'codepostal': '67200'</t>
  </si>
  <si>
    <t xml:space="preserve"> 'ville': 'STRASBOURG'</t>
  </si>
  <si>
    <t xml:space="preserve"> 'lat': '48.582318000000001'</t>
  </si>
  <si>
    <t xml:space="preserve"> 'lng': '7.719352000000000'</t>
  </si>
  <si>
    <t xml:space="preserve"> 'nomClub': 'ASPTT STRASBOURG'</t>
  </si>
  <si>
    <t xml:space="preserve"> 'nomCourtClub': 'ASPTT STRASBOURG'</t>
  </si>
  <si>
    <t xml:space="preserve"> 'url': '/pratiquer/ou-pratiquer/ou-pratiquer-fiche-club/01670661-asptt-strasbourg'}</t>
  </si>
  <si>
    <t>{'id': 8</t>
  </si>
  <si>
    <t xml:space="preserve"> 'nom': 'AO SALLAUMINES'</t>
  </si>
  <si>
    <t xml:space="preserve"> 'adresse1': 'RUE RUE EDOUARD VAILLANT'</t>
  </si>
  <si>
    <t xml:space="preserve"> 'adresse2': 'STADE VAILLANT COUTURIER '</t>
  </si>
  <si>
    <t xml:space="preserve"> 'codepostal': '62430'</t>
  </si>
  <si>
    <t xml:space="preserve"> 'ville': 'SALLAUMINES'</t>
  </si>
  <si>
    <t xml:space="preserve"> 'tel': '0321784688'</t>
  </si>
  <si>
    <t xml:space="preserve"> 'lat': '50.419828000000003'</t>
  </si>
  <si>
    <t xml:space="preserve"> 'lng': '2.868458000000000'</t>
  </si>
  <si>
    <t xml:space="preserve"> 'nomClub': 'AO SALLAUMINES'</t>
  </si>
  <si>
    <t xml:space="preserve"> 'nomCourtClub': 'AO SALLAUMINES'</t>
  </si>
  <si>
    <t xml:space="preserve"> 'url': '/pratiquer/ou-pratiquer/ou-pratiquer-fiche-club/16620353-ao-sallaumines'}</t>
  </si>
  <si>
    <t>{'id': 9</t>
  </si>
  <si>
    <t xml:space="preserve"> 'nom': 'VGA SECTION HALTEROPHILIE MUSCULATION'</t>
  </si>
  <si>
    <t xml:space="preserve"> 'adresse1': 'AVENUE PIERRE BROSSOLETTE'</t>
  </si>
  <si>
    <t xml:space="preserve"> 'adresse2': 'CENTRE SPORTIF '</t>
  </si>
  <si>
    <t xml:space="preserve"> 'codepostal': '94100'</t>
  </si>
  <si>
    <t xml:space="preserve"> 'ville': 'SAINT-MAUR-DES-FOSSÉS'</t>
  </si>
  <si>
    <t xml:space="preserve"> 'lat': '48.807980999999998'</t>
  </si>
  <si>
    <t xml:space="preserve"> 'lng': '2.491298000000000'</t>
  </si>
  <si>
    <t xml:space="preserve"> 'nomClub': 'VGA ST MAUR HALTEROPHILIE'</t>
  </si>
  <si>
    <t xml:space="preserve"> 'nomCourtClub': 'VGA ST MAUR HALTEROPHILIE'</t>
  </si>
  <si>
    <t xml:space="preserve"> 'url': '/pratiquer/ou-pratiquer/ou-pratiquer-fiche-club/21940219-vga-st-maur-halterophilie'}</t>
  </si>
  <si>
    <t>{'id': 10</t>
  </si>
  <si>
    <t xml:space="preserve"> 'nom': 'CHMT Salle Curie'</t>
  </si>
  <si>
    <t xml:space="preserve"> 'adresse1': '400 RUE HIPPOLYTE WORMS'</t>
  </si>
  <si>
    <t xml:space="preserve"> 'codepostal': '76580'</t>
  </si>
  <si>
    <t xml:space="preserve"> 'ville': 'LE TRAIT'</t>
  </si>
  <si>
    <t xml:space="preserve"> 'tel': '06.48.56.53.98'</t>
  </si>
  <si>
    <t xml:space="preserve"> 'lat': '49.476152150000004'</t>
  </si>
  <si>
    <t xml:space="preserve"> 'lng': '0.818763593750006'</t>
  </si>
  <si>
    <t xml:space="preserve"> 'nomClub': 'CHM LE TRAIT'</t>
  </si>
  <si>
    <t xml:space="preserve"> 'nomCourtClub': 'CHM LE TRAIT'</t>
  </si>
  <si>
    <t xml:space="preserve"> 'url': '/pratiquer/ou-pratiquer/ou-pratiquer-fiche-club/11761279-chm-le-trait'}</t>
  </si>
  <si>
    <t>{'id': 11</t>
  </si>
  <si>
    <t xml:space="preserve"> 'nom': 'ESPACE MONIQUE MAURICE'</t>
  </si>
  <si>
    <t xml:space="preserve"> 'adresse1': '136 AVENUE DES PLANS'</t>
  </si>
  <si>
    <t xml:space="preserve"> 'adresse2': 'SALLE MONIQUE MAURICE '</t>
  </si>
  <si>
    <t xml:space="preserve"> 'codepostal': '06270'</t>
  </si>
  <si>
    <t xml:space="preserve"> 'ville': 'VILLENEUVE-LOUBET'</t>
  </si>
  <si>
    <t xml:space="preserve"> 'tel': '0614343539'</t>
  </si>
  <si>
    <t xml:space="preserve"> 'lat': '43.655655299999999'</t>
  </si>
  <si>
    <t xml:space="preserve"> 'lng': '7.125216101519365'</t>
  </si>
  <si>
    <t xml:space="preserve"> 'nomClub': 'ESVL HALTERO- MUSCU-GYM'</t>
  </si>
  <si>
    <t xml:space="preserve"> 'nomCourtClub': 'ESVL H. M. G.'</t>
  </si>
  <si>
    <t xml:space="preserve"> 'url': '/pratiquer/ou-pratiquer/ou-pratiquer-fiche-club/20060688-esvl-haltero-muscu-gym'}</t>
  </si>
  <si>
    <t>{'id': 13</t>
  </si>
  <si>
    <t xml:space="preserve"> 'nom': 'Stade Montois Haltérophilie Musculation FA'</t>
  </si>
  <si>
    <t xml:space="preserve"> 'adresse1': '725 AVENUE AVENUE DU COLONEL ROZANOFF'</t>
  </si>
  <si>
    <t xml:space="preserve"> 'codepostal': '40000'</t>
  </si>
  <si>
    <t xml:space="preserve"> 'ville': 'MONT-DE-MARSAN'</t>
  </si>
  <si>
    <t xml:space="preserve"> 'lat': '43.901339999999998'</t>
  </si>
  <si>
    <t xml:space="preserve"> 'lng': '-0.504566000000000'</t>
  </si>
  <si>
    <t xml:space="preserve"> 'nomClub': 'STADE MONTOIS HALTEROPHILIE'</t>
  </si>
  <si>
    <t xml:space="preserve"> 'nomCourtClub': 'STADE MONTOIS HALTEROPHILIE'</t>
  </si>
  <si>
    <t xml:space="preserve"> 'url': '/pratiquer/ou-pratiquer/ou-pratiquer-fiche-club/02400051-stade-montois-halterophilie'}</t>
  </si>
  <si>
    <t>{'id': 17</t>
  </si>
  <si>
    <t xml:space="preserve"> 'nom': 'Gymnase Fabre'</t>
  </si>
  <si>
    <t xml:space="preserve"> 'adresse1': '58 AVENUE DE LA GARONETTE'</t>
  </si>
  <si>
    <t xml:space="preserve"> 'adresse2': 'GYMNASE FABRE '</t>
  </si>
  <si>
    <t xml:space="preserve"> 'codepostal': '31000'</t>
  </si>
  <si>
    <t xml:space="preserve"> 'ville': 'TOULOUSE'</t>
  </si>
  <si>
    <t xml:space="preserve"> 'tel': '0672545026'</t>
  </si>
  <si>
    <t xml:space="preserve"> 'lat': '43.596692699999998'</t>
  </si>
  <si>
    <t xml:space="preserve"> 'lng': '1.441471533035715'</t>
  </si>
  <si>
    <t xml:space="preserve"> 'nomClub': 'TOULOUSE HC'</t>
  </si>
  <si>
    <t xml:space="preserve"> 'nomCourtClub': 'TOULOUSE HC'</t>
  </si>
  <si>
    <t xml:space="preserve"> 'url': '/pratiquer/ou-pratiquer/ou-pratiquer-fiche-club/15310446-toulouse-hc'}</t>
  </si>
  <si>
    <t>{'id': 18</t>
  </si>
  <si>
    <t xml:space="preserve"> 'nom': 'CLERMONT SPORTS'</t>
  </si>
  <si>
    <t xml:space="preserve"> 'adresse1': '70 RUE DE LA COMBE'</t>
  </si>
  <si>
    <t xml:space="preserve"> 'codepostal': '34800'</t>
  </si>
  <si>
    <t xml:space="preserve"> 'ville': "CLERMONT-L'HÉRAULT"</t>
  </si>
  <si>
    <t xml:space="preserve"> 'lat': '43.632557464648350'</t>
  </si>
  <si>
    <t xml:space="preserve"> 'lng': '3.430418474552893'</t>
  </si>
  <si>
    <t xml:space="preserve"> 'nomClub': 'CLERMONT SPORTS'</t>
  </si>
  <si>
    <t xml:space="preserve"> 'nomCourtClub': 'CLERMONT SPORTS'</t>
  </si>
  <si>
    <t xml:space="preserve"> 'url': '/pratiquer/ou-pratiquer/ou-pratiquer-fiche-club/12340245-clermont-sports'}</t>
  </si>
  <si>
    <t>{'id': 20</t>
  </si>
  <si>
    <t xml:space="preserve"> 'nom': 'Crosstraining du Vercors'</t>
  </si>
  <si>
    <t xml:space="preserve"> 'adresse1': '445 RUE DU TORTOLON'</t>
  </si>
  <si>
    <t xml:space="preserve"> 'codepostal': '38112'</t>
  </si>
  <si>
    <t xml:space="preserve"> 'ville': 'AUTRANS-MÉAUDRE EN VERCORS'</t>
  </si>
  <si>
    <t xml:space="preserve"> 'tel': '0651881660'</t>
  </si>
  <si>
    <t xml:space="preserve"> 'lat': '45.133976550000000'</t>
  </si>
  <si>
    <t xml:space="preserve"> 'lng': '5.524930547307744'</t>
  </si>
  <si>
    <t xml:space="preserve"> 'nomClub': 'CETH CROSSTRAINING DU VERCORS'</t>
  </si>
  <si>
    <t xml:space="preserve"> 'nomCourtClub': 'CETH'</t>
  </si>
  <si>
    <t xml:space="preserve"> 'url': '/pratiquer/ou-pratiquer/ou-pratiquer-fiche-club/339860002-ceth-crosstraining-du-vercors'}</t>
  </si>
  <si>
    <t>{'id': 21</t>
  </si>
  <si>
    <t xml:space="preserve"> 'nom': 'Salle multisport St manvieu Norrey'</t>
  </si>
  <si>
    <t xml:space="preserve"> 'adresse1': 'RUE DE CAUMONT'</t>
  </si>
  <si>
    <t xml:space="preserve"> 'codepostal': '14740'</t>
  </si>
  <si>
    <t xml:space="preserve"> 'ville': 'THUE ET MUE'</t>
  </si>
  <si>
    <t xml:space="preserve"> 'lat': '49.180181300000001'</t>
  </si>
  <si>
    <t xml:space="preserve"> 'lng': '-0.496084758228513'</t>
  </si>
  <si>
    <t xml:space="preserve"> 'nomClub': 'SMMFS SAINT MANVIEU MUSCULATION'</t>
  </si>
  <si>
    <t xml:space="preserve"> 'nomCourtClub': 'SMMFS'</t>
  </si>
  <si>
    <t xml:space="preserve"> 'url': '/pratiquer/ou-pratiquer/ou-pratiquer-fiche-club/339860009-smmfs-saint-manvieu-musculation'}</t>
  </si>
  <si>
    <t>{'id': 22</t>
  </si>
  <si>
    <t xml:space="preserve"> 'nom': 'Complexe Sportif Pierre de Coubertin'</t>
  </si>
  <si>
    <t xml:space="preserve"> 'adresse1': '2 RUE DU VERCORS'</t>
  </si>
  <si>
    <t xml:space="preserve"> 'codepostal': '68270'</t>
  </si>
  <si>
    <t xml:space="preserve"> 'ville': 'WITTENHEIM'</t>
  </si>
  <si>
    <t xml:space="preserve"> 'lat': '47.811419000000001'</t>
  </si>
  <si>
    <t xml:space="preserve"> 'lng': '7.328950000000000'</t>
  </si>
  <si>
    <t xml:space="preserve"> 'nomClub': 'US WITTENHEIM'</t>
  </si>
  <si>
    <t xml:space="preserve"> 'nomCourtClub': 'US WITTENHEIM'</t>
  </si>
  <si>
    <t xml:space="preserve"> 'url': '/pratiquer/ou-pratiquer/ou-pratiquer-fiche-club/01680013-us-wittenheim'}</t>
  </si>
  <si>
    <t>{'id': 23</t>
  </si>
  <si>
    <t xml:space="preserve"> 'nom': 'Association Sportive Haltérophilie - Musculation GIBERVILLE'</t>
  </si>
  <si>
    <t xml:space="preserve"> 'adresse1': 'RUE ELSA TRIOLET'</t>
  </si>
  <si>
    <t xml:space="preserve"> 'adresse2': 'GYMNASE MAURICE BAQUET '</t>
  </si>
  <si>
    <t xml:space="preserve"> 'codepostal': '14730'</t>
  </si>
  <si>
    <t xml:space="preserve"> 'ville': 'GIBERVILLE'</t>
  </si>
  <si>
    <t xml:space="preserve"> 'lat': '49.183072400000000'</t>
  </si>
  <si>
    <t xml:space="preserve"> 'lng': '-0.275273300000000'</t>
  </si>
  <si>
    <t xml:space="preserve"> 'nomClub': 'ASHM GIBERVILLE'</t>
  </si>
  <si>
    <t xml:space="preserve"> 'nomCourtClub': 'ASHM GIBERVILLE'</t>
  </si>
  <si>
    <t xml:space="preserve"> 'url': '/pratiquer/ou-pratiquer/ou-pratiquer-fiche-club/04140304-ashm-giberville'}</t>
  </si>
  <si>
    <t>{'id': 25</t>
  </si>
  <si>
    <t xml:space="preserve"> 'nom': 'Cercle Sportif de BRUMATH'</t>
  </si>
  <si>
    <t xml:space="preserve"> 'adresse1': '27  ANDRE MALRAUX'</t>
  </si>
  <si>
    <t xml:space="preserve"> 'adresse2': 'OMNISPORT '</t>
  </si>
  <si>
    <t xml:space="preserve"> 'codepostal': '67170'</t>
  </si>
  <si>
    <t xml:space="preserve"> 'ville': 'BRUMATH'</t>
  </si>
  <si>
    <t xml:space="preserve"> 'lat': '48.736801999999997'</t>
  </si>
  <si>
    <t xml:space="preserve"> 'lng': '7.710796000000000'</t>
  </si>
  <si>
    <t xml:space="preserve"> 'nomClub': 'CS BRUMATH'</t>
  </si>
  <si>
    <t xml:space="preserve"> 'nomCourtClub': 'CS BRUMATH'</t>
  </si>
  <si>
    <t xml:space="preserve"> 'url': '/pratiquer/ou-pratiquer/ou-pratiquer-fiche-club/01670010-cs-brumath'}</t>
  </si>
  <si>
    <t>{'id': 26</t>
  </si>
  <si>
    <t xml:space="preserve"> 'nom': 'Sporting Club de Neuilly'</t>
  </si>
  <si>
    <t xml:space="preserve"> 'adresse1': "ALLÉE COMPLEXE SPORTIF DE L'ILE DU PONT"</t>
  </si>
  <si>
    <t xml:space="preserve"> 'codepostal': '92200'</t>
  </si>
  <si>
    <t xml:space="preserve"> 'ville': 'NEUILLY-SUR-SEINE'</t>
  </si>
  <si>
    <t xml:space="preserve"> 'tel': '01.47.47.29.68'</t>
  </si>
  <si>
    <t xml:space="preserve"> 'lat': '48.885521199999999'</t>
  </si>
  <si>
    <t xml:space="preserve"> 'lng': '2.253720214683725'</t>
  </si>
  <si>
    <t xml:space="preserve"> 'nomClub': 'SPORTING CLUB DE NEUILLY'</t>
  </si>
  <si>
    <t xml:space="preserve"> 'nomCourtClub': 'SPORTING CLUB DE NEUILLY'</t>
  </si>
  <si>
    <t xml:space="preserve"> 'url': '/pratiquer/ou-pratiquer/ou-pratiquer-fiche-club/21920197-sporting-club-de-neuilly'}</t>
  </si>
  <si>
    <t>{'id': 27</t>
  </si>
  <si>
    <t xml:space="preserve"> 'nom': "CLUB D'HALTEROPHILIE MUSCULATION DE COGOLIN"</t>
  </si>
  <si>
    <t xml:space="preserve"> 'adresse1': '80 AVENUE GEORGES CLEMENCEAU'</t>
  </si>
  <si>
    <t xml:space="preserve"> 'codepostal': '83310'</t>
  </si>
  <si>
    <t xml:space="preserve"> 'ville': 'COGOLIN'</t>
  </si>
  <si>
    <t xml:space="preserve"> 'lat': '43.250098000000001'</t>
  </si>
  <si>
    <t xml:space="preserve"> 'lng': '6.538968000000000'</t>
  </si>
  <si>
    <t xml:space="preserve"> 'nomClub': 'CHM COGOLIN'</t>
  </si>
  <si>
    <t xml:space="preserve"> 'nomCourtClub': 'CHM COGOLIN'</t>
  </si>
  <si>
    <t xml:space="preserve"> 'url': '/pratiquer/ou-pratiquer/ou-pratiquer-fiche-club/20830124-chm-cogolin'}</t>
  </si>
  <si>
    <t>{'id': 29</t>
  </si>
  <si>
    <t xml:space="preserve"> 'nom': 'Wild Bear Weightlifting'</t>
  </si>
  <si>
    <t xml:space="preserve"> 'adresse1': '8 RUE RUE JACQUES CARTIER'</t>
  </si>
  <si>
    <t xml:space="preserve"> 'adresse2': 'WILD BEAR CROSSFIT '</t>
  </si>
  <si>
    <t xml:space="preserve"> 'codepostal': '56450'</t>
  </si>
  <si>
    <t xml:space="preserve"> 'ville': 'THEIX-NOYALO'</t>
  </si>
  <si>
    <t xml:space="preserve"> 'tel': '02.56.63.17.34'</t>
  </si>
  <si>
    <t xml:space="preserve"> 'lat': '47.647364014831659'</t>
  </si>
  <si>
    <t xml:space="preserve"> 'lng': '-2.707584858071642'</t>
  </si>
  <si>
    <t xml:space="preserve"> 'nomClub': 'WILD BEAR WEIGHTLIFTING'</t>
  </si>
  <si>
    <t xml:space="preserve"> 'nomCourtClub': 'WILD BEAR WEIGHTLIFTING'</t>
  </si>
  <si>
    <t xml:space="preserve"> 'url': '/pratiquer/ou-pratiquer/ou-pratiquer-fiche-club/03560002-wild-bear-weightlifting'}</t>
  </si>
  <si>
    <t>{'id': 30</t>
  </si>
  <si>
    <t xml:space="preserve"> 'nom': 'CHM PLOUHINEC POINTE DU RAZ'</t>
  </si>
  <si>
    <t xml:space="preserve"> 'adresse1': '18 RUE DES ÉCOLES'</t>
  </si>
  <si>
    <t xml:space="preserve"> 'adresse2': 'SALLE OMNISPORTS COMMUNALE (ACCÈS DERRIÈRE) COMPLEXE SPORTIF ROBERT  NORMANT'</t>
  </si>
  <si>
    <t xml:space="preserve"> 'codepostal': '29780'</t>
  </si>
  <si>
    <t xml:space="preserve"> 'ville': 'PLOUHINEC'</t>
  </si>
  <si>
    <t xml:space="preserve"> 'tel': '06.63.62.81.48'</t>
  </si>
  <si>
    <t xml:space="preserve"> 'lat': '48.016669283008653'</t>
  </si>
  <si>
    <t xml:space="preserve"> 'lng': '-4.491635959424189'</t>
  </si>
  <si>
    <t xml:space="preserve"> 'nomClub': 'CHM PLOUHINEC POINTE DU RAZ'</t>
  </si>
  <si>
    <t xml:space="preserve"> 'nomCourtClub': 'CHM PLOUHINEC POINTE DU RAZ'</t>
  </si>
  <si>
    <t xml:space="preserve"> 'url': '/pratiquer/ou-pratiquer/ou-pratiquer-fiche-club/06290650-chm-plouhinec-pointe-du-raz'}</t>
  </si>
  <si>
    <t>{'id': 31</t>
  </si>
  <si>
    <t xml:space="preserve"> 'nom': 'Powercamp'</t>
  </si>
  <si>
    <t xml:space="preserve"> 'adresse1': '16 RUE GEORGES BARRES'</t>
  </si>
  <si>
    <t xml:space="preserve"> 'adresse2': 'SALLE DE SPORT POWERCAMP '</t>
  </si>
  <si>
    <t xml:space="preserve"> 'codepostal': '33300'</t>
  </si>
  <si>
    <t xml:space="preserve"> 'ville': 'BORDEAUX'</t>
  </si>
  <si>
    <t xml:space="preserve"> 'tel': '0686540217'</t>
  </si>
  <si>
    <t xml:space="preserve"> 'lat': '44.888986000000003'</t>
  </si>
  <si>
    <t xml:space="preserve"> 'lng': '-0.546616000000000'</t>
  </si>
  <si>
    <t xml:space="preserve"> 'nomClub': 'POWERCAMP BORDEAUX HALTEROPHILIE'</t>
  </si>
  <si>
    <t xml:space="preserve"> 'nomCourtClub': 'POWERCAMP BORDEAUX'</t>
  </si>
  <si>
    <t xml:space="preserve"> 'url': '/pratiquer/ou-pratiquer/ou-pratiquer-fiche-club/02331274-powercamp-bordeaux-halterophilie'}</t>
  </si>
  <si>
    <t>{'id': 34</t>
  </si>
  <si>
    <t xml:space="preserve"> 'nom': 'CROSSFIT HOSTILIUS'</t>
  </si>
  <si>
    <t xml:space="preserve"> 'adresse1': '4 ROUTE DE PERPIGNAN'</t>
  </si>
  <si>
    <t xml:space="preserve"> 'codepostal': '66330'</t>
  </si>
  <si>
    <t xml:space="preserve"> 'ville': 'CABESTANY'</t>
  </si>
  <si>
    <t xml:space="preserve"> 'tel': '0647195697'</t>
  </si>
  <si>
    <t xml:space="preserve"> 'lat': '42.690632999999998'</t>
  </si>
  <si>
    <t xml:space="preserve"> 'lng': '2.925709000000000'</t>
  </si>
  <si>
    <t xml:space="preserve"> 'nomClub': 'HALTERO FIT 66'</t>
  </si>
  <si>
    <t xml:space="preserve"> 'nomCourtClub': 'HALTERO FIT 66'</t>
  </si>
  <si>
    <t xml:space="preserve"> 'url': '/pratiquer/ou-pratiquer/ou-pratiquer-fiche-club/15660001-haltero-fit-66'}</t>
  </si>
  <si>
    <t>{'id': 32</t>
  </si>
  <si>
    <t xml:space="preserve"> 'nom': 'CAHC BERCK'</t>
  </si>
  <si>
    <t xml:space="preserve"> 'adresse1': 'RUE '</t>
  </si>
  <si>
    <t xml:space="preserve"> 'adresse2': 'PARC DES SPORTS - RUE EMILE LAVEZZARI'</t>
  </si>
  <si>
    <t xml:space="preserve"> 'codepostal': '62600'</t>
  </si>
  <si>
    <t xml:space="preserve"> 'ville': 'BERCK'</t>
  </si>
  <si>
    <t xml:space="preserve"> 'tel': '0637469498'</t>
  </si>
  <si>
    <t xml:space="preserve"> 'lat': '50.401458700000006'</t>
  </si>
  <si>
    <t xml:space="preserve"> 'lng': '1.572288888028554'</t>
  </si>
  <si>
    <t xml:space="preserve"> 'nomClub': 'CAHC BERCK'</t>
  </si>
  <si>
    <t xml:space="preserve"> 'nomCourtClub': 'CAHC BERCK'</t>
  </si>
  <si>
    <t xml:space="preserve"> 'url': '/pratiquer/ou-pratiquer/ou-pratiquer-fiche-club/16620347-cahc-berck'}</t>
  </si>
  <si>
    <t>{'id': 33</t>
  </si>
  <si>
    <t xml:space="preserve"> 'nom': 'Cuiseaux Revermont Haltérophilie'</t>
  </si>
  <si>
    <t xml:space="preserve"> 'adresse1': '1 AVENUE RENÉ CASSIN'</t>
  </si>
  <si>
    <t xml:space="preserve"> 'adresse2': '75 RUE SAINT THOMAS'</t>
  </si>
  <si>
    <t xml:space="preserve"> 'codepostal': '71480'</t>
  </si>
  <si>
    <t xml:space="preserve"> 'ville': 'CUISEAUX'</t>
  </si>
  <si>
    <t xml:space="preserve"> 'tel': '0623931647'</t>
  </si>
  <si>
    <t xml:space="preserve"> 'lat': '46.496572000000000'</t>
  </si>
  <si>
    <t xml:space="preserve"> 'lng': '5.387696000000000'</t>
  </si>
  <si>
    <t xml:space="preserve"> 'nomClub': 'CUISEAUX REVERMONT HALTEROPHILIE'</t>
  </si>
  <si>
    <t xml:space="preserve"> 'nomCourtClub': 'CUISEAUX REVERMONT HALTEROPHILIE'</t>
  </si>
  <si>
    <t xml:space="preserve"> 'url': '/pratiquer/ou-pratiquer/ou-pratiquer-fiche-club/01010002-cuiseaux-revermont-halterophilie'}</t>
  </si>
  <si>
    <t>{'id': 38</t>
  </si>
  <si>
    <t xml:space="preserve"> 'nom': 'Haltérophile Club de Pointe à Pitre 971'</t>
  </si>
  <si>
    <t xml:space="preserve"> 'adresse1': '6 '</t>
  </si>
  <si>
    <t xml:space="preserve"> 'codepostal': None</t>
  </si>
  <si>
    <t xml:space="preserve"> 'ville': None</t>
  </si>
  <si>
    <t xml:space="preserve"> 'tel': '06 90 54 02 66'</t>
  </si>
  <si>
    <t xml:space="preserve"> 'lat': '19.097403100000001'</t>
  </si>
  <si>
    <t xml:space="preserve"> 'lng': '-70.302802600000007'</t>
  </si>
  <si>
    <t xml:space="preserve"> 'nomClub': 'HALTEROPHILIE CLUB DE POINTE A PITRE 971'</t>
  </si>
  <si>
    <t xml:space="preserve"> 'nomCourtClub': 'HALTEROPHILIE CLUB DE POINTE A PITRE 971'</t>
  </si>
  <si>
    <t xml:space="preserve"> 'url': '/pratiquer/ou-pratiquer/ou-pratiquer-fiche-club/069710002-halterophilie-club-de-pointe-pitre-971'}</t>
  </si>
  <si>
    <t>{'id': 39</t>
  </si>
  <si>
    <t xml:space="preserve"> 'nom': 'Granc Nancy HM'</t>
  </si>
  <si>
    <t xml:space="preserve"> 'adresse1': "146 RUE JEANNE D'ARC"</t>
  </si>
  <si>
    <t xml:space="preserve"> 'codepostal': '54100'</t>
  </si>
  <si>
    <t xml:space="preserve"> 'ville': 'NANCY'</t>
  </si>
  <si>
    <t xml:space="preserve"> 'tel': '0612842626'</t>
  </si>
  <si>
    <t xml:space="preserve"> 'lat': '48.681590499999999'</t>
  </si>
  <si>
    <t xml:space="preserve"> 'lng': '6.174637200000000'</t>
  </si>
  <si>
    <t xml:space="preserve"> 'nomClub': 'GRAND NANCY HM'</t>
  </si>
  <si>
    <t xml:space="preserve"> 'nomCourtClub': 'GRAND NANCY HM'</t>
  </si>
  <si>
    <t xml:space="preserve"> 'url': '/pratiquer/ou-pratiquer/ou-pratiquer-fiche-club/05540001-grand-nancy-hm'}</t>
  </si>
  <si>
    <t>{'id': 41</t>
  </si>
  <si>
    <t xml:space="preserve"> 'nom': 'CJF LAVAL VOUTRÉ HALTERO 53'</t>
  </si>
  <si>
    <t xml:space="preserve"> 'adresse1': '25 RUE ALBERT EINSTEIN'</t>
  </si>
  <si>
    <t xml:space="preserve"> 'codepostal': '53000'</t>
  </si>
  <si>
    <t xml:space="preserve"> 'ville': 'LAVAL'</t>
  </si>
  <si>
    <t xml:space="preserve"> 'lat': '48.054342249999998'</t>
  </si>
  <si>
    <t xml:space="preserve"> 'lng': '-0.741328807618783'</t>
  </si>
  <si>
    <t xml:space="preserve"> 'nomClub': 'CJF LAVAL VOUTRE HALTERO 53'</t>
  </si>
  <si>
    <t xml:space="preserve"> 'nomCourtClub': 'CJF LAVAL VOUTRE HALTERO 53'</t>
  </si>
  <si>
    <t xml:space="preserve"> 'url': '/pratiquer/ou-pratiquer/ou-pratiquer-fiche-club/17530413-cjf-laval-voutre-haltero-53'}</t>
  </si>
  <si>
    <t>{'id': 42</t>
  </si>
  <si>
    <t xml:space="preserve"> 'nom': 'ASSOCIATION MUSCULATION RETIERS'</t>
  </si>
  <si>
    <t xml:space="preserve"> 'adresse1': 'RUE ANATOLE LE BRAZ'</t>
  </si>
  <si>
    <t xml:space="preserve"> 'codepostal': '35240'</t>
  </si>
  <si>
    <t xml:space="preserve"> 'ville': 'MARCILLÉ-ROBERT'</t>
  </si>
  <si>
    <t xml:space="preserve"> 'tel': '0650854747'</t>
  </si>
  <si>
    <t xml:space="preserve"> 'lat': '47.916125681243372'</t>
  </si>
  <si>
    <t xml:space="preserve"> 'lng': '-1.381276709064609'</t>
  </si>
  <si>
    <t xml:space="preserve"> 'nomClub': 'ASSOCIATION MUSCULATION RESTERIENNE'</t>
  </si>
  <si>
    <t xml:space="preserve"> 'nomCourtClub': 'M-H-R'</t>
  </si>
  <si>
    <t xml:space="preserve"> 'url': '/pratiquer/ou-pratiquer/ou-pratiquer-fiche-club/339860026-association-musculation-resterienne'}</t>
  </si>
  <si>
    <t>{'id': 44</t>
  </si>
  <si>
    <t xml:space="preserve"> 'nom': 'SBPH'</t>
  </si>
  <si>
    <t xml:space="preserve"> 'adresse1': 'AVENUE DE LA GUERCHE'</t>
  </si>
  <si>
    <t xml:space="preserve"> 'adresse2': "CENTRE D'HÉBERGEMENT ET DE LOISIR VINCENT PURKART"</t>
  </si>
  <si>
    <t xml:space="preserve"> 'codepostal': '44250'</t>
  </si>
  <si>
    <t xml:space="preserve"> 'lat': '49.224901037040262'</t>
  </si>
  <si>
    <t xml:space="preserve"> 'lng': '2.130170837044716'</t>
  </si>
  <si>
    <t xml:space="preserve"> 'nomClub': 'CR PAYS DE LA LOIRE HM'</t>
  </si>
  <si>
    <t xml:space="preserve"> 'nomCourtClub': 'PAYS DE LA LOIRE'</t>
  </si>
  <si>
    <t xml:space="preserve"> 'url': '/pratiquer/ou-pratiquer/ou-pratiquer-fiche-club/L16-cr-pays-de-la-loire-hm'}</t>
  </si>
  <si>
    <t>{'id': 46</t>
  </si>
  <si>
    <t xml:space="preserve"> 'nom': 'CENTRE OMNISPORT'</t>
  </si>
  <si>
    <t xml:space="preserve"> 'adresse1': '27 RUE ANDRE MALRAUX'</t>
  </si>
  <si>
    <t xml:space="preserve"> 'lat': '48.737439999999999'</t>
  </si>
  <si>
    <t xml:space="preserve"> 'lng': '7.711729235476277'</t>
  </si>
  <si>
    <t>{'id': 47</t>
  </si>
  <si>
    <t xml:space="preserve"> 'nom': 'Evreux Sleipnir Barbell Club'</t>
  </si>
  <si>
    <t xml:space="preserve"> 'adresse1': '344  RUE DE COCHEREL'</t>
  </si>
  <si>
    <t xml:space="preserve"> 'codepostal': '27000'</t>
  </si>
  <si>
    <t xml:space="preserve"> 'ville': 'ÉVREUX'</t>
  </si>
  <si>
    <t xml:space="preserve"> 'tel': '0648046825'</t>
  </si>
  <si>
    <t xml:space="preserve"> 'lat': '49.021918999999997'</t>
  </si>
  <si>
    <t xml:space="preserve"> 'lng': '1.177713000000000'</t>
  </si>
  <si>
    <t xml:space="preserve"> 'nomClub': 'EVREUX SLEIPNIR BARBELL CLUB'</t>
  </si>
  <si>
    <t xml:space="preserve"> 'nomCourtClub': 'ESBC'</t>
  </si>
  <si>
    <t xml:space="preserve"> 'url': '/pratiquer/ou-pratiquer/ou-pratiquer-fiche-club/339860036-evreux-sleipnir-barbell-club'}</t>
  </si>
  <si>
    <t>{'id': 48</t>
  </si>
  <si>
    <t xml:space="preserve"> 'nom': 'Brest Haltérophilie 29'</t>
  </si>
  <si>
    <t xml:space="preserve"> 'adresse1': "46 RUE DE KERGRAC'H"</t>
  </si>
  <si>
    <t xml:space="preserve"> 'codepostal': '29200'</t>
  </si>
  <si>
    <t xml:space="preserve"> 'ville': 'BREST'</t>
  </si>
  <si>
    <t xml:space="preserve"> 'lat': '48.391874299999998'</t>
  </si>
  <si>
    <t xml:space="preserve"> 'lng': '-4.511631079671718'</t>
  </si>
  <si>
    <t xml:space="preserve"> 'nomClub': 'BREST HALTEROPHILIE 29'</t>
  </si>
  <si>
    <t xml:space="preserve"> 'nomCourtClub': 'BREST HALTEROPHILIE 29'</t>
  </si>
  <si>
    <t xml:space="preserve"> 'url': '/pratiquer/ou-pratiquer/ou-pratiquer-fiche-club/03290003-brest-halterophilie-29'}</t>
  </si>
  <si>
    <t>{'id': 50</t>
  </si>
  <si>
    <t xml:space="preserve"> 'nom': 'Rebirth Barbell Club - CrossFit Rebirth'</t>
  </si>
  <si>
    <t xml:space="preserve"> 'adresse1': ' 87 BOULEVARD VINCENT AURIOL'</t>
  </si>
  <si>
    <t xml:space="preserve"> 'codepostal': '75013'</t>
  </si>
  <si>
    <t xml:space="preserve"> 'ville': 'PARIS'</t>
  </si>
  <si>
    <t xml:space="preserve"> 'lat': '48.834204999999997'</t>
  </si>
  <si>
    <t xml:space="preserve"> 'lng': '2.366979000000000'</t>
  </si>
  <si>
    <t xml:space="preserve"> 'nomClub': 'REBIRTH BARBELL CLUB'</t>
  </si>
  <si>
    <t xml:space="preserve"> 'nomCourtClub': 'REBIRTH BARBELL CLUB'</t>
  </si>
  <si>
    <t xml:space="preserve"> 'url': '/pratiquer/ou-pratiquer/ou-pratiquer-fiche-club/09750002-rebirth-barbell-club'}</t>
  </si>
  <si>
    <t>{'id': 51</t>
  </si>
  <si>
    <t xml:space="preserve"> 'nom': 'CHSM Saint Denis'</t>
  </si>
  <si>
    <t xml:space="preserve"> 'adresse1': '3 RUE JEAN-BAPTISTE PONAMA'</t>
  </si>
  <si>
    <t xml:space="preserve"> 'adresse2': 'SAINTE CLOTILDE'</t>
  </si>
  <si>
    <t xml:space="preserve"> 'codepostal': '97400'</t>
  </si>
  <si>
    <t xml:space="preserve"> 'tel': '0693649799'</t>
  </si>
  <si>
    <t xml:space="preserve"> 'lat': '-20.886928785607473'</t>
  </si>
  <si>
    <t xml:space="preserve"> 'lng': '55.477188438658558'</t>
  </si>
  <si>
    <t xml:space="preserve"> 'nomClub': 'CHSM SAINT DENIS'</t>
  </si>
  <si>
    <t xml:space="preserve"> 'nomCourtClub': 'CHSM SAINT DENIS'</t>
  </si>
  <si>
    <t xml:space="preserve"> 'url': '/pratiquer/ou-pratiquer/ou-pratiquer-fiche-club/339860013-chsm-saint-denis'}</t>
  </si>
  <si>
    <t>{'id': 52</t>
  </si>
  <si>
    <t xml:space="preserve"> 'nom': 'test exalto'</t>
  </si>
  <si>
    <t xml:space="preserve"> 'adresse1': 'PARC DES SPORTS 19 RUE DU MOULIN NEUF'</t>
  </si>
  <si>
    <t xml:space="preserve"> 'codepostal': '67500'</t>
  </si>
  <si>
    <t xml:space="preserve"> 'ville': 'HAGUENAU'</t>
  </si>
  <si>
    <t xml:space="preserve"> 'tel': '0661864386'</t>
  </si>
  <si>
    <t xml:space="preserve"> 'lat': '48.816260000000000'</t>
  </si>
  <si>
    <t xml:space="preserve"> 'lng': '7.776677000000000'</t>
  </si>
  <si>
    <t xml:space="preserve"> 'nomClub': 'SHC HAGUENAU'</t>
  </si>
  <si>
    <t xml:space="preserve"> 'nomCourtClub': 'SHC HAGUENAU'</t>
  </si>
  <si>
    <t xml:space="preserve"> 'url': '/pratiquer/ou-pratiquer/ou-pratiquer-fiche-club/01670005-shc-haguenau'}</t>
  </si>
  <si>
    <t>{'id': 53</t>
  </si>
  <si>
    <t xml:space="preserve"> 'nom': 'Haltérophilie Pontissalienne'</t>
  </si>
  <si>
    <t xml:space="preserve"> 'adresse1': '4 GRANDE RUE '</t>
  </si>
  <si>
    <t xml:space="preserve"> 'codepostal': '25300'</t>
  </si>
  <si>
    <t xml:space="preserve"> 'ville': 'GRANGES-NARBOZ'</t>
  </si>
  <si>
    <t xml:space="preserve"> 'tel': '0676972139'</t>
  </si>
  <si>
    <t xml:space="preserve"> 'lat': '46.886836000000002'</t>
  </si>
  <si>
    <t xml:space="preserve"> 'lng': '6.330854000000000'</t>
  </si>
  <si>
    <t xml:space="preserve"> 'nomClub': 'HALTEROPHILIE PONTISSALIENNE'</t>
  </si>
  <si>
    <t xml:space="preserve"> 'nomCourtClub': 'HALTEROPHILIE PONTISSALIENNE'</t>
  </si>
  <si>
    <t xml:space="preserve"> 'url': '/pratiquer/ou-pratiquer/ou-pratiquer-fiche-club/02250002-halterophilie-pontissalienne'}</t>
  </si>
  <si>
    <t>{'id': 56</t>
  </si>
  <si>
    <t xml:space="preserve"> 'nom': 'GHM'</t>
  </si>
  <si>
    <t xml:space="preserve"> 'adresse1': 'RUE DU COLONEL DU GARREAU DE LA MECHENIE'</t>
  </si>
  <si>
    <t xml:space="preserve"> 'adresse2': 'CENTRE AQUARECREATIF VILLA SPORT SOUS SOL'</t>
  </si>
  <si>
    <t xml:space="preserve"> 'codepostal': '87500'</t>
  </si>
  <si>
    <t xml:space="preserve"> 'ville': 'SAINT-YRIEIX-LA-PERCHE'</t>
  </si>
  <si>
    <t xml:space="preserve"> 'lat': '54.365356623966598'</t>
  </si>
  <si>
    <t xml:space="preserve"> 'lng': '6.917610168457031'</t>
  </si>
  <si>
    <t xml:space="preserve"> 'nomClub': 'GHM ST YRIEIX'</t>
  </si>
  <si>
    <t xml:space="preserve"> 'nomCourtClub': 'GHM ST YRIEIX'</t>
  </si>
  <si>
    <t xml:space="preserve"> 'url': '/pratiquer/ou-pratiquer/ou-pratiquer-fiche-club/13870260-ghm-st-yrieix'}</t>
  </si>
  <si>
    <t>{'id': 57</t>
  </si>
  <si>
    <t xml:space="preserve"> 'nom': 'CSL DE FRANCONVILLE'</t>
  </si>
  <si>
    <t xml:space="preserve"> 'adresse1': 'AVENUE DES MARAIS'</t>
  </si>
  <si>
    <t xml:space="preserve"> 'adresse2': '1ER ÉTAGE'</t>
  </si>
  <si>
    <t xml:space="preserve"> 'codepostal': '95130'</t>
  </si>
  <si>
    <t xml:space="preserve"> 'ville': 'FRANCONVILLE'</t>
  </si>
  <si>
    <t xml:space="preserve"> 'tel': '01.34.37.36.90'</t>
  </si>
  <si>
    <t xml:space="preserve"> 'lat': '48.991876300000001'</t>
  </si>
  <si>
    <t xml:space="preserve"> 'lng': '2.220521800000000'</t>
  </si>
  <si>
    <t xml:space="preserve"> 'nomClub': 'AFHMA FRANCONVILLE'</t>
  </si>
  <si>
    <t xml:space="preserve"> 'nomCourtClub': 'AFHMA FRANCONVILLE'</t>
  </si>
  <si>
    <t xml:space="preserve"> 'url': '/pratiquer/ou-pratiquer/ou-pratiquer-fiche-club/21950236-afhma-franconville'}</t>
  </si>
  <si>
    <t>{'id': 59</t>
  </si>
  <si>
    <t xml:space="preserve"> 'nom': 'SNOS MUSCULATION'</t>
  </si>
  <si>
    <t xml:space="preserve"> 'adresse1': '7 AVENUE PIERRE DE COUBERTIN'</t>
  </si>
  <si>
    <t xml:space="preserve"> 'codepostal': '44600'</t>
  </si>
  <si>
    <t xml:space="preserve"> 'ville': 'SAINT-NAZAIRE'</t>
  </si>
  <si>
    <t xml:space="preserve"> 'tel': '07 49 02 43 89'</t>
  </si>
  <si>
    <t xml:space="preserve"> 'lat': '47.273382999999995'</t>
  </si>
  <si>
    <t xml:space="preserve"> 'lng': '-2.231056537691720'</t>
  </si>
  <si>
    <t xml:space="preserve"> 'nomClub': 'SNOS ST NAZAIRE MUSCULATION'</t>
  </si>
  <si>
    <t xml:space="preserve"> 'nomCourtClub': 'SNOS ST NAZAIRE MUSCULATION'</t>
  </si>
  <si>
    <t xml:space="preserve"> 'url': '/pratiquer/ou-pratiquer/ou-pratiquer-fiche-club/17440678-snos-st-nazaire-musculation'}</t>
  </si>
  <si>
    <t>{'id': 63</t>
  </si>
  <si>
    <t xml:space="preserve"> 'nom': 'SNAGA HM'</t>
  </si>
  <si>
    <t xml:space="preserve"> 'adresse1': ' 2 RUE DU SAINTOIS'</t>
  </si>
  <si>
    <t xml:space="preserve"> 'codepostal': '88170'</t>
  </si>
  <si>
    <t xml:space="preserve"> 'ville': 'CHÂTENOIS'</t>
  </si>
  <si>
    <t xml:space="preserve"> 'tel': '0674886221'</t>
  </si>
  <si>
    <t xml:space="preserve"> 'lat': '48.310334000000019'</t>
  </si>
  <si>
    <t xml:space="preserve"> 'lng': '5.836658999999993'</t>
  </si>
  <si>
    <t xml:space="preserve"> 'nomClub': 'SNAGA HM'</t>
  </si>
  <si>
    <t xml:space="preserve"> 'nomCourtClub': 'SNAGA HM'</t>
  </si>
  <si>
    <t xml:space="preserve"> 'url': '/pratiquer/ou-pratiquer/ou-pratiquer-fiche-club/339860041-snaga-hm'}</t>
  </si>
  <si>
    <t>{'id': 64</t>
  </si>
  <si>
    <t xml:space="preserve"> 'nom': 'Gymnase Albert Schierano'</t>
  </si>
  <si>
    <t xml:space="preserve"> 'adresse1': 'RUE DE LA LEVÉE'</t>
  </si>
  <si>
    <t xml:space="preserve"> 'codepostal': '84700'</t>
  </si>
  <si>
    <t xml:space="preserve"> 'ville': 'SORGUES'</t>
  </si>
  <si>
    <t xml:space="preserve"> 'tel': '06.83.99.42.66'</t>
  </si>
  <si>
    <t xml:space="preserve"> 'lat': '44.012292450000004'</t>
  </si>
  <si>
    <t xml:space="preserve"> 'lng': '4.871160394823956'</t>
  </si>
  <si>
    <t xml:space="preserve"> 'nomClub': 'AVIGNON SORGUES HALTEROPHILIE'</t>
  </si>
  <si>
    <t xml:space="preserve"> 'nomCourtClub': 'AVIGNON SORGUES HALTEROPHILIE'</t>
  </si>
  <si>
    <t xml:space="preserve"> 'url': '/pratiquer/ou-pratiquer/ou-pratiquer-fiche-club/20840814-avignon-sorgues-halterophilie'}</t>
  </si>
  <si>
    <t>{'id': 66</t>
  </si>
  <si>
    <t xml:space="preserve"> 'nom': 'CERCLE MICHELET ORLEANS HALTEROPHILIE'</t>
  </si>
  <si>
    <t xml:space="preserve"> 'adresse1': '73 BD MARIE STUART ARGONAUTE'</t>
  </si>
  <si>
    <t xml:space="preserve"> 'codepostal': '45000'</t>
  </si>
  <si>
    <t xml:space="preserve"> 'ville': 'ORLÉANS'</t>
  </si>
  <si>
    <t xml:space="preserve"> 'tel': '09.54.69.51.20'</t>
  </si>
  <si>
    <t xml:space="preserve"> 'lat': '47.911524999999997'</t>
  </si>
  <si>
    <t xml:space="preserve"> 'lng': '1.931587000000000'</t>
  </si>
  <si>
    <t xml:space="preserve"> 'nomClub': 'CERCLE MICHELET ORLEANS HMS'</t>
  </si>
  <si>
    <t xml:space="preserve"> 'nomCourtClub': 'CERCLE MICHELET ORLEANS HMS'</t>
  </si>
  <si>
    <t xml:space="preserve"> 'url': '/pratiquer/ou-pratiquer/ou-pratiquer-fiche-club/07450371-cercle-michelet-orleans-hms'}</t>
  </si>
  <si>
    <t>{'id': 67</t>
  </si>
  <si>
    <t xml:space="preserve"> 'nom': "Club Haltérophile de l'Arbresle"</t>
  </si>
  <si>
    <t xml:space="preserve"> 'adresse1': 'ROUTE SALLE L.GONCALVES - STADE MUNICIPAL ROUTE DE PARIS'</t>
  </si>
  <si>
    <t xml:space="preserve"> 'adresse2': 'SALLE LOUIS GONCALVES '</t>
  </si>
  <si>
    <t xml:space="preserve"> 'codepostal': '69210'</t>
  </si>
  <si>
    <t xml:space="preserve"> 'ville': "L'ARBRESLE"</t>
  </si>
  <si>
    <t xml:space="preserve"> 'tel': '06.79.35.10.39'</t>
  </si>
  <si>
    <t xml:space="preserve"> 'lat': '45.838132134287058'</t>
  </si>
  <si>
    <t xml:space="preserve"> 'lng': '4.605937600135804'</t>
  </si>
  <si>
    <t xml:space="preserve"> 'nomClub': 'CH ARBRESLE'</t>
  </si>
  <si>
    <t xml:space="preserve"> 'nomCourtClub': 'CH ARBRESLE'</t>
  </si>
  <si>
    <t xml:space="preserve"> 'url': '/pratiquer/ou-pratiquer/ou-pratiquer-fiche-club/22690675-ch-arbresle'}</t>
  </si>
  <si>
    <t>{'id': 69</t>
  </si>
  <si>
    <t xml:space="preserve"> 'nom': '1789 Crossfit'</t>
  </si>
  <si>
    <t xml:space="preserve"> 'adresse1': '29 RUE CLAUDE-NICOLAS LEDOUX'</t>
  </si>
  <si>
    <t xml:space="preserve"> 'codepostal': '13290'</t>
  </si>
  <si>
    <t xml:space="preserve"> 'ville': 'AIX-EN-PROVENCE'</t>
  </si>
  <si>
    <t xml:space="preserve"> 'lat': '43.481330100000001'</t>
  </si>
  <si>
    <t xml:space="preserve"> 'lng': '5.386270711530452'</t>
  </si>
  <si>
    <t xml:space="preserve"> 'nomClub': '1789 BARBELL LIFTING CLUB'</t>
  </si>
  <si>
    <t xml:space="preserve"> 'nomCourtClub': '1789BLC'</t>
  </si>
  <si>
    <t xml:space="preserve"> 'url': '/pratiquer/ou-pratiquer/ou-pratiquer-fiche-club/339860010-1789-barbell-lifting-club'}</t>
  </si>
  <si>
    <t>{'id': 71</t>
  </si>
  <si>
    <t xml:space="preserve"> 'nom': 'Salle omnisport Jeanne Trouillet'</t>
  </si>
  <si>
    <t xml:space="preserve"> 'adresse1': 'AVENUE JEAN LAVAL SALLE OMNISPORT'</t>
  </si>
  <si>
    <t xml:space="preserve"> 'codepostal': '69480'</t>
  </si>
  <si>
    <t xml:space="preserve"> 'ville': 'ANSE'</t>
  </si>
  <si>
    <t xml:space="preserve"> 'tel': '06.74.89.16.48'</t>
  </si>
  <si>
    <t xml:space="preserve"> 'lat': '45.934780000000003'</t>
  </si>
  <si>
    <t xml:space="preserve"> 'lng': '4.716198000000000'</t>
  </si>
  <si>
    <t xml:space="preserve"> 'nomClub': 'CH ANSOIS'</t>
  </si>
  <si>
    <t xml:space="preserve"> 'nomCourtClub': 'CH ANSOIS'</t>
  </si>
  <si>
    <t xml:space="preserve"> 'url': '/pratiquer/ou-pratiquer/ou-pratiquer-fiche-club/22690293-ch-ansois'}</t>
  </si>
  <si>
    <t>{'id': 73</t>
  </si>
  <si>
    <t xml:space="preserve"> 'nom': 'espace fitness sarralbe'</t>
  </si>
  <si>
    <t xml:space="preserve"> 'adresse1': 'QUAI RUE DE LA SARRE'</t>
  </si>
  <si>
    <t xml:space="preserve"> 'adresse2': 'COMPLEXE F MITTERRAND '</t>
  </si>
  <si>
    <t xml:space="preserve"> 'codepostal': '57430'</t>
  </si>
  <si>
    <t xml:space="preserve"> 'ville': 'SARRALBE'</t>
  </si>
  <si>
    <t xml:space="preserve"> 'lat': '49.002533700000001'</t>
  </si>
  <si>
    <t xml:space="preserve"> 'lng': '7.032990800000000'</t>
  </si>
  <si>
    <t xml:space="preserve"> 'nomClub': 'ESPACE FITNESS SARRALBE'</t>
  </si>
  <si>
    <t xml:space="preserve"> 'nomCourtClub': 'E.F.S'</t>
  </si>
  <si>
    <t xml:space="preserve"> 'url': '/pratiquer/ou-pratiquer/ou-pratiquer-fiche-club/14570796-espace-fitness-sarralbe'}</t>
  </si>
  <si>
    <t>{'id': 74</t>
  </si>
  <si>
    <t xml:space="preserve"> 'nom': 'USTH'</t>
  </si>
  <si>
    <t xml:space="preserve"> 'adresse1': '126 RUE FRANÇOIS RICHER'</t>
  </si>
  <si>
    <t xml:space="preserve"> 'codepostal': '37000'</t>
  </si>
  <si>
    <t xml:space="preserve"> 'ville': 'TOURS'</t>
  </si>
  <si>
    <t xml:space="preserve"> 'lat': '47.383332000000003'</t>
  </si>
  <si>
    <t xml:space="preserve"> 'lng': '0.666448000000000'</t>
  </si>
  <si>
    <t xml:space="preserve"> 'nomClub': 'US TOURS HALTEROPHILIE'</t>
  </si>
  <si>
    <t xml:space="preserve"> 'nomCourtClub': 'US TOURS HALTEROPHILIE'</t>
  </si>
  <si>
    <t xml:space="preserve"> 'url': '/pratiquer/ou-pratiquer/ou-pratiquer-fiche-club/07370364-us-tours-halterophilie'}</t>
  </si>
  <si>
    <t>{'id': 77</t>
  </si>
  <si>
    <t xml:space="preserve"> 'nom': 'Complexe de musculation'</t>
  </si>
  <si>
    <t xml:space="preserve"> 'adresse1': '27 RUE MARGUERITE'</t>
  </si>
  <si>
    <t xml:space="preserve"> 'adresse2': 'STADE MUNICIPAL'</t>
  </si>
  <si>
    <t xml:space="preserve"> 'codepostal': '93360'</t>
  </si>
  <si>
    <t xml:space="preserve"> 'ville': 'NEUILLY-PLAISANCE'</t>
  </si>
  <si>
    <t xml:space="preserve"> 'tel': '01.43.08.16.14'</t>
  </si>
  <si>
    <t xml:space="preserve"> 'lat': '48.855818999999997'</t>
  </si>
  <si>
    <t xml:space="preserve"> 'lng': '2.514600000000000'</t>
  </si>
  <si>
    <t xml:space="preserve"> 'nomClub': 'NEUILLY PLAISANCE SPORTS'</t>
  </si>
  <si>
    <t xml:space="preserve"> 'nomCourtClub': 'NEUILLY PLAISANCE SPORTS'</t>
  </si>
  <si>
    <t xml:space="preserve"> 'url': '/pratiquer/ou-pratiquer/ou-pratiquer-fiche-club/21931141-neuilly-plaisance-sports'}</t>
  </si>
  <si>
    <t>{'id': 79</t>
  </si>
  <si>
    <t xml:space="preserve"> 'nom': 'BARBELL LIFTERS CLUB'</t>
  </si>
  <si>
    <t xml:space="preserve"> 'adresse1': '67 RUE THEOPHILE GAUTIER'</t>
  </si>
  <si>
    <t xml:space="preserve"> 'adresse2': 'GYMNASE LUCIEN FOLLAIN '</t>
  </si>
  <si>
    <t xml:space="preserve"> 'codepostal': '76620'</t>
  </si>
  <si>
    <t xml:space="preserve"> 'ville': 'LE HAVRE'</t>
  </si>
  <si>
    <t xml:space="preserve"> 'tel': '0638810160'</t>
  </si>
  <si>
    <t xml:space="preserve"> 'lat': '49.514698000000003'</t>
  </si>
  <si>
    <t xml:space="preserve"> 'lng': '0.090987000000000'</t>
  </si>
  <si>
    <t xml:space="preserve"> 'nomClub': 'BARBELL LIFTERS CLUB'</t>
  </si>
  <si>
    <t xml:space="preserve"> 'nomCourtClub': 'BLC'</t>
  </si>
  <si>
    <t xml:space="preserve"> 'url': '/pratiquer/ou-pratiquer/ou-pratiquer-fiche-club/339860019-barbell-lifters-club'}</t>
  </si>
  <si>
    <t>{'id': 80</t>
  </si>
  <si>
    <t xml:space="preserve"> 'nom': 'Halterophilie Club Avallonais'</t>
  </si>
  <si>
    <t xml:space="preserve"> 'adresse1': '13 AVENUE VICTOR HUGO'</t>
  </si>
  <si>
    <t xml:space="preserve"> 'codepostal': '89200'</t>
  </si>
  <si>
    <t xml:space="preserve"> 'ville': 'AVALLON'</t>
  </si>
  <si>
    <t xml:space="preserve"> 'tel': '03.86.31.60.05'</t>
  </si>
  <si>
    <t xml:space="preserve"> 'lat': '47.487332799999997'</t>
  </si>
  <si>
    <t xml:space="preserve"> 'lng': '3.896829302137829'</t>
  </si>
  <si>
    <t xml:space="preserve"> 'nomClub': 'HC AVALLON MFAC'</t>
  </si>
  <si>
    <t xml:space="preserve"> 'nomCourtClub': 'HC AVALLON MFAC'</t>
  </si>
  <si>
    <t xml:space="preserve"> 'url': '/pratiquer/ou-pratiquer/ou-pratiquer-fiche-club/05890067-hc-avallon-mfac'}</t>
  </si>
  <si>
    <t>{'id': 81</t>
  </si>
  <si>
    <t xml:space="preserve"> 'nom': 'HMCBJ'</t>
  </si>
  <si>
    <t xml:space="preserve"> 'adresse1': '39 RUE JEAN JAURÈS'</t>
  </si>
  <si>
    <t xml:space="preserve"> 'adresse2': 'SALLE J.-M. BONNAS '</t>
  </si>
  <si>
    <t xml:space="preserve"> 'codepostal': '38300'</t>
  </si>
  <si>
    <t xml:space="preserve"> 'ville': 'BOURGOIN-JALLIEU'</t>
  </si>
  <si>
    <t xml:space="preserve"> 'lat': '45.588492500000001'</t>
  </si>
  <si>
    <t xml:space="preserve"> 'lng': '5.268660360781052'</t>
  </si>
  <si>
    <t xml:space="preserve"> 'nomClub': 'HMC BOURGOIN JALLIEU'</t>
  </si>
  <si>
    <t xml:space="preserve"> 'nomCourtClub': 'HMC BOURGOIN JALLIEU'</t>
  </si>
  <si>
    <t xml:space="preserve"> 'url': '/pratiquer/ou-pratiquer/ou-pratiquer-fiche-club/22380143-hmc-bourgoin-jallieu'}</t>
  </si>
  <si>
    <t>{'id': 83</t>
  </si>
  <si>
    <t xml:space="preserve"> 'nom': 'AS Mantaise halterophilie-musculation'</t>
  </si>
  <si>
    <t xml:space="preserve"> 'adresse1': '15 RUE DE LORRAINE'</t>
  </si>
  <si>
    <t xml:space="preserve"> 'codepostal': '78200'</t>
  </si>
  <si>
    <t xml:space="preserve"> 'ville': 'BOINVILLIERS'</t>
  </si>
  <si>
    <t xml:space="preserve"> 'tel': '0684964023'</t>
  </si>
  <si>
    <t xml:space="preserve"> 'lat': '48.987197000000002'</t>
  </si>
  <si>
    <t xml:space="preserve"> 'lng': '1.713332200000000'</t>
  </si>
  <si>
    <t xml:space="preserve"> 'nomClub': 'AS MANTAISE'</t>
  </si>
  <si>
    <t xml:space="preserve"> 'nomCourtClub': 'AS MANTAISE'</t>
  </si>
  <si>
    <t xml:space="preserve"> 'url': '/pratiquer/ou-pratiquer/ou-pratiquer-fiche-club/21780188-as-mantaise'}</t>
  </si>
  <si>
    <t>{'id': 84</t>
  </si>
  <si>
    <t xml:space="preserve"> 'nom': 'haltérophilie romanais péageois'</t>
  </si>
  <si>
    <t xml:space="preserve"> 'adresse1': '14 AVENUE DE LA DÉPORTATION'</t>
  </si>
  <si>
    <t xml:space="preserve"> 'codepostal': '26100'</t>
  </si>
  <si>
    <t xml:space="preserve"> 'ville': 'ROMANS-SUR-ISÈRE'</t>
  </si>
  <si>
    <t xml:space="preserve"> 'tel': '06.34.29.21.28'</t>
  </si>
  <si>
    <t xml:space="preserve"> 'lat': '45.050280999999998'</t>
  </si>
  <si>
    <t xml:space="preserve"> 'lng': '5.082045000000000'</t>
  </si>
  <si>
    <t xml:space="preserve"> 'nomClub': 'HALTEROPHILIE ROMANAIS PEAGEOIS'</t>
  </si>
  <si>
    <t xml:space="preserve"> 'nomCourtClub': 'HALTEROPHILIE ROMANAIS PEAGEOIS'</t>
  </si>
  <si>
    <t xml:space="preserve"> 'url': '/pratiquer/ou-pratiquer/ou-pratiquer-fiche-club/22260136-halterophilie-romanais-peageois'}</t>
  </si>
  <si>
    <t>{'id': 87</t>
  </si>
  <si>
    <t xml:space="preserve"> 'nom': 'HMDB21'</t>
  </si>
  <si>
    <t xml:space="preserve"> 'adresse1': '7B  TREIGE DU MOULIN'</t>
  </si>
  <si>
    <t xml:space="preserve"> 'codepostal': '21110'</t>
  </si>
  <si>
    <t xml:space="preserve"> 'ville': 'CESSEY-SUR-TILLE'</t>
  </si>
  <si>
    <t xml:space="preserve"> 'lat': '47.281607000000001'</t>
  </si>
  <si>
    <t xml:space="preserve"> 'lng': '5.219825000000000'</t>
  </si>
  <si>
    <t xml:space="preserve"> 'nomClub': 'HMDB21 DIJON'</t>
  </si>
  <si>
    <t xml:space="preserve"> 'nomCourtClub': 'HMDB21 DIJON'</t>
  </si>
  <si>
    <t xml:space="preserve"> 'url': '/pratiquer/ou-pratiquer/ou-pratiquer-fiche-club/05210058-hmdb21-dijon'}</t>
  </si>
  <si>
    <t>{'id': 88</t>
  </si>
  <si>
    <t xml:space="preserve"> 'nom': 'PALAIS DES SPORTS DE DIJON'</t>
  </si>
  <si>
    <t xml:space="preserve"> 'adresse1': '17  RUE LEON MAURIS'</t>
  </si>
  <si>
    <t xml:space="preserve"> 'adresse2': 'ENTREE B  SALLE DE MUSCULATION'</t>
  </si>
  <si>
    <t xml:space="preserve"> 'codepostal': '21000'</t>
  </si>
  <si>
    <t xml:space="preserve"> 'ville': 'DIJON'</t>
  </si>
  <si>
    <t xml:space="preserve"> 'lat': '47.332557999999999'</t>
  </si>
  <si>
    <t xml:space="preserve"> 'lng': '5.056791000000000'</t>
  </si>
  <si>
    <t>{'id': 89</t>
  </si>
  <si>
    <t xml:space="preserve"> 'nom': 'CrossFit Le chalet'</t>
  </si>
  <si>
    <t xml:space="preserve"> 'adresse1': '56 BOULEVARD DE LA GARE'</t>
  </si>
  <si>
    <t xml:space="preserve"> 'codepostal': '31390'</t>
  </si>
  <si>
    <t xml:space="preserve"> 'ville': 'BOIS-DE-LA-PIERRE'</t>
  </si>
  <si>
    <t xml:space="preserve"> 'tel': '0637347791'</t>
  </si>
  <si>
    <t xml:space="preserve"> 'lat': '43.297811000000003'</t>
  </si>
  <si>
    <t xml:space="preserve"> 'lng': '1.212829000000000'</t>
  </si>
  <si>
    <t xml:space="preserve"> 'nomClub': 'CROSSFIT LE CHALET'</t>
  </si>
  <si>
    <t xml:space="preserve"> 'nomCourtClub': 'CF LE CHALET'</t>
  </si>
  <si>
    <t xml:space="preserve"> 'url': '/pratiquer/ou-pratiquer/ou-pratiquer-fiche-club/339860047-crossfit-le-chalet'}</t>
  </si>
  <si>
    <t>{'id': 90</t>
  </si>
  <si>
    <t xml:space="preserve"> 'nom': 'stade gabriel montpied'</t>
  </si>
  <si>
    <t xml:space="preserve"> 'adresse1': '1 RUE ROBERT LEMOY'</t>
  </si>
  <si>
    <t xml:space="preserve"> 'adresse2': 'STADE GABRIEL MONTPIED '</t>
  </si>
  <si>
    <t xml:space="preserve"> 'codepostal': '63100'</t>
  </si>
  <si>
    <t xml:space="preserve"> 'ville': 'CLERMONT-FERRAND'</t>
  </si>
  <si>
    <t xml:space="preserve"> 'tel': '0473835503'</t>
  </si>
  <si>
    <t xml:space="preserve"> 'lat': '45.816680650000002'</t>
  </si>
  <si>
    <t xml:space="preserve"> 'lng': '3.119145886330999'</t>
  </si>
  <si>
    <t xml:space="preserve"> 'nomClub': 'AS MONTFERRANDAISE'</t>
  </si>
  <si>
    <t xml:space="preserve"> 'nomCourtClub': 'AS MONTFERRANDAISE'</t>
  </si>
  <si>
    <t xml:space="preserve"> 'url': '/pratiquer/ou-pratiquer/ou-pratiquer-fiche-club/03630024-as-montferrandaise'}</t>
  </si>
  <si>
    <t>{'id': 93</t>
  </si>
  <si>
    <t xml:space="preserve"> 'nom': 'stade de flandres'</t>
  </si>
  <si>
    <t xml:space="preserve"> 'adresse1': 'AVENUE DE ROSENDAËL - JACQUES COLLACHE'</t>
  </si>
  <si>
    <t xml:space="preserve"> 'adresse2': 'STADE DE FLANDRES - AVENUE DE ROSENDAËL'</t>
  </si>
  <si>
    <t xml:space="preserve"> 'codepostal': '59240'</t>
  </si>
  <si>
    <t xml:space="preserve"> 'ville': 'DUNKERQUE'</t>
  </si>
  <si>
    <t xml:space="preserve"> 'tel': '0674263997'</t>
  </si>
  <si>
    <t xml:space="preserve"> 'lat': '51.035662899999998'</t>
  </si>
  <si>
    <t xml:space="preserve"> 'lng': '2.391672249386273'</t>
  </si>
  <si>
    <t xml:space="preserve"> 'nomClub': 'CA ROSENDAEL'</t>
  </si>
  <si>
    <t xml:space="preserve"> 'nomCourtClub': 'CA ROSENDAEL'</t>
  </si>
  <si>
    <t xml:space="preserve"> 'url': '/pratiquer/ou-pratiquer/ou-pratiquer-fiche-club/16590635-ca-rosendael'}</t>
  </si>
  <si>
    <t>{'id': 92</t>
  </si>
  <si>
    <t xml:space="preserve"> 'nom': 'section haltérophilie'</t>
  </si>
  <si>
    <t xml:space="preserve"> 'adresse1': "22 RUE RUE D'ENSISHEIM"</t>
  </si>
  <si>
    <t xml:space="preserve"> 'adresse2': 'ECOLE ÉLÉMENTAIRE '</t>
  </si>
  <si>
    <t xml:space="preserve"> 'codepostal': '68190'</t>
  </si>
  <si>
    <t xml:space="preserve"> 'ville': 'UNGERSHEIM'</t>
  </si>
  <si>
    <t xml:space="preserve"> 'lat': '47.876691999999998'</t>
  </si>
  <si>
    <t xml:space="preserve"> 'lng': '7.311346000000000'</t>
  </si>
  <si>
    <t xml:space="preserve"> 'nomClub': 'MJC UNGERSHEIM'</t>
  </si>
  <si>
    <t xml:space="preserve"> 'nomCourtClub': 'MJC UNGERSHEIM'</t>
  </si>
  <si>
    <t xml:space="preserve"> 'url': '/pratiquer/ou-pratiquer/ou-pratiquer-fiche-club/01680946-mjc-ungersheim'}</t>
  </si>
  <si>
    <t>{'id': 95</t>
  </si>
  <si>
    <t xml:space="preserve"> 'nom': 'ASH TULLE'</t>
  </si>
  <si>
    <t xml:space="preserve"> 'adresse1': '36 AVENUE ALSACE LORRAINE'</t>
  </si>
  <si>
    <t xml:space="preserve"> 'adresse2': 'CENTRE CULTUREL ET SPORTIF '</t>
  </si>
  <si>
    <t xml:space="preserve"> 'codepostal': '19000'</t>
  </si>
  <si>
    <t xml:space="preserve"> 'ville': 'TULLE'</t>
  </si>
  <si>
    <t xml:space="preserve"> 'tel': '06.75.71.02.97'</t>
  </si>
  <si>
    <t xml:space="preserve"> 'lat': '45.260159000000002'</t>
  </si>
  <si>
    <t xml:space="preserve"> 'lng': '1.754744000000000'</t>
  </si>
  <si>
    <t xml:space="preserve"> 'nomClub': 'ASH TULLE'</t>
  </si>
  <si>
    <t xml:space="preserve"> 'nomCourtClub': 'ASH TULLE'</t>
  </si>
  <si>
    <t xml:space="preserve"> 'url': '/pratiquer/ou-pratiquer/ou-pratiquer-fiche-club/13190648-ash-tulle'}</t>
  </si>
  <si>
    <t>{'id': 96</t>
  </si>
  <si>
    <t xml:space="preserve"> 'nom': "LYCEE DUMONT D'URVILLE TOULON"</t>
  </si>
  <si>
    <t xml:space="preserve"> 'adresse1': '168  CHEMIN DES FOURNIERS'</t>
  </si>
  <si>
    <t xml:space="preserve"> 'adresse2': 'BATB1 '</t>
  </si>
  <si>
    <t xml:space="preserve"> 'codepostal': '83210'</t>
  </si>
  <si>
    <t xml:space="preserve"> 'ville': 'LA FARLÈDE'</t>
  </si>
  <si>
    <t xml:space="preserve"> 'tel': '0607763315'</t>
  </si>
  <si>
    <t xml:space="preserve"> 'lat': '43.168337000000001'</t>
  </si>
  <si>
    <t xml:space="preserve"> 'lng': '6.037669000000000'</t>
  </si>
  <si>
    <t xml:space="preserve"> 'nomClub': 'ASL DUMONT D URVILLE'</t>
  </si>
  <si>
    <t xml:space="preserve"> 'nomCourtClub': 'ASL DUMONT D URVILLE'</t>
  </si>
  <si>
    <t xml:space="preserve"> 'url': '/pratiquer/ou-pratiquer/ou-pratiquer-fiche-club/20830809-asl-dumont-urville'}</t>
  </si>
  <si>
    <t>{'id': 97</t>
  </si>
  <si>
    <t xml:space="preserve"> 'nom': 'CHM THONON'</t>
  </si>
  <si>
    <t xml:space="preserve"> 'adresse1': 'AVENUE DE LA GRANGETTE'</t>
  </si>
  <si>
    <t xml:space="preserve"> 'adresse2': 'MAISON DES SPORTS'</t>
  </si>
  <si>
    <t xml:space="preserve"> 'codepostal': '74200'</t>
  </si>
  <si>
    <t xml:space="preserve"> 'ville': 'THONON-LES-BAINS'</t>
  </si>
  <si>
    <t xml:space="preserve"> 'tel': '0768129074'</t>
  </si>
  <si>
    <t xml:space="preserve"> 'lat': '46.364345200000002'</t>
  </si>
  <si>
    <t xml:space="preserve"> 'lng': '6.468505802706551'</t>
  </si>
  <si>
    <t xml:space="preserve"> 'nomClub': 'CHM THONON'</t>
  </si>
  <si>
    <t xml:space="preserve"> 'nomCourtClub': 'CHM'</t>
  </si>
  <si>
    <t xml:space="preserve"> 'url': '/pratiquer/ou-pratiquer/ou-pratiquer-fiche-club/339860048-chm-thonon'}</t>
  </si>
  <si>
    <t>{'id': 100</t>
  </si>
  <si>
    <t xml:space="preserve"> 'nom': 'Caen Calvados Haltérophilie-Musculation'</t>
  </si>
  <si>
    <t xml:space="preserve"> 'adresse1': 'GYMNASE DE LA MALADRERIE RUE DU DESERT'</t>
  </si>
  <si>
    <t xml:space="preserve"> 'codepostal': '14000'</t>
  </si>
  <si>
    <t xml:space="preserve"> 'ville': 'CAEN'</t>
  </si>
  <si>
    <t xml:space="preserve"> 'tel': '09.81.39.77.84'</t>
  </si>
  <si>
    <t xml:space="preserve"> 'lat': '49.190764000000001'</t>
  </si>
  <si>
    <t xml:space="preserve"> 'lng': '-0.404566000000000'</t>
  </si>
  <si>
    <t xml:space="preserve"> 'nomClub': 'CAEN CALVADOS HALTEROPHILIE MUSCULATION'</t>
  </si>
  <si>
    <t xml:space="preserve"> 'nomCourtClub': 'CAEN CALVADOS HALTEROPHILIE MUSCULATION'</t>
  </si>
  <si>
    <t xml:space="preserve"> 'url': '/pratiquer/ou-pratiquer/ou-pratiquer-fiche-club/04140303-caen-calvados-halterophilie-musculation'}</t>
  </si>
  <si>
    <t>{'id': 102</t>
  </si>
  <si>
    <t xml:space="preserve"> 'nom': 'CHMC 36'</t>
  </si>
  <si>
    <t xml:space="preserve"> 'adresse1': 'RUE 32 RUE SCHWOB'</t>
  </si>
  <si>
    <t xml:space="preserve"> 'codepostal': '36000'</t>
  </si>
  <si>
    <t xml:space="preserve"> 'ville': 'CHÂTEAUROUX'</t>
  </si>
  <si>
    <t xml:space="preserve"> 'tel': '02.54.22.86.14'</t>
  </si>
  <si>
    <t xml:space="preserve"> 'lat': '46.815556999999998'</t>
  </si>
  <si>
    <t xml:space="preserve"> 'lng': '1.707407000000000'</t>
  </si>
  <si>
    <t xml:space="preserve"> 'nomClub': 'CHM CHATEAUROUX'</t>
  </si>
  <si>
    <t xml:space="preserve"> 'nomCourtClub': 'CHM CHATEAUROUX'</t>
  </si>
  <si>
    <t xml:space="preserve"> 'url': '/pratiquer/ou-pratiquer/ou-pratiquer-fiche-club/07360361-chm-chateauroux'}</t>
  </si>
  <si>
    <t>{'id': 103</t>
  </si>
  <si>
    <t xml:space="preserve"> 'nom': 'jean paul Barthen'</t>
  </si>
  <si>
    <t xml:space="preserve"> 'adresse1': "3 RUE DE L'ÉGLISE"</t>
  </si>
  <si>
    <t xml:space="preserve"> 'codepostal': '57540'</t>
  </si>
  <si>
    <t xml:space="preserve"> 'ville': 'PETITE-ROSSELLE'</t>
  </si>
  <si>
    <t xml:space="preserve"> 'lat': '49.208188999999997'</t>
  </si>
  <si>
    <t xml:space="preserve"> 'lng': '6.847813000000000'</t>
  </si>
  <si>
    <t xml:space="preserve"> 'nomClub': 'CH PETITE ROSSELLE'</t>
  </si>
  <si>
    <t xml:space="preserve"> 'nomCourtClub': 'CH PETITE ROSSELLE'</t>
  </si>
  <si>
    <t xml:space="preserve"> 'url': '/pratiquer/ou-pratiquer/ou-pratiquer-fiche-club/14570271-ch-petite-rosselle'}</t>
  </si>
  <si>
    <t>{'id': 104</t>
  </si>
  <si>
    <t xml:space="preserve"> 'nom': 'CHM CHAVILLE'</t>
  </si>
  <si>
    <t xml:space="preserve"> 'adresse1': '2 RUE COMPLEXE SPORTIF COLETTE BESSON STADE MUNICIPAL 2 RUE JEAN JAURES'</t>
  </si>
  <si>
    <t xml:space="preserve"> 'codepostal': '92370'</t>
  </si>
  <si>
    <t xml:space="preserve"> 'ville': 'CHAVILLE'</t>
  </si>
  <si>
    <t xml:space="preserve"> 'tel': '01.41.15.08.24'</t>
  </si>
  <si>
    <t xml:space="preserve"> 'lat': '48.798561999999997'</t>
  </si>
  <si>
    <t xml:space="preserve"> 'lng': '2.187909000000000'</t>
  </si>
  <si>
    <t xml:space="preserve"> 'nomClub': 'CHM CHAVILLE'</t>
  </si>
  <si>
    <t xml:space="preserve"> 'nomCourtClub': 'CHM CHAVILLE'</t>
  </si>
  <si>
    <t xml:space="preserve"> 'url': '/pratiquer/ou-pratiquer/ou-pratiquer-fiche-club/21920196-chm-chaville'}</t>
  </si>
  <si>
    <t>{'id': 105</t>
  </si>
  <si>
    <t xml:space="preserve"> 'nom': 'Salle EDMOND coroyer'</t>
  </si>
  <si>
    <t xml:space="preserve"> 'adresse1': 'RUE LOUCHEUR'</t>
  </si>
  <si>
    <t xml:space="preserve"> 'codepostal': '76550'</t>
  </si>
  <si>
    <t xml:space="preserve"> 'ville': 'OFFRANVILLE'</t>
  </si>
  <si>
    <t xml:space="preserve"> 'lat': '49.873100999999998'</t>
  </si>
  <si>
    <t xml:space="preserve"> 'lng': '1.045330000000000'</t>
  </si>
  <si>
    <t xml:space="preserve"> 'nomClub': 'MRF OFFRANVILLE'</t>
  </si>
  <si>
    <t xml:space="preserve"> 'nomCourtClub': 'MRF OFFRANVILLE'</t>
  </si>
  <si>
    <t xml:space="preserve"> 'url': '/pratiquer/ou-pratiquer/ou-pratiquer-fiche-club/11760935-mrf-offranville'}</t>
  </si>
  <si>
    <t>{'id': 109</t>
  </si>
  <si>
    <t xml:space="preserve"> 'nom': 'Salle de boxe et haltérophilie'</t>
  </si>
  <si>
    <t xml:space="preserve"> 'adresse1': 'RUE DES FRÈRES NIVERD'</t>
  </si>
  <si>
    <t xml:space="preserve"> 'codepostal': '61000'</t>
  </si>
  <si>
    <t xml:space="preserve"> 'ville': 'ALENÇON'</t>
  </si>
  <si>
    <t xml:space="preserve"> 'tel': '06.67.74.77.20'</t>
  </si>
  <si>
    <t xml:space="preserve"> 'lat': '48.441876499999999'</t>
  </si>
  <si>
    <t xml:space="preserve"> 'lng': '0.083442200000000'</t>
  </si>
  <si>
    <t xml:space="preserve"> 'nomClub': 'CAHM ALENCON'</t>
  </si>
  <si>
    <t xml:space="preserve"> 'nomCourtClub': 'CAHM ALENCON'</t>
  </si>
  <si>
    <t xml:space="preserve"> 'url': '/pratiquer/ou-pratiquer/ou-pratiquer-fiche-club/04610309-cahm-alencon'}</t>
  </si>
  <si>
    <t>{'id': 111</t>
  </si>
  <si>
    <t xml:space="preserve"> 'nom': 'Farmer CrossFit'</t>
  </si>
  <si>
    <t xml:space="preserve"> 'adresse1': '9 RUE MARCELLIN BERTHELOT'</t>
  </si>
  <si>
    <t xml:space="preserve"> 'codepostal': '78370'</t>
  </si>
  <si>
    <t xml:space="preserve"> 'ville': 'PLAISIR'</t>
  </si>
  <si>
    <t xml:space="preserve"> 'tel': '+33666004438'</t>
  </si>
  <si>
    <t xml:space="preserve"> 'lat': '48.830278000000000'</t>
  </si>
  <si>
    <t xml:space="preserve"> 'lng': '1.951633000000000'</t>
  </si>
  <si>
    <t xml:space="preserve"> 'nomClub': 'ASSOCIATION SPORTIVE FARMER SPORTS'</t>
  </si>
  <si>
    <t xml:space="preserve"> 'nomCourtClub': 'AS FARMER SPORTS'</t>
  </si>
  <si>
    <t xml:space="preserve"> 'url': '/pratiquer/ou-pratiquer/ou-pratiquer-fiche-club/339860051-association-sportive-farmer-sports'}</t>
  </si>
  <si>
    <t>{'id': 115</t>
  </si>
  <si>
    <t xml:space="preserve"> 'nom': 'Halle des Sports Jean Raynaud'</t>
  </si>
  <si>
    <t xml:space="preserve"> 'adresse1': "AVENUE D'AGDE"</t>
  </si>
  <si>
    <t xml:space="preserve"> 'codepostal': '34450'</t>
  </si>
  <si>
    <t xml:space="preserve"> 'ville': 'VIAS'</t>
  </si>
  <si>
    <t xml:space="preserve"> 'lat': '43.314437749999996'</t>
  </si>
  <si>
    <t xml:space="preserve"> 'lng': '3.420773872187575'</t>
  </si>
  <si>
    <t xml:space="preserve"> 'nomClub': 'VILLE DE VIAS'</t>
  </si>
  <si>
    <t xml:space="preserve"> 'nomCourtClub': 'VILLE DE VIAS'</t>
  </si>
  <si>
    <t xml:space="preserve"> 'url': '/pratiquer/ou-pratiquer/ou-pratiquer-fiche-club/15340003-ville-de-vias'}</t>
  </si>
  <si>
    <t>{'id': 117</t>
  </si>
  <si>
    <t xml:space="preserve"> 'nom': 'complexe sportif de dèomas'</t>
  </si>
  <si>
    <t xml:space="preserve"> 'adresse1': 'COMPLEXE SPORTIF DE DEOMAS'</t>
  </si>
  <si>
    <t xml:space="preserve"> 'adresse2': 'RUE EMILE BOUCHON'</t>
  </si>
  <si>
    <t xml:space="preserve"> 'codepostal': '07100'</t>
  </si>
  <si>
    <t xml:space="preserve"> 'ville': 'ANNONAY'</t>
  </si>
  <si>
    <t xml:space="preserve"> 'tel': '0660961212'</t>
  </si>
  <si>
    <t xml:space="preserve"> 'lat': '45.251767999999998'</t>
  </si>
  <si>
    <t xml:space="preserve"> 'lng': '4.671866000000000'</t>
  </si>
  <si>
    <t xml:space="preserve"> 'nomClub': 'CLUB HALTEROPHILE ANNONEEN'</t>
  </si>
  <si>
    <t xml:space="preserve"> 'nomCourtClub': 'CLUB HALTEROPHILE ANNONEEN'</t>
  </si>
  <si>
    <t xml:space="preserve"> 'url': '/pratiquer/ou-pratiquer/ou-pratiquer-fiche-club/22070909-club-halterophile-annoneen'}</t>
  </si>
  <si>
    <t>{'id': 118</t>
  </si>
  <si>
    <t xml:space="preserve"> 'nom': 'Chatillon Barbell Club'</t>
  </si>
  <si>
    <t xml:space="preserve"> 'adresse1': '1 CHEMIN BOIS DE LE LAVE'</t>
  </si>
  <si>
    <t xml:space="preserve"> 'codepostal': '25870'</t>
  </si>
  <si>
    <t xml:space="preserve"> 'ville': 'CHÂTILLON-LE-DUC'</t>
  </si>
  <si>
    <t xml:space="preserve"> 'tel': '07.68.97.38.63'</t>
  </si>
  <si>
    <t xml:space="preserve"> 'lat': '47.287815000000002'</t>
  </si>
  <si>
    <t xml:space="preserve"> 'lng': '5.996564000000000'</t>
  </si>
  <si>
    <t xml:space="preserve"> 'nomClub': 'CHATILLON BARBELL CLUB'</t>
  </si>
  <si>
    <t xml:space="preserve"> 'nomCourtClub': 'CHATILLON BARBELL CLUB'</t>
  </si>
  <si>
    <t xml:space="preserve"> 'url': '/pratiquer/ou-pratiquer/ou-pratiquer-fiche-club/02250001-chatillon-barbell-club'}</t>
  </si>
  <si>
    <t>{'id': 121</t>
  </si>
  <si>
    <t xml:space="preserve"> 'nom': 'hybrid athletics'</t>
  </si>
  <si>
    <t xml:space="preserve"> 'adresse1': '19  CHEMIN DES TREMOLETS'</t>
  </si>
  <si>
    <t xml:space="preserve"> 'codepostal': '07130'</t>
  </si>
  <si>
    <t xml:space="preserve"> 'ville': 'SAINT-PÉRAY'</t>
  </si>
  <si>
    <t xml:space="preserve"> 'tel': '0760260318'</t>
  </si>
  <si>
    <t xml:space="preserve"> 'lat': '44.939847999999998'</t>
  </si>
  <si>
    <t xml:space="preserve"> 'lng': '4.858865000000000'</t>
  </si>
  <si>
    <t xml:space="preserve"> 'nomClub': 'HYBRID ATHLETICS'</t>
  </si>
  <si>
    <t xml:space="preserve"> 'nomCourtClub': 'HYBRID'</t>
  </si>
  <si>
    <t xml:space="preserve"> 'url': '/pratiquer/ou-pratiquer/ou-pratiquer-fiche-club/339860005-hybrid-athletics'}</t>
  </si>
  <si>
    <t>{'id': 125</t>
  </si>
  <si>
    <t xml:space="preserve"> 'nom': 'E.E.A.R.'</t>
  </si>
  <si>
    <t xml:space="preserve"> 'adresse1': '86 AVENUE EDOUARD GRANGIER'</t>
  </si>
  <si>
    <t xml:space="preserve"> 'codepostal': '84170'</t>
  </si>
  <si>
    <t xml:space="preserve"> 'ville': 'MONTEUX'</t>
  </si>
  <si>
    <t xml:space="preserve"> 'tel': '0634261320'</t>
  </si>
  <si>
    <t xml:space="preserve"> 'lat': '44.037568800000003'</t>
  </si>
  <si>
    <t xml:space="preserve"> 'lng': '5.000414900000000'</t>
  </si>
  <si>
    <t xml:space="preserve"> 'nomClub': 'EEAR MONTEUX'</t>
  </si>
  <si>
    <t xml:space="preserve"> 'nomCourtClub': 'EEAR MONTEUX'</t>
  </si>
  <si>
    <t xml:space="preserve"> 'url': '/pratiquer/ou-pratiquer/ou-pratiquer-fiche-club/20840485-eear-monteux'}</t>
  </si>
  <si>
    <t>{'id': 127</t>
  </si>
  <si>
    <t xml:space="preserve"> 'nom': 'Salle Criton'</t>
  </si>
  <si>
    <t xml:space="preserve"> 'adresse1': '10 '</t>
  </si>
  <si>
    <t xml:space="preserve"> 'codepostal': '51500'</t>
  </si>
  <si>
    <t xml:space="preserve"> 'ville': 'CHAMERY'</t>
  </si>
  <si>
    <t xml:space="preserve"> 'tel': '0622822851'</t>
  </si>
  <si>
    <t xml:space="preserve"> 'lat': '49.172305027565713'</t>
  </si>
  <si>
    <t xml:space="preserve"> 'lng': '4.026124477386476'</t>
  </si>
  <si>
    <t xml:space="preserve"> 'nomClub': 'SC FAMECK'</t>
  </si>
  <si>
    <t xml:space="preserve"> 'nomCourtClub': 'SC FAMECK'</t>
  </si>
  <si>
    <t xml:space="preserve"> 'url': '/pratiquer/ou-pratiquer/ou-pratiquer-fiche-club/14570276-sc-fameck'}</t>
  </si>
  <si>
    <t>{'id': 128</t>
  </si>
  <si>
    <t xml:space="preserve"> 'nom': 'bhbfbgffb'</t>
  </si>
  <si>
    <t xml:space="preserve"> 'adresse1': '42 ROUTE DE FLEURY'</t>
  </si>
  <si>
    <t xml:space="preserve"> 'codepostal': '42190'</t>
  </si>
  <si>
    <t xml:space="preserve"> 'ville': 'CHARLIEU'</t>
  </si>
  <si>
    <t xml:space="preserve"> 'tel': '04.77.60.10.82'</t>
  </si>
  <si>
    <t xml:space="preserve"> 'lat': '46.162168999999999'</t>
  </si>
  <si>
    <t xml:space="preserve"> 'lng': '4.170430000000000'</t>
  </si>
  <si>
    <t xml:space="preserve"> 'nomClub': 'AL CHARLIEU'</t>
  </si>
  <si>
    <t xml:space="preserve"> 'nomCourtClub': 'AL CHARLIEU'</t>
  </si>
  <si>
    <t xml:space="preserve"> 'url': '/pratiquer/ou-pratiquer/ou-pratiquer-fiche-club/22420641-al-charlieu'}</t>
  </si>
  <si>
    <t>{'id': 129</t>
  </si>
  <si>
    <t xml:space="preserve"> 'nom': 'HC Saint Baldoph'</t>
  </si>
  <si>
    <t xml:space="preserve"> 'adresse1': "CHEMIN DU PONT DE L'ÂNE"</t>
  </si>
  <si>
    <t xml:space="preserve"> 'codepostal': '73190'</t>
  </si>
  <si>
    <t xml:space="preserve"> 'ville': 'SAINT-BALDOPH'</t>
  </si>
  <si>
    <t xml:space="preserve"> 'lat': '45.524082450000002'</t>
  </si>
  <si>
    <t xml:space="preserve"> 'lng': '5.957297048278697'</t>
  </si>
  <si>
    <t xml:space="preserve"> 'nomClub': 'HC SAINT BALDOPH'</t>
  </si>
  <si>
    <t xml:space="preserve"> 'nomCourtClub': 'HC SAINT BALDOPH'</t>
  </si>
  <si>
    <t xml:space="preserve"> 'url': '/pratiquer/ou-pratiquer/ou-pratiquer-fiche-club/22730153-hc-saint-baldoph'}</t>
  </si>
  <si>
    <t>{'id': 131</t>
  </si>
  <si>
    <t xml:space="preserve"> 'nom': 'Club Rochelais HM'</t>
  </si>
  <si>
    <t xml:space="preserve"> 'adresse1': '21 AVENUE DU PRÉSIDENT KENNEDY'</t>
  </si>
  <si>
    <t xml:space="preserve"> 'codepostal': '17000'</t>
  </si>
  <si>
    <t xml:space="preserve"> 'ville': 'LA ROCHELLE'</t>
  </si>
  <si>
    <t xml:space="preserve"> 'tel': '05.46.42.37.37'</t>
  </si>
  <si>
    <t xml:space="preserve"> 'lat': '46.167627600000003'</t>
  </si>
  <si>
    <t xml:space="preserve"> 'lng': '-1.183615200000000'</t>
  </si>
  <si>
    <t xml:space="preserve"> 'nomClub': 'CLUB ROCHELAIS HM'</t>
  </si>
  <si>
    <t xml:space="preserve"> 'nomCourtClub': 'CLUB ROCHELAIS HM'</t>
  </si>
  <si>
    <t xml:space="preserve"> 'url': '/pratiquer/ou-pratiquer/ou-pratiquer-fiche-club/14170004-club-rochelais-hm'}</t>
  </si>
  <si>
    <t>{'id': 132</t>
  </si>
  <si>
    <t xml:space="preserve"> 'nom': 'COMPLEXE SPORTIF DU COI'</t>
  </si>
  <si>
    <t xml:space="preserve"> 'adresse1': 'RUE RUE DESIRÉ'</t>
  </si>
  <si>
    <t xml:space="preserve"> 'codepostal': '17400'</t>
  </si>
  <si>
    <t xml:space="preserve"> 'ville': "SAINT-JEAN-D'ANGÉLY"</t>
  </si>
  <si>
    <t xml:space="preserve"> 'tel': '0625193160'</t>
  </si>
  <si>
    <t xml:space="preserve"> 'lat': '45.947954000000003'</t>
  </si>
  <si>
    <t xml:space="preserve"> 'lng': '-0.522955000000000'</t>
  </si>
  <si>
    <t xml:space="preserve"> 'nomClub': 'CHM ANGERIEN'</t>
  </si>
  <si>
    <t xml:space="preserve"> 'nomCourtClub': 'CHM ANGERIEN'</t>
  </si>
  <si>
    <t xml:space="preserve"> 'url': '/pratiquer/ou-pratiquer/ou-pratiquer-fiche-club/19170424-chm-angerien'}</t>
  </si>
  <si>
    <t>{'id': 135</t>
  </si>
  <si>
    <t xml:space="preserve"> 'nom': 'Duflot'</t>
  </si>
  <si>
    <t xml:space="preserve"> 'adresse1': '4 CLOS LE  DU PRÉ'</t>
  </si>
  <si>
    <t xml:space="preserve"> 'adresse2': 'LE CLOS DU PRÉ'</t>
  </si>
  <si>
    <t xml:space="preserve"> 'codepostal': '22490'</t>
  </si>
  <si>
    <t xml:space="preserve"> 'ville': 'LANGROLAY-SUR-RANCE'</t>
  </si>
  <si>
    <t xml:space="preserve"> 'lat': '48.555695601229360'</t>
  </si>
  <si>
    <t xml:space="preserve"> 'lng': '-2.063450514333600'</t>
  </si>
  <si>
    <t xml:space="preserve"> 'nomClub': 'BREIZH HALTEROPHILIE CLUB'</t>
  </si>
  <si>
    <t xml:space="preserve"> 'nomCourtClub': 'BREIZH HALTEROPHILIE CLUB'</t>
  </si>
  <si>
    <t xml:space="preserve"> 'url': '/pratiquer/ou-pratiquer/ou-pratiquer-fiche-club/03220005-breizh-halterophilie-club'}</t>
  </si>
  <si>
    <t>{'id': 136</t>
  </si>
  <si>
    <t xml:space="preserve"> 'nom': 'Centre sportif du docteu Paul Casalis'</t>
  </si>
  <si>
    <t xml:space="preserve"> 'adresse1': '33 AVENUE DU DOCTEUR PAUL CASALIS'</t>
  </si>
  <si>
    <t xml:space="preserve"> 'adresse2': 'CENTRE SPORTIF DU DOCTEUR PAUL CASALIS '</t>
  </si>
  <si>
    <t xml:space="preserve"> 'codepostal': '94000'</t>
  </si>
  <si>
    <t xml:space="preserve"> 'ville': 'CRÉTEIL'</t>
  </si>
  <si>
    <t xml:space="preserve"> 'lat': '48.780068999999997'</t>
  </si>
  <si>
    <t xml:space="preserve"> 'lng': '2.468332000000000'</t>
  </si>
  <si>
    <t xml:space="preserve"> 'nomClub': 'US CRETEIL HMF'</t>
  </si>
  <si>
    <t xml:space="preserve"> 'nomCourtClub': 'US CRETEIL HMF'</t>
  </si>
  <si>
    <t xml:space="preserve"> 'url': '/pratiquer/ou-pratiquer/ou-pratiquer-fiche-club/21941010-us-creteil-hmf'}</t>
  </si>
  <si>
    <t>{'id': 137</t>
  </si>
  <si>
    <t xml:space="preserve"> 'nom': 'ASI AVENIR HMF'</t>
  </si>
  <si>
    <t xml:space="preserve"> 'adresse1': '11  RUE PRINCIPALE'</t>
  </si>
  <si>
    <t xml:space="preserve"> 'adresse2': 'SALLE AVENIR '</t>
  </si>
  <si>
    <t xml:space="preserve"> 'codepostal': '67320'</t>
  </si>
  <si>
    <t xml:space="preserve"> 'ville': 'DURSTEL'</t>
  </si>
  <si>
    <t xml:space="preserve"> 'tel': '03.88.01.74.39'</t>
  </si>
  <si>
    <t xml:space="preserve"> 'lat': '48.890768000000001'</t>
  </si>
  <si>
    <t xml:space="preserve"> 'lng': '7.198508000000000'</t>
  </si>
  <si>
    <t xml:space="preserve"> 'nomClub': 'ASI AVENIR DURSTEL'</t>
  </si>
  <si>
    <t xml:space="preserve"> 'nomCourtClub': 'ASI AVENIR DURSTEL'</t>
  </si>
  <si>
    <t xml:space="preserve"> 'url': '/pratiquer/ou-pratiquer/ou-pratiquer-fiche-club/01670007-asi-avenir-durstel'}</t>
  </si>
  <si>
    <t>{'id': 138</t>
  </si>
  <si>
    <t xml:space="preserve"> 'nom': 'WALDECK RUE GENERAL DE GAULLE 67170 GEUDERTHEIM'</t>
  </si>
  <si>
    <t xml:space="preserve"> 'adresse1': '16 RUE DES PRIMEVERS'</t>
  </si>
  <si>
    <t xml:space="preserve"> 'ville': 'GEUDERTHEIM'</t>
  </si>
  <si>
    <t xml:space="preserve"> 'lat': '48.720269000000002'</t>
  </si>
  <si>
    <t xml:space="preserve"> 'lng': '7.765267000000000'</t>
  </si>
  <si>
    <t xml:space="preserve"> 'nomClub': 'CHM GEUDERTHEIM'</t>
  </si>
  <si>
    <t xml:space="preserve"> 'nomCourtClub': 'CHM GEUDERTHEIM'</t>
  </si>
  <si>
    <t xml:space="preserve"> 'url': '/pratiquer/ou-pratiquer/ou-pratiquer-fiche-club/01670006-chm-geudertheim'}</t>
  </si>
  <si>
    <t>{'id': 139</t>
  </si>
  <si>
    <t xml:space="preserve"> 'nom': 'CARNAT'</t>
  </si>
  <si>
    <t xml:space="preserve"> 'adresse1': 'SALLE MUNICIPALE HM BERNARD CARNAT RUE DE VERDUN'</t>
  </si>
  <si>
    <t xml:space="preserve"> 'codepostal': '41110'</t>
  </si>
  <si>
    <t xml:space="preserve"> 'ville': 'SAINT-AIGNAN'</t>
  </si>
  <si>
    <t xml:space="preserve"> 'lat': '47.796759000000002'</t>
  </si>
  <si>
    <t xml:space="preserve"> 'lng': '-1.416339000000000'</t>
  </si>
  <si>
    <t xml:space="preserve"> 'nomClub': 'US ST AIGNAN NOYERS HM'</t>
  </si>
  <si>
    <t xml:space="preserve"> 'nomCourtClub': 'US ST AIGNAN NOYERS HM'</t>
  </si>
  <si>
    <t xml:space="preserve"> 'url': '/pratiquer/ou-pratiquer/ou-pratiquer-fiche-club/07410365-us-st-aignan-noyers-hm'}</t>
  </si>
  <si>
    <t>{'id': 140</t>
  </si>
  <si>
    <t xml:space="preserve"> 'nom': 'st jean de luz'</t>
  </si>
  <si>
    <t xml:space="preserve"> 'adresse1': 'AVENUE GEORGES CLEMENCEAU'</t>
  </si>
  <si>
    <t xml:space="preserve"> 'codepostal': '64500'</t>
  </si>
  <si>
    <t xml:space="preserve"> 'ville': 'CIBOURE'</t>
  </si>
  <si>
    <t xml:space="preserve"> 'tel': '05.59.26.32.21'</t>
  </si>
  <si>
    <t xml:space="preserve"> 'lat': '43.396430350000003'</t>
  </si>
  <si>
    <t xml:space="preserve"> 'lng': '-1.643698841074780'</t>
  </si>
  <si>
    <t xml:space="preserve"> 'nomClub': 'FITNESS CLUB LUZIEN'</t>
  </si>
  <si>
    <t xml:space="preserve"> 'nomCourtClub': 'FITNESS CLUB LUZIEN'</t>
  </si>
  <si>
    <t xml:space="preserve"> 'url': '/pratiquer/ou-pratiquer/ou-pratiquer-fiche-club/02640766-fitness-club-luzien'}</t>
  </si>
  <si>
    <t>{'id': 141</t>
  </si>
  <si>
    <t xml:space="preserve"> 'nom': 'CMF MUSCULATION FLOIRAC'</t>
  </si>
  <si>
    <t xml:space="preserve"> 'adresse1': '20 RUE DE SAUTERNES'</t>
  </si>
  <si>
    <t xml:space="preserve"> 'codepostal': '33370'</t>
  </si>
  <si>
    <t xml:space="preserve"> 'ville': 'ARTIGUES-PRÈS-BORDEAUX'</t>
  </si>
  <si>
    <t xml:space="preserve"> 'tel': '0662701324'</t>
  </si>
  <si>
    <t xml:space="preserve"> 'lat': '44.854469000000002'</t>
  </si>
  <si>
    <t xml:space="preserve"> 'lng': '-0.490024000000000'</t>
  </si>
  <si>
    <t xml:space="preserve"> 'nomClub': 'CM FLOIRAC MUSCULATION'</t>
  </si>
  <si>
    <t xml:space="preserve"> 'nomCourtClub': 'CM FLOIRAC MUSCULATION'</t>
  </si>
  <si>
    <t xml:space="preserve"> 'url': '/pratiquer/ou-pratiquer/ou-pratiquer-fiche-club/02331273-cm-floirac-musculation'}</t>
  </si>
  <si>
    <t>{'id': 144</t>
  </si>
  <si>
    <t xml:space="preserve"> 'nom': 'CAM MUSCULATION'</t>
  </si>
  <si>
    <t xml:space="preserve"> 'adresse1': '7 RUE ANDRE MAGINOT'</t>
  </si>
  <si>
    <t xml:space="preserve"> 'codepostal': '33200'</t>
  </si>
  <si>
    <t xml:space="preserve"> 'tel': '05.56.02.38.38'</t>
  </si>
  <si>
    <t xml:space="preserve"> 'lat': '44.842621999999999'</t>
  </si>
  <si>
    <t xml:space="preserve"> 'lng': '-0.625718000000000'</t>
  </si>
  <si>
    <t xml:space="preserve"> 'nomClub': 'CAM DE BORDEAUX MUSCULATION'</t>
  </si>
  <si>
    <t xml:space="preserve"> 'nomCourtClub': 'CAM DE BORDEAUX MUSCULATION'</t>
  </si>
  <si>
    <t xml:space="preserve"> 'url': '/pratiquer/ou-pratiquer/ou-pratiquer-fiche-club/02331256-cam-de-bordeaux-musculation'}</t>
  </si>
  <si>
    <t>{'id': 146</t>
  </si>
  <si>
    <t xml:space="preserve"> 'nom': 'ALL MY GYM'</t>
  </si>
  <si>
    <t xml:space="preserve"> 'adresse1': '21 RUE DE SAINT SULIAC'</t>
  </si>
  <si>
    <t xml:space="preserve"> 'adresse2': 'LEHON'</t>
  </si>
  <si>
    <t xml:space="preserve"> 'codepostal': '22100'</t>
  </si>
  <si>
    <t xml:space="preserve"> 'ville': 'DINAN'</t>
  </si>
  <si>
    <t xml:space="preserve"> 'lat': '48.443798000000001'</t>
  </si>
  <si>
    <t xml:space="preserve"> 'lng': '-2.066979000000000'</t>
  </si>
  <si>
    <t xml:space="preserve"> 'nomClub': 'ASSOCIATION SPORTIVE BIBOS COMPETITION'</t>
  </si>
  <si>
    <t xml:space="preserve"> 'nomCourtClub': 'ASSOCIATION SPORTIVE BIBOS COMPETITION'</t>
  </si>
  <si>
    <t xml:space="preserve"> 'url': '/pratiquer/ou-pratiquer/ou-pratiquer-fiche-club/03220004-association-sportive-bibos-competition'}</t>
  </si>
  <si>
    <t>{'id': 148</t>
  </si>
  <si>
    <t xml:space="preserve"> 'nom': 'CrossFit S A O'</t>
  </si>
  <si>
    <t xml:space="preserve"> 'adresse1': '5 ALLÉE DE CINDAIS'</t>
  </si>
  <si>
    <t xml:space="preserve"> 'codepostal': '14320'</t>
  </si>
  <si>
    <t xml:space="preserve"> 'ville': 'FEUGUEROLLES-BULLY'</t>
  </si>
  <si>
    <t xml:space="preserve"> 'tel': '0610395223'</t>
  </si>
  <si>
    <t xml:space="preserve"> 'lat': '49.126627900000003'</t>
  </si>
  <si>
    <t xml:space="preserve"> 'lng': '-0.378444200000000'</t>
  </si>
  <si>
    <t xml:space="preserve"> 'nomClub': 'SPORT ADEPTES'</t>
  </si>
  <si>
    <t xml:space="preserve"> 'nomCourtClub': 'CROSSFIT ST ANDRE/ORNE'</t>
  </si>
  <si>
    <t xml:space="preserve"> 'url': '/pratiquer/ou-pratiquer/ou-pratiquer-fiche-club/339860052-sport-adeptes'}</t>
  </si>
  <si>
    <t>{'id': 149</t>
  </si>
  <si>
    <t xml:space="preserve"> 'nom': 'CANIVET'</t>
  </si>
  <si>
    <t xml:space="preserve"> 'adresse1': '1 RUE COTON'</t>
  </si>
  <si>
    <t xml:space="preserve"> 'codepostal': '50750'</t>
  </si>
  <si>
    <t xml:space="preserve"> 'ville': 'CANISY'</t>
  </si>
  <si>
    <t xml:space="preserve"> 'tel': '+33609584876'</t>
  </si>
  <si>
    <t xml:space="preserve"> 'lat': '49.047891000000000'</t>
  </si>
  <si>
    <t xml:space="preserve"> 'lng': '-1.098478000000000'</t>
  </si>
  <si>
    <t xml:space="preserve"> 'nomClub': 'STADE ST LOIS'</t>
  </si>
  <si>
    <t xml:space="preserve"> 'nomCourtClub': 'STADE ST LOIS'</t>
  </si>
  <si>
    <t xml:space="preserve"> 'url': '/pratiquer/ou-pratiquer/ou-pratiquer-fiche-club/04500308-stade-st-lois'}</t>
  </si>
  <si>
    <t>{'id': 150</t>
  </si>
  <si>
    <t xml:space="preserve"> 'nom': 'avenir de survilliers'</t>
  </si>
  <si>
    <t xml:space="preserve"> 'adresse1': '2 RUE DES GRANDS PRÉS'</t>
  </si>
  <si>
    <t xml:space="preserve"> 'codepostal': '95470'</t>
  </si>
  <si>
    <t xml:space="preserve"> 'ville': 'SURVILLIERS'</t>
  </si>
  <si>
    <t xml:space="preserve"> 'lat': '49.099010414331580'</t>
  </si>
  <si>
    <t xml:space="preserve"> 'lng': '2.547168954919027'</t>
  </si>
  <si>
    <t xml:space="preserve"> 'nomClub': 'AVENIR DE SURVILLIERS'</t>
  </si>
  <si>
    <t xml:space="preserve"> 'nomCourtClub': 'AVENIR DE SURVILLIERS'</t>
  </si>
  <si>
    <t xml:space="preserve"> 'url': '/pratiquer/ou-pratiquer/ou-pratiquer-fiche-club/21951274-avenir-de-survilliers'}</t>
  </si>
  <si>
    <t>{'id': 151</t>
  </si>
  <si>
    <t xml:space="preserve"> 'nom': 'CrossFit Cholet'</t>
  </si>
  <si>
    <t xml:space="preserve"> 'adresse1': '315 RUE DE BELGIQUE'</t>
  </si>
  <si>
    <t xml:space="preserve"> 'adresse2': 'CROSSFIT CHOLET Z1 DES GRANDS BOIS'</t>
  </si>
  <si>
    <t xml:space="preserve"> 'codepostal': '49280'</t>
  </si>
  <si>
    <t xml:space="preserve"> 'ville': 'MAZIÈRES-EN-MAUGES'</t>
  </si>
  <si>
    <t xml:space="preserve"> 'tel': '0632214394'</t>
  </si>
  <si>
    <t xml:space="preserve"> 'lat': '47.090001200000003'</t>
  </si>
  <si>
    <t xml:space="preserve"> 'lng': '-0.915292000000000'</t>
  </si>
  <si>
    <t xml:space="preserve"> 'nomClub': 'CHOLET BARBELL CLUB'</t>
  </si>
  <si>
    <t xml:space="preserve"> 'nomCourtClub': 'CHOLETBARBELL'</t>
  </si>
  <si>
    <t xml:space="preserve"> 'url': '/pratiquer/ou-pratiquer/ou-pratiquer-fiche-club/339860007-cholet-barbell-club'}</t>
  </si>
  <si>
    <t>{'id': 147</t>
  </si>
  <si>
    <t xml:space="preserve"> 'nom': 'Société Athlétique Montmartroise'</t>
  </si>
  <si>
    <t xml:space="preserve"> 'adresse1': '12 RUE RENÉ BINET'</t>
  </si>
  <si>
    <t xml:space="preserve"> 'adresse2': 'CENTRE SPORTIF BERTAND DAUVIN'</t>
  </si>
  <si>
    <t xml:space="preserve"> 'codepostal': '75018'</t>
  </si>
  <si>
    <t xml:space="preserve"> 'lat': '48.899487000000001'</t>
  </si>
  <si>
    <t xml:space="preserve"> 'lng': '2.342054000000000'</t>
  </si>
  <si>
    <t xml:space="preserve"> 'nomClub': 'SA MONTMARTROISE'</t>
  </si>
  <si>
    <t xml:space="preserve"> 'nomCourtClub': 'SA MONTMARTROISE'</t>
  </si>
  <si>
    <t xml:space="preserve"> 'url': '/pratiquer/ou-pratiquer/ou-pratiquer-fiche-club/21750747-sa-montmartroise'}</t>
  </si>
  <si>
    <t>{'id': 153</t>
  </si>
  <si>
    <t xml:space="preserve"> 'nom': 'ESPACE FORME'</t>
  </si>
  <si>
    <t xml:space="preserve"> 'adresse1': '5 RUE DES MARTYRS'</t>
  </si>
  <si>
    <t xml:space="preserve"> 'codepostal': '24150'</t>
  </si>
  <si>
    <t xml:space="preserve"> 'ville': 'LALINDE'</t>
  </si>
  <si>
    <t xml:space="preserve"> 'tel': '05.53.73.18.05'</t>
  </si>
  <si>
    <t xml:space="preserve"> 'lat': '44.835965000000002'</t>
  </si>
  <si>
    <t xml:space="preserve"> 'lng': '0.739561000000000'</t>
  </si>
  <si>
    <t xml:space="preserve"> 'nomClub': 'ESPACE FORME LALINDE'</t>
  </si>
  <si>
    <t xml:space="preserve"> 'nomCourtClub': 'ESPACE FORME LALINDE'</t>
  </si>
  <si>
    <t xml:space="preserve"> 'url': '/pratiquer/ou-pratiquer/ou-pratiquer-fiche-club/02240660-espace-forme-lalinde'}</t>
  </si>
  <si>
    <t>{'id': 155</t>
  </si>
  <si>
    <t xml:space="preserve"> 'nom': 'HALTEROPHILE CLUB MARSEILLE'</t>
  </si>
  <si>
    <t xml:space="preserve"> 'adresse1': 'BOULEVARD MIREILLE LAUZE'</t>
  </si>
  <si>
    <t xml:space="preserve"> 'codepostal': '13011'</t>
  </si>
  <si>
    <t xml:space="preserve"> 'ville': 'MARSEILLE'</t>
  </si>
  <si>
    <t xml:space="preserve"> 'tel': '0623671338'</t>
  </si>
  <si>
    <t xml:space="preserve"> 'lat': '43.288778199999996'</t>
  </si>
  <si>
    <t xml:space="preserve"> 'lng': '5.437097200516724'</t>
  </si>
  <si>
    <t xml:space="preserve"> 'nomClub': 'HC MARSEILLE'</t>
  </si>
  <si>
    <t xml:space="preserve"> 'nomCourtClub': 'HC MARSEILLE'</t>
  </si>
  <si>
    <t xml:space="preserve"> 'url': '/pratiquer/ou-pratiquer/ou-pratiquer-fiche-club/20130475-hc-marseille'}</t>
  </si>
  <si>
    <t>{'id': 160</t>
  </si>
  <si>
    <t xml:space="preserve"> 'nom': 'FITNESS ESSA'</t>
  </si>
  <si>
    <t xml:space="preserve"> 'adresse1': "1 RUE BUREAU DES ASSOCIATIONS 1 RUE DES DROITS DE L'HOMME"</t>
  </si>
  <si>
    <t xml:space="preserve"> 'adresse2': 'GYMNASE DAVID VAILLANT '</t>
  </si>
  <si>
    <t xml:space="preserve"> 'codepostal': '56890'</t>
  </si>
  <si>
    <t xml:space="preserve"> 'ville': 'MEUCON'</t>
  </si>
  <si>
    <t xml:space="preserve"> 'tel': '0689615284'</t>
  </si>
  <si>
    <t xml:space="preserve"> 'lat': '47.691240999999998'</t>
  </si>
  <si>
    <t xml:space="preserve"> 'lng': '-2.738706000000000'</t>
  </si>
  <si>
    <t xml:space="preserve"> 'nomClub': 'FITNESS ES ST AVE'</t>
  </si>
  <si>
    <t xml:space="preserve"> 'nomCourtClub': 'FITNESS ES ST AVE'</t>
  </si>
  <si>
    <t xml:space="preserve"> 'url': '/pratiquer/ou-pratiquer/ou-pratiquer-fiche-club/06560095-fitness-es-st-ave'}</t>
  </si>
  <si>
    <t>{'id': 161</t>
  </si>
  <si>
    <t xml:space="preserve"> 'nom': 'SALLE BERNARD BOYER'</t>
  </si>
  <si>
    <t xml:space="preserve"> 'adresse1': 'RUE DES ANCIENS COMBATTANTS'</t>
  </si>
  <si>
    <t xml:space="preserve"> 'codepostal': '84430'</t>
  </si>
  <si>
    <t xml:space="preserve"> 'ville': 'MONDRAGON'</t>
  </si>
  <si>
    <t xml:space="preserve"> 'tel': '06.75.06.34.63'</t>
  </si>
  <si>
    <t xml:space="preserve"> 'lat': '44.240437523546746'</t>
  </si>
  <si>
    <t xml:space="preserve"> 'lng': '4.712815582915938'</t>
  </si>
  <si>
    <t xml:space="preserve"> 'nomClub': 'CHC MONDRAGON'</t>
  </si>
  <si>
    <t xml:space="preserve"> 'nomCourtClub': 'CHC MONDRAGON'</t>
  </si>
  <si>
    <t xml:space="preserve"> 'url': '/pratiquer/ou-pratiquer/ou-pratiquer-fiche-club/20840857-chc-mondragon'}</t>
  </si>
  <si>
    <t>{'id': 162</t>
  </si>
  <si>
    <t xml:space="preserve"> 'nom': 'Gymnase du Loup'</t>
  </si>
  <si>
    <t xml:space="preserve"> 'adresse1': 'RUE BELLEVUE'</t>
  </si>
  <si>
    <t xml:space="preserve"> 'codepostal': '38070'</t>
  </si>
  <si>
    <t xml:space="preserve"> 'ville': 'SAINT-QUENTIN-FALLAVIER'</t>
  </si>
  <si>
    <t xml:space="preserve"> 'tel': '06.16.92.60.64'</t>
  </si>
  <si>
    <t xml:space="preserve"> 'lat': '45.632874450000003'</t>
  </si>
  <si>
    <t xml:space="preserve"> 'lng': '5.103261672096225'</t>
  </si>
  <si>
    <t xml:space="preserve"> 'nomClub': 'OSQ  ST QUENTIN FALLAVIER'</t>
  </si>
  <si>
    <t xml:space="preserve"> 'nomCourtClub': 'OSQ  ST QUENTIN FALLAVIER'</t>
  </si>
  <si>
    <t xml:space="preserve"> 'url': '/pratiquer/ou-pratiquer/ou-pratiquer-fiche-club/22380142-osq-st-quentin-fallavier'}</t>
  </si>
  <si>
    <t>{'id': 163</t>
  </si>
  <si>
    <t xml:space="preserve"> 'nom': 'Salle Sylvette et Georges Lepetit'</t>
  </si>
  <si>
    <t xml:space="preserve"> 'adresse1': 'RUE DANIELLE CASANOVA'</t>
  </si>
  <si>
    <t xml:space="preserve"> 'codepostal': '04220'</t>
  </si>
  <si>
    <t xml:space="preserve"> 'ville': 'CORBIÈRES'</t>
  </si>
  <si>
    <t xml:space="preserve"> 'tel': '04.92.78.20.94'</t>
  </si>
  <si>
    <t xml:space="preserve"> 'lat': '43.789837149999997'</t>
  </si>
  <si>
    <t xml:space="preserve"> 'lng': '5.770243969373841'</t>
  </si>
  <si>
    <t xml:space="preserve"> 'nomClub': 'HM SAINTE TULLE'</t>
  </si>
  <si>
    <t xml:space="preserve"> 'nomCourtClub': 'HM SAINTE TULLE'</t>
  </si>
  <si>
    <t xml:space="preserve"> 'url': '/pratiquer/ou-pratiquer/ou-pratiquer-fiche-club/20040607-hm-sainte-tulle'}</t>
  </si>
  <si>
    <t>{'id': 165</t>
  </si>
  <si>
    <t xml:space="preserve"> 'nom': 'LA FRANÇAISE DE BESANÇON'</t>
  </si>
  <si>
    <t xml:space="preserve"> 'adresse1': '17 AVENUE FRANÇOIS MITTERRAND'</t>
  </si>
  <si>
    <t xml:space="preserve"> 'adresse2': 'COMPLEXE MICHEL VAUTROT - LA MACOMBE'</t>
  </si>
  <si>
    <t xml:space="preserve"> 'codepostal': '25000'</t>
  </si>
  <si>
    <t xml:space="preserve"> 'ville': 'BESANÇON'</t>
  </si>
  <si>
    <t xml:space="preserve"> 'lat': '47.154884000000003'</t>
  </si>
  <si>
    <t xml:space="preserve"> 'lng': '5.741677000000000'</t>
  </si>
  <si>
    <t xml:space="preserve"> 'nomClub': 'LA FRANCAISE DE BESANCON'</t>
  </si>
  <si>
    <t xml:space="preserve"> 'nomCourtClub': 'LA FRANCAISE DE BESANCON'</t>
  </si>
  <si>
    <t xml:space="preserve"> 'url': '/pratiquer/ou-pratiquer/ou-pratiquer-fiche-club/10250161-la-francaise-de-besancon'}</t>
  </si>
  <si>
    <t>{'id': 166</t>
  </si>
  <si>
    <t xml:space="preserve"> 'nom': 'HALTEROPHILE CLUB CULTURISTE NOVAIS'</t>
  </si>
  <si>
    <t xml:space="preserve"> 'adresse1': ' 401 CHEMIN DE LA TRANSHUMANCE QUARTIER CHICARD DE POUVAREL'</t>
  </si>
  <si>
    <t xml:space="preserve"> 'codepostal': '13550'</t>
  </si>
  <si>
    <t xml:space="preserve"> 'ville': 'NOVES'</t>
  </si>
  <si>
    <t xml:space="preserve"> 'lat': '43.875928582965926'</t>
  </si>
  <si>
    <t xml:space="preserve"> 'lng': '4.904344081878663'</t>
  </si>
  <si>
    <t xml:space="preserve"> 'nomClub': 'HCC NOVAIS'</t>
  </si>
  <si>
    <t xml:space="preserve"> 'nomCourtClub': 'HCC NOVAIS'</t>
  </si>
  <si>
    <t xml:space="preserve"> 'url': '/pratiquer/ou-pratiquer/ou-pratiquer-fiche-club/20130602-hcc-novais'}</t>
  </si>
  <si>
    <t>{'id': 167</t>
  </si>
  <si>
    <t xml:space="preserve"> 'nom': 'Aravis Center'</t>
  </si>
  <si>
    <t xml:space="preserve"> 'adresse1': '3 ALLÉE FRANÇOIS COCHAT'</t>
  </si>
  <si>
    <t xml:space="preserve"> 'codepostal': '74230'</t>
  </si>
  <si>
    <t xml:space="preserve"> 'ville': 'THÔNES'</t>
  </si>
  <si>
    <t xml:space="preserve"> 'tel': '06.43.89.64.98'</t>
  </si>
  <si>
    <t xml:space="preserve"> 'lat': '45.883138450000004'</t>
  </si>
  <si>
    <t xml:space="preserve"> 'lng': '6.319656877373411'</t>
  </si>
  <si>
    <t xml:space="preserve"> 'nomClub': 'ARAVIS HAL-FA'</t>
  </si>
  <si>
    <t xml:space="preserve"> 'nomCourtClub': 'ARAVIS HAL-FA'</t>
  </si>
  <si>
    <t xml:space="preserve"> 'url': '/pratiquer/ou-pratiquer/ou-pratiquer-fiche-club/01740004-aravis-hal-fa'}</t>
  </si>
  <si>
    <t>{'id': 168</t>
  </si>
  <si>
    <t xml:space="preserve"> 'nom': 'Espace Pluriel'</t>
  </si>
  <si>
    <t xml:space="preserve"> 'adresse1': '1 RUE RUE ARTHUR SILBERZAHN'</t>
  </si>
  <si>
    <t xml:space="preserve"> 'codepostal': '67120'</t>
  </si>
  <si>
    <t xml:space="preserve"> 'ville': 'DORLISHEIM'</t>
  </si>
  <si>
    <t xml:space="preserve"> 'lat': '48.528477000000002'</t>
  </si>
  <si>
    <t xml:space="preserve"> 'lng': '7.488878000000000'</t>
  </si>
  <si>
    <t xml:space="preserve"> 'nomClub': 'DORLISHEIM FITNESS HALTER S'</t>
  </si>
  <si>
    <t xml:space="preserve"> 'nomCourtClub': 'DORLISHEIM FITNESS HALTER S'</t>
  </si>
  <si>
    <t xml:space="preserve"> 'url': '/pratiquer/ou-pratiquer/ou-pratiquer-fiche-club/01670932-dorlisheim-fitness-halter'}</t>
  </si>
  <si>
    <t>{'id': 169</t>
  </si>
  <si>
    <t xml:space="preserve"> 'nom': 'SALLE ALAIN STRADERE  STADE PIERRE DUPORT'</t>
  </si>
  <si>
    <t xml:space="preserve"> 'adresse1': 'ALLÉE ROND POINT DU 8 MAI 1945'</t>
  </si>
  <si>
    <t xml:space="preserve"> 'codepostal': '77500'</t>
  </si>
  <si>
    <t xml:space="preserve"> 'ville': 'CHELLES'</t>
  </si>
  <si>
    <t xml:space="preserve"> 'tel': '0637760800'</t>
  </si>
  <si>
    <t xml:space="preserve"> 'lat': '48.874747299999996'</t>
  </si>
  <si>
    <t xml:space="preserve"> 'lng': '2.587653722080590'</t>
  </si>
  <si>
    <t xml:space="preserve"> 'nomClub': 'HCVM CHELLES'</t>
  </si>
  <si>
    <t xml:space="preserve"> 'nomCourtClub': 'HCVM CHELLES'</t>
  </si>
  <si>
    <t xml:space="preserve"> 'url': '/pratiquer/ou-pratiquer/ou-pratiquer-fiche-club/21771272-hcvm-chelles'}</t>
  </si>
  <si>
    <t>{'id': 171</t>
  </si>
  <si>
    <t xml:space="preserve"> 'nom': 'LA GAULOISE DE VAISE'</t>
  </si>
  <si>
    <t xml:space="preserve"> 'adresse1': '108 RUE PIERRE AUDRY'</t>
  </si>
  <si>
    <t xml:space="preserve"> 'codepostal': '69009'</t>
  </si>
  <si>
    <t xml:space="preserve"> 'ville': 'LYON'</t>
  </si>
  <si>
    <t xml:space="preserve"> 'tel': '04.90.17.31.32'</t>
  </si>
  <si>
    <t xml:space="preserve"> 'lat': '45.759714000000002'</t>
  </si>
  <si>
    <t xml:space="preserve"> 'lng': '4.810779000000000'</t>
  </si>
  <si>
    <t xml:space="preserve"> 'nomClub': 'LA GAULOISE DE VAISE'</t>
  </si>
  <si>
    <t xml:space="preserve"> 'nomCourtClub': 'LA GAULOISE DE VAISE'</t>
  </si>
  <si>
    <t xml:space="preserve"> 'url': '/pratiquer/ou-pratiquer/ou-pratiquer-fiche-club/22690289-la-gauloise-de-vaise'}</t>
  </si>
  <si>
    <t>{'id': 172</t>
  </si>
  <si>
    <t xml:space="preserve"> 'nom': 'Savoie Barbell Team'</t>
  </si>
  <si>
    <t xml:space="preserve"> 'adresse1': '660 RUE DE ROBERTY'</t>
  </si>
  <si>
    <t xml:space="preserve"> 'codepostal': '73000'</t>
  </si>
  <si>
    <t xml:space="preserve"> 'ville': 'BARBERAZ'</t>
  </si>
  <si>
    <t xml:space="preserve"> 'tel': '0646803548'</t>
  </si>
  <si>
    <t xml:space="preserve"> 'lat': '45.597394000000001'</t>
  </si>
  <si>
    <t xml:space="preserve"> 'lng': '5.898513000000000'</t>
  </si>
  <si>
    <t xml:space="preserve"> 'nomClub': 'SAVOIE BARBELL TEAM'</t>
  </si>
  <si>
    <t xml:space="preserve"> 'nomCourtClub': 'SAVOIE BARBELL TEAM'</t>
  </si>
  <si>
    <t xml:space="preserve"> 'url': '/pratiquer/ou-pratiquer/ou-pratiquer-fiche-club/01730002-savoie-barbell-team'}</t>
  </si>
  <si>
    <t>{'id': 174</t>
  </si>
  <si>
    <t xml:space="preserve"> 'nom': 'Centre Sportif  du Bon Pasteur'</t>
  </si>
  <si>
    <t xml:space="preserve"> 'adresse1': '6 BOULEVARD JEAN SÉBASTIEN BACH'</t>
  </si>
  <si>
    <t xml:space="preserve"> 'adresse2': 'CENTRE SPORTIF  DU BON PASTEUR SALLE DE MUSCULATION '</t>
  </si>
  <si>
    <t xml:space="preserve"> 'codepostal': '67000'</t>
  </si>
  <si>
    <t xml:space="preserve"> 'lat': '48.588124999999998'</t>
  </si>
  <si>
    <t xml:space="preserve"> 'lng': '7.778373000000000'</t>
  </si>
  <si>
    <t xml:space="preserve"> 'nomClub': 'SPORT UNION XV STRASBOURG'</t>
  </si>
  <si>
    <t xml:space="preserve"> 'nomCourtClub': 'SPORT UNION XV STRASBOURG'</t>
  </si>
  <si>
    <t xml:space="preserve"> 'url': '/pratiquer/ou-pratiquer/ou-pratiquer-fiche-club/01671288-sport-union-xv-strasbourg'}</t>
  </si>
  <si>
    <t>{'id': 175</t>
  </si>
  <si>
    <t xml:space="preserve"> 'nom': 'cosec'</t>
  </si>
  <si>
    <t xml:space="preserve"> 'adresse1': '13  RUE DU STADE'</t>
  </si>
  <si>
    <t xml:space="preserve"> 'adresse2': 'OBERNAI'</t>
  </si>
  <si>
    <t xml:space="preserve"> 'codepostal': '67210'</t>
  </si>
  <si>
    <t xml:space="preserve"> 'ville': 'OBERNAI'</t>
  </si>
  <si>
    <t xml:space="preserve"> 'lat': '48.459901000000002'</t>
  </si>
  <si>
    <t xml:space="preserve"> 'lng': '7.489950000000000'</t>
  </si>
  <si>
    <t xml:space="preserve"> 'nomClub': 'SR OBERNAI HM'</t>
  </si>
  <si>
    <t xml:space="preserve"> 'nomCourtClub': 'SR OBERNAI HM'</t>
  </si>
  <si>
    <t xml:space="preserve"> 'url': '/pratiquer/ou-pratiquer/ou-pratiquer-fiche-club/01670009-sr-obernai-hm'}</t>
  </si>
  <si>
    <t>{'id': 176</t>
  </si>
  <si>
    <t xml:space="preserve"> 'nom': 'Stade Léo Lagrange'</t>
  </si>
  <si>
    <t xml:space="preserve"> 'adresse1': '25 IMPASSE DE LA MADELEINE'</t>
  </si>
  <si>
    <t xml:space="preserve"> 'codepostal': '94230'</t>
  </si>
  <si>
    <t xml:space="preserve"> 'ville': 'CACHAN'</t>
  </si>
  <si>
    <t xml:space="preserve"> 'lat': '48.783762150000001'</t>
  </si>
  <si>
    <t xml:space="preserve"> 'lng': '2.325215474736625'</t>
  </si>
  <si>
    <t xml:space="preserve"> 'nomClub': 'CACHAN HM'</t>
  </si>
  <si>
    <t xml:space="preserve"> 'nomCourtClub': 'CACHAN HM'</t>
  </si>
  <si>
    <t xml:space="preserve"> 'url': '/pratiquer/ou-pratiquer/ou-pratiquer-fiche-club/21940216-cachan-hm'}</t>
  </si>
  <si>
    <t>{'id': 177</t>
  </si>
  <si>
    <t xml:space="preserve"> 'nom': 'SECTION HALTEROPHILIE-MUSCULATION AMICALE LAIQUE'</t>
  </si>
  <si>
    <t xml:space="preserve"> 'adresse1': 'RUE JESSE OWENS'</t>
  </si>
  <si>
    <t xml:space="preserve"> 'codepostal': '62160'</t>
  </si>
  <si>
    <t xml:space="preserve"> 'ville': 'AIX-NOULETTE'</t>
  </si>
  <si>
    <t xml:space="preserve"> 'lat': '50.437826926732001'</t>
  </si>
  <si>
    <t xml:space="preserve"> 'lng': '2.712992403156182'</t>
  </si>
  <si>
    <t xml:space="preserve"> 'nomClub': 'AL SH BULLY LES MINES'</t>
  </si>
  <si>
    <t xml:space="preserve"> 'nomCourtClub': 'AL SH BULLY LES MINES'</t>
  </si>
  <si>
    <t xml:space="preserve"> 'url': '/pratiquer/ou-pratiquer/ou-pratiquer-fiche-club/16620355-al-sh-bully-les-mines'}</t>
  </si>
  <si>
    <t>{'id': 178</t>
  </si>
  <si>
    <t xml:space="preserve"> 'nom': 'NRB Haltérophilie'</t>
  </si>
  <si>
    <t xml:space="preserve"> 'adresse1': '7 RUE DU COMMERCE'</t>
  </si>
  <si>
    <t xml:space="preserve"> 'codepostal': '11100'</t>
  </si>
  <si>
    <t xml:space="preserve"> 'ville': 'NARBONNE'</t>
  </si>
  <si>
    <t xml:space="preserve"> 'tel': '0669131001'</t>
  </si>
  <si>
    <t xml:space="preserve"> 'lat': '43.187493000000003'</t>
  </si>
  <si>
    <t xml:space="preserve"> 'lng': '2.998606000000000'</t>
  </si>
  <si>
    <t xml:space="preserve"> 'nomClub': 'NRB HALTEROPHILIE'</t>
  </si>
  <si>
    <t xml:space="preserve"> 'nomCourtClub': 'NRB HALTEROPHILIE'</t>
  </si>
  <si>
    <t xml:space="preserve"> 'url': '/pratiquer/ou-pratiquer/ou-pratiquer-fiche-club/15110003-nrb-halterophilie'}</t>
  </si>
  <si>
    <t>{'id': 179</t>
  </si>
  <si>
    <t xml:space="preserve"> 'nom': 'JLH CrossFit'</t>
  </si>
  <si>
    <t xml:space="preserve"> 'adresse1': '19 RUE DE LA COTONNIÈRE'</t>
  </si>
  <si>
    <t xml:space="preserve"> 'adresse2': 'ZI DU CHEMIN VERT'</t>
  </si>
  <si>
    <t xml:space="preserve"> 'tel': '02.31.50.89.46'</t>
  </si>
  <si>
    <t xml:space="preserve"> 'lat': '49.198840278984200'</t>
  </si>
  <si>
    <t xml:space="preserve"> 'lng': '-0.399520397186279'</t>
  </si>
  <si>
    <t xml:space="preserve"> 'nomClub': 'JLH CROSSFIT'</t>
  </si>
  <si>
    <t xml:space="preserve"> 'nomCourtClub': 'JLH CROSSFIT'</t>
  </si>
  <si>
    <t xml:space="preserve"> 'url': '/pratiquer/ou-pratiquer/ou-pratiquer-fiche-club/12140002-jlh-crossfit'}</t>
  </si>
  <si>
    <t>{'id': 180</t>
  </si>
  <si>
    <t xml:space="preserve"> 'nom': 'JLH IFS'</t>
  </si>
  <si>
    <t xml:space="preserve"> 'adresse1': '549 RUE DE ROCQUANCOURT'</t>
  </si>
  <si>
    <t xml:space="preserve"> 'codepostal': '14123'</t>
  </si>
  <si>
    <t xml:space="preserve"> 'ville': 'IFS'</t>
  </si>
  <si>
    <t xml:space="preserve"> 'lat': '49.144756999999998'</t>
  </si>
  <si>
    <t xml:space="preserve"> 'lng': '-0.341353000000000'</t>
  </si>
  <si>
    <t>{'id': 182</t>
  </si>
  <si>
    <t xml:space="preserve"> 'nom': 'La forge'</t>
  </si>
  <si>
    <t xml:space="preserve"> 'adresse1': '58 AVENUE GEORGES CLEMENCEAU'</t>
  </si>
  <si>
    <t xml:space="preserve"> 'codepostal': '34000'</t>
  </si>
  <si>
    <t xml:space="preserve"> 'ville': 'MONTPELLIER'</t>
  </si>
  <si>
    <t xml:space="preserve"> 'tel': '0647285377'</t>
  </si>
  <si>
    <t xml:space="preserve"> 'lat': '43.601759000000001'</t>
  </si>
  <si>
    <t xml:space="preserve"> 'lng': '3.869021000000000'</t>
  </si>
  <si>
    <t xml:space="preserve"> 'nomClub': 'LA FORGE POWER LIFTING'</t>
  </si>
  <si>
    <t xml:space="preserve"> 'nomCourtClub': 'LA FORGE'</t>
  </si>
  <si>
    <t xml:space="preserve"> 'url': '/pratiquer/ou-pratiquer/ou-pratiquer-fiche-club/339860030-la-forge-power-lifting'}</t>
  </si>
  <si>
    <t>{'id': 185</t>
  </si>
  <si>
    <t xml:space="preserve"> 'nom': 'Siège social'</t>
  </si>
  <si>
    <t xml:space="preserve"> 'adresse1': '9 RUE GEORGES GAY'</t>
  </si>
  <si>
    <t xml:space="preserve"> 'adresse2': 'D APPARTEMENT D12'</t>
  </si>
  <si>
    <t xml:space="preserve"> 'codepostal': '31700'</t>
  </si>
  <si>
    <t xml:space="preserve"> 'ville': 'BLAGNAC'</t>
  </si>
  <si>
    <t xml:space="preserve"> 'tel': '0604176431'</t>
  </si>
  <si>
    <t xml:space="preserve"> 'lat': '43.654397000000003'</t>
  </si>
  <si>
    <t xml:space="preserve"> 'lng': '1.378427000000000'</t>
  </si>
  <si>
    <t xml:space="preserve"> 'nomClub': 'OCCITAN BARBELL CREW'</t>
  </si>
  <si>
    <t xml:space="preserve"> 'nomCourtClub': 'OBC'</t>
  </si>
  <si>
    <t xml:space="preserve"> 'url': '/pratiquer/ou-pratiquer/ou-pratiquer-fiche-club/339860054-occitan-barbell-crew'}</t>
  </si>
  <si>
    <t>{'id': 187</t>
  </si>
  <si>
    <t xml:space="preserve"> 'nom': 'House of lifter'</t>
  </si>
  <si>
    <t xml:space="preserve"> 'adresse1': 'RUE MARIUS ET ARY LEBLOND'</t>
  </si>
  <si>
    <t xml:space="preserve"> 'codepostal': '97546'</t>
  </si>
  <si>
    <t xml:space="preserve"> 'ville': 'AUCUNE COMMUNE CORRESPONDANTE A CE CODE POSTAL'</t>
  </si>
  <si>
    <t xml:space="preserve"> 'tel': '06.92.77.58.57'</t>
  </si>
  <si>
    <t xml:space="preserve"> 'lat': '-21.333674750000000'</t>
  </si>
  <si>
    <t xml:space="preserve"> 'lng': '55.461603143733107'</t>
  </si>
  <si>
    <t xml:space="preserve"> 'nomClub': 'MAHAVELI HALTÉROPHILIE RÉUNION'</t>
  </si>
  <si>
    <t xml:space="preserve"> 'nomCourtClub': 'MAHAVELI HALTÉRO RÉUNION'</t>
  </si>
  <si>
    <t xml:space="preserve"> 'url': '/pratiquer/ou-pratiquer/ou-pratiquer-fiche-club/199740003-mahaveli-halterophilie-reunion'}</t>
  </si>
  <si>
    <t>{'id': 189</t>
  </si>
  <si>
    <t xml:space="preserve"> 'nom': 'complexe balussou'</t>
  </si>
  <si>
    <t xml:space="preserve"> 'adresse1': "IMPASSE DE L'HORTE"</t>
  </si>
  <si>
    <t xml:space="preserve"> 'codepostal': '09100'</t>
  </si>
  <si>
    <t xml:space="preserve"> 'ville': 'PAMIERS'</t>
  </si>
  <si>
    <t xml:space="preserve"> 'lat': '43.123324350000004'</t>
  </si>
  <si>
    <t xml:space="preserve"> 'lng': '1.607650699999998'</t>
  </si>
  <si>
    <t xml:space="preserve"> 'nomClub': 'CH PAMIERS'</t>
  </si>
  <si>
    <t xml:space="preserve"> 'nomCourtClub': 'CH PAMIERS'</t>
  </si>
  <si>
    <t xml:space="preserve"> 'url': '/pratiquer/ou-pratiquer/ou-pratiquer-fiche-club/15091170-ch-pamiers'}</t>
  </si>
  <si>
    <t>{'id': 190</t>
  </si>
  <si>
    <t xml:space="preserve"> 'nom': 'RAC'</t>
  </si>
  <si>
    <t xml:space="preserve"> 'adresse1': '34 RUE DES BONS RAISINS'</t>
  </si>
  <si>
    <t xml:space="preserve"> 'codepostal': '92500'</t>
  </si>
  <si>
    <t xml:space="preserve"> 'ville': 'RUEIL-MALMAISON'</t>
  </si>
  <si>
    <t xml:space="preserve"> 'tel': '01 41 42 13 68'</t>
  </si>
  <si>
    <t xml:space="preserve"> 'lat': '48.872936000000003'</t>
  </si>
  <si>
    <t xml:space="preserve"> 'lng': '2.193517000000000'</t>
  </si>
  <si>
    <t xml:space="preserve"> 'nomClub': 'RUEIL ATHLETIC CLUB'</t>
  </si>
  <si>
    <t xml:space="preserve"> 'nomCourtClub': 'RUEIL ATHLETIC CLUB'</t>
  </si>
  <si>
    <t xml:space="preserve"> 'url': '/pratiquer/ou-pratiquer/ou-pratiquer-fiche-club/21920202-rueil-athletic-club'}</t>
  </si>
  <si>
    <t>{'id': 191</t>
  </si>
  <si>
    <t xml:space="preserve"> 'nom': 'Centre Pénitentiaire de Guyane'</t>
  </si>
  <si>
    <t xml:space="preserve"> 'adresse1': ' CENTRE PÉNITENTIAIRE DE GUYANE'</t>
  </si>
  <si>
    <t xml:space="preserve"> 'adresse2': 'LA MATOURIENNE'</t>
  </si>
  <si>
    <t xml:space="preserve"> 'codepostal': '97354'</t>
  </si>
  <si>
    <t xml:space="preserve"> 'tel': '0694911221'</t>
  </si>
  <si>
    <t xml:space="preserve"> 'lat': '4.878222000000000'</t>
  </si>
  <si>
    <t xml:space="preserve"> 'lng': '-52.296073000000000'</t>
  </si>
  <si>
    <t xml:space="preserve"> 'nomClub': 'ASCPG'</t>
  </si>
  <si>
    <t xml:space="preserve"> 'nomCourtClub': 'ASCPG'</t>
  </si>
  <si>
    <t xml:space="preserve"> 'url': '/pratiquer/ou-pratiquer/ou-pratiquer-fiche-club/339860053-ascpg'}</t>
  </si>
  <si>
    <t>{'id': 195</t>
  </si>
  <si>
    <t xml:space="preserve"> 'nom': 'neo crossfit'</t>
  </si>
  <si>
    <t xml:space="preserve"> 'adresse1': '318 BIS RUE ALBERT DE DION'</t>
  </si>
  <si>
    <t xml:space="preserve"> 'codepostal': '63500'</t>
  </si>
  <si>
    <t xml:space="preserve"> 'ville': 'ISSOIRE'</t>
  </si>
  <si>
    <t xml:space="preserve"> 'tel': '0764847533'</t>
  </si>
  <si>
    <t xml:space="preserve"> 'lat': '45.533720614702823'</t>
  </si>
  <si>
    <t xml:space="preserve"> 'lng': '3.259782258877842'</t>
  </si>
  <si>
    <t xml:space="preserve"> 'nomClub': 'NEO WEIGHTLIFTING CLUB'</t>
  </si>
  <si>
    <t xml:space="preserve"> 'nomCourtClub': 'NEO CLUB'</t>
  </si>
  <si>
    <t xml:space="preserve"> 'url': '/pratiquer/ou-pratiquer/ou-pratiquer-fiche-club/339860055-neo-weightlifting-club'}</t>
  </si>
  <si>
    <t>{'id': 196</t>
  </si>
  <si>
    <t xml:space="preserve"> 'nom': 'COSEC'</t>
  </si>
  <si>
    <t xml:space="preserve"> 'adresse1': 'SQUARE DES CHAMPS FLEURIS'</t>
  </si>
  <si>
    <t xml:space="preserve"> 'adresse2': 'COSSEC '</t>
  </si>
  <si>
    <t xml:space="preserve"> 'codepostal': '35650'</t>
  </si>
  <si>
    <t xml:space="preserve"> 'ville': 'LE RHEU'</t>
  </si>
  <si>
    <t xml:space="preserve"> 'lat': '48.100637800000001'</t>
  </si>
  <si>
    <t xml:space="preserve"> 'lng': '-1.803018600000000'</t>
  </si>
  <si>
    <t xml:space="preserve"> 'nomClub': 'SC LE RHEU ENERGYM'</t>
  </si>
  <si>
    <t xml:space="preserve"> 'nomCourtClub': 'SC LE RHEU ENERGYM'</t>
  </si>
  <si>
    <t xml:space="preserve"> 'url': '/pratiquer/ou-pratiquer/ou-pratiquer-fiche-club/06350085-sc-le-rheu-energym'}</t>
  </si>
  <si>
    <t>{'id': 198</t>
  </si>
  <si>
    <t xml:space="preserve"> 'nom': 'Salle de musculation centre sportif Philippe Cattiau'</t>
  </si>
  <si>
    <t xml:space="preserve"> 'adresse1': '26 CHEMIN DU BUCHER'</t>
  </si>
  <si>
    <t xml:space="preserve"> 'adresse2': 'RDC '</t>
  </si>
  <si>
    <t xml:space="preserve"> 'codepostal': '92390'</t>
  </si>
  <si>
    <t xml:space="preserve"> 'ville': 'VILLENEUVE-LA-GARENNE'</t>
  </si>
  <si>
    <t xml:space="preserve"> 'tel': '0147946349'</t>
  </si>
  <si>
    <t xml:space="preserve"> 'lat': '48.942240050000002'</t>
  </si>
  <si>
    <t xml:space="preserve"> 'lng': '2.325617998913599'</t>
  </si>
  <si>
    <t xml:space="preserve"> 'nomClub': 'AMICALE VILLENEUVE LA GARENNE OMNISPORTS'</t>
  </si>
  <si>
    <t xml:space="preserve"> 'nomCourtClub': 'AVG OMNISPORTS'</t>
  </si>
  <si>
    <t xml:space="preserve"> 'url': '/pratiquer/ou-pratiquer/ou-pratiquer-fiche-club/339860014-amicale-villeneuve-la-garenne-omnisports'}</t>
  </si>
  <si>
    <t>{'id': 199</t>
  </si>
  <si>
    <t xml:space="preserve"> 'nom': 'HMCC'</t>
  </si>
  <si>
    <t xml:space="preserve"> 'adresse1': ' 35 RUE HOCHE'</t>
  </si>
  <si>
    <t xml:space="preserve"> 'codepostal': '71100'</t>
  </si>
  <si>
    <t xml:space="preserve"> 'ville': 'CHALON-SUR-SAÔNE'</t>
  </si>
  <si>
    <t xml:space="preserve"> 'tel': '0631295568'</t>
  </si>
  <si>
    <t xml:space="preserve"> 'lat': '46.790691000000002'</t>
  </si>
  <si>
    <t xml:space="preserve"> 'lng': '4.845821000000000'</t>
  </si>
  <si>
    <t xml:space="preserve"> 'nomClub': 'HALTEROPHILIE MUSCULATION CLUB CHALONNAIS'</t>
  </si>
  <si>
    <t xml:space="preserve"> 'nomCourtClub': 'HALTEROPHILIE MUSCULATION CLUB CHALONNAIS'</t>
  </si>
  <si>
    <t xml:space="preserve"> 'url': '/pratiquer/ou-pratiquer/ou-pratiquer-fiche-club/02710001-halterophilie-musculation-club-chalonnais'}</t>
  </si>
  <si>
    <t>{'id': 202</t>
  </si>
  <si>
    <t xml:space="preserve"> 'nom': 'SAIYAGYM CROSSFIT'</t>
  </si>
  <si>
    <t xml:space="preserve"> 'adresse1': ' 3 RUE DE DURTOL'</t>
  </si>
  <si>
    <t xml:space="preserve"> 'codepostal': '63370'</t>
  </si>
  <si>
    <t xml:space="preserve"> 'ville': 'LEMPDES'</t>
  </si>
  <si>
    <t xml:space="preserve"> 'lat': '45.776682999999998'</t>
  </si>
  <si>
    <t xml:space="preserve"> 'lng': '3.194500000000000'</t>
  </si>
  <si>
    <t xml:space="preserve"> 'nomClub': 'LEMPDES ATHLETIC CLUB'</t>
  </si>
  <si>
    <t xml:space="preserve"> 'nomCourtClub': 'LAC'</t>
  </si>
  <si>
    <t xml:space="preserve"> 'url': '/pratiquer/ou-pratiquer/ou-pratiquer-fiche-club/339860056-lempdes-athletic-club'}</t>
  </si>
  <si>
    <t>{'id': 203</t>
  </si>
  <si>
    <t xml:space="preserve"> 'nom': 'Essor des carnutes'</t>
  </si>
  <si>
    <t xml:space="preserve"> 'adresse1': '10 RUE DU PUITS BERCHOT'</t>
  </si>
  <si>
    <t xml:space="preserve"> 'codepostal': '28000'</t>
  </si>
  <si>
    <t xml:space="preserve"> 'ville': 'CHARTRES'</t>
  </si>
  <si>
    <t xml:space="preserve"> 'tel': '0618644215'</t>
  </si>
  <si>
    <t xml:space="preserve"> 'lat': '48.446272999999998'</t>
  </si>
  <si>
    <t xml:space="preserve"> 'lng': '1.493332000000000'</t>
  </si>
  <si>
    <t xml:space="preserve"> 'nomClub': 'ESSOR DES CARNUTES CHARTRES'</t>
  </si>
  <si>
    <t xml:space="preserve"> 'nomCourtClub': 'ESSOR DES CARNUTES CHARTRES'</t>
  </si>
  <si>
    <t xml:space="preserve"> 'url': '/pratiquer/ou-pratiquer/ou-pratiquer-fiche-club/07280359-essor-des-carnutes-chartres'}</t>
  </si>
  <si>
    <t>{'id': 204</t>
  </si>
  <si>
    <t xml:space="preserve"> 'nom': 'usc muscu haltero'</t>
  </si>
  <si>
    <t xml:space="preserve"> 'adresse1': '10 BIS AVENUE YVES BRUNAUD'</t>
  </si>
  <si>
    <t xml:space="preserve"> 'codepostal': '31770'</t>
  </si>
  <si>
    <t xml:space="preserve"> 'ville': 'COLOMIERS'</t>
  </si>
  <si>
    <t xml:space="preserve"> 'tel': '0534551841'</t>
  </si>
  <si>
    <t xml:space="preserve"> 'lat': '43.613646052778350'</t>
  </si>
  <si>
    <t xml:space="preserve"> 'lng': '1.349172592163086'</t>
  </si>
  <si>
    <t xml:space="preserve"> 'nomClub': 'USC HC COLOMIERS'</t>
  </si>
  <si>
    <t xml:space="preserve"> 'nomCourtClub': 'USC HC COLOMIERS'</t>
  </si>
  <si>
    <t xml:space="preserve"> 'url': '/pratiquer/ou-pratiquer/ou-pratiquer-fiche-club/15310442-usc-hc-colomiers'}</t>
  </si>
  <si>
    <t>{'id': 208</t>
  </si>
  <si>
    <t xml:space="preserve"> 'nom': 'COMPLEXE SPORTIF MARIE AMELIE LE FUR'</t>
  </si>
  <si>
    <t xml:space="preserve"> 'adresse1': '1 RUE DES GRANDS PRES'</t>
  </si>
  <si>
    <t xml:space="preserve"> 'codepostal': '60230'</t>
  </si>
  <si>
    <t xml:space="preserve"> 'ville': 'CHAMBLY'</t>
  </si>
  <si>
    <t xml:space="preserve"> 'tel': '06 10 85 62 61'</t>
  </si>
  <si>
    <t xml:space="preserve"> 'lat': '49.161110999999998'</t>
  </si>
  <si>
    <t xml:space="preserve"> 'lng': '2.249785000000000'</t>
  </si>
  <si>
    <t xml:space="preserve"> 'nomClub': 'BADMINTON CLUB CHAMBLY OISE'</t>
  </si>
  <si>
    <t xml:space="preserve"> 'nomCourtClub': 'BCCO'</t>
  </si>
  <si>
    <t xml:space="preserve"> 'url': '/pratiquer/ou-pratiquer/ou-pratiquer-fiche-club/339860034-badminton-club-chambly-oise'}</t>
  </si>
  <si>
    <t>{'id': 210</t>
  </si>
  <si>
    <t xml:space="preserve"> 'nom': 'CrossFit Ballers'</t>
  </si>
  <si>
    <t xml:space="preserve"> 'adresse1': '8 RUE SAINT ELOI'</t>
  </si>
  <si>
    <t xml:space="preserve"> 'codepostal': '76000'</t>
  </si>
  <si>
    <t xml:space="preserve"> 'ville': 'ROUEN'</t>
  </si>
  <si>
    <t xml:space="preserve"> 'tel': '09.81.11.34.64'</t>
  </si>
  <si>
    <t xml:space="preserve"> 'lat': '49.440544000000003'</t>
  </si>
  <si>
    <t xml:space="preserve"> 'lng': '1.086717000000000'</t>
  </si>
  <si>
    <t xml:space="preserve"> 'nomClub': 'BALLERS HALTEROPHILIE CLUB DE ROUEN'</t>
  </si>
  <si>
    <t xml:space="preserve"> 'nomCourtClub': 'BALLERS HALTEROPHILIE CLUB DE ROUEN'</t>
  </si>
  <si>
    <t xml:space="preserve"> 'url': '/pratiquer/ou-pratiquer/ou-pratiquer-fiche-club/12760003-ballers-halterophilie-club-de-rouen'}</t>
  </si>
  <si>
    <t>{'id': 212</t>
  </si>
  <si>
    <t xml:space="preserve"> 'nom': 'STADE POITEVIN HALTEROPHILIE MUSCULATION'</t>
  </si>
  <si>
    <t xml:space="preserve"> 'adresse1': 'COMPLEXE MICHEL AMAND AVENUE DE LA FRATERNITE'</t>
  </si>
  <si>
    <t xml:space="preserve"> 'codepostal': '86180'</t>
  </si>
  <si>
    <t xml:space="preserve"> 'ville': 'BUXEROLLES'</t>
  </si>
  <si>
    <t xml:space="preserve"> 'tel': '05.49.45.51.05'</t>
  </si>
  <si>
    <t xml:space="preserve"> 'lat': '46.597546999999999'</t>
  </si>
  <si>
    <t xml:space="preserve"> 'lng': '0.364530000000000'</t>
  </si>
  <si>
    <t xml:space="preserve"> 'nomClub': 'STADE POITEVIN HM'</t>
  </si>
  <si>
    <t xml:space="preserve"> 'nomCourtClub': 'STADE POITEVIN HM'</t>
  </si>
  <si>
    <t xml:space="preserve"> 'url': '/pratiquer/ou-pratiquer/ou-pratiquer-fiche-club/19860432-stade-poitevin-hm'}</t>
  </si>
  <si>
    <t>{'id': 213</t>
  </si>
  <si>
    <t xml:space="preserve"> 'nom': 'club athletique nantais'</t>
  </si>
  <si>
    <t xml:space="preserve"> 'adresse1': '68 AVENUE DE LA DURANTIÈRE'</t>
  </si>
  <si>
    <t xml:space="preserve"> 'codepostal': '44100'</t>
  </si>
  <si>
    <t xml:space="preserve"> 'ville': 'NANTES'</t>
  </si>
  <si>
    <t xml:space="preserve"> 'tel': '0643090654'</t>
  </si>
  <si>
    <t xml:space="preserve"> 'lat': '47.214706300000003'</t>
  </si>
  <si>
    <t xml:space="preserve"> 'lng': '-1.603754635756336'</t>
  </si>
  <si>
    <t xml:space="preserve"> 'nomClub': 'CLUB ATHLETIQUE NANTAIS'</t>
  </si>
  <si>
    <t xml:space="preserve"> 'nomCourtClub': 'CLUB ATHLETIQUE NANTAIS'</t>
  </si>
  <si>
    <t xml:space="preserve"> 'url': '/pratiquer/ou-pratiquer/ou-pratiquer-fiche-club/16440008-club-athletique-nantais'}</t>
  </si>
  <si>
    <t>{'id': 218</t>
  </si>
  <si>
    <t xml:space="preserve"> 'nom': 'GYMNASE des CRETS 01440 VIRIAT'</t>
  </si>
  <si>
    <t xml:space="preserve"> 'adresse1': '47 CHEMIN DU MOULIN DE RIONDAZ'</t>
  </si>
  <si>
    <t xml:space="preserve"> 'codepostal': '01440'</t>
  </si>
  <si>
    <t xml:space="preserve"> 'ville': 'VIRIAT'</t>
  </si>
  <si>
    <t xml:space="preserve"> 'tel': '0681644628'</t>
  </si>
  <si>
    <t xml:space="preserve"> 'lat': '46.251899999999999'</t>
  </si>
  <si>
    <t xml:space="preserve"> 'lng': '5.212780000000000'</t>
  </si>
  <si>
    <t xml:space="preserve"> 'nomClub': 'ENTENTE HALTERO VIRIAT'</t>
  </si>
  <si>
    <t xml:space="preserve"> 'nomCourtClub': 'ENTENTE HALTERO VIRIAT'</t>
  </si>
  <si>
    <t xml:space="preserve"> 'url': '/pratiquer/ou-pratiquer/ou-pratiquer-fiche-club/22010281-entente-haltero-viriat'}</t>
  </si>
  <si>
    <t>{'id': 222</t>
  </si>
  <si>
    <t xml:space="preserve"> 'nom': 'PAPANG'</t>
  </si>
  <si>
    <t xml:space="preserve"> 'adresse1': '4 RUE JEAN ROBERT'</t>
  </si>
  <si>
    <t xml:space="preserve"> 'codepostal': '97419'</t>
  </si>
  <si>
    <t xml:space="preserve"> 'ville': 'LA POSSESSION'</t>
  </si>
  <si>
    <t xml:space="preserve"> 'tel': '0692461867'</t>
  </si>
  <si>
    <t xml:space="preserve"> 'lat': '-20.958354000000000'</t>
  </si>
  <si>
    <t xml:space="preserve"> 'lng': '55.328446999999997'</t>
  </si>
  <si>
    <t xml:space="preserve"> 'nomClub': 'CLUB HALTEROPHILIE RAPTOR'</t>
  </si>
  <si>
    <t xml:space="preserve"> 'nomCourtClub': 'CH RAPTOR'</t>
  </si>
  <si>
    <t xml:space="preserve"> 'url': '/pratiquer/ou-pratiquer/ou-pratiquer-fiche-club/339860024-club-halterophilie-raptor'}</t>
  </si>
  <si>
    <t>{'id': 223</t>
  </si>
  <si>
    <t xml:space="preserve"> 'nom': 'CFSM Weightlifting Club'</t>
  </si>
  <si>
    <t xml:space="preserve"> 'adresse1': '6 IMPASSE MERCURE'</t>
  </si>
  <si>
    <t xml:space="preserve"> 'adresse2': 'LOCAL NUMÉRO 10 - ZAE LA MARE'</t>
  </si>
  <si>
    <t xml:space="preserve"> 'codepostal': '97438'</t>
  </si>
  <si>
    <t xml:space="preserve"> 'ville': 'SAINTE-MARIE'</t>
  </si>
  <si>
    <t xml:space="preserve"> 'tel': '+262692946727'</t>
  </si>
  <si>
    <t xml:space="preserve"> 'lat': '-20.898676525547025'</t>
  </si>
  <si>
    <t xml:space="preserve"> 'lng': '55.534242931032381'</t>
  </si>
  <si>
    <t xml:space="preserve"> 'nomClub': 'CFSM WEIGHTLIFTING CLUB'</t>
  </si>
  <si>
    <t xml:space="preserve"> 'nomCourtClub': 'CFSM WLF'</t>
  </si>
  <si>
    <t xml:space="preserve"> 'url': '/pratiquer/ou-pratiquer/ou-pratiquer-fiche-club/339860023-cfsm-weightlifting-club'}</t>
  </si>
  <si>
    <t>{'id': 224</t>
  </si>
  <si>
    <t xml:space="preserve"> 'nom': 'EASM'</t>
  </si>
  <si>
    <t xml:space="preserve"> 'adresse1': 'AVENUE SERVICE MUNICIPAL DES SPORTS 14 RUE PASTEUR'</t>
  </si>
  <si>
    <t xml:space="preserve"> 'codepostal': '33160'</t>
  </si>
  <si>
    <t xml:space="preserve"> 'ville': 'SAINT-MÉDARD-EN-JALLES'</t>
  </si>
  <si>
    <t xml:space="preserve"> 'tel': '0620117937'</t>
  </si>
  <si>
    <t xml:space="preserve"> 'lat': '44.886248999999999'</t>
  </si>
  <si>
    <t xml:space="preserve"> 'lng': '-0.704038000000000'</t>
  </si>
  <si>
    <t xml:space="preserve"> 'nomClub': 'EA DE SAINT MEDARD'</t>
  </si>
  <si>
    <t xml:space="preserve"> 'nomCourtClub': 'EA DE SAINT MEDARD'</t>
  </si>
  <si>
    <t xml:space="preserve"> 'url': '/pratiquer/ou-pratiquer/ou-pratiquer-fiche-club/02330037-ea-de-saint-medard'}</t>
  </si>
  <si>
    <t>{'id': 226</t>
  </si>
  <si>
    <t xml:space="preserve"> 'nom': 'ESPACE ROUX DE BRIGNOLES'</t>
  </si>
  <si>
    <t xml:space="preserve"> 'adresse1': 'PLACE TIVOLI'</t>
  </si>
  <si>
    <t xml:space="preserve"> 'adresse2': 'ESPACE ROUX DE BRIGNOLES '</t>
  </si>
  <si>
    <t xml:space="preserve"> 'codepostal': '13330'</t>
  </si>
  <si>
    <t xml:space="preserve"> 'ville': 'PÉLISSANNE'</t>
  </si>
  <si>
    <t xml:space="preserve"> 'tel': '0610965305'</t>
  </si>
  <si>
    <t xml:space="preserve"> 'lat': '43.631074800000000'</t>
  </si>
  <si>
    <t xml:space="preserve"> 'lng': '5.152878463230569'</t>
  </si>
  <si>
    <t xml:space="preserve"> 'nomClub': 'HC PELISSANNAIS'</t>
  </si>
  <si>
    <t xml:space="preserve"> 'nomCourtClub': 'HC PELISSANNAIS'</t>
  </si>
  <si>
    <t xml:space="preserve"> 'url': '/pratiquer/ou-pratiquer/ou-pratiquer-fiche-club/20131263-hc-pelissannais'}</t>
  </si>
  <si>
    <t>{'id': 227</t>
  </si>
  <si>
    <t xml:space="preserve"> 'nom': 'Club Olympique Briochin'</t>
  </si>
  <si>
    <t xml:space="preserve"> 'adresse1': '14 RUE ST-BENOÎT'</t>
  </si>
  <si>
    <t xml:space="preserve"> 'adresse2': 'D '</t>
  </si>
  <si>
    <t xml:space="preserve"> 'codepostal': '22000'</t>
  </si>
  <si>
    <t xml:space="preserve"> 'ville': 'SAINT-BRIEUC'</t>
  </si>
  <si>
    <t xml:space="preserve"> 'lat': '48.514780999999999'</t>
  </si>
  <si>
    <t xml:space="preserve"> 'lng': '-2.758548000000000'</t>
  </si>
  <si>
    <t xml:space="preserve"> 'nomClub': 'CLUB OLYMPIQUE BRIOCHIN - SECTION MUSCULATION'</t>
  </si>
  <si>
    <t xml:space="preserve"> 'nomCourtClub': 'CLUB OLYMPIQUE BRIOCHIN - SECTION MUSCULATION'</t>
  </si>
  <si>
    <t xml:space="preserve"> 'url': '/pratiquer/ou-pratiquer/ou-pratiquer-fiche-club/03220002-club-olympique-briochin-section-musculation'}</t>
  </si>
  <si>
    <t>{'id': 228</t>
  </si>
  <si>
    <t xml:space="preserve"> 'nom': 'Palais des Sports Pierre Mendès France'</t>
  </si>
  <si>
    <t xml:space="preserve"> 'adresse1': 'ALLÉE AUGUSTE JAMET'</t>
  </si>
  <si>
    <t xml:space="preserve"> 'adresse2': 'PALAIS DES SPORT MENDÉS-FRANCE '</t>
  </si>
  <si>
    <t xml:space="preserve"> 'codepostal': '26000'</t>
  </si>
  <si>
    <t xml:space="preserve"> 'ville': 'VALENCE'</t>
  </si>
  <si>
    <t xml:space="preserve"> 'lat': '44.915257150000002'</t>
  </si>
  <si>
    <t xml:space="preserve"> 'lng': '4.919101632493655'</t>
  </si>
  <si>
    <t xml:space="preserve"> 'nomClub': 'VALENCE HALTEROPHILIE'</t>
  </si>
  <si>
    <t xml:space="preserve"> 'nomCourtClub': 'VALENCE HALTEROPHILIE'</t>
  </si>
  <si>
    <t xml:space="preserve"> 'url': '/pratiquer/ou-pratiquer/ou-pratiquer-fiche-club/22260614-valence-halterophilie'}</t>
  </si>
  <si>
    <t>{'id': 229</t>
  </si>
  <si>
    <t xml:space="preserve"> 'nom': 'Christian Lacroix'</t>
  </si>
  <si>
    <t xml:space="preserve"> 'adresse1': 'RUE EDMOND BESSE'</t>
  </si>
  <si>
    <t xml:space="preserve"> 'tel': '06.32.64.71.27'</t>
  </si>
  <si>
    <t xml:space="preserve"> 'lat': '44.886690299999998'</t>
  </si>
  <si>
    <t xml:space="preserve"> 'lng': '-0.542497600000000'</t>
  </si>
  <si>
    <t xml:space="preserve"> 'nomClub': 'EURO FITNESS SPORTS ET LOISIRS'</t>
  </si>
  <si>
    <t xml:space="preserve"> 'nomCourtClub': 'EURO FITNESS SPORTS ET LOISIRS'</t>
  </si>
  <si>
    <t xml:space="preserve"> 'url': '/pratiquer/ou-pratiquer/ou-pratiquer-fiche-club/02331259-euro-fitness-sports-et-loisirs'}</t>
  </si>
  <si>
    <t>{'id': 230</t>
  </si>
  <si>
    <t xml:space="preserve"> 'nom': 'gymnase universitaire de La Borie'</t>
  </si>
  <si>
    <t xml:space="preserve"> 'adresse1': '185 AVENUE ALBERT THOMAS 87 100 LIMOGES'</t>
  </si>
  <si>
    <t xml:space="preserve"> 'codepostal': '87100'</t>
  </si>
  <si>
    <t xml:space="preserve"> 'ville': 'LIMOGES'</t>
  </si>
  <si>
    <t xml:space="preserve"> 'tel': '05.55.45.75.10'</t>
  </si>
  <si>
    <t xml:space="preserve"> 'lat': '45.839368000000000'</t>
  </si>
  <si>
    <t xml:space="preserve"> 'lng': '1.234485000000000'</t>
  </si>
  <si>
    <t xml:space="preserve"> 'nomClub': 'LIMOGES ASU'</t>
  </si>
  <si>
    <t xml:space="preserve"> 'nomCourtClub': 'LIMOGES ASU'</t>
  </si>
  <si>
    <t xml:space="preserve"> 'url': '/pratiquer/ou-pratiquer/ou-pratiquer-fiche-club/14870002-limoges-asu'}</t>
  </si>
  <si>
    <t>{'id': 233</t>
  </si>
  <si>
    <t xml:space="preserve"> 'nom': 'DODARD'</t>
  </si>
  <si>
    <t xml:space="preserve"> 'adresse1': '5 RUE DE LA JOIE'</t>
  </si>
  <si>
    <t xml:space="preserve"> 'codepostal': '53220'</t>
  </si>
  <si>
    <t xml:space="preserve"> 'ville': 'SAINT-MARS-SUR-LA-FUTAIE'</t>
  </si>
  <si>
    <t xml:space="preserve"> 'lat': '48.433033999999999'</t>
  </si>
  <si>
    <t xml:space="preserve"> 'lng': '-1.014859000000000'</t>
  </si>
  <si>
    <t xml:space="preserve"> 'nomClub': 'ASCL ST MARS LA FUTAIE'</t>
  </si>
  <si>
    <t xml:space="preserve"> 'nomCourtClub': 'ASCL ST MARS LA FUTAIE'</t>
  </si>
  <si>
    <t xml:space="preserve"> 'url': '/pratiquer/ou-pratiquer/ou-pratiquer-fiche-club/17530414-ascl-st-mars-la-futaie'}</t>
  </si>
  <si>
    <t>{'id': 236</t>
  </si>
  <si>
    <t xml:space="preserve"> 'nom': 'Société Athlétique de Koenigshoffen'</t>
  </si>
  <si>
    <t xml:space="preserve"> 'adresse1': '3 RUE FRANÇOISE DOLTO'</t>
  </si>
  <si>
    <t xml:space="preserve"> 'adresse2': 'GYMNASE BRIGITTE '</t>
  </si>
  <si>
    <t xml:space="preserve"> 'tel': '0695669520'</t>
  </si>
  <si>
    <t xml:space="preserve"> 'lat': '48.593040000000002'</t>
  </si>
  <si>
    <t xml:space="preserve"> 'lng': '7.701486000000000'</t>
  </si>
  <si>
    <t xml:space="preserve"> 'nomClub': 'SA KOENIGSHOFFEN HM'</t>
  </si>
  <si>
    <t xml:space="preserve"> 'nomCourtClub': 'SA KOENIGSHOFFEN HM'</t>
  </si>
  <si>
    <t xml:space="preserve"> 'url': '/pratiquer/ou-pratiquer/ou-pratiquer-fiche-club/01670601-sa-koenigshoffen-hm'}</t>
  </si>
  <si>
    <t>{'id': 238</t>
  </si>
  <si>
    <t xml:space="preserve"> 'nom': 'MJC Andlau'</t>
  </si>
  <si>
    <t xml:space="preserve"> 'adresse1': '19 RUE DU MARÉCHAL FOCH'</t>
  </si>
  <si>
    <t xml:space="preserve"> 'codepostal': '67140'</t>
  </si>
  <si>
    <t xml:space="preserve"> 'ville': 'ANDLAU'</t>
  </si>
  <si>
    <t xml:space="preserve"> 'lat': '48.385168966504615'</t>
  </si>
  <si>
    <t xml:space="preserve"> 'lng': '7.417208847262535'</t>
  </si>
  <si>
    <t xml:space="preserve"> 'nomClub': 'CHM ANDLAU'</t>
  </si>
  <si>
    <t xml:space="preserve"> 'nomCourtClub': 'CHM ANDLAU'</t>
  </si>
  <si>
    <t xml:space="preserve"> 'url': '/pratiquer/ou-pratiquer/ou-pratiquer-fiche-club/01670662-chm-andlau'}</t>
  </si>
  <si>
    <t>{'id': 239</t>
  </si>
  <si>
    <t xml:space="preserve"> 'nom': 'TARBES HALTEROPHILE CLUB'</t>
  </si>
  <si>
    <t xml:space="preserve"> 'adresse1': 'RUE TRISTAN DERÊME'</t>
  </si>
  <si>
    <t xml:space="preserve"> 'codepostal': '65000'</t>
  </si>
  <si>
    <t xml:space="preserve"> 'ville': 'TARBES'</t>
  </si>
  <si>
    <t xml:space="preserve"> 'tel': '0689671559'</t>
  </si>
  <si>
    <t xml:space="preserve"> 'lat': '43.223348000000001'</t>
  </si>
  <si>
    <t xml:space="preserve"> 'lng': '0.081244000000000'</t>
  </si>
  <si>
    <t xml:space="preserve"> 'nomClub': 'TARBES HC'</t>
  </si>
  <si>
    <t xml:space="preserve"> 'nomCourtClub': 'DESPECHE'</t>
  </si>
  <si>
    <t xml:space="preserve"> 'url': '/pratiquer/ou-pratiquer/ou-pratiquer-fiche-club/15650452-tarbes-hc'}</t>
  </si>
  <si>
    <t>{'id': 240</t>
  </si>
  <si>
    <t xml:space="preserve"> 'nom': 'GARDES'</t>
  </si>
  <si>
    <t xml:space="preserve"> 'adresse1': 'RUE DES GÉOMÈRES PIONNIERS'</t>
  </si>
  <si>
    <t xml:space="preserve"> 'codepostal': '99835'</t>
  </si>
  <si>
    <t xml:space="preserve"> 'tel': '+687755771'</t>
  </si>
  <si>
    <t xml:space="preserve"> 'lat': '-22.183666552414952'</t>
  </si>
  <si>
    <t xml:space="preserve"> 'lng': '166.438059021926421'</t>
  </si>
  <si>
    <t xml:space="preserve"> 'nomClub': 'BARBELL CLUB DUMBEA'</t>
  </si>
  <si>
    <t xml:space="preserve"> 'nomCourtClub': 'BARBELL CLUB DUMBEA'</t>
  </si>
  <si>
    <t xml:space="preserve"> 'url': '/pratiquer/ou-pratiquer/ou-pratiquer-fiche-club/139880004-barbell-club-dumbea'}</t>
  </si>
  <si>
    <t>{'id': 242</t>
  </si>
  <si>
    <t xml:space="preserve"> 'nom': 'Stade Commandant Bougouin'</t>
  </si>
  <si>
    <t xml:space="preserve"> 'adresse1': '10 RUE ALPHONSE GUÉRIN'</t>
  </si>
  <si>
    <t xml:space="preserve"> 'adresse2': 'STADE COMMANDANT BOUGOUIN '</t>
  </si>
  <si>
    <t xml:space="preserve"> 'codepostal': '35000'</t>
  </si>
  <si>
    <t xml:space="preserve"> 'ville': 'RENNES'</t>
  </si>
  <si>
    <t xml:space="preserve"> 'lat': '48.108809999999998'</t>
  </si>
  <si>
    <t xml:space="preserve"> 'lng': '-1.663677000000000'</t>
  </si>
  <si>
    <t xml:space="preserve"> 'nomClub': 'CERCLE PAUL BERT'</t>
  </si>
  <si>
    <t xml:space="preserve"> 'nomCourtClub': 'CPB'</t>
  </si>
  <si>
    <t xml:space="preserve"> 'url': '/pratiquer/ou-pratiquer/ou-pratiquer-fiche-club/339860057-cercle-paul-bert'}</t>
  </si>
  <si>
    <t>{'id': 244</t>
  </si>
  <si>
    <t xml:space="preserve"> 'nom': 'ASPTT DRAGUIGNAN'</t>
  </si>
  <si>
    <t xml:space="preserve"> 'adresse1': '296 CHEMIN DE SAINTE-BARBE'</t>
  </si>
  <si>
    <t xml:space="preserve"> 'codepostal': '83300'</t>
  </si>
  <si>
    <t xml:space="preserve"> 'ville': 'CHÂTEAUDOUBLE'</t>
  </si>
  <si>
    <t xml:space="preserve"> 'tel': '0664999502'</t>
  </si>
  <si>
    <t xml:space="preserve"> 'lat': '43.530868900000002'</t>
  </si>
  <si>
    <t xml:space="preserve"> 'lng': '6.480278986432161'</t>
  </si>
  <si>
    <t xml:space="preserve"> 'nomClub': 'ASPTT DRAGUIGNAN'</t>
  </si>
  <si>
    <t xml:space="preserve"> 'nomCourtClub': 'ASPTT DRAGUIGNAN'</t>
  </si>
  <si>
    <t xml:space="preserve"> 'url': '/pratiquer/ou-pratiquer/ou-pratiquer-fiche-club/20831246-asptt-draguignan'}</t>
  </si>
  <si>
    <t>{'id': 245</t>
  </si>
  <si>
    <t xml:space="preserve"> 'nom': 'aspom'</t>
  </si>
  <si>
    <t xml:space="preserve"> 'adresse1': '132 RUE AMEDÉE ST GERMAIN'</t>
  </si>
  <si>
    <t xml:space="preserve"> 'codepostal': '33800'</t>
  </si>
  <si>
    <t xml:space="preserve"> 'lat': '44.817537999999999'</t>
  </si>
  <si>
    <t xml:space="preserve"> 'lng': '-0.564433000000000'</t>
  </si>
  <si>
    <t xml:space="preserve"> 'nomClub': 'ASPOM BORDEAUX'</t>
  </si>
  <si>
    <t xml:space="preserve"> 'nomCourtClub': 'ASPOM BORDEAUX'</t>
  </si>
  <si>
    <t xml:space="preserve"> 'url': '/pratiquer/ou-pratiquer/ou-pratiquer-fiche-club/02330656-aspom-bordeaux'}</t>
  </si>
  <si>
    <t>{'id': 246</t>
  </si>
  <si>
    <t xml:space="preserve"> 'nom': 'Complexe Sportif Lothaire Kubel'</t>
  </si>
  <si>
    <t xml:space="preserve"> 'adresse1': 'COMPLEXE SPORTIF LOTHAIRE KUBEL RUE DE LA PISCINE'</t>
  </si>
  <si>
    <t xml:space="preserve"> 'codepostal': '36200'</t>
  </si>
  <si>
    <t xml:space="preserve"> 'ville': 'ARGENTON-SUR-CREUSE'</t>
  </si>
  <si>
    <t xml:space="preserve"> 'tel': '02.54.01.10.78'</t>
  </si>
  <si>
    <t xml:space="preserve"> 'lat': '46.585673999999997'</t>
  </si>
  <si>
    <t xml:space="preserve"> 'lng': '1.531676000000000'</t>
  </si>
  <si>
    <t xml:space="preserve"> 'nomClub': 'US ARGENTONNAISE'</t>
  </si>
  <si>
    <t xml:space="preserve"> 'nomCourtClub': 'US ARGENTONNAISE'</t>
  </si>
  <si>
    <t xml:space="preserve"> 'url': '/pratiquer/ou-pratiquer/ou-pratiquer-fiche-club/07361228-us-argentonnaise'}</t>
  </si>
  <si>
    <t>{'id': 247</t>
  </si>
  <si>
    <t xml:space="preserve"> 'nom': 'DAMALIS LE CLUB'</t>
  </si>
  <si>
    <t xml:space="preserve"> 'adresse1': '33 BOULEVARD BLERIOT'</t>
  </si>
  <si>
    <t xml:space="preserve"> 'adresse2': 'CENTRE COMMERCIAL DU PERLIC '</t>
  </si>
  <si>
    <t xml:space="preserve"> 'codepostal': '64140'</t>
  </si>
  <si>
    <t xml:space="preserve"> 'ville': 'LONS'</t>
  </si>
  <si>
    <t xml:space="preserve"> 'tel': '0652478941'</t>
  </si>
  <si>
    <t xml:space="preserve"> 'lat': '43.334724999999999'</t>
  </si>
  <si>
    <t xml:space="preserve"> 'lng': '-0.393466000000000'</t>
  </si>
  <si>
    <t xml:space="preserve"> 'nomClub': 'CLUB HALTERO PALOIS'</t>
  </si>
  <si>
    <t xml:space="preserve"> 'nomCourtClub': 'CHAP'</t>
  </si>
  <si>
    <t xml:space="preserve"> 'url': '/pratiquer/ou-pratiquer/ou-pratiquer-fiche-club/14640002-club-haltero-palois'}</t>
  </si>
  <si>
    <t>{'id': 248</t>
  </si>
  <si>
    <t xml:space="preserve"> 'nom': 'ac gardeen acg'</t>
  </si>
  <si>
    <t xml:space="preserve"> 'adresse1': 'AVENUE ROBESPIERRE'</t>
  </si>
  <si>
    <t xml:space="preserve"> 'codepostal': '83130'</t>
  </si>
  <si>
    <t xml:space="preserve"> 'ville': 'LA GARDE'</t>
  </si>
  <si>
    <t xml:space="preserve"> 'lat': '43.134936000000003'</t>
  </si>
  <si>
    <t xml:space="preserve"> 'lng': '6.024972000000000'</t>
  </si>
  <si>
    <t xml:space="preserve"> 'nomClub': 'AC GARDEEN'</t>
  </si>
  <si>
    <t xml:space="preserve"> 'nomCourtClub': 'AC GARDEEN'</t>
  </si>
  <si>
    <t xml:space="preserve"> 'url': '/pratiquer/ou-pratiquer/ou-pratiquer-fiche-club/20830123-ac-gardeen'}</t>
  </si>
  <si>
    <t>{'id': 251</t>
  </si>
  <si>
    <t xml:space="preserve"> 'nom': 'SALLE ETIENNE TURPIN'</t>
  </si>
  <si>
    <t xml:space="preserve"> 'adresse1': 'ROUTE DES LACS'</t>
  </si>
  <si>
    <t xml:space="preserve"> 'codepostal': '33470'</t>
  </si>
  <si>
    <t xml:space="preserve"> 'ville': 'GUJAN-MESTRAS'</t>
  </si>
  <si>
    <t xml:space="preserve"> 'lat': '44.610607999999999'</t>
  </si>
  <si>
    <t xml:space="preserve"> 'lng': '-1.105583000000000'</t>
  </si>
  <si>
    <t xml:space="preserve"> 'nomClub': 'AS FORCE TESTERINE'</t>
  </si>
  <si>
    <t xml:space="preserve"> 'nomCourtClub': 'AS FORCE TESTERINE'</t>
  </si>
  <si>
    <t xml:space="preserve"> 'url': '/pratiquer/ou-pratiquer/ou-pratiquer-fiche-club/02330910-as-force-testerine'}</t>
  </si>
  <si>
    <t>{'id': 252</t>
  </si>
  <si>
    <t xml:space="preserve"> 'nom': 'Crossfit Gaius'</t>
  </si>
  <si>
    <t xml:space="preserve"> 'adresse1': '10 AVENUE DU MARÉCHAL DE LATTRE DE TASSIGNY'</t>
  </si>
  <si>
    <t xml:space="preserve"> 'codepostal': '13100'</t>
  </si>
  <si>
    <t xml:space="preserve"> 'tel': '06.64.82.67.21'</t>
  </si>
  <si>
    <t xml:space="preserve"> 'lat': '43.529692900000001'</t>
  </si>
  <si>
    <t xml:space="preserve"> 'lng': '5.437339343573731'</t>
  </si>
  <si>
    <t xml:space="preserve"> 'nomClub': 'LA COMPAGNIE DE LA BARRE'</t>
  </si>
  <si>
    <t xml:space="preserve"> 'nomCourtClub': 'LA COMPAGNIE DE LA BARRE'</t>
  </si>
  <si>
    <t xml:space="preserve"> 'url': '/pratiquer/ou-pratiquer/ou-pratiquer-fiche-club/18130004-la-compagnie-de-la-barre'}</t>
  </si>
  <si>
    <t>{'id': 254</t>
  </si>
  <si>
    <t xml:space="preserve"> 'nom': 'HALTERO CLUB OYONNAX'</t>
  </si>
  <si>
    <t xml:space="preserve"> 'adresse1': '22 RUE BRILLAT SAVARIN'</t>
  </si>
  <si>
    <t xml:space="preserve"> 'codepostal': '01100'</t>
  </si>
  <si>
    <t xml:space="preserve"> 'ville': 'OYONNAX'</t>
  </si>
  <si>
    <t xml:space="preserve"> 'tel': '0679818036'</t>
  </si>
  <si>
    <t xml:space="preserve"> 'lat': '46.251655000000000'</t>
  </si>
  <si>
    <t xml:space="preserve"> 'lng': '5.648112000000000'</t>
  </si>
  <si>
    <t xml:space="preserve"> 'nomClub': 'HALTERO CLUB OYONNAXIEN'</t>
  </si>
  <si>
    <t xml:space="preserve"> 'nomCourtClub': 'HALTERO CLUB OYONNAXIEN'</t>
  </si>
  <si>
    <t xml:space="preserve"> 'url': '/pratiquer/ou-pratiquer/ou-pratiquer-fiche-club/22010280-haltero-club-oyonnaxien'}</t>
  </si>
  <si>
    <t>{'id': 255</t>
  </si>
  <si>
    <t xml:space="preserve"> 'nom': 'SUMMUM CROSSFIT'</t>
  </si>
  <si>
    <t xml:space="preserve"> 'adresse1': " 6 BVD DES MONTS D'OR"</t>
  </si>
  <si>
    <t xml:space="preserve"> 'codepostal': '69580'</t>
  </si>
  <si>
    <t xml:space="preserve"> 'ville': 'SATHONAY-CAMP'</t>
  </si>
  <si>
    <t xml:space="preserve"> 'lat': '45.824628500000003'</t>
  </si>
  <si>
    <t xml:space="preserve"> 'lng': '4.866733500000000'</t>
  </si>
  <si>
    <t xml:space="preserve"> 'nomClub': 'SUMMUM CROSSFIT'</t>
  </si>
  <si>
    <t xml:space="preserve"> 'nomCourtClub': 'SUMMUM CROSSFIT'</t>
  </si>
  <si>
    <t xml:space="preserve"> 'url': '/pratiquer/ou-pratiquer/ou-pratiquer-fiche-club/01690004-summum-crossfit'}</t>
  </si>
  <si>
    <t>{'id': 256</t>
  </si>
  <si>
    <t xml:space="preserve"> 'nom': 'david HELENA'</t>
  </si>
  <si>
    <t xml:space="preserve"> 'adresse1': '36 RUE BERJON'</t>
  </si>
  <si>
    <t xml:space="preserve"> 'adresse2': '10 BIS RUE DU BOIS DE LA CAILLE'</t>
  </si>
  <si>
    <t xml:space="preserve"> 'codepostal': '69300'</t>
  </si>
  <si>
    <t xml:space="preserve"> 'ville': 'CALUIRE-ET-CUIRE'</t>
  </si>
  <si>
    <t xml:space="preserve"> 'lat': '45.784100000000002'</t>
  </si>
  <si>
    <t xml:space="preserve"> 'lng': '4.833174000000000'</t>
  </si>
  <si>
    <t xml:space="preserve"> 'nomClub': 'VERTUOSE CLUB'</t>
  </si>
  <si>
    <t xml:space="preserve"> 'nomCourtClub': 'VERTUOSE CLUB'</t>
  </si>
  <si>
    <t xml:space="preserve"> 'url': '/pratiquer/ou-pratiquer/ou-pratiquer-fiche-club/01690006-vertuose-club'}</t>
  </si>
  <si>
    <t>{'id': 258</t>
  </si>
  <si>
    <t xml:space="preserve"> 'nom': 'MUSCU FITNESS CAHORS'</t>
  </si>
  <si>
    <t xml:space="preserve"> 'adresse1': '150 RUE DE LA GUINGUETTE'</t>
  </si>
  <si>
    <t xml:space="preserve"> 'codepostal': '46000'</t>
  </si>
  <si>
    <t xml:space="preserve"> 'ville': 'CAHORS'</t>
  </si>
  <si>
    <t xml:space="preserve"> 'lat': '44.455562900000004'</t>
  </si>
  <si>
    <t xml:space="preserve"> 'lng': '1.445813373222948'</t>
  </si>
  <si>
    <t xml:space="preserve"> 'nomClub': 'MUSCU FITNESS CAHORS'</t>
  </si>
  <si>
    <t xml:space="preserve"> 'nomCourtClub': 'MUSCU FITNESS CAHORS'</t>
  </si>
  <si>
    <t xml:space="preserve"> 'url': '/pratiquer/ou-pratiquer/ou-pratiquer-fiche-club/15460936-muscu-fitness-cahors'}</t>
  </si>
  <si>
    <t>{'id': 259</t>
  </si>
  <si>
    <t xml:space="preserve"> 'nom': 'Stade Klebert Picard'</t>
  </si>
  <si>
    <t xml:space="preserve"> 'adresse1': 'RUE ROLAND GARROS'</t>
  </si>
  <si>
    <t xml:space="preserve"> 'codepostal': '97430'</t>
  </si>
  <si>
    <t xml:space="preserve"> 'ville': 'LE TAMPON'</t>
  </si>
  <si>
    <t xml:space="preserve"> 'tel': '0692756941'</t>
  </si>
  <si>
    <t xml:space="preserve"> 'lat': '-21.272422200000001'</t>
  </si>
  <si>
    <t xml:space="preserve"> 'lng': '55.521885275497226'</t>
  </si>
  <si>
    <t xml:space="preserve"> 'nomClub': 'CH DU TAMPON'</t>
  </si>
  <si>
    <t xml:space="preserve"> 'nomCourtClub': 'CH DU TAMPON'</t>
  </si>
  <si>
    <t xml:space="preserve"> 'url': '/pratiquer/ou-pratiquer/ou-pratiquer-fiche-club/25971138-ch-du-tampon'}</t>
  </si>
  <si>
    <t>{'id': 263</t>
  </si>
  <si>
    <t xml:space="preserve"> 'nom': 'BLANC MESNIL SPORT HALTEROPHILIE MUSCULATION'</t>
  </si>
  <si>
    <t xml:space="preserve"> 'adresse1': '3 RUE ROBERT PLANQUETTE'</t>
  </si>
  <si>
    <t xml:space="preserve"> 'adresse2': 'CHALET DU STADE BOGHOSSIAN'</t>
  </si>
  <si>
    <t xml:space="preserve"> 'codepostal': '93150'</t>
  </si>
  <si>
    <t xml:space="preserve"> 'ville': 'LE BLANC-MESNIL'</t>
  </si>
  <si>
    <t xml:space="preserve"> 'tel': '06.27.19.24.25'</t>
  </si>
  <si>
    <t xml:space="preserve"> 'lat': '48.936875999999998'</t>
  </si>
  <si>
    <t xml:space="preserve"> 'lng': '2.466378000000000'</t>
  </si>
  <si>
    <t xml:space="preserve"> 'nomClub': 'BLANC MESNIL SPORT HM'</t>
  </si>
  <si>
    <t xml:space="preserve"> 'nomCourtClub': 'BLANC MESNIL SPORT HM'</t>
  </si>
  <si>
    <t xml:space="preserve"> 'url': '/pratiquer/ou-pratiquer/ou-pratiquer-fiche-club/21931026-blanc-mesnil-sport-hm'}</t>
  </si>
  <si>
    <t>{'id': 264</t>
  </si>
  <si>
    <t xml:space="preserve"> 'nom': 'Gymnase Auguste Delaune'</t>
  </si>
  <si>
    <t xml:space="preserve"> 'adresse1': 'RUE CHARLES LACOSTE'</t>
  </si>
  <si>
    <t xml:space="preserve"> 'codepostal': '92230'</t>
  </si>
  <si>
    <t xml:space="preserve"> 'ville': 'GENNEVILLIERS'</t>
  </si>
  <si>
    <t xml:space="preserve"> 'tel': '06.67.46.00.91'</t>
  </si>
  <si>
    <t xml:space="preserve"> 'lat': '48.930734000000001'</t>
  </si>
  <si>
    <t xml:space="preserve"> 'lng': '2.302706000000000'</t>
  </si>
  <si>
    <t xml:space="preserve"> 'nomClub': 'CSM GENNEVILLOIS HALTEROPHILIE'</t>
  </si>
  <si>
    <t xml:space="preserve"> 'nomCourtClub': 'CSM GENNEVILLOIS HALTEROPHILIE'</t>
  </si>
  <si>
    <t xml:space="preserve"> 'url': '/pratiquer/ou-pratiquer/ou-pratiquer-fiche-club/21920198-csm-gennevillois-halterophilie'}</t>
  </si>
  <si>
    <t>{'id': 266</t>
  </si>
  <si>
    <t xml:space="preserve"> 'nom': 'L’Atelier CrossFit'</t>
  </si>
  <si>
    <t xml:space="preserve"> 'adresse1': '8 IMPASSE FRANÇOIS ARAGO'</t>
  </si>
  <si>
    <t xml:space="preserve"> 'codepostal': '81100'</t>
  </si>
  <si>
    <t xml:space="preserve"> 'ville': 'BOISSEZON'</t>
  </si>
  <si>
    <t xml:space="preserve"> 'tel': '0983915781'</t>
  </si>
  <si>
    <t xml:space="preserve"> 'lat': '43.588352321682322'</t>
  </si>
  <si>
    <t xml:space="preserve"> 'lng': '2.214646750166378'</t>
  </si>
  <si>
    <t xml:space="preserve"> 'nomClub': 'CASTRES HALTERO CLUB'</t>
  </si>
  <si>
    <t xml:space="preserve"> 'nomCourtClub': 'CASTRES HALTERO CLUB'</t>
  </si>
  <si>
    <t xml:space="preserve"> 'url': '/pratiquer/ou-pratiquer/ou-pratiquer-fiche-club/339860028-castres-haltero-club'}</t>
  </si>
  <si>
    <t>{'id': 268</t>
  </si>
  <si>
    <t xml:space="preserve"> 'nom': 'L-R CrossFit'</t>
  </si>
  <si>
    <t xml:space="preserve"> 'adresse1': '26 BIS AVENUE DE LA FEUILLADE'</t>
  </si>
  <si>
    <t xml:space="preserve"> 'codepostal': '26200'</t>
  </si>
  <si>
    <t xml:space="preserve"> 'ville': 'MONTÉLIMAR'</t>
  </si>
  <si>
    <t xml:space="preserve"> 'tel': '0678654593'</t>
  </si>
  <si>
    <t xml:space="preserve"> 'lat': '44.575888999999997'</t>
  </si>
  <si>
    <t xml:space="preserve"> 'lng': '4.749025000000000'</t>
  </si>
  <si>
    <t xml:space="preserve"> 'nomClub': 'HALTERO CLUB MONTILIEN'</t>
  </si>
  <si>
    <t xml:space="preserve"> 'nomCourtClub': 'HALTERO CLUB MONTILIEN'</t>
  </si>
  <si>
    <t xml:space="preserve"> 'url': '/pratiquer/ou-pratiquer/ou-pratiquer-fiche-club/01260006-haltero-club-montilien'}</t>
  </si>
  <si>
    <t>{'id': 269</t>
  </si>
  <si>
    <t xml:space="preserve"> 'nom': 'nicolas cayron'</t>
  </si>
  <si>
    <t xml:space="preserve"> 'adresse1': '2 RUE LADISLAS BARA'</t>
  </si>
  <si>
    <t xml:space="preserve"> 'adresse2': '2 RUE LADISLAS BARA'</t>
  </si>
  <si>
    <t xml:space="preserve"> 'codepostal': '78490'</t>
  </si>
  <si>
    <t xml:space="preserve"> 'ville': 'BAZOCHES-SUR-GUYONNE'</t>
  </si>
  <si>
    <t xml:space="preserve"> 'tel': '0633552909'</t>
  </si>
  <si>
    <t xml:space="preserve"> 'lat': '48.804185500000003'</t>
  </si>
  <si>
    <t xml:space="preserve"> 'lng': '1.818056400000000'</t>
  </si>
  <si>
    <t xml:space="preserve"> 'nomClub': 'LES REQUINS SCY78'</t>
  </si>
  <si>
    <t xml:space="preserve"> 'nomCourtClub': 'LES REQUINS SCY78'</t>
  </si>
  <si>
    <t xml:space="preserve"> 'url': '/pratiquer/ou-pratiquer/ou-pratiquer-fiche-club/339860059-les-requins-scy78'}</t>
  </si>
  <si>
    <t>{'id': 271</t>
  </si>
  <si>
    <t xml:space="preserve"> 'nom': 'CROSSFIT EVREUX'</t>
  </si>
  <si>
    <t xml:space="preserve"> 'adresse1': '251 RUE NUNGESSER ET COLI'</t>
  </si>
  <si>
    <t xml:space="preserve"> 'codepostal': '27930'</t>
  </si>
  <si>
    <t xml:space="preserve"> 'ville': 'GUICHAINVILLE'</t>
  </si>
  <si>
    <t xml:space="preserve"> 'tel': '0778191528'</t>
  </si>
  <si>
    <t xml:space="preserve"> 'lat': '49.001654000000002'</t>
  </si>
  <si>
    <t xml:space="preserve"> 'lng': '1.182591000000000'</t>
  </si>
  <si>
    <t xml:space="preserve"> 'nomClub': 'EVREUX FITNESS CLUB'</t>
  </si>
  <si>
    <t xml:space="preserve"> 'nomCourtClub': 'EFC'</t>
  </si>
  <si>
    <t xml:space="preserve"> 'url': '/pratiquer/ou-pratiquer/ou-pratiquer-fiche-club/339860060-evreux-fitness-club'}</t>
  </si>
  <si>
    <t>{'id': 272</t>
  </si>
  <si>
    <t xml:space="preserve"> 'nom': 'VERTUOSE CLUB'</t>
  </si>
  <si>
    <t xml:space="preserve"> 'lat': '45.776586999999999'</t>
  </si>
  <si>
    <t xml:space="preserve"> 'lng': '4.797707000000000'</t>
  </si>
  <si>
    <t>{'id': 260</t>
  </si>
  <si>
    <t xml:space="preserve"> 'nom': 'SAINT GERVAIS SUR COUCHES'</t>
  </si>
  <si>
    <t xml:space="preserve"> 'adresse1': ' 29</t>
  </si>
  <si>
    <t>CHEMIN DE CHAZEAU'</t>
  </si>
  <si>
    <t xml:space="preserve"> 'codepostal': '71490'</t>
  </si>
  <si>
    <t xml:space="preserve"> 'ville': 'SAINT-GERVAIS-SUR-COUCHES'</t>
  </si>
  <si>
    <t xml:space="preserve"> 'lat': '100000.000000000000000'</t>
  </si>
  <si>
    <t xml:space="preserve"> 'lng': '100000.000000000000000'</t>
  </si>
  <si>
    <t xml:space="preserve"> 'nomClub': 'ASO DU MONT DE REME'</t>
  </si>
  <si>
    <t xml:space="preserve"> 'nomCourtClub': 'ASO DU MONT DE REME'</t>
  </si>
  <si>
    <t xml:space="preserve"> 'url': '/pratiquer/ou-pratiquer/ou-pratiquer-fiche-club/05711120-aso-du-mont-de-reme'}</t>
  </si>
  <si>
    <t>{'id': 273</t>
  </si>
  <si>
    <t xml:space="preserve"> 'nom': 'club halterophilie musculation'</t>
  </si>
  <si>
    <t xml:space="preserve"> 'adresse1': 'AVENUE DU GÉNÉRAL DE GAULLE'</t>
  </si>
  <si>
    <t xml:space="preserve"> 'codepostal': '26700'</t>
  </si>
  <si>
    <t xml:space="preserve"> 'ville': 'LA GARDE-ADHÉMAR'</t>
  </si>
  <si>
    <t xml:space="preserve"> 'tel': '04.75.04.23.12'</t>
  </si>
  <si>
    <t xml:space="preserve"> 'lat': '44.368784099999999'</t>
  </si>
  <si>
    <t xml:space="preserve"> 'lng': '4.696162056904118'</t>
  </si>
  <si>
    <t xml:space="preserve"> 'nomClub': 'HC PIERRELATTE'</t>
  </si>
  <si>
    <t xml:space="preserve"> 'nomCourtClub': 'HC PIERRELATTE'</t>
  </si>
  <si>
    <t xml:space="preserve"> 'url': '/pratiquer/ou-pratiquer/ou-pratiquer-fiche-club/22260137-hc-pierrelatte'}</t>
  </si>
  <si>
    <t>{'id': 274</t>
  </si>
  <si>
    <t xml:space="preserve"> 'nom': 'Crossfit Blackpearl'</t>
  </si>
  <si>
    <t xml:space="preserve"> 'adresse1': '953 AVENUE DE BORDEAUX'</t>
  </si>
  <si>
    <t xml:space="preserve"> 'codepostal': '47300'</t>
  </si>
  <si>
    <t xml:space="preserve"> 'ville': 'BIAS'</t>
  </si>
  <si>
    <t xml:space="preserve"> 'lat': '44.402955214676744'</t>
  </si>
  <si>
    <t xml:space="preserve"> 'lng': '0.678883194923401'</t>
  </si>
  <si>
    <t xml:space="preserve"> 'nomClub': 'CROSSFIT BLACK PEARL'</t>
  </si>
  <si>
    <t xml:space="preserve"> 'nomCourtClub': 'CROSSFIT BLACK PEARL'</t>
  </si>
  <si>
    <t xml:space="preserve"> 'url': '/pratiquer/ou-pratiquer/ou-pratiquer-fiche-club/14470003-crossfit-black-pearl'}</t>
  </si>
  <si>
    <t>{'id': 275</t>
  </si>
  <si>
    <t xml:space="preserve"> 'nom': 'Crossfit CP95'</t>
  </si>
  <si>
    <t xml:space="preserve"> 'adresse1': '9 CHAUSSEE JULES CESAR'</t>
  </si>
  <si>
    <t xml:space="preserve"> 'codepostal': '95520'</t>
  </si>
  <si>
    <t xml:space="preserve"> 'ville': 'OSNY'</t>
  </si>
  <si>
    <t xml:space="preserve"> 'tel': '0769648102'</t>
  </si>
  <si>
    <t xml:space="preserve"> 'lat': '49.051136000000000'</t>
  </si>
  <si>
    <t xml:space="preserve"> 'lng': '2.068966000000000'</t>
  </si>
  <si>
    <t xml:space="preserve"> 'nomClub': 'HFC CP95 CERGY'</t>
  </si>
  <si>
    <t xml:space="preserve"> 'nomCourtClub': 'HFC CP95 CERGY'</t>
  </si>
  <si>
    <t xml:space="preserve"> 'url': '/pratiquer/ou-pratiquer/ou-pratiquer-fiche-club/21951277-hfc-cp95-cergy'}</t>
  </si>
  <si>
    <t>{'id': 278</t>
  </si>
  <si>
    <t xml:space="preserve"> 'nom': 'TROUDET'</t>
  </si>
  <si>
    <t xml:space="preserve"> 'adresse1': '29 RUE DE FLORANGES'</t>
  </si>
  <si>
    <t xml:space="preserve"> 'codepostal': '56330'</t>
  </si>
  <si>
    <t xml:space="preserve"> 'ville': 'PLUVIGNER'</t>
  </si>
  <si>
    <t xml:space="preserve"> 'lat': '47.805495000000001'</t>
  </si>
  <si>
    <t xml:space="preserve"> 'lng': '-2.939101000000000'</t>
  </si>
  <si>
    <t xml:space="preserve"> 'nomClub': 'BHM2S'</t>
  </si>
  <si>
    <t xml:space="preserve"> 'nomCourtClub': 'BHM2S'</t>
  </si>
  <si>
    <t xml:space="preserve"> 'url': '/pratiquer/ou-pratiquer/ou-pratiquer-fiche-club/03560003-bhm2s'}</t>
  </si>
  <si>
    <t>{'id': 279</t>
  </si>
  <si>
    <t xml:space="preserve"> 'nom': 'salle vtf85'</t>
  </si>
  <si>
    <t xml:space="preserve"> 'adresse1': 'ALLEE DE L RUE DU 19 MARS 1962'</t>
  </si>
  <si>
    <t xml:space="preserve"> 'codepostal': '85370'</t>
  </si>
  <si>
    <t xml:space="preserve"> 'ville': 'NALLIERS'</t>
  </si>
  <si>
    <t xml:space="preserve"> 'tel': '0674287108'</t>
  </si>
  <si>
    <t xml:space="preserve"> 'lat': '46.440136000000003'</t>
  </si>
  <si>
    <t xml:space="preserve"> 'lng': '-0.979763000000000'</t>
  </si>
  <si>
    <t xml:space="preserve"> 'nomClub': 'VIS TA FORME 85'</t>
  </si>
  <si>
    <t xml:space="preserve"> 'nomCourtClub': 'VIS TA FORME 85'</t>
  </si>
  <si>
    <t xml:space="preserve"> 'url': '/pratiquer/ou-pratiquer/ou-pratiquer-fiche-club/17851270-vis-ta-forme-85'}</t>
  </si>
  <si>
    <t>{'id': 280</t>
  </si>
  <si>
    <t xml:space="preserve"> 'nom': 'CLUB HALTEROFIT'</t>
  </si>
  <si>
    <t xml:space="preserve"> 'adresse1': ' 14 RUE DES ROSES'</t>
  </si>
  <si>
    <t xml:space="preserve"> 'codepostal': '77177'</t>
  </si>
  <si>
    <t xml:space="preserve"> 'ville': 'BROU-SUR-CHANTEREINE'</t>
  </si>
  <si>
    <t xml:space="preserve"> 'tel': '0684995185'</t>
  </si>
  <si>
    <t xml:space="preserve"> 'lat': '48.885015000000003'</t>
  </si>
  <si>
    <t xml:space="preserve"> 'lng': '2.630840000000000'</t>
  </si>
  <si>
    <t xml:space="preserve"> 'nomClub': 'CLUB HALTEROFIT'</t>
  </si>
  <si>
    <t xml:space="preserve"> 'nomCourtClub': 'HALTEROFIT'</t>
  </si>
  <si>
    <t xml:space="preserve"> 'url': '/pratiquer/ou-pratiquer/ou-pratiquer-fiche-club/098980115-club-halterofit'}</t>
  </si>
  <si>
    <t>{'id': 283</t>
  </si>
  <si>
    <t xml:space="preserve"> 'nom': 'GORILLA LIFTING CLUB - CF TITUS'</t>
  </si>
  <si>
    <t xml:space="preserve"> 'adresse1': ' 50 BOULEVARD DES NATIONS'</t>
  </si>
  <si>
    <t xml:space="preserve"> 'codepostal': '14540'</t>
  </si>
  <si>
    <t xml:space="preserve"> 'ville': 'SOLIERS'</t>
  </si>
  <si>
    <t xml:space="preserve"> 'tel': '07.87.06.23.80'</t>
  </si>
  <si>
    <t xml:space="preserve"> 'lat': '49.139158999999999'</t>
  </si>
  <si>
    <t xml:space="preserve"> 'lng': '-0.306802000000000'</t>
  </si>
  <si>
    <t xml:space="preserve"> 'nomClub': 'GORILLA LIFTING CLUB'</t>
  </si>
  <si>
    <t xml:space="preserve"> 'nomCourtClub': 'GORILLA LIFTING CLUB'</t>
  </si>
  <si>
    <t xml:space="preserve"> 'url': '/pratiquer/ou-pratiquer/ou-pratiquer-fiche-club/12140003-gorilla-lifting-club'}</t>
  </si>
  <si>
    <t>{'id': 286</t>
  </si>
  <si>
    <t xml:space="preserve"> 'nom': 'Benjamin hennequin'</t>
  </si>
  <si>
    <t xml:space="preserve"> 'adresse1': '145 AVENUE AVENUE BLAISE PASCAL'</t>
  </si>
  <si>
    <t xml:space="preserve"> 'tel': '0648962631'</t>
  </si>
  <si>
    <t xml:space="preserve"> 'lat': '44.897485823735337'</t>
  </si>
  <si>
    <t xml:space="preserve"> 'lng': '-0.782746354646256'</t>
  </si>
  <si>
    <t xml:space="preserve"> 'nomClub': 'OLYMPE ATHLÉTIQUE'</t>
  </si>
  <si>
    <t xml:space="preserve"> 'nomCourtClub': 'OLYMPE ATHLÉTIQUE'</t>
  </si>
  <si>
    <t xml:space="preserve"> 'url': '/pratiquer/ou-pratiquer/ou-pratiquer-fiche-club/339860011-olympe-athletique'}</t>
  </si>
  <si>
    <t>{'id': 287</t>
  </si>
  <si>
    <t xml:space="preserve"> 'nom': 'GYMNASE DE VERSON'</t>
  </si>
  <si>
    <t xml:space="preserve"> 'adresse1': 'ALLÉE JACQUES PRÉVERT'</t>
  </si>
  <si>
    <t xml:space="preserve"> 'adresse2': 'GYMNASE '</t>
  </si>
  <si>
    <t xml:space="preserve"> 'codepostal': '14790'</t>
  </si>
  <si>
    <t xml:space="preserve"> 'ville': 'FONTAINE-ÉTOUPEFOUR'</t>
  </si>
  <si>
    <t xml:space="preserve"> 'tel': '07.68.37.79.40'</t>
  </si>
  <si>
    <t xml:space="preserve"> 'lat': '49.156663000000002'</t>
  </si>
  <si>
    <t xml:space="preserve"> 'lng': '-0.457432437739774'</t>
  </si>
  <si>
    <t xml:space="preserve"> 'nomClub': 'VERSON HM'</t>
  </si>
  <si>
    <t xml:space="preserve"> 'nomCourtClub': 'VERSON HM'</t>
  </si>
  <si>
    <t xml:space="preserve"> 'url': '/pratiquer/ou-pratiquer/ou-pratiquer-fiche-club/04140306-verson-hm'}</t>
  </si>
  <si>
    <t>{'id': 288</t>
  </si>
  <si>
    <t xml:space="preserve"> 'nom': 'crossfit ascension'</t>
  </si>
  <si>
    <t xml:space="preserve"> 'adresse1': '290 AVENUE DES CHASSÉENS'</t>
  </si>
  <si>
    <t xml:space="preserve"> 'codepostal': '13120'</t>
  </si>
  <si>
    <t xml:space="preserve"> 'ville': 'GARDANNE'</t>
  </si>
  <si>
    <t xml:space="preserve"> 'tel': '0663639278'</t>
  </si>
  <si>
    <t xml:space="preserve"> 'lat': '43.450042199999999'</t>
  </si>
  <si>
    <t xml:space="preserve"> 'lng': '5.455144500000000'</t>
  </si>
  <si>
    <t xml:space="preserve"> 'nomClub': 'ASCENSION HALTERO CLUB'</t>
  </si>
  <si>
    <t xml:space="preserve"> 'nomCourtClub': 'AHC'</t>
  </si>
  <si>
    <t xml:space="preserve"> 'url': '/pratiquer/ou-pratiquer/ou-pratiquer-fiche-club/339860050-ascension-haltero-club'}</t>
  </si>
  <si>
    <t>{'id': 289</t>
  </si>
  <si>
    <t xml:space="preserve"> 'nom': 'Pendragon'</t>
  </si>
  <si>
    <t xml:space="preserve"> 'adresse1': "6 CHEMIN D'ARMANCOURT"</t>
  </si>
  <si>
    <t xml:space="preserve"> 'adresse2': 'CROSSFIT PENDRAGON '</t>
  </si>
  <si>
    <t xml:space="preserve"> 'codepostal': '60200'</t>
  </si>
  <si>
    <t xml:space="preserve"> 'ville': 'COMPIÈGNE'</t>
  </si>
  <si>
    <t xml:space="preserve"> 'tel': '0769708995'</t>
  </si>
  <si>
    <t xml:space="preserve"> 'lat': '49.387526999999999'</t>
  </si>
  <si>
    <t xml:space="preserve"> 'lng': '2.792966000000000'</t>
  </si>
  <si>
    <t xml:space="preserve"> 'nomClub': 'CYMRU'</t>
  </si>
  <si>
    <t xml:space="preserve"> 'nomCourtClub': 'CYMRU'</t>
  </si>
  <si>
    <t xml:space="preserve"> 'url': '/pratiquer/ou-pratiquer/ou-pratiquer-fiche-club/339860027-cymru'}</t>
  </si>
  <si>
    <t>{'id': 290</t>
  </si>
  <si>
    <t xml:space="preserve"> 'nom': 'SALLE BACHELET'</t>
  </si>
  <si>
    <t xml:space="preserve"> 'adresse1': 'QUAI SOUBEYRAN'</t>
  </si>
  <si>
    <t xml:space="preserve"> 'codepostal': '26400'</t>
  </si>
  <si>
    <t xml:space="preserve"> 'ville': 'CREST'</t>
  </si>
  <si>
    <t xml:space="preserve"> 'tel': '06.29.18.28.11'</t>
  </si>
  <si>
    <t xml:space="preserve"> 'lat': '44.723952650000001'</t>
  </si>
  <si>
    <t xml:space="preserve"> 'lng': '5.025488050000000'</t>
  </si>
  <si>
    <t xml:space="preserve"> 'nomClub': 'US CREST HALTEROPHILIE'</t>
  </si>
  <si>
    <t xml:space="preserve"> 'nomCourtClub': 'US CREST HALTEROPHILIE'</t>
  </si>
  <si>
    <t xml:space="preserve"> 'url': '/pratiquer/ou-pratiquer/ou-pratiquer-fiche-club/22260134-us-crest-halterophilie'}</t>
  </si>
  <si>
    <t>{'id': 292</t>
  </si>
  <si>
    <t xml:space="preserve"> 'nom': 'LIONS BARBELL CLUB'</t>
  </si>
  <si>
    <t xml:space="preserve"> 'adresse1': 'ALLÉE DES FUSTIERS'</t>
  </si>
  <si>
    <t xml:space="preserve"> 'adresse2': 'BUNKS CROSSFIT'</t>
  </si>
  <si>
    <t xml:space="preserve"> 'tel': '0766737991'</t>
  </si>
  <si>
    <t xml:space="preserve"> 'lat': '43.513705000000002'</t>
  </si>
  <si>
    <t xml:space="preserve"> 'lng': '4.962615000000000'</t>
  </si>
  <si>
    <t xml:space="preserve"> 'nomClub': 'LIONS BARBELL CLUB'</t>
  </si>
  <si>
    <t xml:space="preserve"> 'nomCourtClub': 'LIONS'</t>
  </si>
  <si>
    <t xml:space="preserve"> 'url': '/pratiquer/ou-pratiquer/ou-pratiquer-fiche-club/339860012-lions-barbell-club'}</t>
  </si>
  <si>
    <t>{'id': 293</t>
  </si>
  <si>
    <t xml:space="preserve"> 'nom': 'complexe Jacques Marinelli'</t>
  </si>
  <si>
    <t xml:space="preserve"> 'adresse1': 'RUE DORÉ'</t>
  </si>
  <si>
    <t xml:space="preserve"> 'codepostal': '77000'</t>
  </si>
  <si>
    <t xml:space="preserve"> 'ville': 'LIVRY-SUR-SEINE'</t>
  </si>
  <si>
    <t xml:space="preserve"> 'lat': '48.530163232625867'</t>
  </si>
  <si>
    <t xml:space="preserve"> 'lng': '2.662932882730558'</t>
  </si>
  <si>
    <t xml:space="preserve"> 'nomClub': 'US MELUN'</t>
  </si>
  <si>
    <t xml:space="preserve"> 'nomCourtClub': 'US MELUN'</t>
  </si>
  <si>
    <t xml:space="preserve"> 'url': '/pratiquer/ou-pratiquer/ou-pratiquer-fiche-club/21770175-us-melun'}</t>
  </si>
  <si>
    <t>{'id': 294</t>
  </si>
  <si>
    <t xml:space="preserve"> 'nom': 'Crossfit ONYX 1326'</t>
  </si>
  <si>
    <t xml:space="preserve"> 'adresse1': '300 RUE DES COUTELIERS'</t>
  </si>
  <si>
    <t xml:space="preserve"> 'codepostal': '05100'</t>
  </si>
  <si>
    <t xml:space="preserve"> 'ville': 'BRIANÇON'</t>
  </si>
  <si>
    <t xml:space="preserve"> 'tel': '0767024406'</t>
  </si>
  <si>
    <t xml:space="preserve"> 'lat': '44.885495349999999'</t>
  </si>
  <si>
    <t xml:space="preserve"> 'lng': '6.626889845522679'</t>
  </si>
  <si>
    <t xml:space="preserve"> 'nomClub': 'AS BRIANCON LIFT AND DROP'</t>
  </si>
  <si>
    <t xml:space="preserve"> 'nomCourtClub': 'AS BRIANCON LIFT AND DROP'</t>
  </si>
  <si>
    <t xml:space="preserve"> 'url': '/pratiquer/ou-pratiquer/ou-pratiquer-fiche-club/339860061-as-briancon-lift-and-drop'}</t>
  </si>
  <si>
    <t>{'id': 296</t>
  </si>
  <si>
    <t xml:space="preserve"> 'nom': 'OMNIUM SPORTIF CLUB STEPHANOIS'</t>
  </si>
  <si>
    <t xml:space="preserve"> 'adresse1': '4 RUE ANDRÉ MALRAUX'</t>
  </si>
  <si>
    <t xml:space="preserve"> 'codepostal': '42000'</t>
  </si>
  <si>
    <t xml:space="preserve"> 'ville': 'SAINT-ÉTIENNE'</t>
  </si>
  <si>
    <t xml:space="preserve"> 'tel': '04.77.33.16.03'</t>
  </si>
  <si>
    <t xml:space="preserve"> 'lat': '45.439703799999997'</t>
  </si>
  <si>
    <t xml:space="preserve"> 'lng': '4.385041300000000'</t>
  </si>
  <si>
    <t xml:space="preserve"> 'nomClub': 'OSC STEPHANOIS'</t>
  </si>
  <si>
    <t xml:space="preserve"> 'nomCourtClub': 'OSC STEPHANOIS'</t>
  </si>
  <si>
    <t xml:space="preserve"> 'url': '/pratiquer/ou-pratiquer/ou-pratiquer-fiche-club/22420287-osc-stephanois'}</t>
  </si>
  <si>
    <t>{'id': 298</t>
  </si>
  <si>
    <t xml:space="preserve"> 'nom': 'Salle de Musculation - Haltérophilie'</t>
  </si>
  <si>
    <t xml:space="preserve"> 'adresse1': ' RÉSIDENCE LA FRÉZELIERE'</t>
  </si>
  <si>
    <t xml:space="preserve"> 'codepostal': '62140'</t>
  </si>
  <si>
    <t xml:space="preserve"> 'ville': 'HESDIN'</t>
  </si>
  <si>
    <t xml:space="preserve"> 'tel': '0663366880'</t>
  </si>
  <si>
    <t xml:space="preserve"> 'lat': '50.375299755511698'</t>
  </si>
  <si>
    <t xml:space="preserve"> 'lng': '2.041778215244067'</t>
  </si>
  <si>
    <t xml:space="preserve"> 'nomClub': 'OHM FITNESS HESDIN'</t>
  </si>
  <si>
    <t xml:space="preserve"> 'nomCourtClub': 'OHM FITNESS'</t>
  </si>
  <si>
    <t xml:space="preserve"> 'url': '/pratiquer/ou-pratiquer/ou-pratiquer-fiche-club/339860062-ohm-fitness-hesdin'}</t>
  </si>
  <si>
    <t>{'id': 299</t>
  </si>
  <si>
    <t xml:space="preserve"> 'nom': 'Barbell Union'</t>
  </si>
  <si>
    <t xml:space="preserve"> 'adresse1': '98 AVENUE LÉON BLUM'</t>
  </si>
  <si>
    <t xml:space="preserve"> 'codepostal': '38100'</t>
  </si>
  <si>
    <t xml:space="preserve"> 'ville': 'GRENOBLE'</t>
  </si>
  <si>
    <t xml:space="preserve"> 'tel': '06.87.93.72.41'</t>
  </si>
  <si>
    <t xml:space="preserve"> 'lat': '45.162883999999998'</t>
  </si>
  <si>
    <t xml:space="preserve"> 'lng': '5.716159000000000'</t>
  </si>
  <si>
    <t xml:space="preserve"> 'nomClub': 'BARBELL UNION'</t>
  </si>
  <si>
    <t xml:space="preserve"> 'nomCourtClub': 'BARBELL UNION'</t>
  </si>
  <si>
    <t xml:space="preserve"> 'url': '/pratiquer/ou-pratiquer/ou-pratiquer-fiche-club/01380001-barbell-union'}</t>
  </si>
  <si>
    <t>{'id': 300</t>
  </si>
  <si>
    <t xml:space="preserve"> 'nom': 'Espace Boris Vian'</t>
  </si>
  <si>
    <t xml:space="preserve"> 'adresse1': 'ESPACE BORIS VIAN 25 RUE DES FAUCHEROUX'</t>
  </si>
  <si>
    <t xml:space="preserve"> 'codepostal': '03100'</t>
  </si>
  <si>
    <t xml:space="preserve"> 'ville': 'MONTLUÇON'</t>
  </si>
  <si>
    <t xml:space="preserve"> 'tel': '0617422122'</t>
  </si>
  <si>
    <t xml:space="preserve"> 'lat': '46.329999999999998'</t>
  </si>
  <si>
    <t xml:space="preserve"> 'lng': '2.600000000000000'</t>
  </si>
  <si>
    <t xml:space="preserve"> 'nomClub': 'IS MONTLUCONNAIS'</t>
  </si>
  <si>
    <t xml:space="preserve"> 'nomCourtClub': 'IS MONTLUCONNAIS'</t>
  </si>
  <si>
    <t xml:space="preserve"> 'url': '/pratiquer/ou-pratiquer/ou-pratiquer-fiche-club/03030015-is-montluconnais'}</t>
  </si>
  <si>
    <t>{'id': 302</t>
  </si>
  <si>
    <t xml:space="preserve"> 'nom': 'BEN ABDELKADER'</t>
  </si>
  <si>
    <t xml:space="preserve"> 'adresse1': '2 '</t>
  </si>
  <si>
    <t xml:space="preserve"> 'adresse2': 'EUROPEEN 2 '</t>
  </si>
  <si>
    <t xml:space="preserve"> 'codepostal': '36120'</t>
  </si>
  <si>
    <t xml:space="preserve"> 'ville': 'AMBRAULT'</t>
  </si>
  <si>
    <t xml:space="preserve"> 'tel': '0618080608'</t>
  </si>
  <si>
    <t xml:space="preserve"> 'lat': '46.756324589260075'</t>
  </si>
  <si>
    <t xml:space="preserve"> 'lng': '2.065427857810458'</t>
  </si>
  <si>
    <t xml:space="preserve"> 'nomClub': 'APSAD 93 BOBIGNY'</t>
  </si>
  <si>
    <t xml:space="preserve"> 'nomCourtClub': 'APSAD 93 BOBIGNY'</t>
  </si>
  <si>
    <t xml:space="preserve"> 'url': '/pratiquer/ou-pratiquer/ou-pratiquer-fiche-club/21931143-apsad-93-bobigny'}</t>
  </si>
  <si>
    <t>{'id': 303</t>
  </si>
  <si>
    <t xml:space="preserve"> 'nom': 'crossfit callisto'</t>
  </si>
  <si>
    <t xml:space="preserve"> 'adresse1': ''</t>
  </si>
  <si>
    <t xml:space="preserve"> 'codepostal': '56620'</t>
  </si>
  <si>
    <t xml:space="preserve"> 'ville': 'CLÉGUER'</t>
  </si>
  <si>
    <t xml:space="preserve"> 'lat': '47.865132000000003'</t>
  </si>
  <si>
    <t xml:space="preserve"> 'lng': '-3.364357000000000'</t>
  </si>
  <si>
    <t xml:space="preserve"> 'nomClub': 'CROSSFIT CALLISTO'</t>
  </si>
  <si>
    <t xml:space="preserve"> 'nomCourtClub': 'CROSSFIT CALLISTO'</t>
  </si>
  <si>
    <t xml:space="preserve"> 'url': '/pratiquer/ou-pratiquer/ou-pratiquer-fiche-club/339860063-crossfit-callisto'}</t>
  </si>
  <si>
    <t>{'id': 307</t>
  </si>
  <si>
    <t xml:space="preserve"> 'nom': 'Zakrzewski'</t>
  </si>
  <si>
    <t xml:space="preserve"> 'adresse1': 'IMPASSE PARADOU'</t>
  </si>
  <si>
    <t xml:space="preserve"> 'codepostal': '13009'</t>
  </si>
  <si>
    <t xml:space="preserve"> 'tel': '06.24.67.12.25'</t>
  </si>
  <si>
    <t xml:space="preserve"> 'lat': '43.241928230935507'</t>
  </si>
  <si>
    <t xml:space="preserve"> 'lng': '5.398154794527595'</t>
  </si>
  <si>
    <t xml:space="preserve"> 'nomClub': 'MASSILIA BARBELL CLUB'</t>
  </si>
  <si>
    <t xml:space="preserve"> 'nomCourtClub': 'MASSILIA BARBELL CLUB'</t>
  </si>
  <si>
    <t xml:space="preserve"> 'url': '/pratiquer/ou-pratiquer/ou-pratiquer-fiche-club/20131266-massilia-barbell-club'}</t>
  </si>
  <si>
    <t>{'id': 308</t>
  </si>
  <si>
    <t xml:space="preserve"> 'nom': 'PHYSIQUE CLUB LEDONIEN'</t>
  </si>
  <si>
    <t xml:space="preserve"> 'adresse1': '15 AVENUE DU STADE'</t>
  </si>
  <si>
    <t xml:space="preserve"> 'adresse2': 'PHYSIQUE CLUB LEDONIEN '</t>
  </si>
  <si>
    <t xml:space="preserve"> 'codepostal': '39000'</t>
  </si>
  <si>
    <t xml:space="preserve"> 'ville': 'LONS-LE-SAUNIER'</t>
  </si>
  <si>
    <t xml:space="preserve"> 'lat': '46.670116999999998'</t>
  </si>
  <si>
    <t xml:space="preserve"> 'lng': '5.562750000000000'</t>
  </si>
  <si>
    <t xml:space="preserve"> 'nomClub': 'PHYSIQUE CLUB LEDONIEN'</t>
  </si>
  <si>
    <t xml:space="preserve"> 'nomCourtClub': 'PCL'</t>
  </si>
  <si>
    <t xml:space="preserve"> 'url': '/pratiquer/ou-pratiquer/ou-pratiquer-fiche-club/339860042-physique-club-ledonien'}</t>
  </si>
  <si>
    <t>{'id': 309</t>
  </si>
  <si>
    <t xml:space="preserve"> 'nom': 'Kintsu CrossFit'</t>
  </si>
  <si>
    <t xml:space="preserve"> 'adresse1': '9  9 RUE DU CAPITAINE DREYFUS'</t>
  </si>
  <si>
    <t xml:space="preserve"> 'codepostal': '68510'</t>
  </si>
  <si>
    <t xml:space="preserve"> 'ville': 'SIERENTZ'</t>
  </si>
  <si>
    <t xml:space="preserve"> 'tel': '0658232747'</t>
  </si>
  <si>
    <t xml:space="preserve"> 'lat': '47.666811000000003'</t>
  </si>
  <si>
    <t xml:space="preserve"> 'lng': '7.438152000000000'</t>
  </si>
  <si>
    <t xml:space="preserve"> 'nomClub': 'KINTSU CROSSFIT'</t>
  </si>
  <si>
    <t xml:space="preserve"> 'nomCourtClub': 'KINTSU CROSSFIT'</t>
  </si>
  <si>
    <t xml:space="preserve"> 'url': '/pratiquer/ou-pratiquer/ou-pratiquer-fiche-club/339860066-kintsu-crossfit'}</t>
  </si>
  <si>
    <t>{'id': 310</t>
  </si>
  <si>
    <t xml:space="preserve"> 'nom': 'Spartebox ( crossfit SBM )'</t>
  </si>
  <si>
    <t xml:space="preserve"> 'adresse1': '66 RUE RUE POUILLY VINZELLE'</t>
  </si>
  <si>
    <t xml:space="preserve"> 'codepostal': '71000'</t>
  </si>
  <si>
    <t xml:space="preserve"> 'ville': 'MÂCON'</t>
  </si>
  <si>
    <t xml:space="preserve"> 'tel': '0671145950'</t>
  </si>
  <si>
    <t xml:space="preserve"> 'lat': '46.281084000000000'</t>
  </si>
  <si>
    <t xml:space="preserve"> 'lng': '4.782058000000000'</t>
  </si>
  <si>
    <t xml:space="preserve"> 'nomClub': 'SPARTE BOX SAS'</t>
  </si>
  <si>
    <t xml:space="preserve"> 'nomCourtClub': 'CROSSFIT SBM'</t>
  </si>
  <si>
    <t xml:space="preserve"> 'url': '/pratiquer/ou-pratiquer/ou-pratiquer-fiche-club/339860065-sparte-box-sas'}</t>
  </si>
  <si>
    <t>{'id': 311</t>
  </si>
  <si>
    <t xml:space="preserve"> 'nom': 'Spartebox'</t>
  </si>
  <si>
    <t>{'id': 312</t>
  </si>
  <si>
    <t xml:space="preserve"> 'nom': 'Saint Exupéry'</t>
  </si>
  <si>
    <t xml:space="preserve"> 'adresse1': '31 AVENUE SAINT-EXUPÉRY'</t>
  </si>
  <si>
    <t xml:space="preserve"> 'adresse2': 'SALLE DU HAUT-LIVRAC (HALTÉROPHILIE FORCE ATHLÉTIQUE)'</t>
  </si>
  <si>
    <t xml:space="preserve"> 'codepostal': '33600'</t>
  </si>
  <si>
    <t xml:space="preserve"> 'ville': 'PESSAC'</t>
  </si>
  <si>
    <t xml:space="preserve"> 'tel': '05.56.36.05.62'</t>
  </si>
  <si>
    <t xml:space="preserve"> 'lat': '44.797000999999995'</t>
  </si>
  <si>
    <t xml:space="preserve"> 'lng': '-0.675159485117812'</t>
  </si>
  <si>
    <t xml:space="preserve"> 'nomClub': 'ASCPA PESSAC'</t>
  </si>
  <si>
    <t xml:space="preserve"> 'nomCourtClub': 'ASCPA PESSAC'</t>
  </si>
  <si>
    <t xml:space="preserve"> 'url': '/pratiquer/ou-pratiquer/ou-pratiquer-fiche-club/02331249-ascpa-pessac'}</t>
  </si>
  <si>
    <t>{'id': 313</t>
  </si>
  <si>
    <t xml:space="preserve"> 'nom': 'Serval Barbell Club'</t>
  </si>
  <si>
    <t xml:space="preserve"> 'adresse1': '15 AVENUE DE LONDRES'</t>
  </si>
  <si>
    <t xml:space="preserve"> 'adresse2': 'ALCAU SAS. CROSSFIT SERVAL'</t>
  </si>
  <si>
    <t xml:space="preserve"> 'codepostal': '13127'</t>
  </si>
  <si>
    <t xml:space="preserve"> 'ville': 'VITROLLES'</t>
  </si>
  <si>
    <t xml:space="preserve"> 'tel': '06.73.78.68.49'</t>
  </si>
  <si>
    <t xml:space="preserve"> 'lat': '43.429233249999996'</t>
  </si>
  <si>
    <t xml:space="preserve"> 'lng': '5.238303730558528'</t>
  </si>
  <si>
    <t xml:space="preserve"> 'nomClub': 'SERVAL BARBELL CLUB'</t>
  </si>
  <si>
    <t xml:space="preserve"> 'nomCourtClub': 'SERVAL BARBELL CLUB'</t>
  </si>
  <si>
    <t xml:space="preserve"> 'url': '/pratiquer/ou-pratiquer/ou-pratiquer-fiche-club/20131270-serval-barbell-club'}</t>
  </si>
  <si>
    <t>{'id': 314</t>
  </si>
  <si>
    <t xml:space="preserve"> 'adresse1': '6 RUE ACHILLE RENÉ BOISNEUF'</t>
  </si>
  <si>
    <t xml:space="preserve"> 'codepostal': '97110'</t>
  </si>
  <si>
    <t xml:space="preserve"> 'ville': 'POINTE-À-PITRE'</t>
  </si>
  <si>
    <t xml:space="preserve"> 'lat': '16.236058000000000'</t>
  </si>
  <si>
    <t xml:space="preserve"> 'lng': '-61.535778999999998'</t>
  </si>
  <si>
    <t>{'id': 318</t>
  </si>
  <si>
    <t xml:space="preserve"> 'nom': 'Salle Pierre Gallien'</t>
  </si>
  <si>
    <t xml:space="preserve"> 'adresse1': '29 RUE LAVOISIER'</t>
  </si>
  <si>
    <t xml:space="preserve"> 'adresse2': 'SALLE POLYVALENTE '</t>
  </si>
  <si>
    <t xml:space="preserve"> 'codepostal': '38490'</t>
  </si>
  <si>
    <t xml:space="preserve"> 'ville': 'SAINT-ANDRÉ-LE-GAZ'</t>
  </si>
  <si>
    <t xml:space="preserve"> 'tel': '0952389425'</t>
  </si>
  <si>
    <t xml:space="preserve"> 'lat': '45.546295999999998'</t>
  </si>
  <si>
    <t xml:space="preserve"> 'lng': '5.534473000000000'</t>
  </si>
  <si>
    <t xml:space="preserve"> 'nomClub': 'HC ST ANDRE LE GAZ'</t>
  </si>
  <si>
    <t xml:space="preserve"> 'nomCourtClub': 'HC ST ANDRE LE GAZ'</t>
  </si>
  <si>
    <t xml:space="preserve"> 'url': '/pratiquer/ou-pratiquer/ou-pratiquer-fiche-club/22380140-hc-st-andre-le-gaz'}</t>
  </si>
  <si>
    <t>{'id': 319</t>
  </si>
  <si>
    <t xml:space="preserve"> 'ville': 'LES ABRETS EN DAUPHINÉ'</t>
  </si>
  <si>
    <t xml:space="preserve"> 'lat': '45.546161400000003'</t>
  </si>
  <si>
    <t xml:space="preserve"> 'lng': '5.535536981023152'</t>
  </si>
  <si>
    <t>{'id': 322</t>
  </si>
  <si>
    <t xml:space="preserve"> 'nom': 'GUILHEM BROCCHI'</t>
  </si>
  <si>
    <t xml:space="preserve"> 'adresse1': '331 AVENUE JULIEN LEFEBVRE'</t>
  </si>
  <si>
    <t xml:space="preserve"> 'tel': '0621074326'</t>
  </si>
  <si>
    <t xml:space="preserve"> 'lat': '43.634095400000000'</t>
  </si>
  <si>
    <t xml:space="preserve"> 'lng': '7.132024100000000'</t>
  </si>
  <si>
    <t xml:space="preserve"> 'nomClub': 'SARL BROBOX'</t>
  </si>
  <si>
    <t xml:space="preserve"> 'nomCourtClub': "BRO'BOX"</t>
  </si>
  <si>
    <t xml:space="preserve"> 'url': '/pratiquer/ou-pratiquer/ou-pratiquer-fiche-club/339860067-sarl-brobox'}</t>
  </si>
  <si>
    <t>{'id': 323</t>
  </si>
  <si>
    <t xml:space="preserve"> 'nom': 'gymnase Marcel Coene avenue Guy Moquet 60160 MONTATAIRE'</t>
  </si>
  <si>
    <t xml:space="preserve"> 'adresse1': '83 SQUARE BERTHE FOUCHÈRE'</t>
  </si>
  <si>
    <t xml:space="preserve"> 'adresse2': '83 RUE JACQUES DUCLOS 83 RUE JACQUES DUCLOS '</t>
  </si>
  <si>
    <t xml:space="preserve"> 'codepostal': '60160'</t>
  </si>
  <si>
    <t xml:space="preserve"> 'ville': 'MONTATAIRE'</t>
  </si>
  <si>
    <t xml:space="preserve"> 'tel': '0625118039'</t>
  </si>
  <si>
    <t xml:space="preserve"> 'lat': '49.255031150000001'</t>
  </si>
  <si>
    <t xml:space="preserve"> 'lng': '2.431034431610897'</t>
  </si>
  <si>
    <t xml:space="preserve"> 'nomClub': 'CHM MONTATAIRIEN'</t>
  </si>
  <si>
    <t xml:space="preserve"> 'nomCourtClub': 'CHM MONTATAIRIEN'</t>
  </si>
  <si>
    <t xml:space="preserve"> 'url': '/pratiquer/ou-pratiquer/ou-pratiquer-fiche-club/08600002-chm-montatairien'}</t>
  </si>
  <si>
    <t>{'id': 324</t>
  </si>
  <si>
    <t xml:space="preserve"> 'nom': 'CACEB'</t>
  </si>
  <si>
    <t xml:space="preserve"> 'adresse1': 'AVENUE MARTIN LUTHER KING'</t>
  </si>
  <si>
    <t xml:space="preserve"> 'adresse2': 'BERGEVIN'</t>
  </si>
  <si>
    <t xml:space="preserve"> 'lat': '16.246724000000000'</t>
  </si>
  <si>
    <t xml:space="preserve"> 'lng': '-61.535235000000000'</t>
  </si>
  <si>
    <t xml:space="preserve"> 'nomClub': 'AHCS POINTOIS'</t>
  </si>
  <si>
    <t xml:space="preserve"> 'nomCourtClub': 'AHCS POINTOIS'</t>
  </si>
  <si>
    <t xml:space="preserve"> 'url': '/pratiquer/ou-pratiquer/ou-pratiquer-fiche-club/269710001-ahcs-pointois'}</t>
  </si>
  <si>
    <t>{'id': 325</t>
  </si>
  <si>
    <t xml:space="preserve"> 'nom': 'Crossfit Beziers'</t>
  </si>
  <si>
    <t xml:space="preserve"> 'adresse1': '5 RUE RENÉ GOMEZ'</t>
  </si>
  <si>
    <t xml:space="preserve"> 'codepostal': '34420'</t>
  </si>
  <si>
    <t xml:space="preserve"> 'ville': 'VILLENEUVE-LÈS-BÉZIERS'</t>
  </si>
  <si>
    <t xml:space="preserve"> 'tel': '06.03.54.44.87'</t>
  </si>
  <si>
    <t xml:space="preserve"> 'lat': '43.330005999999997'</t>
  </si>
  <si>
    <t xml:space="preserve"> 'lng': '3.272726000000000'</t>
  </si>
  <si>
    <t xml:space="preserve"> 'nomClub': 'CROSSFIT BEZIERS'</t>
  </si>
  <si>
    <t xml:space="preserve"> 'nomCourtClub': 'CROSSFIT BEZIERS'</t>
  </si>
  <si>
    <t xml:space="preserve"> 'url': '/pratiquer/ou-pratiquer/ou-pratiquer-fiche-club/12341267-crossfit-beziers'}</t>
  </si>
  <si>
    <t>{'id': 326</t>
  </si>
  <si>
    <t xml:space="preserve"> 'nom': 'ESM'</t>
  </si>
  <si>
    <t xml:space="preserve"> 'adresse1': 'AVENUE DU MARÉCHAL DE LATTRE DE TASSIGNY'</t>
  </si>
  <si>
    <t xml:space="preserve"> 'codepostal': '91300'</t>
  </si>
  <si>
    <t xml:space="preserve"> 'ville': 'MASSY'</t>
  </si>
  <si>
    <t xml:space="preserve"> 'tel': '01.69.20.48.30'</t>
  </si>
  <si>
    <t xml:space="preserve"> 'lat': '48.720429937205495'</t>
  </si>
  <si>
    <t xml:space="preserve"> 'lng': '2.289952530455288'</t>
  </si>
  <si>
    <t xml:space="preserve"> 'nomClub': 'ES MASSY'</t>
  </si>
  <si>
    <t xml:space="preserve"> 'nomCourtClub': 'ES MASSY'</t>
  </si>
  <si>
    <t xml:space="preserve"> 'url': '/pratiquer/ou-pratiquer/ou-pratiquer-fiche-club/21910191-es-massy'}</t>
  </si>
  <si>
    <t>{'id': 327</t>
  </si>
  <si>
    <t xml:space="preserve"> 'nom': 'SALLE VAUBAN'</t>
  </si>
  <si>
    <t xml:space="preserve"> 'adresse1': '56 RUE QUAI DE L’ ILL'</t>
  </si>
  <si>
    <t xml:space="preserve"> 'adresse2': 'MAISON 2'</t>
  </si>
  <si>
    <t xml:space="preserve"> 'codepostal': '67600'</t>
  </si>
  <si>
    <t xml:space="preserve"> 'ville': 'SÉLESTAT'</t>
  </si>
  <si>
    <t xml:space="preserve"> 'lat': '48.266669999999998'</t>
  </si>
  <si>
    <t xml:space="preserve"> 'lng': '7.454308000000000'</t>
  </si>
  <si>
    <t xml:space="preserve"> 'nomClub': 'HCA SELESTAT'</t>
  </si>
  <si>
    <t xml:space="preserve"> 'nomCourtClub': 'HCA SELESTAT'</t>
  </si>
  <si>
    <t xml:space="preserve"> 'url': '/pratiquer/ou-pratiquer/ou-pratiquer-fiche-club/01671015-hca-selestat'}</t>
  </si>
  <si>
    <t>{'id': 328</t>
  </si>
  <si>
    <t xml:space="preserve"> 'adresse1': '2 BOULEVARD VAUBAN'</t>
  </si>
  <si>
    <t xml:space="preserve"> 'lat': '48.254913000000002'</t>
  </si>
  <si>
    <t>{'id': 329</t>
  </si>
  <si>
    <t xml:space="preserve"> 'nom': 'GYMNASE ESPACE MONTAND'</t>
  </si>
  <si>
    <t xml:space="preserve"> 'adresse1': '341 RUE DES 18 SOUS'</t>
  </si>
  <si>
    <t xml:space="preserve"> 'codepostal': '77176'</t>
  </si>
  <si>
    <t xml:space="preserve"> 'lat': '48.588355000000000'</t>
  </si>
  <si>
    <t xml:space="preserve"> 'lng': '2.568293000000000'</t>
  </si>
  <si>
    <t xml:space="preserve"> 'nomClub': 'AS NANDY MUSCULATION'</t>
  </si>
  <si>
    <t xml:space="preserve"> 'nomCourtClub': 'AS NANDY MUSCULATION'</t>
  </si>
  <si>
    <t xml:space="preserve"> 'url': '/pratiquer/ou-pratiquer/ou-pratiquer-fiche-club/21771209-as-nandy-musculation'}</t>
  </si>
  <si>
    <t>{'id': 330</t>
  </si>
  <si>
    <t xml:space="preserve"> 'nom': 'LOCAL 2 CHAMOIS'</t>
  </si>
  <si>
    <t xml:space="preserve"> 'adresse1': '4 RUE DES CHAMOIS'</t>
  </si>
  <si>
    <t xml:space="preserve"> 'codepostal': '31200'</t>
  </si>
  <si>
    <t xml:space="preserve"> 'lat': '43.638596999999997'</t>
  </si>
  <si>
    <t xml:space="preserve"> 'lng': '1.443829000000000'</t>
  </si>
  <si>
    <t xml:space="preserve"> 'nomClub': 'ASGCI TOULOUSE'</t>
  </si>
  <si>
    <t xml:space="preserve"> 'nomCourtClub': 'ASGCI TOULOUSE'</t>
  </si>
  <si>
    <t xml:space="preserve"> 'url': '/pratiquer/ou-pratiquer/ou-pratiquer-fiche-club/15311238-asgci-toulouse'}</t>
  </si>
  <si>
    <t>{'id': 331</t>
  </si>
  <si>
    <t xml:space="preserve"> 'nom': 'LOCAL 1 CHAMOIS'</t>
  </si>
  <si>
    <t xml:space="preserve"> 'adresse1': '3 RUE DES CHAMOIS'</t>
  </si>
  <si>
    <t xml:space="preserve"> 'lat': '43.638095000000000'</t>
  </si>
  <si>
    <t xml:space="preserve"> 'lng': '1.443036000000000'</t>
  </si>
  <si>
    <t>{'id': 332</t>
  </si>
  <si>
    <t xml:space="preserve"> 'nom': 'COMPLEXE SPORTIF DENIS PADOVANI'</t>
  </si>
  <si>
    <t xml:space="preserve"> 'adresse1': '774 AVENUE COMPLEXE SPORTIF DENIS PADOVANI AVENUE DU PETIT PRINCE BP 60094'</t>
  </si>
  <si>
    <t xml:space="preserve"> 'adresse2': 'COMPLEXE  SPORTIF DENIS PADOVANI RDC HYDRAVIONS'</t>
  </si>
  <si>
    <t xml:space="preserve"> 'codepostal': '13130'</t>
  </si>
  <si>
    <t xml:space="preserve"> 'ville': "BERRE-L'ÉTANG"</t>
  </si>
  <si>
    <t xml:space="preserve"> 'tel': '0612188023'</t>
  </si>
  <si>
    <t xml:space="preserve"> 'lat': '0.000000000000000'</t>
  </si>
  <si>
    <t xml:space="preserve"> 'lng': '0.000000000000000'</t>
  </si>
  <si>
    <t xml:space="preserve"> 'nomClub': 'HMC BERRE'</t>
  </si>
  <si>
    <t xml:space="preserve"> 'nomCourtClub': 'HMC BERRE'</t>
  </si>
  <si>
    <t xml:space="preserve"> 'url': '/pratiquer/ou-pratiquer/ou-pratiquer-fiche-club/20130472-hmc-berre'}</t>
  </si>
  <si>
    <t>{'id': 333</t>
  </si>
  <si>
    <t xml:space="preserve"> 'nom': 'Salle DUPOIZAT'</t>
  </si>
  <si>
    <t xml:space="preserve"> 'adresse1': 'CHEMIN DU LAC'</t>
  </si>
  <si>
    <t xml:space="preserve"> 'codepostal': '69380'</t>
  </si>
  <si>
    <t xml:space="preserve"> 'ville': 'CHÂTILLON'</t>
  </si>
  <si>
    <t xml:space="preserve"> 'lat': '45.874001999999997'</t>
  </si>
  <si>
    <t xml:space="preserve"> 'lng': '4.640929642447998'</t>
  </si>
  <si>
    <t xml:space="preserve"> 'nomClub': 'HC CHATILLON D AZERGUES'</t>
  </si>
  <si>
    <t xml:space="preserve"> 'nomCourtClub': 'HC CHATILLON D AZERGUES'</t>
  </si>
  <si>
    <t xml:space="preserve"> 'url': '/pratiquer/ou-pratiquer/ou-pratiquer-fiche-club/22690297-hc-chatillon-azergues'}</t>
  </si>
  <si>
    <t>{'id': 334</t>
  </si>
  <si>
    <t xml:space="preserve"> 'nom': 'Kurnos Lift Club'</t>
  </si>
  <si>
    <t xml:space="preserve"> 'adresse1': 'C 150'</t>
  </si>
  <si>
    <t xml:space="preserve"> 'codepostal': '20600'</t>
  </si>
  <si>
    <t xml:space="preserve"> 'tel': '0777281419'</t>
  </si>
  <si>
    <t xml:space="preserve"> 'lat': '42.664138419422336'</t>
  </si>
  <si>
    <t xml:space="preserve"> 'lng': '9.437247645272231'</t>
  </si>
  <si>
    <t xml:space="preserve"> 'nomClub': 'CROSSFIT KURNOS'</t>
  </si>
  <si>
    <t xml:space="preserve"> 'nomCourtClub': 'KURNOS LIFT CLUB'</t>
  </si>
  <si>
    <t xml:space="preserve"> 'url': '/pratiquer/ou-pratiquer/ou-pratiquer-fiche-club/339860068-crossfit-kurnos'}</t>
  </si>
  <si>
    <t>{'id': 335</t>
  </si>
  <si>
    <t xml:space="preserve"> 'nom': 'BRIAND PHILIPPE'</t>
  </si>
  <si>
    <t xml:space="preserve"> 'adresse1': '15 AVENUE DE LA BORDELAISE'</t>
  </si>
  <si>
    <t xml:space="preserve"> 'codepostal': '34110'</t>
  </si>
  <si>
    <t xml:space="preserve"> 'ville': 'FRONTIGNAN'</t>
  </si>
  <si>
    <t xml:space="preserve"> 'tel': '0982344962'</t>
  </si>
  <si>
    <t xml:space="preserve"> 'lat': '43.511076000000003'</t>
  </si>
  <si>
    <t xml:space="preserve"> 'lng': '3.815685000000000'</t>
  </si>
  <si>
    <t xml:space="preserve"> 'nomClub': 'SASU  BRIAND'</t>
  </si>
  <si>
    <t xml:space="preserve"> 'nomCourtClub': 'SASU  BRIAND'</t>
  </si>
  <si>
    <t xml:space="preserve"> 'url': '/pratiquer/ou-pratiquer/ou-pratiquer-fiche-club/15340004-sasu-briand'}</t>
  </si>
  <si>
    <t>{'id': 336</t>
  </si>
  <si>
    <t xml:space="preserve"> 'nom': 'PHYSIC CLUB DE SAINT LYE'</t>
  </si>
  <si>
    <t xml:space="preserve"> 'adresse1': 'MAIRIE DE ST LYE 4 AVENUE DE LA GARE'</t>
  </si>
  <si>
    <t xml:space="preserve"> 'codepostal': '10180'</t>
  </si>
  <si>
    <t xml:space="preserve"> 'ville': 'SAINT-LYÉ'</t>
  </si>
  <si>
    <t xml:space="preserve"> 'tel': '0638337833'</t>
  </si>
  <si>
    <t xml:space="preserve"> 'lat': '48.360776999999999'</t>
  </si>
  <si>
    <t xml:space="preserve"> 'lng': '4.002818000000000'</t>
  </si>
  <si>
    <t xml:space="preserve"> 'nomClub': 'PHYSIC CLUB DE SAINT LYE'</t>
  </si>
  <si>
    <t xml:space="preserve"> 'nomCourtClub': 'PHYSIC CLUB DE SAINT LYE'</t>
  </si>
  <si>
    <t xml:space="preserve"> 'url': '/pratiquer/ou-pratiquer/ou-pratiquer-fiche-club/08101072-physic-club-de-saint-lye'}</t>
  </si>
  <si>
    <t>{'id': 338</t>
  </si>
  <si>
    <t xml:space="preserve"> 'nom': 'Lycée de Kahani'</t>
  </si>
  <si>
    <t xml:space="preserve"> 'adresse1': ' RUE DU LYCÉE'</t>
  </si>
  <si>
    <t xml:space="preserve"> 'codepostal': '97670'</t>
  </si>
  <si>
    <t xml:space="preserve"> 'ville': 'OUANGANI'</t>
  </si>
  <si>
    <t xml:space="preserve"> 'tel': '06.66.93.72.49'</t>
  </si>
  <si>
    <t xml:space="preserve"> 'lat': '-12.826047000000001'</t>
  </si>
  <si>
    <t xml:space="preserve"> 'lng': '45.129598999999999'</t>
  </si>
  <si>
    <t xml:space="preserve"> 'nomClub': 'MAY STRENGTH'</t>
  </si>
  <si>
    <t xml:space="preserve"> 'nomCourtClub': 'MAY STRENGTH'</t>
  </si>
  <si>
    <t xml:space="preserve"> 'url': '/pratiquer/ou-pratiquer/ou-pratiquer-fiche-club/119760002-may-strength'}</t>
  </si>
  <si>
    <t>{'id': 339</t>
  </si>
  <si>
    <t xml:space="preserve"> 'nom': 'Gym Club Emblavez'</t>
  </si>
  <si>
    <t xml:space="preserve"> 'adresse1': '2460 RUE DE LA SUISSESSE'</t>
  </si>
  <si>
    <t xml:space="preserve"> 'codepostal': '43800'</t>
  </si>
  <si>
    <t xml:space="preserve"> 'ville': 'BEAULIEU'</t>
  </si>
  <si>
    <t xml:space="preserve"> 'lat': '45.125709000000001'</t>
  </si>
  <si>
    <t xml:space="preserve"> 'lng': '3.946486855978261'</t>
  </si>
  <si>
    <t xml:space="preserve"> 'nomClub': 'GYM CLUB EMBLAVEZ'</t>
  </si>
  <si>
    <t xml:space="preserve"> 'nomCourtClub': 'GYM CLUB EMBLAVEZ'</t>
  </si>
  <si>
    <t xml:space="preserve"> 'url': '/pratiquer/ou-pratiquer/ou-pratiquer-fiche-club/01430002-gym-club-emblavez'}</t>
  </si>
  <si>
    <t>{'id': 342</t>
  </si>
  <si>
    <t xml:space="preserve"> 'nom': 'vsdhei'</t>
  </si>
  <si>
    <t xml:space="preserve"> 'adresse1': 'RUE PAUL BOUTONNET'</t>
  </si>
  <si>
    <t xml:space="preserve"> 'codepostal': '98800'</t>
  </si>
  <si>
    <t xml:space="preserve"> 'ville': 'NOUMEA'</t>
  </si>
  <si>
    <t xml:space="preserve"> 'lat': '-22.298133199999999'</t>
  </si>
  <si>
    <t xml:space="preserve"> 'lng': '166.443538914597241'</t>
  </si>
  <si>
    <t xml:space="preserve"> 'nomClub': 'OLYMPIQUE DE NOUMEA'</t>
  </si>
  <si>
    <t xml:space="preserve"> 'nomCourtClub': 'OLYMPIQUE DE NOUMEA'</t>
  </si>
  <si>
    <t xml:space="preserve"> 'url': '/pratiquer/ou-pratiquer/ou-pratiquer-fiche-club/329880012-olympique-de-noumea'}</t>
  </si>
  <si>
    <t>id</t>
  </si>
  <si>
    <t>nom</t>
  </si>
  <si>
    <t>adresse_1</t>
  </si>
  <si>
    <t>adresse_2</t>
  </si>
  <si>
    <t>code_postal</t>
  </si>
  <si>
    <t>ville</t>
  </si>
  <si>
    <t>tel</t>
  </si>
  <si>
    <t>latitude</t>
  </si>
  <si>
    <t>longitude</t>
  </si>
  <si>
    <t>nom_club</t>
  </si>
  <si>
    <t>nom_court_club</t>
  </si>
  <si>
    <t>url_fiche_club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</si>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</sst>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7959A-71C3-44D8-843E-9877CB482F15}">
  <dimension ref="A1:M219"/>
  <sheetViews>
    <sheetView workbookViewId="0">
      <selection activeCell="A2" sqref="A2:O2"/>
    </sheetView>
  </sheetViews>
  <sheetFormatPr baseColWidth="10" defaultRowHeight="15" x14ac:dyDescent="0.25"/>
  <sheetData>
    <row r="1" spans="1:12" x14ac:dyDescent="0.25">
      <c r="A1" t="s">
        <v>0</v>
      </c>
    </row>
    <row r="2" spans="1:12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x14ac:dyDescent="0.25">
      <c r="A3" t="s">
        <v>13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  <c r="H3" t="s">
        <v>20</v>
      </c>
      <c r="I3" t="s">
        <v>21</v>
      </c>
      <c r="J3" t="s">
        <v>22</v>
      </c>
      <c r="K3" t="s">
        <v>23</v>
      </c>
      <c r="L3" t="s">
        <v>24</v>
      </c>
    </row>
    <row r="4" spans="1:12" x14ac:dyDescent="0.25">
      <c r="A4" t="s">
        <v>25</v>
      </c>
      <c r="B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 t="s">
        <v>35</v>
      </c>
      <c r="L4" t="s">
        <v>36</v>
      </c>
    </row>
    <row r="5" spans="1:12" x14ac:dyDescent="0.25">
      <c r="A5" t="s">
        <v>37</v>
      </c>
      <c r="B5" t="s">
        <v>38</v>
      </c>
      <c r="C5" t="s">
        <v>39</v>
      </c>
      <c r="D5" t="s">
        <v>16</v>
      </c>
      <c r="E5" t="s">
        <v>40</v>
      </c>
      <c r="F5" t="s">
        <v>41</v>
      </c>
      <c r="G5" t="s">
        <v>7</v>
      </c>
      <c r="H5" t="s">
        <v>42</v>
      </c>
      <c r="I5" t="s">
        <v>43</v>
      </c>
      <c r="J5" t="s">
        <v>44</v>
      </c>
      <c r="K5" t="s">
        <v>45</v>
      </c>
      <c r="L5" t="s">
        <v>46</v>
      </c>
    </row>
    <row r="6" spans="1:12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  <c r="H6" t="s">
        <v>54</v>
      </c>
      <c r="I6" t="s">
        <v>55</v>
      </c>
      <c r="J6" t="s">
        <v>56</v>
      </c>
      <c r="K6" t="s">
        <v>57</v>
      </c>
      <c r="L6" t="s">
        <v>58</v>
      </c>
    </row>
    <row r="7" spans="1:12" x14ac:dyDescent="0.25">
      <c r="A7" t="s">
        <v>59</v>
      </c>
      <c r="B7" t="s">
        <v>60</v>
      </c>
      <c r="C7" t="s">
        <v>61</v>
      </c>
      <c r="D7" t="s">
        <v>16</v>
      </c>
      <c r="E7" t="s">
        <v>62</v>
      </c>
      <c r="F7" t="s">
        <v>63</v>
      </c>
      <c r="G7" t="s">
        <v>64</v>
      </c>
      <c r="H7" t="s">
        <v>65</v>
      </c>
      <c r="I7" t="s">
        <v>66</v>
      </c>
      <c r="J7" t="s">
        <v>67</v>
      </c>
      <c r="K7" t="s">
        <v>68</v>
      </c>
      <c r="L7" t="s">
        <v>69</v>
      </c>
    </row>
    <row r="8" spans="1:12" x14ac:dyDescent="0.25">
      <c r="A8" t="s">
        <v>70</v>
      </c>
      <c r="B8" t="s">
        <v>71</v>
      </c>
      <c r="C8" t="s">
        <v>72</v>
      </c>
      <c r="D8" t="s">
        <v>73</v>
      </c>
      <c r="E8" t="s">
        <v>74</v>
      </c>
      <c r="F8" t="s">
        <v>75</v>
      </c>
      <c r="G8" t="s">
        <v>7</v>
      </c>
      <c r="H8" t="s">
        <v>76</v>
      </c>
      <c r="I8" t="s">
        <v>77</v>
      </c>
      <c r="J8" t="s">
        <v>78</v>
      </c>
      <c r="K8" t="s">
        <v>79</v>
      </c>
      <c r="L8" t="s">
        <v>80</v>
      </c>
    </row>
    <row r="9" spans="1:12" x14ac:dyDescent="0.25">
      <c r="A9" t="s">
        <v>81</v>
      </c>
      <c r="B9" t="s">
        <v>82</v>
      </c>
      <c r="C9" t="s">
        <v>83</v>
      </c>
      <c r="D9" t="s">
        <v>84</v>
      </c>
      <c r="E9" t="s">
        <v>85</v>
      </c>
      <c r="F9" t="s">
        <v>86</v>
      </c>
      <c r="G9" t="s">
        <v>87</v>
      </c>
      <c r="H9" t="s">
        <v>88</v>
      </c>
      <c r="I9" t="s">
        <v>89</v>
      </c>
      <c r="J9" t="s">
        <v>90</v>
      </c>
      <c r="K9" t="s">
        <v>91</v>
      </c>
      <c r="L9" t="s">
        <v>92</v>
      </c>
    </row>
    <row r="10" spans="1:12" x14ac:dyDescent="0.25">
      <c r="A10" t="s">
        <v>93</v>
      </c>
      <c r="B10" t="s">
        <v>94</v>
      </c>
      <c r="C10" t="s">
        <v>95</v>
      </c>
      <c r="D10" t="s">
        <v>96</v>
      </c>
      <c r="E10" t="s">
        <v>97</v>
      </c>
      <c r="F10" t="s">
        <v>98</v>
      </c>
      <c r="G10" t="s">
        <v>7</v>
      </c>
      <c r="H10" t="s">
        <v>99</v>
      </c>
      <c r="I10" t="s">
        <v>100</v>
      </c>
      <c r="J10" t="s">
        <v>101</v>
      </c>
      <c r="K10" t="s">
        <v>102</v>
      </c>
      <c r="L10" t="s">
        <v>103</v>
      </c>
    </row>
    <row r="11" spans="1:12" x14ac:dyDescent="0.25">
      <c r="A11" t="s">
        <v>104</v>
      </c>
      <c r="B11" t="s">
        <v>105</v>
      </c>
      <c r="C11" t="s">
        <v>106</v>
      </c>
      <c r="D11" t="s">
        <v>16</v>
      </c>
      <c r="E11" t="s">
        <v>107</v>
      </c>
      <c r="F11" t="s">
        <v>108</v>
      </c>
      <c r="G11" t="s">
        <v>109</v>
      </c>
      <c r="H11" t="s">
        <v>110</v>
      </c>
      <c r="I11" t="s">
        <v>111</v>
      </c>
      <c r="J11" t="s">
        <v>112</v>
      </c>
      <c r="K11" t="s">
        <v>113</v>
      </c>
      <c r="L11" t="s">
        <v>114</v>
      </c>
    </row>
    <row r="12" spans="1:12" x14ac:dyDescent="0.25">
      <c r="A12" t="s">
        <v>115</v>
      </c>
      <c r="B12" t="s">
        <v>116</v>
      </c>
      <c r="C12" t="s">
        <v>117</v>
      </c>
      <c r="D12" t="s">
        <v>118</v>
      </c>
      <c r="E12" t="s">
        <v>119</v>
      </c>
      <c r="F12" t="s">
        <v>120</v>
      </c>
      <c r="G12" t="s">
        <v>121</v>
      </c>
      <c r="H12" t="s">
        <v>122</v>
      </c>
      <c r="I12" t="s">
        <v>123</v>
      </c>
      <c r="J12" t="s">
        <v>124</v>
      </c>
      <c r="K12" t="s">
        <v>125</v>
      </c>
      <c r="L12" t="s">
        <v>126</v>
      </c>
    </row>
    <row r="13" spans="1:12" x14ac:dyDescent="0.25">
      <c r="A13" t="s">
        <v>127</v>
      </c>
      <c r="B13" t="s">
        <v>128</v>
      </c>
      <c r="C13" t="s">
        <v>129</v>
      </c>
      <c r="D13" t="s">
        <v>16</v>
      </c>
      <c r="E13" t="s">
        <v>130</v>
      </c>
      <c r="F13" t="s">
        <v>131</v>
      </c>
      <c r="G13" t="s">
        <v>7</v>
      </c>
      <c r="H13" t="s">
        <v>132</v>
      </c>
      <c r="I13" t="s">
        <v>133</v>
      </c>
      <c r="J13" t="s">
        <v>134</v>
      </c>
      <c r="K13" t="s">
        <v>135</v>
      </c>
      <c r="L13" t="s">
        <v>136</v>
      </c>
    </row>
    <row r="14" spans="1:12" x14ac:dyDescent="0.25">
      <c r="A14" t="s">
        <v>137</v>
      </c>
      <c r="B14" t="s">
        <v>138</v>
      </c>
      <c r="C14" t="s">
        <v>139</v>
      </c>
      <c r="D14" t="s">
        <v>140</v>
      </c>
      <c r="E14" t="s">
        <v>141</v>
      </c>
      <c r="F14" t="s">
        <v>142</v>
      </c>
      <c r="G14" t="s">
        <v>143</v>
      </c>
      <c r="H14" t="s">
        <v>144</v>
      </c>
      <c r="I14" t="s">
        <v>145</v>
      </c>
      <c r="J14" t="s">
        <v>146</v>
      </c>
      <c r="K14" t="s">
        <v>147</v>
      </c>
      <c r="L14" t="s">
        <v>148</v>
      </c>
    </row>
    <row r="15" spans="1:12" x14ac:dyDescent="0.25">
      <c r="A15" t="s">
        <v>149</v>
      </c>
      <c r="B15" t="s">
        <v>150</v>
      </c>
      <c r="C15" t="s">
        <v>151</v>
      </c>
      <c r="D15" t="s">
        <v>16</v>
      </c>
      <c r="E15" t="s">
        <v>152</v>
      </c>
      <c r="F15" t="s">
        <v>153</v>
      </c>
      <c r="G15" t="s">
        <v>7</v>
      </c>
      <c r="H15" t="s">
        <v>154</v>
      </c>
      <c r="I15" t="s">
        <v>155</v>
      </c>
      <c r="J15" t="s">
        <v>156</v>
      </c>
      <c r="K15" t="s">
        <v>157</v>
      </c>
      <c r="L15" t="s">
        <v>158</v>
      </c>
    </row>
    <row r="16" spans="1:12" x14ac:dyDescent="0.25">
      <c r="A16" t="s">
        <v>159</v>
      </c>
      <c r="B16" t="s">
        <v>160</v>
      </c>
      <c r="C16" t="s">
        <v>161</v>
      </c>
      <c r="D16" t="s">
        <v>16</v>
      </c>
      <c r="E16" t="s">
        <v>162</v>
      </c>
      <c r="F16" t="s">
        <v>163</v>
      </c>
      <c r="G16" t="s">
        <v>164</v>
      </c>
      <c r="H16" t="s">
        <v>165</v>
      </c>
      <c r="I16" t="s">
        <v>166</v>
      </c>
      <c r="J16" t="s">
        <v>167</v>
      </c>
      <c r="K16" t="s">
        <v>168</v>
      </c>
      <c r="L16" t="s">
        <v>169</v>
      </c>
    </row>
    <row r="17" spans="1:12" x14ac:dyDescent="0.25">
      <c r="A17" t="s">
        <v>170</v>
      </c>
      <c r="B17" t="s">
        <v>171</v>
      </c>
      <c r="C17" t="s">
        <v>172</v>
      </c>
      <c r="D17" t="s">
        <v>16</v>
      </c>
      <c r="E17" t="s">
        <v>173</v>
      </c>
      <c r="F17" t="s">
        <v>174</v>
      </c>
      <c r="G17" t="s">
        <v>7</v>
      </c>
      <c r="H17" t="s">
        <v>175</v>
      </c>
      <c r="I17" t="s">
        <v>176</v>
      </c>
      <c r="J17" t="s">
        <v>177</v>
      </c>
      <c r="K17" t="s">
        <v>178</v>
      </c>
      <c r="L17" t="s">
        <v>179</v>
      </c>
    </row>
    <row r="18" spans="1:12" x14ac:dyDescent="0.25">
      <c r="A18" t="s">
        <v>180</v>
      </c>
      <c r="B18" t="s">
        <v>181</v>
      </c>
      <c r="C18" t="s">
        <v>182</v>
      </c>
      <c r="D18" t="s">
        <v>16</v>
      </c>
      <c r="E18" t="s">
        <v>183</v>
      </c>
      <c r="F18" t="s">
        <v>184</v>
      </c>
      <c r="G18" t="s">
        <v>7</v>
      </c>
      <c r="H18" t="s">
        <v>185</v>
      </c>
      <c r="I18" t="s">
        <v>186</v>
      </c>
      <c r="J18" t="s">
        <v>187</v>
      </c>
      <c r="K18" t="s">
        <v>188</v>
      </c>
      <c r="L18" t="s">
        <v>189</v>
      </c>
    </row>
    <row r="19" spans="1:12" x14ac:dyDescent="0.25">
      <c r="A19" t="s">
        <v>190</v>
      </c>
      <c r="B19" t="s">
        <v>191</v>
      </c>
      <c r="C19" t="s">
        <v>192</v>
      </c>
      <c r="D19" t="s">
        <v>193</v>
      </c>
      <c r="E19" t="s">
        <v>194</v>
      </c>
      <c r="F19" t="s">
        <v>195</v>
      </c>
      <c r="G19" t="s">
        <v>7</v>
      </c>
      <c r="H19" t="s">
        <v>196</v>
      </c>
      <c r="I19" t="s">
        <v>197</v>
      </c>
      <c r="J19" t="s">
        <v>198</v>
      </c>
      <c r="K19" t="s">
        <v>199</v>
      </c>
      <c r="L19" t="s">
        <v>200</v>
      </c>
    </row>
    <row r="20" spans="1:12" x14ac:dyDescent="0.25">
      <c r="A20" t="s">
        <v>201</v>
      </c>
      <c r="B20" t="s">
        <v>202</v>
      </c>
      <c r="C20" t="s">
        <v>203</v>
      </c>
      <c r="D20" t="s">
        <v>204</v>
      </c>
      <c r="E20" t="s">
        <v>205</v>
      </c>
      <c r="F20" t="s">
        <v>206</v>
      </c>
      <c r="G20" t="s">
        <v>7</v>
      </c>
      <c r="H20" t="s">
        <v>207</v>
      </c>
      <c r="I20" t="s">
        <v>208</v>
      </c>
      <c r="J20" t="s">
        <v>209</v>
      </c>
      <c r="K20" t="s">
        <v>210</v>
      </c>
      <c r="L20" t="s">
        <v>211</v>
      </c>
    </row>
    <row r="21" spans="1:12" x14ac:dyDescent="0.25">
      <c r="A21" t="s">
        <v>212</v>
      </c>
      <c r="B21" t="s">
        <v>213</v>
      </c>
      <c r="C21" t="s">
        <v>214</v>
      </c>
      <c r="D21" t="s">
        <v>16</v>
      </c>
      <c r="E21" t="s">
        <v>215</v>
      </c>
      <c r="F21" t="s">
        <v>216</v>
      </c>
      <c r="G21" t="s">
        <v>217</v>
      </c>
      <c r="H21" t="s">
        <v>218</v>
      </c>
      <c r="I21" t="s">
        <v>219</v>
      </c>
      <c r="J21" t="s">
        <v>220</v>
      </c>
      <c r="K21" t="s">
        <v>221</v>
      </c>
      <c r="L21" t="s">
        <v>222</v>
      </c>
    </row>
    <row r="22" spans="1:12" x14ac:dyDescent="0.25">
      <c r="A22" t="s">
        <v>223</v>
      </c>
      <c r="B22" t="s">
        <v>224</v>
      </c>
      <c r="C22" t="s">
        <v>225</v>
      </c>
      <c r="D22" t="s">
        <v>16</v>
      </c>
      <c r="E22" t="s">
        <v>226</v>
      </c>
      <c r="F22" t="s">
        <v>227</v>
      </c>
      <c r="G22" t="s">
        <v>7</v>
      </c>
      <c r="H22" t="s">
        <v>228</v>
      </c>
      <c r="I22" t="s">
        <v>229</v>
      </c>
      <c r="J22" t="s">
        <v>230</v>
      </c>
      <c r="K22" t="s">
        <v>231</v>
      </c>
      <c r="L22" t="s">
        <v>232</v>
      </c>
    </row>
    <row r="23" spans="1:12" x14ac:dyDescent="0.25">
      <c r="A23" t="s">
        <v>233</v>
      </c>
      <c r="B23" t="s">
        <v>234</v>
      </c>
      <c r="C23" t="s">
        <v>235</v>
      </c>
      <c r="D23" t="s">
        <v>236</v>
      </c>
      <c r="E23" t="s">
        <v>237</v>
      </c>
      <c r="F23" t="s">
        <v>238</v>
      </c>
      <c r="G23" t="s">
        <v>239</v>
      </c>
      <c r="H23" t="s">
        <v>240</v>
      </c>
      <c r="I23" t="s">
        <v>241</v>
      </c>
      <c r="J23" t="s">
        <v>242</v>
      </c>
      <c r="K23" t="s">
        <v>243</v>
      </c>
      <c r="L23" t="s">
        <v>244</v>
      </c>
    </row>
    <row r="24" spans="1:12" x14ac:dyDescent="0.25">
      <c r="A24" t="s">
        <v>245</v>
      </c>
      <c r="B24" t="s">
        <v>246</v>
      </c>
      <c r="C24" t="s">
        <v>247</v>
      </c>
      <c r="D24" t="s">
        <v>248</v>
      </c>
      <c r="E24" t="s">
        <v>249</v>
      </c>
      <c r="F24" t="s">
        <v>250</v>
      </c>
      <c r="G24" t="s">
        <v>251</v>
      </c>
      <c r="H24" t="s">
        <v>252</v>
      </c>
      <c r="I24" t="s">
        <v>253</v>
      </c>
      <c r="J24" t="s">
        <v>254</v>
      </c>
      <c r="K24" t="s">
        <v>255</v>
      </c>
      <c r="L24" t="s">
        <v>256</v>
      </c>
    </row>
    <row r="25" spans="1:12" x14ac:dyDescent="0.25">
      <c r="A25" t="s">
        <v>257</v>
      </c>
      <c r="B25" t="s">
        <v>258</v>
      </c>
      <c r="C25" t="s">
        <v>259</v>
      </c>
      <c r="D25" t="s">
        <v>260</v>
      </c>
      <c r="E25" t="s">
        <v>261</v>
      </c>
      <c r="F25" t="s">
        <v>262</v>
      </c>
      <c r="G25" t="s">
        <v>263</v>
      </c>
      <c r="H25" t="s">
        <v>264</v>
      </c>
      <c r="I25" t="s">
        <v>265</v>
      </c>
      <c r="J25" t="s">
        <v>266</v>
      </c>
      <c r="K25" t="s">
        <v>267</v>
      </c>
      <c r="L25" t="s">
        <v>268</v>
      </c>
    </row>
    <row r="26" spans="1:12" x14ac:dyDescent="0.25">
      <c r="A26" t="s">
        <v>269</v>
      </c>
      <c r="B26" t="s">
        <v>270</v>
      </c>
      <c r="C26" t="s">
        <v>271</v>
      </c>
      <c r="D26" t="s">
        <v>16</v>
      </c>
      <c r="E26" t="s">
        <v>272</v>
      </c>
      <c r="F26" t="s">
        <v>273</v>
      </c>
      <c r="G26" t="s">
        <v>274</v>
      </c>
      <c r="H26" t="s">
        <v>275</v>
      </c>
      <c r="I26" t="s">
        <v>276</v>
      </c>
      <c r="J26" t="s">
        <v>277</v>
      </c>
      <c r="K26" t="s">
        <v>278</v>
      </c>
      <c r="L26" t="s">
        <v>279</v>
      </c>
    </row>
    <row r="27" spans="1:12" x14ac:dyDescent="0.25">
      <c r="A27" t="s">
        <v>280</v>
      </c>
      <c r="B27" t="s">
        <v>281</v>
      </c>
      <c r="C27" t="s">
        <v>282</v>
      </c>
      <c r="D27" t="s">
        <v>283</v>
      </c>
      <c r="E27" t="s">
        <v>284</v>
      </c>
      <c r="F27" t="s">
        <v>285</v>
      </c>
      <c r="G27" t="s">
        <v>286</v>
      </c>
      <c r="H27" t="s">
        <v>287</v>
      </c>
      <c r="I27" t="s">
        <v>288</v>
      </c>
      <c r="J27" t="s">
        <v>289</v>
      </c>
      <c r="K27" t="s">
        <v>290</v>
      </c>
      <c r="L27" t="s">
        <v>291</v>
      </c>
    </row>
    <row r="28" spans="1:12" x14ac:dyDescent="0.25">
      <c r="A28" t="s">
        <v>292</v>
      </c>
      <c r="B28" t="s">
        <v>293</v>
      </c>
      <c r="C28" t="s">
        <v>294</v>
      </c>
      <c r="D28" t="s">
        <v>295</v>
      </c>
      <c r="E28" t="s">
        <v>296</v>
      </c>
      <c r="F28" t="s">
        <v>297</v>
      </c>
      <c r="G28" t="s">
        <v>298</v>
      </c>
      <c r="H28" t="s">
        <v>299</v>
      </c>
      <c r="I28" t="s">
        <v>300</v>
      </c>
      <c r="J28" t="s">
        <v>301</v>
      </c>
      <c r="K28" t="s">
        <v>302</v>
      </c>
      <c r="L28" t="s">
        <v>303</v>
      </c>
    </row>
    <row r="29" spans="1:12" x14ac:dyDescent="0.25">
      <c r="A29" t="s">
        <v>269</v>
      </c>
      <c r="B29" t="s">
        <v>270</v>
      </c>
      <c r="C29" t="s">
        <v>271</v>
      </c>
      <c r="D29" t="s">
        <v>16</v>
      </c>
      <c r="E29" t="s">
        <v>272</v>
      </c>
      <c r="F29" t="s">
        <v>273</v>
      </c>
      <c r="G29" t="s">
        <v>274</v>
      </c>
      <c r="H29" t="s">
        <v>275</v>
      </c>
      <c r="I29" t="s">
        <v>276</v>
      </c>
      <c r="J29" t="s">
        <v>277</v>
      </c>
      <c r="K29" t="s">
        <v>278</v>
      </c>
      <c r="L29" t="s">
        <v>279</v>
      </c>
    </row>
    <row r="30" spans="1:12" x14ac:dyDescent="0.25">
      <c r="A30" t="s">
        <v>304</v>
      </c>
      <c r="B30" t="s">
        <v>305</v>
      </c>
      <c r="C30" t="s">
        <v>306</v>
      </c>
      <c r="D30" t="s">
        <v>16</v>
      </c>
      <c r="E30" t="s">
        <v>307</v>
      </c>
      <c r="F30" t="s">
        <v>308</v>
      </c>
      <c r="G30" t="s">
        <v>309</v>
      </c>
      <c r="H30" t="s">
        <v>310</v>
      </c>
      <c r="I30" t="s">
        <v>311</v>
      </c>
      <c r="J30" t="s">
        <v>312</v>
      </c>
      <c r="K30" t="s">
        <v>313</v>
      </c>
      <c r="L30" t="s">
        <v>314</v>
      </c>
    </row>
    <row r="31" spans="1:12" x14ac:dyDescent="0.25">
      <c r="A31" t="s">
        <v>315</v>
      </c>
      <c r="B31" t="s">
        <v>316</v>
      </c>
      <c r="C31" t="s">
        <v>317</v>
      </c>
      <c r="D31" t="s">
        <v>16</v>
      </c>
      <c r="E31" t="s">
        <v>318</v>
      </c>
      <c r="F31" t="s">
        <v>319</v>
      </c>
      <c r="G31" t="s">
        <v>320</v>
      </c>
      <c r="H31" t="s">
        <v>321</v>
      </c>
      <c r="I31" t="s">
        <v>322</v>
      </c>
      <c r="J31" t="s">
        <v>323</v>
      </c>
      <c r="K31" t="s">
        <v>324</v>
      </c>
      <c r="L31" t="s">
        <v>325</v>
      </c>
    </row>
    <row r="32" spans="1:12" x14ac:dyDescent="0.25">
      <c r="A32" t="s">
        <v>326</v>
      </c>
      <c r="B32" t="s">
        <v>327</v>
      </c>
      <c r="C32" t="s">
        <v>328</v>
      </c>
      <c r="D32" t="s">
        <v>16</v>
      </c>
      <c r="E32" t="s">
        <v>329</v>
      </c>
      <c r="F32" t="s">
        <v>330</v>
      </c>
      <c r="G32" t="s">
        <v>7</v>
      </c>
      <c r="H32" t="s">
        <v>331</v>
      </c>
      <c r="I32" t="s">
        <v>332</v>
      </c>
      <c r="J32" t="s">
        <v>333</v>
      </c>
      <c r="K32" t="s">
        <v>334</v>
      </c>
      <c r="L32" t="s">
        <v>335</v>
      </c>
    </row>
    <row r="33" spans="1:12" x14ac:dyDescent="0.25">
      <c r="A33" t="s">
        <v>336</v>
      </c>
      <c r="B33" t="s">
        <v>337</v>
      </c>
      <c r="C33" t="s">
        <v>338</v>
      </c>
      <c r="D33" t="s">
        <v>16</v>
      </c>
      <c r="E33" t="s">
        <v>339</v>
      </c>
      <c r="F33" t="s">
        <v>340</v>
      </c>
      <c r="G33" t="s">
        <v>341</v>
      </c>
      <c r="H33" t="s">
        <v>342</v>
      </c>
      <c r="I33" t="s">
        <v>343</v>
      </c>
      <c r="J33" t="s">
        <v>344</v>
      </c>
      <c r="K33" t="s">
        <v>345</v>
      </c>
      <c r="L33" t="s">
        <v>346</v>
      </c>
    </row>
    <row r="34" spans="1:12" x14ac:dyDescent="0.25">
      <c r="A34" t="s">
        <v>347</v>
      </c>
      <c r="B34" t="s">
        <v>348</v>
      </c>
      <c r="C34" t="s">
        <v>349</v>
      </c>
      <c r="D34" t="s">
        <v>350</v>
      </c>
      <c r="E34" t="s">
        <v>351</v>
      </c>
      <c r="F34" t="s">
        <v>308</v>
      </c>
      <c r="G34" t="s">
        <v>7</v>
      </c>
      <c r="H34" t="s">
        <v>352</v>
      </c>
      <c r="I34" t="s">
        <v>353</v>
      </c>
      <c r="J34" t="s">
        <v>354</v>
      </c>
      <c r="K34" t="s">
        <v>355</v>
      </c>
      <c r="L34" t="s">
        <v>356</v>
      </c>
    </row>
    <row r="35" spans="1:12" x14ac:dyDescent="0.25">
      <c r="A35" t="s">
        <v>357</v>
      </c>
      <c r="B35" t="s">
        <v>358</v>
      </c>
      <c r="C35" t="s">
        <v>359</v>
      </c>
      <c r="D35" t="s">
        <v>16</v>
      </c>
      <c r="E35" t="s">
        <v>205</v>
      </c>
      <c r="F35" t="s">
        <v>206</v>
      </c>
      <c r="G35" t="s">
        <v>7</v>
      </c>
      <c r="H35" t="s">
        <v>360</v>
      </c>
      <c r="I35" t="s">
        <v>361</v>
      </c>
      <c r="J35" t="s">
        <v>209</v>
      </c>
      <c r="K35" t="s">
        <v>210</v>
      </c>
      <c r="L35" t="s">
        <v>211</v>
      </c>
    </row>
    <row r="36" spans="1:12" x14ac:dyDescent="0.25">
      <c r="A36" t="s">
        <v>362</v>
      </c>
      <c r="B36" t="s">
        <v>363</v>
      </c>
      <c r="C36" t="s">
        <v>364</v>
      </c>
      <c r="D36" t="s">
        <v>16</v>
      </c>
      <c r="E36" t="s">
        <v>365</v>
      </c>
      <c r="F36" t="s">
        <v>366</v>
      </c>
      <c r="G36" t="s">
        <v>367</v>
      </c>
      <c r="H36" t="s">
        <v>368</v>
      </c>
      <c r="I36" t="s">
        <v>369</v>
      </c>
      <c r="J36" t="s">
        <v>370</v>
      </c>
      <c r="K36" t="s">
        <v>371</v>
      </c>
      <c r="L36" t="s">
        <v>372</v>
      </c>
    </row>
    <row r="37" spans="1:12" x14ac:dyDescent="0.25">
      <c r="A37" t="s">
        <v>373</v>
      </c>
      <c r="B37" t="s">
        <v>374</v>
      </c>
      <c r="C37" t="s">
        <v>375</v>
      </c>
      <c r="D37" t="s">
        <v>16</v>
      </c>
      <c r="E37" t="s">
        <v>376</v>
      </c>
      <c r="F37" t="s">
        <v>377</v>
      </c>
      <c r="G37" t="s">
        <v>7</v>
      </c>
      <c r="H37" t="s">
        <v>378</v>
      </c>
      <c r="I37" t="s">
        <v>379</v>
      </c>
      <c r="J37" t="s">
        <v>380</v>
      </c>
      <c r="K37" t="s">
        <v>381</v>
      </c>
      <c r="L37" t="s">
        <v>382</v>
      </c>
    </row>
    <row r="38" spans="1:12" x14ac:dyDescent="0.25">
      <c r="A38" t="s">
        <v>383</v>
      </c>
      <c r="B38" t="s">
        <v>384</v>
      </c>
      <c r="C38" t="s">
        <v>385</v>
      </c>
      <c r="D38" t="s">
        <v>16</v>
      </c>
      <c r="E38" t="s">
        <v>386</v>
      </c>
      <c r="F38" t="s">
        <v>387</v>
      </c>
      <c r="G38" t="s">
        <v>7</v>
      </c>
      <c r="H38" t="s">
        <v>388</v>
      </c>
      <c r="I38" t="s">
        <v>389</v>
      </c>
      <c r="J38" t="s">
        <v>390</v>
      </c>
      <c r="K38" t="s">
        <v>391</v>
      </c>
      <c r="L38" t="s">
        <v>392</v>
      </c>
    </row>
    <row r="39" spans="1:12" x14ac:dyDescent="0.25">
      <c r="A39" t="s">
        <v>393</v>
      </c>
      <c r="B39" t="s">
        <v>394</v>
      </c>
      <c r="C39" t="s">
        <v>395</v>
      </c>
      <c r="D39" t="s">
        <v>396</v>
      </c>
      <c r="E39" t="s">
        <v>397</v>
      </c>
      <c r="F39" t="s">
        <v>308</v>
      </c>
      <c r="G39" t="s">
        <v>398</v>
      </c>
      <c r="H39" t="s">
        <v>399</v>
      </c>
      <c r="I39" t="s">
        <v>400</v>
      </c>
      <c r="J39" t="s">
        <v>401</v>
      </c>
      <c r="K39" t="s">
        <v>402</v>
      </c>
      <c r="L39" t="s">
        <v>403</v>
      </c>
    </row>
    <row r="40" spans="1:12" x14ac:dyDescent="0.25">
      <c r="A40" t="s">
        <v>404</v>
      </c>
      <c r="B40" t="s">
        <v>405</v>
      </c>
      <c r="C40" t="s">
        <v>406</v>
      </c>
      <c r="D40" t="s">
        <v>16</v>
      </c>
      <c r="E40" t="s">
        <v>407</v>
      </c>
      <c r="F40" t="s">
        <v>408</v>
      </c>
      <c r="G40" t="s">
        <v>409</v>
      </c>
      <c r="H40" t="s">
        <v>410</v>
      </c>
      <c r="I40" t="s">
        <v>411</v>
      </c>
      <c r="J40" t="s">
        <v>412</v>
      </c>
      <c r="K40" t="s">
        <v>413</v>
      </c>
      <c r="L40" t="s">
        <v>414</v>
      </c>
    </row>
    <row r="41" spans="1:12" x14ac:dyDescent="0.25">
      <c r="A41" t="s">
        <v>415</v>
      </c>
      <c r="B41" t="s">
        <v>416</v>
      </c>
      <c r="C41" t="s">
        <v>417</v>
      </c>
      <c r="D41" t="s">
        <v>16</v>
      </c>
      <c r="E41" t="s">
        <v>418</v>
      </c>
      <c r="F41" t="s">
        <v>419</v>
      </c>
      <c r="G41" t="s">
        <v>420</v>
      </c>
      <c r="H41" t="s">
        <v>421</v>
      </c>
      <c r="I41" t="s">
        <v>422</v>
      </c>
      <c r="J41" t="s">
        <v>423</v>
      </c>
      <c r="K41" t="s">
        <v>424</v>
      </c>
      <c r="L41" t="s">
        <v>425</v>
      </c>
    </row>
    <row r="42" spans="1:12" x14ac:dyDescent="0.25">
      <c r="A42" t="s">
        <v>426</v>
      </c>
      <c r="B42" t="s">
        <v>427</v>
      </c>
      <c r="C42" t="s">
        <v>428</v>
      </c>
      <c r="D42" t="s">
        <v>429</v>
      </c>
      <c r="E42" t="s">
        <v>430</v>
      </c>
      <c r="F42" t="s">
        <v>431</v>
      </c>
      <c r="G42" t="s">
        <v>7</v>
      </c>
      <c r="H42" t="s">
        <v>432</v>
      </c>
      <c r="I42" t="s">
        <v>433</v>
      </c>
      <c r="J42" t="s">
        <v>434</v>
      </c>
      <c r="K42" t="s">
        <v>435</v>
      </c>
      <c r="L42" t="s">
        <v>436</v>
      </c>
    </row>
    <row r="43" spans="1:12" x14ac:dyDescent="0.25">
      <c r="A43" t="s">
        <v>437</v>
      </c>
      <c r="B43" t="s">
        <v>438</v>
      </c>
      <c r="C43" t="s">
        <v>439</v>
      </c>
      <c r="D43" t="s">
        <v>440</v>
      </c>
      <c r="E43" t="s">
        <v>441</v>
      </c>
      <c r="F43" t="s">
        <v>442</v>
      </c>
      <c r="G43" t="s">
        <v>443</v>
      </c>
      <c r="H43" t="s">
        <v>444</v>
      </c>
      <c r="I43" t="s">
        <v>445</v>
      </c>
      <c r="J43" t="s">
        <v>446</v>
      </c>
      <c r="K43" t="s">
        <v>447</v>
      </c>
      <c r="L43" t="s">
        <v>448</v>
      </c>
    </row>
    <row r="44" spans="1:12" x14ac:dyDescent="0.25">
      <c r="A44" t="s">
        <v>449</v>
      </c>
      <c r="B44" t="s">
        <v>450</v>
      </c>
      <c r="C44" t="s">
        <v>451</v>
      </c>
      <c r="D44" t="s">
        <v>16</v>
      </c>
      <c r="E44" t="s">
        <v>452</v>
      </c>
      <c r="F44" t="s">
        <v>453</v>
      </c>
      <c r="G44" t="s">
        <v>454</v>
      </c>
      <c r="H44" t="s">
        <v>455</v>
      </c>
      <c r="I44" t="s">
        <v>456</v>
      </c>
      <c r="J44" t="s">
        <v>457</v>
      </c>
      <c r="K44" t="s">
        <v>458</v>
      </c>
      <c r="L44" t="s">
        <v>459</v>
      </c>
    </row>
    <row r="45" spans="1:12" x14ac:dyDescent="0.25">
      <c r="A45" t="s">
        <v>460</v>
      </c>
      <c r="B45" t="s">
        <v>461</v>
      </c>
      <c r="C45" t="s">
        <v>462</v>
      </c>
      <c r="D45" t="s">
        <v>16</v>
      </c>
      <c r="E45" t="s">
        <v>463</v>
      </c>
      <c r="F45" t="s">
        <v>464</v>
      </c>
      <c r="G45" t="s">
        <v>465</v>
      </c>
      <c r="H45" t="s">
        <v>466</v>
      </c>
      <c r="I45" t="s">
        <v>467</v>
      </c>
      <c r="J45" t="s">
        <v>468</v>
      </c>
      <c r="K45" t="s">
        <v>469</v>
      </c>
      <c r="L45" t="s">
        <v>470</v>
      </c>
    </row>
    <row r="46" spans="1:12" x14ac:dyDescent="0.25">
      <c r="A46" t="s">
        <v>471</v>
      </c>
      <c r="B46" t="s">
        <v>472</v>
      </c>
      <c r="C46" t="s">
        <v>473</v>
      </c>
      <c r="D46" t="s">
        <v>16</v>
      </c>
      <c r="E46" t="s">
        <v>474</v>
      </c>
      <c r="F46" t="s">
        <v>475</v>
      </c>
      <c r="G46" t="s">
        <v>476</v>
      </c>
      <c r="H46" t="s">
        <v>477</v>
      </c>
      <c r="I46" t="s">
        <v>478</v>
      </c>
      <c r="J46" t="s">
        <v>479</v>
      </c>
      <c r="K46" t="s">
        <v>480</v>
      </c>
      <c r="L46" t="s">
        <v>481</v>
      </c>
    </row>
    <row r="47" spans="1:12" x14ac:dyDescent="0.25">
      <c r="A47" t="s">
        <v>482</v>
      </c>
      <c r="B47" t="s">
        <v>483</v>
      </c>
      <c r="C47" t="s">
        <v>484</v>
      </c>
      <c r="D47" t="s">
        <v>16</v>
      </c>
      <c r="E47" t="s">
        <v>485</v>
      </c>
      <c r="F47" t="s">
        <v>486</v>
      </c>
      <c r="G47" t="s">
        <v>487</v>
      </c>
      <c r="H47" t="s">
        <v>488</v>
      </c>
      <c r="I47" t="s">
        <v>489</v>
      </c>
      <c r="J47" t="s">
        <v>490</v>
      </c>
      <c r="K47" t="s">
        <v>491</v>
      </c>
      <c r="L47" t="s">
        <v>492</v>
      </c>
    </row>
    <row r="48" spans="1:12" x14ac:dyDescent="0.25">
      <c r="A48" t="s">
        <v>493</v>
      </c>
      <c r="B48" t="s">
        <v>494</v>
      </c>
      <c r="C48" t="s">
        <v>495</v>
      </c>
      <c r="D48" t="s">
        <v>496</v>
      </c>
      <c r="E48" t="s">
        <v>497</v>
      </c>
      <c r="F48" t="s">
        <v>498</v>
      </c>
      <c r="G48" t="s">
        <v>499</v>
      </c>
      <c r="H48" t="s">
        <v>500</v>
      </c>
      <c r="I48" t="s">
        <v>501</v>
      </c>
      <c r="J48" t="s">
        <v>502</v>
      </c>
      <c r="K48" t="s">
        <v>503</v>
      </c>
      <c r="L48" t="s">
        <v>504</v>
      </c>
    </row>
    <row r="49" spans="1:12" x14ac:dyDescent="0.25">
      <c r="A49" t="s">
        <v>505</v>
      </c>
      <c r="B49" t="s">
        <v>506</v>
      </c>
      <c r="C49" t="s">
        <v>507</v>
      </c>
      <c r="D49" t="s">
        <v>16</v>
      </c>
      <c r="E49" t="s">
        <v>508</v>
      </c>
      <c r="F49" t="s">
        <v>509</v>
      </c>
      <c r="G49" t="s">
        <v>7</v>
      </c>
      <c r="H49" t="s">
        <v>510</v>
      </c>
      <c r="I49" t="s">
        <v>511</v>
      </c>
      <c r="J49" t="s">
        <v>512</v>
      </c>
      <c r="K49" t="s">
        <v>513</v>
      </c>
      <c r="L49" t="s">
        <v>514</v>
      </c>
    </row>
    <row r="50" spans="1:12" x14ac:dyDescent="0.25">
      <c r="A50" t="s">
        <v>515</v>
      </c>
      <c r="B50" t="s">
        <v>516</v>
      </c>
      <c r="C50" t="s">
        <v>517</v>
      </c>
      <c r="D50" t="s">
        <v>16</v>
      </c>
      <c r="E50" t="s">
        <v>518</v>
      </c>
      <c r="F50" t="s">
        <v>519</v>
      </c>
      <c r="G50" t="s">
        <v>520</v>
      </c>
      <c r="H50" t="s">
        <v>521</v>
      </c>
      <c r="I50" t="s">
        <v>522</v>
      </c>
      <c r="J50" t="s">
        <v>523</v>
      </c>
      <c r="K50" t="s">
        <v>524</v>
      </c>
      <c r="L50" t="s">
        <v>525</v>
      </c>
    </row>
    <row r="51" spans="1:12" x14ac:dyDescent="0.25">
      <c r="A51" t="s">
        <v>526</v>
      </c>
      <c r="B51" t="s">
        <v>527</v>
      </c>
      <c r="C51" t="s">
        <v>528</v>
      </c>
      <c r="D51" t="s">
        <v>529</v>
      </c>
      <c r="E51" t="s">
        <v>530</v>
      </c>
      <c r="F51" t="s">
        <v>531</v>
      </c>
      <c r="G51" t="s">
        <v>7</v>
      </c>
      <c r="H51" t="s">
        <v>532</v>
      </c>
      <c r="I51" t="s">
        <v>533</v>
      </c>
      <c r="J51" t="s">
        <v>534</v>
      </c>
      <c r="K51" t="s">
        <v>535</v>
      </c>
      <c r="L51" t="s">
        <v>536</v>
      </c>
    </row>
    <row r="52" spans="1:12" x14ac:dyDescent="0.25">
      <c r="A52" t="s">
        <v>537</v>
      </c>
      <c r="B52" t="s">
        <v>538</v>
      </c>
      <c r="C52" t="s">
        <v>539</v>
      </c>
      <c r="D52" t="s">
        <v>16</v>
      </c>
      <c r="E52" t="s">
        <v>540</v>
      </c>
      <c r="F52" t="s">
        <v>541</v>
      </c>
      <c r="G52" t="s">
        <v>7</v>
      </c>
      <c r="H52" t="s">
        <v>542</v>
      </c>
      <c r="I52" t="s">
        <v>543</v>
      </c>
      <c r="J52" t="s">
        <v>544</v>
      </c>
      <c r="K52" t="s">
        <v>545</v>
      </c>
      <c r="L52" t="s">
        <v>546</v>
      </c>
    </row>
    <row r="53" spans="1:12" x14ac:dyDescent="0.25">
      <c r="A53" t="s">
        <v>547</v>
      </c>
      <c r="B53" t="s">
        <v>548</v>
      </c>
      <c r="C53" t="s">
        <v>549</v>
      </c>
      <c r="D53" t="s">
        <v>550</v>
      </c>
      <c r="E53" t="s">
        <v>551</v>
      </c>
      <c r="F53" t="s">
        <v>552</v>
      </c>
      <c r="G53" t="s">
        <v>553</v>
      </c>
      <c r="H53" t="s">
        <v>554</v>
      </c>
      <c r="I53" t="s">
        <v>555</v>
      </c>
      <c r="J53" t="s">
        <v>556</v>
      </c>
      <c r="K53" t="s">
        <v>557</v>
      </c>
      <c r="L53" t="s">
        <v>558</v>
      </c>
    </row>
    <row r="54" spans="1:12" x14ac:dyDescent="0.25">
      <c r="A54" t="s">
        <v>559</v>
      </c>
      <c r="B54" t="s">
        <v>560</v>
      </c>
      <c r="C54" t="s">
        <v>561</v>
      </c>
      <c r="D54" t="s">
        <v>562</v>
      </c>
      <c r="E54" t="s">
        <v>563</v>
      </c>
      <c r="F54" t="s">
        <v>564</v>
      </c>
      <c r="G54" t="s">
        <v>565</v>
      </c>
      <c r="H54" t="s">
        <v>566</v>
      </c>
      <c r="I54" t="s">
        <v>567</v>
      </c>
      <c r="J54" t="s">
        <v>568</v>
      </c>
      <c r="K54" t="s">
        <v>569</v>
      </c>
      <c r="L54" t="s">
        <v>570</v>
      </c>
    </row>
    <row r="55" spans="1:12" x14ac:dyDescent="0.25">
      <c r="A55" t="s">
        <v>571</v>
      </c>
      <c r="B55" t="s">
        <v>572</v>
      </c>
      <c r="C55" t="s">
        <v>573</v>
      </c>
      <c r="D55" t="s">
        <v>16</v>
      </c>
      <c r="E55" t="s">
        <v>574</v>
      </c>
      <c r="F55" t="s">
        <v>575</v>
      </c>
      <c r="G55" t="s">
        <v>576</v>
      </c>
      <c r="H55" t="s">
        <v>577</v>
      </c>
      <c r="I55" t="s">
        <v>578</v>
      </c>
      <c r="J55" t="s">
        <v>579</v>
      </c>
      <c r="K55" t="s">
        <v>580</v>
      </c>
      <c r="L55" t="s">
        <v>581</v>
      </c>
    </row>
    <row r="56" spans="1:12" x14ac:dyDescent="0.25">
      <c r="A56" t="s">
        <v>582</v>
      </c>
      <c r="B56" t="s">
        <v>583</v>
      </c>
      <c r="C56" t="s">
        <v>584</v>
      </c>
      <c r="D56" t="s">
        <v>585</v>
      </c>
      <c r="E56" t="s">
        <v>586</v>
      </c>
      <c r="F56" t="s">
        <v>587</v>
      </c>
      <c r="G56" t="s">
        <v>7</v>
      </c>
      <c r="H56" t="s">
        <v>588</v>
      </c>
      <c r="I56" t="s">
        <v>589</v>
      </c>
      <c r="J56" t="s">
        <v>590</v>
      </c>
      <c r="K56" t="s">
        <v>591</v>
      </c>
      <c r="L56" t="s">
        <v>592</v>
      </c>
    </row>
    <row r="57" spans="1:12" x14ac:dyDescent="0.25">
      <c r="A57" t="s">
        <v>593</v>
      </c>
      <c r="B57" t="s">
        <v>594</v>
      </c>
      <c r="C57" t="s">
        <v>595</v>
      </c>
      <c r="D57" t="s">
        <v>16</v>
      </c>
      <c r="E57" t="s">
        <v>596</v>
      </c>
      <c r="F57" t="s">
        <v>597</v>
      </c>
      <c r="G57" t="s">
        <v>598</v>
      </c>
      <c r="H57" t="s">
        <v>599</v>
      </c>
      <c r="I57" t="s">
        <v>600</v>
      </c>
      <c r="J57" t="s">
        <v>601</v>
      </c>
      <c r="K57" t="s">
        <v>602</v>
      </c>
      <c r="L57" t="s">
        <v>603</v>
      </c>
    </row>
    <row r="58" spans="1:12" x14ac:dyDescent="0.25">
      <c r="A58" t="s">
        <v>604</v>
      </c>
      <c r="B58" t="s">
        <v>605</v>
      </c>
      <c r="C58" t="s">
        <v>606</v>
      </c>
      <c r="D58" t="s">
        <v>16</v>
      </c>
      <c r="E58" t="s">
        <v>607</v>
      </c>
      <c r="F58" t="s">
        <v>608</v>
      </c>
      <c r="G58" t="s">
        <v>609</v>
      </c>
      <c r="H58" t="s">
        <v>610</v>
      </c>
      <c r="I58" t="s">
        <v>611</v>
      </c>
      <c r="J58" t="s">
        <v>612</v>
      </c>
      <c r="K58" t="s">
        <v>613</v>
      </c>
      <c r="L58" t="s">
        <v>614</v>
      </c>
    </row>
    <row r="59" spans="1:12" x14ac:dyDescent="0.25">
      <c r="A59" t="s">
        <v>615</v>
      </c>
      <c r="B59" t="s">
        <v>616</v>
      </c>
      <c r="C59" t="s">
        <v>617</v>
      </c>
      <c r="D59" t="s">
        <v>16</v>
      </c>
      <c r="E59" t="s">
        <v>618</v>
      </c>
      <c r="F59" t="s">
        <v>619</v>
      </c>
      <c r="G59" t="s">
        <v>7</v>
      </c>
      <c r="H59" t="s">
        <v>620</v>
      </c>
      <c r="I59" t="s">
        <v>621</v>
      </c>
      <c r="J59" t="s">
        <v>622</v>
      </c>
      <c r="K59" t="s">
        <v>623</v>
      </c>
      <c r="L59" t="s">
        <v>624</v>
      </c>
    </row>
    <row r="60" spans="1:12" x14ac:dyDescent="0.25">
      <c r="A60" t="s">
        <v>625</v>
      </c>
      <c r="B60" t="s">
        <v>626</v>
      </c>
      <c r="C60" t="s">
        <v>627</v>
      </c>
      <c r="D60" t="s">
        <v>628</v>
      </c>
      <c r="E60" t="s">
        <v>629</v>
      </c>
      <c r="F60" t="s">
        <v>630</v>
      </c>
      <c r="G60" t="s">
        <v>7</v>
      </c>
      <c r="H60" t="s">
        <v>631</v>
      </c>
      <c r="I60" t="s">
        <v>632</v>
      </c>
      <c r="J60" t="s">
        <v>622</v>
      </c>
      <c r="K60" t="s">
        <v>623</v>
      </c>
      <c r="L60" t="s">
        <v>624</v>
      </c>
    </row>
    <row r="61" spans="1:12" x14ac:dyDescent="0.25">
      <c r="A61" t="s">
        <v>633</v>
      </c>
      <c r="B61" t="s">
        <v>634</v>
      </c>
      <c r="C61" t="s">
        <v>635</v>
      </c>
      <c r="D61" t="s">
        <v>16</v>
      </c>
      <c r="E61" t="s">
        <v>636</v>
      </c>
      <c r="F61" t="s">
        <v>637</v>
      </c>
      <c r="G61" t="s">
        <v>638</v>
      </c>
      <c r="H61" t="s">
        <v>639</v>
      </c>
      <c r="I61" t="s">
        <v>640</v>
      </c>
      <c r="J61" t="s">
        <v>641</v>
      </c>
      <c r="K61" t="s">
        <v>642</v>
      </c>
      <c r="L61" t="s">
        <v>643</v>
      </c>
    </row>
    <row r="62" spans="1:12" x14ac:dyDescent="0.25">
      <c r="A62" t="s">
        <v>644</v>
      </c>
      <c r="B62" t="s">
        <v>645</v>
      </c>
      <c r="C62" t="s">
        <v>646</v>
      </c>
      <c r="D62" t="s">
        <v>647</v>
      </c>
      <c r="E62" t="s">
        <v>648</v>
      </c>
      <c r="F62" t="s">
        <v>649</v>
      </c>
      <c r="G62" t="s">
        <v>650</v>
      </c>
      <c r="H62" t="s">
        <v>651</v>
      </c>
      <c r="I62" t="s">
        <v>652</v>
      </c>
      <c r="J62" t="s">
        <v>653</v>
      </c>
      <c r="K62" t="s">
        <v>654</v>
      </c>
      <c r="L62" t="s">
        <v>655</v>
      </c>
    </row>
    <row r="63" spans="1:12" x14ac:dyDescent="0.25">
      <c r="A63" t="s">
        <v>656</v>
      </c>
      <c r="B63" t="s">
        <v>657</v>
      </c>
      <c r="C63" t="s">
        <v>658</v>
      </c>
      <c r="D63" t="s">
        <v>659</v>
      </c>
      <c r="E63" t="s">
        <v>660</v>
      </c>
      <c r="F63" t="s">
        <v>661</v>
      </c>
      <c r="G63" t="s">
        <v>662</v>
      </c>
      <c r="H63" t="s">
        <v>663</v>
      </c>
      <c r="I63" t="s">
        <v>664</v>
      </c>
      <c r="J63" t="s">
        <v>665</v>
      </c>
      <c r="K63" t="s">
        <v>666</v>
      </c>
      <c r="L63" t="s">
        <v>667</v>
      </c>
    </row>
    <row r="64" spans="1:12" x14ac:dyDescent="0.25">
      <c r="A64" t="s">
        <v>668</v>
      </c>
      <c r="B64" t="s">
        <v>669</v>
      </c>
      <c r="C64" t="s">
        <v>670</v>
      </c>
      <c r="D64" t="s">
        <v>671</v>
      </c>
      <c r="E64" t="s">
        <v>672</v>
      </c>
      <c r="F64" t="s">
        <v>673</v>
      </c>
      <c r="G64" t="s">
        <v>7</v>
      </c>
      <c r="H64" t="s">
        <v>674</v>
      </c>
      <c r="I64" t="s">
        <v>675</v>
      </c>
      <c r="J64" t="s">
        <v>676</v>
      </c>
      <c r="K64" t="s">
        <v>677</v>
      </c>
      <c r="L64" t="s">
        <v>678</v>
      </c>
    </row>
    <row r="65" spans="1:12" x14ac:dyDescent="0.25">
      <c r="A65" t="s">
        <v>679</v>
      </c>
      <c r="B65" t="s">
        <v>680</v>
      </c>
      <c r="C65" t="s">
        <v>681</v>
      </c>
      <c r="D65" t="s">
        <v>682</v>
      </c>
      <c r="E65" t="s">
        <v>683</v>
      </c>
      <c r="F65" t="s">
        <v>684</v>
      </c>
      <c r="G65" t="s">
        <v>685</v>
      </c>
      <c r="H65" t="s">
        <v>686</v>
      </c>
      <c r="I65" t="s">
        <v>687</v>
      </c>
      <c r="J65" t="s">
        <v>688</v>
      </c>
      <c r="K65" t="s">
        <v>689</v>
      </c>
      <c r="L65" t="s">
        <v>690</v>
      </c>
    </row>
    <row r="66" spans="1:12" x14ac:dyDescent="0.25">
      <c r="A66" t="s">
        <v>691</v>
      </c>
      <c r="B66" t="s">
        <v>692</v>
      </c>
      <c r="C66" t="s">
        <v>693</v>
      </c>
      <c r="D66" t="s">
        <v>694</v>
      </c>
      <c r="E66" t="s">
        <v>695</v>
      </c>
      <c r="F66" t="s">
        <v>696</v>
      </c>
      <c r="G66" t="s">
        <v>697</v>
      </c>
      <c r="H66" t="s">
        <v>698</v>
      </c>
      <c r="I66" t="s">
        <v>699</v>
      </c>
      <c r="J66" t="s">
        <v>700</v>
      </c>
      <c r="K66" t="s">
        <v>701</v>
      </c>
      <c r="L66" t="s">
        <v>702</v>
      </c>
    </row>
    <row r="67" spans="1:12" x14ac:dyDescent="0.25">
      <c r="A67" t="s">
        <v>703</v>
      </c>
      <c r="B67" t="s">
        <v>704</v>
      </c>
      <c r="C67" t="s">
        <v>705</v>
      </c>
      <c r="D67" t="s">
        <v>706</v>
      </c>
      <c r="E67" t="s">
        <v>707</v>
      </c>
      <c r="F67" t="s">
        <v>708</v>
      </c>
      <c r="G67" t="s">
        <v>709</v>
      </c>
      <c r="H67" t="s">
        <v>710</v>
      </c>
      <c r="I67" t="s">
        <v>711</v>
      </c>
      <c r="J67" t="s">
        <v>712</v>
      </c>
      <c r="K67" t="s">
        <v>713</v>
      </c>
      <c r="L67" t="s">
        <v>714</v>
      </c>
    </row>
    <row r="68" spans="1:12" x14ac:dyDescent="0.25">
      <c r="A68" t="s">
        <v>715</v>
      </c>
      <c r="B68" t="s">
        <v>716</v>
      </c>
      <c r="C68" t="s">
        <v>717</v>
      </c>
      <c r="D68" t="s">
        <v>16</v>
      </c>
      <c r="E68" t="s">
        <v>718</v>
      </c>
      <c r="F68" t="s">
        <v>719</v>
      </c>
      <c r="G68" t="s">
        <v>720</v>
      </c>
      <c r="H68" t="s">
        <v>721</v>
      </c>
      <c r="I68" t="s">
        <v>722</v>
      </c>
      <c r="J68" t="s">
        <v>723</v>
      </c>
      <c r="K68" t="s">
        <v>724</v>
      </c>
      <c r="L68" t="s">
        <v>725</v>
      </c>
    </row>
    <row r="69" spans="1:12" x14ac:dyDescent="0.25">
      <c r="A69" t="s">
        <v>726</v>
      </c>
      <c r="B69" t="s">
        <v>727</v>
      </c>
      <c r="C69" t="s">
        <v>728</v>
      </c>
      <c r="D69" t="s">
        <v>16</v>
      </c>
      <c r="E69" t="s">
        <v>729</v>
      </c>
      <c r="F69" t="s">
        <v>730</v>
      </c>
      <c r="G69" t="s">
        <v>731</v>
      </c>
      <c r="H69" t="s">
        <v>732</v>
      </c>
      <c r="I69" t="s">
        <v>733</v>
      </c>
      <c r="J69" t="s">
        <v>734</v>
      </c>
      <c r="K69" t="s">
        <v>735</v>
      </c>
      <c r="L69" t="s">
        <v>736</v>
      </c>
    </row>
    <row r="70" spans="1:12" x14ac:dyDescent="0.25">
      <c r="A70" t="s">
        <v>737</v>
      </c>
      <c r="B70" t="s">
        <v>738</v>
      </c>
      <c r="C70" t="s">
        <v>739</v>
      </c>
      <c r="D70" t="s">
        <v>16</v>
      </c>
      <c r="E70" t="s">
        <v>740</v>
      </c>
      <c r="F70" t="s">
        <v>741</v>
      </c>
      <c r="G70" t="s">
        <v>7</v>
      </c>
      <c r="H70" t="s">
        <v>742</v>
      </c>
      <c r="I70" t="s">
        <v>743</v>
      </c>
      <c r="J70" t="s">
        <v>744</v>
      </c>
      <c r="K70" t="s">
        <v>745</v>
      </c>
      <c r="L70" t="s">
        <v>746</v>
      </c>
    </row>
    <row r="71" spans="1:12" x14ac:dyDescent="0.25">
      <c r="A71" t="s">
        <v>747</v>
      </c>
      <c r="B71" t="s">
        <v>748</v>
      </c>
      <c r="C71" t="s">
        <v>749</v>
      </c>
      <c r="D71" t="s">
        <v>16</v>
      </c>
      <c r="E71" t="s">
        <v>750</v>
      </c>
      <c r="F71" t="s">
        <v>751</v>
      </c>
      <c r="G71" t="s">
        <v>752</v>
      </c>
      <c r="H71" t="s">
        <v>753</v>
      </c>
      <c r="I71" t="s">
        <v>754</v>
      </c>
      <c r="J71" t="s">
        <v>755</v>
      </c>
      <c r="K71" t="s">
        <v>756</v>
      </c>
      <c r="L71" t="s">
        <v>757</v>
      </c>
    </row>
    <row r="72" spans="1:12" x14ac:dyDescent="0.25">
      <c r="A72" t="s">
        <v>758</v>
      </c>
      <c r="B72" t="s">
        <v>759</v>
      </c>
      <c r="C72" t="s">
        <v>760</v>
      </c>
      <c r="D72" t="s">
        <v>16</v>
      </c>
      <c r="E72" t="s">
        <v>761</v>
      </c>
      <c r="F72" t="s">
        <v>762</v>
      </c>
      <c r="G72" t="s">
        <v>7</v>
      </c>
      <c r="H72" t="s">
        <v>763</v>
      </c>
      <c r="I72" t="s">
        <v>764</v>
      </c>
      <c r="J72" t="s">
        <v>765</v>
      </c>
      <c r="K72" t="s">
        <v>766</v>
      </c>
      <c r="L72" t="s">
        <v>767</v>
      </c>
    </row>
    <row r="73" spans="1:12" x14ac:dyDescent="0.25">
      <c r="A73" t="s">
        <v>768</v>
      </c>
      <c r="B73" t="s">
        <v>769</v>
      </c>
      <c r="C73" t="s">
        <v>770</v>
      </c>
      <c r="D73" t="s">
        <v>16</v>
      </c>
      <c r="E73" t="s">
        <v>771</v>
      </c>
      <c r="F73" t="s">
        <v>772</v>
      </c>
      <c r="G73" t="s">
        <v>773</v>
      </c>
      <c r="H73" t="s">
        <v>774</v>
      </c>
      <c r="I73" t="s">
        <v>775</v>
      </c>
      <c r="J73" t="s">
        <v>776</v>
      </c>
      <c r="K73" t="s">
        <v>777</v>
      </c>
      <c r="L73" t="s">
        <v>778</v>
      </c>
    </row>
    <row r="74" spans="1:12" x14ac:dyDescent="0.25">
      <c r="A74" t="s">
        <v>779</v>
      </c>
      <c r="B74" t="s">
        <v>780</v>
      </c>
      <c r="C74" t="s">
        <v>781</v>
      </c>
      <c r="D74" t="s">
        <v>16</v>
      </c>
      <c r="E74" t="s">
        <v>782</v>
      </c>
      <c r="F74" t="s">
        <v>783</v>
      </c>
      <c r="G74" t="s">
        <v>784</v>
      </c>
      <c r="H74" t="s">
        <v>785</v>
      </c>
      <c r="I74" t="s">
        <v>786</v>
      </c>
      <c r="J74" t="s">
        <v>787</v>
      </c>
      <c r="K74" t="s">
        <v>788</v>
      </c>
      <c r="L74" t="s">
        <v>789</v>
      </c>
    </row>
    <row r="75" spans="1:12" x14ac:dyDescent="0.25">
      <c r="A75" t="s">
        <v>790</v>
      </c>
      <c r="B75" t="s">
        <v>791</v>
      </c>
      <c r="C75" t="s">
        <v>792</v>
      </c>
      <c r="D75" t="s">
        <v>16</v>
      </c>
      <c r="E75" t="s">
        <v>793</v>
      </c>
      <c r="F75" t="s">
        <v>794</v>
      </c>
      <c r="G75" t="s">
        <v>7</v>
      </c>
      <c r="H75" t="s">
        <v>795</v>
      </c>
      <c r="I75" t="s">
        <v>796</v>
      </c>
      <c r="J75" t="s">
        <v>797</v>
      </c>
      <c r="K75" t="s">
        <v>798</v>
      </c>
      <c r="L75" t="s">
        <v>799</v>
      </c>
    </row>
    <row r="76" spans="1:12" x14ac:dyDescent="0.25">
      <c r="A76" t="s">
        <v>800</v>
      </c>
      <c r="B76" t="s">
        <v>801</v>
      </c>
      <c r="C76" t="s">
        <v>802</v>
      </c>
      <c r="D76" t="s">
        <v>803</v>
      </c>
      <c r="E76" t="s">
        <v>804</v>
      </c>
      <c r="F76" t="s">
        <v>805</v>
      </c>
      <c r="G76" t="s">
        <v>806</v>
      </c>
      <c r="H76" t="s">
        <v>807</v>
      </c>
      <c r="I76" t="s">
        <v>808</v>
      </c>
      <c r="J76" t="s">
        <v>809</v>
      </c>
      <c r="K76" t="s">
        <v>810</v>
      </c>
      <c r="L76" t="s">
        <v>811</v>
      </c>
    </row>
    <row r="77" spans="1:12" x14ac:dyDescent="0.25">
      <c r="A77" t="s">
        <v>812</v>
      </c>
      <c r="B77" t="s">
        <v>813</v>
      </c>
      <c r="C77" t="s">
        <v>814</v>
      </c>
      <c r="D77" t="s">
        <v>16</v>
      </c>
      <c r="E77" t="s">
        <v>815</v>
      </c>
      <c r="F77" t="s">
        <v>816</v>
      </c>
      <c r="G77" t="s">
        <v>817</v>
      </c>
      <c r="H77" t="s">
        <v>818</v>
      </c>
      <c r="I77" t="s">
        <v>819</v>
      </c>
      <c r="J77" t="s">
        <v>820</v>
      </c>
      <c r="K77" t="s">
        <v>821</v>
      </c>
      <c r="L77" t="s">
        <v>822</v>
      </c>
    </row>
    <row r="78" spans="1:12" x14ac:dyDescent="0.25">
      <c r="A78" t="s">
        <v>823</v>
      </c>
      <c r="B78" t="s">
        <v>824</v>
      </c>
      <c r="C78" t="s">
        <v>825</v>
      </c>
      <c r="D78" t="s">
        <v>16</v>
      </c>
      <c r="E78" t="s">
        <v>826</v>
      </c>
      <c r="F78" t="s">
        <v>827</v>
      </c>
      <c r="G78" t="s">
        <v>828</v>
      </c>
      <c r="H78" t="s">
        <v>829</v>
      </c>
      <c r="I78" t="s">
        <v>830</v>
      </c>
      <c r="J78" t="s">
        <v>831</v>
      </c>
      <c r="K78" t="s">
        <v>832</v>
      </c>
      <c r="L78" t="s">
        <v>833</v>
      </c>
    </row>
    <row r="79" spans="1:12" x14ac:dyDescent="0.25">
      <c r="A79" t="s">
        <v>834</v>
      </c>
      <c r="B79" t="s">
        <v>835</v>
      </c>
      <c r="C79" t="s">
        <v>836</v>
      </c>
      <c r="D79" t="s">
        <v>16</v>
      </c>
      <c r="E79" t="s">
        <v>837</v>
      </c>
      <c r="F79" t="s">
        <v>838</v>
      </c>
      <c r="G79" t="s">
        <v>839</v>
      </c>
      <c r="H79" t="s">
        <v>840</v>
      </c>
      <c r="I79" t="s">
        <v>841</v>
      </c>
      <c r="J79" t="s">
        <v>842</v>
      </c>
      <c r="K79" t="s">
        <v>843</v>
      </c>
      <c r="L79" t="s">
        <v>844</v>
      </c>
    </row>
    <row r="80" spans="1:12" x14ac:dyDescent="0.25">
      <c r="A80" t="s">
        <v>845</v>
      </c>
      <c r="B80" t="s">
        <v>846</v>
      </c>
      <c r="C80" t="s">
        <v>847</v>
      </c>
      <c r="D80" t="s">
        <v>16</v>
      </c>
      <c r="E80" t="s">
        <v>848</v>
      </c>
      <c r="F80" t="s">
        <v>849</v>
      </c>
      <c r="G80" t="s">
        <v>850</v>
      </c>
      <c r="H80" t="s">
        <v>851</v>
      </c>
      <c r="I80" t="s">
        <v>852</v>
      </c>
      <c r="J80" t="s">
        <v>853</v>
      </c>
      <c r="K80" t="s">
        <v>854</v>
      </c>
      <c r="L80" t="s">
        <v>855</v>
      </c>
    </row>
    <row r="81" spans="1:12" x14ac:dyDescent="0.25">
      <c r="A81" t="s">
        <v>856</v>
      </c>
      <c r="B81" t="s">
        <v>857</v>
      </c>
      <c r="C81" t="s">
        <v>858</v>
      </c>
      <c r="D81" t="s">
        <v>16</v>
      </c>
      <c r="E81" t="s">
        <v>859</v>
      </c>
      <c r="F81" t="s">
        <v>860</v>
      </c>
      <c r="G81" t="s">
        <v>861</v>
      </c>
      <c r="H81" t="s">
        <v>862</v>
      </c>
      <c r="I81" t="s">
        <v>863</v>
      </c>
      <c r="J81" t="s">
        <v>864</v>
      </c>
      <c r="K81" t="s">
        <v>865</v>
      </c>
      <c r="L81" t="s">
        <v>866</v>
      </c>
    </row>
    <row r="82" spans="1:12" x14ac:dyDescent="0.25">
      <c r="A82" t="s">
        <v>867</v>
      </c>
      <c r="B82" t="s">
        <v>868</v>
      </c>
      <c r="C82" t="s">
        <v>869</v>
      </c>
      <c r="D82" t="s">
        <v>16</v>
      </c>
      <c r="E82" t="s">
        <v>870</v>
      </c>
      <c r="F82" t="s">
        <v>871</v>
      </c>
      <c r="G82" t="s">
        <v>7</v>
      </c>
      <c r="H82" t="s">
        <v>872</v>
      </c>
      <c r="I82" t="s">
        <v>873</v>
      </c>
      <c r="J82" t="s">
        <v>874</v>
      </c>
      <c r="K82" t="s">
        <v>875</v>
      </c>
      <c r="L82" t="s">
        <v>876</v>
      </c>
    </row>
    <row r="83" spans="1:12" x14ac:dyDescent="0.25">
      <c r="A83" t="s">
        <v>877</v>
      </c>
      <c r="B83" t="s">
        <v>878</v>
      </c>
      <c r="C83" t="s">
        <v>879</v>
      </c>
      <c r="D83" t="s">
        <v>16</v>
      </c>
      <c r="E83" t="s">
        <v>880</v>
      </c>
      <c r="F83" t="s">
        <v>881</v>
      </c>
      <c r="G83" t="s">
        <v>882</v>
      </c>
      <c r="H83" t="s">
        <v>883</v>
      </c>
      <c r="I83" t="s">
        <v>884</v>
      </c>
      <c r="J83" t="s">
        <v>885</v>
      </c>
      <c r="K83" t="s">
        <v>886</v>
      </c>
      <c r="L83" t="s">
        <v>887</v>
      </c>
    </row>
    <row r="84" spans="1:12" x14ac:dyDescent="0.25">
      <c r="A84" t="s">
        <v>888</v>
      </c>
      <c r="B84" t="s">
        <v>889</v>
      </c>
      <c r="C84" t="s">
        <v>890</v>
      </c>
      <c r="D84" t="s">
        <v>16</v>
      </c>
      <c r="E84" t="s">
        <v>891</v>
      </c>
      <c r="F84" t="s">
        <v>892</v>
      </c>
      <c r="G84" t="s">
        <v>893</v>
      </c>
      <c r="H84" t="s">
        <v>894</v>
      </c>
      <c r="I84" t="s">
        <v>895</v>
      </c>
      <c r="J84" t="s">
        <v>896</v>
      </c>
      <c r="K84" t="s">
        <v>897</v>
      </c>
      <c r="L84" t="s">
        <v>898</v>
      </c>
    </row>
    <row r="85" spans="1:12" x14ac:dyDescent="0.25">
      <c r="A85" t="s">
        <v>899</v>
      </c>
      <c r="B85" t="s">
        <v>900</v>
      </c>
      <c r="C85" t="s">
        <v>901</v>
      </c>
      <c r="D85" t="s">
        <v>902</v>
      </c>
      <c r="E85" t="s">
        <v>903</v>
      </c>
      <c r="F85" t="s">
        <v>904</v>
      </c>
      <c r="G85" t="s">
        <v>7</v>
      </c>
      <c r="H85" t="s">
        <v>905</v>
      </c>
      <c r="I85" t="s">
        <v>906</v>
      </c>
      <c r="J85" t="s">
        <v>907</v>
      </c>
      <c r="K85" t="s">
        <v>908</v>
      </c>
      <c r="L85" t="s">
        <v>909</v>
      </c>
    </row>
    <row r="86" spans="1:12" x14ac:dyDescent="0.25">
      <c r="A86" t="s">
        <v>910</v>
      </c>
      <c r="B86" t="s">
        <v>911</v>
      </c>
      <c r="C86" t="s">
        <v>912</v>
      </c>
      <c r="D86" t="s">
        <v>913</v>
      </c>
      <c r="E86" t="s">
        <v>914</v>
      </c>
      <c r="F86" t="s">
        <v>915</v>
      </c>
      <c r="G86" t="s">
        <v>7</v>
      </c>
      <c r="H86" t="s">
        <v>916</v>
      </c>
      <c r="I86" t="s">
        <v>917</v>
      </c>
      <c r="J86" t="s">
        <v>918</v>
      </c>
      <c r="K86" t="s">
        <v>919</v>
      </c>
      <c r="L86" t="s">
        <v>920</v>
      </c>
    </row>
    <row r="87" spans="1:12" x14ac:dyDescent="0.25">
      <c r="A87" t="s">
        <v>921</v>
      </c>
      <c r="B87" t="s">
        <v>922</v>
      </c>
      <c r="C87" t="s">
        <v>923</v>
      </c>
      <c r="D87" t="s">
        <v>924</v>
      </c>
      <c r="E87" t="s">
        <v>925</v>
      </c>
      <c r="F87" t="s">
        <v>926</v>
      </c>
      <c r="G87" t="s">
        <v>927</v>
      </c>
      <c r="H87" t="s">
        <v>928</v>
      </c>
      <c r="I87" t="s">
        <v>929</v>
      </c>
      <c r="J87" t="s">
        <v>930</v>
      </c>
      <c r="K87" t="s">
        <v>931</v>
      </c>
      <c r="L87" t="s">
        <v>932</v>
      </c>
    </row>
    <row r="88" spans="1:12" x14ac:dyDescent="0.25">
      <c r="A88" t="s">
        <v>933</v>
      </c>
      <c r="B88" t="s">
        <v>934</v>
      </c>
      <c r="C88" t="s">
        <v>935</v>
      </c>
      <c r="D88" t="s">
        <v>16</v>
      </c>
      <c r="E88" t="s">
        <v>205</v>
      </c>
      <c r="F88" t="s">
        <v>936</v>
      </c>
      <c r="G88" t="s">
        <v>7</v>
      </c>
      <c r="H88" t="s">
        <v>937</v>
      </c>
      <c r="I88" t="s">
        <v>938</v>
      </c>
      <c r="J88" t="s">
        <v>939</v>
      </c>
      <c r="K88" t="s">
        <v>940</v>
      </c>
      <c r="L88" t="s">
        <v>941</v>
      </c>
    </row>
    <row r="89" spans="1:12" x14ac:dyDescent="0.25">
      <c r="A89" t="s">
        <v>942</v>
      </c>
      <c r="B89" t="s">
        <v>943</v>
      </c>
      <c r="C89" t="s">
        <v>944</v>
      </c>
      <c r="D89" t="s">
        <v>16</v>
      </c>
      <c r="E89" t="s">
        <v>945</v>
      </c>
      <c r="F89" t="s">
        <v>946</v>
      </c>
      <c r="G89" t="s">
        <v>7</v>
      </c>
      <c r="H89" t="s">
        <v>947</v>
      </c>
      <c r="I89" t="s">
        <v>948</v>
      </c>
      <c r="J89" t="s">
        <v>949</v>
      </c>
      <c r="K89" t="s">
        <v>950</v>
      </c>
      <c r="L89" t="s">
        <v>951</v>
      </c>
    </row>
    <row r="90" spans="1:12" x14ac:dyDescent="0.25">
      <c r="A90" t="s">
        <v>952</v>
      </c>
      <c r="B90" t="s">
        <v>953</v>
      </c>
      <c r="C90" t="s">
        <v>954</v>
      </c>
      <c r="D90" t="s">
        <v>16</v>
      </c>
      <c r="E90" t="s">
        <v>955</v>
      </c>
      <c r="F90" t="s">
        <v>956</v>
      </c>
      <c r="G90" t="s">
        <v>957</v>
      </c>
      <c r="H90" t="s">
        <v>958</v>
      </c>
      <c r="I90" t="s">
        <v>959</v>
      </c>
      <c r="J90" t="s">
        <v>960</v>
      </c>
      <c r="K90" t="s">
        <v>961</v>
      </c>
      <c r="L90" t="s">
        <v>962</v>
      </c>
    </row>
    <row r="91" spans="1:12" x14ac:dyDescent="0.25">
      <c r="A91" t="s">
        <v>963</v>
      </c>
      <c r="B91" t="s">
        <v>964</v>
      </c>
      <c r="C91" t="s">
        <v>965</v>
      </c>
      <c r="D91" t="s">
        <v>16</v>
      </c>
      <c r="E91" t="s">
        <v>966</v>
      </c>
      <c r="F91" t="s">
        <v>967</v>
      </c>
      <c r="G91" t="s">
        <v>968</v>
      </c>
      <c r="H91" t="s">
        <v>969</v>
      </c>
      <c r="I91" t="s">
        <v>970</v>
      </c>
      <c r="J91" t="s">
        <v>971</v>
      </c>
      <c r="K91" t="s">
        <v>972</v>
      </c>
      <c r="L91" t="s">
        <v>973</v>
      </c>
    </row>
    <row r="92" spans="1:12" x14ac:dyDescent="0.25">
      <c r="A92" t="s">
        <v>974</v>
      </c>
      <c r="B92" t="s">
        <v>975</v>
      </c>
      <c r="C92" t="s">
        <v>976</v>
      </c>
      <c r="D92" t="s">
        <v>16</v>
      </c>
      <c r="E92" t="s">
        <v>977</v>
      </c>
      <c r="F92" t="s">
        <v>262</v>
      </c>
      <c r="G92" t="s">
        <v>978</v>
      </c>
      <c r="H92" t="s">
        <v>979</v>
      </c>
      <c r="I92" t="s">
        <v>980</v>
      </c>
      <c r="J92" t="s">
        <v>981</v>
      </c>
      <c r="K92" t="s">
        <v>982</v>
      </c>
      <c r="L92" t="s">
        <v>983</v>
      </c>
    </row>
    <row r="93" spans="1:12" x14ac:dyDescent="0.25">
      <c r="A93" t="s">
        <v>984</v>
      </c>
      <c r="B93" t="s">
        <v>985</v>
      </c>
      <c r="C93" t="s">
        <v>986</v>
      </c>
      <c r="D93" t="s">
        <v>987</v>
      </c>
      <c r="E93" t="s">
        <v>988</v>
      </c>
      <c r="F93" t="s">
        <v>989</v>
      </c>
      <c r="G93" t="s">
        <v>7</v>
      </c>
      <c r="H93" t="s">
        <v>990</v>
      </c>
      <c r="I93" t="s">
        <v>991</v>
      </c>
      <c r="J93" t="s">
        <v>992</v>
      </c>
      <c r="K93" t="s">
        <v>993</v>
      </c>
      <c r="L93" t="s">
        <v>994</v>
      </c>
    </row>
    <row r="94" spans="1:12" x14ac:dyDescent="0.25">
      <c r="A94" t="s">
        <v>995</v>
      </c>
      <c r="B94" t="s">
        <v>996</v>
      </c>
      <c r="C94" t="s">
        <v>997</v>
      </c>
      <c r="D94" t="s">
        <v>16</v>
      </c>
      <c r="E94" t="s">
        <v>998</v>
      </c>
      <c r="F94" t="s">
        <v>999</v>
      </c>
      <c r="G94" t="s">
        <v>1000</v>
      </c>
      <c r="H94" t="s">
        <v>1001</v>
      </c>
      <c r="I94" t="s">
        <v>1002</v>
      </c>
      <c r="J94" t="s">
        <v>1003</v>
      </c>
      <c r="K94" t="s">
        <v>1004</v>
      </c>
      <c r="L94" t="s">
        <v>1005</v>
      </c>
    </row>
    <row r="95" spans="1:12" x14ac:dyDescent="0.25">
      <c r="A95" t="s">
        <v>1006</v>
      </c>
      <c r="B95" t="s">
        <v>1007</v>
      </c>
      <c r="C95" t="s">
        <v>1008</v>
      </c>
      <c r="D95" t="s">
        <v>16</v>
      </c>
      <c r="E95" t="s">
        <v>1009</v>
      </c>
      <c r="F95" t="s">
        <v>1010</v>
      </c>
      <c r="G95" t="s">
        <v>1011</v>
      </c>
      <c r="H95" t="s">
        <v>1012</v>
      </c>
      <c r="I95" t="s">
        <v>1013</v>
      </c>
      <c r="J95" t="s">
        <v>1014</v>
      </c>
      <c r="K95" t="s">
        <v>1015</v>
      </c>
      <c r="L95" t="s">
        <v>1016</v>
      </c>
    </row>
    <row r="96" spans="1:12" x14ac:dyDescent="0.25">
      <c r="A96" t="s">
        <v>1017</v>
      </c>
      <c r="B96" t="s">
        <v>1018</v>
      </c>
      <c r="C96" t="s">
        <v>1019</v>
      </c>
      <c r="D96" t="s">
        <v>16</v>
      </c>
      <c r="E96" t="s">
        <v>1020</v>
      </c>
      <c r="F96" t="s">
        <v>1021</v>
      </c>
      <c r="G96" t="s">
        <v>7</v>
      </c>
      <c r="H96" t="s">
        <v>1022</v>
      </c>
      <c r="I96" t="s">
        <v>1023</v>
      </c>
      <c r="J96" t="s">
        <v>1024</v>
      </c>
      <c r="K96" t="s">
        <v>1025</v>
      </c>
      <c r="L96" t="s">
        <v>1026</v>
      </c>
    </row>
    <row r="97" spans="1:12" x14ac:dyDescent="0.25">
      <c r="A97" t="s">
        <v>1027</v>
      </c>
      <c r="B97" t="s">
        <v>1028</v>
      </c>
      <c r="C97" t="s">
        <v>1029</v>
      </c>
      <c r="D97" t="s">
        <v>1030</v>
      </c>
      <c r="E97" t="s">
        <v>1031</v>
      </c>
      <c r="F97" t="s">
        <v>1032</v>
      </c>
      <c r="G97" t="s">
        <v>1033</v>
      </c>
      <c r="H97" t="s">
        <v>1034</v>
      </c>
      <c r="I97" t="s">
        <v>1035</v>
      </c>
      <c r="J97" t="s">
        <v>1036</v>
      </c>
      <c r="K97" t="s">
        <v>1037</v>
      </c>
      <c r="L97" t="s">
        <v>1038</v>
      </c>
    </row>
    <row r="98" spans="1:12" x14ac:dyDescent="0.25">
      <c r="A98" t="s">
        <v>1039</v>
      </c>
      <c r="B98" t="s">
        <v>1040</v>
      </c>
      <c r="C98" t="s">
        <v>1041</v>
      </c>
      <c r="D98" t="s">
        <v>1042</v>
      </c>
      <c r="E98" t="s">
        <v>1043</v>
      </c>
      <c r="F98" t="s">
        <v>387</v>
      </c>
      <c r="G98" t="s">
        <v>7</v>
      </c>
      <c r="H98" t="s">
        <v>1044</v>
      </c>
      <c r="I98" t="s">
        <v>1045</v>
      </c>
      <c r="J98" t="s">
        <v>1046</v>
      </c>
      <c r="K98" t="s">
        <v>1047</v>
      </c>
      <c r="L98" t="s">
        <v>1048</v>
      </c>
    </row>
    <row r="99" spans="1:12" x14ac:dyDescent="0.25">
      <c r="A99" t="s">
        <v>1049</v>
      </c>
      <c r="B99" t="s">
        <v>1050</v>
      </c>
      <c r="C99" t="s">
        <v>1051</v>
      </c>
      <c r="D99" t="s">
        <v>16</v>
      </c>
      <c r="E99" t="s">
        <v>1052</v>
      </c>
      <c r="F99" t="s">
        <v>1053</v>
      </c>
      <c r="G99" t="s">
        <v>1054</v>
      </c>
      <c r="H99" t="s">
        <v>1055</v>
      </c>
      <c r="I99" t="s">
        <v>1056</v>
      </c>
      <c r="J99" t="s">
        <v>1057</v>
      </c>
      <c r="K99" t="s">
        <v>1058</v>
      </c>
      <c r="L99" t="s">
        <v>1059</v>
      </c>
    </row>
    <row r="100" spans="1:12" x14ac:dyDescent="0.25">
      <c r="A100" t="s">
        <v>1060</v>
      </c>
      <c r="B100" t="s">
        <v>1061</v>
      </c>
      <c r="C100" t="s">
        <v>1062</v>
      </c>
      <c r="D100" t="s">
        <v>16</v>
      </c>
      <c r="E100" t="s">
        <v>1063</v>
      </c>
      <c r="F100" t="s">
        <v>1064</v>
      </c>
      <c r="G100" t="s">
        <v>1065</v>
      </c>
      <c r="H100" t="s">
        <v>1066</v>
      </c>
      <c r="I100" t="s">
        <v>1067</v>
      </c>
      <c r="J100" t="s">
        <v>1068</v>
      </c>
      <c r="K100" t="s">
        <v>1069</v>
      </c>
      <c r="L100" t="s">
        <v>1070</v>
      </c>
    </row>
    <row r="101" spans="1:12" x14ac:dyDescent="0.25">
      <c r="A101" t="s">
        <v>1071</v>
      </c>
      <c r="B101" t="s">
        <v>1072</v>
      </c>
      <c r="C101" t="s">
        <v>1073</v>
      </c>
      <c r="D101" t="s">
        <v>1074</v>
      </c>
      <c r="E101" t="s">
        <v>1075</v>
      </c>
      <c r="F101" t="s">
        <v>1076</v>
      </c>
      <c r="G101" t="s">
        <v>1077</v>
      </c>
      <c r="H101" t="s">
        <v>1078</v>
      </c>
      <c r="I101" t="s">
        <v>1079</v>
      </c>
      <c r="J101" t="s">
        <v>1080</v>
      </c>
      <c r="K101" t="s">
        <v>1081</v>
      </c>
      <c r="L101" t="s">
        <v>1082</v>
      </c>
    </row>
    <row r="102" spans="1:12" x14ac:dyDescent="0.25">
      <c r="A102" t="s">
        <v>1083</v>
      </c>
      <c r="B102" t="s">
        <v>1084</v>
      </c>
      <c r="C102" t="s">
        <v>1085</v>
      </c>
      <c r="D102" t="s">
        <v>16</v>
      </c>
      <c r="E102" t="s">
        <v>1086</v>
      </c>
      <c r="F102" t="s">
        <v>1087</v>
      </c>
      <c r="G102" t="s">
        <v>1088</v>
      </c>
      <c r="H102" t="s">
        <v>1089</v>
      </c>
      <c r="I102" t="s">
        <v>1090</v>
      </c>
      <c r="J102" t="s">
        <v>1091</v>
      </c>
      <c r="K102" t="s">
        <v>1092</v>
      </c>
      <c r="L102" t="s">
        <v>1093</v>
      </c>
    </row>
    <row r="103" spans="1:12" x14ac:dyDescent="0.25">
      <c r="A103" t="s">
        <v>1094</v>
      </c>
      <c r="B103" t="s">
        <v>1095</v>
      </c>
      <c r="C103" t="s">
        <v>1096</v>
      </c>
      <c r="D103" t="s">
        <v>16</v>
      </c>
      <c r="E103" t="s">
        <v>1097</v>
      </c>
      <c r="F103" t="s">
        <v>1098</v>
      </c>
      <c r="G103" t="s">
        <v>1099</v>
      </c>
      <c r="H103" t="s">
        <v>1100</v>
      </c>
      <c r="I103" t="s">
        <v>1101</v>
      </c>
      <c r="J103" t="s">
        <v>1102</v>
      </c>
      <c r="K103" t="s">
        <v>1103</v>
      </c>
      <c r="L103" t="s">
        <v>1104</v>
      </c>
    </row>
    <row r="104" spans="1:12" x14ac:dyDescent="0.25">
      <c r="A104" t="s">
        <v>1105</v>
      </c>
      <c r="B104" t="s">
        <v>1106</v>
      </c>
      <c r="C104" t="s">
        <v>1107</v>
      </c>
      <c r="D104" t="s">
        <v>16</v>
      </c>
      <c r="E104" t="s">
        <v>1108</v>
      </c>
      <c r="F104" t="s">
        <v>1109</v>
      </c>
      <c r="G104" t="s">
        <v>1110</v>
      </c>
      <c r="H104" t="s">
        <v>1111</v>
      </c>
      <c r="I104" t="s">
        <v>1112</v>
      </c>
      <c r="J104" t="s">
        <v>1113</v>
      </c>
      <c r="K104" t="s">
        <v>1114</v>
      </c>
      <c r="L104" t="s">
        <v>1115</v>
      </c>
    </row>
    <row r="105" spans="1:12" x14ac:dyDescent="0.25">
      <c r="A105" t="s">
        <v>1116</v>
      </c>
      <c r="B105" t="s">
        <v>1117</v>
      </c>
      <c r="C105" t="s">
        <v>1118</v>
      </c>
      <c r="D105" t="s">
        <v>1119</v>
      </c>
      <c r="E105" t="s">
        <v>1120</v>
      </c>
      <c r="F105" t="s">
        <v>1121</v>
      </c>
      <c r="G105" t="s">
        <v>7</v>
      </c>
      <c r="H105" t="s">
        <v>1122</v>
      </c>
      <c r="I105" t="s">
        <v>1123</v>
      </c>
      <c r="J105" t="s">
        <v>1124</v>
      </c>
      <c r="K105" t="s">
        <v>1125</v>
      </c>
      <c r="L105" t="s">
        <v>1126</v>
      </c>
    </row>
    <row r="106" spans="1:12" x14ac:dyDescent="0.25">
      <c r="A106" t="s">
        <v>1127</v>
      </c>
      <c r="B106" t="s">
        <v>1128</v>
      </c>
      <c r="C106" t="s">
        <v>1129</v>
      </c>
      <c r="D106" t="s">
        <v>16</v>
      </c>
      <c r="E106" t="s">
        <v>1130</v>
      </c>
      <c r="F106" t="s">
        <v>1131</v>
      </c>
      <c r="G106" t="s">
        <v>7</v>
      </c>
      <c r="H106" t="s">
        <v>1132</v>
      </c>
      <c r="I106" t="s">
        <v>1133</v>
      </c>
      <c r="J106" t="s">
        <v>1134</v>
      </c>
      <c r="K106" t="s">
        <v>1135</v>
      </c>
      <c r="L106" t="s">
        <v>1136</v>
      </c>
    </row>
    <row r="107" spans="1:12" x14ac:dyDescent="0.25">
      <c r="A107" t="s">
        <v>1137</v>
      </c>
      <c r="B107" t="s">
        <v>1138</v>
      </c>
      <c r="C107" t="s">
        <v>1139</v>
      </c>
      <c r="D107" t="s">
        <v>16</v>
      </c>
      <c r="E107" t="s">
        <v>1140</v>
      </c>
      <c r="F107" t="s">
        <v>1141</v>
      </c>
      <c r="G107" t="s">
        <v>1142</v>
      </c>
      <c r="H107" t="s">
        <v>1143</v>
      </c>
      <c r="I107" t="s">
        <v>1144</v>
      </c>
      <c r="J107" t="s">
        <v>1145</v>
      </c>
      <c r="K107" t="s">
        <v>1146</v>
      </c>
      <c r="L107" t="s">
        <v>1147</v>
      </c>
    </row>
    <row r="108" spans="1:12" x14ac:dyDescent="0.25">
      <c r="A108" t="s">
        <v>1148</v>
      </c>
      <c r="B108" t="s">
        <v>1149</v>
      </c>
      <c r="C108" t="s">
        <v>1150</v>
      </c>
      <c r="D108" t="s">
        <v>16</v>
      </c>
      <c r="E108" t="s">
        <v>1151</v>
      </c>
      <c r="F108" t="s">
        <v>1152</v>
      </c>
      <c r="G108" t="s">
        <v>7</v>
      </c>
      <c r="H108" t="s">
        <v>1153</v>
      </c>
      <c r="I108" t="s">
        <v>1154</v>
      </c>
      <c r="J108" t="s">
        <v>1155</v>
      </c>
      <c r="K108" t="s">
        <v>1156</v>
      </c>
      <c r="L108" t="s">
        <v>1157</v>
      </c>
    </row>
    <row r="109" spans="1:12" x14ac:dyDescent="0.25">
      <c r="A109" t="s">
        <v>1158</v>
      </c>
      <c r="B109" t="s">
        <v>1159</v>
      </c>
      <c r="C109" t="s">
        <v>1160</v>
      </c>
      <c r="D109" t="s">
        <v>16</v>
      </c>
      <c r="E109" t="s">
        <v>1161</v>
      </c>
      <c r="F109" t="s">
        <v>1162</v>
      </c>
      <c r="G109" t="s">
        <v>1163</v>
      </c>
      <c r="H109" t="s">
        <v>1164</v>
      </c>
      <c r="I109" t="s">
        <v>1165</v>
      </c>
      <c r="J109" t="s">
        <v>1166</v>
      </c>
      <c r="K109" t="s">
        <v>1167</v>
      </c>
      <c r="L109" t="s">
        <v>1168</v>
      </c>
    </row>
    <row r="110" spans="1:12" x14ac:dyDescent="0.25">
      <c r="A110" t="s">
        <v>1169</v>
      </c>
      <c r="B110" t="s">
        <v>1170</v>
      </c>
      <c r="C110" t="s">
        <v>1171</v>
      </c>
      <c r="D110" t="s">
        <v>16</v>
      </c>
      <c r="E110" t="s">
        <v>1172</v>
      </c>
      <c r="F110" t="s">
        <v>1173</v>
      </c>
      <c r="G110" t="s">
        <v>1174</v>
      </c>
      <c r="H110" t="s">
        <v>1175</v>
      </c>
      <c r="I110" t="s">
        <v>1176</v>
      </c>
      <c r="J110" t="s">
        <v>1177</v>
      </c>
      <c r="K110" t="s">
        <v>1178</v>
      </c>
      <c r="L110" t="s">
        <v>1179</v>
      </c>
    </row>
    <row r="111" spans="1:12" x14ac:dyDescent="0.25">
      <c r="A111" t="s">
        <v>1180</v>
      </c>
      <c r="B111" t="s">
        <v>1181</v>
      </c>
      <c r="C111" t="s">
        <v>1182</v>
      </c>
      <c r="D111" t="s">
        <v>16</v>
      </c>
      <c r="E111" t="s">
        <v>1183</v>
      </c>
      <c r="F111" t="s">
        <v>1184</v>
      </c>
      <c r="G111" t="s">
        <v>1185</v>
      </c>
      <c r="H111" t="s">
        <v>1186</v>
      </c>
      <c r="I111" t="s">
        <v>1187</v>
      </c>
      <c r="J111" t="s">
        <v>1188</v>
      </c>
      <c r="K111" t="s">
        <v>1189</v>
      </c>
      <c r="L111" t="s">
        <v>1190</v>
      </c>
    </row>
    <row r="112" spans="1:12" x14ac:dyDescent="0.25">
      <c r="A112" t="s">
        <v>1191</v>
      </c>
      <c r="B112" t="s">
        <v>1192</v>
      </c>
      <c r="C112" t="s">
        <v>1193</v>
      </c>
      <c r="D112" t="s">
        <v>1194</v>
      </c>
      <c r="E112" t="s">
        <v>1195</v>
      </c>
      <c r="F112" t="s">
        <v>75</v>
      </c>
      <c r="G112" t="s">
        <v>7</v>
      </c>
      <c r="H112" t="s">
        <v>1196</v>
      </c>
      <c r="I112" t="s">
        <v>1197</v>
      </c>
      <c r="J112" t="s">
        <v>1198</v>
      </c>
      <c r="K112" t="s">
        <v>1199</v>
      </c>
      <c r="L112" t="s">
        <v>1200</v>
      </c>
    </row>
    <row r="113" spans="1:12" x14ac:dyDescent="0.25">
      <c r="A113" t="s">
        <v>1201</v>
      </c>
      <c r="B113" t="s">
        <v>1202</v>
      </c>
      <c r="C113" t="s">
        <v>1203</v>
      </c>
      <c r="D113" t="s">
        <v>1204</v>
      </c>
      <c r="E113" t="s">
        <v>1205</v>
      </c>
      <c r="F113" t="s">
        <v>1206</v>
      </c>
      <c r="G113" t="s">
        <v>7</v>
      </c>
      <c r="H113" t="s">
        <v>1207</v>
      </c>
      <c r="I113" t="s">
        <v>1208</v>
      </c>
      <c r="J113" t="s">
        <v>1209</v>
      </c>
      <c r="K113" t="s">
        <v>1210</v>
      </c>
      <c r="L113" t="s">
        <v>1211</v>
      </c>
    </row>
    <row r="114" spans="1:12" x14ac:dyDescent="0.25">
      <c r="A114" t="s">
        <v>1212</v>
      </c>
      <c r="B114" t="s">
        <v>1213</v>
      </c>
      <c r="C114" t="s">
        <v>1214</v>
      </c>
      <c r="D114" t="s">
        <v>16</v>
      </c>
      <c r="E114" t="s">
        <v>1215</v>
      </c>
      <c r="F114" t="s">
        <v>1216</v>
      </c>
      <c r="G114" t="s">
        <v>7</v>
      </c>
      <c r="H114" t="s">
        <v>1217</v>
      </c>
      <c r="I114" t="s">
        <v>1218</v>
      </c>
      <c r="J114" t="s">
        <v>1219</v>
      </c>
      <c r="K114" t="s">
        <v>1220</v>
      </c>
      <c r="L114" t="s">
        <v>1221</v>
      </c>
    </row>
    <row r="115" spans="1:12" x14ac:dyDescent="0.25">
      <c r="A115" t="s">
        <v>1222</v>
      </c>
      <c r="B115" t="s">
        <v>1223</v>
      </c>
      <c r="C115" t="s">
        <v>1224</v>
      </c>
      <c r="D115" t="s">
        <v>16</v>
      </c>
      <c r="E115" t="s">
        <v>1225</v>
      </c>
      <c r="F115" t="s">
        <v>1226</v>
      </c>
      <c r="G115" t="s">
        <v>7</v>
      </c>
      <c r="H115" t="s">
        <v>1227</v>
      </c>
      <c r="I115" t="s">
        <v>1228</v>
      </c>
      <c r="J115" t="s">
        <v>1229</v>
      </c>
      <c r="K115" t="s">
        <v>1230</v>
      </c>
      <c r="L115" t="s">
        <v>1231</v>
      </c>
    </row>
    <row r="116" spans="1:12" x14ac:dyDescent="0.25">
      <c r="A116" t="s">
        <v>1232</v>
      </c>
      <c r="B116" t="s">
        <v>1233</v>
      </c>
      <c r="C116" t="s">
        <v>1234</v>
      </c>
      <c r="D116" t="s">
        <v>16</v>
      </c>
      <c r="E116" t="s">
        <v>1235</v>
      </c>
      <c r="F116" t="s">
        <v>1236</v>
      </c>
      <c r="G116" t="s">
        <v>1237</v>
      </c>
      <c r="H116" t="s">
        <v>1238</v>
      </c>
      <c r="I116" t="s">
        <v>1239</v>
      </c>
      <c r="J116" t="s">
        <v>1240</v>
      </c>
      <c r="K116" t="s">
        <v>1241</v>
      </c>
      <c r="L116" t="s">
        <v>1242</v>
      </c>
    </row>
    <row r="117" spans="1:12" x14ac:dyDescent="0.25">
      <c r="A117" t="s">
        <v>1243</v>
      </c>
      <c r="B117" t="s">
        <v>1244</v>
      </c>
      <c r="C117" t="s">
        <v>1245</v>
      </c>
      <c r="D117" t="s">
        <v>1246</v>
      </c>
      <c r="E117" t="s">
        <v>718</v>
      </c>
      <c r="F117" t="s">
        <v>719</v>
      </c>
      <c r="G117" t="s">
        <v>1247</v>
      </c>
      <c r="H117" t="s">
        <v>1248</v>
      </c>
      <c r="I117" t="s">
        <v>1249</v>
      </c>
      <c r="J117" t="s">
        <v>1250</v>
      </c>
      <c r="K117" t="s">
        <v>1251</v>
      </c>
      <c r="L117" t="s">
        <v>1252</v>
      </c>
    </row>
    <row r="118" spans="1:12" x14ac:dyDescent="0.25">
      <c r="A118" t="s">
        <v>1253</v>
      </c>
      <c r="B118" t="s">
        <v>1254</v>
      </c>
      <c r="C118" t="s">
        <v>1255</v>
      </c>
      <c r="D118" t="s">
        <v>16</v>
      </c>
      <c r="E118" t="s">
        <v>1256</v>
      </c>
      <c r="F118" t="s">
        <v>1257</v>
      </c>
      <c r="G118" t="s">
        <v>1247</v>
      </c>
      <c r="H118" t="s">
        <v>1258</v>
      </c>
      <c r="I118" t="s">
        <v>1259</v>
      </c>
      <c r="J118" t="s">
        <v>1250</v>
      </c>
      <c r="K118" t="s">
        <v>1251</v>
      </c>
      <c r="L118" t="s">
        <v>1252</v>
      </c>
    </row>
    <row r="119" spans="1:12" x14ac:dyDescent="0.25">
      <c r="A119" t="s">
        <v>1260</v>
      </c>
      <c r="B119" t="s">
        <v>1261</v>
      </c>
      <c r="C119" t="s">
        <v>1262</v>
      </c>
      <c r="D119" t="s">
        <v>16</v>
      </c>
      <c r="E119" t="s">
        <v>1263</v>
      </c>
      <c r="F119" t="s">
        <v>1264</v>
      </c>
      <c r="G119" t="s">
        <v>1265</v>
      </c>
      <c r="H119" t="s">
        <v>1266</v>
      </c>
      <c r="I119" t="s">
        <v>1267</v>
      </c>
      <c r="J119" t="s">
        <v>1268</v>
      </c>
      <c r="K119" t="s">
        <v>1269</v>
      </c>
      <c r="L119" t="s">
        <v>1270</v>
      </c>
    </row>
    <row r="120" spans="1:12" x14ac:dyDescent="0.25">
      <c r="A120" t="s">
        <v>1271</v>
      </c>
      <c r="B120" t="s">
        <v>1272</v>
      </c>
      <c r="C120" t="s">
        <v>1273</v>
      </c>
      <c r="D120" t="s">
        <v>1274</v>
      </c>
      <c r="E120" t="s">
        <v>1275</v>
      </c>
      <c r="F120" t="s">
        <v>1276</v>
      </c>
      <c r="G120" t="s">
        <v>1277</v>
      </c>
      <c r="H120" t="s">
        <v>1278</v>
      </c>
      <c r="I120" t="s">
        <v>1279</v>
      </c>
      <c r="J120" t="s">
        <v>1280</v>
      </c>
      <c r="K120" t="s">
        <v>1281</v>
      </c>
      <c r="L120" t="s">
        <v>1282</v>
      </c>
    </row>
    <row r="121" spans="1:12" x14ac:dyDescent="0.25">
      <c r="A121" t="s">
        <v>1283</v>
      </c>
      <c r="B121" t="s">
        <v>1284</v>
      </c>
      <c r="C121" t="s">
        <v>1285</v>
      </c>
      <c r="D121" t="s">
        <v>16</v>
      </c>
      <c r="E121" t="s">
        <v>1286</v>
      </c>
      <c r="F121" t="s">
        <v>1287</v>
      </c>
      <c r="G121" t="s">
        <v>1288</v>
      </c>
      <c r="H121" t="s">
        <v>1289</v>
      </c>
      <c r="I121" t="s">
        <v>1290</v>
      </c>
      <c r="J121" t="s">
        <v>1291</v>
      </c>
      <c r="K121" t="s">
        <v>1292</v>
      </c>
      <c r="L121" t="s">
        <v>1293</v>
      </c>
    </row>
    <row r="122" spans="1:12" x14ac:dyDescent="0.25">
      <c r="A122" t="s">
        <v>1294</v>
      </c>
      <c r="B122" t="s">
        <v>1295</v>
      </c>
      <c r="C122" t="s">
        <v>1296</v>
      </c>
      <c r="D122" t="s">
        <v>16</v>
      </c>
      <c r="E122" t="s">
        <v>1297</v>
      </c>
      <c r="F122" t="s">
        <v>1298</v>
      </c>
      <c r="G122" t="s">
        <v>7</v>
      </c>
      <c r="H122" t="s">
        <v>1299</v>
      </c>
      <c r="I122" t="s">
        <v>1300</v>
      </c>
      <c r="J122" t="s">
        <v>1301</v>
      </c>
      <c r="K122" t="s">
        <v>1302</v>
      </c>
      <c r="L122" t="s">
        <v>1303</v>
      </c>
    </row>
    <row r="123" spans="1:12" x14ac:dyDescent="0.25">
      <c r="A123" t="s">
        <v>1304</v>
      </c>
      <c r="B123" t="s">
        <v>1305</v>
      </c>
      <c r="C123" t="s">
        <v>1306</v>
      </c>
      <c r="D123" t="s">
        <v>16</v>
      </c>
      <c r="E123" t="s">
        <v>1307</v>
      </c>
      <c r="F123" t="s">
        <v>1308</v>
      </c>
      <c r="G123" t="s">
        <v>1309</v>
      </c>
      <c r="H123" t="s">
        <v>1310</v>
      </c>
      <c r="I123" t="s">
        <v>1311</v>
      </c>
      <c r="J123" t="s">
        <v>1312</v>
      </c>
      <c r="K123" t="s">
        <v>1313</v>
      </c>
      <c r="L123" t="s">
        <v>1314</v>
      </c>
    </row>
    <row r="124" spans="1:12" x14ac:dyDescent="0.25">
      <c r="A124" t="s">
        <v>1315</v>
      </c>
      <c r="B124" t="s">
        <v>1316</v>
      </c>
      <c r="C124" t="s">
        <v>1317</v>
      </c>
      <c r="D124" t="s">
        <v>1318</v>
      </c>
      <c r="E124" t="s">
        <v>1319</v>
      </c>
      <c r="F124" t="s">
        <v>308</v>
      </c>
      <c r="G124" t="s">
        <v>1320</v>
      </c>
      <c r="H124" t="s">
        <v>1321</v>
      </c>
      <c r="I124" t="s">
        <v>1322</v>
      </c>
      <c r="J124" t="s">
        <v>1323</v>
      </c>
      <c r="K124" t="s">
        <v>1324</v>
      </c>
      <c r="L124" t="s">
        <v>1325</v>
      </c>
    </row>
    <row r="125" spans="1:12" x14ac:dyDescent="0.25">
      <c r="A125" t="s">
        <v>1326</v>
      </c>
      <c r="B125" t="s">
        <v>1327</v>
      </c>
      <c r="C125" t="s">
        <v>1328</v>
      </c>
      <c r="D125" t="s">
        <v>16</v>
      </c>
      <c r="E125" t="s">
        <v>1329</v>
      </c>
      <c r="F125" t="s">
        <v>1330</v>
      </c>
      <c r="G125" t="s">
        <v>1331</v>
      </c>
      <c r="H125" t="s">
        <v>1332</v>
      </c>
      <c r="I125" t="s">
        <v>1333</v>
      </c>
      <c r="J125" t="s">
        <v>1334</v>
      </c>
      <c r="K125" t="s">
        <v>1335</v>
      </c>
      <c r="L125" t="s">
        <v>1336</v>
      </c>
    </row>
    <row r="126" spans="1:12" x14ac:dyDescent="0.25">
      <c r="A126" t="s">
        <v>1337</v>
      </c>
      <c r="B126" t="s">
        <v>1338</v>
      </c>
      <c r="C126" t="s">
        <v>1339</v>
      </c>
      <c r="D126" t="s">
        <v>1340</v>
      </c>
      <c r="E126" t="s">
        <v>1341</v>
      </c>
      <c r="F126" t="s">
        <v>1342</v>
      </c>
      <c r="G126" t="s">
        <v>7</v>
      </c>
      <c r="H126" t="s">
        <v>1343</v>
      </c>
      <c r="I126" t="s">
        <v>1344</v>
      </c>
      <c r="J126" t="s">
        <v>1345</v>
      </c>
      <c r="K126" t="s">
        <v>1346</v>
      </c>
      <c r="L126" t="s">
        <v>1347</v>
      </c>
    </row>
    <row r="127" spans="1:12" x14ac:dyDescent="0.25">
      <c r="A127" t="s">
        <v>1348</v>
      </c>
      <c r="B127" t="s">
        <v>1349</v>
      </c>
      <c r="C127" t="s">
        <v>1350</v>
      </c>
      <c r="D127" t="s">
        <v>1351</v>
      </c>
      <c r="E127" t="s">
        <v>1352</v>
      </c>
      <c r="F127" t="s">
        <v>1353</v>
      </c>
      <c r="G127" t="s">
        <v>1354</v>
      </c>
      <c r="H127" t="s">
        <v>1355</v>
      </c>
      <c r="I127" t="s">
        <v>1356</v>
      </c>
      <c r="J127" t="s">
        <v>1357</v>
      </c>
      <c r="K127" t="s">
        <v>1358</v>
      </c>
      <c r="L127" t="s">
        <v>1359</v>
      </c>
    </row>
    <row r="128" spans="1:12" x14ac:dyDescent="0.25">
      <c r="A128" t="s">
        <v>1360</v>
      </c>
      <c r="B128" t="s">
        <v>1361</v>
      </c>
      <c r="C128" t="s">
        <v>1362</v>
      </c>
      <c r="D128" t="s">
        <v>16</v>
      </c>
      <c r="E128" t="s">
        <v>1363</v>
      </c>
      <c r="F128" t="s">
        <v>1364</v>
      </c>
      <c r="G128" t="s">
        <v>1365</v>
      </c>
      <c r="H128" t="s">
        <v>1366</v>
      </c>
      <c r="I128" t="s">
        <v>1367</v>
      </c>
      <c r="J128" t="s">
        <v>1368</v>
      </c>
      <c r="K128" t="s">
        <v>1369</v>
      </c>
      <c r="L128" t="s">
        <v>1370</v>
      </c>
    </row>
    <row r="129" spans="1:12" x14ac:dyDescent="0.25">
      <c r="A129" t="s">
        <v>1371</v>
      </c>
      <c r="B129" t="s">
        <v>1372</v>
      </c>
      <c r="C129" t="s">
        <v>1373</v>
      </c>
      <c r="D129" t="s">
        <v>16</v>
      </c>
      <c r="E129" t="s">
        <v>1374</v>
      </c>
      <c r="F129" t="s">
        <v>1375</v>
      </c>
      <c r="G129" t="s">
        <v>7</v>
      </c>
      <c r="H129" t="s">
        <v>1376</v>
      </c>
      <c r="I129" t="s">
        <v>1377</v>
      </c>
      <c r="J129" t="s">
        <v>1378</v>
      </c>
      <c r="K129" t="s">
        <v>1379</v>
      </c>
      <c r="L129" t="s">
        <v>1380</v>
      </c>
    </row>
    <row r="130" spans="1:12" x14ac:dyDescent="0.25">
      <c r="A130" t="s">
        <v>1381</v>
      </c>
      <c r="B130" t="s">
        <v>1382</v>
      </c>
      <c r="C130" t="s">
        <v>1383</v>
      </c>
      <c r="D130" t="s">
        <v>16</v>
      </c>
      <c r="E130" t="s">
        <v>1384</v>
      </c>
      <c r="F130" t="s">
        <v>1385</v>
      </c>
      <c r="G130" t="s">
        <v>1386</v>
      </c>
      <c r="H130" t="s">
        <v>1387</v>
      </c>
      <c r="I130" t="s">
        <v>1388</v>
      </c>
      <c r="J130" t="s">
        <v>1389</v>
      </c>
      <c r="K130" t="s">
        <v>1390</v>
      </c>
      <c r="L130" t="s">
        <v>1391</v>
      </c>
    </row>
    <row r="131" spans="1:12" x14ac:dyDescent="0.25">
      <c r="A131" t="s">
        <v>1392</v>
      </c>
      <c r="B131" t="s">
        <v>1393</v>
      </c>
      <c r="C131" t="s">
        <v>1394</v>
      </c>
      <c r="D131" t="s">
        <v>16</v>
      </c>
      <c r="E131" t="s">
        <v>1395</v>
      </c>
      <c r="F131" t="s">
        <v>1396</v>
      </c>
      <c r="G131" t="s">
        <v>1397</v>
      </c>
      <c r="H131" t="s">
        <v>1398</v>
      </c>
      <c r="I131" t="s">
        <v>1399</v>
      </c>
      <c r="J131" t="s">
        <v>1400</v>
      </c>
      <c r="K131" t="s">
        <v>1401</v>
      </c>
      <c r="L131" t="s">
        <v>1402</v>
      </c>
    </row>
    <row r="132" spans="1:12" x14ac:dyDescent="0.25">
      <c r="A132" t="s">
        <v>1403</v>
      </c>
      <c r="B132" t="s">
        <v>1404</v>
      </c>
      <c r="C132" t="s">
        <v>1405</v>
      </c>
      <c r="D132" t="s">
        <v>16</v>
      </c>
      <c r="E132" t="s">
        <v>1406</v>
      </c>
      <c r="F132" t="s">
        <v>1407</v>
      </c>
      <c r="G132" t="s">
        <v>1408</v>
      </c>
      <c r="H132" t="s">
        <v>1409</v>
      </c>
      <c r="I132" t="s">
        <v>1410</v>
      </c>
      <c r="J132" t="s">
        <v>1411</v>
      </c>
      <c r="K132" t="s">
        <v>1412</v>
      </c>
      <c r="L132" t="s">
        <v>1413</v>
      </c>
    </row>
    <row r="133" spans="1:12" x14ac:dyDescent="0.25">
      <c r="A133" t="s">
        <v>1414</v>
      </c>
      <c r="B133" t="s">
        <v>1415</v>
      </c>
      <c r="C133" t="s">
        <v>1416</v>
      </c>
      <c r="D133" t="s">
        <v>16</v>
      </c>
      <c r="E133" t="s">
        <v>1417</v>
      </c>
      <c r="F133" t="s">
        <v>1418</v>
      </c>
      <c r="G133" t="s">
        <v>1419</v>
      </c>
      <c r="H133" t="s">
        <v>1420</v>
      </c>
      <c r="I133" t="s">
        <v>1421</v>
      </c>
      <c r="J133" t="s">
        <v>1422</v>
      </c>
      <c r="K133" t="s">
        <v>1423</v>
      </c>
      <c r="L133" t="s">
        <v>1424</v>
      </c>
    </row>
    <row r="134" spans="1:12" x14ac:dyDescent="0.25">
      <c r="A134" t="s">
        <v>1425</v>
      </c>
      <c r="B134" t="s">
        <v>1426</v>
      </c>
      <c r="C134" t="s">
        <v>1427</v>
      </c>
      <c r="D134" t="s">
        <v>16</v>
      </c>
      <c r="E134" t="s">
        <v>1428</v>
      </c>
      <c r="F134" t="s">
        <v>1429</v>
      </c>
      <c r="G134" t="s">
        <v>1430</v>
      </c>
      <c r="H134" t="s">
        <v>1431</v>
      </c>
      <c r="I134" t="s">
        <v>1432</v>
      </c>
      <c r="J134" t="s">
        <v>1433</v>
      </c>
      <c r="K134" t="s">
        <v>1434</v>
      </c>
      <c r="L134" t="s">
        <v>1435</v>
      </c>
    </row>
    <row r="135" spans="1:12" x14ac:dyDescent="0.25">
      <c r="A135" t="s">
        <v>1436</v>
      </c>
      <c r="B135" t="s">
        <v>1437</v>
      </c>
      <c r="C135" t="s">
        <v>1438</v>
      </c>
      <c r="D135" t="s">
        <v>16</v>
      </c>
      <c r="E135" t="s">
        <v>1439</v>
      </c>
      <c r="F135" t="s">
        <v>1440</v>
      </c>
      <c r="G135" t="s">
        <v>1441</v>
      </c>
      <c r="H135" t="s">
        <v>1442</v>
      </c>
      <c r="I135" t="s">
        <v>1443</v>
      </c>
      <c r="J135" t="s">
        <v>1444</v>
      </c>
      <c r="K135" t="s">
        <v>1445</v>
      </c>
      <c r="L135" t="s">
        <v>1446</v>
      </c>
    </row>
    <row r="136" spans="1:12" x14ac:dyDescent="0.25">
      <c r="A136" t="s">
        <v>1447</v>
      </c>
      <c r="B136" t="s">
        <v>1448</v>
      </c>
      <c r="C136" t="s">
        <v>1449</v>
      </c>
      <c r="D136" t="s">
        <v>16</v>
      </c>
      <c r="E136" t="s">
        <v>1450</v>
      </c>
      <c r="F136" t="s">
        <v>1451</v>
      </c>
      <c r="G136" t="s">
        <v>1452</v>
      </c>
      <c r="H136" t="s">
        <v>1453</v>
      </c>
      <c r="I136" t="s">
        <v>1454</v>
      </c>
      <c r="J136" t="s">
        <v>1455</v>
      </c>
      <c r="K136" t="s">
        <v>1456</v>
      </c>
      <c r="L136" t="s">
        <v>1457</v>
      </c>
    </row>
    <row r="137" spans="1:12" x14ac:dyDescent="0.25">
      <c r="A137" t="s">
        <v>1458</v>
      </c>
      <c r="B137" t="s">
        <v>1459</v>
      </c>
      <c r="C137" t="s">
        <v>1460</v>
      </c>
      <c r="D137" t="s">
        <v>16</v>
      </c>
      <c r="E137" t="s">
        <v>1461</v>
      </c>
      <c r="F137" t="s">
        <v>1462</v>
      </c>
      <c r="G137" t="s">
        <v>1463</v>
      </c>
      <c r="H137" t="s">
        <v>1464</v>
      </c>
      <c r="I137" t="s">
        <v>1465</v>
      </c>
      <c r="J137" t="s">
        <v>1466</v>
      </c>
      <c r="K137" t="s">
        <v>1467</v>
      </c>
      <c r="L137" t="s">
        <v>1468</v>
      </c>
    </row>
    <row r="138" spans="1:12" x14ac:dyDescent="0.25">
      <c r="A138" t="s">
        <v>1469</v>
      </c>
      <c r="B138" t="s">
        <v>1470</v>
      </c>
      <c r="C138" t="s">
        <v>1471</v>
      </c>
      <c r="D138" t="s">
        <v>1472</v>
      </c>
      <c r="E138" t="s">
        <v>1473</v>
      </c>
      <c r="F138" t="s">
        <v>1474</v>
      </c>
      <c r="G138" t="s">
        <v>1475</v>
      </c>
      <c r="H138" t="s">
        <v>1476</v>
      </c>
      <c r="I138" t="s">
        <v>1477</v>
      </c>
      <c r="J138" t="s">
        <v>1478</v>
      </c>
      <c r="K138" t="s">
        <v>1479</v>
      </c>
      <c r="L138" t="s">
        <v>1480</v>
      </c>
    </row>
    <row r="139" spans="1:12" x14ac:dyDescent="0.25">
      <c r="A139" t="s">
        <v>1481</v>
      </c>
      <c r="B139" t="s">
        <v>1482</v>
      </c>
      <c r="C139" t="s">
        <v>1483</v>
      </c>
      <c r="D139" t="s">
        <v>16</v>
      </c>
      <c r="E139" t="s">
        <v>1484</v>
      </c>
      <c r="F139" t="s">
        <v>1485</v>
      </c>
      <c r="G139" t="s">
        <v>1486</v>
      </c>
      <c r="H139" t="s">
        <v>1487</v>
      </c>
      <c r="I139" t="s">
        <v>1488</v>
      </c>
      <c r="J139" t="s">
        <v>1489</v>
      </c>
      <c r="K139" t="s">
        <v>1490</v>
      </c>
      <c r="L139" t="s">
        <v>1491</v>
      </c>
    </row>
    <row r="140" spans="1:12" x14ac:dyDescent="0.25">
      <c r="A140" t="s">
        <v>1492</v>
      </c>
      <c r="B140" t="s">
        <v>1493</v>
      </c>
      <c r="C140" t="s">
        <v>1494</v>
      </c>
      <c r="D140" t="s">
        <v>1495</v>
      </c>
      <c r="E140" t="s">
        <v>1496</v>
      </c>
      <c r="F140" t="s">
        <v>1497</v>
      </c>
      <c r="G140" t="s">
        <v>1498</v>
      </c>
      <c r="H140" t="s">
        <v>1499</v>
      </c>
      <c r="I140" t="s">
        <v>1500</v>
      </c>
      <c r="J140" t="s">
        <v>1501</v>
      </c>
      <c r="K140" t="s">
        <v>1502</v>
      </c>
      <c r="L140" t="s">
        <v>1503</v>
      </c>
    </row>
    <row r="141" spans="1:12" x14ac:dyDescent="0.25">
      <c r="A141" t="s">
        <v>1504</v>
      </c>
      <c r="B141" t="s">
        <v>1505</v>
      </c>
      <c r="C141" t="s">
        <v>1506</v>
      </c>
      <c r="D141" t="s">
        <v>1507</v>
      </c>
      <c r="E141" t="s">
        <v>1508</v>
      </c>
      <c r="F141" t="s">
        <v>1509</v>
      </c>
      <c r="G141" t="s">
        <v>7</v>
      </c>
      <c r="H141" t="s">
        <v>1510</v>
      </c>
      <c r="I141" t="s">
        <v>1511</v>
      </c>
      <c r="J141" t="s">
        <v>1512</v>
      </c>
      <c r="K141" t="s">
        <v>1513</v>
      </c>
      <c r="L141" t="s">
        <v>1514</v>
      </c>
    </row>
    <row r="142" spans="1:12" x14ac:dyDescent="0.25">
      <c r="A142" t="s">
        <v>1515</v>
      </c>
      <c r="B142" t="s">
        <v>1516</v>
      </c>
      <c r="C142" t="s">
        <v>1517</v>
      </c>
      <c r="D142" t="s">
        <v>1518</v>
      </c>
      <c r="E142" t="s">
        <v>1519</v>
      </c>
      <c r="F142" t="s">
        <v>1520</v>
      </c>
      <c r="G142" t="s">
        <v>7</v>
      </c>
      <c r="H142" t="s">
        <v>1521</v>
      </c>
      <c r="I142" t="s">
        <v>1522</v>
      </c>
      <c r="J142" t="s">
        <v>1523</v>
      </c>
      <c r="K142" t="s">
        <v>1524</v>
      </c>
      <c r="L142" t="s">
        <v>1525</v>
      </c>
    </row>
    <row r="143" spans="1:12" x14ac:dyDescent="0.25">
      <c r="A143" t="s">
        <v>1526</v>
      </c>
      <c r="B143" t="s">
        <v>1527</v>
      </c>
      <c r="C143" t="s">
        <v>1528</v>
      </c>
      <c r="D143" t="s">
        <v>16</v>
      </c>
      <c r="E143" t="s">
        <v>261</v>
      </c>
      <c r="F143" t="s">
        <v>262</v>
      </c>
      <c r="G143" t="s">
        <v>1529</v>
      </c>
      <c r="H143" t="s">
        <v>1530</v>
      </c>
      <c r="I143" t="s">
        <v>1531</v>
      </c>
      <c r="J143" t="s">
        <v>1532</v>
      </c>
      <c r="K143" t="s">
        <v>1533</v>
      </c>
      <c r="L143" t="s">
        <v>1534</v>
      </c>
    </row>
    <row r="144" spans="1:12" x14ac:dyDescent="0.25">
      <c r="A144" t="s">
        <v>1535</v>
      </c>
      <c r="B144" t="s">
        <v>1536</v>
      </c>
      <c r="C144" t="s">
        <v>1537</v>
      </c>
      <c r="D144" t="s">
        <v>16</v>
      </c>
      <c r="E144" t="s">
        <v>1538</v>
      </c>
      <c r="F144" t="s">
        <v>1539</v>
      </c>
      <c r="G144" t="s">
        <v>1540</v>
      </c>
      <c r="H144" t="s">
        <v>1541</v>
      </c>
      <c r="I144" t="s">
        <v>1542</v>
      </c>
      <c r="J144" t="s">
        <v>1543</v>
      </c>
      <c r="K144" t="s">
        <v>1544</v>
      </c>
      <c r="L144" t="s">
        <v>1545</v>
      </c>
    </row>
    <row r="145" spans="1:12" x14ac:dyDescent="0.25">
      <c r="A145" t="s">
        <v>1546</v>
      </c>
      <c r="B145" t="s">
        <v>1547</v>
      </c>
      <c r="C145" t="s">
        <v>1548</v>
      </c>
      <c r="D145" t="s">
        <v>16</v>
      </c>
      <c r="E145" t="s">
        <v>1549</v>
      </c>
      <c r="F145" t="s">
        <v>1550</v>
      </c>
      <c r="G145" t="s">
        <v>7</v>
      </c>
      <c r="H145" t="s">
        <v>1551</v>
      </c>
      <c r="I145" t="s">
        <v>1552</v>
      </c>
      <c r="J145" t="s">
        <v>1553</v>
      </c>
      <c r="K145" t="s">
        <v>1554</v>
      </c>
      <c r="L145" t="s">
        <v>1555</v>
      </c>
    </row>
    <row r="146" spans="1:12" x14ac:dyDescent="0.25">
      <c r="A146" t="s">
        <v>1556</v>
      </c>
      <c r="B146" t="s">
        <v>1557</v>
      </c>
      <c r="C146" t="s">
        <v>1558</v>
      </c>
      <c r="D146" t="s">
        <v>1559</v>
      </c>
      <c r="E146" t="s">
        <v>74</v>
      </c>
      <c r="F146" t="s">
        <v>75</v>
      </c>
      <c r="G146" t="s">
        <v>1560</v>
      </c>
      <c r="H146" t="s">
        <v>1561</v>
      </c>
      <c r="I146" t="s">
        <v>1562</v>
      </c>
      <c r="J146" t="s">
        <v>1563</v>
      </c>
      <c r="K146" t="s">
        <v>1564</v>
      </c>
      <c r="L146" t="s">
        <v>1565</v>
      </c>
    </row>
    <row r="147" spans="1:12" x14ac:dyDescent="0.25">
      <c r="A147" t="s">
        <v>1566</v>
      </c>
      <c r="B147" t="s">
        <v>1567</v>
      </c>
      <c r="C147" t="s">
        <v>1568</v>
      </c>
      <c r="D147" t="s">
        <v>16</v>
      </c>
      <c r="E147" t="s">
        <v>1569</v>
      </c>
      <c r="F147" t="s">
        <v>1570</v>
      </c>
      <c r="G147" t="s">
        <v>7</v>
      </c>
      <c r="H147" t="s">
        <v>1571</v>
      </c>
      <c r="I147" t="s">
        <v>1572</v>
      </c>
      <c r="J147" t="s">
        <v>1573</v>
      </c>
      <c r="K147" t="s">
        <v>1574</v>
      </c>
      <c r="L147" t="s">
        <v>1575</v>
      </c>
    </row>
    <row r="148" spans="1:12" x14ac:dyDescent="0.25">
      <c r="A148" t="s">
        <v>1576</v>
      </c>
      <c r="B148" t="s">
        <v>1577</v>
      </c>
      <c r="C148" t="s">
        <v>1578</v>
      </c>
      <c r="D148" t="s">
        <v>16</v>
      </c>
      <c r="E148" t="s">
        <v>1579</v>
      </c>
      <c r="F148" t="s">
        <v>1580</v>
      </c>
      <c r="G148" t="s">
        <v>1581</v>
      </c>
      <c r="H148" t="s">
        <v>1582</v>
      </c>
      <c r="I148" t="s">
        <v>1583</v>
      </c>
      <c r="J148" t="s">
        <v>1584</v>
      </c>
      <c r="K148" t="s">
        <v>1585</v>
      </c>
      <c r="L148" t="s">
        <v>1586</v>
      </c>
    </row>
    <row r="149" spans="1:12" x14ac:dyDescent="0.25">
      <c r="A149" t="s">
        <v>1587</v>
      </c>
      <c r="B149" t="s">
        <v>1588</v>
      </c>
      <c r="C149" t="s">
        <v>1589</v>
      </c>
      <c r="D149" t="s">
        <v>16</v>
      </c>
      <c r="E149" t="s">
        <v>1590</v>
      </c>
      <c r="F149" t="s">
        <v>1287</v>
      </c>
      <c r="G149" t="s">
        <v>1591</v>
      </c>
      <c r="H149" t="s">
        <v>1592</v>
      </c>
      <c r="I149" t="s">
        <v>1593</v>
      </c>
      <c r="J149" t="s">
        <v>1594</v>
      </c>
      <c r="K149" t="s">
        <v>1595</v>
      </c>
      <c r="L149" t="s">
        <v>1596</v>
      </c>
    </row>
    <row r="150" spans="1:12" x14ac:dyDescent="0.25">
      <c r="A150" t="s">
        <v>1597</v>
      </c>
      <c r="B150" t="s">
        <v>1598</v>
      </c>
      <c r="C150" t="s">
        <v>1599</v>
      </c>
      <c r="D150" t="s">
        <v>1600</v>
      </c>
      <c r="E150" t="s">
        <v>1601</v>
      </c>
      <c r="F150" t="s">
        <v>1602</v>
      </c>
      <c r="G150" t="s">
        <v>7</v>
      </c>
      <c r="H150" t="s">
        <v>1603</v>
      </c>
      <c r="I150" t="s">
        <v>1604</v>
      </c>
      <c r="J150" t="s">
        <v>1605</v>
      </c>
      <c r="K150" t="s">
        <v>1606</v>
      </c>
      <c r="L150" t="s">
        <v>1607</v>
      </c>
    </row>
    <row r="151" spans="1:12" x14ac:dyDescent="0.25">
      <c r="A151" t="s">
        <v>1608</v>
      </c>
      <c r="B151" t="s">
        <v>1609</v>
      </c>
      <c r="C151" t="s">
        <v>1610</v>
      </c>
      <c r="D151" t="s">
        <v>16</v>
      </c>
      <c r="E151" t="s">
        <v>1611</v>
      </c>
      <c r="F151" t="s">
        <v>1612</v>
      </c>
      <c r="G151" t="s">
        <v>1613</v>
      </c>
      <c r="H151" t="s">
        <v>1614</v>
      </c>
      <c r="I151" t="s">
        <v>1615</v>
      </c>
      <c r="J151" t="s">
        <v>1616</v>
      </c>
      <c r="K151" t="s">
        <v>1617</v>
      </c>
      <c r="L151" t="s">
        <v>1618</v>
      </c>
    </row>
    <row r="152" spans="1:12" x14ac:dyDescent="0.25">
      <c r="A152" t="s">
        <v>1619</v>
      </c>
      <c r="B152" t="s">
        <v>1620</v>
      </c>
      <c r="C152" t="s">
        <v>1621</v>
      </c>
      <c r="D152" t="s">
        <v>16</v>
      </c>
      <c r="E152" t="s">
        <v>1622</v>
      </c>
      <c r="F152" t="s">
        <v>262</v>
      </c>
      <c r="G152" t="s">
        <v>7</v>
      </c>
      <c r="H152" t="s">
        <v>1623</v>
      </c>
      <c r="I152" t="s">
        <v>1624</v>
      </c>
      <c r="J152" t="s">
        <v>1625</v>
      </c>
      <c r="K152" t="s">
        <v>1626</v>
      </c>
      <c r="L152" t="s">
        <v>1627</v>
      </c>
    </row>
    <row r="153" spans="1:12" x14ac:dyDescent="0.25">
      <c r="A153" t="s">
        <v>1628</v>
      </c>
      <c r="B153" t="s">
        <v>1629</v>
      </c>
      <c r="C153" t="s">
        <v>1630</v>
      </c>
      <c r="D153" t="s">
        <v>16</v>
      </c>
      <c r="E153" t="s">
        <v>1631</v>
      </c>
      <c r="F153" t="s">
        <v>1632</v>
      </c>
      <c r="G153" t="s">
        <v>1633</v>
      </c>
      <c r="H153" t="s">
        <v>1634</v>
      </c>
      <c r="I153" t="s">
        <v>1635</v>
      </c>
      <c r="J153" t="s">
        <v>1636</v>
      </c>
      <c r="K153" t="s">
        <v>1637</v>
      </c>
      <c r="L153" t="s">
        <v>1638</v>
      </c>
    </row>
    <row r="154" spans="1:12" x14ac:dyDescent="0.25">
      <c r="A154" t="s">
        <v>1639</v>
      </c>
      <c r="B154" t="s">
        <v>1640</v>
      </c>
      <c r="C154" t="s">
        <v>1641</v>
      </c>
      <c r="D154" t="s">
        <v>1642</v>
      </c>
      <c r="E154" t="s">
        <v>1643</v>
      </c>
      <c r="F154" t="s">
        <v>1644</v>
      </c>
      <c r="G154" t="s">
        <v>1645</v>
      </c>
      <c r="H154" t="s">
        <v>1646</v>
      </c>
      <c r="I154" t="s">
        <v>1647</v>
      </c>
      <c r="J154" t="s">
        <v>1648</v>
      </c>
      <c r="K154" t="s">
        <v>1649</v>
      </c>
      <c r="L154" t="s">
        <v>1650</v>
      </c>
    </row>
    <row r="155" spans="1:12" x14ac:dyDescent="0.25">
      <c r="A155" t="s">
        <v>1651</v>
      </c>
      <c r="B155" t="s">
        <v>1652</v>
      </c>
      <c r="C155" t="s">
        <v>1653</v>
      </c>
      <c r="D155" t="s">
        <v>16</v>
      </c>
      <c r="E155" t="s">
        <v>1654</v>
      </c>
      <c r="F155" t="s">
        <v>1655</v>
      </c>
      <c r="G155" t="s">
        <v>7</v>
      </c>
      <c r="H155" t="s">
        <v>1656</v>
      </c>
      <c r="I155" t="s">
        <v>1657</v>
      </c>
      <c r="J155" t="s">
        <v>1658</v>
      </c>
      <c r="K155" t="s">
        <v>1659</v>
      </c>
      <c r="L155" t="s">
        <v>1660</v>
      </c>
    </row>
    <row r="156" spans="1:12" x14ac:dyDescent="0.25">
      <c r="A156" t="s">
        <v>1661</v>
      </c>
      <c r="B156" t="s">
        <v>1662</v>
      </c>
      <c r="C156" t="s">
        <v>1663</v>
      </c>
      <c r="D156" t="s">
        <v>16</v>
      </c>
      <c r="E156" t="s">
        <v>1664</v>
      </c>
      <c r="F156" t="s">
        <v>1665</v>
      </c>
      <c r="G156" t="s">
        <v>7</v>
      </c>
      <c r="H156" t="s">
        <v>1666</v>
      </c>
      <c r="I156" t="s">
        <v>1667</v>
      </c>
      <c r="J156" t="s">
        <v>1668</v>
      </c>
      <c r="K156" t="s">
        <v>1669</v>
      </c>
      <c r="L156" t="s">
        <v>1670</v>
      </c>
    </row>
    <row r="157" spans="1:12" x14ac:dyDescent="0.25">
      <c r="A157" t="s">
        <v>1671</v>
      </c>
      <c r="B157" t="s">
        <v>1672</v>
      </c>
      <c r="C157" t="s">
        <v>1673</v>
      </c>
      <c r="D157" t="s">
        <v>16</v>
      </c>
      <c r="E157" t="s">
        <v>1674</v>
      </c>
      <c r="F157" t="s">
        <v>509</v>
      </c>
      <c r="G157" t="s">
        <v>1675</v>
      </c>
      <c r="H157" t="s">
        <v>1676</v>
      </c>
      <c r="I157" t="s">
        <v>1677</v>
      </c>
      <c r="J157" t="s">
        <v>1678</v>
      </c>
      <c r="K157" t="s">
        <v>1679</v>
      </c>
      <c r="L157" t="s">
        <v>1680</v>
      </c>
    </row>
    <row r="158" spans="1:12" x14ac:dyDescent="0.25">
      <c r="A158" t="s">
        <v>1681</v>
      </c>
      <c r="B158" t="s">
        <v>1682</v>
      </c>
      <c r="C158" t="s">
        <v>1683</v>
      </c>
      <c r="D158" t="s">
        <v>16</v>
      </c>
      <c r="E158" t="s">
        <v>1684</v>
      </c>
      <c r="F158" t="s">
        <v>1685</v>
      </c>
      <c r="G158" t="s">
        <v>1686</v>
      </c>
      <c r="H158" t="s">
        <v>1687</v>
      </c>
      <c r="I158" t="s">
        <v>1688</v>
      </c>
      <c r="J158" t="s">
        <v>1689</v>
      </c>
      <c r="K158" t="s">
        <v>1690</v>
      </c>
      <c r="L158" t="s">
        <v>1691</v>
      </c>
    </row>
    <row r="159" spans="1:12" x14ac:dyDescent="0.25">
      <c r="A159" t="s">
        <v>1692</v>
      </c>
      <c r="B159" t="s">
        <v>1693</v>
      </c>
      <c r="C159" t="s">
        <v>1694</v>
      </c>
      <c r="D159" t="s">
        <v>16</v>
      </c>
      <c r="E159" t="s">
        <v>1695</v>
      </c>
      <c r="F159" t="s">
        <v>1696</v>
      </c>
      <c r="G159" t="s">
        <v>7</v>
      </c>
      <c r="H159" t="s">
        <v>1697</v>
      </c>
      <c r="I159" t="s">
        <v>1698</v>
      </c>
      <c r="J159" t="s">
        <v>1699</v>
      </c>
      <c r="K159" t="s">
        <v>1700</v>
      </c>
      <c r="L159" t="s">
        <v>1701</v>
      </c>
    </row>
    <row r="160" spans="1:12" x14ac:dyDescent="0.25">
      <c r="A160" t="s">
        <v>1702</v>
      </c>
      <c r="B160" t="s">
        <v>1703</v>
      </c>
      <c r="C160" t="s">
        <v>1704</v>
      </c>
      <c r="D160" t="s">
        <v>1705</v>
      </c>
      <c r="E160" t="s">
        <v>1706</v>
      </c>
      <c r="F160" t="s">
        <v>1707</v>
      </c>
      <c r="G160" t="s">
        <v>7</v>
      </c>
      <c r="H160" t="s">
        <v>1708</v>
      </c>
      <c r="I160" t="s">
        <v>1709</v>
      </c>
      <c r="J160" t="s">
        <v>1710</v>
      </c>
      <c r="K160" t="s">
        <v>1711</v>
      </c>
      <c r="L160" t="s">
        <v>1712</v>
      </c>
    </row>
    <row r="161" spans="1:13" x14ac:dyDescent="0.25">
      <c r="A161" t="s">
        <v>1713</v>
      </c>
      <c r="B161" t="s">
        <v>1714</v>
      </c>
      <c r="C161" t="s">
        <v>1715</v>
      </c>
      <c r="D161" t="s">
        <v>16</v>
      </c>
      <c r="E161" t="s">
        <v>1716</v>
      </c>
      <c r="F161" t="s">
        <v>1717</v>
      </c>
      <c r="G161" t="s">
        <v>7</v>
      </c>
      <c r="H161" t="s">
        <v>1718</v>
      </c>
      <c r="I161" t="s">
        <v>1719</v>
      </c>
      <c r="J161" t="s">
        <v>1720</v>
      </c>
      <c r="K161" t="s">
        <v>1721</v>
      </c>
      <c r="L161" t="s">
        <v>1722</v>
      </c>
    </row>
    <row r="162" spans="1:13" x14ac:dyDescent="0.25">
      <c r="A162" t="s">
        <v>1723</v>
      </c>
      <c r="B162" t="s">
        <v>1724</v>
      </c>
      <c r="C162" t="s">
        <v>1725</v>
      </c>
      <c r="D162" t="s">
        <v>16</v>
      </c>
      <c r="E162" t="s">
        <v>1726</v>
      </c>
      <c r="F162" t="s">
        <v>1727</v>
      </c>
      <c r="G162" t="s">
        <v>1728</v>
      </c>
      <c r="H162" t="s">
        <v>1729</v>
      </c>
      <c r="I162" t="s">
        <v>1730</v>
      </c>
      <c r="J162" t="s">
        <v>1731</v>
      </c>
      <c r="K162" t="s">
        <v>1732</v>
      </c>
      <c r="L162" t="s">
        <v>1733</v>
      </c>
    </row>
    <row r="163" spans="1:13" x14ac:dyDescent="0.25">
      <c r="A163" t="s">
        <v>1734</v>
      </c>
      <c r="B163" t="s">
        <v>1735</v>
      </c>
      <c r="C163" t="s">
        <v>1736</v>
      </c>
      <c r="D163" t="s">
        <v>1737</v>
      </c>
      <c r="E163" t="s">
        <v>1738</v>
      </c>
      <c r="F163" t="s">
        <v>1739</v>
      </c>
      <c r="G163" t="s">
        <v>1740</v>
      </c>
      <c r="H163" t="s">
        <v>1741</v>
      </c>
      <c r="I163" t="s">
        <v>1742</v>
      </c>
      <c r="J163" t="s">
        <v>1743</v>
      </c>
      <c r="K163" t="s">
        <v>1744</v>
      </c>
      <c r="L163" t="s">
        <v>1745</v>
      </c>
    </row>
    <row r="164" spans="1:13" x14ac:dyDescent="0.25">
      <c r="A164" t="s">
        <v>1746</v>
      </c>
      <c r="B164" t="s">
        <v>1747</v>
      </c>
      <c r="C164" t="s">
        <v>1748</v>
      </c>
      <c r="D164" t="s">
        <v>16</v>
      </c>
      <c r="E164" t="s">
        <v>1749</v>
      </c>
      <c r="F164" t="s">
        <v>1750</v>
      </c>
      <c r="G164" t="s">
        <v>1751</v>
      </c>
      <c r="H164" t="s">
        <v>1752</v>
      </c>
      <c r="I164" t="s">
        <v>1753</v>
      </c>
      <c r="J164" t="s">
        <v>1754</v>
      </c>
      <c r="K164" t="s">
        <v>1755</v>
      </c>
      <c r="L164" t="s">
        <v>1756</v>
      </c>
    </row>
    <row r="165" spans="1:13" x14ac:dyDescent="0.25">
      <c r="A165" t="s">
        <v>1757</v>
      </c>
      <c r="B165" t="s">
        <v>1758</v>
      </c>
      <c r="C165" t="s">
        <v>1759</v>
      </c>
      <c r="D165" t="s">
        <v>16</v>
      </c>
      <c r="E165" t="s">
        <v>1760</v>
      </c>
      <c r="F165" t="s">
        <v>1761</v>
      </c>
      <c r="G165" t="s">
        <v>1762</v>
      </c>
      <c r="H165" t="s">
        <v>1763</v>
      </c>
      <c r="I165" t="s">
        <v>1764</v>
      </c>
      <c r="J165" t="s">
        <v>1765</v>
      </c>
      <c r="K165" t="s">
        <v>1766</v>
      </c>
      <c r="L165" t="s">
        <v>1767</v>
      </c>
    </row>
    <row r="166" spans="1:13" x14ac:dyDescent="0.25">
      <c r="A166" t="s">
        <v>1768</v>
      </c>
      <c r="B166" t="s">
        <v>1769</v>
      </c>
      <c r="C166" t="s">
        <v>1770</v>
      </c>
      <c r="D166" t="s">
        <v>16</v>
      </c>
      <c r="E166" t="s">
        <v>1771</v>
      </c>
      <c r="F166" t="s">
        <v>1772</v>
      </c>
      <c r="G166" t="s">
        <v>1773</v>
      </c>
      <c r="H166" t="s">
        <v>1774</v>
      </c>
      <c r="I166" t="s">
        <v>1775</v>
      </c>
      <c r="J166" t="s">
        <v>1776</v>
      </c>
      <c r="K166" t="s">
        <v>1777</v>
      </c>
      <c r="L166" t="s">
        <v>1778</v>
      </c>
    </row>
    <row r="167" spans="1:13" x14ac:dyDescent="0.25">
      <c r="A167" t="s">
        <v>1779</v>
      </c>
      <c r="B167" t="s">
        <v>1780</v>
      </c>
      <c r="C167" t="s">
        <v>1781</v>
      </c>
      <c r="D167" t="s">
        <v>1782</v>
      </c>
      <c r="E167" t="s">
        <v>1783</v>
      </c>
      <c r="F167" t="s">
        <v>1784</v>
      </c>
      <c r="G167" t="s">
        <v>1785</v>
      </c>
      <c r="H167" t="s">
        <v>1786</v>
      </c>
      <c r="I167" t="s">
        <v>1787</v>
      </c>
      <c r="J167" t="s">
        <v>1788</v>
      </c>
      <c r="K167" t="s">
        <v>1789</v>
      </c>
      <c r="L167" t="s">
        <v>1790</v>
      </c>
    </row>
    <row r="168" spans="1:13" x14ac:dyDescent="0.25">
      <c r="A168" t="s">
        <v>1791</v>
      </c>
      <c r="B168" t="s">
        <v>1792</v>
      </c>
      <c r="C168" t="s">
        <v>1793</v>
      </c>
      <c r="D168" t="s">
        <v>16</v>
      </c>
      <c r="E168" t="s">
        <v>1794</v>
      </c>
      <c r="F168" t="s">
        <v>1795</v>
      </c>
      <c r="G168" t="s">
        <v>1796</v>
      </c>
      <c r="H168" t="s">
        <v>1797</v>
      </c>
      <c r="I168" t="s">
        <v>1798</v>
      </c>
      <c r="J168" t="s">
        <v>1799</v>
      </c>
      <c r="K168" t="s">
        <v>1800</v>
      </c>
      <c r="L168" t="s">
        <v>1801</v>
      </c>
    </row>
    <row r="169" spans="1:13" x14ac:dyDescent="0.25">
      <c r="A169" t="s">
        <v>1802</v>
      </c>
      <c r="B169" t="s">
        <v>1803</v>
      </c>
      <c r="C169" t="s">
        <v>1704</v>
      </c>
      <c r="D169" t="s">
        <v>16</v>
      </c>
      <c r="E169" t="s">
        <v>1172</v>
      </c>
      <c r="F169" t="s">
        <v>1173</v>
      </c>
      <c r="G169" t="s">
        <v>7</v>
      </c>
      <c r="H169" t="s">
        <v>1804</v>
      </c>
      <c r="I169" t="s">
        <v>1805</v>
      </c>
      <c r="J169" t="s">
        <v>1710</v>
      </c>
      <c r="K169" t="s">
        <v>1711</v>
      </c>
      <c r="L169" t="s">
        <v>1712</v>
      </c>
    </row>
    <row r="170" spans="1:13" x14ac:dyDescent="0.25">
      <c r="A170" t="s">
        <v>1806</v>
      </c>
      <c r="B170" t="s">
        <v>1807</v>
      </c>
      <c r="C170" t="s">
        <v>1808</v>
      </c>
      <c r="D170" t="s">
        <v>1809</v>
      </c>
      <c r="E170" t="s">
        <v>16</v>
      </c>
      <c r="F170" t="s">
        <v>1810</v>
      </c>
      <c r="G170" t="s">
        <v>1811</v>
      </c>
      <c r="H170" t="s">
        <v>7</v>
      </c>
      <c r="I170" t="s">
        <v>1812</v>
      </c>
      <c r="J170" t="s">
        <v>1813</v>
      </c>
      <c r="K170" t="s">
        <v>1814</v>
      </c>
      <c r="L170" t="s">
        <v>1815</v>
      </c>
      <c r="M170" t="s">
        <v>1816</v>
      </c>
    </row>
    <row r="171" spans="1:13" x14ac:dyDescent="0.25">
      <c r="A171" t="s">
        <v>1817</v>
      </c>
      <c r="B171" t="s">
        <v>1818</v>
      </c>
      <c r="C171" t="s">
        <v>1819</v>
      </c>
      <c r="D171" t="s">
        <v>16</v>
      </c>
      <c r="E171" t="s">
        <v>1820</v>
      </c>
      <c r="F171" t="s">
        <v>1821</v>
      </c>
      <c r="G171" t="s">
        <v>1822</v>
      </c>
      <c r="H171" t="s">
        <v>1823</v>
      </c>
      <c r="I171" t="s">
        <v>1824</v>
      </c>
      <c r="J171" t="s">
        <v>1825</v>
      </c>
      <c r="K171" t="s">
        <v>1826</v>
      </c>
      <c r="L171" t="s">
        <v>1827</v>
      </c>
    </row>
    <row r="172" spans="1:13" x14ac:dyDescent="0.25">
      <c r="A172" t="s">
        <v>1828</v>
      </c>
      <c r="B172" t="s">
        <v>1829</v>
      </c>
      <c r="C172" t="s">
        <v>1830</v>
      </c>
      <c r="D172" t="s">
        <v>16</v>
      </c>
      <c r="E172" t="s">
        <v>1831</v>
      </c>
      <c r="F172" t="s">
        <v>1832</v>
      </c>
      <c r="G172" t="s">
        <v>7</v>
      </c>
      <c r="H172" t="s">
        <v>1833</v>
      </c>
      <c r="I172" t="s">
        <v>1834</v>
      </c>
      <c r="J172" t="s">
        <v>1835</v>
      </c>
      <c r="K172" t="s">
        <v>1836</v>
      </c>
      <c r="L172" t="s">
        <v>1837</v>
      </c>
    </row>
    <row r="173" spans="1:13" x14ac:dyDescent="0.25">
      <c r="A173" t="s">
        <v>1838</v>
      </c>
      <c r="B173" t="s">
        <v>1839</v>
      </c>
      <c r="C173" t="s">
        <v>1840</v>
      </c>
      <c r="D173" t="s">
        <v>16</v>
      </c>
      <c r="E173" t="s">
        <v>1841</v>
      </c>
      <c r="F173" t="s">
        <v>1842</v>
      </c>
      <c r="G173" t="s">
        <v>1843</v>
      </c>
      <c r="H173" t="s">
        <v>1844</v>
      </c>
      <c r="I173" t="s">
        <v>1845</v>
      </c>
      <c r="J173" t="s">
        <v>1846</v>
      </c>
      <c r="K173" t="s">
        <v>1847</v>
      </c>
      <c r="L173" t="s">
        <v>1848</v>
      </c>
    </row>
    <row r="174" spans="1:13" x14ac:dyDescent="0.25">
      <c r="A174" t="s">
        <v>1849</v>
      </c>
      <c r="B174" t="s">
        <v>1850</v>
      </c>
      <c r="C174" t="s">
        <v>1851</v>
      </c>
      <c r="D174" t="s">
        <v>16</v>
      </c>
      <c r="E174" t="s">
        <v>1852</v>
      </c>
      <c r="F174" t="s">
        <v>1853</v>
      </c>
      <c r="G174" t="s">
        <v>7</v>
      </c>
      <c r="H174" t="s">
        <v>1854</v>
      </c>
      <c r="I174" t="s">
        <v>1855</v>
      </c>
      <c r="J174" t="s">
        <v>1856</v>
      </c>
      <c r="K174" t="s">
        <v>1857</v>
      </c>
      <c r="L174" t="s">
        <v>1858</v>
      </c>
    </row>
    <row r="175" spans="1:13" x14ac:dyDescent="0.25">
      <c r="A175" t="s">
        <v>1859</v>
      </c>
      <c r="B175" t="s">
        <v>1860</v>
      </c>
      <c r="C175" t="s">
        <v>1861</v>
      </c>
      <c r="D175" t="s">
        <v>16</v>
      </c>
      <c r="E175" t="s">
        <v>1862</v>
      </c>
      <c r="F175" t="s">
        <v>1863</v>
      </c>
      <c r="G175" t="s">
        <v>1864</v>
      </c>
      <c r="H175" t="s">
        <v>1865</v>
      </c>
      <c r="I175" t="s">
        <v>1866</v>
      </c>
      <c r="J175" t="s">
        <v>1867</v>
      </c>
      <c r="K175" t="s">
        <v>1868</v>
      </c>
      <c r="L175" t="s">
        <v>1869</v>
      </c>
    </row>
    <row r="176" spans="1:13" x14ac:dyDescent="0.25">
      <c r="A176" t="s">
        <v>1870</v>
      </c>
      <c r="B176" t="s">
        <v>1871</v>
      </c>
      <c r="C176" t="s">
        <v>1872</v>
      </c>
      <c r="D176" t="s">
        <v>16</v>
      </c>
      <c r="E176" t="s">
        <v>1873</v>
      </c>
      <c r="F176" t="s">
        <v>1874</v>
      </c>
      <c r="G176" t="s">
        <v>1875</v>
      </c>
      <c r="H176" t="s">
        <v>1876</v>
      </c>
      <c r="I176" t="s">
        <v>1877</v>
      </c>
      <c r="J176" t="s">
        <v>1878</v>
      </c>
      <c r="K176" t="s">
        <v>1879</v>
      </c>
      <c r="L176" t="s">
        <v>1880</v>
      </c>
    </row>
    <row r="177" spans="1:12" x14ac:dyDescent="0.25">
      <c r="A177" t="s">
        <v>1881</v>
      </c>
      <c r="B177" t="s">
        <v>1882</v>
      </c>
      <c r="C177" t="s">
        <v>1883</v>
      </c>
      <c r="D177" t="s">
        <v>16</v>
      </c>
      <c r="E177" t="s">
        <v>1884</v>
      </c>
      <c r="F177" t="s">
        <v>1885</v>
      </c>
      <c r="G177" t="s">
        <v>1886</v>
      </c>
      <c r="H177" t="s">
        <v>1887</v>
      </c>
      <c r="I177" t="s">
        <v>1888</v>
      </c>
      <c r="J177" t="s">
        <v>1889</v>
      </c>
      <c r="K177" t="s">
        <v>1890</v>
      </c>
      <c r="L177" t="s">
        <v>1891</v>
      </c>
    </row>
    <row r="178" spans="1:12" x14ac:dyDescent="0.25">
      <c r="A178" t="s">
        <v>1892</v>
      </c>
      <c r="B178" t="s">
        <v>1893</v>
      </c>
      <c r="C178" t="s">
        <v>1894</v>
      </c>
      <c r="D178" t="s">
        <v>16</v>
      </c>
      <c r="E178" t="s">
        <v>1484</v>
      </c>
      <c r="F178" t="s">
        <v>1485</v>
      </c>
      <c r="G178" t="s">
        <v>1895</v>
      </c>
      <c r="H178" t="s">
        <v>1896</v>
      </c>
      <c r="I178" t="s">
        <v>1897</v>
      </c>
      <c r="J178" t="s">
        <v>1898</v>
      </c>
      <c r="K178" t="s">
        <v>1899</v>
      </c>
      <c r="L178" t="s">
        <v>1900</v>
      </c>
    </row>
    <row r="179" spans="1:12" x14ac:dyDescent="0.25">
      <c r="A179" t="s">
        <v>1901</v>
      </c>
      <c r="B179" t="s">
        <v>1902</v>
      </c>
      <c r="C179" t="s">
        <v>1903</v>
      </c>
      <c r="D179" t="s">
        <v>1904</v>
      </c>
      <c r="E179" t="s">
        <v>1905</v>
      </c>
      <c r="F179" t="s">
        <v>1906</v>
      </c>
      <c r="G179" t="s">
        <v>1907</v>
      </c>
      <c r="H179" t="s">
        <v>1908</v>
      </c>
      <c r="I179" t="s">
        <v>1909</v>
      </c>
      <c r="J179" t="s">
        <v>1910</v>
      </c>
      <c r="K179" t="s">
        <v>1911</v>
      </c>
      <c r="L179" t="s">
        <v>1912</v>
      </c>
    </row>
    <row r="180" spans="1:12" x14ac:dyDescent="0.25">
      <c r="A180" t="s">
        <v>1913</v>
      </c>
      <c r="B180" t="s">
        <v>1914</v>
      </c>
      <c r="C180" t="s">
        <v>1915</v>
      </c>
      <c r="D180" t="s">
        <v>16</v>
      </c>
      <c r="E180" t="s">
        <v>1916</v>
      </c>
      <c r="F180" t="s">
        <v>1917</v>
      </c>
      <c r="G180" t="s">
        <v>1918</v>
      </c>
      <c r="H180" t="s">
        <v>1919</v>
      </c>
      <c r="I180" t="s">
        <v>1920</v>
      </c>
      <c r="J180" t="s">
        <v>1921</v>
      </c>
      <c r="K180" t="s">
        <v>1922</v>
      </c>
      <c r="L180" t="s">
        <v>1923</v>
      </c>
    </row>
    <row r="181" spans="1:12" x14ac:dyDescent="0.25">
      <c r="A181" t="s">
        <v>1924</v>
      </c>
      <c r="B181" t="s">
        <v>1925</v>
      </c>
      <c r="C181" t="s">
        <v>1926</v>
      </c>
      <c r="D181" t="s">
        <v>1927</v>
      </c>
      <c r="E181" t="s">
        <v>1928</v>
      </c>
      <c r="F181" t="s">
        <v>1929</v>
      </c>
      <c r="G181" t="s">
        <v>1930</v>
      </c>
      <c r="H181" t="s">
        <v>1931</v>
      </c>
      <c r="I181" t="s">
        <v>1932</v>
      </c>
      <c r="J181" t="s">
        <v>1933</v>
      </c>
      <c r="K181" t="s">
        <v>1934</v>
      </c>
      <c r="L181" t="s">
        <v>1935</v>
      </c>
    </row>
    <row r="182" spans="1:12" x14ac:dyDescent="0.25">
      <c r="A182" t="s">
        <v>1936</v>
      </c>
      <c r="B182" t="s">
        <v>1937</v>
      </c>
      <c r="C182" t="s">
        <v>1938</v>
      </c>
      <c r="D182" t="s">
        <v>16</v>
      </c>
      <c r="E182" t="s">
        <v>1939</v>
      </c>
      <c r="F182" t="s">
        <v>1940</v>
      </c>
      <c r="G182" t="s">
        <v>1941</v>
      </c>
      <c r="H182" t="s">
        <v>1942</v>
      </c>
      <c r="I182" t="s">
        <v>1943</v>
      </c>
      <c r="J182" t="s">
        <v>1944</v>
      </c>
      <c r="K182" t="s">
        <v>1945</v>
      </c>
      <c r="L182" t="s">
        <v>1946</v>
      </c>
    </row>
    <row r="183" spans="1:12" x14ac:dyDescent="0.25">
      <c r="A183" t="s">
        <v>1947</v>
      </c>
      <c r="B183" t="s">
        <v>1948</v>
      </c>
      <c r="C183" t="s">
        <v>1949</v>
      </c>
      <c r="D183" t="s">
        <v>1950</v>
      </c>
      <c r="E183" t="s">
        <v>40</v>
      </c>
      <c r="F183" t="s">
        <v>41</v>
      </c>
      <c r="G183" t="s">
        <v>1951</v>
      </c>
      <c r="H183" t="s">
        <v>1952</v>
      </c>
      <c r="I183" t="s">
        <v>1953</v>
      </c>
      <c r="J183" t="s">
        <v>1954</v>
      </c>
      <c r="K183" t="s">
        <v>1955</v>
      </c>
      <c r="L183" t="s">
        <v>1956</v>
      </c>
    </row>
    <row r="184" spans="1:12" x14ac:dyDescent="0.25">
      <c r="A184" t="s">
        <v>1957</v>
      </c>
      <c r="B184" t="s">
        <v>1958</v>
      </c>
      <c r="C184" t="s">
        <v>1959</v>
      </c>
      <c r="D184" t="s">
        <v>16</v>
      </c>
      <c r="E184" t="s">
        <v>1960</v>
      </c>
      <c r="F184" t="s">
        <v>1961</v>
      </c>
      <c r="G184" t="s">
        <v>7</v>
      </c>
      <c r="H184" t="s">
        <v>1962</v>
      </c>
      <c r="I184" t="s">
        <v>1963</v>
      </c>
      <c r="J184" t="s">
        <v>1964</v>
      </c>
      <c r="K184" t="s">
        <v>1965</v>
      </c>
      <c r="L184" t="s">
        <v>1966</v>
      </c>
    </row>
    <row r="185" spans="1:12" x14ac:dyDescent="0.25">
      <c r="A185" t="s">
        <v>1967</v>
      </c>
      <c r="B185" t="s">
        <v>1968</v>
      </c>
      <c r="C185" t="s">
        <v>1969</v>
      </c>
      <c r="D185" t="s">
        <v>16</v>
      </c>
      <c r="E185" t="s">
        <v>1970</v>
      </c>
      <c r="F185" t="s">
        <v>1971</v>
      </c>
      <c r="G185" t="s">
        <v>1972</v>
      </c>
      <c r="H185" t="s">
        <v>1973</v>
      </c>
      <c r="I185" t="s">
        <v>1974</v>
      </c>
      <c r="J185" t="s">
        <v>1975</v>
      </c>
      <c r="K185" t="s">
        <v>1976</v>
      </c>
      <c r="L185" t="s">
        <v>1977</v>
      </c>
    </row>
    <row r="186" spans="1:12" x14ac:dyDescent="0.25">
      <c r="A186" t="s">
        <v>1978</v>
      </c>
      <c r="B186" t="s">
        <v>1979</v>
      </c>
      <c r="C186" t="s">
        <v>1980</v>
      </c>
      <c r="D186" t="s">
        <v>16</v>
      </c>
      <c r="E186" t="s">
        <v>1981</v>
      </c>
      <c r="F186" t="s">
        <v>1982</v>
      </c>
      <c r="G186" t="s">
        <v>1983</v>
      </c>
      <c r="H186" t="s">
        <v>1984</v>
      </c>
      <c r="I186" t="s">
        <v>1985</v>
      </c>
      <c r="J186" t="s">
        <v>1986</v>
      </c>
      <c r="K186" t="s">
        <v>1987</v>
      </c>
      <c r="L186" t="s">
        <v>1988</v>
      </c>
    </row>
    <row r="187" spans="1:12" x14ac:dyDescent="0.25">
      <c r="A187" t="s">
        <v>1989</v>
      </c>
      <c r="B187" t="s">
        <v>1990</v>
      </c>
      <c r="C187" t="s">
        <v>1991</v>
      </c>
      <c r="D187" t="s">
        <v>16</v>
      </c>
      <c r="E187" t="s">
        <v>1992</v>
      </c>
      <c r="F187" t="s">
        <v>1993</v>
      </c>
      <c r="G187" t="s">
        <v>1994</v>
      </c>
      <c r="H187" t="s">
        <v>1995</v>
      </c>
      <c r="I187" t="s">
        <v>1996</v>
      </c>
      <c r="J187" t="s">
        <v>1997</v>
      </c>
      <c r="K187" t="s">
        <v>1998</v>
      </c>
      <c r="L187" t="s">
        <v>1999</v>
      </c>
    </row>
    <row r="188" spans="1:12" x14ac:dyDescent="0.25">
      <c r="A188" t="s">
        <v>2000</v>
      </c>
      <c r="B188" t="s">
        <v>2001</v>
      </c>
      <c r="C188" t="s">
        <v>2002</v>
      </c>
      <c r="D188" t="s">
        <v>16</v>
      </c>
      <c r="E188" t="s">
        <v>2003</v>
      </c>
      <c r="F188" t="s">
        <v>2004</v>
      </c>
      <c r="G188" t="s">
        <v>2005</v>
      </c>
      <c r="H188" t="s">
        <v>2006</v>
      </c>
      <c r="I188" t="s">
        <v>2007</v>
      </c>
      <c r="J188" t="s">
        <v>2008</v>
      </c>
      <c r="K188" t="s">
        <v>2009</v>
      </c>
      <c r="L188" t="s">
        <v>2010</v>
      </c>
    </row>
    <row r="189" spans="1:12" x14ac:dyDescent="0.25">
      <c r="A189" t="s">
        <v>2011</v>
      </c>
      <c r="B189" t="s">
        <v>2012</v>
      </c>
      <c r="C189" t="s">
        <v>2013</v>
      </c>
      <c r="D189" t="s">
        <v>16</v>
      </c>
      <c r="E189" t="s">
        <v>2014</v>
      </c>
      <c r="F189" t="s">
        <v>2015</v>
      </c>
      <c r="G189" t="s">
        <v>2016</v>
      </c>
      <c r="H189" t="s">
        <v>2017</v>
      </c>
      <c r="I189" t="s">
        <v>2018</v>
      </c>
      <c r="J189" t="s">
        <v>2019</v>
      </c>
      <c r="K189" t="s">
        <v>2020</v>
      </c>
      <c r="L189" t="s">
        <v>2021</v>
      </c>
    </row>
    <row r="190" spans="1:12" x14ac:dyDescent="0.25">
      <c r="A190" t="s">
        <v>2022</v>
      </c>
      <c r="B190" t="s">
        <v>2023</v>
      </c>
      <c r="C190" t="s">
        <v>2024</v>
      </c>
      <c r="D190" t="s">
        <v>2025</v>
      </c>
      <c r="E190" t="s">
        <v>2026</v>
      </c>
      <c r="F190" t="s">
        <v>2027</v>
      </c>
      <c r="G190" t="s">
        <v>2028</v>
      </c>
      <c r="H190" t="s">
        <v>2029</v>
      </c>
      <c r="I190" t="s">
        <v>2030</v>
      </c>
      <c r="J190" t="s">
        <v>2031</v>
      </c>
      <c r="K190" t="s">
        <v>2032</v>
      </c>
      <c r="L190" t="s">
        <v>2033</v>
      </c>
    </row>
    <row r="191" spans="1:12" x14ac:dyDescent="0.25">
      <c r="A191" t="s">
        <v>2034</v>
      </c>
      <c r="B191" t="s">
        <v>2035</v>
      </c>
      <c r="C191" t="s">
        <v>2036</v>
      </c>
      <c r="D191" t="s">
        <v>16</v>
      </c>
      <c r="E191" t="s">
        <v>2037</v>
      </c>
      <c r="F191" t="s">
        <v>2038</v>
      </c>
      <c r="G191" t="s">
        <v>7</v>
      </c>
      <c r="H191" t="s">
        <v>2039</v>
      </c>
      <c r="I191" t="s">
        <v>2040</v>
      </c>
      <c r="J191" t="s">
        <v>2041</v>
      </c>
      <c r="K191" t="s">
        <v>2042</v>
      </c>
      <c r="L191" t="s">
        <v>2043</v>
      </c>
    </row>
    <row r="192" spans="1:12" x14ac:dyDescent="0.25">
      <c r="A192" t="s">
        <v>2044</v>
      </c>
      <c r="B192" t="s">
        <v>2045</v>
      </c>
      <c r="C192" t="s">
        <v>2046</v>
      </c>
      <c r="D192" t="s">
        <v>16</v>
      </c>
      <c r="E192" t="s">
        <v>2047</v>
      </c>
      <c r="F192" t="s">
        <v>1064</v>
      </c>
      <c r="G192" t="s">
        <v>2048</v>
      </c>
      <c r="H192" t="s">
        <v>2049</v>
      </c>
      <c r="I192" t="s">
        <v>2050</v>
      </c>
      <c r="J192" t="s">
        <v>2051</v>
      </c>
      <c r="K192" t="s">
        <v>2052</v>
      </c>
      <c r="L192" t="s">
        <v>2053</v>
      </c>
    </row>
    <row r="193" spans="1:12" x14ac:dyDescent="0.25">
      <c r="A193" t="s">
        <v>2054</v>
      </c>
      <c r="B193" t="s">
        <v>2055</v>
      </c>
      <c r="C193" t="s">
        <v>2056</v>
      </c>
      <c r="D193" t="s">
        <v>2057</v>
      </c>
      <c r="E193" t="s">
        <v>2058</v>
      </c>
      <c r="F193" t="s">
        <v>2059</v>
      </c>
      <c r="G193" t="s">
        <v>7</v>
      </c>
      <c r="H193" t="s">
        <v>2060</v>
      </c>
      <c r="I193" t="s">
        <v>2061</v>
      </c>
      <c r="J193" t="s">
        <v>2062</v>
      </c>
      <c r="K193" t="s">
        <v>2063</v>
      </c>
      <c r="L193" t="s">
        <v>2064</v>
      </c>
    </row>
    <row r="194" spans="1:12" x14ac:dyDescent="0.25">
      <c r="A194" t="s">
        <v>2065</v>
      </c>
      <c r="B194" t="s">
        <v>2066</v>
      </c>
      <c r="C194" t="s">
        <v>2067</v>
      </c>
      <c r="D194" t="s">
        <v>16</v>
      </c>
      <c r="E194" t="s">
        <v>2068</v>
      </c>
      <c r="F194" t="s">
        <v>2069</v>
      </c>
      <c r="G194" t="s">
        <v>2070</v>
      </c>
      <c r="H194" t="s">
        <v>2071</v>
      </c>
      <c r="I194" t="s">
        <v>2072</v>
      </c>
      <c r="J194" t="s">
        <v>2073</v>
      </c>
      <c r="K194" t="s">
        <v>2074</v>
      </c>
      <c r="L194" t="s">
        <v>2075</v>
      </c>
    </row>
    <row r="195" spans="1:12" x14ac:dyDescent="0.25">
      <c r="A195" t="s">
        <v>2076</v>
      </c>
      <c r="B195" t="s">
        <v>2077</v>
      </c>
      <c r="C195" t="s">
        <v>2078</v>
      </c>
      <c r="D195" t="s">
        <v>16</v>
      </c>
      <c r="E195" t="s">
        <v>2079</v>
      </c>
      <c r="F195" t="s">
        <v>2080</v>
      </c>
      <c r="G195" t="s">
        <v>2081</v>
      </c>
      <c r="H195" t="s">
        <v>2082</v>
      </c>
      <c r="I195" t="s">
        <v>2083</v>
      </c>
      <c r="J195" t="s">
        <v>2084</v>
      </c>
      <c r="K195" t="s">
        <v>2085</v>
      </c>
      <c r="L195" t="s">
        <v>2086</v>
      </c>
    </row>
    <row r="196" spans="1:12" x14ac:dyDescent="0.25">
      <c r="A196" t="s">
        <v>2087</v>
      </c>
      <c r="B196" t="s">
        <v>2088</v>
      </c>
      <c r="C196" t="s">
        <v>2078</v>
      </c>
      <c r="D196" t="s">
        <v>16</v>
      </c>
      <c r="E196" t="s">
        <v>2079</v>
      </c>
      <c r="F196" t="s">
        <v>2080</v>
      </c>
      <c r="G196" t="s">
        <v>2081</v>
      </c>
      <c r="H196" t="s">
        <v>2082</v>
      </c>
      <c r="I196" t="s">
        <v>2083</v>
      </c>
      <c r="J196" t="s">
        <v>2084</v>
      </c>
      <c r="K196" t="s">
        <v>2085</v>
      </c>
      <c r="L196" t="s">
        <v>2086</v>
      </c>
    </row>
    <row r="197" spans="1:12" x14ac:dyDescent="0.25">
      <c r="A197" t="s">
        <v>2089</v>
      </c>
      <c r="B197" t="s">
        <v>2090</v>
      </c>
      <c r="C197" t="s">
        <v>2091</v>
      </c>
      <c r="D197" t="s">
        <v>2092</v>
      </c>
      <c r="E197" t="s">
        <v>2093</v>
      </c>
      <c r="F197" t="s">
        <v>2094</v>
      </c>
      <c r="G197" t="s">
        <v>2095</v>
      </c>
      <c r="H197" t="s">
        <v>2096</v>
      </c>
      <c r="I197" t="s">
        <v>2097</v>
      </c>
      <c r="J197" t="s">
        <v>2098</v>
      </c>
      <c r="K197" t="s">
        <v>2099</v>
      </c>
      <c r="L197" t="s">
        <v>2100</v>
      </c>
    </row>
    <row r="198" spans="1:12" x14ac:dyDescent="0.25">
      <c r="A198" t="s">
        <v>2101</v>
      </c>
      <c r="B198" t="s">
        <v>2102</v>
      </c>
      <c r="C198" t="s">
        <v>2103</v>
      </c>
      <c r="D198" t="s">
        <v>2104</v>
      </c>
      <c r="E198" t="s">
        <v>2105</v>
      </c>
      <c r="F198" t="s">
        <v>2106</v>
      </c>
      <c r="G198" t="s">
        <v>2107</v>
      </c>
      <c r="H198" t="s">
        <v>2108</v>
      </c>
      <c r="I198" t="s">
        <v>2109</v>
      </c>
      <c r="J198" t="s">
        <v>2110</v>
      </c>
      <c r="K198" t="s">
        <v>2111</v>
      </c>
      <c r="L198" t="s">
        <v>2112</v>
      </c>
    </row>
    <row r="199" spans="1:12" x14ac:dyDescent="0.25">
      <c r="A199" t="s">
        <v>2113</v>
      </c>
      <c r="B199" t="s">
        <v>305</v>
      </c>
      <c r="C199" t="s">
        <v>2114</v>
      </c>
      <c r="D199" t="s">
        <v>16</v>
      </c>
      <c r="E199" t="s">
        <v>2115</v>
      </c>
      <c r="F199" t="s">
        <v>2116</v>
      </c>
      <c r="G199" t="s">
        <v>309</v>
      </c>
      <c r="H199" t="s">
        <v>2117</v>
      </c>
      <c r="I199" t="s">
        <v>2118</v>
      </c>
      <c r="J199" t="s">
        <v>312</v>
      </c>
      <c r="K199" t="s">
        <v>313</v>
      </c>
      <c r="L199" t="s">
        <v>314</v>
      </c>
    </row>
    <row r="200" spans="1:12" x14ac:dyDescent="0.25">
      <c r="A200" t="s">
        <v>2119</v>
      </c>
      <c r="B200" t="s">
        <v>2120</v>
      </c>
      <c r="C200" t="s">
        <v>2121</v>
      </c>
      <c r="D200" t="s">
        <v>2122</v>
      </c>
      <c r="E200" t="s">
        <v>2123</v>
      </c>
      <c r="F200" t="s">
        <v>2124</v>
      </c>
      <c r="G200" t="s">
        <v>2125</v>
      </c>
      <c r="H200" t="s">
        <v>2126</v>
      </c>
      <c r="I200" t="s">
        <v>2127</v>
      </c>
      <c r="J200" t="s">
        <v>2128</v>
      </c>
      <c r="K200" t="s">
        <v>2129</v>
      </c>
      <c r="L200" t="s">
        <v>2130</v>
      </c>
    </row>
    <row r="201" spans="1:12" x14ac:dyDescent="0.25">
      <c r="A201" t="s">
        <v>2131</v>
      </c>
      <c r="B201" t="s">
        <v>2120</v>
      </c>
      <c r="C201" t="s">
        <v>2121</v>
      </c>
      <c r="D201" t="s">
        <v>16</v>
      </c>
      <c r="E201" t="s">
        <v>2123</v>
      </c>
      <c r="F201" t="s">
        <v>2132</v>
      </c>
      <c r="G201" t="s">
        <v>2125</v>
      </c>
      <c r="H201" t="s">
        <v>2133</v>
      </c>
      <c r="I201" t="s">
        <v>2134</v>
      </c>
      <c r="J201" t="s">
        <v>2128</v>
      </c>
      <c r="K201" t="s">
        <v>2129</v>
      </c>
      <c r="L201" t="s">
        <v>2130</v>
      </c>
    </row>
    <row r="202" spans="1:12" x14ac:dyDescent="0.25">
      <c r="A202" t="s">
        <v>2135</v>
      </c>
      <c r="B202" t="s">
        <v>2136</v>
      </c>
      <c r="C202" t="s">
        <v>2137</v>
      </c>
      <c r="D202" t="s">
        <v>16</v>
      </c>
      <c r="E202" t="s">
        <v>119</v>
      </c>
      <c r="F202" t="s">
        <v>120</v>
      </c>
      <c r="G202" t="s">
        <v>2138</v>
      </c>
      <c r="H202" t="s">
        <v>2139</v>
      </c>
      <c r="I202" t="s">
        <v>2140</v>
      </c>
      <c r="J202" t="s">
        <v>2141</v>
      </c>
      <c r="K202" t="s">
        <v>2142</v>
      </c>
      <c r="L202" t="s">
        <v>2143</v>
      </c>
    </row>
    <row r="203" spans="1:12" x14ac:dyDescent="0.25">
      <c r="A203" t="s">
        <v>2144</v>
      </c>
      <c r="B203" t="s">
        <v>2145</v>
      </c>
      <c r="C203" t="s">
        <v>2146</v>
      </c>
      <c r="D203" t="s">
        <v>2147</v>
      </c>
      <c r="E203" t="s">
        <v>2148</v>
      </c>
      <c r="F203" t="s">
        <v>2149</v>
      </c>
      <c r="G203" t="s">
        <v>2150</v>
      </c>
      <c r="H203" t="s">
        <v>2151</v>
      </c>
      <c r="I203" t="s">
        <v>2152</v>
      </c>
      <c r="J203" t="s">
        <v>2153</v>
      </c>
      <c r="K203" t="s">
        <v>2154</v>
      </c>
      <c r="L203" t="s">
        <v>2155</v>
      </c>
    </row>
    <row r="204" spans="1:12" x14ac:dyDescent="0.25">
      <c r="A204" t="s">
        <v>2156</v>
      </c>
      <c r="B204" t="s">
        <v>2157</v>
      </c>
      <c r="C204" t="s">
        <v>2158</v>
      </c>
      <c r="D204" t="s">
        <v>2159</v>
      </c>
      <c r="E204" t="s">
        <v>2115</v>
      </c>
      <c r="F204" t="s">
        <v>308</v>
      </c>
      <c r="G204" t="s">
        <v>7</v>
      </c>
      <c r="H204" t="s">
        <v>2160</v>
      </c>
      <c r="I204" t="s">
        <v>2161</v>
      </c>
      <c r="J204" t="s">
        <v>2162</v>
      </c>
      <c r="K204" t="s">
        <v>2163</v>
      </c>
      <c r="L204" t="s">
        <v>2164</v>
      </c>
    </row>
    <row r="205" spans="1:12" x14ac:dyDescent="0.25">
      <c r="A205" t="s">
        <v>2165</v>
      </c>
      <c r="B205" t="s">
        <v>2166</v>
      </c>
      <c r="C205" t="s">
        <v>2167</v>
      </c>
      <c r="D205" t="s">
        <v>16</v>
      </c>
      <c r="E205" t="s">
        <v>2168</v>
      </c>
      <c r="F205" t="s">
        <v>2169</v>
      </c>
      <c r="G205" t="s">
        <v>2170</v>
      </c>
      <c r="H205" t="s">
        <v>2171</v>
      </c>
      <c r="I205" t="s">
        <v>2172</v>
      </c>
      <c r="J205" t="s">
        <v>2173</v>
      </c>
      <c r="K205" t="s">
        <v>2174</v>
      </c>
      <c r="L205" t="s">
        <v>2175</v>
      </c>
    </row>
    <row r="206" spans="1:12" x14ac:dyDescent="0.25">
      <c r="A206" t="s">
        <v>2176</v>
      </c>
      <c r="B206" t="s">
        <v>2177</v>
      </c>
      <c r="C206" t="s">
        <v>2178</v>
      </c>
      <c r="D206" t="s">
        <v>16</v>
      </c>
      <c r="E206" t="s">
        <v>2179</v>
      </c>
      <c r="F206" t="s">
        <v>2180</v>
      </c>
      <c r="G206" t="s">
        <v>2181</v>
      </c>
      <c r="H206" t="s">
        <v>2182</v>
      </c>
      <c r="I206" t="s">
        <v>2183</v>
      </c>
      <c r="J206" t="s">
        <v>2184</v>
      </c>
      <c r="K206" t="s">
        <v>2185</v>
      </c>
      <c r="L206" t="s">
        <v>2186</v>
      </c>
    </row>
    <row r="207" spans="1:12" x14ac:dyDescent="0.25">
      <c r="A207" t="s">
        <v>2187</v>
      </c>
      <c r="B207" t="s">
        <v>2188</v>
      </c>
      <c r="C207" t="s">
        <v>2189</v>
      </c>
      <c r="D207" t="s">
        <v>2190</v>
      </c>
      <c r="E207" t="s">
        <v>2191</v>
      </c>
      <c r="F207" t="s">
        <v>2192</v>
      </c>
      <c r="G207" t="s">
        <v>7</v>
      </c>
      <c r="H207" t="s">
        <v>2193</v>
      </c>
      <c r="I207" t="s">
        <v>2194</v>
      </c>
      <c r="J207" t="s">
        <v>2195</v>
      </c>
      <c r="K207" t="s">
        <v>2196</v>
      </c>
      <c r="L207" t="s">
        <v>2197</v>
      </c>
    </row>
    <row r="208" spans="1:12" x14ac:dyDescent="0.25">
      <c r="A208" t="s">
        <v>2198</v>
      </c>
      <c r="B208" t="s">
        <v>2188</v>
      </c>
      <c r="C208" t="s">
        <v>2199</v>
      </c>
      <c r="D208" t="s">
        <v>16</v>
      </c>
      <c r="E208" t="s">
        <v>2191</v>
      </c>
      <c r="F208" t="s">
        <v>2192</v>
      </c>
      <c r="G208" t="s">
        <v>7</v>
      </c>
      <c r="H208" t="s">
        <v>2200</v>
      </c>
      <c r="I208" t="s">
        <v>2194</v>
      </c>
      <c r="J208" t="s">
        <v>2195</v>
      </c>
      <c r="K208" t="s">
        <v>2196</v>
      </c>
      <c r="L208" t="s">
        <v>2197</v>
      </c>
    </row>
    <row r="209" spans="1:12" x14ac:dyDescent="0.25">
      <c r="A209" t="s">
        <v>2201</v>
      </c>
      <c r="B209" t="s">
        <v>2202</v>
      </c>
      <c r="C209" t="s">
        <v>2203</v>
      </c>
      <c r="D209" t="s">
        <v>16</v>
      </c>
      <c r="E209" t="s">
        <v>2204</v>
      </c>
      <c r="F209" t="s">
        <v>308</v>
      </c>
      <c r="G209" t="s">
        <v>7</v>
      </c>
      <c r="H209" t="s">
        <v>2205</v>
      </c>
      <c r="I209" t="s">
        <v>2206</v>
      </c>
      <c r="J209" t="s">
        <v>2207</v>
      </c>
      <c r="K209" t="s">
        <v>2208</v>
      </c>
      <c r="L209" t="s">
        <v>2209</v>
      </c>
    </row>
    <row r="210" spans="1:12" x14ac:dyDescent="0.25">
      <c r="A210" t="s">
        <v>2210</v>
      </c>
      <c r="B210" t="s">
        <v>2211</v>
      </c>
      <c r="C210" t="s">
        <v>2212</v>
      </c>
      <c r="D210" t="s">
        <v>16</v>
      </c>
      <c r="E210" t="s">
        <v>2213</v>
      </c>
      <c r="F210" t="s">
        <v>142</v>
      </c>
      <c r="G210" t="s">
        <v>7</v>
      </c>
      <c r="H210" t="s">
        <v>2214</v>
      </c>
      <c r="I210" t="s">
        <v>2215</v>
      </c>
      <c r="J210" t="s">
        <v>2216</v>
      </c>
      <c r="K210" t="s">
        <v>2217</v>
      </c>
      <c r="L210" t="s">
        <v>2218</v>
      </c>
    </row>
    <row r="211" spans="1:12" x14ac:dyDescent="0.25">
      <c r="A211" t="s">
        <v>2219</v>
      </c>
      <c r="B211" t="s">
        <v>2220</v>
      </c>
      <c r="C211" t="s">
        <v>2221</v>
      </c>
      <c r="D211" t="s">
        <v>16</v>
      </c>
      <c r="E211" t="s">
        <v>2213</v>
      </c>
      <c r="F211" t="s">
        <v>142</v>
      </c>
      <c r="G211" t="s">
        <v>7</v>
      </c>
      <c r="H211" t="s">
        <v>2222</v>
      </c>
      <c r="I211" t="s">
        <v>2223</v>
      </c>
      <c r="J211" t="s">
        <v>2216</v>
      </c>
      <c r="K211" t="s">
        <v>2217</v>
      </c>
      <c r="L211" t="s">
        <v>2218</v>
      </c>
    </row>
    <row r="212" spans="1:12" x14ac:dyDescent="0.25">
      <c r="A212" t="s">
        <v>2224</v>
      </c>
      <c r="B212" t="s">
        <v>2225</v>
      </c>
      <c r="C212" t="s">
        <v>2226</v>
      </c>
      <c r="D212" t="s">
        <v>2227</v>
      </c>
      <c r="E212" t="s">
        <v>2228</v>
      </c>
      <c r="F212" t="s">
        <v>2229</v>
      </c>
      <c r="G212" t="s">
        <v>2230</v>
      </c>
      <c r="H212" t="s">
        <v>2231</v>
      </c>
      <c r="I212" t="s">
        <v>2232</v>
      </c>
      <c r="J212" t="s">
        <v>2233</v>
      </c>
      <c r="K212" t="s">
        <v>2234</v>
      </c>
      <c r="L212" t="s">
        <v>2235</v>
      </c>
    </row>
    <row r="213" spans="1:12" x14ac:dyDescent="0.25">
      <c r="A213" t="s">
        <v>2236</v>
      </c>
      <c r="B213" t="s">
        <v>2237</v>
      </c>
      <c r="C213" t="s">
        <v>2238</v>
      </c>
      <c r="D213" t="s">
        <v>16</v>
      </c>
      <c r="E213" t="s">
        <v>2239</v>
      </c>
      <c r="F213" t="s">
        <v>2240</v>
      </c>
      <c r="G213" t="s">
        <v>7</v>
      </c>
      <c r="H213" t="s">
        <v>2241</v>
      </c>
      <c r="I213" t="s">
        <v>2242</v>
      </c>
      <c r="J213" t="s">
        <v>2243</v>
      </c>
      <c r="K213" t="s">
        <v>2244</v>
      </c>
      <c r="L213" t="s">
        <v>2245</v>
      </c>
    </row>
    <row r="214" spans="1:12" x14ac:dyDescent="0.25">
      <c r="A214" t="s">
        <v>2246</v>
      </c>
      <c r="B214" t="s">
        <v>2247</v>
      </c>
      <c r="C214" t="s">
        <v>2248</v>
      </c>
      <c r="D214" t="s">
        <v>16</v>
      </c>
      <c r="E214" t="s">
        <v>2249</v>
      </c>
      <c r="F214" t="s">
        <v>308</v>
      </c>
      <c r="G214" t="s">
        <v>2250</v>
      </c>
      <c r="H214" t="s">
        <v>2251</v>
      </c>
      <c r="I214" t="s">
        <v>2252</v>
      </c>
      <c r="J214" t="s">
        <v>2253</v>
      </c>
      <c r="K214" t="s">
        <v>2254</v>
      </c>
      <c r="L214" t="s">
        <v>2255</v>
      </c>
    </row>
    <row r="215" spans="1:12" x14ac:dyDescent="0.25">
      <c r="A215" t="s">
        <v>2256</v>
      </c>
      <c r="B215" t="s">
        <v>2257</v>
      </c>
      <c r="C215" t="s">
        <v>2258</v>
      </c>
      <c r="D215" t="s">
        <v>16</v>
      </c>
      <c r="E215" t="s">
        <v>2259</v>
      </c>
      <c r="F215" t="s">
        <v>2260</v>
      </c>
      <c r="G215" t="s">
        <v>2261</v>
      </c>
      <c r="H215" t="s">
        <v>2262</v>
      </c>
      <c r="I215" t="s">
        <v>2263</v>
      </c>
      <c r="J215" t="s">
        <v>2264</v>
      </c>
      <c r="K215" t="s">
        <v>2265</v>
      </c>
      <c r="L215" t="s">
        <v>2266</v>
      </c>
    </row>
    <row r="216" spans="1:12" x14ac:dyDescent="0.25">
      <c r="A216" t="s">
        <v>2267</v>
      </c>
      <c r="B216" t="s">
        <v>2268</v>
      </c>
      <c r="C216" t="s">
        <v>2269</v>
      </c>
      <c r="D216" t="s">
        <v>16</v>
      </c>
      <c r="E216" t="s">
        <v>2270</v>
      </c>
      <c r="F216" t="s">
        <v>2271</v>
      </c>
      <c r="G216" t="s">
        <v>2272</v>
      </c>
      <c r="H216" t="s">
        <v>2273</v>
      </c>
      <c r="I216" t="s">
        <v>2274</v>
      </c>
      <c r="J216" t="s">
        <v>2275</v>
      </c>
      <c r="K216" t="s">
        <v>2276</v>
      </c>
      <c r="L216" t="s">
        <v>2277</v>
      </c>
    </row>
    <row r="217" spans="1:12" x14ac:dyDescent="0.25">
      <c r="A217" t="s">
        <v>2278</v>
      </c>
      <c r="B217" t="s">
        <v>2279</v>
      </c>
      <c r="C217" t="s">
        <v>2280</v>
      </c>
      <c r="D217" t="s">
        <v>16</v>
      </c>
      <c r="E217" t="s">
        <v>2281</v>
      </c>
      <c r="F217" t="s">
        <v>2282</v>
      </c>
      <c r="G217" t="s">
        <v>2283</v>
      </c>
      <c r="H217" t="s">
        <v>2284</v>
      </c>
      <c r="I217" t="s">
        <v>2285</v>
      </c>
      <c r="J217" t="s">
        <v>2286</v>
      </c>
      <c r="K217" t="s">
        <v>2287</v>
      </c>
      <c r="L217" t="s">
        <v>2288</v>
      </c>
    </row>
    <row r="218" spans="1:12" x14ac:dyDescent="0.25">
      <c r="A218" t="s">
        <v>2289</v>
      </c>
      <c r="B218" t="s">
        <v>2290</v>
      </c>
      <c r="C218" t="s">
        <v>2291</v>
      </c>
      <c r="D218" t="s">
        <v>16</v>
      </c>
      <c r="E218" t="s">
        <v>2292</v>
      </c>
      <c r="F218" t="s">
        <v>2293</v>
      </c>
      <c r="G218" t="s">
        <v>7</v>
      </c>
      <c r="H218" t="s">
        <v>2294</v>
      </c>
      <c r="I218" t="s">
        <v>2295</v>
      </c>
      <c r="J218" t="s">
        <v>2296</v>
      </c>
      <c r="K218" t="s">
        <v>2297</v>
      </c>
      <c r="L218" t="s">
        <v>2298</v>
      </c>
    </row>
    <row r="219" spans="1:12" x14ac:dyDescent="0.25">
      <c r="A219" t="s">
        <v>2299</v>
      </c>
      <c r="B219" t="s">
        <v>2300</v>
      </c>
      <c r="C219" t="s">
        <v>2301</v>
      </c>
      <c r="D219" t="s">
        <v>16</v>
      </c>
      <c r="E219" t="s">
        <v>2302</v>
      </c>
      <c r="F219" t="s">
        <v>2303</v>
      </c>
      <c r="G219" t="s">
        <v>7</v>
      </c>
      <c r="H219" t="s">
        <v>2304</v>
      </c>
      <c r="I219" t="s">
        <v>2305</v>
      </c>
      <c r="J219" t="s">
        <v>2306</v>
      </c>
      <c r="K219" t="s">
        <v>2307</v>
      </c>
      <c r="L219" t="s">
        <v>2308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CA08B-97FC-4FE0-9D5E-046400C4A9FE}">
  <dimension ref="A1:L277"/>
  <sheetViews>
    <sheetView tabSelected="1" topLeftCell="A7" workbookViewId="0">
      <selection activeCell="B11" sqref="A1:L277"/>
    </sheetView>
  </sheetViews>
  <sheetFormatPr baseColWidth="10" defaultRowHeight="15" x14ac:dyDescent="0.25"/>
  <cols>
    <col min="2" max="2" width="50" bestFit="1" customWidth="1"/>
    <col min="3" max="3" width="38.140625" customWidth="1"/>
    <col min="5" max="5" width="36.85546875" customWidth="1"/>
    <col min="6" max="6" width="20.5703125" customWidth="1"/>
    <col min="9" max="9" width="24.42578125" bestFit="1" customWidth="1"/>
  </cols>
  <sheetData>
    <row r="1" spans="1:12" x14ac:dyDescent="0.25">
      <c r="A1" t="s">
        <v>2309</v>
      </c>
      <c r="B1" t="s">
        <v>2310</v>
      </c>
      <c r="C1" t="s">
        <v>2311</v>
      </c>
      <c r="D1" t="s">
        <v>2312</v>
      </c>
      <c r="E1" t="s">
        <v>2313</v>
      </c>
      <c r="F1" t="s">
        <v>2314</v>
      </c>
      <c r="G1" t="s">
        <v>2315</v>
      </c>
      <c r="H1" t="s">
        <v>2316</v>
      </c>
      <c r="I1" t="s">
        <v>2317</v>
      </c>
      <c r="J1" t="s">
        <v>2318</v>
      </c>
      <c r="K1" t="s">
        <v>2319</v>
      </c>
      <c r="L1" t="s">
        <v>2320</v>
      </c>
    </row>
    <row r="2" spans="1:12" x14ac:dyDescent="0.25">
      <c r="A2" t="str">
        <f>IFERROR(SUBSTITUTE(jason_converted!A2,"{'id': ",""),"")</f>
        <v>1</v>
      </c>
      <c r="B2" t="str">
        <f>IFERROR(LEFT(SUBSTITUTE(jason_converted!B2," 'nom': '",""),LEN(SUBSTITUTE(jason_converted!B2," 'nom': '",""))-1),"")</f>
        <v>Palais des Sports Xavier Le Louarne - KERVARIC</v>
      </c>
      <c r="C2" t="str">
        <f>IFERROR(LEFT(SUBSTITUTE(jason_converted!C2," 'adresse1': '",""),LEN(SUBSTITUTE(jason_converted!C2," 'adresse1': '",""))-1),"")</f>
        <v>RUE ALFRED DREYFUS</v>
      </c>
      <c r="D2" t="str">
        <f>IFERROR(LEFT(SUBSTITUTE(jason_converted!D2," 'adresse2': '",""),LEN(SUBSTITUTE(jason_converted!D2," 'adresse2': '",""))-1),"")</f>
        <v xml:space="preserve">PALAIS DES SPORTS  KERVARIC </v>
      </c>
      <c r="E2" t="str">
        <f>IFERROR(LEFT(SUBSTITUTE(jason_converted!E2," 'codepostal': '",""),LEN(SUBSTITUTE(jason_converted!E2," 'codepostal': '",""))-1),"")</f>
        <v>56100</v>
      </c>
      <c r="F2" t="str">
        <f>IFERROR(LEFT(SUBSTITUTE(jason_converted!F2," 'ville': '",""),LEN(SUBSTITUTE(jason_converted!F2," 'ville': '",""))-1),"")</f>
        <v>LORIENT</v>
      </c>
      <c r="G2" t="str">
        <f>IFERROR(LEFT(SUBSTITUTE(jason_converted!G2," 'tel': ",""),LEN(SUBSTITUTE(jason_converted!G2," 'tel': ",""))),"")</f>
        <v>None</v>
      </c>
      <c r="H2" t="str">
        <f>IFERROR(LEFT(SUBSTITUTE(jason_converted!H2," 'lat': '",""),LEN(SUBSTITUTE(jason_converted!H2," 'lat': '",""))-1),"")</f>
        <v>47.747558699999999</v>
      </c>
      <c r="I2" t="str">
        <f>IFERROR(LEFT(SUBSTITUTE(jason_converted!I2," 'lng': '",""),LEN(SUBSTITUTE(jason_converted!I2," 'lng': '",""))-1),"")</f>
        <v>-3.387957521849272</v>
      </c>
      <c r="J2" t="str">
        <f>IFERROR(LEFT(SUBSTITUTE(jason_converted!J2," 'nomClub': '",""),LEN(SUBSTITUTE(jason_converted!J2," 'nomClub': '",""))-1),"")</f>
        <v>CA LORIENTAIS</v>
      </c>
      <c r="K2" t="str">
        <f>IFERROR(LEFT(SUBSTITUTE(jason_converted!K2," 'nomCourtClub': '",""),LEN(SUBSTITUTE(jason_converted!K2," 'nomCourtClub': '",""))-1),"")</f>
        <v>CA LORIENT</v>
      </c>
      <c r="L2" t="str">
        <f>IFERROR("https://ffhaltero.fr/" &amp; LEFT(SUBSTITUTE(jason_converted!L2," 'url': '",""),LEN(SUBSTITUTE(jason_converted!L2," 'url': '",""))-1),"")</f>
        <v>https://ffhaltero.fr//pratiquer/ou-pratiquer/ou-pratiquer-fiche-club/06560092-ca-lorientais'</v>
      </c>
    </row>
    <row r="3" spans="1:12" x14ac:dyDescent="0.25">
      <c r="A3" t="str">
        <f>IFERROR(SUBSTITUTE(jason_converted!A3,"{'id': ",""),"")</f>
        <v>2</v>
      </c>
      <c r="B3" t="str">
        <f>IFERROR(LEFT(SUBSTITUTE(jason_converted!B3," 'nom': '",""),LEN(SUBSTITUTE(jason_converted!B3," 'nom': '",""))-1),"")</f>
        <v>Palais des sport de Vaulx en Velin</v>
      </c>
      <c r="C3" t="str">
        <f>IFERROR(LEFT(SUBSTITUTE(jason_converted!C3," 'adresse1': '",""),LEN(SUBSTITUTE(jason_converted!C3," 'adresse1': '",""))-1),"")</f>
        <v>RUE MAURICE AUDIN</v>
      </c>
      <c r="D3" t="str">
        <f>IFERROR(LEFT(SUBSTITUTE(jason_converted!D3," 'adresse2': '",""),LEN(SUBSTITUTE(jason_converted!D3," 'adresse2': '",""))-1),"")</f>
        <v/>
      </c>
      <c r="E3" t="str">
        <f>IFERROR(LEFT(SUBSTITUTE(jason_converted!E3," 'codepostal': '",""),LEN(SUBSTITUTE(jason_converted!E3," 'codepostal': '",""))-1),"")</f>
        <v>69120</v>
      </c>
      <c r="F3" t="str">
        <f>IFERROR(LEFT(SUBSTITUTE(jason_converted!F3," 'ville': '",""),LEN(SUBSTITUTE(jason_converted!F3," 'ville': '",""))-1),"")</f>
        <v>VAULX-EN-VELIN</v>
      </c>
      <c r="G3" t="str">
        <f>IFERROR(LEFT(SUBSTITUTE(jason_converted!G3," 'tel': ",""),LEN(SUBSTITUTE(jason_converted!G3," 'tel': ",""))),"")</f>
        <v>'06.52.21.99.57'</v>
      </c>
      <c r="H3" t="str">
        <f>IFERROR(LEFT(SUBSTITUTE(jason_converted!H3," 'lat': '",""),LEN(SUBSTITUTE(jason_converted!H3," 'lat': '",""))-1),"")</f>
        <v>45.778045599999999</v>
      </c>
      <c r="I3" t="str">
        <f>IFERROR(LEFT(SUBSTITUTE(jason_converted!I3," 'lng': '",""),LEN(SUBSTITUTE(jason_converted!I3," 'lng': '",""))-1),"")</f>
        <v>4.921128509828417</v>
      </c>
      <c r="J3" t="str">
        <f>IFERROR(LEFT(SUBSTITUTE(jason_converted!J3," 'nomClub': '",""),LEN(SUBSTITUTE(jason_converted!J3," 'nomClub': '",""))-1),"")</f>
        <v>ELITE BARBELL VAULX EN VELIN</v>
      </c>
      <c r="K3" t="str">
        <f>IFERROR(LEFT(SUBSTITUTE(jason_converted!K3," 'nomCourtClub': '",""),LEN(SUBSTITUTE(jason_converted!K3," 'nomCourtClub': '",""))-1),"")</f>
        <v>ELITE BARBELL VAULX EN VELIN</v>
      </c>
      <c r="L3" t="str">
        <f>IFERROR("https://ffhaltero.fr/" &amp; LEFT(SUBSTITUTE(jason_converted!L3," 'url': '",""),LEN(SUBSTITUTE(jason_converted!L3," 'url': '",""))-1),"")</f>
        <v>https://ffhaltero.fr//pratiquer/ou-pratiquer/ou-pratiquer-fiche-club/22690291-elite-barbell-vaulx-en-velin'</v>
      </c>
    </row>
    <row r="4" spans="1:12" x14ac:dyDescent="0.25">
      <c r="A4" t="str">
        <f>IFERROR(SUBSTITUTE(jason_converted!A4,"{'id': ",""),"")</f>
        <v>3</v>
      </c>
      <c r="B4" t="str">
        <f>IFERROR(LEFT(SUBSTITUTE(jason_converted!B4," 'nom': '",""),LEN(SUBSTITUTE(jason_converted!B4," 'nom': '",""))-1),"")</f>
        <v>ATHLETIC CLUB SAINT MARCELLIN</v>
      </c>
      <c r="C4" t="str">
        <f>IFERROR(LEFT(SUBSTITUTE(jason_converted!C4," 'adresse1': '",""),LEN(SUBSTITUTE(jason_converted!C4," 'adresse1': '",""))-1),"")</f>
        <v>AVENUE DU DOCTEUR CARRIER</v>
      </c>
      <c r="D4" t="str">
        <f>IFERROR(LEFT(SUBSTITUTE(jason_converted!D4," 'adresse2': '",""),LEN(SUBSTITUTE(jason_converted!D4," 'adresse2': '",""))-1),"")</f>
        <v xml:space="preserve">GYMNASE CARRIER </v>
      </c>
      <c r="E4" t="str">
        <f>IFERROR(LEFT(SUBSTITUTE(jason_converted!E4," 'codepostal': '",""),LEN(SUBSTITUTE(jason_converted!E4," 'codepostal': '",""))-1),"")</f>
        <v>38160</v>
      </c>
      <c r="F4" t="str">
        <f>IFERROR(LEFT(SUBSTITUTE(jason_converted!F4," 'ville': '",""),LEN(SUBSTITUTE(jason_converted!F4," 'ville': '",""))-1),"")</f>
        <v>SAINT-MARCELLIN</v>
      </c>
      <c r="G4" t="str">
        <f>IFERROR(LEFT(SUBSTITUTE(jason_converted!G4," 'tel': ",""),LEN(SUBSTITUTE(jason_converted!G4," 'tel': ",""))),"")</f>
        <v>'04.76.38.32.00'</v>
      </c>
      <c r="H4" t="str">
        <f>IFERROR(LEFT(SUBSTITUTE(jason_converted!H4," 'lat': '",""),LEN(SUBSTITUTE(jason_converted!H4," 'lat': '",""))-1),"")</f>
        <v>45.151263499999999</v>
      </c>
      <c r="I4" t="str">
        <f>IFERROR(LEFT(SUBSTITUTE(jason_converted!I4," 'lng': '",""),LEN(SUBSTITUTE(jason_converted!I4," 'lng': '",""))-1),"")</f>
        <v>5.314602718951019</v>
      </c>
      <c r="J4" t="str">
        <f>IFERROR(LEFT(SUBSTITUTE(jason_converted!J4," 'nomClub': '",""),LEN(SUBSTITUTE(jason_converted!J4," 'nomClub': '",""))-1),"")</f>
        <v>ATHLETIC CLUB SAINT MARCELLIN</v>
      </c>
      <c r="K4" t="str">
        <f>IFERROR(LEFT(SUBSTITUTE(jason_converted!K4," 'nomCourtClub': '",""),LEN(SUBSTITUTE(jason_converted!K4," 'nomCourtClub': '",""))-1),"")</f>
        <v>ATHLETIC CLUB SAINT MARCELLIN</v>
      </c>
      <c r="L4" t="str">
        <f>IFERROR("https://ffhaltero.fr/" &amp; LEFT(SUBSTITUTE(jason_converted!L4," 'url': '",""),LEN(SUBSTITUTE(jason_converted!L4," 'url': '",""))-1),"")</f>
        <v>https://ffhaltero.fr//pratiquer/ou-pratiquer/ou-pratiquer-fiche-club/22380138-athletic-club-saint-marcellin'</v>
      </c>
    </row>
    <row r="5" spans="1:12" x14ac:dyDescent="0.25">
      <c r="A5" t="str">
        <f>IFERROR(SUBSTITUTE(jason_converted!A5,"{'id': ",""),"")</f>
        <v>4</v>
      </c>
      <c r="B5" t="str">
        <f>IFERROR(LEFT(SUBSTITUTE(jason_converted!B5," 'nom': '",""),LEN(SUBSTITUTE(jason_converted!B5," 'nom': '",""))-1),"")</f>
        <v>Istres Sport Haltérophilie</v>
      </c>
      <c r="C5" t="str">
        <f>IFERROR(LEFT(SUBSTITUTE(jason_converted!C5," 'adresse1': '",""),LEN(SUBSTITUTE(jason_converted!C5," 'adresse1': '",""))-1),"")</f>
        <v>AVENUE RADOLFZELL</v>
      </c>
      <c r="D5" t="str">
        <f>IFERROR(LEFT(SUBSTITUTE(jason_converted!D5," 'adresse2': '",""),LEN(SUBSTITUTE(jason_converted!D5," 'adresse2': '",""))-1),"")</f>
        <v/>
      </c>
      <c r="E5" t="str">
        <f>IFERROR(LEFT(SUBSTITUTE(jason_converted!E5," 'codepostal': '",""),LEN(SUBSTITUTE(jason_converted!E5," 'codepostal': '",""))-1),"")</f>
        <v>13800</v>
      </c>
      <c r="F5" t="str">
        <f>IFERROR(LEFT(SUBSTITUTE(jason_converted!F5," 'ville': '",""),LEN(SUBSTITUTE(jason_converted!F5," 'ville': '",""))-1),"")</f>
        <v>ISTRES</v>
      </c>
      <c r="G5" t="str">
        <f>IFERROR(LEFT(SUBSTITUTE(jason_converted!G5," 'tel': ",""),LEN(SUBSTITUTE(jason_converted!G5," 'tel': ",""))),"")</f>
        <v>None</v>
      </c>
      <c r="H5" t="str">
        <f>IFERROR(LEFT(SUBSTITUTE(jason_converted!H5," 'lat': '",""),LEN(SUBSTITUTE(jason_converted!H5," 'lat': '",""))-1),"")</f>
        <v>43.500787456145993</v>
      </c>
      <c r="I5" t="str">
        <f>IFERROR(LEFT(SUBSTITUTE(jason_converted!I5," 'lng': '",""),LEN(SUBSTITUTE(jason_converted!I5," 'lng': '",""))-1),"")</f>
        <v>4.996019303798676</v>
      </c>
      <c r="J5" t="str">
        <f>IFERROR(LEFT(SUBSTITUTE(jason_converted!J5," 'nomClub': '",""),LEN(SUBSTITUTE(jason_converted!J5," 'nomClub': '",""))-1),"")</f>
        <v>ISTRES SPORT HALTEROPHILIE</v>
      </c>
      <c r="K5" t="str">
        <f>IFERROR(LEFT(SUBSTITUTE(jason_converted!K5," 'nomCourtClub': '",""),LEN(SUBSTITUTE(jason_converted!K5," 'nomCourtClub': '",""))-1),"")</f>
        <v>ISTRES SPORT HALTEROPHILIE</v>
      </c>
      <c r="L5" t="str">
        <f>IFERROR("https://ffhaltero.fr/" &amp; LEFT(SUBSTITUTE(jason_converted!L5," 'url': '",""),LEN(SUBSTITUTE(jason_converted!L5," 'url': '",""))-1),"")</f>
        <v>https://ffhaltero.fr//pratiquer/ou-pratiquer/ou-pratiquer-fiche-club/20130626-istres-sport-halterophilie'</v>
      </c>
    </row>
    <row r="6" spans="1:12" x14ac:dyDescent="0.25">
      <c r="A6" t="str">
        <f>IFERROR(SUBSTITUTE(jason_converted!A6,"{'id': ",""),"")</f>
        <v>5</v>
      </c>
      <c r="B6" t="str">
        <f>IFERROR(LEFT(SUBSTITUTE(jason_converted!B6," 'nom': '",""),LEN(SUBSTITUTE(jason_converted!B6," 'nom': '",""))-1),"")</f>
        <v>CHM AUBENAS</v>
      </c>
      <c r="C6" t="str">
        <f>IFERROR(LEFT(SUBSTITUTE(jason_converted!C6," 'adresse1': '",""),LEN(SUBSTITUTE(jason_converted!C6," 'adresse1': '",""))-1),"")</f>
        <v>15 CHEMIN DU TENNIS</v>
      </c>
      <c r="D6" t="str">
        <f>IFERROR(LEFT(SUBSTITUTE(jason_converted!D6," 'adresse2': '",""),LEN(SUBSTITUTE(jason_converted!D6," 'adresse2': '",""))-1),"")</f>
        <v>QUARTIER ROQUA</v>
      </c>
      <c r="E6" t="str">
        <f>IFERROR(LEFT(SUBSTITUTE(jason_converted!E6," 'codepostal': '",""),LEN(SUBSTITUTE(jason_converted!E6," 'codepostal': '",""))-1),"")</f>
        <v>07200</v>
      </c>
      <c r="F6" t="str">
        <f>IFERROR(LEFT(SUBSTITUTE(jason_converted!F6," 'ville': '",""),LEN(SUBSTITUTE(jason_converted!F6," 'ville': '",""))-1),"")</f>
        <v>AUBENAS</v>
      </c>
      <c r="G6" t="str">
        <f>IFERROR(LEFT(SUBSTITUTE(jason_converted!G6," 'tel': ",""),LEN(SUBSTITUTE(jason_converted!G6," 'tel': ",""))),"")</f>
        <v>'0634368268'</v>
      </c>
      <c r="H6" t="str">
        <f>IFERROR(LEFT(SUBSTITUTE(jason_converted!H6," 'lat': '",""),LEN(SUBSTITUTE(jason_converted!H6," 'lat': '",""))-1),"")</f>
        <v>44.628847199999996</v>
      </c>
      <c r="I6" t="str">
        <f>IFERROR(LEFT(SUBSTITUTE(jason_converted!I6," 'lng': '",""),LEN(SUBSTITUTE(jason_converted!I6," 'lng': '",""))-1),"")</f>
        <v>4.385909122075056</v>
      </c>
      <c r="J6" t="str">
        <f>IFERROR(LEFT(SUBSTITUTE(jason_converted!J6," 'nomClub': '",""),LEN(SUBSTITUTE(jason_converted!J6," 'nomClub': '",""))-1),"")</f>
        <v>CHM AUBENAS</v>
      </c>
      <c r="K6" t="str">
        <f>IFERROR(LEFT(SUBSTITUTE(jason_converted!K6," 'nomCourtClub': '",""),LEN(SUBSTITUTE(jason_converted!K6," 'nomCourtClub': '",""))-1),"")</f>
        <v>CHM AUBENAS</v>
      </c>
      <c r="L6" t="str">
        <f>IFERROR("https://ffhaltero.fr/" &amp; LEFT(SUBSTITUTE(jason_converted!L6," 'url': '",""),LEN(SUBSTITUTE(jason_converted!L6," 'url': '",""))-1),"")</f>
        <v>https://ffhaltero.fr//pratiquer/ou-pratiquer/ou-pratiquer-fiche-club/22070131-chm-aubenas'</v>
      </c>
    </row>
    <row r="7" spans="1:12" x14ac:dyDescent="0.25">
      <c r="A7" t="str">
        <f>IFERROR(SUBSTITUTE(jason_converted!A7,"{'id': ",""),"")</f>
        <v>6</v>
      </c>
      <c r="B7" t="str">
        <f>IFERROR(LEFT(SUBSTITUTE(jason_converted!B7," 'nom': '",""),LEN(SUBSTITUTE(jason_converted!B7," 'nom': '",""))-1),"")</f>
        <v>Palais des sports</v>
      </c>
      <c r="C7" t="str">
        <f>IFERROR(LEFT(SUBSTITUTE(jason_converted!C7," 'adresse1': '",""),LEN(SUBSTITUTE(jason_converted!C7," 'adresse1': '",""))-1),"")</f>
        <v>4 BOULEVARD RICHET</v>
      </c>
      <c r="D7" t="str">
        <f>IFERROR(LEFT(SUBSTITUTE(jason_converted!D7," 'adresse2': '",""),LEN(SUBSTITUTE(jason_converted!D7," 'adresse2': '",""))-1),"")</f>
        <v/>
      </c>
      <c r="E7" t="str">
        <f>IFERROR(LEFT(SUBSTITUTE(jason_converted!E7," 'codepostal': '",""),LEN(SUBSTITUTE(jason_converted!E7," 'codepostal': '",""))-1),"")</f>
        <v>70300</v>
      </c>
      <c r="F7" t="str">
        <f>IFERROR(LEFT(SUBSTITUTE(jason_converted!F7," 'ville': '",""),LEN(SUBSTITUTE(jason_converted!F7," 'ville': '",""))-1),"")</f>
        <v>LUXEUIL-LES-BAINS</v>
      </c>
      <c r="G7" t="str">
        <f>IFERROR(LEFT(SUBSTITUTE(jason_converted!G7," 'tel': ",""),LEN(SUBSTITUTE(jason_converted!G7," 'tel': ",""))),"")</f>
        <v>'0672426258'</v>
      </c>
      <c r="H7" t="str">
        <f>IFERROR(LEFT(SUBSTITUTE(jason_converted!H7," 'lat': '",""),LEN(SUBSTITUTE(jason_converted!H7," 'lat': '",""))-1),"")</f>
        <v>47.816829499999997</v>
      </c>
      <c r="I7" t="str">
        <f>IFERROR(LEFT(SUBSTITUTE(jason_converted!I7," 'lng': '",""),LEN(SUBSTITUTE(jason_converted!I7," 'lng': '",""))-1),"")</f>
        <v>6.376739671383646</v>
      </c>
      <c r="J7" t="str">
        <f>IFERROR(LEFT(SUBSTITUTE(jason_converted!J7," 'nomClub': '",""),LEN(SUBSTITUTE(jason_converted!J7," 'nomClub': '",""))-1),"")</f>
        <v>CLUB HALTEROPHILE LUXOVIEN</v>
      </c>
      <c r="K7" t="str">
        <f>IFERROR(LEFT(SUBSTITUTE(jason_converted!K7," 'nomCourtClub': '",""),LEN(SUBSTITUTE(jason_converted!K7," 'nomCourtClub': '",""))-1),"")</f>
        <v>CH LUXEUIL</v>
      </c>
      <c r="L7" t="str">
        <f>IFERROR("https://ffhaltero.fr/" &amp; LEFT(SUBSTITUTE(jason_converted!L7," 'url': '",""),LEN(SUBSTITUTE(jason_converted!L7," 'url': '",""))-1),"")</f>
        <v>https://ffhaltero.fr//pratiquer/ou-pratiquer/ou-pratiquer-fiche-club/10700164-club-halterophile-luxovien'</v>
      </c>
    </row>
    <row r="8" spans="1:12" x14ac:dyDescent="0.25">
      <c r="A8" t="str">
        <f>IFERROR(SUBSTITUTE(jason_converted!A8,"{'id': ",""),"")</f>
        <v>7</v>
      </c>
      <c r="B8" t="str">
        <f>IFERROR(LEFT(SUBSTITUTE(jason_converted!B8," 'nom': '",""),LEN(SUBSTITUTE(jason_converted!B8," 'nom': '",""))-1),"")</f>
        <v>CENTRE SPORTIF OUEST</v>
      </c>
      <c r="C8" t="str">
        <f>IFERROR(LEFT(SUBSTITUTE(jason_converted!C8," 'adresse1': '",""),LEN(SUBSTITUTE(jason_converted!C8," 'adresse1': '",""))-1),"")</f>
        <v>6 RUE CHEMIN LONG</v>
      </c>
      <c r="D8" t="str">
        <f>IFERROR(LEFT(SUBSTITUTE(jason_converted!D8," 'adresse2': '",""),LEN(SUBSTITUTE(jason_converted!D8," 'adresse2': '",""))-1),"")</f>
        <v xml:space="preserve">HALL DES SPORTS </v>
      </c>
      <c r="E8" t="str">
        <f>IFERROR(LEFT(SUBSTITUTE(jason_converted!E8," 'codepostal': '",""),LEN(SUBSTITUTE(jason_converted!E8," 'codepostal': '",""))-1),"")</f>
        <v>67200</v>
      </c>
      <c r="F8" t="str">
        <f>IFERROR(LEFT(SUBSTITUTE(jason_converted!F8," 'ville': '",""),LEN(SUBSTITUTE(jason_converted!F8," 'ville': '",""))-1),"")</f>
        <v>STRASBOURG</v>
      </c>
      <c r="G8" t="str">
        <f>IFERROR(LEFT(SUBSTITUTE(jason_converted!G8," 'tel': ",""),LEN(SUBSTITUTE(jason_converted!G8," 'tel': ",""))),"")</f>
        <v>None</v>
      </c>
      <c r="H8" t="str">
        <f>IFERROR(LEFT(SUBSTITUTE(jason_converted!H8," 'lat': '",""),LEN(SUBSTITUTE(jason_converted!H8," 'lat': '",""))-1),"")</f>
        <v>48.582318000000001</v>
      </c>
      <c r="I8" t="str">
        <f>IFERROR(LEFT(SUBSTITUTE(jason_converted!I8," 'lng': '",""),LEN(SUBSTITUTE(jason_converted!I8," 'lng': '",""))-1),"")</f>
        <v>7.719352000000000</v>
      </c>
      <c r="J8" t="str">
        <f>IFERROR(LEFT(SUBSTITUTE(jason_converted!J8," 'nomClub': '",""),LEN(SUBSTITUTE(jason_converted!J8," 'nomClub': '",""))-1),"")</f>
        <v>ASPTT STRASBOURG</v>
      </c>
      <c r="K8" t="str">
        <f>IFERROR(LEFT(SUBSTITUTE(jason_converted!K8," 'nomCourtClub': '",""),LEN(SUBSTITUTE(jason_converted!K8," 'nomCourtClub': '",""))-1),"")</f>
        <v>ASPTT STRASBOURG</v>
      </c>
      <c r="L8" t="str">
        <f>IFERROR("https://ffhaltero.fr/" &amp; LEFT(SUBSTITUTE(jason_converted!L8," 'url': '",""),LEN(SUBSTITUTE(jason_converted!L8," 'url': '",""))-1),"")</f>
        <v>https://ffhaltero.fr//pratiquer/ou-pratiquer/ou-pratiquer-fiche-club/01670661-asptt-strasbourg'</v>
      </c>
    </row>
    <row r="9" spans="1:12" x14ac:dyDescent="0.25">
      <c r="A9" t="str">
        <f>IFERROR(SUBSTITUTE(jason_converted!A9,"{'id': ",""),"")</f>
        <v>8</v>
      </c>
      <c r="B9" t="str">
        <f>IFERROR(LEFT(SUBSTITUTE(jason_converted!B9," 'nom': '",""),LEN(SUBSTITUTE(jason_converted!B9," 'nom': '",""))-1),"")</f>
        <v>AO SALLAUMINES</v>
      </c>
      <c r="C9" t="str">
        <f>IFERROR(LEFT(SUBSTITUTE(jason_converted!C9," 'adresse1': '",""),LEN(SUBSTITUTE(jason_converted!C9," 'adresse1': '",""))-1),"")</f>
        <v>RUE RUE EDOUARD VAILLANT</v>
      </c>
      <c r="D9" t="str">
        <f>IFERROR(LEFT(SUBSTITUTE(jason_converted!D9," 'adresse2': '",""),LEN(SUBSTITUTE(jason_converted!D9," 'adresse2': '",""))-1),"")</f>
        <v xml:space="preserve">STADE VAILLANT COUTURIER </v>
      </c>
      <c r="E9" t="str">
        <f>IFERROR(LEFT(SUBSTITUTE(jason_converted!E9," 'codepostal': '",""),LEN(SUBSTITUTE(jason_converted!E9," 'codepostal': '",""))-1),"")</f>
        <v>62430</v>
      </c>
      <c r="F9" t="str">
        <f>IFERROR(LEFT(SUBSTITUTE(jason_converted!F9," 'ville': '",""),LEN(SUBSTITUTE(jason_converted!F9," 'ville': '",""))-1),"")</f>
        <v>SALLAUMINES</v>
      </c>
      <c r="G9" t="str">
        <f>IFERROR(LEFT(SUBSTITUTE(jason_converted!G9," 'tel': ",""),LEN(SUBSTITUTE(jason_converted!G9," 'tel': ",""))),"")</f>
        <v>'0321784688'</v>
      </c>
      <c r="H9" t="str">
        <f>IFERROR(LEFT(SUBSTITUTE(jason_converted!H9," 'lat': '",""),LEN(SUBSTITUTE(jason_converted!H9," 'lat': '",""))-1),"")</f>
        <v>50.419828000000003</v>
      </c>
      <c r="I9" t="str">
        <f>IFERROR(LEFT(SUBSTITUTE(jason_converted!I9," 'lng': '",""),LEN(SUBSTITUTE(jason_converted!I9," 'lng': '",""))-1),"")</f>
        <v>2.868458000000000</v>
      </c>
      <c r="J9" t="str">
        <f>IFERROR(LEFT(SUBSTITUTE(jason_converted!J9," 'nomClub': '",""),LEN(SUBSTITUTE(jason_converted!J9," 'nomClub': '",""))-1),"")</f>
        <v>AO SALLAUMINES</v>
      </c>
      <c r="K9" t="str">
        <f>IFERROR(LEFT(SUBSTITUTE(jason_converted!K9," 'nomCourtClub': '",""),LEN(SUBSTITUTE(jason_converted!K9," 'nomCourtClub': '",""))-1),"")</f>
        <v>AO SALLAUMINES</v>
      </c>
      <c r="L9" t="str">
        <f>IFERROR("https://ffhaltero.fr/" &amp; LEFT(SUBSTITUTE(jason_converted!L9," 'url': '",""),LEN(SUBSTITUTE(jason_converted!L9," 'url': '",""))-1),"")</f>
        <v>https://ffhaltero.fr//pratiquer/ou-pratiquer/ou-pratiquer-fiche-club/16620353-ao-sallaumines'</v>
      </c>
    </row>
    <row r="10" spans="1:12" x14ac:dyDescent="0.25">
      <c r="A10" t="str">
        <f>IFERROR(SUBSTITUTE(jason_converted!A10,"{'id': ",""),"")</f>
        <v>9</v>
      </c>
      <c r="B10" t="str">
        <f>IFERROR(LEFT(SUBSTITUTE(jason_converted!B10," 'nom': '",""),LEN(SUBSTITUTE(jason_converted!B10," 'nom': '",""))-1),"")</f>
        <v>VGA SECTION HALTEROPHILIE MUSCULATION</v>
      </c>
      <c r="C10" t="str">
        <f>IFERROR(LEFT(SUBSTITUTE(jason_converted!C10," 'adresse1': '",""),LEN(SUBSTITUTE(jason_converted!C10," 'adresse1': '",""))-1),"")</f>
        <v>AVENUE PIERRE BROSSOLETTE</v>
      </c>
      <c r="D10" t="str">
        <f>IFERROR(LEFT(SUBSTITUTE(jason_converted!D10," 'adresse2': '",""),LEN(SUBSTITUTE(jason_converted!D10," 'adresse2': '",""))-1),"")</f>
        <v xml:space="preserve">CENTRE SPORTIF </v>
      </c>
      <c r="E10" t="str">
        <f>IFERROR(LEFT(SUBSTITUTE(jason_converted!E10," 'codepostal': '",""),LEN(SUBSTITUTE(jason_converted!E10," 'codepostal': '",""))-1),"")</f>
        <v>94100</v>
      </c>
      <c r="F10" t="str">
        <f>IFERROR(LEFT(SUBSTITUTE(jason_converted!F10," 'ville': '",""),LEN(SUBSTITUTE(jason_converted!F10," 'ville': '",""))-1),"")</f>
        <v>SAINT-MAUR-DES-FOSSÉS</v>
      </c>
      <c r="G10" t="str">
        <f>IFERROR(LEFT(SUBSTITUTE(jason_converted!G10," 'tel': ",""),LEN(SUBSTITUTE(jason_converted!G10," 'tel': ",""))),"")</f>
        <v>None</v>
      </c>
      <c r="H10" t="str">
        <f>IFERROR(LEFT(SUBSTITUTE(jason_converted!H10," 'lat': '",""),LEN(SUBSTITUTE(jason_converted!H10," 'lat': '",""))-1),"")</f>
        <v>48.807980999999998</v>
      </c>
      <c r="I10" t="str">
        <f>IFERROR(LEFT(SUBSTITUTE(jason_converted!I10," 'lng': '",""),LEN(SUBSTITUTE(jason_converted!I10," 'lng': '",""))-1),"")</f>
        <v>2.491298000000000</v>
      </c>
      <c r="J10" t="str">
        <f>IFERROR(LEFT(SUBSTITUTE(jason_converted!J10," 'nomClub': '",""),LEN(SUBSTITUTE(jason_converted!J10," 'nomClub': '",""))-1),"")</f>
        <v>VGA ST MAUR HALTEROPHILIE</v>
      </c>
      <c r="K10" t="str">
        <f>IFERROR(LEFT(SUBSTITUTE(jason_converted!K10," 'nomCourtClub': '",""),LEN(SUBSTITUTE(jason_converted!K10," 'nomCourtClub': '",""))-1),"")</f>
        <v>VGA ST MAUR HALTEROPHILIE</v>
      </c>
      <c r="L10" t="str">
        <f>IFERROR("https://ffhaltero.fr/" &amp; LEFT(SUBSTITUTE(jason_converted!L10," 'url': '",""),LEN(SUBSTITUTE(jason_converted!L10," 'url': '",""))-1),"")</f>
        <v>https://ffhaltero.fr//pratiquer/ou-pratiquer/ou-pratiquer-fiche-club/21940219-vga-st-maur-halterophilie'</v>
      </c>
    </row>
    <row r="11" spans="1:12" x14ac:dyDescent="0.25">
      <c r="A11" t="str">
        <f>IFERROR(SUBSTITUTE(jason_converted!A11,"{'id': ",""),"")</f>
        <v>10</v>
      </c>
      <c r="B11" t="str">
        <f>IFERROR(LEFT(SUBSTITUTE(jason_converted!B11," 'nom': '",""),LEN(SUBSTITUTE(jason_converted!B11," 'nom': '",""))-1),"")</f>
        <v>CHMT Salle Curie</v>
      </c>
      <c r="C11" t="str">
        <f>IFERROR(LEFT(SUBSTITUTE(jason_converted!C11," 'adresse1': '",""),LEN(SUBSTITUTE(jason_converted!C11," 'adresse1': '",""))-1),"")</f>
        <v>400 RUE HIPPOLYTE WORMS</v>
      </c>
      <c r="D11" t="str">
        <f>IFERROR(LEFT(SUBSTITUTE(jason_converted!D11," 'adresse2': '",""),LEN(SUBSTITUTE(jason_converted!D11," 'adresse2': '",""))-1),"")</f>
        <v/>
      </c>
      <c r="E11" t="str">
        <f>IFERROR(LEFT(SUBSTITUTE(jason_converted!E11," 'codepostal': '",""),LEN(SUBSTITUTE(jason_converted!E11," 'codepostal': '",""))-1),"")</f>
        <v>76580</v>
      </c>
      <c r="F11" t="str">
        <f>IFERROR(LEFT(SUBSTITUTE(jason_converted!F11," 'ville': '",""),LEN(SUBSTITUTE(jason_converted!F11," 'ville': '",""))-1),"")</f>
        <v>LE TRAIT</v>
      </c>
      <c r="G11" t="str">
        <f>IFERROR(LEFT(SUBSTITUTE(jason_converted!G11," 'tel': ",""),LEN(SUBSTITUTE(jason_converted!G11," 'tel': ",""))),"")</f>
        <v>'06.48.56.53.98'</v>
      </c>
      <c r="H11" t="str">
        <f>IFERROR(LEFT(SUBSTITUTE(jason_converted!H11," 'lat': '",""),LEN(SUBSTITUTE(jason_converted!H11," 'lat': '",""))-1),"")</f>
        <v>49.476152150000004</v>
      </c>
      <c r="I11" t="str">
        <f>IFERROR(LEFT(SUBSTITUTE(jason_converted!I11," 'lng': '",""),LEN(SUBSTITUTE(jason_converted!I11," 'lng': '",""))-1),"")</f>
        <v>0.818763593750006</v>
      </c>
      <c r="J11" t="str">
        <f>IFERROR(LEFT(SUBSTITUTE(jason_converted!J11," 'nomClub': '",""),LEN(SUBSTITUTE(jason_converted!J11," 'nomClub': '",""))-1),"")</f>
        <v>CHM LE TRAIT</v>
      </c>
      <c r="K11" t="str">
        <f>IFERROR(LEFT(SUBSTITUTE(jason_converted!K11," 'nomCourtClub': '",""),LEN(SUBSTITUTE(jason_converted!K11," 'nomCourtClub': '",""))-1),"")</f>
        <v>CHM LE TRAIT</v>
      </c>
      <c r="L11" t="str">
        <f>IFERROR("https://ffhaltero.fr/" &amp; LEFT(SUBSTITUTE(jason_converted!L11," 'url': '",""),LEN(SUBSTITUTE(jason_converted!L11," 'url': '",""))-1),"")</f>
        <v>https://ffhaltero.fr//pratiquer/ou-pratiquer/ou-pratiquer-fiche-club/11761279-chm-le-trait'</v>
      </c>
    </row>
    <row r="12" spans="1:12" x14ac:dyDescent="0.25">
      <c r="A12" t="str">
        <f>IFERROR(SUBSTITUTE(jason_converted!A12,"{'id': ",""),"")</f>
        <v>11</v>
      </c>
      <c r="B12" t="str">
        <f>IFERROR(LEFT(SUBSTITUTE(jason_converted!B12," 'nom': '",""),LEN(SUBSTITUTE(jason_converted!B12," 'nom': '",""))-1),"")</f>
        <v>ESPACE MONIQUE MAURICE</v>
      </c>
      <c r="C12" t="str">
        <f>IFERROR(LEFT(SUBSTITUTE(jason_converted!C12," 'adresse1': '",""),LEN(SUBSTITUTE(jason_converted!C12," 'adresse1': '",""))-1),"")</f>
        <v>136 AVENUE DES PLANS</v>
      </c>
      <c r="D12" t="str">
        <f>IFERROR(LEFT(SUBSTITUTE(jason_converted!D12," 'adresse2': '",""),LEN(SUBSTITUTE(jason_converted!D12," 'adresse2': '",""))-1),"")</f>
        <v xml:space="preserve">SALLE MONIQUE MAURICE </v>
      </c>
      <c r="E12" t="str">
        <f>IFERROR(LEFT(SUBSTITUTE(jason_converted!E12," 'codepostal': '",""),LEN(SUBSTITUTE(jason_converted!E12," 'codepostal': '",""))-1),"")</f>
        <v>06270</v>
      </c>
      <c r="F12" t="str">
        <f>IFERROR(LEFT(SUBSTITUTE(jason_converted!F12," 'ville': '",""),LEN(SUBSTITUTE(jason_converted!F12," 'ville': '",""))-1),"")</f>
        <v>VILLENEUVE-LOUBET</v>
      </c>
      <c r="G12" t="str">
        <f>IFERROR(LEFT(SUBSTITUTE(jason_converted!G12," 'tel': ",""),LEN(SUBSTITUTE(jason_converted!G12," 'tel': ",""))),"")</f>
        <v>'0614343539'</v>
      </c>
      <c r="H12" t="str">
        <f>IFERROR(LEFT(SUBSTITUTE(jason_converted!H12," 'lat': '",""),LEN(SUBSTITUTE(jason_converted!H12," 'lat': '",""))-1),"")</f>
        <v>43.655655299999999</v>
      </c>
      <c r="I12" t="str">
        <f>IFERROR(LEFT(SUBSTITUTE(jason_converted!I12," 'lng': '",""),LEN(SUBSTITUTE(jason_converted!I12," 'lng': '",""))-1),"")</f>
        <v>7.125216101519365</v>
      </c>
      <c r="J12" t="str">
        <f>IFERROR(LEFT(SUBSTITUTE(jason_converted!J12," 'nomClub': '",""),LEN(SUBSTITUTE(jason_converted!J12," 'nomClub': '",""))-1),"")</f>
        <v>ESVL HALTERO- MUSCU-GYM</v>
      </c>
      <c r="K12" t="str">
        <f>IFERROR(LEFT(SUBSTITUTE(jason_converted!K12," 'nomCourtClub': '",""),LEN(SUBSTITUTE(jason_converted!K12," 'nomCourtClub': '",""))-1),"")</f>
        <v>ESVL H. M. G.</v>
      </c>
      <c r="L12" t="str">
        <f>IFERROR("https://ffhaltero.fr/" &amp; LEFT(SUBSTITUTE(jason_converted!L12," 'url': '",""),LEN(SUBSTITUTE(jason_converted!L12," 'url': '",""))-1),"")</f>
        <v>https://ffhaltero.fr//pratiquer/ou-pratiquer/ou-pratiquer-fiche-club/20060688-esvl-haltero-muscu-gym'</v>
      </c>
    </row>
    <row r="13" spans="1:12" x14ac:dyDescent="0.25">
      <c r="A13" t="str">
        <f>IFERROR(SUBSTITUTE(jason_converted!A13,"{'id': ",""),"")</f>
        <v>13</v>
      </c>
      <c r="B13" t="str">
        <f>IFERROR(LEFT(SUBSTITUTE(jason_converted!B13," 'nom': '",""),LEN(SUBSTITUTE(jason_converted!B13," 'nom': '",""))-1),"")</f>
        <v>Stade Montois Haltérophilie Musculation FA</v>
      </c>
      <c r="C13" t="str">
        <f>IFERROR(LEFT(SUBSTITUTE(jason_converted!C13," 'adresse1': '",""),LEN(SUBSTITUTE(jason_converted!C13," 'adresse1': '",""))-1),"")</f>
        <v>725 AVENUE AVENUE DU COLONEL ROZANOFF</v>
      </c>
      <c r="D13" t="str">
        <f>IFERROR(LEFT(SUBSTITUTE(jason_converted!D13," 'adresse2': '",""),LEN(SUBSTITUTE(jason_converted!D13," 'adresse2': '",""))-1),"")</f>
        <v/>
      </c>
      <c r="E13" t="str">
        <f>IFERROR(LEFT(SUBSTITUTE(jason_converted!E13," 'codepostal': '",""),LEN(SUBSTITUTE(jason_converted!E13," 'codepostal': '",""))-1),"")</f>
        <v>40000</v>
      </c>
      <c r="F13" t="str">
        <f>IFERROR(LEFT(SUBSTITUTE(jason_converted!F13," 'ville': '",""),LEN(SUBSTITUTE(jason_converted!F13," 'ville': '",""))-1),"")</f>
        <v>MONT-DE-MARSAN</v>
      </c>
      <c r="G13" t="str">
        <f>IFERROR(LEFT(SUBSTITUTE(jason_converted!G13," 'tel': ",""),LEN(SUBSTITUTE(jason_converted!G13," 'tel': ",""))),"")</f>
        <v>None</v>
      </c>
      <c r="H13" t="str">
        <f>IFERROR(LEFT(SUBSTITUTE(jason_converted!H13," 'lat': '",""),LEN(SUBSTITUTE(jason_converted!H13," 'lat': '",""))-1),"")</f>
        <v>43.901339999999998</v>
      </c>
      <c r="I13" t="str">
        <f>IFERROR(LEFT(SUBSTITUTE(jason_converted!I13," 'lng': '",""),LEN(SUBSTITUTE(jason_converted!I13," 'lng': '",""))-1),"")</f>
        <v>-0.504566000000000</v>
      </c>
      <c r="J13" t="str">
        <f>IFERROR(LEFT(SUBSTITUTE(jason_converted!J13," 'nomClub': '",""),LEN(SUBSTITUTE(jason_converted!J13," 'nomClub': '",""))-1),"")</f>
        <v>STADE MONTOIS HALTEROPHILIE</v>
      </c>
      <c r="K13" t="str">
        <f>IFERROR(LEFT(SUBSTITUTE(jason_converted!K13," 'nomCourtClub': '",""),LEN(SUBSTITUTE(jason_converted!K13," 'nomCourtClub': '",""))-1),"")</f>
        <v>STADE MONTOIS HALTEROPHILIE</v>
      </c>
      <c r="L13" t="str">
        <f>IFERROR("https://ffhaltero.fr/" &amp; LEFT(SUBSTITUTE(jason_converted!L13," 'url': '",""),LEN(SUBSTITUTE(jason_converted!L13," 'url': '",""))-1),"")</f>
        <v>https://ffhaltero.fr//pratiquer/ou-pratiquer/ou-pratiquer-fiche-club/02400051-stade-montois-halterophilie'</v>
      </c>
    </row>
    <row r="14" spans="1:12" x14ac:dyDescent="0.25">
      <c r="A14" t="str">
        <f>IFERROR(SUBSTITUTE(jason_converted!A14,"{'id': ",""),"")</f>
        <v>17</v>
      </c>
      <c r="B14" t="str">
        <f>IFERROR(LEFT(SUBSTITUTE(jason_converted!B14," 'nom': '",""),LEN(SUBSTITUTE(jason_converted!B14," 'nom': '",""))-1),"")</f>
        <v>Gymnase Fabre</v>
      </c>
      <c r="C14" t="str">
        <f>IFERROR(LEFT(SUBSTITUTE(jason_converted!C14," 'adresse1': '",""),LEN(SUBSTITUTE(jason_converted!C14," 'adresse1': '",""))-1),"")</f>
        <v>58 AVENUE DE LA GARONETTE</v>
      </c>
      <c r="D14" t="str">
        <f>IFERROR(LEFT(SUBSTITUTE(jason_converted!D14," 'adresse2': '",""),LEN(SUBSTITUTE(jason_converted!D14," 'adresse2': '",""))-1),"")</f>
        <v xml:space="preserve">GYMNASE FABRE </v>
      </c>
      <c r="E14" t="str">
        <f>IFERROR(LEFT(SUBSTITUTE(jason_converted!E14," 'codepostal': '",""),LEN(SUBSTITUTE(jason_converted!E14," 'codepostal': '",""))-1),"")</f>
        <v>31000</v>
      </c>
      <c r="F14" t="str">
        <f>IFERROR(LEFT(SUBSTITUTE(jason_converted!F14," 'ville': '",""),LEN(SUBSTITUTE(jason_converted!F14," 'ville': '",""))-1),"")</f>
        <v>TOULOUSE</v>
      </c>
      <c r="G14" t="str">
        <f>IFERROR(LEFT(SUBSTITUTE(jason_converted!G14," 'tel': ",""),LEN(SUBSTITUTE(jason_converted!G14," 'tel': ",""))),"")</f>
        <v>'0672545026'</v>
      </c>
      <c r="H14" t="str">
        <f>IFERROR(LEFT(SUBSTITUTE(jason_converted!H14," 'lat': '",""),LEN(SUBSTITUTE(jason_converted!H14," 'lat': '",""))-1),"")</f>
        <v>43.596692699999998</v>
      </c>
      <c r="I14" t="str">
        <f>IFERROR(LEFT(SUBSTITUTE(jason_converted!I14," 'lng': '",""),LEN(SUBSTITUTE(jason_converted!I14," 'lng': '",""))-1),"")</f>
        <v>1.441471533035715</v>
      </c>
      <c r="J14" t="str">
        <f>IFERROR(LEFT(SUBSTITUTE(jason_converted!J14," 'nomClub': '",""),LEN(SUBSTITUTE(jason_converted!J14," 'nomClub': '",""))-1),"")</f>
        <v>TOULOUSE HC</v>
      </c>
      <c r="K14" t="str">
        <f>IFERROR(LEFT(SUBSTITUTE(jason_converted!K14," 'nomCourtClub': '",""),LEN(SUBSTITUTE(jason_converted!K14," 'nomCourtClub': '",""))-1),"")</f>
        <v>TOULOUSE HC</v>
      </c>
      <c r="L14" t="str">
        <f>IFERROR("https://ffhaltero.fr/" &amp; LEFT(SUBSTITUTE(jason_converted!L14," 'url': '",""),LEN(SUBSTITUTE(jason_converted!L14," 'url': '",""))-1),"")</f>
        <v>https://ffhaltero.fr//pratiquer/ou-pratiquer/ou-pratiquer-fiche-club/15310446-toulouse-hc'</v>
      </c>
    </row>
    <row r="15" spans="1:12" x14ac:dyDescent="0.25">
      <c r="A15" t="str">
        <f>IFERROR(SUBSTITUTE(jason_converted!A15,"{'id': ",""),"")</f>
        <v>18</v>
      </c>
      <c r="B15" t="str">
        <f>IFERROR(LEFT(SUBSTITUTE(jason_converted!B15," 'nom': '",""),LEN(SUBSTITUTE(jason_converted!B15," 'nom': '",""))-1),"")</f>
        <v>CLERMONT SPORTS</v>
      </c>
      <c r="C15" t="str">
        <f>IFERROR(LEFT(SUBSTITUTE(jason_converted!C15," 'adresse1': '",""),LEN(SUBSTITUTE(jason_converted!C15," 'adresse1': '",""))-1),"")</f>
        <v>70 RUE DE LA COMBE</v>
      </c>
      <c r="D15" t="str">
        <f>IFERROR(LEFT(SUBSTITUTE(jason_converted!D15," 'adresse2': '",""),LEN(SUBSTITUTE(jason_converted!D15," 'adresse2': '",""))-1),"")</f>
        <v/>
      </c>
      <c r="E15" t="str">
        <f>IFERROR(LEFT(SUBSTITUTE(jason_converted!E15," 'codepostal': '",""),LEN(SUBSTITUTE(jason_converted!E15," 'codepostal': '",""))-1),"")</f>
        <v>34800</v>
      </c>
      <c r="F15" t="str">
        <f>IFERROR(LEFT(SUBSTITUTE(jason_converted!F15," 'ville': '",""),LEN(SUBSTITUTE(jason_converted!F15," 'ville': '",""))-1),"")</f>
        <v xml:space="preserve"> 'ville': "CLERMONT-L'HÉRAULT</v>
      </c>
      <c r="G15" t="str">
        <f>IFERROR(LEFT(SUBSTITUTE(jason_converted!G15," 'tel': ",""),LEN(SUBSTITUTE(jason_converted!G15," 'tel': ",""))),"")</f>
        <v>None</v>
      </c>
      <c r="H15" t="str">
        <f>IFERROR(LEFT(SUBSTITUTE(jason_converted!H15," 'lat': '",""),LEN(SUBSTITUTE(jason_converted!H15," 'lat': '",""))-1),"")</f>
        <v>43.632557464648350</v>
      </c>
      <c r="I15" t="str">
        <f>IFERROR(LEFT(SUBSTITUTE(jason_converted!I15," 'lng': '",""),LEN(SUBSTITUTE(jason_converted!I15," 'lng': '",""))-1),"")</f>
        <v>3.430418474552893</v>
      </c>
      <c r="J15" t="str">
        <f>IFERROR(LEFT(SUBSTITUTE(jason_converted!J15," 'nomClub': '",""),LEN(SUBSTITUTE(jason_converted!J15," 'nomClub': '",""))-1),"")</f>
        <v>CLERMONT SPORTS</v>
      </c>
      <c r="K15" t="str">
        <f>IFERROR(LEFT(SUBSTITUTE(jason_converted!K15," 'nomCourtClub': '",""),LEN(SUBSTITUTE(jason_converted!K15," 'nomCourtClub': '",""))-1),"")</f>
        <v>CLERMONT SPORTS</v>
      </c>
      <c r="L15" t="str">
        <f>IFERROR("https://ffhaltero.fr/" &amp; LEFT(SUBSTITUTE(jason_converted!L15," 'url': '",""),LEN(SUBSTITUTE(jason_converted!L15," 'url': '",""))-1),"")</f>
        <v>https://ffhaltero.fr//pratiquer/ou-pratiquer/ou-pratiquer-fiche-club/12340245-clermont-sports'</v>
      </c>
    </row>
    <row r="16" spans="1:12" x14ac:dyDescent="0.25">
      <c r="A16" t="str">
        <f>IFERROR(SUBSTITUTE(jason_converted!A16,"{'id': ",""),"")</f>
        <v>20</v>
      </c>
      <c r="B16" t="str">
        <f>IFERROR(LEFT(SUBSTITUTE(jason_converted!B16," 'nom': '",""),LEN(SUBSTITUTE(jason_converted!B16," 'nom': '",""))-1),"")</f>
        <v>Crosstraining du Vercors</v>
      </c>
      <c r="C16" t="str">
        <f>IFERROR(LEFT(SUBSTITUTE(jason_converted!C16," 'adresse1': '",""),LEN(SUBSTITUTE(jason_converted!C16," 'adresse1': '",""))-1),"")</f>
        <v>445 RUE DU TORTOLON</v>
      </c>
      <c r="D16" t="str">
        <f>IFERROR(LEFT(SUBSTITUTE(jason_converted!D16," 'adresse2': '",""),LEN(SUBSTITUTE(jason_converted!D16," 'adresse2': '",""))-1),"")</f>
        <v/>
      </c>
      <c r="E16" t="str">
        <f>IFERROR(LEFT(SUBSTITUTE(jason_converted!E16," 'codepostal': '",""),LEN(SUBSTITUTE(jason_converted!E16," 'codepostal': '",""))-1),"")</f>
        <v>38112</v>
      </c>
      <c r="F16" t="str">
        <f>IFERROR(LEFT(SUBSTITUTE(jason_converted!F16," 'ville': '",""),LEN(SUBSTITUTE(jason_converted!F16," 'ville': '",""))-1),"")</f>
        <v>AUTRANS-MÉAUDRE EN VERCORS</v>
      </c>
      <c r="G16" t="str">
        <f>IFERROR(LEFT(SUBSTITUTE(jason_converted!G16," 'tel': ",""),LEN(SUBSTITUTE(jason_converted!G16," 'tel': ",""))),"")</f>
        <v>'0651881660'</v>
      </c>
      <c r="H16" t="str">
        <f>IFERROR(LEFT(SUBSTITUTE(jason_converted!H16," 'lat': '",""),LEN(SUBSTITUTE(jason_converted!H16," 'lat': '",""))-1),"")</f>
        <v>45.133976550000000</v>
      </c>
      <c r="I16" t="str">
        <f>IFERROR(LEFT(SUBSTITUTE(jason_converted!I16," 'lng': '",""),LEN(SUBSTITUTE(jason_converted!I16," 'lng': '",""))-1),"")</f>
        <v>5.524930547307744</v>
      </c>
      <c r="J16" t="str">
        <f>IFERROR(LEFT(SUBSTITUTE(jason_converted!J16," 'nomClub': '",""),LEN(SUBSTITUTE(jason_converted!J16," 'nomClub': '",""))-1),"")</f>
        <v>CETH CROSSTRAINING DU VERCORS</v>
      </c>
      <c r="K16" t="str">
        <f>IFERROR(LEFT(SUBSTITUTE(jason_converted!K16," 'nomCourtClub': '",""),LEN(SUBSTITUTE(jason_converted!K16," 'nomCourtClub': '",""))-1),"")</f>
        <v>CETH</v>
      </c>
      <c r="L16" t="str">
        <f>IFERROR("https://ffhaltero.fr/" &amp; LEFT(SUBSTITUTE(jason_converted!L16," 'url': '",""),LEN(SUBSTITUTE(jason_converted!L16," 'url': '",""))-1),"")</f>
        <v>https://ffhaltero.fr//pratiquer/ou-pratiquer/ou-pratiquer-fiche-club/339860002-ceth-crosstraining-du-vercors'</v>
      </c>
    </row>
    <row r="17" spans="1:12" x14ac:dyDescent="0.25">
      <c r="A17" t="str">
        <f>IFERROR(SUBSTITUTE(jason_converted!A17,"{'id': ",""),"")</f>
        <v>21</v>
      </c>
      <c r="B17" t="str">
        <f>IFERROR(LEFT(SUBSTITUTE(jason_converted!B17," 'nom': '",""),LEN(SUBSTITUTE(jason_converted!B17," 'nom': '",""))-1),"")</f>
        <v>Salle multisport St manvieu Norrey</v>
      </c>
      <c r="C17" t="str">
        <f>IFERROR(LEFT(SUBSTITUTE(jason_converted!C17," 'adresse1': '",""),LEN(SUBSTITUTE(jason_converted!C17," 'adresse1': '",""))-1),"")</f>
        <v>RUE DE CAUMONT</v>
      </c>
      <c r="D17" t="str">
        <f>IFERROR(LEFT(SUBSTITUTE(jason_converted!D17," 'adresse2': '",""),LEN(SUBSTITUTE(jason_converted!D17," 'adresse2': '",""))-1),"")</f>
        <v/>
      </c>
      <c r="E17" t="str">
        <f>IFERROR(LEFT(SUBSTITUTE(jason_converted!E17," 'codepostal': '",""),LEN(SUBSTITUTE(jason_converted!E17," 'codepostal': '",""))-1),"")</f>
        <v>14740</v>
      </c>
      <c r="F17" t="str">
        <f>IFERROR(LEFT(SUBSTITUTE(jason_converted!F17," 'ville': '",""),LEN(SUBSTITUTE(jason_converted!F17," 'ville': '",""))-1),"")</f>
        <v>THUE ET MUE</v>
      </c>
      <c r="G17" t="str">
        <f>IFERROR(LEFT(SUBSTITUTE(jason_converted!G17," 'tel': ",""),LEN(SUBSTITUTE(jason_converted!G17," 'tel': ",""))),"")</f>
        <v>None</v>
      </c>
      <c r="H17" t="str">
        <f>IFERROR(LEFT(SUBSTITUTE(jason_converted!H17," 'lat': '",""),LEN(SUBSTITUTE(jason_converted!H17," 'lat': '",""))-1),"")</f>
        <v>49.180181300000001</v>
      </c>
      <c r="I17" t="str">
        <f>IFERROR(LEFT(SUBSTITUTE(jason_converted!I17," 'lng': '",""),LEN(SUBSTITUTE(jason_converted!I17," 'lng': '",""))-1),"")</f>
        <v>-0.496084758228513</v>
      </c>
      <c r="J17" t="str">
        <f>IFERROR(LEFT(SUBSTITUTE(jason_converted!J17," 'nomClub': '",""),LEN(SUBSTITUTE(jason_converted!J17," 'nomClub': '",""))-1),"")</f>
        <v>SMMFS SAINT MANVIEU MUSCULATION</v>
      </c>
      <c r="K17" t="str">
        <f>IFERROR(LEFT(SUBSTITUTE(jason_converted!K17," 'nomCourtClub': '",""),LEN(SUBSTITUTE(jason_converted!K17," 'nomCourtClub': '",""))-1),"")</f>
        <v>SMMFS</v>
      </c>
      <c r="L17" t="str">
        <f>IFERROR("https://ffhaltero.fr/" &amp; LEFT(SUBSTITUTE(jason_converted!L17," 'url': '",""),LEN(SUBSTITUTE(jason_converted!L17," 'url': '",""))-1),"")</f>
        <v>https://ffhaltero.fr//pratiquer/ou-pratiquer/ou-pratiquer-fiche-club/339860009-smmfs-saint-manvieu-musculation'</v>
      </c>
    </row>
    <row r="18" spans="1:12" x14ac:dyDescent="0.25">
      <c r="A18" t="str">
        <f>IFERROR(SUBSTITUTE(jason_converted!A18,"{'id': ",""),"")</f>
        <v>22</v>
      </c>
      <c r="B18" t="str">
        <f>IFERROR(LEFT(SUBSTITUTE(jason_converted!B18," 'nom': '",""),LEN(SUBSTITUTE(jason_converted!B18," 'nom': '",""))-1),"")</f>
        <v>Complexe Sportif Pierre de Coubertin</v>
      </c>
      <c r="C18" t="str">
        <f>IFERROR(LEFT(SUBSTITUTE(jason_converted!C18," 'adresse1': '",""),LEN(SUBSTITUTE(jason_converted!C18," 'adresse1': '",""))-1),"")</f>
        <v>2 RUE DU VERCORS</v>
      </c>
      <c r="D18" t="str">
        <f>IFERROR(LEFT(SUBSTITUTE(jason_converted!D18," 'adresse2': '",""),LEN(SUBSTITUTE(jason_converted!D18," 'adresse2': '",""))-1),"")</f>
        <v/>
      </c>
      <c r="E18" t="str">
        <f>IFERROR(LEFT(SUBSTITUTE(jason_converted!E18," 'codepostal': '",""),LEN(SUBSTITUTE(jason_converted!E18," 'codepostal': '",""))-1),"")</f>
        <v>68270</v>
      </c>
      <c r="F18" t="str">
        <f>IFERROR(LEFT(SUBSTITUTE(jason_converted!F18," 'ville': '",""),LEN(SUBSTITUTE(jason_converted!F18," 'ville': '",""))-1),"")</f>
        <v>WITTENHEIM</v>
      </c>
      <c r="G18" t="str">
        <f>IFERROR(LEFT(SUBSTITUTE(jason_converted!G18," 'tel': ",""),LEN(SUBSTITUTE(jason_converted!G18," 'tel': ",""))),"")</f>
        <v>None</v>
      </c>
      <c r="H18" t="str">
        <f>IFERROR(LEFT(SUBSTITUTE(jason_converted!H18," 'lat': '",""),LEN(SUBSTITUTE(jason_converted!H18," 'lat': '",""))-1),"")</f>
        <v>47.811419000000001</v>
      </c>
      <c r="I18" t="str">
        <f>IFERROR(LEFT(SUBSTITUTE(jason_converted!I18," 'lng': '",""),LEN(SUBSTITUTE(jason_converted!I18," 'lng': '",""))-1),"")</f>
        <v>7.328950000000000</v>
      </c>
      <c r="J18" t="str">
        <f>IFERROR(LEFT(SUBSTITUTE(jason_converted!J18," 'nomClub': '",""),LEN(SUBSTITUTE(jason_converted!J18," 'nomClub': '",""))-1),"")</f>
        <v>US WITTENHEIM</v>
      </c>
      <c r="K18" t="str">
        <f>IFERROR(LEFT(SUBSTITUTE(jason_converted!K18," 'nomCourtClub': '",""),LEN(SUBSTITUTE(jason_converted!K18," 'nomCourtClub': '",""))-1),"")</f>
        <v>US WITTENHEIM</v>
      </c>
      <c r="L18" t="str">
        <f>IFERROR("https://ffhaltero.fr/" &amp; LEFT(SUBSTITUTE(jason_converted!L18," 'url': '",""),LEN(SUBSTITUTE(jason_converted!L18," 'url': '",""))-1),"")</f>
        <v>https://ffhaltero.fr//pratiquer/ou-pratiquer/ou-pratiquer-fiche-club/01680013-us-wittenheim'</v>
      </c>
    </row>
    <row r="19" spans="1:12" x14ac:dyDescent="0.25">
      <c r="A19" t="str">
        <f>IFERROR(SUBSTITUTE(jason_converted!A19,"{'id': ",""),"")</f>
        <v>23</v>
      </c>
      <c r="B19" t="str">
        <f>IFERROR(LEFT(SUBSTITUTE(jason_converted!B19," 'nom': '",""),LEN(SUBSTITUTE(jason_converted!B19," 'nom': '",""))-1),"")</f>
        <v>Association Sportive Haltérophilie - Musculation GIBERVILLE</v>
      </c>
      <c r="C19" t="str">
        <f>IFERROR(LEFT(SUBSTITUTE(jason_converted!C19," 'adresse1': '",""),LEN(SUBSTITUTE(jason_converted!C19," 'adresse1': '",""))-1),"")</f>
        <v>RUE ELSA TRIOLET</v>
      </c>
      <c r="D19" t="str">
        <f>IFERROR(LEFT(SUBSTITUTE(jason_converted!D19," 'adresse2': '",""),LEN(SUBSTITUTE(jason_converted!D19," 'adresse2': '",""))-1),"")</f>
        <v xml:space="preserve">GYMNASE MAURICE BAQUET </v>
      </c>
      <c r="E19" t="str">
        <f>IFERROR(LEFT(SUBSTITUTE(jason_converted!E19," 'codepostal': '",""),LEN(SUBSTITUTE(jason_converted!E19," 'codepostal': '",""))-1),"")</f>
        <v>14730</v>
      </c>
      <c r="F19" t="str">
        <f>IFERROR(LEFT(SUBSTITUTE(jason_converted!F19," 'ville': '",""),LEN(SUBSTITUTE(jason_converted!F19," 'ville': '",""))-1),"")</f>
        <v>GIBERVILLE</v>
      </c>
      <c r="G19" t="str">
        <f>IFERROR(LEFT(SUBSTITUTE(jason_converted!G19," 'tel': ",""),LEN(SUBSTITUTE(jason_converted!G19," 'tel': ",""))),"")</f>
        <v>None</v>
      </c>
      <c r="H19" t="str">
        <f>IFERROR(LEFT(SUBSTITUTE(jason_converted!H19," 'lat': '",""),LEN(SUBSTITUTE(jason_converted!H19," 'lat': '",""))-1),"")</f>
        <v>49.183072400000000</v>
      </c>
      <c r="I19" t="str">
        <f>IFERROR(LEFT(SUBSTITUTE(jason_converted!I19," 'lng': '",""),LEN(SUBSTITUTE(jason_converted!I19," 'lng': '",""))-1),"")</f>
        <v>-0.275273300000000</v>
      </c>
      <c r="J19" t="str">
        <f>IFERROR(LEFT(SUBSTITUTE(jason_converted!J19," 'nomClub': '",""),LEN(SUBSTITUTE(jason_converted!J19," 'nomClub': '",""))-1),"")</f>
        <v>ASHM GIBERVILLE</v>
      </c>
      <c r="K19" t="str">
        <f>IFERROR(LEFT(SUBSTITUTE(jason_converted!K19," 'nomCourtClub': '",""),LEN(SUBSTITUTE(jason_converted!K19," 'nomCourtClub': '",""))-1),"")</f>
        <v>ASHM GIBERVILLE</v>
      </c>
      <c r="L19" t="str">
        <f>IFERROR("https://ffhaltero.fr/" &amp; LEFT(SUBSTITUTE(jason_converted!L19," 'url': '",""),LEN(SUBSTITUTE(jason_converted!L19," 'url': '",""))-1),"")</f>
        <v>https://ffhaltero.fr//pratiquer/ou-pratiquer/ou-pratiquer-fiche-club/04140304-ashm-giberville'</v>
      </c>
    </row>
    <row r="20" spans="1:12" x14ac:dyDescent="0.25">
      <c r="A20" t="str">
        <f>IFERROR(SUBSTITUTE(jason_converted!A20,"{'id': ",""),"")</f>
        <v>25</v>
      </c>
      <c r="B20" t="str">
        <f>IFERROR(LEFT(SUBSTITUTE(jason_converted!B20," 'nom': '",""),LEN(SUBSTITUTE(jason_converted!B20," 'nom': '",""))-1),"")</f>
        <v>Cercle Sportif de BRUMATH</v>
      </c>
      <c r="C20" t="str">
        <f>IFERROR(LEFT(SUBSTITUTE(jason_converted!C20," 'adresse1': '",""),LEN(SUBSTITUTE(jason_converted!C20," 'adresse1': '",""))-1),"")</f>
        <v>27  ANDRE MALRAUX</v>
      </c>
      <c r="D20" t="str">
        <f>IFERROR(LEFT(SUBSTITUTE(jason_converted!D20," 'adresse2': '",""),LEN(SUBSTITUTE(jason_converted!D20," 'adresse2': '",""))-1),"")</f>
        <v xml:space="preserve">OMNISPORT </v>
      </c>
      <c r="E20" t="str">
        <f>IFERROR(LEFT(SUBSTITUTE(jason_converted!E20," 'codepostal': '",""),LEN(SUBSTITUTE(jason_converted!E20," 'codepostal': '",""))-1),"")</f>
        <v>67170</v>
      </c>
      <c r="F20" t="str">
        <f>IFERROR(LEFT(SUBSTITUTE(jason_converted!F20," 'ville': '",""),LEN(SUBSTITUTE(jason_converted!F20," 'ville': '",""))-1),"")</f>
        <v>BRUMATH</v>
      </c>
      <c r="G20" t="str">
        <f>IFERROR(LEFT(SUBSTITUTE(jason_converted!G20," 'tel': ",""),LEN(SUBSTITUTE(jason_converted!G20," 'tel': ",""))),"")</f>
        <v>None</v>
      </c>
      <c r="H20" t="str">
        <f>IFERROR(LEFT(SUBSTITUTE(jason_converted!H20," 'lat': '",""),LEN(SUBSTITUTE(jason_converted!H20," 'lat': '",""))-1),"")</f>
        <v>48.736801999999997</v>
      </c>
      <c r="I20" t="str">
        <f>IFERROR(LEFT(SUBSTITUTE(jason_converted!I20," 'lng': '",""),LEN(SUBSTITUTE(jason_converted!I20," 'lng': '",""))-1),"")</f>
        <v>7.710796000000000</v>
      </c>
      <c r="J20" t="str">
        <f>IFERROR(LEFT(SUBSTITUTE(jason_converted!J20," 'nomClub': '",""),LEN(SUBSTITUTE(jason_converted!J20," 'nomClub': '",""))-1),"")</f>
        <v>CS BRUMATH</v>
      </c>
      <c r="K20" t="str">
        <f>IFERROR(LEFT(SUBSTITUTE(jason_converted!K20," 'nomCourtClub': '",""),LEN(SUBSTITUTE(jason_converted!K20," 'nomCourtClub': '",""))-1),"")</f>
        <v>CS BRUMATH</v>
      </c>
      <c r="L20" t="str">
        <f>IFERROR("https://ffhaltero.fr/" &amp; LEFT(SUBSTITUTE(jason_converted!L20," 'url': '",""),LEN(SUBSTITUTE(jason_converted!L20," 'url': '",""))-1),"")</f>
        <v>https://ffhaltero.fr//pratiquer/ou-pratiquer/ou-pratiquer-fiche-club/01670010-cs-brumath'</v>
      </c>
    </row>
    <row r="21" spans="1:12" x14ac:dyDescent="0.25">
      <c r="A21" t="str">
        <f>IFERROR(SUBSTITUTE(jason_converted!A21,"{'id': ",""),"")</f>
        <v>26</v>
      </c>
      <c r="B21" t="str">
        <f>IFERROR(LEFT(SUBSTITUTE(jason_converted!B21," 'nom': '",""),LEN(SUBSTITUTE(jason_converted!B21," 'nom': '",""))-1),"")</f>
        <v>Sporting Club de Neuilly</v>
      </c>
      <c r="C21" t="str">
        <f>IFERROR(LEFT(SUBSTITUTE(jason_converted!C21," 'adresse1': '",""),LEN(SUBSTITUTE(jason_converted!C21," 'adresse1': '",""))-1),"")</f>
        <v xml:space="preserve"> 'adresse1': "ALLÉE COMPLEXE SPORTIF DE L'ILE DU PONT</v>
      </c>
      <c r="D21" t="str">
        <f>IFERROR(LEFT(SUBSTITUTE(jason_converted!D21," 'adresse2': '",""),LEN(SUBSTITUTE(jason_converted!D21," 'adresse2': '",""))-1),"")</f>
        <v/>
      </c>
      <c r="E21" t="str">
        <f>IFERROR(LEFT(SUBSTITUTE(jason_converted!E21," 'codepostal': '",""),LEN(SUBSTITUTE(jason_converted!E21," 'codepostal': '",""))-1),"")</f>
        <v>92200</v>
      </c>
      <c r="F21" t="str">
        <f>IFERROR(LEFT(SUBSTITUTE(jason_converted!F21," 'ville': '",""),LEN(SUBSTITUTE(jason_converted!F21," 'ville': '",""))-1),"")</f>
        <v>NEUILLY-SUR-SEINE</v>
      </c>
      <c r="G21" t="str">
        <f>IFERROR(LEFT(SUBSTITUTE(jason_converted!G21," 'tel': ",""),LEN(SUBSTITUTE(jason_converted!G21," 'tel': ",""))),"")</f>
        <v>'01.47.47.29.68'</v>
      </c>
      <c r="H21" t="str">
        <f>IFERROR(LEFT(SUBSTITUTE(jason_converted!H21," 'lat': '",""),LEN(SUBSTITUTE(jason_converted!H21," 'lat': '",""))-1),"")</f>
        <v>48.885521199999999</v>
      </c>
      <c r="I21" t="str">
        <f>IFERROR(LEFT(SUBSTITUTE(jason_converted!I21," 'lng': '",""),LEN(SUBSTITUTE(jason_converted!I21," 'lng': '",""))-1),"")</f>
        <v>2.253720214683725</v>
      </c>
      <c r="J21" t="str">
        <f>IFERROR(LEFT(SUBSTITUTE(jason_converted!J21," 'nomClub': '",""),LEN(SUBSTITUTE(jason_converted!J21," 'nomClub': '",""))-1),"")</f>
        <v>SPORTING CLUB DE NEUILLY</v>
      </c>
      <c r="K21" t="str">
        <f>IFERROR(LEFT(SUBSTITUTE(jason_converted!K21," 'nomCourtClub': '",""),LEN(SUBSTITUTE(jason_converted!K21," 'nomCourtClub': '",""))-1),"")</f>
        <v>SPORTING CLUB DE NEUILLY</v>
      </c>
      <c r="L21" t="str">
        <f>IFERROR("https://ffhaltero.fr/" &amp; LEFT(SUBSTITUTE(jason_converted!L21," 'url': '",""),LEN(SUBSTITUTE(jason_converted!L21," 'url': '",""))-1),"")</f>
        <v>https://ffhaltero.fr//pratiquer/ou-pratiquer/ou-pratiquer-fiche-club/21920197-sporting-club-de-neuilly'</v>
      </c>
    </row>
    <row r="22" spans="1:12" x14ac:dyDescent="0.25">
      <c r="A22" t="str">
        <f>IFERROR(SUBSTITUTE(jason_converted!A22,"{'id': ",""),"")</f>
        <v>27</v>
      </c>
      <c r="B22" t="str">
        <f>IFERROR(LEFT(SUBSTITUTE(jason_converted!B22," 'nom': '",""),LEN(SUBSTITUTE(jason_converted!B22," 'nom': '",""))-1),"")</f>
        <v xml:space="preserve"> 'nom': "CLUB D'HALTEROPHILIE MUSCULATION DE COGOLIN</v>
      </c>
      <c r="C22" t="str">
        <f>IFERROR(LEFT(SUBSTITUTE(jason_converted!C22," 'adresse1': '",""),LEN(SUBSTITUTE(jason_converted!C22," 'adresse1': '",""))-1),"")</f>
        <v>80 AVENUE GEORGES CLEMENCEAU</v>
      </c>
      <c r="D22" t="str">
        <f>IFERROR(LEFT(SUBSTITUTE(jason_converted!D22," 'adresse2': '",""),LEN(SUBSTITUTE(jason_converted!D22," 'adresse2': '",""))-1),"")</f>
        <v/>
      </c>
      <c r="E22" t="str">
        <f>IFERROR(LEFT(SUBSTITUTE(jason_converted!E22," 'codepostal': '",""),LEN(SUBSTITUTE(jason_converted!E22," 'codepostal': '",""))-1),"")</f>
        <v>83310</v>
      </c>
      <c r="F22" t="str">
        <f>IFERROR(LEFT(SUBSTITUTE(jason_converted!F22," 'ville': '",""),LEN(SUBSTITUTE(jason_converted!F22," 'ville': '",""))-1),"")</f>
        <v>COGOLIN</v>
      </c>
      <c r="G22" t="str">
        <f>IFERROR(LEFT(SUBSTITUTE(jason_converted!G22," 'tel': ",""),LEN(SUBSTITUTE(jason_converted!G22," 'tel': ",""))),"")</f>
        <v>None</v>
      </c>
      <c r="H22" t="str">
        <f>IFERROR(LEFT(SUBSTITUTE(jason_converted!H22," 'lat': '",""),LEN(SUBSTITUTE(jason_converted!H22," 'lat': '",""))-1),"")</f>
        <v>43.250098000000001</v>
      </c>
      <c r="I22" t="str">
        <f>IFERROR(LEFT(SUBSTITUTE(jason_converted!I22," 'lng': '",""),LEN(SUBSTITUTE(jason_converted!I22," 'lng': '",""))-1),"")</f>
        <v>6.538968000000000</v>
      </c>
      <c r="J22" t="str">
        <f>IFERROR(LEFT(SUBSTITUTE(jason_converted!J22," 'nomClub': '",""),LEN(SUBSTITUTE(jason_converted!J22," 'nomClub': '",""))-1),"")</f>
        <v>CHM COGOLIN</v>
      </c>
      <c r="K22" t="str">
        <f>IFERROR(LEFT(SUBSTITUTE(jason_converted!K22," 'nomCourtClub': '",""),LEN(SUBSTITUTE(jason_converted!K22," 'nomCourtClub': '",""))-1),"")</f>
        <v>CHM COGOLIN</v>
      </c>
      <c r="L22" t="str">
        <f>IFERROR("https://ffhaltero.fr/" &amp; LEFT(SUBSTITUTE(jason_converted!L22," 'url': '",""),LEN(SUBSTITUTE(jason_converted!L22," 'url': '",""))-1),"")</f>
        <v>https://ffhaltero.fr//pratiquer/ou-pratiquer/ou-pratiquer-fiche-club/20830124-chm-cogolin'</v>
      </c>
    </row>
    <row r="23" spans="1:12" x14ac:dyDescent="0.25">
      <c r="A23" t="str">
        <f>IFERROR(SUBSTITUTE(jason_converted!A23,"{'id': ",""),"")</f>
        <v>29</v>
      </c>
      <c r="B23" t="str">
        <f>IFERROR(LEFT(SUBSTITUTE(jason_converted!B23," 'nom': '",""),LEN(SUBSTITUTE(jason_converted!B23," 'nom': '",""))-1),"")</f>
        <v>Wild Bear Weightlifting</v>
      </c>
      <c r="C23" t="str">
        <f>IFERROR(LEFT(SUBSTITUTE(jason_converted!C23," 'adresse1': '",""),LEN(SUBSTITUTE(jason_converted!C23," 'adresse1': '",""))-1),"")</f>
        <v>8 RUE RUE JACQUES CARTIER</v>
      </c>
      <c r="D23" t="str">
        <f>IFERROR(LEFT(SUBSTITUTE(jason_converted!D23," 'adresse2': '",""),LEN(SUBSTITUTE(jason_converted!D23," 'adresse2': '",""))-1),"")</f>
        <v xml:space="preserve">WILD BEAR CROSSFIT </v>
      </c>
      <c r="E23" t="str">
        <f>IFERROR(LEFT(SUBSTITUTE(jason_converted!E23," 'codepostal': '",""),LEN(SUBSTITUTE(jason_converted!E23," 'codepostal': '",""))-1),"")</f>
        <v>56450</v>
      </c>
      <c r="F23" t="str">
        <f>IFERROR(LEFT(SUBSTITUTE(jason_converted!F23," 'ville': '",""),LEN(SUBSTITUTE(jason_converted!F23," 'ville': '",""))-1),"")</f>
        <v>THEIX-NOYALO</v>
      </c>
      <c r="G23" t="str">
        <f>IFERROR(LEFT(SUBSTITUTE(jason_converted!G23," 'tel': ",""),LEN(SUBSTITUTE(jason_converted!G23," 'tel': ",""))),"")</f>
        <v>'02.56.63.17.34'</v>
      </c>
      <c r="H23" t="str">
        <f>IFERROR(LEFT(SUBSTITUTE(jason_converted!H23," 'lat': '",""),LEN(SUBSTITUTE(jason_converted!H23," 'lat': '",""))-1),"")</f>
        <v>47.647364014831659</v>
      </c>
      <c r="I23" t="str">
        <f>IFERROR(LEFT(SUBSTITUTE(jason_converted!I23," 'lng': '",""),LEN(SUBSTITUTE(jason_converted!I23," 'lng': '",""))-1),"")</f>
        <v>-2.707584858071642</v>
      </c>
      <c r="J23" t="str">
        <f>IFERROR(LEFT(SUBSTITUTE(jason_converted!J23," 'nomClub': '",""),LEN(SUBSTITUTE(jason_converted!J23," 'nomClub': '",""))-1),"")</f>
        <v>WILD BEAR WEIGHTLIFTING</v>
      </c>
      <c r="K23" t="str">
        <f>IFERROR(LEFT(SUBSTITUTE(jason_converted!K23," 'nomCourtClub': '",""),LEN(SUBSTITUTE(jason_converted!K23," 'nomCourtClub': '",""))-1),"")</f>
        <v>WILD BEAR WEIGHTLIFTING</v>
      </c>
      <c r="L23" t="str">
        <f>IFERROR("https://ffhaltero.fr/" &amp; LEFT(SUBSTITUTE(jason_converted!L23," 'url': '",""),LEN(SUBSTITUTE(jason_converted!L23," 'url': '",""))-1),"")</f>
        <v>https://ffhaltero.fr//pratiquer/ou-pratiquer/ou-pratiquer-fiche-club/03560002-wild-bear-weightlifting'</v>
      </c>
    </row>
    <row r="24" spans="1:12" x14ac:dyDescent="0.25">
      <c r="A24" t="str">
        <f>IFERROR(SUBSTITUTE(jason_converted!A24,"{'id': ",""),"")</f>
        <v>30</v>
      </c>
      <c r="B24" t="str">
        <f>IFERROR(LEFT(SUBSTITUTE(jason_converted!B24," 'nom': '",""),LEN(SUBSTITUTE(jason_converted!B24," 'nom': '",""))-1),"")</f>
        <v>CHM PLOUHINEC POINTE DU RAZ</v>
      </c>
      <c r="C24" t="str">
        <f>IFERROR(LEFT(SUBSTITUTE(jason_converted!C24," 'adresse1': '",""),LEN(SUBSTITUTE(jason_converted!C24," 'adresse1': '",""))-1),"")</f>
        <v>18 RUE DES ÉCOLES</v>
      </c>
      <c r="D24" t="str">
        <f>IFERROR(LEFT(SUBSTITUTE(jason_converted!D24," 'adresse2': '",""),LEN(SUBSTITUTE(jason_converted!D24," 'adresse2': '",""))-1),"")</f>
        <v>SALLE OMNISPORTS COMMUNALE (ACCÈS DERRIÈRE) COMPLEXE SPORTIF ROBERT  NORMANT</v>
      </c>
      <c r="E24" t="str">
        <f>IFERROR(LEFT(SUBSTITUTE(jason_converted!E24," 'codepostal': '",""),LEN(SUBSTITUTE(jason_converted!E24," 'codepostal': '",""))-1),"")</f>
        <v>29780</v>
      </c>
      <c r="F24" t="str">
        <f>IFERROR(LEFT(SUBSTITUTE(jason_converted!F24," 'ville': '",""),LEN(SUBSTITUTE(jason_converted!F24," 'ville': '",""))-1),"")</f>
        <v>PLOUHINEC</v>
      </c>
      <c r="G24" t="str">
        <f>IFERROR(LEFT(SUBSTITUTE(jason_converted!G24," 'tel': ",""),LEN(SUBSTITUTE(jason_converted!G24," 'tel': ",""))),"")</f>
        <v>'06.63.62.81.48'</v>
      </c>
      <c r="H24" t="str">
        <f>IFERROR(LEFT(SUBSTITUTE(jason_converted!H24," 'lat': '",""),LEN(SUBSTITUTE(jason_converted!H24," 'lat': '",""))-1),"")</f>
        <v>48.016669283008653</v>
      </c>
      <c r="I24" t="str">
        <f>IFERROR(LEFT(SUBSTITUTE(jason_converted!I24," 'lng': '",""),LEN(SUBSTITUTE(jason_converted!I24," 'lng': '",""))-1),"")</f>
        <v>-4.491635959424189</v>
      </c>
      <c r="J24" t="str">
        <f>IFERROR(LEFT(SUBSTITUTE(jason_converted!J24," 'nomClub': '",""),LEN(SUBSTITUTE(jason_converted!J24," 'nomClub': '",""))-1),"")</f>
        <v>CHM PLOUHINEC POINTE DU RAZ</v>
      </c>
      <c r="K24" t="str">
        <f>IFERROR(LEFT(SUBSTITUTE(jason_converted!K24," 'nomCourtClub': '",""),LEN(SUBSTITUTE(jason_converted!K24," 'nomCourtClub': '",""))-1),"")</f>
        <v>CHM PLOUHINEC POINTE DU RAZ</v>
      </c>
      <c r="L24" t="str">
        <f>IFERROR("https://ffhaltero.fr/" &amp; LEFT(SUBSTITUTE(jason_converted!L24," 'url': '",""),LEN(SUBSTITUTE(jason_converted!L24," 'url': '",""))-1),"")</f>
        <v>https://ffhaltero.fr//pratiquer/ou-pratiquer/ou-pratiquer-fiche-club/06290650-chm-plouhinec-pointe-du-raz'</v>
      </c>
    </row>
    <row r="25" spans="1:12" x14ac:dyDescent="0.25">
      <c r="A25" t="str">
        <f>IFERROR(SUBSTITUTE(jason_converted!A25,"{'id': ",""),"")</f>
        <v>31</v>
      </c>
      <c r="B25" t="str">
        <f>IFERROR(LEFT(SUBSTITUTE(jason_converted!B25," 'nom': '",""),LEN(SUBSTITUTE(jason_converted!B25," 'nom': '",""))-1),"")</f>
        <v>Powercamp</v>
      </c>
      <c r="C25" t="str">
        <f>IFERROR(LEFT(SUBSTITUTE(jason_converted!C25," 'adresse1': '",""),LEN(SUBSTITUTE(jason_converted!C25," 'adresse1': '",""))-1),"")</f>
        <v>16 RUE GEORGES BARRES</v>
      </c>
      <c r="D25" t="str">
        <f>IFERROR(LEFT(SUBSTITUTE(jason_converted!D25," 'adresse2': '",""),LEN(SUBSTITUTE(jason_converted!D25," 'adresse2': '",""))-1),"")</f>
        <v xml:space="preserve">SALLE DE SPORT POWERCAMP </v>
      </c>
      <c r="E25" t="str">
        <f>IFERROR(LEFT(SUBSTITUTE(jason_converted!E25," 'codepostal': '",""),LEN(SUBSTITUTE(jason_converted!E25," 'codepostal': '",""))-1),"")</f>
        <v>33300</v>
      </c>
      <c r="F25" t="str">
        <f>IFERROR(LEFT(SUBSTITUTE(jason_converted!F25," 'ville': '",""),LEN(SUBSTITUTE(jason_converted!F25," 'ville': '",""))-1),"")</f>
        <v>BORDEAUX</v>
      </c>
      <c r="G25" t="str">
        <f>IFERROR(LEFT(SUBSTITUTE(jason_converted!G25," 'tel': ",""),LEN(SUBSTITUTE(jason_converted!G25," 'tel': ",""))),"")</f>
        <v>'0686540217'</v>
      </c>
      <c r="H25" t="str">
        <f>IFERROR(LEFT(SUBSTITUTE(jason_converted!H25," 'lat': '",""),LEN(SUBSTITUTE(jason_converted!H25," 'lat': '",""))-1),"")</f>
        <v>44.888986000000003</v>
      </c>
      <c r="I25" t="str">
        <f>IFERROR(LEFT(SUBSTITUTE(jason_converted!I25," 'lng': '",""),LEN(SUBSTITUTE(jason_converted!I25," 'lng': '",""))-1),"")</f>
        <v>-0.546616000000000</v>
      </c>
      <c r="J25" t="str">
        <f>IFERROR(LEFT(SUBSTITUTE(jason_converted!J25," 'nomClub': '",""),LEN(SUBSTITUTE(jason_converted!J25," 'nomClub': '",""))-1),"")</f>
        <v>POWERCAMP BORDEAUX HALTEROPHILIE</v>
      </c>
      <c r="K25" t="str">
        <f>IFERROR(LEFT(SUBSTITUTE(jason_converted!K25," 'nomCourtClub': '",""),LEN(SUBSTITUTE(jason_converted!K25," 'nomCourtClub': '",""))-1),"")</f>
        <v>POWERCAMP BORDEAUX</v>
      </c>
      <c r="L25" t="str">
        <f>IFERROR("https://ffhaltero.fr/" &amp; LEFT(SUBSTITUTE(jason_converted!L25," 'url': '",""),LEN(SUBSTITUTE(jason_converted!L25," 'url': '",""))-1),"")</f>
        <v>https://ffhaltero.fr//pratiquer/ou-pratiquer/ou-pratiquer-fiche-club/02331274-powercamp-bordeaux-halterophilie'</v>
      </c>
    </row>
    <row r="26" spans="1:12" x14ac:dyDescent="0.25">
      <c r="A26" t="str">
        <f>IFERROR(SUBSTITUTE(jason_converted!A26,"{'id': ",""),"")</f>
        <v>34</v>
      </c>
      <c r="B26" t="str">
        <f>IFERROR(LEFT(SUBSTITUTE(jason_converted!B26," 'nom': '",""),LEN(SUBSTITUTE(jason_converted!B26," 'nom': '",""))-1),"")</f>
        <v>CROSSFIT HOSTILIUS</v>
      </c>
      <c r="C26" t="str">
        <f>IFERROR(LEFT(SUBSTITUTE(jason_converted!C26," 'adresse1': '",""),LEN(SUBSTITUTE(jason_converted!C26," 'adresse1': '",""))-1),"")</f>
        <v>4 ROUTE DE PERPIGNAN</v>
      </c>
      <c r="D26" t="str">
        <f>IFERROR(LEFT(SUBSTITUTE(jason_converted!D26," 'adresse2': '",""),LEN(SUBSTITUTE(jason_converted!D26," 'adresse2': '",""))-1),"")</f>
        <v/>
      </c>
      <c r="E26" t="str">
        <f>IFERROR(LEFT(SUBSTITUTE(jason_converted!E26," 'codepostal': '",""),LEN(SUBSTITUTE(jason_converted!E26," 'codepostal': '",""))-1),"")</f>
        <v>66330</v>
      </c>
      <c r="F26" t="str">
        <f>IFERROR(LEFT(SUBSTITUTE(jason_converted!F26," 'ville': '",""),LEN(SUBSTITUTE(jason_converted!F26," 'ville': '",""))-1),"")</f>
        <v>CABESTANY</v>
      </c>
      <c r="G26" t="str">
        <f>IFERROR(LEFT(SUBSTITUTE(jason_converted!G26," 'tel': ",""),LEN(SUBSTITUTE(jason_converted!G26," 'tel': ",""))),"")</f>
        <v>'0647195697'</v>
      </c>
      <c r="H26" t="str">
        <f>IFERROR(LEFT(SUBSTITUTE(jason_converted!H26," 'lat': '",""),LEN(SUBSTITUTE(jason_converted!H26," 'lat': '",""))-1),"")</f>
        <v>42.690632999999998</v>
      </c>
      <c r="I26" t="str">
        <f>IFERROR(LEFT(SUBSTITUTE(jason_converted!I26," 'lng': '",""),LEN(SUBSTITUTE(jason_converted!I26," 'lng': '",""))-1),"")</f>
        <v>2.925709000000000</v>
      </c>
      <c r="J26" t="str">
        <f>IFERROR(LEFT(SUBSTITUTE(jason_converted!J26," 'nomClub': '",""),LEN(SUBSTITUTE(jason_converted!J26," 'nomClub': '",""))-1),"")</f>
        <v>HALTERO FIT 66</v>
      </c>
      <c r="K26" t="str">
        <f>IFERROR(LEFT(SUBSTITUTE(jason_converted!K26," 'nomCourtClub': '",""),LEN(SUBSTITUTE(jason_converted!K26," 'nomCourtClub': '",""))-1),"")</f>
        <v>HALTERO FIT 66</v>
      </c>
      <c r="L26" t="str">
        <f>IFERROR("https://ffhaltero.fr/" &amp; LEFT(SUBSTITUTE(jason_converted!L26," 'url': '",""),LEN(SUBSTITUTE(jason_converted!L26," 'url': '",""))-1),"")</f>
        <v>https://ffhaltero.fr//pratiquer/ou-pratiquer/ou-pratiquer-fiche-club/15660001-haltero-fit-66'</v>
      </c>
    </row>
    <row r="27" spans="1:12" x14ac:dyDescent="0.25">
      <c r="A27" t="str">
        <f>IFERROR(SUBSTITUTE(jason_converted!A27,"{'id': ",""),"")</f>
        <v>32</v>
      </c>
      <c r="B27" t="str">
        <f>IFERROR(LEFT(SUBSTITUTE(jason_converted!B27," 'nom': '",""),LEN(SUBSTITUTE(jason_converted!B27," 'nom': '",""))-1),"")</f>
        <v>CAHC BERCK</v>
      </c>
      <c r="C27" t="str">
        <f>IFERROR(LEFT(SUBSTITUTE(jason_converted!C27," 'adresse1': '",""),LEN(SUBSTITUTE(jason_converted!C27," 'adresse1': '",""))-1),"")</f>
        <v xml:space="preserve">RUE </v>
      </c>
      <c r="D27" t="str">
        <f>IFERROR(LEFT(SUBSTITUTE(jason_converted!D27," 'adresse2': '",""),LEN(SUBSTITUTE(jason_converted!D27," 'adresse2': '",""))-1),"")</f>
        <v>PARC DES SPORTS - RUE EMILE LAVEZZARI</v>
      </c>
      <c r="E27" t="str">
        <f>IFERROR(LEFT(SUBSTITUTE(jason_converted!E27," 'codepostal': '",""),LEN(SUBSTITUTE(jason_converted!E27," 'codepostal': '",""))-1),"")</f>
        <v>62600</v>
      </c>
      <c r="F27" t="str">
        <f>IFERROR(LEFT(SUBSTITUTE(jason_converted!F27," 'ville': '",""),LEN(SUBSTITUTE(jason_converted!F27," 'ville': '",""))-1),"")</f>
        <v>BERCK</v>
      </c>
      <c r="G27" t="str">
        <f>IFERROR(LEFT(SUBSTITUTE(jason_converted!G27," 'tel': ",""),LEN(SUBSTITUTE(jason_converted!G27," 'tel': ",""))),"")</f>
        <v>'0637469498'</v>
      </c>
      <c r="H27" t="str">
        <f>IFERROR(LEFT(SUBSTITUTE(jason_converted!H27," 'lat': '",""),LEN(SUBSTITUTE(jason_converted!H27," 'lat': '",""))-1),"")</f>
        <v>50.401458700000006</v>
      </c>
      <c r="I27" t="str">
        <f>IFERROR(LEFT(SUBSTITUTE(jason_converted!I27," 'lng': '",""),LEN(SUBSTITUTE(jason_converted!I27," 'lng': '",""))-1),"")</f>
        <v>1.572288888028554</v>
      </c>
      <c r="J27" t="str">
        <f>IFERROR(LEFT(SUBSTITUTE(jason_converted!J27," 'nomClub': '",""),LEN(SUBSTITUTE(jason_converted!J27," 'nomClub': '",""))-1),"")</f>
        <v>CAHC BERCK</v>
      </c>
      <c r="K27" t="str">
        <f>IFERROR(LEFT(SUBSTITUTE(jason_converted!K27," 'nomCourtClub': '",""),LEN(SUBSTITUTE(jason_converted!K27," 'nomCourtClub': '",""))-1),"")</f>
        <v>CAHC BERCK</v>
      </c>
      <c r="L27" t="str">
        <f>IFERROR("https://ffhaltero.fr/" &amp; LEFT(SUBSTITUTE(jason_converted!L27," 'url': '",""),LEN(SUBSTITUTE(jason_converted!L27," 'url': '",""))-1),"")</f>
        <v>https://ffhaltero.fr//pratiquer/ou-pratiquer/ou-pratiquer-fiche-club/16620347-cahc-berck'</v>
      </c>
    </row>
    <row r="28" spans="1:12" x14ac:dyDescent="0.25">
      <c r="A28" t="str">
        <f>IFERROR(SUBSTITUTE(jason_converted!A28,"{'id': ",""),"")</f>
        <v>33</v>
      </c>
      <c r="B28" t="str">
        <f>IFERROR(LEFT(SUBSTITUTE(jason_converted!B28," 'nom': '",""),LEN(SUBSTITUTE(jason_converted!B28," 'nom': '",""))-1),"")</f>
        <v>Cuiseaux Revermont Haltérophilie</v>
      </c>
      <c r="C28" t="str">
        <f>IFERROR(LEFT(SUBSTITUTE(jason_converted!C28," 'adresse1': '",""),LEN(SUBSTITUTE(jason_converted!C28," 'adresse1': '",""))-1),"")</f>
        <v>1 AVENUE RENÉ CASSIN</v>
      </c>
      <c r="D28" t="str">
        <f>IFERROR(LEFT(SUBSTITUTE(jason_converted!D28," 'adresse2': '",""),LEN(SUBSTITUTE(jason_converted!D28," 'adresse2': '",""))-1),"")</f>
        <v>75 RUE SAINT THOMAS</v>
      </c>
      <c r="E28" t="str">
        <f>IFERROR(LEFT(SUBSTITUTE(jason_converted!E28," 'codepostal': '",""),LEN(SUBSTITUTE(jason_converted!E28," 'codepostal': '",""))-1),"")</f>
        <v>71480</v>
      </c>
      <c r="F28" t="str">
        <f>IFERROR(LEFT(SUBSTITUTE(jason_converted!F28," 'ville': '",""),LEN(SUBSTITUTE(jason_converted!F28," 'ville': '",""))-1),"")</f>
        <v>CUISEAUX</v>
      </c>
      <c r="G28" t="str">
        <f>IFERROR(LEFT(SUBSTITUTE(jason_converted!G28," 'tel': ",""),LEN(SUBSTITUTE(jason_converted!G28," 'tel': ",""))),"")</f>
        <v>'0623931647'</v>
      </c>
      <c r="H28" t="str">
        <f>IFERROR(LEFT(SUBSTITUTE(jason_converted!H28," 'lat': '",""),LEN(SUBSTITUTE(jason_converted!H28," 'lat': '",""))-1),"")</f>
        <v>46.496572000000000</v>
      </c>
      <c r="I28" t="str">
        <f>IFERROR(LEFT(SUBSTITUTE(jason_converted!I28," 'lng': '",""),LEN(SUBSTITUTE(jason_converted!I28," 'lng': '",""))-1),"")</f>
        <v>5.387696000000000</v>
      </c>
      <c r="J28" t="str">
        <f>IFERROR(LEFT(SUBSTITUTE(jason_converted!J28," 'nomClub': '",""),LEN(SUBSTITUTE(jason_converted!J28," 'nomClub': '",""))-1),"")</f>
        <v>CUISEAUX REVERMONT HALTEROPHILIE</v>
      </c>
      <c r="K28" t="str">
        <f>IFERROR(LEFT(SUBSTITUTE(jason_converted!K28," 'nomCourtClub': '",""),LEN(SUBSTITUTE(jason_converted!K28," 'nomCourtClub': '",""))-1),"")</f>
        <v>CUISEAUX REVERMONT HALTEROPHILIE</v>
      </c>
      <c r="L28" t="str">
        <f>IFERROR("https://ffhaltero.fr/" &amp; LEFT(SUBSTITUTE(jason_converted!L28," 'url': '",""),LEN(SUBSTITUTE(jason_converted!L28," 'url': '",""))-1),"")</f>
        <v>https://ffhaltero.fr//pratiquer/ou-pratiquer/ou-pratiquer-fiche-club/01010002-cuiseaux-revermont-halterophilie'</v>
      </c>
    </row>
    <row r="29" spans="1:12" x14ac:dyDescent="0.25">
      <c r="A29" t="str">
        <f>IFERROR(SUBSTITUTE(jason_converted!A29,"{'id': ",""),"")</f>
        <v>34</v>
      </c>
      <c r="B29" t="str">
        <f>IFERROR(LEFT(SUBSTITUTE(jason_converted!B29," 'nom': '",""),LEN(SUBSTITUTE(jason_converted!B29," 'nom': '",""))-1),"")</f>
        <v>CROSSFIT HOSTILIUS</v>
      </c>
      <c r="C29" t="str">
        <f>IFERROR(LEFT(SUBSTITUTE(jason_converted!C29," 'adresse1': '",""),LEN(SUBSTITUTE(jason_converted!C29," 'adresse1': '",""))-1),"")</f>
        <v>4 ROUTE DE PERPIGNAN</v>
      </c>
      <c r="D29" t="str">
        <f>IFERROR(LEFT(SUBSTITUTE(jason_converted!D29," 'adresse2': '",""),LEN(SUBSTITUTE(jason_converted!D29," 'adresse2': '",""))-1),"")</f>
        <v/>
      </c>
      <c r="E29" t="str">
        <f>IFERROR(LEFT(SUBSTITUTE(jason_converted!E29," 'codepostal': '",""),LEN(SUBSTITUTE(jason_converted!E29," 'codepostal': '",""))-1),"")</f>
        <v>66330</v>
      </c>
      <c r="F29" t="str">
        <f>IFERROR(LEFT(SUBSTITUTE(jason_converted!F29," 'ville': '",""),LEN(SUBSTITUTE(jason_converted!F29," 'ville': '",""))-1),"")</f>
        <v>CABESTANY</v>
      </c>
      <c r="G29" t="str">
        <f>IFERROR(LEFT(SUBSTITUTE(jason_converted!G29," 'tel': ",""),LEN(SUBSTITUTE(jason_converted!G29," 'tel': ",""))),"")</f>
        <v>'0647195697'</v>
      </c>
      <c r="H29" t="str">
        <f>IFERROR(LEFT(SUBSTITUTE(jason_converted!H29," 'lat': '",""),LEN(SUBSTITUTE(jason_converted!H29," 'lat': '",""))-1),"")</f>
        <v>42.690632999999998</v>
      </c>
      <c r="I29" t="str">
        <f>IFERROR(LEFT(SUBSTITUTE(jason_converted!I29," 'lng': '",""),LEN(SUBSTITUTE(jason_converted!I29," 'lng': '",""))-1),"")</f>
        <v>2.925709000000000</v>
      </c>
      <c r="J29" t="str">
        <f>IFERROR(LEFT(SUBSTITUTE(jason_converted!J29," 'nomClub': '",""),LEN(SUBSTITUTE(jason_converted!J29," 'nomClub': '",""))-1),"")</f>
        <v>HALTERO FIT 66</v>
      </c>
      <c r="K29" t="str">
        <f>IFERROR(LEFT(SUBSTITUTE(jason_converted!K29," 'nomCourtClub': '",""),LEN(SUBSTITUTE(jason_converted!K29," 'nomCourtClub': '",""))-1),"")</f>
        <v>HALTERO FIT 66</v>
      </c>
      <c r="L29" t="str">
        <f>IFERROR("https://ffhaltero.fr/" &amp; LEFT(SUBSTITUTE(jason_converted!L29," 'url': '",""),LEN(SUBSTITUTE(jason_converted!L29," 'url': '",""))-1),"")</f>
        <v>https://ffhaltero.fr//pratiquer/ou-pratiquer/ou-pratiquer-fiche-club/15660001-haltero-fit-66'</v>
      </c>
    </row>
    <row r="30" spans="1:12" x14ac:dyDescent="0.25">
      <c r="A30" t="str">
        <f>IFERROR(SUBSTITUTE(jason_converted!A30,"{'id': ",""),"")</f>
        <v>38</v>
      </c>
      <c r="B30" t="str">
        <f>IFERROR(LEFT(SUBSTITUTE(jason_converted!B30," 'nom': '",""),LEN(SUBSTITUTE(jason_converted!B30," 'nom': '",""))-1),"")</f>
        <v>Haltérophile Club de Pointe à Pitre 971</v>
      </c>
      <c r="C30" t="str">
        <f>IFERROR(LEFT(SUBSTITUTE(jason_converted!C30," 'adresse1': '",""),LEN(SUBSTITUTE(jason_converted!C30," 'adresse1': '",""))-1),"")</f>
        <v xml:space="preserve">6 </v>
      </c>
      <c r="D30" t="str">
        <f>IFERROR(LEFT(SUBSTITUTE(jason_converted!D30," 'adresse2': '",""),LEN(SUBSTITUTE(jason_converted!D30," 'adresse2': '",""))-1),"")</f>
        <v/>
      </c>
      <c r="E30" t="str">
        <f>IFERROR(LEFT(SUBSTITUTE(jason_converted!E30," 'codepostal': '",""),LEN(SUBSTITUTE(jason_converted!E30," 'codepostal': '",""))-1),"")</f>
        <v xml:space="preserve"> 'codepostal': Non</v>
      </c>
      <c r="F30" t="str">
        <f>IFERROR(LEFT(SUBSTITUTE(jason_converted!F30," 'ville': '",""),LEN(SUBSTITUTE(jason_converted!F30," 'ville': '",""))-1),"")</f>
        <v xml:space="preserve"> 'ville': Non</v>
      </c>
      <c r="G30" t="str">
        <f>IFERROR(LEFT(SUBSTITUTE(jason_converted!G30," 'tel': ",""),LEN(SUBSTITUTE(jason_converted!G30," 'tel': ",""))),"")</f>
        <v>'06 90 54 02 66'</v>
      </c>
      <c r="H30" t="str">
        <f>IFERROR(LEFT(SUBSTITUTE(jason_converted!H30," 'lat': '",""),LEN(SUBSTITUTE(jason_converted!H30," 'lat': '",""))-1),"")</f>
        <v>19.097403100000001</v>
      </c>
      <c r="I30" t="str">
        <f>IFERROR(LEFT(SUBSTITUTE(jason_converted!I30," 'lng': '",""),LEN(SUBSTITUTE(jason_converted!I30," 'lng': '",""))-1),"")</f>
        <v>-70.302802600000007</v>
      </c>
      <c r="J30" t="str">
        <f>IFERROR(LEFT(SUBSTITUTE(jason_converted!J30," 'nomClub': '",""),LEN(SUBSTITUTE(jason_converted!J30," 'nomClub': '",""))-1),"")</f>
        <v>HALTEROPHILIE CLUB DE POINTE A PITRE 971</v>
      </c>
      <c r="K30" t="str">
        <f>IFERROR(LEFT(SUBSTITUTE(jason_converted!K30," 'nomCourtClub': '",""),LEN(SUBSTITUTE(jason_converted!K30," 'nomCourtClub': '",""))-1),"")</f>
        <v>HALTEROPHILIE CLUB DE POINTE A PITRE 971</v>
      </c>
      <c r="L30" t="str">
        <f>IFERROR("https://ffhaltero.fr/" &amp; LEFT(SUBSTITUTE(jason_converted!L30," 'url': '",""),LEN(SUBSTITUTE(jason_converted!L30," 'url': '",""))-1),"")</f>
        <v>https://ffhaltero.fr//pratiquer/ou-pratiquer/ou-pratiquer-fiche-club/069710002-halterophilie-club-de-pointe-pitre-971'</v>
      </c>
    </row>
    <row r="31" spans="1:12" x14ac:dyDescent="0.25">
      <c r="A31" t="str">
        <f>IFERROR(SUBSTITUTE(jason_converted!A31,"{'id': ",""),"")</f>
        <v>39</v>
      </c>
      <c r="B31" t="str">
        <f>IFERROR(LEFT(SUBSTITUTE(jason_converted!B31," 'nom': '",""),LEN(SUBSTITUTE(jason_converted!B31," 'nom': '",""))-1),"")</f>
        <v>Granc Nancy HM</v>
      </c>
      <c r="C31" t="str">
        <f>IFERROR(LEFT(SUBSTITUTE(jason_converted!C31," 'adresse1': '",""),LEN(SUBSTITUTE(jason_converted!C31," 'adresse1': '",""))-1),"")</f>
        <v xml:space="preserve"> 'adresse1': "146 RUE JEANNE D'ARC</v>
      </c>
      <c r="D31" t="str">
        <f>IFERROR(LEFT(SUBSTITUTE(jason_converted!D31," 'adresse2': '",""),LEN(SUBSTITUTE(jason_converted!D31," 'adresse2': '",""))-1),"")</f>
        <v/>
      </c>
      <c r="E31" t="str">
        <f>IFERROR(LEFT(SUBSTITUTE(jason_converted!E31," 'codepostal': '",""),LEN(SUBSTITUTE(jason_converted!E31," 'codepostal': '",""))-1),"")</f>
        <v>54100</v>
      </c>
      <c r="F31" t="str">
        <f>IFERROR(LEFT(SUBSTITUTE(jason_converted!F31," 'ville': '",""),LEN(SUBSTITUTE(jason_converted!F31," 'ville': '",""))-1),"")</f>
        <v>NANCY</v>
      </c>
      <c r="G31" t="str">
        <f>IFERROR(LEFT(SUBSTITUTE(jason_converted!G31," 'tel': ",""),LEN(SUBSTITUTE(jason_converted!G31," 'tel': ",""))),"")</f>
        <v>'0612842626'</v>
      </c>
      <c r="H31" t="str">
        <f>IFERROR(LEFT(SUBSTITUTE(jason_converted!H31," 'lat': '",""),LEN(SUBSTITUTE(jason_converted!H31," 'lat': '",""))-1),"")</f>
        <v>48.681590499999999</v>
      </c>
      <c r="I31" t="str">
        <f>IFERROR(LEFT(SUBSTITUTE(jason_converted!I31," 'lng': '",""),LEN(SUBSTITUTE(jason_converted!I31," 'lng': '",""))-1),"")</f>
        <v>6.174637200000000</v>
      </c>
      <c r="J31" t="str">
        <f>IFERROR(LEFT(SUBSTITUTE(jason_converted!J31," 'nomClub': '",""),LEN(SUBSTITUTE(jason_converted!J31," 'nomClub': '",""))-1),"")</f>
        <v>GRAND NANCY HM</v>
      </c>
      <c r="K31" t="str">
        <f>IFERROR(LEFT(SUBSTITUTE(jason_converted!K31," 'nomCourtClub': '",""),LEN(SUBSTITUTE(jason_converted!K31," 'nomCourtClub': '",""))-1),"")</f>
        <v>GRAND NANCY HM</v>
      </c>
      <c r="L31" t="str">
        <f>IFERROR("https://ffhaltero.fr/" &amp; LEFT(SUBSTITUTE(jason_converted!L31," 'url': '",""),LEN(SUBSTITUTE(jason_converted!L31," 'url': '",""))-1),"")</f>
        <v>https://ffhaltero.fr//pratiquer/ou-pratiquer/ou-pratiquer-fiche-club/05540001-grand-nancy-hm'</v>
      </c>
    </row>
    <row r="32" spans="1:12" x14ac:dyDescent="0.25">
      <c r="A32" t="str">
        <f>IFERROR(SUBSTITUTE(jason_converted!A32,"{'id': ",""),"")</f>
        <v>41</v>
      </c>
      <c r="B32" t="str">
        <f>IFERROR(LEFT(SUBSTITUTE(jason_converted!B32," 'nom': '",""),LEN(SUBSTITUTE(jason_converted!B32," 'nom': '",""))-1),"")</f>
        <v>CJF LAVAL VOUTRÉ HALTERO 53</v>
      </c>
      <c r="C32" t="str">
        <f>IFERROR(LEFT(SUBSTITUTE(jason_converted!C32," 'adresse1': '",""),LEN(SUBSTITUTE(jason_converted!C32," 'adresse1': '",""))-1),"")</f>
        <v>25 RUE ALBERT EINSTEIN</v>
      </c>
      <c r="D32" t="str">
        <f>IFERROR(LEFT(SUBSTITUTE(jason_converted!D32," 'adresse2': '",""),LEN(SUBSTITUTE(jason_converted!D32," 'adresse2': '",""))-1),"")</f>
        <v/>
      </c>
      <c r="E32" t="str">
        <f>IFERROR(LEFT(SUBSTITUTE(jason_converted!E32," 'codepostal': '",""),LEN(SUBSTITUTE(jason_converted!E32," 'codepostal': '",""))-1),"")</f>
        <v>53000</v>
      </c>
      <c r="F32" t="str">
        <f>IFERROR(LEFT(SUBSTITUTE(jason_converted!F32," 'ville': '",""),LEN(SUBSTITUTE(jason_converted!F32," 'ville': '",""))-1),"")</f>
        <v>LAVAL</v>
      </c>
      <c r="G32" t="str">
        <f>IFERROR(LEFT(SUBSTITUTE(jason_converted!G32," 'tel': ",""),LEN(SUBSTITUTE(jason_converted!G32," 'tel': ",""))),"")</f>
        <v>None</v>
      </c>
      <c r="H32" t="str">
        <f>IFERROR(LEFT(SUBSTITUTE(jason_converted!H32," 'lat': '",""),LEN(SUBSTITUTE(jason_converted!H32," 'lat': '",""))-1),"")</f>
        <v>48.054342249999998</v>
      </c>
      <c r="I32" t="str">
        <f>IFERROR(LEFT(SUBSTITUTE(jason_converted!I32," 'lng': '",""),LEN(SUBSTITUTE(jason_converted!I32," 'lng': '",""))-1),"")</f>
        <v>-0.741328807618783</v>
      </c>
      <c r="J32" t="str">
        <f>IFERROR(LEFT(SUBSTITUTE(jason_converted!J32," 'nomClub': '",""),LEN(SUBSTITUTE(jason_converted!J32," 'nomClub': '",""))-1),"")</f>
        <v>CJF LAVAL VOUTRE HALTERO 53</v>
      </c>
      <c r="K32" t="str">
        <f>IFERROR(LEFT(SUBSTITUTE(jason_converted!K32," 'nomCourtClub': '",""),LEN(SUBSTITUTE(jason_converted!K32," 'nomCourtClub': '",""))-1),"")</f>
        <v>CJF LAVAL VOUTRE HALTERO 53</v>
      </c>
      <c r="L32" t="str">
        <f>IFERROR("https://ffhaltero.fr/" &amp; LEFT(SUBSTITUTE(jason_converted!L32," 'url': '",""),LEN(SUBSTITUTE(jason_converted!L32," 'url': '",""))-1),"")</f>
        <v>https://ffhaltero.fr//pratiquer/ou-pratiquer/ou-pratiquer-fiche-club/17530413-cjf-laval-voutre-haltero-53'</v>
      </c>
    </row>
    <row r="33" spans="1:12" x14ac:dyDescent="0.25">
      <c r="A33" t="str">
        <f>IFERROR(SUBSTITUTE(jason_converted!A33,"{'id': ",""),"")</f>
        <v>42</v>
      </c>
      <c r="B33" t="str">
        <f>IFERROR(LEFT(SUBSTITUTE(jason_converted!B33," 'nom': '",""),LEN(SUBSTITUTE(jason_converted!B33," 'nom': '",""))-1),"")</f>
        <v>ASSOCIATION MUSCULATION RETIERS</v>
      </c>
      <c r="C33" t="str">
        <f>IFERROR(LEFT(SUBSTITUTE(jason_converted!C33," 'adresse1': '",""),LEN(SUBSTITUTE(jason_converted!C33," 'adresse1': '",""))-1),"")</f>
        <v>RUE ANATOLE LE BRAZ</v>
      </c>
      <c r="D33" t="str">
        <f>IFERROR(LEFT(SUBSTITUTE(jason_converted!D33," 'adresse2': '",""),LEN(SUBSTITUTE(jason_converted!D33," 'adresse2': '",""))-1),"")</f>
        <v/>
      </c>
      <c r="E33" t="str">
        <f>IFERROR(LEFT(SUBSTITUTE(jason_converted!E33," 'codepostal': '",""),LEN(SUBSTITUTE(jason_converted!E33," 'codepostal': '",""))-1),"")</f>
        <v>35240</v>
      </c>
      <c r="F33" t="str">
        <f>IFERROR(LEFT(SUBSTITUTE(jason_converted!F33," 'ville': '",""),LEN(SUBSTITUTE(jason_converted!F33," 'ville': '",""))-1),"")</f>
        <v>MARCILLÉ-ROBERT</v>
      </c>
      <c r="G33" t="str">
        <f>IFERROR(LEFT(SUBSTITUTE(jason_converted!G33," 'tel': ",""),LEN(SUBSTITUTE(jason_converted!G33," 'tel': ",""))),"")</f>
        <v>'0650854747'</v>
      </c>
      <c r="H33" t="str">
        <f>IFERROR(LEFT(SUBSTITUTE(jason_converted!H33," 'lat': '",""),LEN(SUBSTITUTE(jason_converted!H33," 'lat': '",""))-1),"")</f>
        <v>47.916125681243372</v>
      </c>
      <c r="I33" t="str">
        <f>IFERROR(LEFT(SUBSTITUTE(jason_converted!I33," 'lng': '",""),LEN(SUBSTITUTE(jason_converted!I33," 'lng': '",""))-1),"")</f>
        <v>-1.381276709064609</v>
      </c>
      <c r="J33" t="str">
        <f>IFERROR(LEFT(SUBSTITUTE(jason_converted!J33," 'nomClub': '",""),LEN(SUBSTITUTE(jason_converted!J33," 'nomClub': '",""))-1),"")</f>
        <v>ASSOCIATION MUSCULATION RESTERIENNE</v>
      </c>
      <c r="K33" t="str">
        <f>IFERROR(LEFT(SUBSTITUTE(jason_converted!K33," 'nomCourtClub': '",""),LEN(SUBSTITUTE(jason_converted!K33," 'nomCourtClub': '",""))-1),"")</f>
        <v>M-H-R</v>
      </c>
      <c r="L33" t="str">
        <f>IFERROR("https://ffhaltero.fr/" &amp; LEFT(SUBSTITUTE(jason_converted!L33," 'url': '",""),LEN(SUBSTITUTE(jason_converted!L33," 'url': '",""))-1),"")</f>
        <v>https://ffhaltero.fr//pratiquer/ou-pratiquer/ou-pratiquer-fiche-club/339860026-association-musculation-resterienne'</v>
      </c>
    </row>
    <row r="34" spans="1:12" x14ac:dyDescent="0.25">
      <c r="A34" t="str">
        <f>IFERROR(SUBSTITUTE(jason_converted!A34,"{'id': ",""),"")</f>
        <v>44</v>
      </c>
      <c r="B34" t="str">
        <f>IFERROR(LEFT(SUBSTITUTE(jason_converted!B34," 'nom': '",""),LEN(SUBSTITUTE(jason_converted!B34," 'nom': '",""))-1),"")</f>
        <v>SBPH</v>
      </c>
      <c r="C34" t="str">
        <f>IFERROR(LEFT(SUBSTITUTE(jason_converted!C34," 'adresse1': '",""),LEN(SUBSTITUTE(jason_converted!C34," 'adresse1': '",""))-1),"")</f>
        <v>AVENUE DE LA GUERCHE</v>
      </c>
      <c r="D34" t="str">
        <f>IFERROR(LEFT(SUBSTITUTE(jason_converted!D34," 'adresse2': '",""),LEN(SUBSTITUTE(jason_converted!D34," 'adresse2': '",""))-1),"")</f>
        <v xml:space="preserve"> 'adresse2': "CENTRE D'HÉBERGEMENT ET DE LOISIR VINCENT PURKART</v>
      </c>
      <c r="E34" t="str">
        <f>IFERROR(LEFT(SUBSTITUTE(jason_converted!E34," 'codepostal': '",""),LEN(SUBSTITUTE(jason_converted!E34," 'codepostal': '",""))-1),"")</f>
        <v>44250</v>
      </c>
      <c r="F34" t="str">
        <f>IFERROR(LEFT(SUBSTITUTE(jason_converted!F34," 'ville': '",""),LEN(SUBSTITUTE(jason_converted!F34," 'ville': '",""))-1),"")</f>
        <v xml:space="preserve"> 'ville': Non</v>
      </c>
      <c r="G34" t="str">
        <f>IFERROR(LEFT(SUBSTITUTE(jason_converted!G34," 'tel': ",""),LEN(SUBSTITUTE(jason_converted!G34," 'tel': ",""))),"")</f>
        <v>None</v>
      </c>
      <c r="H34" t="str">
        <f>IFERROR(LEFT(SUBSTITUTE(jason_converted!H34," 'lat': '",""),LEN(SUBSTITUTE(jason_converted!H34," 'lat': '",""))-1),"")</f>
        <v>49.224901037040262</v>
      </c>
      <c r="I34" t="str">
        <f>IFERROR(LEFT(SUBSTITUTE(jason_converted!I34," 'lng': '",""),LEN(SUBSTITUTE(jason_converted!I34," 'lng': '",""))-1),"")</f>
        <v>2.130170837044716</v>
      </c>
      <c r="J34" t="str">
        <f>IFERROR(LEFT(SUBSTITUTE(jason_converted!J34," 'nomClub': '",""),LEN(SUBSTITUTE(jason_converted!J34," 'nomClub': '",""))-1),"")</f>
        <v>CR PAYS DE LA LOIRE HM</v>
      </c>
      <c r="K34" t="str">
        <f>IFERROR(LEFT(SUBSTITUTE(jason_converted!K34," 'nomCourtClub': '",""),LEN(SUBSTITUTE(jason_converted!K34," 'nomCourtClub': '",""))-1),"")</f>
        <v>PAYS DE LA LOIRE</v>
      </c>
      <c r="L34" t="str">
        <f>IFERROR("https://ffhaltero.fr/" &amp; LEFT(SUBSTITUTE(jason_converted!L34," 'url': '",""),LEN(SUBSTITUTE(jason_converted!L34," 'url': '",""))-1),"")</f>
        <v>https://ffhaltero.fr//pratiquer/ou-pratiquer/ou-pratiquer-fiche-club/L16-cr-pays-de-la-loire-hm'</v>
      </c>
    </row>
    <row r="35" spans="1:12" x14ac:dyDescent="0.25">
      <c r="A35" t="str">
        <f>IFERROR(SUBSTITUTE(jason_converted!A35,"{'id': ",""),"")</f>
        <v>46</v>
      </c>
      <c r="B35" t="str">
        <f>IFERROR(LEFT(SUBSTITUTE(jason_converted!B35," 'nom': '",""),LEN(SUBSTITUTE(jason_converted!B35," 'nom': '",""))-1),"")</f>
        <v>CENTRE OMNISPORT</v>
      </c>
      <c r="C35" t="str">
        <f>IFERROR(LEFT(SUBSTITUTE(jason_converted!C35," 'adresse1': '",""),LEN(SUBSTITUTE(jason_converted!C35," 'adresse1': '",""))-1),"")</f>
        <v>27 RUE ANDRE MALRAUX</v>
      </c>
      <c r="D35" t="str">
        <f>IFERROR(LEFT(SUBSTITUTE(jason_converted!D35," 'adresse2': '",""),LEN(SUBSTITUTE(jason_converted!D35," 'adresse2': '",""))-1),"")</f>
        <v/>
      </c>
      <c r="E35" t="str">
        <f>IFERROR(LEFT(SUBSTITUTE(jason_converted!E35," 'codepostal': '",""),LEN(SUBSTITUTE(jason_converted!E35," 'codepostal': '",""))-1),"")</f>
        <v>67170</v>
      </c>
      <c r="F35" t="str">
        <f>IFERROR(LEFT(SUBSTITUTE(jason_converted!F35," 'ville': '",""),LEN(SUBSTITUTE(jason_converted!F35," 'ville': '",""))-1),"")</f>
        <v>BRUMATH</v>
      </c>
      <c r="G35" t="str">
        <f>IFERROR(LEFT(SUBSTITUTE(jason_converted!G35," 'tel': ",""),LEN(SUBSTITUTE(jason_converted!G35," 'tel': ",""))),"")</f>
        <v>None</v>
      </c>
      <c r="H35" t="str">
        <f>IFERROR(LEFT(SUBSTITUTE(jason_converted!H35," 'lat': '",""),LEN(SUBSTITUTE(jason_converted!H35," 'lat': '",""))-1),"")</f>
        <v>48.737439999999999</v>
      </c>
      <c r="I35" t="str">
        <f>IFERROR(LEFT(SUBSTITUTE(jason_converted!I35," 'lng': '",""),LEN(SUBSTITUTE(jason_converted!I35," 'lng': '",""))-1),"")</f>
        <v>7.711729235476277</v>
      </c>
      <c r="J35" t="str">
        <f>IFERROR(LEFT(SUBSTITUTE(jason_converted!J35," 'nomClub': '",""),LEN(SUBSTITUTE(jason_converted!J35," 'nomClub': '",""))-1),"")</f>
        <v>CS BRUMATH</v>
      </c>
      <c r="K35" t="str">
        <f>IFERROR(LEFT(SUBSTITUTE(jason_converted!K35," 'nomCourtClub': '",""),LEN(SUBSTITUTE(jason_converted!K35," 'nomCourtClub': '",""))-1),"")</f>
        <v>CS BRUMATH</v>
      </c>
      <c r="L35" t="str">
        <f>IFERROR("https://ffhaltero.fr/" &amp; LEFT(SUBSTITUTE(jason_converted!L35," 'url': '",""),LEN(SUBSTITUTE(jason_converted!L35," 'url': '",""))-1),"")</f>
        <v>https://ffhaltero.fr//pratiquer/ou-pratiquer/ou-pratiquer-fiche-club/01670010-cs-brumath'</v>
      </c>
    </row>
    <row r="36" spans="1:12" x14ac:dyDescent="0.25">
      <c r="A36" t="str">
        <f>IFERROR(SUBSTITUTE(jason_converted!A36,"{'id': ",""),"")</f>
        <v>47</v>
      </c>
      <c r="B36" t="str">
        <f>IFERROR(LEFT(SUBSTITUTE(jason_converted!B36," 'nom': '",""),LEN(SUBSTITUTE(jason_converted!B36," 'nom': '",""))-1),"")</f>
        <v>Evreux Sleipnir Barbell Club</v>
      </c>
      <c r="C36" t="str">
        <f>IFERROR(LEFT(SUBSTITUTE(jason_converted!C36," 'adresse1': '",""),LEN(SUBSTITUTE(jason_converted!C36," 'adresse1': '",""))-1),"")</f>
        <v>344  RUE DE COCHEREL</v>
      </c>
      <c r="D36" t="str">
        <f>IFERROR(LEFT(SUBSTITUTE(jason_converted!D36," 'adresse2': '",""),LEN(SUBSTITUTE(jason_converted!D36," 'adresse2': '",""))-1),"")</f>
        <v/>
      </c>
      <c r="E36" t="str">
        <f>IFERROR(LEFT(SUBSTITUTE(jason_converted!E36," 'codepostal': '",""),LEN(SUBSTITUTE(jason_converted!E36," 'codepostal': '",""))-1),"")</f>
        <v>27000</v>
      </c>
      <c r="F36" t="str">
        <f>IFERROR(LEFT(SUBSTITUTE(jason_converted!F36," 'ville': '",""),LEN(SUBSTITUTE(jason_converted!F36," 'ville': '",""))-1),"")</f>
        <v>ÉVREUX</v>
      </c>
      <c r="G36" t="str">
        <f>IFERROR(LEFT(SUBSTITUTE(jason_converted!G36," 'tel': ",""),LEN(SUBSTITUTE(jason_converted!G36," 'tel': ",""))),"")</f>
        <v>'0648046825'</v>
      </c>
      <c r="H36" t="str">
        <f>IFERROR(LEFT(SUBSTITUTE(jason_converted!H36," 'lat': '",""),LEN(SUBSTITUTE(jason_converted!H36," 'lat': '",""))-1),"")</f>
        <v>49.021918999999997</v>
      </c>
      <c r="I36" t="str">
        <f>IFERROR(LEFT(SUBSTITUTE(jason_converted!I36," 'lng': '",""),LEN(SUBSTITUTE(jason_converted!I36," 'lng': '",""))-1),"")</f>
        <v>1.177713000000000</v>
      </c>
      <c r="J36" t="str">
        <f>IFERROR(LEFT(SUBSTITUTE(jason_converted!J36," 'nomClub': '",""),LEN(SUBSTITUTE(jason_converted!J36," 'nomClub': '",""))-1),"")</f>
        <v>EVREUX SLEIPNIR BARBELL CLUB</v>
      </c>
      <c r="K36" t="str">
        <f>IFERROR(LEFT(SUBSTITUTE(jason_converted!K36," 'nomCourtClub': '",""),LEN(SUBSTITUTE(jason_converted!K36," 'nomCourtClub': '",""))-1),"")</f>
        <v>ESBC</v>
      </c>
      <c r="L36" t="str">
        <f>IFERROR("https://ffhaltero.fr/" &amp; LEFT(SUBSTITUTE(jason_converted!L36," 'url': '",""),LEN(SUBSTITUTE(jason_converted!L36," 'url': '",""))-1),"")</f>
        <v>https://ffhaltero.fr//pratiquer/ou-pratiquer/ou-pratiquer-fiche-club/339860036-evreux-sleipnir-barbell-club'</v>
      </c>
    </row>
    <row r="37" spans="1:12" x14ac:dyDescent="0.25">
      <c r="A37" t="str">
        <f>IFERROR(SUBSTITUTE(jason_converted!A37,"{'id': ",""),"")</f>
        <v>48</v>
      </c>
      <c r="B37" t="str">
        <f>IFERROR(LEFT(SUBSTITUTE(jason_converted!B37," 'nom': '",""),LEN(SUBSTITUTE(jason_converted!B37," 'nom': '",""))-1),"")</f>
        <v>Brest Haltérophilie 29</v>
      </c>
      <c r="C37" t="str">
        <f>IFERROR(LEFT(SUBSTITUTE(jason_converted!C37," 'adresse1': '",""),LEN(SUBSTITUTE(jason_converted!C37," 'adresse1': '",""))-1),"")</f>
        <v xml:space="preserve"> 'adresse1': "46 RUE DE KERGRAC'H</v>
      </c>
      <c r="D37" t="str">
        <f>IFERROR(LEFT(SUBSTITUTE(jason_converted!D37," 'adresse2': '",""),LEN(SUBSTITUTE(jason_converted!D37," 'adresse2': '",""))-1),"")</f>
        <v/>
      </c>
      <c r="E37" t="str">
        <f>IFERROR(LEFT(SUBSTITUTE(jason_converted!E37," 'codepostal': '",""),LEN(SUBSTITUTE(jason_converted!E37," 'codepostal': '",""))-1),"")</f>
        <v>29200</v>
      </c>
      <c r="F37" t="str">
        <f>IFERROR(LEFT(SUBSTITUTE(jason_converted!F37," 'ville': '",""),LEN(SUBSTITUTE(jason_converted!F37," 'ville': '",""))-1),"")</f>
        <v>BREST</v>
      </c>
      <c r="G37" t="str">
        <f>IFERROR(LEFT(SUBSTITUTE(jason_converted!G37," 'tel': ",""),LEN(SUBSTITUTE(jason_converted!G37," 'tel': ",""))),"")</f>
        <v>None</v>
      </c>
      <c r="H37" t="str">
        <f>IFERROR(LEFT(SUBSTITUTE(jason_converted!H37," 'lat': '",""),LEN(SUBSTITUTE(jason_converted!H37," 'lat': '",""))-1),"")</f>
        <v>48.391874299999998</v>
      </c>
      <c r="I37" t="str">
        <f>IFERROR(LEFT(SUBSTITUTE(jason_converted!I37," 'lng': '",""),LEN(SUBSTITUTE(jason_converted!I37," 'lng': '",""))-1),"")</f>
        <v>-4.511631079671718</v>
      </c>
      <c r="J37" t="str">
        <f>IFERROR(LEFT(SUBSTITUTE(jason_converted!J37," 'nomClub': '",""),LEN(SUBSTITUTE(jason_converted!J37," 'nomClub': '",""))-1),"")</f>
        <v>BREST HALTEROPHILIE 29</v>
      </c>
      <c r="K37" t="str">
        <f>IFERROR(LEFT(SUBSTITUTE(jason_converted!K37," 'nomCourtClub': '",""),LEN(SUBSTITUTE(jason_converted!K37," 'nomCourtClub': '",""))-1),"")</f>
        <v>BREST HALTEROPHILIE 29</v>
      </c>
      <c r="L37" t="str">
        <f>IFERROR("https://ffhaltero.fr/" &amp; LEFT(SUBSTITUTE(jason_converted!L37," 'url': '",""),LEN(SUBSTITUTE(jason_converted!L37," 'url': '",""))-1),"")</f>
        <v>https://ffhaltero.fr//pratiquer/ou-pratiquer/ou-pratiquer-fiche-club/03290003-brest-halterophilie-29'</v>
      </c>
    </row>
    <row r="38" spans="1:12" x14ac:dyDescent="0.25">
      <c r="A38" t="str">
        <f>IFERROR(SUBSTITUTE(jason_converted!A38,"{'id': ",""),"")</f>
        <v>50</v>
      </c>
      <c r="B38" t="str">
        <f>IFERROR(LEFT(SUBSTITUTE(jason_converted!B38," 'nom': '",""),LEN(SUBSTITUTE(jason_converted!B38," 'nom': '",""))-1),"")</f>
        <v>Rebirth Barbell Club - CrossFit Rebirth</v>
      </c>
      <c r="C38" t="str">
        <f>IFERROR(LEFT(SUBSTITUTE(jason_converted!C38," 'adresse1': '",""),LEN(SUBSTITUTE(jason_converted!C38," 'adresse1': '",""))-1),"")</f>
        <v xml:space="preserve"> 87 BOULEVARD VINCENT AURIOL</v>
      </c>
      <c r="D38" t="str">
        <f>IFERROR(LEFT(SUBSTITUTE(jason_converted!D38," 'adresse2': '",""),LEN(SUBSTITUTE(jason_converted!D38," 'adresse2': '",""))-1),"")</f>
        <v/>
      </c>
      <c r="E38" t="str">
        <f>IFERROR(LEFT(SUBSTITUTE(jason_converted!E38," 'codepostal': '",""),LEN(SUBSTITUTE(jason_converted!E38," 'codepostal': '",""))-1),"")</f>
        <v>75013</v>
      </c>
      <c r="F38" t="str">
        <f>IFERROR(LEFT(SUBSTITUTE(jason_converted!F38," 'ville': '",""),LEN(SUBSTITUTE(jason_converted!F38," 'ville': '",""))-1),"")</f>
        <v>PARIS</v>
      </c>
      <c r="G38" t="str">
        <f>IFERROR(LEFT(SUBSTITUTE(jason_converted!G38," 'tel': ",""),LEN(SUBSTITUTE(jason_converted!G38," 'tel': ",""))),"")</f>
        <v>None</v>
      </c>
      <c r="H38" t="str">
        <f>IFERROR(LEFT(SUBSTITUTE(jason_converted!H38," 'lat': '",""),LEN(SUBSTITUTE(jason_converted!H38," 'lat': '",""))-1),"")</f>
        <v>48.834204999999997</v>
      </c>
      <c r="I38" t="str">
        <f>IFERROR(LEFT(SUBSTITUTE(jason_converted!I38," 'lng': '",""),LEN(SUBSTITUTE(jason_converted!I38," 'lng': '",""))-1),"")</f>
        <v>2.366979000000000</v>
      </c>
      <c r="J38" t="str">
        <f>IFERROR(LEFT(SUBSTITUTE(jason_converted!J38," 'nomClub': '",""),LEN(SUBSTITUTE(jason_converted!J38," 'nomClub': '",""))-1),"")</f>
        <v>REBIRTH BARBELL CLUB</v>
      </c>
      <c r="K38" t="str">
        <f>IFERROR(LEFT(SUBSTITUTE(jason_converted!K38," 'nomCourtClub': '",""),LEN(SUBSTITUTE(jason_converted!K38," 'nomCourtClub': '",""))-1),"")</f>
        <v>REBIRTH BARBELL CLUB</v>
      </c>
      <c r="L38" t="str">
        <f>IFERROR("https://ffhaltero.fr/" &amp; LEFT(SUBSTITUTE(jason_converted!L38," 'url': '",""),LEN(SUBSTITUTE(jason_converted!L38," 'url': '",""))-1),"")</f>
        <v>https://ffhaltero.fr//pratiquer/ou-pratiquer/ou-pratiquer-fiche-club/09750002-rebirth-barbell-club'</v>
      </c>
    </row>
    <row r="39" spans="1:12" x14ac:dyDescent="0.25">
      <c r="A39" t="str">
        <f>IFERROR(SUBSTITUTE(jason_converted!A39,"{'id': ",""),"")</f>
        <v>51</v>
      </c>
      <c r="B39" t="str">
        <f>IFERROR(LEFT(SUBSTITUTE(jason_converted!B39," 'nom': '",""),LEN(SUBSTITUTE(jason_converted!B39," 'nom': '",""))-1),"")</f>
        <v>CHSM Saint Denis</v>
      </c>
      <c r="C39" t="str">
        <f>IFERROR(LEFT(SUBSTITUTE(jason_converted!C39," 'adresse1': '",""),LEN(SUBSTITUTE(jason_converted!C39," 'adresse1': '",""))-1),"")</f>
        <v>3 RUE JEAN-BAPTISTE PONAMA</v>
      </c>
      <c r="D39" t="str">
        <f>IFERROR(LEFT(SUBSTITUTE(jason_converted!D39," 'adresse2': '",""),LEN(SUBSTITUTE(jason_converted!D39," 'adresse2': '",""))-1),"")</f>
        <v>SAINTE CLOTILDE</v>
      </c>
      <c r="E39" t="str">
        <f>IFERROR(LEFT(SUBSTITUTE(jason_converted!E39," 'codepostal': '",""),LEN(SUBSTITUTE(jason_converted!E39," 'codepostal': '",""))-1),"")</f>
        <v>97400</v>
      </c>
      <c r="F39" t="str">
        <f>IFERROR(LEFT(SUBSTITUTE(jason_converted!F39," 'ville': '",""),LEN(SUBSTITUTE(jason_converted!F39," 'ville': '",""))-1),"")</f>
        <v xml:space="preserve"> 'ville': Non</v>
      </c>
      <c r="G39" t="str">
        <f>IFERROR(LEFT(SUBSTITUTE(jason_converted!G39," 'tel': ",""),LEN(SUBSTITUTE(jason_converted!G39," 'tel': ",""))),"")</f>
        <v>'0693649799'</v>
      </c>
      <c r="H39" t="str">
        <f>IFERROR(LEFT(SUBSTITUTE(jason_converted!H39," 'lat': '",""),LEN(SUBSTITUTE(jason_converted!H39," 'lat': '",""))-1),"")</f>
        <v>-20.886928785607473</v>
      </c>
      <c r="I39" t="str">
        <f>IFERROR(LEFT(SUBSTITUTE(jason_converted!I39," 'lng': '",""),LEN(SUBSTITUTE(jason_converted!I39," 'lng': '",""))-1),"")</f>
        <v>55.477188438658558</v>
      </c>
      <c r="J39" t="str">
        <f>IFERROR(LEFT(SUBSTITUTE(jason_converted!J39," 'nomClub': '",""),LEN(SUBSTITUTE(jason_converted!J39," 'nomClub': '",""))-1),"")</f>
        <v>CHSM SAINT DENIS</v>
      </c>
      <c r="K39" t="str">
        <f>IFERROR(LEFT(SUBSTITUTE(jason_converted!K39," 'nomCourtClub': '",""),LEN(SUBSTITUTE(jason_converted!K39," 'nomCourtClub': '",""))-1),"")</f>
        <v>CHSM SAINT DENIS</v>
      </c>
      <c r="L39" t="str">
        <f>IFERROR("https://ffhaltero.fr/" &amp; LEFT(SUBSTITUTE(jason_converted!L39," 'url': '",""),LEN(SUBSTITUTE(jason_converted!L39," 'url': '",""))-1),"")</f>
        <v>https://ffhaltero.fr//pratiquer/ou-pratiquer/ou-pratiquer-fiche-club/339860013-chsm-saint-denis'</v>
      </c>
    </row>
    <row r="40" spans="1:12" x14ac:dyDescent="0.25">
      <c r="A40" t="str">
        <f>IFERROR(SUBSTITUTE(jason_converted!A40,"{'id': ",""),"")</f>
        <v>52</v>
      </c>
      <c r="B40" t="str">
        <f>IFERROR(LEFT(SUBSTITUTE(jason_converted!B40," 'nom': '",""),LEN(SUBSTITUTE(jason_converted!B40," 'nom': '",""))-1),"")</f>
        <v>test exalto</v>
      </c>
      <c r="C40" t="str">
        <f>IFERROR(LEFT(SUBSTITUTE(jason_converted!C40," 'adresse1': '",""),LEN(SUBSTITUTE(jason_converted!C40," 'adresse1': '",""))-1),"")</f>
        <v>PARC DES SPORTS 19 RUE DU MOULIN NEUF</v>
      </c>
      <c r="D40" t="str">
        <f>IFERROR(LEFT(SUBSTITUTE(jason_converted!D40," 'adresse2': '",""),LEN(SUBSTITUTE(jason_converted!D40," 'adresse2': '",""))-1),"")</f>
        <v/>
      </c>
      <c r="E40" t="str">
        <f>IFERROR(LEFT(SUBSTITUTE(jason_converted!E40," 'codepostal': '",""),LEN(SUBSTITUTE(jason_converted!E40," 'codepostal': '",""))-1),"")</f>
        <v>67500</v>
      </c>
      <c r="F40" t="str">
        <f>IFERROR(LEFT(SUBSTITUTE(jason_converted!F40," 'ville': '",""),LEN(SUBSTITUTE(jason_converted!F40," 'ville': '",""))-1),"")</f>
        <v>HAGUENAU</v>
      </c>
      <c r="G40" t="str">
        <f>IFERROR(LEFT(SUBSTITUTE(jason_converted!G40," 'tel': ",""),LEN(SUBSTITUTE(jason_converted!G40," 'tel': ",""))),"")</f>
        <v>'0661864386'</v>
      </c>
      <c r="H40" t="str">
        <f>IFERROR(LEFT(SUBSTITUTE(jason_converted!H40," 'lat': '",""),LEN(SUBSTITUTE(jason_converted!H40," 'lat': '",""))-1),"")</f>
        <v>48.816260000000000</v>
      </c>
      <c r="I40" t="str">
        <f>IFERROR(LEFT(SUBSTITUTE(jason_converted!I40," 'lng': '",""),LEN(SUBSTITUTE(jason_converted!I40," 'lng': '",""))-1),"")</f>
        <v>7.776677000000000</v>
      </c>
      <c r="J40" t="str">
        <f>IFERROR(LEFT(SUBSTITUTE(jason_converted!J40," 'nomClub': '",""),LEN(SUBSTITUTE(jason_converted!J40," 'nomClub': '",""))-1),"")</f>
        <v>SHC HAGUENAU</v>
      </c>
      <c r="K40" t="str">
        <f>IFERROR(LEFT(SUBSTITUTE(jason_converted!K40," 'nomCourtClub': '",""),LEN(SUBSTITUTE(jason_converted!K40," 'nomCourtClub': '",""))-1),"")</f>
        <v>SHC HAGUENAU</v>
      </c>
      <c r="L40" t="str">
        <f>IFERROR("https://ffhaltero.fr/" &amp; LEFT(SUBSTITUTE(jason_converted!L40," 'url': '",""),LEN(SUBSTITUTE(jason_converted!L40," 'url': '",""))-1),"")</f>
        <v>https://ffhaltero.fr//pratiquer/ou-pratiquer/ou-pratiquer-fiche-club/01670005-shc-haguenau'</v>
      </c>
    </row>
    <row r="41" spans="1:12" x14ac:dyDescent="0.25">
      <c r="A41" t="str">
        <f>IFERROR(SUBSTITUTE(jason_converted!A41,"{'id': ",""),"")</f>
        <v>53</v>
      </c>
      <c r="B41" t="str">
        <f>IFERROR(LEFT(SUBSTITUTE(jason_converted!B41," 'nom': '",""),LEN(SUBSTITUTE(jason_converted!B41," 'nom': '",""))-1),"")</f>
        <v>Haltérophilie Pontissalienne</v>
      </c>
      <c r="C41" t="str">
        <f>IFERROR(LEFT(SUBSTITUTE(jason_converted!C41," 'adresse1': '",""),LEN(SUBSTITUTE(jason_converted!C41," 'adresse1': '",""))-1),"")</f>
        <v xml:space="preserve">4 GRANDE RUE </v>
      </c>
      <c r="D41" t="str">
        <f>IFERROR(LEFT(SUBSTITUTE(jason_converted!D41," 'adresse2': '",""),LEN(SUBSTITUTE(jason_converted!D41," 'adresse2': '",""))-1),"")</f>
        <v/>
      </c>
      <c r="E41" t="str">
        <f>IFERROR(LEFT(SUBSTITUTE(jason_converted!E41," 'codepostal': '",""),LEN(SUBSTITUTE(jason_converted!E41," 'codepostal': '",""))-1),"")</f>
        <v>25300</v>
      </c>
      <c r="F41" t="str">
        <f>IFERROR(LEFT(SUBSTITUTE(jason_converted!F41," 'ville': '",""),LEN(SUBSTITUTE(jason_converted!F41," 'ville': '",""))-1),"")</f>
        <v>GRANGES-NARBOZ</v>
      </c>
      <c r="G41" t="str">
        <f>IFERROR(LEFT(SUBSTITUTE(jason_converted!G41," 'tel': ",""),LEN(SUBSTITUTE(jason_converted!G41," 'tel': ",""))),"")</f>
        <v>'0676972139'</v>
      </c>
      <c r="H41" t="str">
        <f>IFERROR(LEFT(SUBSTITUTE(jason_converted!H41," 'lat': '",""),LEN(SUBSTITUTE(jason_converted!H41," 'lat': '",""))-1),"")</f>
        <v>46.886836000000002</v>
      </c>
      <c r="I41" t="str">
        <f>IFERROR(LEFT(SUBSTITUTE(jason_converted!I41," 'lng': '",""),LEN(SUBSTITUTE(jason_converted!I41," 'lng': '",""))-1),"")</f>
        <v>6.330854000000000</v>
      </c>
      <c r="J41" t="str">
        <f>IFERROR(LEFT(SUBSTITUTE(jason_converted!J41," 'nomClub': '",""),LEN(SUBSTITUTE(jason_converted!J41," 'nomClub': '",""))-1),"")</f>
        <v>HALTEROPHILIE PONTISSALIENNE</v>
      </c>
      <c r="K41" t="str">
        <f>IFERROR(LEFT(SUBSTITUTE(jason_converted!K41," 'nomCourtClub': '",""),LEN(SUBSTITUTE(jason_converted!K41," 'nomCourtClub': '",""))-1),"")</f>
        <v>HALTEROPHILIE PONTISSALIENNE</v>
      </c>
      <c r="L41" t="str">
        <f>IFERROR("https://ffhaltero.fr/" &amp; LEFT(SUBSTITUTE(jason_converted!L41," 'url': '",""),LEN(SUBSTITUTE(jason_converted!L41," 'url': '",""))-1),"")</f>
        <v>https://ffhaltero.fr//pratiquer/ou-pratiquer/ou-pratiquer-fiche-club/02250002-halterophilie-pontissalienne'</v>
      </c>
    </row>
    <row r="42" spans="1:12" x14ac:dyDescent="0.25">
      <c r="A42" t="str">
        <f>IFERROR(SUBSTITUTE(jason_converted!A42,"{'id': ",""),"")</f>
        <v>56</v>
      </c>
      <c r="B42" t="str">
        <f>IFERROR(LEFT(SUBSTITUTE(jason_converted!B42," 'nom': '",""),LEN(SUBSTITUTE(jason_converted!B42," 'nom': '",""))-1),"")</f>
        <v>GHM</v>
      </c>
      <c r="C42" t="str">
        <f>IFERROR(LEFT(SUBSTITUTE(jason_converted!C42," 'adresse1': '",""),LEN(SUBSTITUTE(jason_converted!C42," 'adresse1': '",""))-1),"")</f>
        <v>RUE DU COLONEL DU GARREAU DE LA MECHENIE</v>
      </c>
      <c r="D42" t="str">
        <f>IFERROR(LEFT(SUBSTITUTE(jason_converted!D42," 'adresse2': '",""),LEN(SUBSTITUTE(jason_converted!D42," 'adresse2': '",""))-1),"")</f>
        <v>CENTRE AQUARECREATIF VILLA SPORT SOUS SOL</v>
      </c>
      <c r="E42" t="str">
        <f>IFERROR(LEFT(SUBSTITUTE(jason_converted!E42," 'codepostal': '",""),LEN(SUBSTITUTE(jason_converted!E42," 'codepostal': '",""))-1),"")</f>
        <v>87500</v>
      </c>
      <c r="F42" t="str">
        <f>IFERROR(LEFT(SUBSTITUTE(jason_converted!F42," 'ville': '",""),LEN(SUBSTITUTE(jason_converted!F42," 'ville': '",""))-1),"")</f>
        <v>SAINT-YRIEIX-LA-PERCHE</v>
      </c>
      <c r="G42" t="str">
        <f>IFERROR(LEFT(SUBSTITUTE(jason_converted!G42," 'tel': ",""),LEN(SUBSTITUTE(jason_converted!G42," 'tel': ",""))),"")</f>
        <v>None</v>
      </c>
      <c r="H42" t="str">
        <f>IFERROR(LEFT(SUBSTITUTE(jason_converted!H42," 'lat': '",""),LEN(SUBSTITUTE(jason_converted!H42," 'lat': '",""))-1),"")</f>
        <v>54.365356623966598</v>
      </c>
      <c r="I42" t="str">
        <f>IFERROR(LEFT(SUBSTITUTE(jason_converted!I42," 'lng': '",""),LEN(SUBSTITUTE(jason_converted!I42," 'lng': '",""))-1),"")</f>
        <v>6.917610168457031</v>
      </c>
      <c r="J42" t="str">
        <f>IFERROR(LEFT(SUBSTITUTE(jason_converted!J42," 'nomClub': '",""),LEN(SUBSTITUTE(jason_converted!J42," 'nomClub': '",""))-1),"")</f>
        <v>GHM ST YRIEIX</v>
      </c>
      <c r="K42" t="str">
        <f>IFERROR(LEFT(SUBSTITUTE(jason_converted!K42," 'nomCourtClub': '",""),LEN(SUBSTITUTE(jason_converted!K42," 'nomCourtClub': '",""))-1),"")</f>
        <v>GHM ST YRIEIX</v>
      </c>
      <c r="L42" t="str">
        <f>IFERROR("https://ffhaltero.fr/" &amp; LEFT(SUBSTITUTE(jason_converted!L42," 'url': '",""),LEN(SUBSTITUTE(jason_converted!L42," 'url': '",""))-1),"")</f>
        <v>https://ffhaltero.fr//pratiquer/ou-pratiquer/ou-pratiquer-fiche-club/13870260-ghm-st-yrieix'</v>
      </c>
    </row>
    <row r="43" spans="1:12" x14ac:dyDescent="0.25">
      <c r="A43" t="str">
        <f>IFERROR(SUBSTITUTE(jason_converted!A43,"{'id': ",""),"")</f>
        <v>57</v>
      </c>
      <c r="B43" t="str">
        <f>IFERROR(LEFT(SUBSTITUTE(jason_converted!B43," 'nom': '",""),LEN(SUBSTITUTE(jason_converted!B43," 'nom': '",""))-1),"")</f>
        <v>CSL DE FRANCONVILLE</v>
      </c>
      <c r="C43" t="str">
        <f>IFERROR(LEFT(SUBSTITUTE(jason_converted!C43," 'adresse1': '",""),LEN(SUBSTITUTE(jason_converted!C43," 'adresse1': '",""))-1),"")</f>
        <v>AVENUE DES MARAIS</v>
      </c>
      <c r="D43" t="str">
        <f>IFERROR(LEFT(SUBSTITUTE(jason_converted!D43," 'adresse2': '",""),LEN(SUBSTITUTE(jason_converted!D43," 'adresse2': '",""))-1),"")</f>
        <v>1ER ÉTAGE</v>
      </c>
      <c r="E43" t="str">
        <f>IFERROR(LEFT(SUBSTITUTE(jason_converted!E43," 'codepostal': '",""),LEN(SUBSTITUTE(jason_converted!E43," 'codepostal': '",""))-1),"")</f>
        <v>95130</v>
      </c>
      <c r="F43" t="str">
        <f>IFERROR(LEFT(SUBSTITUTE(jason_converted!F43," 'ville': '",""),LEN(SUBSTITUTE(jason_converted!F43," 'ville': '",""))-1),"")</f>
        <v>FRANCONVILLE</v>
      </c>
      <c r="G43" t="str">
        <f>IFERROR(LEFT(SUBSTITUTE(jason_converted!G43," 'tel': ",""),LEN(SUBSTITUTE(jason_converted!G43," 'tel': ",""))),"")</f>
        <v>'01.34.37.36.90'</v>
      </c>
      <c r="H43" t="str">
        <f>IFERROR(LEFT(SUBSTITUTE(jason_converted!H43," 'lat': '",""),LEN(SUBSTITUTE(jason_converted!H43," 'lat': '",""))-1),"")</f>
        <v>48.991876300000001</v>
      </c>
      <c r="I43" t="str">
        <f>IFERROR(LEFT(SUBSTITUTE(jason_converted!I43," 'lng': '",""),LEN(SUBSTITUTE(jason_converted!I43," 'lng': '",""))-1),"")</f>
        <v>2.220521800000000</v>
      </c>
      <c r="J43" t="str">
        <f>IFERROR(LEFT(SUBSTITUTE(jason_converted!J43," 'nomClub': '",""),LEN(SUBSTITUTE(jason_converted!J43," 'nomClub': '",""))-1),"")</f>
        <v>AFHMA FRANCONVILLE</v>
      </c>
      <c r="K43" t="str">
        <f>IFERROR(LEFT(SUBSTITUTE(jason_converted!K43," 'nomCourtClub': '",""),LEN(SUBSTITUTE(jason_converted!K43," 'nomCourtClub': '",""))-1),"")</f>
        <v>AFHMA FRANCONVILLE</v>
      </c>
      <c r="L43" t="str">
        <f>IFERROR("https://ffhaltero.fr/" &amp; LEFT(SUBSTITUTE(jason_converted!L43," 'url': '",""),LEN(SUBSTITUTE(jason_converted!L43," 'url': '",""))-1),"")</f>
        <v>https://ffhaltero.fr//pratiquer/ou-pratiquer/ou-pratiquer-fiche-club/21950236-afhma-franconville'</v>
      </c>
    </row>
    <row r="44" spans="1:12" x14ac:dyDescent="0.25">
      <c r="A44" t="str">
        <f>IFERROR(SUBSTITUTE(jason_converted!A44,"{'id': ",""),"")</f>
        <v>59</v>
      </c>
      <c r="B44" t="str">
        <f>IFERROR(LEFT(SUBSTITUTE(jason_converted!B44," 'nom': '",""),LEN(SUBSTITUTE(jason_converted!B44," 'nom': '",""))-1),"")</f>
        <v>SNOS MUSCULATION</v>
      </c>
      <c r="C44" t="str">
        <f>IFERROR(LEFT(SUBSTITUTE(jason_converted!C44," 'adresse1': '",""),LEN(SUBSTITUTE(jason_converted!C44," 'adresse1': '",""))-1),"")</f>
        <v>7 AVENUE PIERRE DE COUBERTIN</v>
      </c>
      <c r="D44" t="str">
        <f>IFERROR(LEFT(SUBSTITUTE(jason_converted!D44," 'adresse2': '",""),LEN(SUBSTITUTE(jason_converted!D44," 'adresse2': '",""))-1),"")</f>
        <v/>
      </c>
      <c r="E44" t="str">
        <f>IFERROR(LEFT(SUBSTITUTE(jason_converted!E44," 'codepostal': '",""),LEN(SUBSTITUTE(jason_converted!E44," 'codepostal': '",""))-1),"")</f>
        <v>44600</v>
      </c>
      <c r="F44" t="str">
        <f>IFERROR(LEFT(SUBSTITUTE(jason_converted!F44," 'ville': '",""),LEN(SUBSTITUTE(jason_converted!F44," 'ville': '",""))-1),"")</f>
        <v>SAINT-NAZAIRE</v>
      </c>
      <c r="G44" t="str">
        <f>IFERROR(LEFT(SUBSTITUTE(jason_converted!G44," 'tel': ",""),LEN(SUBSTITUTE(jason_converted!G44," 'tel': ",""))),"")</f>
        <v>'07 49 02 43 89'</v>
      </c>
      <c r="H44" t="str">
        <f>IFERROR(LEFT(SUBSTITUTE(jason_converted!H44," 'lat': '",""),LEN(SUBSTITUTE(jason_converted!H44," 'lat': '",""))-1),"")</f>
        <v>47.273382999999995</v>
      </c>
      <c r="I44" t="str">
        <f>IFERROR(LEFT(SUBSTITUTE(jason_converted!I44," 'lng': '",""),LEN(SUBSTITUTE(jason_converted!I44," 'lng': '",""))-1),"")</f>
        <v>-2.231056537691720</v>
      </c>
      <c r="J44" t="str">
        <f>IFERROR(LEFT(SUBSTITUTE(jason_converted!J44," 'nomClub': '",""),LEN(SUBSTITUTE(jason_converted!J44," 'nomClub': '",""))-1),"")</f>
        <v>SNOS ST NAZAIRE MUSCULATION</v>
      </c>
      <c r="K44" t="str">
        <f>IFERROR(LEFT(SUBSTITUTE(jason_converted!K44," 'nomCourtClub': '",""),LEN(SUBSTITUTE(jason_converted!K44," 'nomCourtClub': '",""))-1),"")</f>
        <v>SNOS ST NAZAIRE MUSCULATION</v>
      </c>
      <c r="L44" t="str">
        <f>IFERROR("https://ffhaltero.fr/" &amp; LEFT(SUBSTITUTE(jason_converted!L44," 'url': '",""),LEN(SUBSTITUTE(jason_converted!L44," 'url': '",""))-1),"")</f>
        <v>https://ffhaltero.fr//pratiquer/ou-pratiquer/ou-pratiquer-fiche-club/17440678-snos-st-nazaire-musculation'</v>
      </c>
    </row>
    <row r="45" spans="1:12" x14ac:dyDescent="0.25">
      <c r="A45" t="str">
        <f>IFERROR(SUBSTITUTE(jason_converted!A45,"{'id': ",""),"")</f>
        <v>63</v>
      </c>
      <c r="B45" t="str">
        <f>IFERROR(LEFT(SUBSTITUTE(jason_converted!B45," 'nom': '",""),LEN(SUBSTITUTE(jason_converted!B45," 'nom': '",""))-1),"")</f>
        <v>SNAGA HM</v>
      </c>
      <c r="C45" t="str">
        <f>IFERROR(LEFT(SUBSTITUTE(jason_converted!C45," 'adresse1': '",""),LEN(SUBSTITUTE(jason_converted!C45," 'adresse1': '",""))-1),"")</f>
        <v xml:space="preserve"> 2 RUE DU SAINTOIS</v>
      </c>
      <c r="D45" t="str">
        <f>IFERROR(LEFT(SUBSTITUTE(jason_converted!D45," 'adresse2': '",""),LEN(SUBSTITUTE(jason_converted!D45," 'adresse2': '",""))-1),"")</f>
        <v/>
      </c>
      <c r="E45" t="str">
        <f>IFERROR(LEFT(SUBSTITUTE(jason_converted!E45," 'codepostal': '",""),LEN(SUBSTITUTE(jason_converted!E45," 'codepostal': '",""))-1),"")</f>
        <v>88170</v>
      </c>
      <c r="F45" t="str">
        <f>IFERROR(LEFT(SUBSTITUTE(jason_converted!F45," 'ville': '",""),LEN(SUBSTITUTE(jason_converted!F45," 'ville': '",""))-1),"")</f>
        <v>CHÂTENOIS</v>
      </c>
      <c r="G45" t="str">
        <f>IFERROR(LEFT(SUBSTITUTE(jason_converted!G45," 'tel': ",""),LEN(SUBSTITUTE(jason_converted!G45," 'tel': ",""))),"")</f>
        <v>'0674886221'</v>
      </c>
      <c r="H45" t="str">
        <f>IFERROR(LEFT(SUBSTITUTE(jason_converted!H45," 'lat': '",""),LEN(SUBSTITUTE(jason_converted!H45," 'lat': '",""))-1),"")</f>
        <v>48.310334000000019</v>
      </c>
      <c r="I45" t="str">
        <f>IFERROR(LEFT(SUBSTITUTE(jason_converted!I45," 'lng': '",""),LEN(SUBSTITUTE(jason_converted!I45," 'lng': '",""))-1),"")</f>
        <v>5.836658999999993</v>
      </c>
      <c r="J45" t="str">
        <f>IFERROR(LEFT(SUBSTITUTE(jason_converted!J45," 'nomClub': '",""),LEN(SUBSTITUTE(jason_converted!J45," 'nomClub': '",""))-1),"")</f>
        <v>SNAGA HM</v>
      </c>
      <c r="K45" t="str">
        <f>IFERROR(LEFT(SUBSTITUTE(jason_converted!K45," 'nomCourtClub': '",""),LEN(SUBSTITUTE(jason_converted!K45," 'nomCourtClub': '",""))-1),"")</f>
        <v>SNAGA HM</v>
      </c>
      <c r="L45" t="str">
        <f>IFERROR("https://ffhaltero.fr/" &amp; LEFT(SUBSTITUTE(jason_converted!L45," 'url': '",""),LEN(SUBSTITUTE(jason_converted!L45," 'url': '",""))-1),"")</f>
        <v>https://ffhaltero.fr//pratiquer/ou-pratiquer/ou-pratiquer-fiche-club/339860041-snaga-hm'</v>
      </c>
    </row>
    <row r="46" spans="1:12" x14ac:dyDescent="0.25">
      <c r="A46" t="str">
        <f>IFERROR(SUBSTITUTE(jason_converted!A46,"{'id': ",""),"")</f>
        <v>64</v>
      </c>
      <c r="B46" t="str">
        <f>IFERROR(LEFT(SUBSTITUTE(jason_converted!B46," 'nom': '",""),LEN(SUBSTITUTE(jason_converted!B46," 'nom': '",""))-1),"")</f>
        <v>Gymnase Albert Schierano</v>
      </c>
      <c r="C46" t="str">
        <f>IFERROR(LEFT(SUBSTITUTE(jason_converted!C46," 'adresse1': '",""),LEN(SUBSTITUTE(jason_converted!C46," 'adresse1': '",""))-1),"")</f>
        <v>RUE DE LA LEVÉE</v>
      </c>
      <c r="D46" t="str">
        <f>IFERROR(LEFT(SUBSTITUTE(jason_converted!D46," 'adresse2': '",""),LEN(SUBSTITUTE(jason_converted!D46," 'adresse2': '",""))-1),"")</f>
        <v/>
      </c>
      <c r="E46" t="str">
        <f>IFERROR(LEFT(SUBSTITUTE(jason_converted!E46," 'codepostal': '",""),LEN(SUBSTITUTE(jason_converted!E46," 'codepostal': '",""))-1),"")</f>
        <v>84700</v>
      </c>
      <c r="F46" t="str">
        <f>IFERROR(LEFT(SUBSTITUTE(jason_converted!F46," 'ville': '",""),LEN(SUBSTITUTE(jason_converted!F46," 'ville': '",""))-1),"")</f>
        <v>SORGUES</v>
      </c>
      <c r="G46" t="str">
        <f>IFERROR(LEFT(SUBSTITUTE(jason_converted!G46," 'tel': ",""),LEN(SUBSTITUTE(jason_converted!G46," 'tel': ",""))),"")</f>
        <v>'06.83.99.42.66'</v>
      </c>
      <c r="H46" t="str">
        <f>IFERROR(LEFT(SUBSTITUTE(jason_converted!H46," 'lat': '",""),LEN(SUBSTITUTE(jason_converted!H46," 'lat': '",""))-1),"")</f>
        <v>44.012292450000004</v>
      </c>
      <c r="I46" t="str">
        <f>IFERROR(LEFT(SUBSTITUTE(jason_converted!I46," 'lng': '",""),LEN(SUBSTITUTE(jason_converted!I46," 'lng': '",""))-1),"")</f>
        <v>4.871160394823956</v>
      </c>
      <c r="J46" t="str">
        <f>IFERROR(LEFT(SUBSTITUTE(jason_converted!J46," 'nomClub': '",""),LEN(SUBSTITUTE(jason_converted!J46," 'nomClub': '",""))-1),"")</f>
        <v>AVIGNON SORGUES HALTEROPHILIE</v>
      </c>
      <c r="K46" t="str">
        <f>IFERROR(LEFT(SUBSTITUTE(jason_converted!K46," 'nomCourtClub': '",""),LEN(SUBSTITUTE(jason_converted!K46," 'nomCourtClub': '",""))-1),"")</f>
        <v>AVIGNON SORGUES HALTEROPHILIE</v>
      </c>
      <c r="L46" t="str">
        <f>IFERROR("https://ffhaltero.fr/" &amp; LEFT(SUBSTITUTE(jason_converted!L46," 'url': '",""),LEN(SUBSTITUTE(jason_converted!L46," 'url': '",""))-1),"")</f>
        <v>https://ffhaltero.fr//pratiquer/ou-pratiquer/ou-pratiquer-fiche-club/20840814-avignon-sorgues-halterophilie'</v>
      </c>
    </row>
    <row r="47" spans="1:12" x14ac:dyDescent="0.25">
      <c r="A47" t="str">
        <f>IFERROR(SUBSTITUTE(jason_converted!A47,"{'id': ",""),"")</f>
        <v>66</v>
      </c>
      <c r="B47" t="str">
        <f>IFERROR(LEFT(SUBSTITUTE(jason_converted!B47," 'nom': '",""),LEN(SUBSTITUTE(jason_converted!B47," 'nom': '",""))-1),"")</f>
        <v>CERCLE MICHELET ORLEANS HALTEROPHILIE</v>
      </c>
      <c r="C47" t="str">
        <f>IFERROR(LEFT(SUBSTITUTE(jason_converted!C47," 'adresse1': '",""),LEN(SUBSTITUTE(jason_converted!C47," 'adresse1': '",""))-1),"")</f>
        <v>73 BD MARIE STUART ARGONAUTE</v>
      </c>
      <c r="D47" t="str">
        <f>IFERROR(LEFT(SUBSTITUTE(jason_converted!D47," 'adresse2': '",""),LEN(SUBSTITUTE(jason_converted!D47," 'adresse2': '",""))-1),"")</f>
        <v/>
      </c>
      <c r="E47" t="str">
        <f>IFERROR(LEFT(SUBSTITUTE(jason_converted!E47," 'codepostal': '",""),LEN(SUBSTITUTE(jason_converted!E47," 'codepostal': '",""))-1),"")</f>
        <v>45000</v>
      </c>
      <c r="F47" t="str">
        <f>IFERROR(LEFT(SUBSTITUTE(jason_converted!F47," 'ville': '",""),LEN(SUBSTITUTE(jason_converted!F47," 'ville': '",""))-1),"")</f>
        <v>ORLÉANS</v>
      </c>
      <c r="G47" t="str">
        <f>IFERROR(LEFT(SUBSTITUTE(jason_converted!G47," 'tel': ",""),LEN(SUBSTITUTE(jason_converted!G47," 'tel': ",""))),"")</f>
        <v>'09.54.69.51.20'</v>
      </c>
      <c r="H47" t="str">
        <f>IFERROR(LEFT(SUBSTITUTE(jason_converted!H47," 'lat': '",""),LEN(SUBSTITUTE(jason_converted!H47," 'lat': '",""))-1),"")</f>
        <v>47.911524999999997</v>
      </c>
      <c r="I47" t="str">
        <f>IFERROR(LEFT(SUBSTITUTE(jason_converted!I47," 'lng': '",""),LEN(SUBSTITUTE(jason_converted!I47," 'lng': '",""))-1),"")</f>
        <v>1.931587000000000</v>
      </c>
      <c r="J47" t="str">
        <f>IFERROR(LEFT(SUBSTITUTE(jason_converted!J47," 'nomClub': '",""),LEN(SUBSTITUTE(jason_converted!J47," 'nomClub': '",""))-1),"")</f>
        <v>CERCLE MICHELET ORLEANS HMS</v>
      </c>
      <c r="K47" t="str">
        <f>IFERROR(LEFT(SUBSTITUTE(jason_converted!K47," 'nomCourtClub': '",""),LEN(SUBSTITUTE(jason_converted!K47," 'nomCourtClub': '",""))-1),"")</f>
        <v>CERCLE MICHELET ORLEANS HMS</v>
      </c>
      <c r="L47" t="str">
        <f>IFERROR("https://ffhaltero.fr/" &amp; LEFT(SUBSTITUTE(jason_converted!L47," 'url': '",""),LEN(SUBSTITUTE(jason_converted!L47," 'url': '",""))-1),"")</f>
        <v>https://ffhaltero.fr//pratiquer/ou-pratiquer/ou-pratiquer-fiche-club/07450371-cercle-michelet-orleans-hms'</v>
      </c>
    </row>
    <row r="48" spans="1:12" x14ac:dyDescent="0.25">
      <c r="A48" t="str">
        <f>IFERROR(SUBSTITUTE(jason_converted!A48,"{'id': ",""),"")</f>
        <v>67</v>
      </c>
      <c r="B48" t="str">
        <f>IFERROR(LEFT(SUBSTITUTE(jason_converted!B48," 'nom': '",""),LEN(SUBSTITUTE(jason_converted!B48," 'nom': '",""))-1),"")</f>
        <v xml:space="preserve"> 'nom': "Club Haltérophile de l'Arbresle</v>
      </c>
      <c r="C48" t="str">
        <f>IFERROR(LEFT(SUBSTITUTE(jason_converted!C48," 'adresse1': '",""),LEN(SUBSTITUTE(jason_converted!C48," 'adresse1': '",""))-1),"")</f>
        <v>ROUTE SALLE L.GONCALVES - STADE MUNICIPAL ROUTE DE PARIS</v>
      </c>
      <c r="D48" t="str">
        <f>IFERROR(LEFT(SUBSTITUTE(jason_converted!D48," 'adresse2': '",""),LEN(SUBSTITUTE(jason_converted!D48," 'adresse2': '",""))-1),"")</f>
        <v xml:space="preserve">SALLE LOUIS GONCALVES </v>
      </c>
      <c r="E48" t="str">
        <f>IFERROR(LEFT(SUBSTITUTE(jason_converted!E48," 'codepostal': '",""),LEN(SUBSTITUTE(jason_converted!E48," 'codepostal': '",""))-1),"")</f>
        <v>69210</v>
      </c>
      <c r="F48" t="str">
        <f>IFERROR(LEFT(SUBSTITUTE(jason_converted!F48," 'ville': '",""),LEN(SUBSTITUTE(jason_converted!F48," 'ville': '",""))-1),"")</f>
        <v xml:space="preserve"> 'ville': "L'ARBRESLE</v>
      </c>
      <c r="G48" t="str">
        <f>IFERROR(LEFT(SUBSTITUTE(jason_converted!G48," 'tel': ",""),LEN(SUBSTITUTE(jason_converted!G48," 'tel': ",""))),"")</f>
        <v>'06.79.35.10.39'</v>
      </c>
      <c r="H48" t="str">
        <f>IFERROR(LEFT(SUBSTITUTE(jason_converted!H48," 'lat': '",""),LEN(SUBSTITUTE(jason_converted!H48," 'lat': '",""))-1),"")</f>
        <v>45.838132134287058</v>
      </c>
      <c r="I48" t="str">
        <f>IFERROR(LEFT(SUBSTITUTE(jason_converted!I48," 'lng': '",""),LEN(SUBSTITUTE(jason_converted!I48," 'lng': '",""))-1),"")</f>
        <v>4.605937600135804</v>
      </c>
      <c r="J48" t="str">
        <f>IFERROR(LEFT(SUBSTITUTE(jason_converted!J48," 'nomClub': '",""),LEN(SUBSTITUTE(jason_converted!J48," 'nomClub': '",""))-1),"")</f>
        <v>CH ARBRESLE</v>
      </c>
      <c r="K48" t="str">
        <f>IFERROR(LEFT(SUBSTITUTE(jason_converted!K48," 'nomCourtClub': '",""),LEN(SUBSTITUTE(jason_converted!K48," 'nomCourtClub': '",""))-1),"")</f>
        <v>CH ARBRESLE</v>
      </c>
      <c r="L48" t="str">
        <f>IFERROR("https://ffhaltero.fr/" &amp; LEFT(SUBSTITUTE(jason_converted!L48," 'url': '",""),LEN(SUBSTITUTE(jason_converted!L48," 'url': '",""))-1),"")</f>
        <v>https://ffhaltero.fr//pratiquer/ou-pratiquer/ou-pratiquer-fiche-club/22690675-ch-arbresle'</v>
      </c>
    </row>
    <row r="49" spans="1:12" x14ac:dyDescent="0.25">
      <c r="A49" t="str">
        <f>IFERROR(SUBSTITUTE(jason_converted!A49,"{'id': ",""),"")</f>
        <v>69</v>
      </c>
      <c r="B49" t="str">
        <f>IFERROR(LEFT(SUBSTITUTE(jason_converted!B49," 'nom': '",""),LEN(SUBSTITUTE(jason_converted!B49," 'nom': '",""))-1),"")</f>
        <v>1789 Crossfit</v>
      </c>
      <c r="C49" t="str">
        <f>IFERROR(LEFT(SUBSTITUTE(jason_converted!C49," 'adresse1': '",""),LEN(SUBSTITUTE(jason_converted!C49," 'adresse1': '",""))-1),"")</f>
        <v>29 RUE CLAUDE-NICOLAS LEDOUX</v>
      </c>
      <c r="D49" t="str">
        <f>IFERROR(LEFT(SUBSTITUTE(jason_converted!D49," 'adresse2': '",""),LEN(SUBSTITUTE(jason_converted!D49," 'adresse2': '",""))-1),"")</f>
        <v/>
      </c>
      <c r="E49" t="str">
        <f>IFERROR(LEFT(SUBSTITUTE(jason_converted!E49," 'codepostal': '",""),LEN(SUBSTITUTE(jason_converted!E49," 'codepostal': '",""))-1),"")</f>
        <v>13290</v>
      </c>
      <c r="F49" t="str">
        <f>IFERROR(LEFT(SUBSTITUTE(jason_converted!F49," 'ville': '",""),LEN(SUBSTITUTE(jason_converted!F49," 'ville': '",""))-1),"")</f>
        <v>AIX-EN-PROVENCE</v>
      </c>
      <c r="G49" t="str">
        <f>IFERROR(LEFT(SUBSTITUTE(jason_converted!G49," 'tel': ",""),LEN(SUBSTITUTE(jason_converted!G49," 'tel': ",""))),"")</f>
        <v>None</v>
      </c>
      <c r="H49" t="str">
        <f>IFERROR(LEFT(SUBSTITUTE(jason_converted!H49," 'lat': '",""),LEN(SUBSTITUTE(jason_converted!H49," 'lat': '",""))-1),"")</f>
        <v>43.481330100000001</v>
      </c>
      <c r="I49" t="str">
        <f>IFERROR(LEFT(SUBSTITUTE(jason_converted!I49," 'lng': '",""),LEN(SUBSTITUTE(jason_converted!I49," 'lng': '",""))-1),"")</f>
        <v>5.386270711530452</v>
      </c>
      <c r="J49" t="str">
        <f>IFERROR(LEFT(SUBSTITUTE(jason_converted!J49," 'nomClub': '",""),LEN(SUBSTITUTE(jason_converted!J49," 'nomClub': '",""))-1),"")</f>
        <v>1789 BARBELL LIFTING CLUB</v>
      </c>
      <c r="K49" t="str">
        <f>IFERROR(LEFT(SUBSTITUTE(jason_converted!K49," 'nomCourtClub': '",""),LEN(SUBSTITUTE(jason_converted!K49," 'nomCourtClub': '",""))-1),"")</f>
        <v>1789BLC</v>
      </c>
      <c r="L49" t="str">
        <f>IFERROR("https://ffhaltero.fr/" &amp; LEFT(SUBSTITUTE(jason_converted!L49," 'url': '",""),LEN(SUBSTITUTE(jason_converted!L49," 'url': '",""))-1),"")</f>
        <v>https://ffhaltero.fr//pratiquer/ou-pratiquer/ou-pratiquer-fiche-club/339860010-1789-barbell-lifting-club'</v>
      </c>
    </row>
    <row r="50" spans="1:12" x14ac:dyDescent="0.25">
      <c r="A50" t="str">
        <f>IFERROR(SUBSTITUTE(jason_converted!A50,"{'id': ",""),"")</f>
        <v>71</v>
      </c>
      <c r="B50" t="str">
        <f>IFERROR(LEFT(SUBSTITUTE(jason_converted!B50," 'nom': '",""),LEN(SUBSTITUTE(jason_converted!B50," 'nom': '",""))-1),"")</f>
        <v>Salle omnisport Jeanne Trouillet</v>
      </c>
      <c r="C50" t="str">
        <f>IFERROR(LEFT(SUBSTITUTE(jason_converted!C50," 'adresse1': '",""),LEN(SUBSTITUTE(jason_converted!C50," 'adresse1': '",""))-1),"")</f>
        <v>AVENUE JEAN LAVAL SALLE OMNISPORT</v>
      </c>
      <c r="D50" t="str">
        <f>IFERROR(LEFT(SUBSTITUTE(jason_converted!D50," 'adresse2': '",""),LEN(SUBSTITUTE(jason_converted!D50," 'adresse2': '",""))-1),"")</f>
        <v/>
      </c>
      <c r="E50" t="str">
        <f>IFERROR(LEFT(SUBSTITUTE(jason_converted!E50," 'codepostal': '",""),LEN(SUBSTITUTE(jason_converted!E50," 'codepostal': '",""))-1),"")</f>
        <v>69480</v>
      </c>
      <c r="F50" t="str">
        <f>IFERROR(LEFT(SUBSTITUTE(jason_converted!F50," 'ville': '",""),LEN(SUBSTITUTE(jason_converted!F50," 'ville': '",""))-1),"")</f>
        <v>ANSE</v>
      </c>
      <c r="G50" t="str">
        <f>IFERROR(LEFT(SUBSTITUTE(jason_converted!G50," 'tel': ",""),LEN(SUBSTITUTE(jason_converted!G50," 'tel': ",""))),"")</f>
        <v>'06.74.89.16.48'</v>
      </c>
      <c r="H50" t="str">
        <f>IFERROR(LEFT(SUBSTITUTE(jason_converted!H50," 'lat': '",""),LEN(SUBSTITUTE(jason_converted!H50," 'lat': '",""))-1),"")</f>
        <v>45.934780000000003</v>
      </c>
      <c r="I50" t="str">
        <f>IFERROR(LEFT(SUBSTITUTE(jason_converted!I50," 'lng': '",""),LEN(SUBSTITUTE(jason_converted!I50," 'lng': '",""))-1),"")</f>
        <v>4.716198000000000</v>
      </c>
      <c r="J50" t="str">
        <f>IFERROR(LEFT(SUBSTITUTE(jason_converted!J50," 'nomClub': '",""),LEN(SUBSTITUTE(jason_converted!J50," 'nomClub': '",""))-1),"")</f>
        <v>CH ANSOIS</v>
      </c>
      <c r="K50" t="str">
        <f>IFERROR(LEFT(SUBSTITUTE(jason_converted!K50," 'nomCourtClub': '",""),LEN(SUBSTITUTE(jason_converted!K50," 'nomCourtClub': '",""))-1),"")</f>
        <v>CH ANSOIS</v>
      </c>
      <c r="L50" t="str">
        <f>IFERROR("https://ffhaltero.fr/" &amp; LEFT(SUBSTITUTE(jason_converted!L50," 'url': '",""),LEN(SUBSTITUTE(jason_converted!L50," 'url': '",""))-1),"")</f>
        <v>https://ffhaltero.fr//pratiquer/ou-pratiquer/ou-pratiquer-fiche-club/22690293-ch-ansois'</v>
      </c>
    </row>
    <row r="51" spans="1:12" x14ac:dyDescent="0.25">
      <c r="A51" t="str">
        <f>IFERROR(SUBSTITUTE(jason_converted!A51,"{'id': ",""),"")</f>
        <v>73</v>
      </c>
      <c r="B51" t="str">
        <f>IFERROR(LEFT(SUBSTITUTE(jason_converted!B51," 'nom': '",""),LEN(SUBSTITUTE(jason_converted!B51," 'nom': '",""))-1),"")</f>
        <v>espace fitness sarralbe</v>
      </c>
      <c r="C51" t="str">
        <f>IFERROR(LEFT(SUBSTITUTE(jason_converted!C51," 'adresse1': '",""),LEN(SUBSTITUTE(jason_converted!C51," 'adresse1': '",""))-1),"")</f>
        <v>QUAI RUE DE LA SARRE</v>
      </c>
      <c r="D51" t="str">
        <f>IFERROR(LEFT(SUBSTITUTE(jason_converted!D51," 'adresse2': '",""),LEN(SUBSTITUTE(jason_converted!D51," 'adresse2': '",""))-1),"")</f>
        <v xml:space="preserve">COMPLEXE F MITTERRAND </v>
      </c>
      <c r="E51" t="str">
        <f>IFERROR(LEFT(SUBSTITUTE(jason_converted!E51," 'codepostal': '",""),LEN(SUBSTITUTE(jason_converted!E51," 'codepostal': '",""))-1),"")</f>
        <v>57430</v>
      </c>
      <c r="F51" t="str">
        <f>IFERROR(LEFT(SUBSTITUTE(jason_converted!F51," 'ville': '",""),LEN(SUBSTITUTE(jason_converted!F51," 'ville': '",""))-1),"")</f>
        <v>SARRALBE</v>
      </c>
      <c r="G51" t="str">
        <f>IFERROR(LEFT(SUBSTITUTE(jason_converted!G51," 'tel': ",""),LEN(SUBSTITUTE(jason_converted!G51," 'tel': ",""))),"")</f>
        <v>None</v>
      </c>
      <c r="H51" t="str">
        <f>IFERROR(LEFT(SUBSTITUTE(jason_converted!H51," 'lat': '",""),LEN(SUBSTITUTE(jason_converted!H51," 'lat': '",""))-1),"")</f>
        <v>49.002533700000001</v>
      </c>
      <c r="I51" t="str">
        <f>IFERROR(LEFT(SUBSTITUTE(jason_converted!I51," 'lng': '",""),LEN(SUBSTITUTE(jason_converted!I51," 'lng': '",""))-1),"")</f>
        <v>7.032990800000000</v>
      </c>
      <c r="J51" t="str">
        <f>IFERROR(LEFT(SUBSTITUTE(jason_converted!J51," 'nomClub': '",""),LEN(SUBSTITUTE(jason_converted!J51," 'nomClub': '",""))-1),"")</f>
        <v>ESPACE FITNESS SARRALBE</v>
      </c>
      <c r="K51" t="str">
        <f>IFERROR(LEFT(SUBSTITUTE(jason_converted!K51," 'nomCourtClub': '",""),LEN(SUBSTITUTE(jason_converted!K51," 'nomCourtClub': '",""))-1),"")</f>
        <v>E.F.S</v>
      </c>
      <c r="L51" t="str">
        <f>IFERROR("https://ffhaltero.fr/" &amp; LEFT(SUBSTITUTE(jason_converted!L51," 'url': '",""),LEN(SUBSTITUTE(jason_converted!L51," 'url': '",""))-1),"")</f>
        <v>https://ffhaltero.fr//pratiquer/ou-pratiquer/ou-pratiquer-fiche-club/14570796-espace-fitness-sarralbe'</v>
      </c>
    </row>
    <row r="52" spans="1:12" x14ac:dyDescent="0.25">
      <c r="A52" t="str">
        <f>IFERROR(SUBSTITUTE(jason_converted!A52,"{'id': ",""),"")</f>
        <v>74</v>
      </c>
      <c r="B52" t="str">
        <f>IFERROR(LEFT(SUBSTITUTE(jason_converted!B52," 'nom': '",""),LEN(SUBSTITUTE(jason_converted!B52," 'nom': '",""))-1),"")</f>
        <v>USTH</v>
      </c>
      <c r="C52" t="str">
        <f>IFERROR(LEFT(SUBSTITUTE(jason_converted!C52," 'adresse1': '",""),LEN(SUBSTITUTE(jason_converted!C52," 'adresse1': '",""))-1),"")</f>
        <v>126 RUE FRANÇOIS RICHER</v>
      </c>
      <c r="D52" t="str">
        <f>IFERROR(LEFT(SUBSTITUTE(jason_converted!D52," 'adresse2': '",""),LEN(SUBSTITUTE(jason_converted!D52," 'adresse2': '",""))-1),"")</f>
        <v/>
      </c>
      <c r="E52" t="str">
        <f>IFERROR(LEFT(SUBSTITUTE(jason_converted!E52," 'codepostal': '",""),LEN(SUBSTITUTE(jason_converted!E52," 'codepostal': '",""))-1),"")</f>
        <v>37000</v>
      </c>
      <c r="F52" t="str">
        <f>IFERROR(LEFT(SUBSTITUTE(jason_converted!F52," 'ville': '",""),LEN(SUBSTITUTE(jason_converted!F52," 'ville': '",""))-1),"")</f>
        <v>TOURS</v>
      </c>
      <c r="G52" t="str">
        <f>IFERROR(LEFT(SUBSTITUTE(jason_converted!G52," 'tel': ",""),LEN(SUBSTITUTE(jason_converted!G52," 'tel': ",""))),"")</f>
        <v>None</v>
      </c>
      <c r="H52" t="str">
        <f>IFERROR(LEFT(SUBSTITUTE(jason_converted!H52," 'lat': '",""),LEN(SUBSTITUTE(jason_converted!H52," 'lat': '",""))-1),"")</f>
        <v>47.383332000000003</v>
      </c>
      <c r="I52" t="str">
        <f>IFERROR(LEFT(SUBSTITUTE(jason_converted!I52," 'lng': '",""),LEN(SUBSTITUTE(jason_converted!I52," 'lng': '",""))-1),"")</f>
        <v>0.666448000000000</v>
      </c>
      <c r="J52" t="str">
        <f>IFERROR(LEFT(SUBSTITUTE(jason_converted!J52," 'nomClub': '",""),LEN(SUBSTITUTE(jason_converted!J52," 'nomClub': '",""))-1),"")</f>
        <v>US TOURS HALTEROPHILIE</v>
      </c>
      <c r="K52" t="str">
        <f>IFERROR(LEFT(SUBSTITUTE(jason_converted!K52," 'nomCourtClub': '",""),LEN(SUBSTITUTE(jason_converted!K52," 'nomCourtClub': '",""))-1),"")</f>
        <v>US TOURS HALTEROPHILIE</v>
      </c>
      <c r="L52" t="str">
        <f>IFERROR("https://ffhaltero.fr/" &amp; LEFT(SUBSTITUTE(jason_converted!L52," 'url': '",""),LEN(SUBSTITUTE(jason_converted!L52," 'url': '",""))-1),"")</f>
        <v>https://ffhaltero.fr//pratiquer/ou-pratiquer/ou-pratiquer-fiche-club/07370364-us-tours-halterophilie'</v>
      </c>
    </row>
    <row r="53" spans="1:12" x14ac:dyDescent="0.25">
      <c r="A53" t="str">
        <f>IFERROR(SUBSTITUTE(jason_converted!A53,"{'id': ",""),"")</f>
        <v>77</v>
      </c>
      <c r="B53" t="str">
        <f>IFERROR(LEFT(SUBSTITUTE(jason_converted!B53," 'nom': '",""),LEN(SUBSTITUTE(jason_converted!B53," 'nom': '",""))-1),"")</f>
        <v>Complexe de musculation</v>
      </c>
      <c r="C53" t="str">
        <f>IFERROR(LEFT(SUBSTITUTE(jason_converted!C53," 'adresse1': '",""),LEN(SUBSTITUTE(jason_converted!C53," 'adresse1': '",""))-1),"")</f>
        <v>27 RUE MARGUERITE</v>
      </c>
      <c r="D53" t="str">
        <f>IFERROR(LEFT(SUBSTITUTE(jason_converted!D53," 'adresse2': '",""),LEN(SUBSTITUTE(jason_converted!D53," 'adresse2': '",""))-1),"")</f>
        <v>STADE MUNICIPAL</v>
      </c>
      <c r="E53" t="str">
        <f>IFERROR(LEFT(SUBSTITUTE(jason_converted!E53," 'codepostal': '",""),LEN(SUBSTITUTE(jason_converted!E53," 'codepostal': '",""))-1),"")</f>
        <v>93360</v>
      </c>
      <c r="F53" t="str">
        <f>IFERROR(LEFT(SUBSTITUTE(jason_converted!F53," 'ville': '",""),LEN(SUBSTITUTE(jason_converted!F53," 'ville': '",""))-1),"")</f>
        <v>NEUILLY-PLAISANCE</v>
      </c>
      <c r="G53" t="str">
        <f>IFERROR(LEFT(SUBSTITUTE(jason_converted!G53," 'tel': ",""),LEN(SUBSTITUTE(jason_converted!G53," 'tel': ",""))),"")</f>
        <v>'01.43.08.16.14'</v>
      </c>
      <c r="H53" t="str">
        <f>IFERROR(LEFT(SUBSTITUTE(jason_converted!H53," 'lat': '",""),LEN(SUBSTITUTE(jason_converted!H53," 'lat': '",""))-1),"")</f>
        <v>48.855818999999997</v>
      </c>
      <c r="I53" t="str">
        <f>IFERROR(LEFT(SUBSTITUTE(jason_converted!I53," 'lng': '",""),LEN(SUBSTITUTE(jason_converted!I53," 'lng': '",""))-1),"")</f>
        <v>2.514600000000000</v>
      </c>
      <c r="J53" t="str">
        <f>IFERROR(LEFT(SUBSTITUTE(jason_converted!J53," 'nomClub': '",""),LEN(SUBSTITUTE(jason_converted!J53," 'nomClub': '",""))-1),"")</f>
        <v>NEUILLY PLAISANCE SPORTS</v>
      </c>
      <c r="K53" t="str">
        <f>IFERROR(LEFT(SUBSTITUTE(jason_converted!K53," 'nomCourtClub': '",""),LEN(SUBSTITUTE(jason_converted!K53," 'nomCourtClub': '",""))-1),"")</f>
        <v>NEUILLY PLAISANCE SPORTS</v>
      </c>
      <c r="L53" t="str">
        <f>IFERROR("https://ffhaltero.fr/" &amp; LEFT(SUBSTITUTE(jason_converted!L53," 'url': '",""),LEN(SUBSTITUTE(jason_converted!L53," 'url': '",""))-1),"")</f>
        <v>https://ffhaltero.fr//pratiquer/ou-pratiquer/ou-pratiquer-fiche-club/21931141-neuilly-plaisance-sports'</v>
      </c>
    </row>
    <row r="54" spans="1:12" x14ac:dyDescent="0.25">
      <c r="A54" t="str">
        <f>IFERROR(SUBSTITUTE(jason_converted!A54,"{'id': ",""),"")</f>
        <v>79</v>
      </c>
      <c r="B54" t="str">
        <f>IFERROR(LEFT(SUBSTITUTE(jason_converted!B54," 'nom': '",""),LEN(SUBSTITUTE(jason_converted!B54," 'nom': '",""))-1),"")</f>
        <v>BARBELL LIFTERS CLUB</v>
      </c>
      <c r="C54" t="str">
        <f>IFERROR(LEFT(SUBSTITUTE(jason_converted!C54," 'adresse1': '",""),LEN(SUBSTITUTE(jason_converted!C54," 'adresse1': '",""))-1),"")</f>
        <v>67 RUE THEOPHILE GAUTIER</v>
      </c>
      <c r="D54" t="str">
        <f>IFERROR(LEFT(SUBSTITUTE(jason_converted!D54," 'adresse2': '",""),LEN(SUBSTITUTE(jason_converted!D54," 'adresse2': '",""))-1),"")</f>
        <v xml:space="preserve">GYMNASE LUCIEN FOLLAIN </v>
      </c>
      <c r="E54" t="str">
        <f>IFERROR(LEFT(SUBSTITUTE(jason_converted!E54," 'codepostal': '",""),LEN(SUBSTITUTE(jason_converted!E54," 'codepostal': '",""))-1),"")</f>
        <v>76620</v>
      </c>
      <c r="F54" t="str">
        <f>IFERROR(LEFT(SUBSTITUTE(jason_converted!F54," 'ville': '",""),LEN(SUBSTITUTE(jason_converted!F54," 'ville': '",""))-1),"")</f>
        <v>LE HAVRE</v>
      </c>
      <c r="G54" t="str">
        <f>IFERROR(LEFT(SUBSTITUTE(jason_converted!G54," 'tel': ",""),LEN(SUBSTITUTE(jason_converted!G54," 'tel': ",""))),"")</f>
        <v>'0638810160'</v>
      </c>
      <c r="H54" t="str">
        <f>IFERROR(LEFT(SUBSTITUTE(jason_converted!H54," 'lat': '",""),LEN(SUBSTITUTE(jason_converted!H54," 'lat': '",""))-1),"")</f>
        <v>49.514698000000003</v>
      </c>
      <c r="I54" t="str">
        <f>IFERROR(LEFT(SUBSTITUTE(jason_converted!I54," 'lng': '",""),LEN(SUBSTITUTE(jason_converted!I54," 'lng': '",""))-1),"")</f>
        <v>0.090987000000000</v>
      </c>
      <c r="J54" t="str">
        <f>IFERROR(LEFT(SUBSTITUTE(jason_converted!J54," 'nomClub': '",""),LEN(SUBSTITUTE(jason_converted!J54," 'nomClub': '",""))-1),"")</f>
        <v>BARBELL LIFTERS CLUB</v>
      </c>
      <c r="K54" t="str">
        <f>IFERROR(LEFT(SUBSTITUTE(jason_converted!K54," 'nomCourtClub': '",""),LEN(SUBSTITUTE(jason_converted!K54," 'nomCourtClub': '",""))-1),"")</f>
        <v>BLC</v>
      </c>
      <c r="L54" t="str">
        <f>IFERROR("https://ffhaltero.fr/" &amp; LEFT(SUBSTITUTE(jason_converted!L54," 'url': '",""),LEN(SUBSTITUTE(jason_converted!L54," 'url': '",""))-1),"")</f>
        <v>https://ffhaltero.fr//pratiquer/ou-pratiquer/ou-pratiquer-fiche-club/339860019-barbell-lifters-club'</v>
      </c>
    </row>
    <row r="55" spans="1:12" x14ac:dyDescent="0.25">
      <c r="A55" t="str">
        <f>IFERROR(SUBSTITUTE(jason_converted!A55,"{'id': ",""),"")</f>
        <v>80</v>
      </c>
      <c r="B55" t="str">
        <f>IFERROR(LEFT(SUBSTITUTE(jason_converted!B55," 'nom': '",""),LEN(SUBSTITUTE(jason_converted!B55," 'nom': '",""))-1),"")</f>
        <v>Halterophilie Club Avallonais</v>
      </c>
      <c r="C55" t="str">
        <f>IFERROR(LEFT(SUBSTITUTE(jason_converted!C55," 'adresse1': '",""),LEN(SUBSTITUTE(jason_converted!C55," 'adresse1': '",""))-1),"")</f>
        <v>13 AVENUE VICTOR HUGO</v>
      </c>
      <c r="D55" t="str">
        <f>IFERROR(LEFT(SUBSTITUTE(jason_converted!D55," 'adresse2': '",""),LEN(SUBSTITUTE(jason_converted!D55," 'adresse2': '",""))-1),"")</f>
        <v/>
      </c>
      <c r="E55" t="str">
        <f>IFERROR(LEFT(SUBSTITUTE(jason_converted!E55," 'codepostal': '",""),LEN(SUBSTITUTE(jason_converted!E55," 'codepostal': '",""))-1),"")</f>
        <v>89200</v>
      </c>
      <c r="F55" t="str">
        <f>IFERROR(LEFT(SUBSTITUTE(jason_converted!F55," 'ville': '",""),LEN(SUBSTITUTE(jason_converted!F55," 'ville': '",""))-1),"")</f>
        <v>AVALLON</v>
      </c>
      <c r="G55" t="str">
        <f>IFERROR(LEFT(SUBSTITUTE(jason_converted!G55," 'tel': ",""),LEN(SUBSTITUTE(jason_converted!G55," 'tel': ",""))),"")</f>
        <v>'03.86.31.60.05'</v>
      </c>
      <c r="H55" t="str">
        <f>IFERROR(LEFT(SUBSTITUTE(jason_converted!H55," 'lat': '",""),LEN(SUBSTITUTE(jason_converted!H55," 'lat': '",""))-1),"")</f>
        <v>47.487332799999997</v>
      </c>
      <c r="I55" t="str">
        <f>IFERROR(LEFT(SUBSTITUTE(jason_converted!I55," 'lng': '",""),LEN(SUBSTITUTE(jason_converted!I55," 'lng': '",""))-1),"")</f>
        <v>3.896829302137829</v>
      </c>
      <c r="J55" t="str">
        <f>IFERROR(LEFT(SUBSTITUTE(jason_converted!J55," 'nomClub': '",""),LEN(SUBSTITUTE(jason_converted!J55," 'nomClub': '",""))-1),"")</f>
        <v>HC AVALLON MFAC</v>
      </c>
      <c r="K55" t="str">
        <f>IFERROR(LEFT(SUBSTITUTE(jason_converted!K55," 'nomCourtClub': '",""),LEN(SUBSTITUTE(jason_converted!K55," 'nomCourtClub': '",""))-1),"")</f>
        <v>HC AVALLON MFAC</v>
      </c>
      <c r="L55" t="str">
        <f>IFERROR("https://ffhaltero.fr/" &amp; LEFT(SUBSTITUTE(jason_converted!L55," 'url': '",""),LEN(SUBSTITUTE(jason_converted!L55," 'url': '",""))-1),"")</f>
        <v>https://ffhaltero.fr//pratiquer/ou-pratiquer/ou-pratiquer-fiche-club/05890067-hc-avallon-mfac'</v>
      </c>
    </row>
    <row r="56" spans="1:12" x14ac:dyDescent="0.25">
      <c r="A56" t="str">
        <f>IFERROR(SUBSTITUTE(jason_converted!A56,"{'id': ",""),"")</f>
        <v>81</v>
      </c>
      <c r="B56" t="str">
        <f>IFERROR(LEFT(SUBSTITUTE(jason_converted!B56," 'nom': '",""),LEN(SUBSTITUTE(jason_converted!B56," 'nom': '",""))-1),"")</f>
        <v>HMCBJ</v>
      </c>
      <c r="C56" t="str">
        <f>IFERROR(LEFT(SUBSTITUTE(jason_converted!C56," 'adresse1': '",""),LEN(SUBSTITUTE(jason_converted!C56," 'adresse1': '",""))-1),"")</f>
        <v>39 RUE JEAN JAURÈS</v>
      </c>
      <c r="D56" t="str">
        <f>IFERROR(LEFT(SUBSTITUTE(jason_converted!D56," 'adresse2': '",""),LEN(SUBSTITUTE(jason_converted!D56," 'adresse2': '",""))-1),"")</f>
        <v xml:space="preserve">SALLE J.-M. BONNAS </v>
      </c>
      <c r="E56" t="str">
        <f>IFERROR(LEFT(SUBSTITUTE(jason_converted!E56," 'codepostal': '",""),LEN(SUBSTITUTE(jason_converted!E56," 'codepostal': '",""))-1),"")</f>
        <v>38300</v>
      </c>
      <c r="F56" t="str">
        <f>IFERROR(LEFT(SUBSTITUTE(jason_converted!F56," 'ville': '",""),LEN(SUBSTITUTE(jason_converted!F56," 'ville': '",""))-1),"")</f>
        <v>BOURGOIN-JALLIEU</v>
      </c>
      <c r="G56" t="str">
        <f>IFERROR(LEFT(SUBSTITUTE(jason_converted!G56," 'tel': ",""),LEN(SUBSTITUTE(jason_converted!G56," 'tel': ",""))),"")</f>
        <v>None</v>
      </c>
      <c r="H56" t="str">
        <f>IFERROR(LEFT(SUBSTITUTE(jason_converted!H56," 'lat': '",""),LEN(SUBSTITUTE(jason_converted!H56," 'lat': '",""))-1),"")</f>
        <v>45.588492500000001</v>
      </c>
      <c r="I56" t="str">
        <f>IFERROR(LEFT(SUBSTITUTE(jason_converted!I56," 'lng': '",""),LEN(SUBSTITUTE(jason_converted!I56," 'lng': '",""))-1),"")</f>
        <v>5.268660360781052</v>
      </c>
      <c r="J56" t="str">
        <f>IFERROR(LEFT(SUBSTITUTE(jason_converted!J56," 'nomClub': '",""),LEN(SUBSTITUTE(jason_converted!J56," 'nomClub': '",""))-1),"")</f>
        <v>HMC BOURGOIN JALLIEU</v>
      </c>
      <c r="K56" t="str">
        <f>IFERROR(LEFT(SUBSTITUTE(jason_converted!K56," 'nomCourtClub': '",""),LEN(SUBSTITUTE(jason_converted!K56," 'nomCourtClub': '",""))-1),"")</f>
        <v>HMC BOURGOIN JALLIEU</v>
      </c>
      <c r="L56" t="str">
        <f>IFERROR("https://ffhaltero.fr/" &amp; LEFT(SUBSTITUTE(jason_converted!L56," 'url': '",""),LEN(SUBSTITUTE(jason_converted!L56," 'url': '",""))-1),"")</f>
        <v>https://ffhaltero.fr//pratiquer/ou-pratiquer/ou-pratiquer-fiche-club/22380143-hmc-bourgoin-jallieu'</v>
      </c>
    </row>
    <row r="57" spans="1:12" x14ac:dyDescent="0.25">
      <c r="A57" t="str">
        <f>IFERROR(SUBSTITUTE(jason_converted!A57,"{'id': ",""),"")</f>
        <v>83</v>
      </c>
      <c r="B57" t="str">
        <f>IFERROR(LEFT(SUBSTITUTE(jason_converted!B57," 'nom': '",""),LEN(SUBSTITUTE(jason_converted!B57," 'nom': '",""))-1),"")</f>
        <v>AS Mantaise halterophilie-musculation</v>
      </c>
      <c r="C57" t="str">
        <f>IFERROR(LEFT(SUBSTITUTE(jason_converted!C57," 'adresse1': '",""),LEN(SUBSTITUTE(jason_converted!C57," 'adresse1': '",""))-1),"")</f>
        <v>15 RUE DE LORRAINE</v>
      </c>
      <c r="D57" t="str">
        <f>IFERROR(LEFT(SUBSTITUTE(jason_converted!D57," 'adresse2': '",""),LEN(SUBSTITUTE(jason_converted!D57," 'adresse2': '",""))-1),"")</f>
        <v/>
      </c>
      <c r="E57" t="str">
        <f>IFERROR(LEFT(SUBSTITUTE(jason_converted!E57," 'codepostal': '",""),LEN(SUBSTITUTE(jason_converted!E57," 'codepostal': '",""))-1),"")</f>
        <v>78200</v>
      </c>
      <c r="F57" t="str">
        <f>IFERROR(LEFT(SUBSTITUTE(jason_converted!F57," 'ville': '",""),LEN(SUBSTITUTE(jason_converted!F57," 'ville': '",""))-1),"")</f>
        <v>BOINVILLIERS</v>
      </c>
      <c r="G57" t="str">
        <f>IFERROR(LEFT(SUBSTITUTE(jason_converted!G57," 'tel': ",""),LEN(SUBSTITUTE(jason_converted!G57," 'tel': ",""))),"")</f>
        <v>'0684964023'</v>
      </c>
      <c r="H57" t="str">
        <f>IFERROR(LEFT(SUBSTITUTE(jason_converted!H57," 'lat': '",""),LEN(SUBSTITUTE(jason_converted!H57," 'lat': '",""))-1),"")</f>
        <v>48.987197000000002</v>
      </c>
      <c r="I57" t="str">
        <f>IFERROR(LEFT(SUBSTITUTE(jason_converted!I57," 'lng': '",""),LEN(SUBSTITUTE(jason_converted!I57," 'lng': '",""))-1),"")</f>
        <v>1.713332200000000</v>
      </c>
      <c r="J57" t="str">
        <f>IFERROR(LEFT(SUBSTITUTE(jason_converted!J57," 'nomClub': '",""),LEN(SUBSTITUTE(jason_converted!J57," 'nomClub': '",""))-1),"")</f>
        <v>AS MANTAISE</v>
      </c>
      <c r="K57" t="str">
        <f>IFERROR(LEFT(SUBSTITUTE(jason_converted!K57," 'nomCourtClub': '",""),LEN(SUBSTITUTE(jason_converted!K57," 'nomCourtClub': '",""))-1),"")</f>
        <v>AS MANTAISE</v>
      </c>
      <c r="L57" t="str">
        <f>IFERROR("https://ffhaltero.fr/" &amp; LEFT(SUBSTITUTE(jason_converted!L57," 'url': '",""),LEN(SUBSTITUTE(jason_converted!L57," 'url': '",""))-1),"")</f>
        <v>https://ffhaltero.fr//pratiquer/ou-pratiquer/ou-pratiquer-fiche-club/21780188-as-mantaise'</v>
      </c>
    </row>
    <row r="58" spans="1:12" x14ac:dyDescent="0.25">
      <c r="A58" t="str">
        <f>IFERROR(SUBSTITUTE(jason_converted!A58,"{'id': ",""),"")</f>
        <v>84</v>
      </c>
      <c r="B58" t="str">
        <f>IFERROR(LEFT(SUBSTITUTE(jason_converted!B58," 'nom': '",""),LEN(SUBSTITUTE(jason_converted!B58," 'nom': '",""))-1),"")</f>
        <v>haltérophilie romanais péageois</v>
      </c>
      <c r="C58" t="str">
        <f>IFERROR(LEFT(SUBSTITUTE(jason_converted!C58," 'adresse1': '",""),LEN(SUBSTITUTE(jason_converted!C58," 'adresse1': '",""))-1),"")</f>
        <v>14 AVENUE DE LA DÉPORTATION</v>
      </c>
      <c r="D58" t="str">
        <f>IFERROR(LEFT(SUBSTITUTE(jason_converted!D58," 'adresse2': '",""),LEN(SUBSTITUTE(jason_converted!D58," 'adresse2': '",""))-1),"")</f>
        <v/>
      </c>
      <c r="E58" t="str">
        <f>IFERROR(LEFT(SUBSTITUTE(jason_converted!E58," 'codepostal': '",""),LEN(SUBSTITUTE(jason_converted!E58," 'codepostal': '",""))-1),"")</f>
        <v>26100</v>
      </c>
      <c r="F58" t="str">
        <f>IFERROR(LEFT(SUBSTITUTE(jason_converted!F58," 'ville': '",""),LEN(SUBSTITUTE(jason_converted!F58," 'ville': '",""))-1),"")</f>
        <v>ROMANS-SUR-ISÈRE</v>
      </c>
      <c r="G58" t="str">
        <f>IFERROR(LEFT(SUBSTITUTE(jason_converted!G58," 'tel': ",""),LEN(SUBSTITUTE(jason_converted!G58," 'tel': ",""))),"")</f>
        <v>'06.34.29.21.28'</v>
      </c>
      <c r="H58" t="str">
        <f>IFERROR(LEFT(SUBSTITUTE(jason_converted!H58," 'lat': '",""),LEN(SUBSTITUTE(jason_converted!H58," 'lat': '",""))-1),"")</f>
        <v>45.050280999999998</v>
      </c>
      <c r="I58" t="str">
        <f>IFERROR(LEFT(SUBSTITUTE(jason_converted!I58," 'lng': '",""),LEN(SUBSTITUTE(jason_converted!I58," 'lng': '",""))-1),"")</f>
        <v>5.082045000000000</v>
      </c>
      <c r="J58" t="str">
        <f>IFERROR(LEFT(SUBSTITUTE(jason_converted!J58," 'nomClub': '",""),LEN(SUBSTITUTE(jason_converted!J58," 'nomClub': '",""))-1),"")</f>
        <v>HALTEROPHILIE ROMANAIS PEAGEOIS</v>
      </c>
      <c r="K58" t="str">
        <f>IFERROR(LEFT(SUBSTITUTE(jason_converted!K58," 'nomCourtClub': '",""),LEN(SUBSTITUTE(jason_converted!K58," 'nomCourtClub': '",""))-1),"")</f>
        <v>HALTEROPHILIE ROMANAIS PEAGEOIS</v>
      </c>
      <c r="L58" t="str">
        <f>IFERROR("https://ffhaltero.fr/" &amp; LEFT(SUBSTITUTE(jason_converted!L58," 'url': '",""),LEN(SUBSTITUTE(jason_converted!L58," 'url': '",""))-1),"")</f>
        <v>https://ffhaltero.fr//pratiquer/ou-pratiquer/ou-pratiquer-fiche-club/22260136-halterophilie-romanais-peageois'</v>
      </c>
    </row>
    <row r="59" spans="1:12" x14ac:dyDescent="0.25">
      <c r="A59" t="str">
        <f>IFERROR(SUBSTITUTE(jason_converted!A59,"{'id': ",""),"")</f>
        <v>87</v>
      </c>
      <c r="B59" t="str">
        <f>IFERROR(LEFT(SUBSTITUTE(jason_converted!B59," 'nom': '",""),LEN(SUBSTITUTE(jason_converted!B59," 'nom': '",""))-1),"")</f>
        <v>HMDB21</v>
      </c>
      <c r="C59" t="str">
        <f>IFERROR(LEFT(SUBSTITUTE(jason_converted!C59," 'adresse1': '",""),LEN(SUBSTITUTE(jason_converted!C59," 'adresse1': '",""))-1),"")</f>
        <v>7B  TREIGE DU MOULIN</v>
      </c>
      <c r="D59" t="str">
        <f>IFERROR(LEFT(SUBSTITUTE(jason_converted!D59," 'adresse2': '",""),LEN(SUBSTITUTE(jason_converted!D59," 'adresse2': '",""))-1),"")</f>
        <v/>
      </c>
      <c r="E59" t="str">
        <f>IFERROR(LEFT(SUBSTITUTE(jason_converted!E59," 'codepostal': '",""),LEN(SUBSTITUTE(jason_converted!E59," 'codepostal': '",""))-1),"")</f>
        <v>21110</v>
      </c>
      <c r="F59" t="str">
        <f>IFERROR(LEFT(SUBSTITUTE(jason_converted!F59," 'ville': '",""),LEN(SUBSTITUTE(jason_converted!F59," 'ville': '",""))-1),"")</f>
        <v>CESSEY-SUR-TILLE</v>
      </c>
      <c r="G59" t="str">
        <f>IFERROR(LEFT(SUBSTITUTE(jason_converted!G59," 'tel': ",""),LEN(SUBSTITUTE(jason_converted!G59," 'tel': ",""))),"")</f>
        <v>None</v>
      </c>
      <c r="H59" t="str">
        <f>IFERROR(LEFT(SUBSTITUTE(jason_converted!H59," 'lat': '",""),LEN(SUBSTITUTE(jason_converted!H59," 'lat': '",""))-1),"")</f>
        <v>47.281607000000001</v>
      </c>
      <c r="I59" t="str">
        <f>IFERROR(LEFT(SUBSTITUTE(jason_converted!I59," 'lng': '",""),LEN(SUBSTITUTE(jason_converted!I59," 'lng': '",""))-1),"")</f>
        <v>5.219825000000000</v>
      </c>
      <c r="J59" t="str">
        <f>IFERROR(LEFT(SUBSTITUTE(jason_converted!J59," 'nomClub': '",""),LEN(SUBSTITUTE(jason_converted!J59," 'nomClub': '",""))-1),"")</f>
        <v>HMDB21 DIJON</v>
      </c>
      <c r="K59" t="str">
        <f>IFERROR(LEFT(SUBSTITUTE(jason_converted!K59," 'nomCourtClub': '",""),LEN(SUBSTITUTE(jason_converted!K59," 'nomCourtClub': '",""))-1),"")</f>
        <v>HMDB21 DIJON</v>
      </c>
      <c r="L59" t="str">
        <f>IFERROR("https://ffhaltero.fr/" &amp; LEFT(SUBSTITUTE(jason_converted!L59," 'url': '",""),LEN(SUBSTITUTE(jason_converted!L59," 'url': '",""))-1),"")</f>
        <v>https://ffhaltero.fr//pratiquer/ou-pratiquer/ou-pratiquer-fiche-club/05210058-hmdb21-dijon'</v>
      </c>
    </row>
    <row r="60" spans="1:12" x14ac:dyDescent="0.25">
      <c r="A60" t="str">
        <f>IFERROR(SUBSTITUTE(jason_converted!A60,"{'id': ",""),"")</f>
        <v>88</v>
      </c>
      <c r="B60" t="str">
        <f>IFERROR(LEFT(SUBSTITUTE(jason_converted!B60," 'nom': '",""),LEN(SUBSTITUTE(jason_converted!B60," 'nom': '",""))-1),"")</f>
        <v>PALAIS DES SPORTS DE DIJON</v>
      </c>
      <c r="C60" t="str">
        <f>IFERROR(LEFT(SUBSTITUTE(jason_converted!C60," 'adresse1': '",""),LEN(SUBSTITUTE(jason_converted!C60," 'adresse1': '",""))-1),"")</f>
        <v>17  RUE LEON MAURIS</v>
      </c>
      <c r="D60" t="str">
        <f>IFERROR(LEFT(SUBSTITUTE(jason_converted!D60," 'adresse2': '",""),LEN(SUBSTITUTE(jason_converted!D60," 'adresse2': '",""))-1),"")</f>
        <v>ENTREE B  SALLE DE MUSCULATION</v>
      </c>
      <c r="E60" t="str">
        <f>IFERROR(LEFT(SUBSTITUTE(jason_converted!E60," 'codepostal': '",""),LEN(SUBSTITUTE(jason_converted!E60," 'codepostal': '",""))-1),"")</f>
        <v>21000</v>
      </c>
      <c r="F60" t="str">
        <f>IFERROR(LEFT(SUBSTITUTE(jason_converted!F60," 'ville': '",""),LEN(SUBSTITUTE(jason_converted!F60," 'ville': '",""))-1),"")</f>
        <v>DIJON</v>
      </c>
      <c r="G60" t="str">
        <f>IFERROR(LEFT(SUBSTITUTE(jason_converted!G60," 'tel': ",""),LEN(SUBSTITUTE(jason_converted!G60," 'tel': ",""))),"")</f>
        <v>None</v>
      </c>
      <c r="H60" t="str">
        <f>IFERROR(LEFT(SUBSTITUTE(jason_converted!H60," 'lat': '",""),LEN(SUBSTITUTE(jason_converted!H60," 'lat': '",""))-1),"")</f>
        <v>47.332557999999999</v>
      </c>
      <c r="I60" t="str">
        <f>IFERROR(LEFT(SUBSTITUTE(jason_converted!I60," 'lng': '",""),LEN(SUBSTITUTE(jason_converted!I60," 'lng': '",""))-1),"")</f>
        <v>5.056791000000000</v>
      </c>
      <c r="J60" t="str">
        <f>IFERROR(LEFT(SUBSTITUTE(jason_converted!J60," 'nomClub': '",""),LEN(SUBSTITUTE(jason_converted!J60," 'nomClub': '",""))-1),"")</f>
        <v>HMDB21 DIJON</v>
      </c>
      <c r="K60" t="str">
        <f>IFERROR(LEFT(SUBSTITUTE(jason_converted!K60," 'nomCourtClub': '",""),LEN(SUBSTITUTE(jason_converted!K60," 'nomCourtClub': '",""))-1),"")</f>
        <v>HMDB21 DIJON</v>
      </c>
      <c r="L60" t="str">
        <f>IFERROR("https://ffhaltero.fr/" &amp; LEFT(SUBSTITUTE(jason_converted!L60," 'url': '",""),LEN(SUBSTITUTE(jason_converted!L60," 'url': '",""))-1),"")</f>
        <v>https://ffhaltero.fr//pratiquer/ou-pratiquer/ou-pratiquer-fiche-club/05210058-hmdb21-dijon'</v>
      </c>
    </row>
    <row r="61" spans="1:12" x14ac:dyDescent="0.25">
      <c r="A61" t="str">
        <f>IFERROR(SUBSTITUTE(jason_converted!A61,"{'id': ",""),"")</f>
        <v>89</v>
      </c>
      <c r="B61" t="str">
        <f>IFERROR(LEFT(SUBSTITUTE(jason_converted!B61," 'nom': '",""),LEN(SUBSTITUTE(jason_converted!B61," 'nom': '",""))-1),"")</f>
        <v>CrossFit Le chalet</v>
      </c>
      <c r="C61" t="str">
        <f>IFERROR(LEFT(SUBSTITUTE(jason_converted!C61," 'adresse1': '",""),LEN(SUBSTITUTE(jason_converted!C61," 'adresse1': '",""))-1),"")</f>
        <v>56 BOULEVARD DE LA GARE</v>
      </c>
      <c r="D61" t="str">
        <f>IFERROR(LEFT(SUBSTITUTE(jason_converted!D61," 'adresse2': '",""),LEN(SUBSTITUTE(jason_converted!D61," 'adresse2': '",""))-1),"")</f>
        <v/>
      </c>
      <c r="E61" t="str">
        <f>IFERROR(LEFT(SUBSTITUTE(jason_converted!E61," 'codepostal': '",""),LEN(SUBSTITUTE(jason_converted!E61," 'codepostal': '",""))-1),"")</f>
        <v>31390</v>
      </c>
      <c r="F61" t="str">
        <f>IFERROR(LEFT(SUBSTITUTE(jason_converted!F61," 'ville': '",""),LEN(SUBSTITUTE(jason_converted!F61," 'ville': '",""))-1),"")</f>
        <v>BOIS-DE-LA-PIERRE</v>
      </c>
      <c r="G61" t="str">
        <f>IFERROR(LEFT(SUBSTITUTE(jason_converted!G61," 'tel': ",""),LEN(SUBSTITUTE(jason_converted!G61," 'tel': ",""))),"")</f>
        <v>'0637347791'</v>
      </c>
      <c r="H61" t="str">
        <f>IFERROR(LEFT(SUBSTITUTE(jason_converted!H61," 'lat': '",""),LEN(SUBSTITUTE(jason_converted!H61," 'lat': '",""))-1),"")</f>
        <v>43.297811000000003</v>
      </c>
      <c r="I61" t="str">
        <f>IFERROR(LEFT(SUBSTITUTE(jason_converted!I61," 'lng': '",""),LEN(SUBSTITUTE(jason_converted!I61," 'lng': '",""))-1),"")</f>
        <v>1.212829000000000</v>
      </c>
      <c r="J61" t="str">
        <f>IFERROR(LEFT(SUBSTITUTE(jason_converted!J61," 'nomClub': '",""),LEN(SUBSTITUTE(jason_converted!J61," 'nomClub': '",""))-1),"")</f>
        <v>CROSSFIT LE CHALET</v>
      </c>
      <c r="K61" t="str">
        <f>IFERROR(LEFT(SUBSTITUTE(jason_converted!K61," 'nomCourtClub': '",""),LEN(SUBSTITUTE(jason_converted!K61," 'nomCourtClub': '",""))-1),"")</f>
        <v>CF LE CHALET</v>
      </c>
      <c r="L61" t="str">
        <f>IFERROR("https://ffhaltero.fr/" &amp; LEFT(SUBSTITUTE(jason_converted!L61," 'url': '",""),LEN(SUBSTITUTE(jason_converted!L61," 'url': '",""))-1),"")</f>
        <v>https://ffhaltero.fr//pratiquer/ou-pratiquer/ou-pratiquer-fiche-club/339860047-crossfit-le-chalet'</v>
      </c>
    </row>
    <row r="62" spans="1:12" x14ac:dyDescent="0.25">
      <c r="A62" t="str">
        <f>IFERROR(SUBSTITUTE(jason_converted!A62,"{'id': ",""),"")</f>
        <v>90</v>
      </c>
      <c r="B62" t="str">
        <f>IFERROR(LEFT(SUBSTITUTE(jason_converted!B62," 'nom': '",""),LEN(SUBSTITUTE(jason_converted!B62," 'nom': '",""))-1),"")</f>
        <v>stade gabriel montpied</v>
      </c>
      <c r="C62" t="str">
        <f>IFERROR(LEFT(SUBSTITUTE(jason_converted!C62," 'adresse1': '",""),LEN(SUBSTITUTE(jason_converted!C62," 'adresse1': '",""))-1),"")</f>
        <v>1 RUE ROBERT LEMOY</v>
      </c>
      <c r="D62" t="str">
        <f>IFERROR(LEFT(SUBSTITUTE(jason_converted!D62," 'adresse2': '",""),LEN(SUBSTITUTE(jason_converted!D62," 'adresse2': '",""))-1),"")</f>
        <v xml:space="preserve">STADE GABRIEL MONTPIED </v>
      </c>
      <c r="E62" t="str">
        <f>IFERROR(LEFT(SUBSTITUTE(jason_converted!E62," 'codepostal': '",""),LEN(SUBSTITUTE(jason_converted!E62," 'codepostal': '",""))-1),"")</f>
        <v>63100</v>
      </c>
      <c r="F62" t="str">
        <f>IFERROR(LEFT(SUBSTITUTE(jason_converted!F62," 'ville': '",""),LEN(SUBSTITUTE(jason_converted!F62," 'ville': '",""))-1),"")</f>
        <v>CLERMONT-FERRAND</v>
      </c>
      <c r="G62" t="str">
        <f>IFERROR(LEFT(SUBSTITUTE(jason_converted!G62," 'tel': ",""),LEN(SUBSTITUTE(jason_converted!G62," 'tel': ",""))),"")</f>
        <v>'0473835503'</v>
      </c>
      <c r="H62" t="str">
        <f>IFERROR(LEFT(SUBSTITUTE(jason_converted!H62," 'lat': '",""),LEN(SUBSTITUTE(jason_converted!H62," 'lat': '",""))-1),"")</f>
        <v>45.816680650000002</v>
      </c>
      <c r="I62" t="str">
        <f>IFERROR(LEFT(SUBSTITUTE(jason_converted!I62," 'lng': '",""),LEN(SUBSTITUTE(jason_converted!I62," 'lng': '",""))-1),"")</f>
        <v>3.119145886330999</v>
      </c>
      <c r="J62" t="str">
        <f>IFERROR(LEFT(SUBSTITUTE(jason_converted!J62," 'nomClub': '",""),LEN(SUBSTITUTE(jason_converted!J62," 'nomClub': '",""))-1),"")</f>
        <v>AS MONTFERRANDAISE</v>
      </c>
      <c r="K62" t="str">
        <f>IFERROR(LEFT(SUBSTITUTE(jason_converted!K62," 'nomCourtClub': '",""),LEN(SUBSTITUTE(jason_converted!K62," 'nomCourtClub': '",""))-1),"")</f>
        <v>AS MONTFERRANDAISE</v>
      </c>
      <c r="L62" t="str">
        <f>IFERROR("https://ffhaltero.fr/" &amp; LEFT(SUBSTITUTE(jason_converted!L62," 'url': '",""),LEN(SUBSTITUTE(jason_converted!L62," 'url': '",""))-1),"")</f>
        <v>https://ffhaltero.fr//pratiquer/ou-pratiquer/ou-pratiquer-fiche-club/03630024-as-montferrandaise'</v>
      </c>
    </row>
    <row r="63" spans="1:12" x14ac:dyDescent="0.25">
      <c r="A63" t="str">
        <f>IFERROR(SUBSTITUTE(jason_converted!A63,"{'id': ",""),"")</f>
        <v>93</v>
      </c>
      <c r="B63" t="str">
        <f>IFERROR(LEFT(SUBSTITUTE(jason_converted!B63," 'nom': '",""),LEN(SUBSTITUTE(jason_converted!B63," 'nom': '",""))-1),"")</f>
        <v>stade de flandres</v>
      </c>
      <c r="C63" t="str">
        <f>IFERROR(LEFT(SUBSTITUTE(jason_converted!C63," 'adresse1': '",""),LEN(SUBSTITUTE(jason_converted!C63," 'adresse1': '",""))-1),"")</f>
        <v>AVENUE DE ROSENDAËL - JACQUES COLLACHE</v>
      </c>
      <c r="D63" t="str">
        <f>IFERROR(LEFT(SUBSTITUTE(jason_converted!D63," 'adresse2': '",""),LEN(SUBSTITUTE(jason_converted!D63," 'adresse2': '",""))-1),"")</f>
        <v>STADE DE FLANDRES - AVENUE DE ROSENDAËL</v>
      </c>
      <c r="E63" t="str">
        <f>IFERROR(LEFT(SUBSTITUTE(jason_converted!E63," 'codepostal': '",""),LEN(SUBSTITUTE(jason_converted!E63," 'codepostal': '",""))-1),"")</f>
        <v>59240</v>
      </c>
      <c r="F63" t="str">
        <f>IFERROR(LEFT(SUBSTITUTE(jason_converted!F63," 'ville': '",""),LEN(SUBSTITUTE(jason_converted!F63," 'ville': '",""))-1),"")</f>
        <v>DUNKERQUE</v>
      </c>
      <c r="G63" t="str">
        <f>IFERROR(LEFT(SUBSTITUTE(jason_converted!G63," 'tel': ",""),LEN(SUBSTITUTE(jason_converted!G63," 'tel': ",""))),"")</f>
        <v>'0674263997'</v>
      </c>
      <c r="H63" t="str">
        <f>IFERROR(LEFT(SUBSTITUTE(jason_converted!H63," 'lat': '",""),LEN(SUBSTITUTE(jason_converted!H63," 'lat': '",""))-1),"")</f>
        <v>51.035662899999998</v>
      </c>
      <c r="I63" t="str">
        <f>IFERROR(LEFT(SUBSTITUTE(jason_converted!I63," 'lng': '",""),LEN(SUBSTITUTE(jason_converted!I63," 'lng': '",""))-1),"")</f>
        <v>2.391672249386273</v>
      </c>
      <c r="J63" t="str">
        <f>IFERROR(LEFT(SUBSTITUTE(jason_converted!J63," 'nomClub': '",""),LEN(SUBSTITUTE(jason_converted!J63," 'nomClub': '",""))-1),"")</f>
        <v>CA ROSENDAEL</v>
      </c>
      <c r="K63" t="str">
        <f>IFERROR(LEFT(SUBSTITUTE(jason_converted!K63," 'nomCourtClub': '",""),LEN(SUBSTITUTE(jason_converted!K63," 'nomCourtClub': '",""))-1),"")</f>
        <v>CA ROSENDAEL</v>
      </c>
      <c r="L63" t="str">
        <f>IFERROR("https://ffhaltero.fr/" &amp; LEFT(SUBSTITUTE(jason_converted!L63," 'url': '",""),LEN(SUBSTITUTE(jason_converted!L63," 'url': '",""))-1),"")</f>
        <v>https://ffhaltero.fr//pratiquer/ou-pratiquer/ou-pratiquer-fiche-club/16590635-ca-rosendael'</v>
      </c>
    </row>
    <row r="64" spans="1:12" x14ac:dyDescent="0.25">
      <c r="A64" t="str">
        <f>IFERROR(SUBSTITUTE(jason_converted!A64,"{'id': ",""),"")</f>
        <v>92</v>
      </c>
      <c r="B64" t="str">
        <f>IFERROR(LEFT(SUBSTITUTE(jason_converted!B64," 'nom': '",""),LEN(SUBSTITUTE(jason_converted!B64," 'nom': '",""))-1),"")</f>
        <v>section haltérophilie</v>
      </c>
      <c r="C64" t="str">
        <f>IFERROR(LEFT(SUBSTITUTE(jason_converted!C64," 'adresse1': '",""),LEN(SUBSTITUTE(jason_converted!C64," 'adresse1': '",""))-1),"")</f>
        <v xml:space="preserve"> 'adresse1': "22 RUE RUE D'ENSISHEIM</v>
      </c>
      <c r="D64" t="str">
        <f>IFERROR(LEFT(SUBSTITUTE(jason_converted!D64," 'adresse2': '",""),LEN(SUBSTITUTE(jason_converted!D64," 'adresse2': '",""))-1),"")</f>
        <v xml:space="preserve">ECOLE ÉLÉMENTAIRE </v>
      </c>
      <c r="E64" t="str">
        <f>IFERROR(LEFT(SUBSTITUTE(jason_converted!E64," 'codepostal': '",""),LEN(SUBSTITUTE(jason_converted!E64," 'codepostal': '",""))-1),"")</f>
        <v>68190</v>
      </c>
      <c r="F64" t="str">
        <f>IFERROR(LEFT(SUBSTITUTE(jason_converted!F64," 'ville': '",""),LEN(SUBSTITUTE(jason_converted!F64," 'ville': '",""))-1),"")</f>
        <v>UNGERSHEIM</v>
      </c>
      <c r="G64" t="str">
        <f>IFERROR(LEFT(SUBSTITUTE(jason_converted!G64," 'tel': ",""),LEN(SUBSTITUTE(jason_converted!G64," 'tel': ",""))),"")</f>
        <v>None</v>
      </c>
      <c r="H64" t="str">
        <f>IFERROR(LEFT(SUBSTITUTE(jason_converted!H64," 'lat': '",""),LEN(SUBSTITUTE(jason_converted!H64," 'lat': '",""))-1),"")</f>
        <v>47.876691999999998</v>
      </c>
      <c r="I64" t="str">
        <f>IFERROR(LEFT(SUBSTITUTE(jason_converted!I64," 'lng': '",""),LEN(SUBSTITUTE(jason_converted!I64," 'lng': '",""))-1),"")</f>
        <v>7.311346000000000</v>
      </c>
      <c r="J64" t="str">
        <f>IFERROR(LEFT(SUBSTITUTE(jason_converted!J64," 'nomClub': '",""),LEN(SUBSTITUTE(jason_converted!J64," 'nomClub': '",""))-1),"")</f>
        <v>MJC UNGERSHEIM</v>
      </c>
      <c r="K64" t="str">
        <f>IFERROR(LEFT(SUBSTITUTE(jason_converted!K64," 'nomCourtClub': '",""),LEN(SUBSTITUTE(jason_converted!K64," 'nomCourtClub': '",""))-1),"")</f>
        <v>MJC UNGERSHEIM</v>
      </c>
      <c r="L64" t="str">
        <f>IFERROR("https://ffhaltero.fr/" &amp; LEFT(SUBSTITUTE(jason_converted!L64," 'url': '",""),LEN(SUBSTITUTE(jason_converted!L64," 'url': '",""))-1),"")</f>
        <v>https://ffhaltero.fr//pratiquer/ou-pratiquer/ou-pratiquer-fiche-club/01680946-mjc-ungersheim'</v>
      </c>
    </row>
    <row r="65" spans="1:12" x14ac:dyDescent="0.25">
      <c r="A65" t="str">
        <f>IFERROR(SUBSTITUTE(jason_converted!A65,"{'id': ",""),"")</f>
        <v>95</v>
      </c>
      <c r="B65" t="str">
        <f>IFERROR(LEFT(SUBSTITUTE(jason_converted!B65," 'nom': '",""),LEN(SUBSTITUTE(jason_converted!B65," 'nom': '",""))-1),"")</f>
        <v>ASH TULLE</v>
      </c>
      <c r="C65" t="str">
        <f>IFERROR(LEFT(SUBSTITUTE(jason_converted!C65," 'adresse1': '",""),LEN(SUBSTITUTE(jason_converted!C65," 'adresse1': '",""))-1),"")</f>
        <v>36 AVENUE ALSACE LORRAINE</v>
      </c>
      <c r="D65" t="str">
        <f>IFERROR(LEFT(SUBSTITUTE(jason_converted!D65," 'adresse2': '",""),LEN(SUBSTITUTE(jason_converted!D65," 'adresse2': '",""))-1),"")</f>
        <v xml:space="preserve">CENTRE CULTUREL ET SPORTIF </v>
      </c>
      <c r="E65" t="str">
        <f>IFERROR(LEFT(SUBSTITUTE(jason_converted!E65," 'codepostal': '",""),LEN(SUBSTITUTE(jason_converted!E65," 'codepostal': '",""))-1),"")</f>
        <v>19000</v>
      </c>
      <c r="F65" t="str">
        <f>IFERROR(LEFT(SUBSTITUTE(jason_converted!F65," 'ville': '",""),LEN(SUBSTITUTE(jason_converted!F65," 'ville': '",""))-1),"")</f>
        <v>TULLE</v>
      </c>
      <c r="G65" t="str">
        <f>IFERROR(LEFT(SUBSTITUTE(jason_converted!G65," 'tel': ",""),LEN(SUBSTITUTE(jason_converted!G65," 'tel': ",""))),"")</f>
        <v>'06.75.71.02.97'</v>
      </c>
      <c r="H65" t="str">
        <f>IFERROR(LEFT(SUBSTITUTE(jason_converted!H65," 'lat': '",""),LEN(SUBSTITUTE(jason_converted!H65," 'lat': '",""))-1),"")</f>
        <v>45.260159000000002</v>
      </c>
      <c r="I65" t="str">
        <f>IFERROR(LEFT(SUBSTITUTE(jason_converted!I65," 'lng': '",""),LEN(SUBSTITUTE(jason_converted!I65," 'lng': '",""))-1),"")</f>
        <v>1.754744000000000</v>
      </c>
      <c r="J65" t="str">
        <f>IFERROR(LEFT(SUBSTITUTE(jason_converted!J65," 'nomClub': '",""),LEN(SUBSTITUTE(jason_converted!J65," 'nomClub': '",""))-1),"")</f>
        <v>ASH TULLE</v>
      </c>
      <c r="K65" t="str">
        <f>IFERROR(LEFT(SUBSTITUTE(jason_converted!K65," 'nomCourtClub': '",""),LEN(SUBSTITUTE(jason_converted!K65," 'nomCourtClub': '",""))-1),"")</f>
        <v>ASH TULLE</v>
      </c>
      <c r="L65" t="str">
        <f>IFERROR("https://ffhaltero.fr/" &amp; LEFT(SUBSTITUTE(jason_converted!L65," 'url': '",""),LEN(SUBSTITUTE(jason_converted!L65," 'url': '",""))-1),"")</f>
        <v>https://ffhaltero.fr//pratiquer/ou-pratiquer/ou-pratiquer-fiche-club/13190648-ash-tulle'</v>
      </c>
    </row>
    <row r="66" spans="1:12" x14ac:dyDescent="0.25">
      <c r="A66" t="str">
        <f>IFERROR(SUBSTITUTE(jason_converted!A66,"{'id': ",""),"")</f>
        <v>96</v>
      </c>
      <c r="B66" t="str">
        <f>IFERROR(LEFT(SUBSTITUTE(jason_converted!B66," 'nom': '",""),LEN(SUBSTITUTE(jason_converted!B66," 'nom': '",""))-1),"")</f>
        <v xml:space="preserve"> 'nom': "LYCEE DUMONT D'URVILLE TOULON</v>
      </c>
      <c r="C66" t="str">
        <f>IFERROR(LEFT(SUBSTITUTE(jason_converted!C66," 'adresse1': '",""),LEN(SUBSTITUTE(jason_converted!C66," 'adresse1': '",""))-1),"")</f>
        <v>168  CHEMIN DES FOURNIERS</v>
      </c>
      <c r="D66" t="str">
        <f>IFERROR(LEFT(SUBSTITUTE(jason_converted!D66," 'adresse2': '",""),LEN(SUBSTITUTE(jason_converted!D66," 'adresse2': '",""))-1),"")</f>
        <v xml:space="preserve">BATB1 </v>
      </c>
      <c r="E66" t="str">
        <f>IFERROR(LEFT(SUBSTITUTE(jason_converted!E66," 'codepostal': '",""),LEN(SUBSTITUTE(jason_converted!E66," 'codepostal': '",""))-1),"")</f>
        <v>83210</v>
      </c>
      <c r="F66" t="str">
        <f>IFERROR(LEFT(SUBSTITUTE(jason_converted!F66," 'ville': '",""),LEN(SUBSTITUTE(jason_converted!F66," 'ville': '",""))-1),"")</f>
        <v>LA FARLÈDE</v>
      </c>
      <c r="G66" t="str">
        <f>IFERROR(LEFT(SUBSTITUTE(jason_converted!G66," 'tel': ",""),LEN(SUBSTITUTE(jason_converted!G66," 'tel': ",""))),"")</f>
        <v>'0607763315'</v>
      </c>
      <c r="H66" t="str">
        <f>IFERROR(LEFT(SUBSTITUTE(jason_converted!H66," 'lat': '",""),LEN(SUBSTITUTE(jason_converted!H66," 'lat': '",""))-1),"")</f>
        <v>43.168337000000001</v>
      </c>
      <c r="I66" t="str">
        <f>IFERROR(LEFT(SUBSTITUTE(jason_converted!I66," 'lng': '",""),LEN(SUBSTITUTE(jason_converted!I66," 'lng': '",""))-1),"")</f>
        <v>6.037669000000000</v>
      </c>
      <c r="J66" t="str">
        <f>IFERROR(LEFT(SUBSTITUTE(jason_converted!J66," 'nomClub': '",""),LEN(SUBSTITUTE(jason_converted!J66," 'nomClub': '",""))-1),"")</f>
        <v>ASL DUMONT D URVILLE</v>
      </c>
      <c r="K66" t="str">
        <f>IFERROR(LEFT(SUBSTITUTE(jason_converted!K66," 'nomCourtClub': '",""),LEN(SUBSTITUTE(jason_converted!K66," 'nomCourtClub': '",""))-1),"")</f>
        <v>ASL DUMONT D URVILLE</v>
      </c>
      <c r="L66" t="str">
        <f>IFERROR("https://ffhaltero.fr/" &amp; LEFT(SUBSTITUTE(jason_converted!L66," 'url': '",""),LEN(SUBSTITUTE(jason_converted!L66," 'url': '",""))-1),"")</f>
        <v>https://ffhaltero.fr//pratiquer/ou-pratiquer/ou-pratiquer-fiche-club/20830809-asl-dumont-urville'</v>
      </c>
    </row>
    <row r="67" spans="1:12" x14ac:dyDescent="0.25">
      <c r="A67" t="str">
        <f>IFERROR(SUBSTITUTE(jason_converted!A67,"{'id': ",""),"")</f>
        <v>97</v>
      </c>
      <c r="B67" t="str">
        <f>IFERROR(LEFT(SUBSTITUTE(jason_converted!B67," 'nom': '",""),LEN(SUBSTITUTE(jason_converted!B67," 'nom': '",""))-1),"")</f>
        <v>CHM THONON</v>
      </c>
      <c r="C67" t="str">
        <f>IFERROR(LEFT(SUBSTITUTE(jason_converted!C67," 'adresse1': '",""),LEN(SUBSTITUTE(jason_converted!C67," 'adresse1': '",""))-1),"")</f>
        <v>AVENUE DE LA GRANGETTE</v>
      </c>
      <c r="D67" t="str">
        <f>IFERROR(LEFT(SUBSTITUTE(jason_converted!D67," 'adresse2': '",""),LEN(SUBSTITUTE(jason_converted!D67," 'adresse2': '",""))-1),"")</f>
        <v>MAISON DES SPORTS</v>
      </c>
      <c r="E67" t="str">
        <f>IFERROR(LEFT(SUBSTITUTE(jason_converted!E67," 'codepostal': '",""),LEN(SUBSTITUTE(jason_converted!E67," 'codepostal': '",""))-1),"")</f>
        <v>74200</v>
      </c>
      <c r="F67" t="str">
        <f>IFERROR(LEFT(SUBSTITUTE(jason_converted!F67," 'ville': '",""),LEN(SUBSTITUTE(jason_converted!F67," 'ville': '",""))-1),"")</f>
        <v>THONON-LES-BAINS</v>
      </c>
      <c r="G67" t="str">
        <f>IFERROR(LEFT(SUBSTITUTE(jason_converted!G67," 'tel': ",""),LEN(SUBSTITUTE(jason_converted!G67," 'tel': ",""))),"")</f>
        <v>'0768129074'</v>
      </c>
      <c r="H67" t="str">
        <f>IFERROR(LEFT(SUBSTITUTE(jason_converted!H67," 'lat': '",""),LEN(SUBSTITUTE(jason_converted!H67," 'lat': '",""))-1),"")</f>
        <v>46.364345200000002</v>
      </c>
      <c r="I67" t="str">
        <f>IFERROR(LEFT(SUBSTITUTE(jason_converted!I67," 'lng': '",""),LEN(SUBSTITUTE(jason_converted!I67," 'lng': '",""))-1),"")</f>
        <v>6.468505802706551</v>
      </c>
      <c r="J67" t="str">
        <f>IFERROR(LEFT(SUBSTITUTE(jason_converted!J67," 'nomClub': '",""),LEN(SUBSTITUTE(jason_converted!J67," 'nomClub': '",""))-1),"")</f>
        <v>CHM THONON</v>
      </c>
      <c r="K67" t="str">
        <f>IFERROR(LEFT(SUBSTITUTE(jason_converted!K67," 'nomCourtClub': '",""),LEN(SUBSTITUTE(jason_converted!K67," 'nomCourtClub': '",""))-1),"")</f>
        <v>CHM</v>
      </c>
      <c r="L67" t="str">
        <f>IFERROR("https://ffhaltero.fr/" &amp; LEFT(SUBSTITUTE(jason_converted!L67," 'url': '",""),LEN(SUBSTITUTE(jason_converted!L67," 'url': '",""))-1),"")</f>
        <v>https://ffhaltero.fr//pratiquer/ou-pratiquer/ou-pratiquer-fiche-club/339860048-chm-thonon'</v>
      </c>
    </row>
    <row r="68" spans="1:12" x14ac:dyDescent="0.25">
      <c r="A68" t="str">
        <f>IFERROR(SUBSTITUTE(jason_converted!A68,"{'id': ",""),"")</f>
        <v>100</v>
      </c>
      <c r="B68" t="str">
        <f>IFERROR(LEFT(SUBSTITUTE(jason_converted!B68," 'nom': '",""),LEN(SUBSTITUTE(jason_converted!B68," 'nom': '",""))-1),"")</f>
        <v>Caen Calvados Haltérophilie-Musculation</v>
      </c>
      <c r="C68" t="str">
        <f>IFERROR(LEFT(SUBSTITUTE(jason_converted!C68," 'adresse1': '",""),LEN(SUBSTITUTE(jason_converted!C68," 'adresse1': '",""))-1),"")</f>
        <v>GYMNASE DE LA MALADRERIE RUE DU DESERT</v>
      </c>
      <c r="D68" t="str">
        <f>IFERROR(LEFT(SUBSTITUTE(jason_converted!D68," 'adresse2': '",""),LEN(SUBSTITUTE(jason_converted!D68," 'adresse2': '",""))-1),"")</f>
        <v/>
      </c>
      <c r="E68" t="str">
        <f>IFERROR(LEFT(SUBSTITUTE(jason_converted!E68," 'codepostal': '",""),LEN(SUBSTITUTE(jason_converted!E68," 'codepostal': '",""))-1),"")</f>
        <v>14000</v>
      </c>
      <c r="F68" t="str">
        <f>IFERROR(LEFT(SUBSTITUTE(jason_converted!F68," 'ville': '",""),LEN(SUBSTITUTE(jason_converted!F68," 'ville': '",""))-1),"")</f>
        <v>CAEN</v>
      </c>
      <c r="G68" t="str">
        <f>IFERROR(LEFT(SUBSTITUTE(jason_converted!G68," 'tel': ",""),LEN(SUBSTITUTE(jason_converted!G68," 'tel': ",""))),"")</f>
        <v>'09.81.39.77.84'</v>
      </c>
      <c r="H68" t="str">
        <f>IFERROR(LEFT(SUBSTITUTE(jason_converted!H68," 'lat': '",""),LEN(SUBSTITUTE(jason_converted!H68," 'lat': '",""))-1),"")</f>
        <v>49.190764000000001</v>
      </c>
      <c r="I68" t="str">
        <f>IFERROR(LEFT(SUBSTITUTE(jason_converted!I68," 'lng': '",""),LEN(SUBSTITUTE(jason_converted!I68," 'lng': '",""))-1),"")</f>
        <v>-0.404566000000000</v>
      </c>
      <c r="J68" t="str">
        <f>IFERROR(LEFT(SUBSTITUTE(jason_converted!J68," 'nomClub': '",""),LEN(SUBSTITUTE(jason_converted!J68," 'nomClub': '",""))-1),"")</f>
        <v>CAEN CALVADOS HALTEROPHILIE MUSCULATION</v>
      </c>
      <c r="K68" t="str">
        <f>IFERROR(LEFT(SUBSTITUTE(jason_converted!K68," 'nomCourtClub': '",""),LEN(SUBSTITUTE(jason_converted!K68," 'nomCourtClub': '",""))-1),"")</f>
        <v>CAEN CALVADOS HALTEROPHILIE MUSCULATION</v>
      </c>
      <c r="L68" t="str">
        <f>IFERROR("https://ffhaltero.fr/" &amp; LEFT(SUBSTITUTE(jason_converted!L68," 'url': '",""),LEN(SUBSTITUTE(jason_converted!L68," 'url': '",""))-1),"")</f>
        <v>https://ffhaltero.fr//pratiquer/ou-pratiquer/ou-pratiquer-fiche-club/04140303-caen-calvados-halterophilie-musculation'</v>
      </c>
    </row>
    <row r="69" spans="1:12" x14ac:dyDescent="0.25">
      <c r="A69" t="str">
        <f>IFERROR(SUBSTITUTE(jason_converted!A69,"{'id': ",""),"")</f>
        <v>102</v>
      </c>
      <c r="B69" t="str">
        <f>IFERROR(LEFT(SUBSTITUTE(jason_converted!B69," 'nom': '",""),LEN(SUBSTITUTE(jason_converted!B69," 'nom': '",""))-1),"")</f>
        <v>CHMC 36</v>
      </c>
      <c r="C69" t="str">
        <f>IFERROR(LEFT(SUBSTITUTE(jason_converted!C69," 'adresse1': '",""),LEN(SUBSTITUTE(jason_converted!C69," 'adresse1': '",""))-1),"")</f>
        <v>RUE 32 RUE SCHWOB</v>
      </c>
      <c r="D69" t="str">
        <f>IFERROR(LEFT(SUBSTITUTE(jason_converted!D69," 'adresse2': '",""),LEN(SUBSTITUTE(jason_converted!D69," 'adresse2': '",""))-1),"")</f>
        <v/>
      </c>
      <c r="E69" t="str">
        <f>IFERROR(LEFT(SUBSTITUTE(jason_converted!E69," 'codepostal': '",""),LEN(SUBSTITUTE(jason_converted!E69," 'codepostal': '",""))-1),"")</f>
        <v>36000</v>
      </c>
      <c r="F69" t="str">
        <f>IFERROR(LEFT(SUBSTITUTE(jason_converted!F69," 'ville': '",""),LEN(SUBSTITUTE(jason_converted!F69," 'ville': '",""))-1),"")</f>
        <v>CHÂTEAUROUX</v>
      </c>
      <c r="G69" t="str">
        <f>IFERROR(LEFT(SUBSTITUTE(jason_converted!G69," 'tel': ",""),LEN(SUBSTITUTE(jason_converted!G69," 'tel': ",""))),"")</f>
        <v>'02.54.22.86.14'</v>
      </c>
      <c r="H69" t="str">
        <f>IFERROR(LEFT(SUBSTITUTE(jason_converted!H69," 'lat': '",""),LEN(SUBSTITUTE(jason_converted!H69," 'lat': '",""))-1),"")</f>
        <v>46.815556999999998</v>
      </c>
      <c r="I69" t="str">
        <f>IFERROR(LEFT(SUBSTITUTE(jason_converted!I69," 'lng': '",""),LEN(SUBSTITUTE(jason_converted!I69," 'lng': '",""))-1),"")</f>
        <v>1.707407000000000</v>
      </c>
      <c r="J69" t="str">
        <f>IFERROR(LEFT(SUBSTITUTE(jason_converted!J69," 'nomClub': '",""),LEN(SUBSTITUTE(jason_converted!J69," 'nomClub': '",""))-1),"")</f>
        <v>CHM CHATEAUROUX</v>
      </c>
      <c r="K69" t="str">
        <f>IFERROR(LEFT(SUBSTITUTE(jason_converted!K69," 'nomCourtClub': '",""),LEN(SUBSTITUTE(jason_converted!K69," 'nomCourtClub': '",""))-1),"")</f>
        <v>CHM CHATEAUROUX</v>
      </c>
      <c r="L69" t="str">
        <f>IFERROR("https://ffhaltero.fr/" &amp; LEFT(SUBSTITUTE(jason_converted!L69," 'url': '",""),LEN(SUBSTITUTE(jason_converted!L69," 'url': '",""))-1),"")</f>
        <v>https://ffhaltero.fr//pratiquer/ou-pratiquer/ou-pratiquer-fiche-club/07360361-chm-chateauroux'</v>
      </c>
    </row>
    <row r="70" spans="1:12" x14ac:dyDescent="0.25">
      <c r="A70" t="str">
        <f>IFERROR(SUBSTITUTE(jason_converted!A70,"{'id': ",""),"")</f>
        <v>103</v>
      </c>
      <c r="B70" t="str">
        <f>IFERROR(LEFT(SUBSTITUTE(jason_converted!B70," 'nom': '",""),LEN(SUBSTITUTE(jason_converted!B70," 'nom': '",""))-1),"")</f>
        <v>jean paul Barthen</v>
      </c>
      <c r="C70" t="str">
        <f>IFERROR(LEFT(SUBSTITUTE(jason_converted!C70," 'adresse1': '",""),LEN(SUBSTITUTE(jason_converted!C70," 'adresse1': '",""))-1),"")</f>
        <v xml:space="preserve"> 'adresse1': "3 RUE DE L'ÉGLISE</v>
      </c>
      <c r="D70" t="str">
        <f>IFERROR(LEFT(SUBSTITUTE(jason_converted!D70," 'adresse2': '",""),LEN(SUBSTITUTE(jason_converted!D70," 'adresse2': '",""))-1),"")</f>
        <v/>
      </c>
      <c r="E70" t="str">
        <f>IFERROR(LEFT(SUBSTITUTE(jason_converted!E70," 'codepostal': '",""),LEN(SUBSTITUTE(jason_converted!E70," 'codepostal': '",""))-1),"")</f>
        <v>57540</v>
      </c>
      <c r="F70" t="str">
        <f>IFERROR(LEFT(SUBSTITUTE(jason_converted!F70," 'ville': '",""),LEN(SUBSTITUTE(jason_converted!F70," 'ville': '",""))-1),"")</f>
        <v>PETITE-ROSSELLE</v>
      </c>
      <c r="G70" t="str">
        <f>IFERROR(LEFT(SUBSTITUTE(jason_converted!G70," 'tel': ",""),LEN(SUBSTITUTE(jason_converted!G70," 'tel': ",""))),"")</f>
        <v>None</v>
      </c>
      <c r="H70" t="str">
        <f>IFERROR(LEFT(SUBSTITUTE(jason_converted!H70," 'lat': '",""),LEN(SUBSTITUTE(jason_converted!H70," 'lat': '",""))-1),"")</f>
        <v>49.208188999999997</v>
      </c>
      <c r="I70" t="str">
        <f>IFERROR(LEFT(SUBSTITUTE(jason_converted!I70," 'lng': '",""),LEN(SUBSTITUTE(jason_converted!I70," 'lng': '",""))-1),"")</f>
        <v>6.847813000000000</v>
      </c>
      <c r="J70" t="str">
        <f>IFERROR(LEFT(SUBSTITUTE(jason_converted!J70," 'nomClub': '",""),LEN(SUBSTITUTE(jason_converted!J70," 'nomClub': '",""))-1),"")</f>
        <v>CH PETITE ROSSELLE</v>
      </c>
      <c r="K70" t="str">
        <f>IFERROR(LEFT(SUBSTITUTE(jason_converted!K70," 'nomCourtClub': '",""),LEN(SUBSTITUTE(jason_converted!K70," 'nomCourtClub': '",""))-1),"")</f>
        <v>CH PETITE ROSSELLE</v>
      </c>
      <c r="L70" t="str">
        <f>IFERROR("https://ffhaltero.fr/" &amp; LEFT(SUBSTITUTE(jason_converted!L70," 'url': '",""),LEN(SUBSTITUTE(jason_converted!L70," 'url': '",""))-1),"")</f>
        <v>https://ffhaltero.fr//pratiquer/ou-pratiquer/ou-pratiquer-fiche-club/14570271-ch-petite-rosselle'</v>
      </c>
    </row>
    <row r="71" spans="1:12" x14ac:dyDescent="0.25">
      <c r="A71" t="str">
        <f>IFERROR(SUBSTITUTE(jason_converted!A71,"{'id': ",""),"")</f>
        <v>104</v>
      </c>
      <c r="B71" t="str">
        <f>IFERROR(LEFT(SUBSTITUTE(jason_converted!B71," 'nom': '",""),LEN(SUBSTITUTE(jason_converted!B71," 'nom': '",""))-1),"")</f>
        <v>CHM CHAVILLE</v>
      </c>
      <c r="C71" t="str">
        <f>IFERROR(LEFT(SUBSTITUTE(jason_converted!C71," 'adresse1': '",""),LEN(SUBSTITUTE(jason_converted!C71," 'adresse1': '",""))-1),"")</f>
        <v>2 RUE COMPLEXE SPORTIF COLETTE BESSON STADE MUNICIPAL 2 RUE JEAN JAURES</v>
      </c>
      <c r="D71" t="str">
        <f>IFERROR(LEFT(SUBSTITUTE(jason_converted!D71," 'adresse2': '",""),LEN(SUBSTITUTE(jason_converted!D71," 'adresse2': '",""))-1),"")</f>
        <v/>
      </c>
      <c r="E71" t="str">
        <f>IFERROR(LEFT(SUBSTITUTE(jason_converted!E71," 'codepostal': '",""),LEN(SUBSTITUTE(jason_converted!E71," 'codepostal': '",""))-1),"")</f>
        <v>92370</v>
      </c>
      <c r="F71" t="str">
        <f>IFERROR(LEFT(SUBSTITUTE(jason_converted!F71," 'ville': '",""),LEN(SUBSTITUTE(jason_converted!F71," 'ville': '",""))-1),"")</f>
        <v>CHAVILLE</v>
      </c>
      <c r="G71" t="str">
        <f>IFERROR(LEFT(SUBSTITUTE(jason_converted!G71," 'tel': ",""),LEN(SUBSTITUTE(jason_converted!G71," 'tel': ",""))),"")</f>
        <v>'01.41.15.08.24'</v>
      </c>
      <c r="H71" t="str">
        <f>IFERROR(LEFT(SUBSTITUTE(jason_converted!H71," 'lat': '",""),LEN(SUBSTITUTE(jason_converted!H71," 'lat': '",""))-1),"")</f>
        <v>48.798561999999997</v>
      </c>
      <c r="I71" t="str">
        <f>IFERROR(LEFT(SUBSTITUTE(jason_converted!I71," 'lng': '",""),LEN(SUBSTITUTE(jason_converted!I71," 'lng': '",""))-1),"")</f>
        <v>2.187909000000000</v>
      </c>
      <c r="J71" t="str">
        <f>IFERROR(LEFT(SUBSTITUTE(jason_converted!J71," 'nomClub': '",""),LEN(SUBSTITUTE(jason_converted!J71," 'nomClub': '",""))-1),"")</f>
        <v>CHM CHAVILLE</v>
      </c>
      <c r="K71" t="str">
        <f>IFERROR(LEFT(SUBSTITUTE(jason_converted!K71," 'nomCourtClub': '",""),LEN(SUBSTITUTE(jason_converted!K71," 'nomCourtClub': '",""))-1),"")</f>
        <v>CHM CHAVILLE</v>
      </c>
      <c r="L71" t="str">
        <f>IFERROR("https://ffhaltero.fr/" &amp; LEFT(SUBSTITUTE(jason_converted!L71," 'url': '",""),LEN(SUBSTITUTE(jason_converted!L71," 'url': '",""))-1),"")</f>
        <v>https://ffhaltero.fr//pratiquer/ou-pratiquer/ou-pratiquer-fiche-club/21920196-chm-chaville'</v>
      </c>
    </row>
    <row r="72" spans="1:12" x14ac:dyDescent="0.25">
      <c r="A72" t="str">
        <f>IFERROR(SUBSTITUTE(jason_converted!A72,"{'id': ",""),"")</f>
        <v>105</v>
      </c>
      <c r="B72" t="str">
        <f>IFERROR(LEFT(SUBSTITUTE(jason_converted!B72," 'nom': '",""),LEN(SUBSTITUTE(jason_converted!B72," 'nom': '",""))-1),"")</f>
        <v>Salle EDMOND coroyer</v>
      </c>
      <c r="C72" t="str">
        <f>IFERROR(LEFT(SUBSTITUTE(jason_converted!C72," 'adresse1': '",""),LEN(SUBSTITUTE(jason_converted!C72," 'adresse1': '",""))-1),"")</f>
        <v>RUE LOUCHEUR</v>
      </c>
      <c r="D72" t="str">
        <f>IFERROR(LEFT(SUBSTITUTE(jason_converted!D72," 'adresse2': '",""),LEN(SUBSTITUTE(jason_converted!D72," 'adresse2': '",""))-1),"")</f>
        <v/>
      </c>
      <c r="E72" t="str">
        <f>IFERROR(LEFT(SUBSTITUTE(jason_converted!E72," 'codepostal': '",""),LEN(SUBSTITUTE(jason_converted!E72," 'codepostal': '",""))-1),"")</f>
        <v>76550</v>
      </c>
      <c r="F72" t="str">
        <f>IFERROR(LEFT(SUBSTITUTE(jason_converted!F72," 'ville': '",""),LEN(SUBSTITUTE(jason_converted!F72," 'ville': '",""))-1),"")</f>
        <v>OFFRANVILLE</v>
      </c>
      <c r="G72" t="str">
        <f>IFERROR(LEFT(SUBSTITUTE(jason_converted!G72," 'tel': ",""),LEN(SUBSTITUTE(jason_converted!G72," 'tel': ",""))),"")</f>
        <v>None</v>
      </c>
      <c r="H72" t="str">
        <f>IFERROR(LEFT(SUBSTITUTE(jason_converted!H72," 'lat': '",""),LEN(SUBSTITUTE(jason_converted!H72," 'lat': '",""))-1),"")</f>
        <v>49.873100999999998</v>
      </c>
      <c r="I72" t="str">
        <f>IFERROR(LEFT(SUBSTITUTE(jason_converted!I72," 'lng': '",""),LEN(SUBSTITUTE(jason_converted!I72," 'lng': '",""))-1),"")</f>
        <v>1.045330000000000</v>
      </c>
      <c r="J72" t="str">
        <f>IFERROR(LEFT(SUBSTITUTE(jason_converted!J72," 'nomClub': '",""),LEN(SUBSTITUTE(jason_converted!J72," 'nomClub': '",""))-1),"")</f>
        <v>MRF OFFRANVILLE</v>
      </c>
      <c r="K72" t="str">
        <f>IFERROR(LEFT(SUBSTITUTE(jason_converted!K72," 'nomCourtClub': '",""),LEN(SUBSTITUTE(jason_converted!K72," 'nomCourtClub': '",""))-1),"")</f>
        <v>MRF OFFRANVILLE</v>
      </c>
      <c r="L72" t="str">
        <f>IFERROR("https://ffhaltero.fr/" &amp; LEFT(SUBSTITUTE(jason_converted!L72," 'url': '",""),LEN(SUBSTITUTE(jason_converted!L72," 'url': '",""))-1),"")</f>
        <v>https://ffhaltero.fr//pratiquer/ou-pratiquer/ou-pratiquer-fiche-club/11760935-mrf-offranville'</v>
      </c>
    </row>
    <row r="73" spans="1:12" x14ac:dyDescent="0.25">
      <c r="A73" t="str">
        <f>IFERROR(SUBSTITUTE(jason_converted!A73,"{'id': ",""),"")</f>
        <v>109</v>
      </c>
      <c r="B73" t="str">
        <f>IFERROR(LEFT(SUBSTITUTE(jason_converted!B73," 'nom': '",""),LEN(SUBSTITUTE(jason_converted!B73," 'nom': '",""))-1),"")</f>
        <v>Salle de boxe et haltérophilie</v>
      </c>
      <c r="C73" t="str">
        <f>IFERROR(LEFT(SUBSTITUTE(jason_converted!C73," 'adresse1': '",""),LEN(SUBSTITUTE(jason_converted!C73," 'adresse1': '",""))-1),"")</f>
        <v>RUE DES FRÈRES NIVERD</v>
      </c>
      <c r="D73" t="str">
        <f>IFERROR(LEFT(SUBSTITUTE(jason_converted!D73," 'adresse2': '",""),LEN(SUBSTITUTE(jason_converted!D73," 'adresse2': '",""))-1),"")</f>
        <v/>
      </c>
      <c r="E73" t="str">
        <f>IFERROR(LEFT(SUBSTITUTE(jason_converted!E73," 'codepostal': '",""),LEN(SUBSTITUTE(jason_converted!E73," 'codepostal': '",""))-1),"")</f>
        <v>61000</v>
      </c>
      <c r="F73" t="str">
        <f>IFERROR(LEFT(SUBSTITUTE(jason_converted!F73," 'ville': '",""),LEN(SUBSTITUTE(jason_converted!F73," 'ville': '",""))-1),"")</f>
        <v>ALENÇON</v>
      </c>
      <c r="G73" t="str">
        <f>IFERROR(LEFT(SUBSTITUTE(jason_converted!G73," 'tel': ",""),LEN(SUBSTITUTE(jason_converted!G73," 'tel': ",""))),"")</f>
        <v>'06.67.74.77.20'</v>
      </c>
      <c r="H73" t="str">
        <f>IFERROR(LEFT(SUBSTITUTE(jason_converted!H73," 'lat': '",""),LEN(SUBSTITUTE(jason_converted!H73," 'lat': '",""))-1),"")</f>
        <v>48.441876499999999</v>
      </c>
      <c r="I73" t="str">
        <f>IFERROR(LEFT(SUBSTITUTE(jason_converted!I73," 'lng': '",""),LEN(SUBSTITUTE(jason_converted!I73," 'lng': '",""))-1),"")</f>
        <v>0.083442200000000</v>
      </c>
      <c r="J73" t="str">
        <f>IFERROR(LEFT(SUBSTITUTE(jason_converted!J73," 'nomClub': '",""),LEN(SUBSTITUTE(jason_converted!J73," 'nomClub': '",""))-1),"")</f>
        <v>CAHM ALENCON</v>
      </c>
      <c r="K73" t="str">
        <f>IFERROR(LEFT(SUBSTITUTE(jason_converted!K73," 'nomCourtClub': '",""),LEN(SUBSTITUTE(jason_converted!K73," 'nomCourtClub': '",""))-1),"")</f>
        <v>CAHM ALENCON</v>
      </c>
      <c r="L73" t="str">
        <f>IFERROR("https://ffhaltero.fr/" &amp; LEFT(SUBSTITUTE(jason_converted!L73," 'url': '",""),LEN(SUBSTITUTE(jason_converted!L73," 'url': '",""))-1),"")</f>
        <v>https://ffhaltero.fr//pratiquer/ou-pratiquer/ou-pratiquer-fiche-club/04610309-cahm-alencon'</v>
      </c>
    </row>
    <row r="74" spans="1:12" x14ac:dyDescent="0.25">
      <c r="A74" t="str">
        <f>IFERROR(SUBSTITUTE(jason_converted!A74,"{'id': ",""),"")</f>
        <v>111</v>
      </c>
      <c r="B74" t="str">
        <f>IFERROR(LEFT(SUBSTITUTE(jason_converted!B74," 'nom': '",""),LEN(SUBSTITUTE(jason_converted!B74," 'nom': '",""))-1),"")</f>
        <v>Farmer CrossFit</v>
      </c>
      <c r="C74" t="str">
        <f>IFERROR(LEFT(SUBSTITUTE(jason_converted!C74," 'adresse1': '",""),LEN(SUBSTITUTE(jason_converted!C74," 'adresse1': '",""))-1),"")</f>
        <v>9 RUE MARCELLIN BERTHELOT</v>
      </c>
      <c r="D74" t="str">
        <f>IFERROR(LEFT(SUBSTITUTE(jason_converted!D74," 'adresse2': '",""),LEN(SUBSTITUTE(jason_converted!D74," 'adresse2': '",""))-1),"")</f>
        <v/>
      </c>
      <c r="E74" t="str">
        <f>IFERROR(LEFT(SUBSTITUTE(jason_converted!E74," 'codepostal': '",""),LEN(SUBSTITUTE(jason_converted!E74," 'codepostal': '",""))-1),"")</f>
        <v>78370</v>
      </c>
      <c r="F74" t="str">
        <f>IFERROR(LEFT(SUBSTITUTE(jason_converted!F74," 'ville': '",""),LEN(SUBSTITUTE(jason_converted!F74," 'ville': '",""))-1),"")</f>
        <v>PLAISIR</v>
      </c>
      <c r="G74" t="str">
        <f>IFERROR(LEFT(SUBSTITUTE(jason_converted!G74," 'tel': ",""),LEN(SUBSTITUTE(jason_converted!G74," 'tel': ",""))),"")</f>
        <v>'+33666004438'</v>
      </c>
      <c r="H74" t="str">
        <f>IFERROR(LEFT(SUBSTITUTE(jason_converted!H74," 'lat': '",""),LEN(SUBSTITUTE(jason_converted!H74," 'lat': '",""))-1),"")</f>
        <v>48.830278000000000</v>
      </c>
      <c r="I74" t="str">
        <f>IFERROR(LEFT(SUBSTITUTE(jason_converted!I74," 'lng': '",""),LEN(SUBSTITUTE(jason_converted!I74," 'lng': '",""))-1),"")</f>
        <v>1.951633000000000</v>
      </c>
      <c r="J74" t="str">
        <f>IFERROR(LEFT(SUBSTITUTE(jason_converted!J74," 'nomClub': '",""),LEN(SUBSTITUTE(jason_converted!J74," 'nomClub': '",""))-1),"")</f>
        <v>ASSOCIATION SPORTIVE FARMER SPORTS</v>
      </c>
      <c r="K74" t="str">
        <f>IFERROR(LEFT(SUBSTITUTE(jason_converted!K74," 'nomCourtClub': '",""),LEN(SUBSTITUTE(jason_converted!K74," 'nomCourtClub': '",""))-1),"")</f>
        <v>AS FARMER SPORTS</v>
      </c>
      <c r="L74" t="str">
        <f>IFERROR("https://ffhaltero.fr/" &amp; LEFT(SUBSTITUTE(jason_converted!L74," 'url': '",""),LEN(SUBSTITUTE(jason_converted!L74," 'url': '",""))-1),"")</f>
        <v>https://ffhaltero.fr//pratiquer/ou-pratiquer/ou-pratiquer-fiche-club/339860051-association-sportive-farmer-sports'</v>
      </c>
    </row>
    <row r="75" spans="1:12" x14ac:dyDescent="0.25">
      <c r="A75" t="str">
        <f>IFERROR(SUBSTITUTE(jason_converted!A75,"{'id': ",""),"")</f>
        <v>115</v>
      </c>
      <c r="B75" t="str">
        <f>IFERROR(LEFT(SUBSTITUTE(jason_converted!B75," 'nom': '",""),LEN(SUBSTITUTE(jason_converted!B75," 'nom': '",""))-1),"")</f>
        <v>Halle des Sports Jean Raynaud</v>
      </c>
      <c r="C75" t="str">
        <f>IFERROR(LEFT(SUBSTITUTE(jason_converted!C75," 'adresse1': '",""),LEN(SUBSTITUTE(jason_converted!C75," 'adresse1': '",""))-1),"")</f>
        <v xml:space="preserve"> 'adresse1': "AVENUE D'AGDE</v>
      </c>
      <c r="D75" t="str">
        <f>IFERROR(LEFT(SUBSTITUTE(jason_converted!D75," 'adresse2': '",""),LEN(SUBSTITUTE(jason_converted!D75," 'adresse2': '",""))-1),"")</f>
        <v/>
      </c>
      <c r="E75" t="str">
        <f>IFERROR(LEFT(SUBSTITUTE(jason_converted!E75," 'codepostal': '",""),LEN(SUBSTITUTE(jason_converted!E75," 'codepostal': '",""))-1),"")</f>
        <v>34450</v>
      </c>
      <c r="F75" t="str">
        <f>IFERROR(LEFT(SUBSTITUTE(jason_converted!F75," 'ville': '",""),LEN(SUBSTITUTE(jason_converted!F75," 'ville': '",""))-1),"")</f>
        <v>VIAS</v>
      </c>
      <c r="G75" t="str">
        <f>IFERROR(LEFT(SUBSTITUTE(jason_converted!G75," 'tel': ",""),LEN(SUBSTITUTE(jason_converted!G75," 'tel': ",""))),"")</f>
        <v>None</v>
      </c>
      <c r="H75" t="str">
        <f>IFERROR(LEFT(SUBSTITUTE(jason_converted!H75," 'lat': '",""),LEN(SUBSTITUTE(jason_converted!H75," 'lat': '",""))-1),"")</f>
        <v>43.314437749999996</v>
      </c>
      <c r="I75" t="str">
        <f>IFERROR(LEFT(SUBSTITUTE(jason_converted!I75," 'lng': '",""),LEN(SUBSTITUTE(jason_converted!I75," 'lng': '",""))-1),"")</f>
        <v>3.420773872187575</v>
      </c>
      <c r="J75" t="str">
        <f>IFERROR(LEFT(SUBSTITUTE(jason_converted!J75," 'nomClub': '",""),LEN(SUBSTITUTE(jason_converted!J75," 'nomClub': '",""))-1),"")</f>
        <v>VILLE DE VIAS</v>
      </c>
      <c r="K75" t="str">
        <f>IFERROR(LEFT(SUBSTITUTE(jason_converted!K75," 'nomCourtClub': '",""),LEN(SUBSTITUTE(jason_converted!K75," 'nomCourtClub': '",""))-1),"")</f>
        <v>VILLE DE VIAS</v>
      </c>
      <c r="L75" t="str">
        <f>IFERROR("https://ffhaltero.fr/" &amp; LEFT(SUBSTITUTE(jason_converted!L75," 'url': '",""),LEN(SUBSTITUTE(jason_converted!L75," 'url': '",""))-1),"")</f>
        <v>https://ffhaltero.fr//pratiquer/ou-pratiquer/ou-pratiquer-fiche-club/15340003-ville-de-vias'</v>
      </c>
    </row>
    <row r="76" spans="1:12" x14ac:dyDescent="0.25">
      <c r="A76" t="str">
        <f>IFERROR(SUBSTITUTE(jason_converted!A76,"{'id': ",""),"")</f>
        <v>117</v>
      </c>
      <c r="B76" t="str">
        <f>IFERROR(LEFT(SUBSTITUTE(jason_converted!B76," 'nom': '",""),LEN(SUBSTITUTE(jason_converted!B76," 'nom': '",""))-1),"")</f>
        <v>complexe sportif de dèomas</v>
      </c>
      <c r="C76" t="str">
        <f>IFERROR(LEFT(SUBSTITUTE(jason_converted!C76," 'adresse1': '",""),LEN(SUBSTITUTE(jason_converted!C76," 'adresse1': '",""))-1),"")</f>
        <v>COMPLEXE SPORTIF DE DEOMAS</v>
      </c>
      <c r="D76" t="str">
        <f>IFERROR(LEFT(SUBSTITUTE(jason_converted!D76," 'adresse2': '",""),LEN(SUBSTITUTE(jason_converted!D76," 'adresse2': '",""))-1),"")</f>
        <v>RUE EMILE BOUCHON</v>
      </c>
      <c r="E76" t="str">
        <f>IFERROR(LEFT(SUBSTITUTE(jason_converted!E76," 'codepostal': '",""),LEN(SUBSTITUTE(jason_converted!E76," 'codepostal': '",""))-1),"")</f>
        <v>07100</v>
      </c>
      <c r="F76" t="str">
        <f>IFERROR(LEFT(SUBSTITUTE(jason_converted!F76," 'ville': '",""),LEN(SUBSTITUTE(jason_converted!F76," 'ville': '",""))-1),"")</f>
        <v>ANNONAY</v>
      </c>
      <c r="G76" t="str">
        <f>IFERROR(LEFT(SUBSTITUTE(jason_converted!G76," 'tel': ",""),LEN(SUBSTITUTE(jason_converted!G76," 'tel': ",""))),"")</f>
        <v>'0660961212'</v>
      </c>
      <c r="H76" t="str">
        <f>IFERROR(LEFT(SUBSTITUTE(jason_converted!H76," 'lat': '",""),LEN(SUBSTITUTE(jason_converted!H76," 'lat': '",""))-1),"")</f>
        <v>45.251767999999998</v>
      </c>
      <c r="I76" t="str">
        <f>IFERROR(LEFT(SUBSTITUTE(jason_converted!I76," 'lng': '",""),LEN(SUBSTITUTE(jason_converted!I76," 'lng': '",""))-1),"")</f>
        <v>4.671866000000000</v>
      </c>
      <c r="J76" t="str">
        <f>IFERROR(LEFT(SUBSTITUTE(jason_converted!J76," 'nomClub': '",""),LEN(SUBSTITUTE(jason_converted!J76," 'nomClub': '",""))-1),"")</f>
        <v>CLUB HALTEROPHILE ANNONEEN</v>
      </c>
      <c r="K76" t="str">
        <f>IFERROR(LEFT(SUBSTITUTE(jason_converted!K76," 'nomCourtClub': '",""),LEN(SUBSTITUTE(jason_converted!K76," 'nomCourtClub': '",""))-1),"")</f>
        <v>CLUB HALTEROPHILE ANNONEEN</v>
      </c>
      <c r="L76" t="str">
        <f>IFERROR("https://ffhaltero.fr/" &amp; LEFT(SUBSTITUTE(jason_converted!L76," 'url': '",""),LEN(SUBSTITUTE(jason_converted!L76," 'url': '",""))-1),"")</f>
        <v>https://ffhaltero.fr//pratiquer/ou-pratiquer/ou-pratiquer-fiche-club/22070909-club-halterophile-annoneen'</v>
      </c>
    </row>
    <row r="77" spans="1:12" x14ac:dyDescent="0.25">
      <c r="A77" t="str">
        <f>IFERROR(SUBSTITUTE(jason_converted!A77,"{'id': ",""),"")</f>
        <v>118</v>
      </c>
      <c r="B77" t="str">
        <f>IFERROR(LEFT(SUBSTITUTE(jason_converted!B77," 'nom': '",""),LEN(SUBSTITUTE(jason_converted!B77," 'nom': '",""))-1),"")</f>
        <v>Chatillon Barbell Club</v>
      </c>
      <c r="C77" t="str">
        <f>IFERROR(LEFT(SUBSTITUTE(jason_converted!C77," 'adresse1': '",""),LEN(SUBSTITUTE(jason_converted!C77," 'adresse1': '",""))-1),"")</f>
        <v>1 CHEMIN BOIS DE LE LAVE</v>
      </c>
      <c r="D77" t="str">
        <f>IFERROR(LEFT(SUBSTITUTE(jason_converted!D77," 'adresse2': '",""),LEN(SUBSTITUTE(jason_converted!D77," 'adresse2': '",""))-1),"")</f>
        <v/>
      </c>
      <c r="E77" t="str">
        <f>IFERROR(LEFT(SUBSTITUTE(jason_converted!E77," 'codepostal': '",""),LEN(SUBSTITUTE(jason_converted!E77," 'codepostal': '",""))-1),"")</f>
        <v>25870</v>
      </c>
      <c r="F77" t="str">
        <f>IFERROR(LEFT(SUBSTITUTE(jason_converted!F77," 'ville': '",""),LEN(SUBSTITUTE(jason_converted!F77," 'ville': '",""))-1),"")</f>
        <v>CHÂTILLON-LE-DUC</v>
      </c>
      <c r="G77" t="str">
        <f>IFERROR(LEFT(SUBSTITUTE(jason_converted!G77," 'tel': ",""),LEN(SUBSTITUTE(jason_converted!G77," 'tel': ",""))),"")</f>
        <v>'07.68.97.38.63'</v>
      </c>
      <c r="H77" t="str">
        <f>IFERROR(LEFT(SUBSTITUTE(jason_converted!H77," 'lat': '",""),LEN(SUBSTITUTE(jason_converted!H77," 'lat': '",""))-1),"")</f>
        <v>47.287815000000002</v>
      </c>
      <c r="I77" t="str">
        <f>IFERROR(LEFT(SUBSTITUTE(jason_converted!I77," 'lng': '",""),LEN(SUBSTITUTE(jason_converted!I77," 'lng': '",""))-1),"")</f>
        <v>5.996564000000000</v>
      </c>
      <c r="J77" t="str">
        <f>IFERROR(LEFT(SUBSTITUTE(jason_converted!J77," 'nomClub': '",""),LEN(SUBSTITUTE(jason_converted!J77," 'nomClub': '",""))-1),"")</f>
        <v>CHATILLON BARBELL CLUB</v>
      </c>
      <c r="K77" t="str">
        <f>IFERROR(LEFT(SUBSTITUTE(jason_converted!K77," 'nomCourtClub': '",""),LEN(SUBSTITUTE(jason_converted!K77," 'nomCourtClub': '",""))-1),"")</f>
        <v>CHATILLON BARBELL CLUB</v>
      </c>
      <c r="L77" t="str">
        <f>IFERROR("https://ffhaltero.fr/" &amp; LEFT(SUBSTITUTE(jason_converted!L77," 'url': '",""),LEN(SUBSTITUTE(jason_converted!L77," 'url': '",""))-1),"")</f>
        <v>https://ffhaltero.fr//pratiquer/ou-pratiquer/ou-pratiquer-fiche-club/02250001-chatillon-barbell-club'</v>
      </c>
    </row>
    <row r="78" spans="1:12" x14ac:dyDescent="0.25">
      <c r="A78" t="str">
        <f>IFERROR(SUBSTITUTE(jason_converted!A78,"{'id': ",""),"")</f>
        <v>121</v>
      </c>
      <c r="B78" t="str">
        <f>IFERROR(LEFT(SUBSTITUTE(jason_converted!B78," 'nom': '",""),LEN(SUBSTITUTE(jason_converted!B78," 'nom': '",""))-1),"")</f>
        <v>hybrid athletics</v>
      </c>
      <c r="C78" t="str">
        <f>IFERROR(LEFT(SUBSTITUTE(jason_converted!C78," 'adresse1': '",""),LEN(SUBSTITUTE(jason_converted!C78," 'adresse1': '",""))-1),"")</f>
        <v>19  CHEMIN DES TREMOLETS</v>
      </c>
      <c r="D78" t="str">
        <f>IFERROR(LEFT(SUBSTITUTE(jason_converted!D78," 'adresse2': '",""),LEN(SUBSTITUTE(jason_converted!D78," 'adresse2': '",""))-1),"")</f>
        <v/>
      </c>
      <c r="E78" t="str">
        <f>IFERROR(LEFT(SUBSTITUTE(jason_converted!E78," 'codepostal': '",""),LEN(SUBSTITUTE(jason_converted!E78," 'codepostal': '",""))-1),"")</f>
        <v>07130</v>
      </c>
      <c r="F78" t="str">
        <f>IFERROR(LEFT(SUBSTITUTE(jason_converted!F78," 'ville': '",""),LEN(SUBSTITUTE(jason_converted!F78," 'ville': '",""))-1),"")</f>
        <v>SAINT-PÉRAY</v>
      </c>
      <c r="G78" t="str">
        <f>IFERROR(LEFT(SUBSTITUTE(jason_converted!G78," 'tel': ",""),LEN(SUBSTITUTE(jason_converted!G78," 'tel': ",""))),"")</f>
        <v>'0760260318'</v>
      </c>
      <c r="H78" t="str">
        <f>IFERROR(LEFT(SUBSTITUTE(jason_converted!H78," 'lat': '",""),LEN(SUBSTITUTE(jason_converted!H78," 'lat': '",""))-1),"")</f>
        <v>44.939847999999998</v>
      </c>
      <c r="I78" t="str">
        <f>IFERROR(LEFT(SUBSTITUTE(jason_converted!I78," 'lng': '",""),LEN(SUBSTITUTE(jason_converted!I78," 'lng': '",""))-1),"")</f>
        <v>4.858865000000000</v>
      </c>
      <c r="J78" t="str">
        <f>IFERROR(LEFT(SUBSTITUTE(jason_converted!J78," 'nomClub': '",""),LEN(SUBSTITUTE(jason_converted!J78," 'nomClub': '",""))-1),"")</f>
        <v>HYBRID ATHLETICS</v>
      </c>
      <c r="K78" t="str">
        <f>IFERROR(LEFT(SUBSTITUTE(jason_converted!K78," 'nomCourtClub': '",""),LEN(SUBSTITUTE(jason_converted!K78," 'nomCourtClub': '",""))-1),"")</f>
        <v>HYBRID</v>
      </c>
      <c r="L78" t="str">
        <f>IFERROR("https://ffhaltero.fr/" &amp; LEFT(SUBSTITUTE(jason_converted!L78," 'url': '",""),LEN(SUBSTITUTE(jason_converted!L78," 'url': '",""))-1),"")</f>
        <v>https://ffhaltero.fr//pratiquer/ou-pratiquer/ou-pratiquer-fiche-club/339860005-hybrid-athletics'</v>
      </c>
    </row>
    <row r="79" spans="1:12" x14ac:dyDescent="0.25">
      <c r="A79" t="str">
        <f>IFERROR(SUBSTITUTE(jason_converted!A79,"{'id': ",""),"")</f>
        <v>125</v>
      </c>
      <c r="B79" t="str">
        <f>IFERROR(LEFT(SUBSTITUTE(jason_converted!B79," 'nom': '",""),LEN(SUBSTITUTE(jason_converted!B79," 'nom': '",""))-1),"")</f>
        <v>E.E.A.R.</v>
      </c>
      <c r="C79" t="str">
        <f>IFERROR(LEFT(SUBSTITUTE(jason_converted!C79," 'adresse1': '",""),LEN(SUBSTITUTE(jason_converted!C79," 'adresse1': '",""))-1),"")</f>
        <v>86 AVENUE EDOUARD GRANGIER</v>
      </c>
      <c r="D79" t="str">
        <f>IFERROR(LEFT(SUBSTITUTE(jason_converted!D79," 'adresse2': '",""),LEN(SUBSTITUTE(jason_converted!D79," 'adresse2': '",""))-1),"")</f>
        <v/>
      </c>
      <c r="E79" t="str">
        <f>IFERROR(LEFT(SUBSTITUTE(jason_converted!E79," 'codepostal': '",""),LEN(SUBSTITUTE(jason_converted!E79," 'codepostal': '",""))-1),"")</f>
        <v>84170</v>
      </c>
      <c r="F79" t="str">
        <f>IFERROR(LEFT(SUBSTITUTE(jason_converted!F79," 'ville': '",""),LEN(SUBSTITUTE(jason_converted!F79," 'ville': '",""))-1),"")</f>
        <v>MONTEUX</v>
      </c>
      <c r="G79" t="str">
        <f>IFERROR(LEFT(SUBSTITUTE(jason_converted!G79," 'tel': ",""),LEN(SUBSTITUTE(jason_converted!G79," 'tel': ",""))),"")</f>
        <v>'0634261320'</v>
      </c>
      <c r="H79" t="str">
        <f>IFERROR(LEFT(SUBSTITUTE(jason_converted!H79," 'lat': '",""),LEN(SUBSTITUTE(jason_converted!H79," 'lat': '",""))-1),"")</f>
        <v>44.037568800000003</v>
      </c>
      <c r="I79" t="str">
        <f>IFERROR(LEFT(SUBSTITUTE(jason_converted!I79," 'lng': '",""),LEN(SUBSTITUTE(jason_converted!I79," 'lng': '",""))-1),"")</f>
        <v>5.000414900000000</v>
      </c>
      <c r="J79" t="str">
        <f>IFERROR(LEFT(SUBSTITUTE(jason_converted!J79," 'nomClub': '",""),LEN(SUBSTITUTE(jason_converted!J79," 'nomClub': '",""))-1),"")</f>
        <v>EEAR MONTEUX</v>
      </c>
      <c r="K79" t="str">
        <f>IFERROR(LEFT(SUBSTITUTE(jason_converted!K79," 'nomCourtClub': '",""),LEN(SUBSTITUTE(jason_converted!K79," 'nomCourtClub': '",""))-1),"")</f>
        <v>EEAR MONTEUX</v>
      </c>
      <c r="L79" t="str">
        <f>IFERROR("https://ffhaltero.fr/" &amp; LEFT(SUBSTITUTE(jason_converted!L79," 'url': '",""),LEN(SUBSTITUTE(jason_converted!L79," 'url': '",""))-1),"")</f>
        <v>https://ffhaltero.fr//pratiquer/ou-pratiquer/ou-pratiquer-fiche-club/20840485-eear-monteux'</v>
      </c>
    </row>
    <row r="80" spans="1:12" x14ac:dyDescent="0.25">
      <c r="A80" t="str">
        <f>IFERROR(SUBSTITUTE(jason_converted!A80,"{'id': ",""),"")</f>
        <v>127</v>
      </c>
      <c r="B80" t="str">
        <f>IFERROR(LEFT(SUBSTITUTE(jason_converted!B80," 'nom': '",""),LEN(SUBSTITUTE(jason_converted!B80," 'nom': '",""))-1),"")</f>
        <v>Salle Criton</v>
      </c>
      <c r="C80" t="str">
        <f>IFERROR(LEFT(SUBSTITUTE(jason_converted!C80," 'adresse1': '",""),LEN(SUBSTITUTE(jason_converted!C80," 'adresse1': '",""))-1),"")</f>
        <v xml:space="preserve">10 </v>
      </c>
      <c r="D80" t="str">
        <f>IFERROR(LEFT(SUBSTITUTE(jason_converted!D80," 'adresse2': '",""),LEN(SUBSTITUTE(jason_converted!D80," 'adresse2': '",""))-1),"")</f>
        <v/>
      </c>
      <c r="E80" t="str">
        <f>IFERROR(LEFT(SUBSTITUTE(jason_converted!E80," 'codepostal': '",""),LEN(SUBSTITUTE(jason_converted!E80," 'codepostal': '",""))-1),"")</f>
        <v>51500</v>
      </c>
      <c r="F80" t="str">
        <f>IFERROR(LEFT(SUBSTITUTE(jason_converted!F80," 'ville': '",""),LEN(SUBSTITUTE(jason_converted!F80," 'ville': '",""))-1),"")</f>
        <v>CHAMERY</v>
      </c>
      <c r="G80" t="str">
        <f>IFERROR(LEFT(SUBSTITUTE(jason_converted!G80," 'tel': ",""),LEN(SUBSTITUTE(jason_converted!G80," 'tel': ",""))),"")</f>
        <v>'0622822851'</v>
      </c>
      <c r="H80" t="str">
        <f>IFERROR(LEFT(SUBSTITUTE(jason_converted!H80," 'lat': '",""),LEN(SUBSTITUTE(jason_converted!H80," 'lat': '",""))-1),"")</f>
        <v>49.172305027565713</v>
      </c>
      <c r="I80" t="str">
        <f>IFERROR(LEFT(SUBSTITUTE(jason_converted!I80," 'lng': '",""),LEN(SUBSTITUTE(jason_converted!I80," 'lng': '",""))-1),"")</f>
        <v>4.026124477386476</v>
      </c>
      <c r="J80" t="str">
        <f>IFERROR(LEFT(SUBSTITUTE(jason_converted!J80," 'nomClub': '",""),LEN(SUBSTITUTE(jason_converted!J80," 'nomClub': '",""))-1),"")</f>
        <v>SC FAMECK</v>
      </c>
      <c r="K80" t="str">
        <f>IFERROR(LEFT(SUBSTITUTE(jason_converted!K80," 'nomCourtClub': '",""),LEN(SUBSTITUTE(jason_converted!K80," 'nomCourtClub': '",""))-1),"")</f>
        <v>SC FAMECK</v>
      </c>
      <c r="L80" t="str">
        <f>IFERROR("https://ffhaltero.fr/" &amp; LEFT(SUBSTITUTE(jason_converted!L80," 'url': '",""),LEN(SUBSTITUTE(jason_converted!L80," 'url': '",""))-1),"")</f>
        <v>https://ffhaltero.fr//pratiquer/ou-pratiquer/ou-pratiquer-fiche-club/14570276-sc-fameck'</v>
      </c>
    </row>
    <row r="81" spans="1:12" x14ac:dyDescent="0.25">
      <c r="A81" t="str">
        <f>IFERROR(SUBSTITUTE(jason_converted!A81,"{'id': ",""),"")</f>
        <v>128</v>
      </c>
      <c r="B81" t="str">
        <f>IFERROR(LEFT(SUBSTITUTE(jason_converted!B81," 'nom': '",""),LEN(SUBSTITUTE(jason_converted!B81," 'nom': '",""))-1),"")</f>
        <v>bhbfbgffb</v>
      </c>
      <c r="C81" t="str">
        <f>IFERROR(LEFT(SUBSTITUTE(jason_converted!C81," 'adresse1': '",""),LEN(SUBSTITUTE(jason_converted!C81," 'adresse1': '",""))-1),"")</f>
        <v>42 ROUTE DE FLEURY</v>
      </c>
      <c r="D81" t="str">
        <f>IFERROR(LEFT(SUBSTITUTE(jason_converted!D81," 'adresse2': '",""),LEN(SUBSTITUTE(jason_converted!D81," 'adresse2': '",""))-1),"")</f>
        <v/>
      </c>
      <c r="E81" t="str">
        <f>IFERROR(LEFT(SUBSTITUTE(jason_converted!E81," 'codepostal': '",""),LEN(SUBSTITUTE(jason_converted!E81," 'codepostal': '",""))-1),"")</f>
        <v>42190</v>
      </c>
      <c r="F81" t="str">
        <f>IFERROR(LEFT(SUBSTITUTE(jason_converted!F81," 'ville': '",""),LEN(SUBSTITUTE(jason_converted!F81," 'ville': '",""))-1),"")</f>
        <v>CHARLIEU</v>
      </c>
      <c r="G81" t="str">
        <f>IFERROR(LEFT(SUBSTITUTE(jason_converted!G81," 'tel': ",""),LEN(SUBSTITUTE(jason_converted!G81," 'tel': ",""))),"")</f>
        <v>'04.77.60.10.82'</v>
      </c>
      <c r="H81" t="str">
        <f>IFERROR(LEFT(SUBSTITUTE(jason_converted!H81," 'lat': '",""),LEN(SUBSTITUTE(jason_converted!H81," 'lat': '",""))-1),"")</f>
        <v>46.162168999999999</v>
      </c>
      <c r="I81" t="str">
        <f>IFERROR(LEFT(SUBSTITUTE(jason_converted!I81," 'lng': '",""),LEN(SUBSTITUTE(jason_converted!I81," 'lng': '",""))-1),"")</f>
        <v>4.170430000000000</v>
      </c>
      <c r="J81" t="str">
        <f>IFERROR(LEFT(SUBSTITUTE(jason_converted!J81," 'nomClub': '",""),LEN(SUBSTITUTE(jason_converted!J81," 'nomClub': '",""))-1),"")</f>
        <v>AL CHARLIEU</v>
      </c>
      <c r="K81" t="str">
        <f>IFERROR(LEFT(SUBSTITUTE(jason_converted!K81," 'nomCourtClub': '",""),LEN(SUBSTITUTE(jason_converted!K81," 'nomCourtClub': '",""))-1),"")</f>
        <v>AL CHARLIEU</v>
      </c>
      <c r="L81" t="str">
        <f>IFERROR("https://ffhaltero.fr/" &amp; LEFT(SUBSTITUTE(jason_converted!L81," 'url': '",""),LEN(SUBSTITUTE(jason_converted!L81," 'url': '",""))-1),"")</f>
        <v>https://ffhaltero.fr//pratiquer/ou-pratiquer/ou-pratiquer-fiche-club/22420641-al-charlieu'</v>
      </c>
    </row>
    <row r="82" spans="1:12" x14ac:dyDescent="0.25">
      <c r="A82" t="str">
        <f>IFERROR(SUBSTITUTE(jason_converted!A82,"{'id': ",""),"")</f>
        <v>129</v>
      </c>
      <c r="B82" t="str">
        <f>IFERROR(LEFT(SUBSTITUTE(jason_converted!B82," 'nom': '",""),LEN(SUBSTITUTE(jason_converted!B82," 'nom': '",""))-1),"")</f>
        <v>HC Saint Baldoph</v>
      </c>
      <c r="C82" t="str">
        <f>IFERROR(LEFT(SUBSTITUTE(jason_converted!C82," 'adresse1': '",""),LEN(SUBSTITUTE(jason_converted!C82," 'adresse1': '",""))-1),"")</f>
        <v xml:space="preserve"> 'adresse1': "CHEMIN DU PONT DE L'ÂNE</v>
      </c>
      <c r="D82" t="str">
        <f>IFERROR(LEFT(SUBSTITUTE(jason_converted!D82," 'adresse2': '",""),LEN(SUBSTITUTE(jason_converted!D82," 'adresse2': '",""))-1),"")</f>
        <v/>
      </c>
      <c r="E82" t="str">
        <f>IFERROR(LEFT(SUBSTITUTE(jason_converted!E82," 'codepostal': '",""),LEN(SUBSTITUTE(jason_converted!E82," 'codepostal': '",""))-1),"")</f>
        <v>73190</v>
      </c>
      <c r="F82" t="str">
        <f>IFERROR(LEFT(SUBSTITUTE(jason_converted!F82," 'ville': '",""),LEN(SUBSTITUTE(jason_converted!F82," 'ville': '",""))-1),"")</f>
        <v>SAINT-BALDOPH</v>
      </c>
      <c r="G82" t="str">
        <f>IFERROR(LEFT(SUBSTITUTE(jason_converted!G82," 'tel': ",""),LEN(SUBSTITUTE(jason_converted!G82," 'tel': ",""))),"")</f>
        <v>None</v>
      </c>
      <c r="H82" t="str">
        <f>IFERROR(LEFT(SUBSTITUTE(jason_converted!H82," 'lat': '",""),LEN(SUBSTITUTE(jason_converted!H82," 'lat': '",""))-1),"")</f>
        <v>45.524082450000002</v>
      </c>
      <c r="I82" t="str">
        <f>IFERROR(LEFT(SUBSTITUTE(jason_converted!I82," 'lng': '",""),LEN(SUBSTITUTE(jason_converted!I82," 'lng': '",""))-1),"")</f>
        <v>5.957297048278697</v>
      </c>
      <c r="J82" t="str">
        <f>IFERROR(LEFT(SUBSTITUTE(jason_converted!J82," 'nomClub': '",""),LEN(SUBSTITUTE(jason_converted!J82," 'nomClub': '",""))-1),"")</f>
        <v>HC SAINT BALDOPH</v>
      </c>
      <c r="K82" t="str">
        <f>IFERROR(LEFT(SUBSTITUTE(jason_converted!K82," 'nomCourtClub': '",""),LEN(SUBSTITUTE(jason_converted!K82," 'nomCourtClub': '",""))-1),"")</f>
        <v>HC SAINT BALDOPH</v>
      </c>
      <c r="L82" t="str">
        <f>IFERROR("https://ffhaltero.fr/" &amp; LEFT(SUBSTITUTE(jason_converted!L82," 'url': '",""),LEN(SUBSTITUTE(jason_converted!L82," 'url': '",""))-1),"")</f>
        <v>https://ffhaltero.fr//pratiquer/ou-pratiquer/ou-pratiquer-fiche-club/22730153-hc-saint-baldoph'</v>
      </c>
    </row>
    <row r="83" spans="1:12" x14ac:dyDescent="0.25">
      <c r="A83" t="str">
        <f>IFERROR(SUBSTITUTE(jason_converted!A83,"{'id': ",""),"")</f>
        <v>131</v>
      </c>
      <c r="B83" t="str">
        <f>IFERROR(LEFT(SUBSTITUTE(jason_converted!B83," 'nom': '",""),LEN(SUBSTITUTE(jason_converted!B83," 'nom': '",""))-1),"")</f>
        <v>Club Rochelais HM</v>
      </c>
      <c r="C83" t="str">
        <f>IFERROR(LEFT(SUBSTITUTE(jason_converted!C83," 'adresse1': '",""),LEN(SUBSTITUTE(jason_converted!C83," 'adresse1': '",""))-1),"")</f>
        <v>21 AVENUE DU PRÉSIDENT KENNEDY</v>
      </c>
      <c r="D83" t="str">
        <f>IFERROR(LEFT(SUBSTITUTE(jason_converted!D83," 'adresse2': '",""),LEN(SUBSTITUTE(jason_converted!D83," 'adresse2': '",""))-1),"")</f>
        <v/>
      </c>
      <c r="E83" t="str">
        <f>IFERROR(LEFT(SUBSTITUTE(jason_converted!E83," 'codepostal': '",""),LEN(SUBSTITUTE(jason_converted!E83," 'codepostal': '",""))-1),"")</f>
        <v>17000</v>
      </c>
      <c r="F83" t="str">
        <f>IFERROR(LEFT(SUBSTITUTE(jason_converted!F83," 'ville': '",""),LEN(SUBSTITUTE(jason_converted!F83," 'ville': '",""))-1),"")</f>
        <v>LA ROCHELLE</v>
      </c>
      <c r="G83" t="str">
        <f>IFERROR(LEFT(SUBSTITUTE(jason_converted!G83," 'tel': ",""),LEN(SUBSTITUTE(jason_converted!G83," 'tel': ",""))),"")</f>
        <v>'05.46.42.37.37'</v>
      </c>
      <c r="H83" t="str">
        <f>IFERROR(LEFT(SUBSTITUTE(jason_converted!H83," 'lat': '",""),LEN(SUBSTITUTE(jason_converted!H83," 'lat': '",""))-1),"")</f>
        <v>46.167627600000003</v>
      </c>
      <c r="I83" t="str">
        <f>IFERROR(LEFT(SUBSTITUTE(jason_converted!I83," 'lng': '",""),LEN(SUBSTITUTE(jason_converted!I83," 'lng': '",""))-1),"")</f>
        <v>-1.183615200000000</v>
      </c>
      <c r="J83" t="str">
        <f>IFERROR(LEFT(SUBSTITUTE(jason_converted!J83," 'nomClub': '",""),LEN(SUBSTITUTE(jason_converted!J83," 'nomClub': '",""))-1),"")</f>
        <v>CLUB ROCHELAIS HM</v>
      </c>
      <c r="K83" t="str">
        <f>IFERROR(LEFT(SUBSTITUTE(jason_converted!K83," 'nomCourtClub': '",""),LEN(SUBSTITUTE(jason_converted!K83," 'nomCourtClub': '",""))-1),"")</f>
        <v>CLUB ROCHELAIS HM</v>
      </c>
      <c r="L83" t="str">
        <f>IFERROR("https://ffhaltero.fr/" &amp; LEFT(SUBSTITUTE(jason_converted!L83," 'url': '",""),LEN(SUBSTITUTE(jason_converted!L83," 'url': '",""))-1),"")</f>
        <v>https://ffhaltero.fr//pratiquer/ou-pratiquer/ou-pratiquer-fiche-club/14170004-club-rochelais-hm'</v>
      </c>
    </row>
    <row r="84" spans="1:12" x14ac:dyDescent="0.25">
      <c r="A84" t="str">
        <f>IFERROR(SUBSTITUTE(jason_converted!A84,"{'id': ",""),"")</f>
        <v>132</v>
      </c>
      <c r="B84" t="str">
        <f>IFERROR(LEFT(SUBSTITUTE(jason_converted!B84," 'nom': '",""),LEN(SUBSTITUTE(jason_converted!B84," 'nom': '",""))-1),"")</f>
        <v>COMPLEXE SPORTIF DU COI</v>
      </c>
      <c r="C84" t="str">
        <f>IFERROR(LEFT(SUBSTITUTE(jason_converted!C84," 'adresse1': '",""),LEN(SUBSTITUTE(jason_converted!C84," 'adresse1': '",""))-1),"")</f>
        <v>RUE RUE DESIRÉ</v>
      </c>
      <c r="D84" t="str">
        <f>IFERROR(LEFT(SUBSTITUTE(jason_converted!D84," 'adresse2': '",""),LEN(SUBSTITUTE(jason_converted!D84," 'adresse2': '",""))-1),"")</f>
        <v/>
      </c>
      <c r="E84" t="str">
        <f>IFERROR(LEFT(SUBSTITUTE(jason_converted!E84," 'codepostal': '",""),LEN(SUBSTITUTE(jason_converted!E84," 'codepostal': '",""))-1),"")</f>
        <v>17400</v>
      </c>
      <c r="F84" t="str">
        <f>IFERROR(LEFT(SUBSTITUTE(jason_converted!F84," 'ville': '",""),LEN(SUBSTITUTE(jason_converted!F84," 'ville': '",""))-1),"")</f>
        <v xml:space="preserve"> 'ville': "SAINT-JEAN-D'ANGÉLY</v>
      </c>
      <c r="G84" t="str">
        <f>IFERROR(LEFT(SUBSTITUTE(jason_converted!G84," 'tel': ",""),LEN(SUBSTITUTE(jason_converted!G84," 'tel': ",""))),"")</f>
        <v>'0625193160'</v>
      </c>
      <c r="H84" t="str">
        <f>IFERROR(LEFT(SUBSTITUTE(jason_converted!H84," 'lat': '",""),LEN(SUBSTITUTE(jason_converted!H84," 'lat': '",""))-1),"")</f>
        <v>45.947954000000003</v>
      </c>
      <c r="I84" t="str">
        <f>IFERROR(LEFT(SUBSTITUTE(jason_converted!I84," 'lng': '",""),LEN(SUBSTITUTE(jason_converted!I84," 'lng': '",""))-1),"")</f>
        <v>-0.522955000000000</v>
      </c>
      <c r="J84" t="str">
        <f>IFERROR(LEFT(SUBSTITUTE(jason_converted!J84," 'nomClub': '",""),LEN(SUBSTITUTE(jason_converted!J84," 'nomClub': '",""))-1),"")</f>
        <v>CHM ANGERIEN</v>
      </c>
      <c r="K84" t="str">
        <f>IFERROR(LEFT(SUBSTITUTE(jason_converted!K84," 'nomCourtClub': '",""),LEN(SUBSTITUTE(jason_converted!K84," 'nomCourtClub': '",""))-1),"")</f>
        <v>CHM ANGERIEN</v>
      </c>
      <c r="L84" t="str">
        <f>IFERROR("https://ffhaltero.fr/" &amp; LEFT(SUBSTITUTE(jason_converted!L84," 'url': '",""),LEN(SUBSTITUTE(jason_converted!L84," 'url': '",""))-1),"")</f>
        <v>https://ffhaltero.fr//pratiquer/ou-pratiquer/ou-pratiquer-fiche-club/19170424-chm-angerien'</v>
      </c>
    </row>
    <row r="85" spans="1:12" x14ac:dyDescent="0.25">
      <c r="A85" t="str">
        <f>IFERROR(SUBSTITUTE(jason_converted!A85,"{'id': ",""),"")</f>
        <v>135</v>
      </c>
      <c r="B85" t="str">
        <f>IFERROR(LEFT(SUBSTITUTE(jason_converted!B85," 'nom': '",""),LEN(SUBSTITUTE(jason_converted!B85," 'nom': '",""))-1),"")</f>
        <v>Duflot</v>
      </c>
      <c r="C85" t="str">
        <f>IFERROR(LEFT(SUBSTITUTE(jason_converted!C85," 'adresse1': '",""),LEN(SUBSTITUTE(jason_converted!C85," 'adresse1': '",""))-1),"")</f>
        <v>4 CLOS LE  DU PRÉ</v>
      </c>
      <c r="D85" t="str">
        <f>IFERROR(LEFT(SUBSTITUTE(jason_converted!D85," 'adresse2': '",""),LEN(SUBSTITUTE(jason_converted!D85," 'adresse2': '",""))-1),"")</f>
        <v>LE CLOS DU PRÉ</v>
      </c>
      <c r="E85" t="str">
        <f>IFERROR(LEFT(SUBSTITUTE(jason_converted!E85," 'codepostal': '",""),LEN(SUBSTITUTE(jason_converted!E85," 'codepostal': '",""))-1),"")</f>
        <v>22490</v>
      </c>
      <c r="F85" t="str">
        <f>IFERROR(LEFT(SUBSTITUTE(jason_converted!F85," 'ville': '",""),LEN(SUBSTITUTE(jason_converted!F85," 'ville': '",""))-1),"")</f>
        <v>LANGROLAY-SUR-RANCE</v>
      </c>
      <c r="G85" t="str">
        <f>IFERROR(LEFT(SUBSTITUTE(jason_converted!G85," 'tel': ",""),LEN(SUBSTITUTE(jason_converted!G85," 'tel': ",""))),"")</f>
        <v>None</v>
      </c>
      <c r="H85" t="str">
        <f>IFERROR(LEFT(SUBSTITUTE(jason_converted!H85," 'lat': '",""),LEN(SUBSTITUTE(jason_converted!H85," 'lat': '",""))-1),"")</f>
        <v>48.555695601229360</v>
      </c>
      <c r="I85" t="str">
        <f>IFERROR(LEFT(SUBSTITUTE(jason_converted!I85," 'lng': '",""),LEN(SUBSTITUTE(jason_converted!I85," 'lng': '",""))-1),"")</f>
        <v>-2.063450514333600</v>
      </c>
      <c r="J85" t="str">
        <f>IFERROR(LEFT(SUBSTITUTE(jason_converted!J85," 'nomClub': '",""),LEN(SUBSTITUTE(jason_converted!J85," 'nomClub': '",""))-1),"")</f>
        <v>BREIZH HALTEROPHILIE CLUB</v>
      </c>
      <c r="K85" t="str">
        <f>IFERROR(LEFT(SUBSTITUTE(jason_converted!K85," 'nomCourtClub': '",""),LEN(SUBSTITUTE(jason_converted!K85," 'nomCourtClub': '",""))-1),"")</f>
        <v>BREIZH HALTEROPHILIE CLUB</v>
      </c>
      <c r="L85" t="str">
        <f>IFERROR("https://ffhaltero.fr/" &amp; LEFT(SUBSTITUTE(jason_converted!L85," 'url': '",""),LEN(SUBSTITUTE(jason_converted!L85," 'url': '",""))-1),"")</f>
        <v>https://ffhaltero.fr//pratiquer/ou-pratiquer/ou-pratiquer-fiche-club/03220005-breizh-halterophilie-club'</v>
      </c>
    </row>
    <row r="86" spans="1:12" x14ac:dyDescent="0.25">
      <c r="A86" t="str">
        <f>IFERROR(SUBSTITUTE(jason_converted!A86,"{'id': ",""),"")</f>
        <v>136</v>
      </c>
      <c r="B86" t="str">
        <f>IFERROR(LEFT(SUBSTITUTE(jason_converted!B86," 'nom': '",""),LEN(SUBSTITUTE(jason_converted!B86," 'nom': '",""))-1),"")</f>
        <v>Centre sportif du docteu Paul Casalis</v>
      </c>
      <c r="C86" t="str">
        <f>IFERROR(LEFT(SUBSTITUTE(jason_converted!C86," 'adresse1': '",""),LEN(SUBSTITUTE(jason_converted!C86," 'adresse1': '",""))-1),"")</f>
        <v>33 AVENUE DU DOCTEUR PAUL CASALIS</v>
      </c>
      <c r="D86" t="str">
        <f>IFERROR(LEFT(SUBSTITUTE(jason_converted!D86," 'adresse2': '",""),LEN(SUBSTITUTE(jason_converted!D86," 'adresse2': '",""))-1),"")</f>
        <v xml:space="preserve">CENTRE SPORTIF DU DOCTEUR PAUL CASALIS </v>
      </c>
      <c r="E86" t="str">
        <f>IFERROR(LEFT(SUBSTITUTE(jason_converted!E86," 'codepostal': '",""),LEN(SUBSTITUTE(jason_converted!E86," 'codepostal': '",""))-1),"")</f>
        <v>94000</v>
      </c>
      <c r="F86" t="str">
        <f>IFERROR(LEFT(SUBSTITUTE(jason_converted!F86," 'ville': '",""),LEN(SUBSTITUTE(jason_converted!F86," 'ville': '",""))-1),"")</f>
        <v>CRÉTEIL</v>
      </c>
      <c r="G86" t="str">
        <f>IFERROR(LEFT(SUBSTITUTE(jason_converted!G86," 'tel': ",""),LEN(SUBSTITUTE(jason_converted!G86," 'tel': ",""))),"")</f>
        <v>None</v>
      </c>
      <c r="H86" t="str">
        <f>IFERROR(LEFT(SUBSTITUTE(jason_converted!H86," 'lat': '",""),LEN(SUBSTITUTE(jason_converted!H86," 'lat': '",""))-1),"")</f>
        <v>48.780068999999997</v>
      </c>
      <c r="I86" t="str">
        <f>IFERROR(LEFT(SUBSTITUTE(jason_converted!I86," 'lng': '",""),LEN(SUBSTITUTE(jason_converted!I86," 'lng': '",""))-1),"")</f>
        <v>2.468332000000000</v>
      </c>
      <c r="J86" t="str">
        <f>IFERROR(LEFT(SUBSTITUTE(jason_converted!J86," 'nomClub': '",""),LEN(SUBSTITUTE(jason_converted!J86," 'nomClub': '",""))-1),"")</f>
        <v>US CRETEIL HMF</v>
      </c>
      <c r="K86" t="str">
        <f>IFERROR(LEFT(SUBSTITUTE(jason_converted!K86," 'nomCourtClub': '",""),LEN(SUBSTITUTE(jason_converted!K86," 'nomCourtClub': '",""))-1),"")</f>
        <v>US CRETEIL HMF</v>
      </c>
      <c r="L86" t="str">
        <f>IFERROR("https://ffhaltero.fr/" &amp; LEFT(SUBSTITUTE(jason_converted!L86," 'url': '",""),LEN(SUBSTITUTE(jason_converted!L86," 'url': '",""))-1),"")</f>
        <v>https://ffhaltero.fr//pratiquer/ou-pratiquer/ou-pratiquer-fiche-club/21941010-us-creteil-hmf'</v>
      </c>
    </row>
    <row r="87" spans="1:12" x14ac:dyDescent="0.25">
      <c r="A87" t="str">
        <f>IFERROR(SUBSTITUTE(jason_converted!A87,"{'id': ",""),"")</f>
        <v>137</v>
      </c>
      <c r="B87" t="str">
        <f>IFERROR(LEFT(SUBSTITUTE(jason_converted!B87," 'nom': '",""),LEN(SUBSTITUTE(jason_converted!B87," 'nom': '",""))-1),"")</f>
        <v>ASI AVENIR HMF</v>
      </c>
      <c r="C87" t="str">
        <f>IFERROR(LEFT(SUBSTITUTE(jason_converted!C87," 'adresse1': '",""),LEN(SUBSTITUTE(jason_converted!C87," 'adresse1': '",""))-1),"")</f>
        <v>11  RUE PRINCIPALE</v>
      </c>
      <c r="D87" t="str">
        <f>IFERROR(LEFT(SUBSTITUTE(jason_converted!D87," 'adresse2': '",""),LEN(SUBSTITUTE(jason_converted!D87," 'adresse2': '",""))-1),"")</f>
        <v xml:space="preserve">SALLE AVENIR </v>
      </c>
      <c r="E87" t="str">
        <f>IFERROR(LEFT(SUBSTITUTE(jason_converted!E87," 'codepostal': '",""),LEN(SUBSTITUTE(jason_converted!E87," 'codepostal': '",""))-1),"")</f>
        <v>67320</v>
      </c>
      <c r="F87" t="str">
        <f>IFERROR(LEFT(SUBSTITUTE(jason_converted!F87," 'ville': '",""),LEN(SUBSTITUTE(jason_converted!F87," 'ville': '",""))-1),"")</f>
        <v>DURSTEL</v>
      </c>
      <c r="G87" t="str">
        <f>IFERROR(LEFT(SUBSTITUTE(jason_converted!G87," 'tel': ",""),LEN(SUBSTITUTE(jason_converted!G87," 'tel': ",""))),"")</f>
        <v>'03.88.01.74.39'</v>
      </c>
      <c r="H87" t="str">
        <f>IFERROR(LEFT(SUBSTITUTE(jason_converted!H87," 'lat': '",""),LEN(SUBSTITUTE(jason_converted!H87," 'lat': '",""))-1),"")</f>
        <v>48.890768000000001</v>
      </c>
      <c r="I87" t="str">
        <f>IFERROR(LEFT(SUBSTITUTE(jason_converted!I87," 'lng': '",""),LEN(SUBSTITUTE(jason_converted!I87," 'lng': '",""))-1),"")</f>
        <v>7.198508000000000</v>
      </c>
      <c r="J87" t="str">
        <f>IFERROR(LEFT(SUBSTITUTE(jason_converted!J87," 'nomClub': '",""),LEN(SUBSTITUTE(jason_converted!J87," 'nomClub': '",""))-1),"")</f>
        <v>ASI AVENIR DURSTEL</v>
      </c>
      <c r="K87" t="str">
        <f>IFERROR(LEFT(SUBSTITUTE(jason_converted!K87," 'nomCourtClub': '",""),LEN(SUBSTITUTE(jason_converted!K87," 'nomCourtClub': '",""))-1),"")</f>
        <v>ASI AVENIR DURSTEL</v>
      </c>
      <c r="L87" t="str">
        <f>IFERROR("https://ffhaltero.fr/" &amp; LEFT(SUBSTITUTE(jason_converted!L87," 'url': '",""),LEN(SUBSTITUTE(jason_converted!L87," 'url': '",""))-1),"")</f>
        <v>https://ffhaltero.fr//pratiquer/ou-pratiquer/ou-pratiquer-fiche-club/01670007-asi-avenir-durstel'</v>
      </c>
    </row>
    <row r="88" spans="1:12" x14ac:dyDescent="0.25">
      <c r="A88" t="str">
        <f>IFERROR(SUBSTITUTE(jason_converted!A88,"{'id': ",""),"")</f>
        <v>138</v>
      </c>
      <c r="B88" t="str">
        <f>IFERROR(LEFT(SUBSTITUTE(jason_converted!B88," 'nom': '",""),LEN(SUBSTITUTE(jason_converted!B88," 'nom': '",""))-1),"")</f>
        <v>WALDECK RUE GENERAL DE GAULLE 67170 GEUDERTHEIM</v>
      </c>
      <c r="C88" t="str">
        <f>IFERROR(LEFT(SUBSTITUTE(jason_converted!C88," 'adresse1': '",""),LEN(SUBSTITUTE(jason_converted!C88," 'adresse1': '",""))-1),"")</f>
        <v>16 RUE DES PRIMEVERS</v>
      </c>
      <c r="D88" t="str">
        <f>IFERROR(LEFT(SUBSTITUTE(jason_converted!D88," 'adresse2': '",""),LEN(SUBSTITUTE(jason_converted!D88," 'adresse2': '",""))-1),"")</f>
        <v/>
      </c>
      <c r="E88" t="str">
        <f>IFERROR(LEFT(SUBSTITUTE(jason_converted!E88," 'codepostal': '",""),LEN(SUBSTITUTE(jason_converted!E88," 'codepostal': '",""))-1),"")</f>
        <v>67170</v>
      </c>
      <c r="F88" t="str">
        <f>IFERROR(LEFT(SUBSTITUTE(jason_converted!F88," 'ville': '",""),LEN(SUBSTITUTE(jason_converted!F88," 'ville': '",""))-1),"")</f>
        <v>GEUDERTHEIM</v>
      </c>
      <c r="G88" t="str">
        <f>IFERROR(LEFT(SUBSTITUTE(jason_converted!G88," 'tel': ",""),LEN(SUBSTITUTE(jason_converted!G88," 'tel': ",""))),"")</f>
        <v>None</v>
      </c>
      <c r="H88" t="str">
        <f>IFERROR(LEFT(SUBSTITUTE(jason_converted!H88," 'lat': '",""),LEN(SUBSTITUTE(jason_converted!H88," 'lat': '",""))-1),"")</f>
        <v>48.720269000000002</v>
      </c>
      <c r="I88" t="str">
        <f>IFERROR(LEFT(SUBSTITUTE(jason_converted!I88," 'lng': '",""),LEN(SUBSTITUTE(jason_converted!I88," 'lng': '",""))-1),"")</f>
        <v>7.765267000000000</v>
      </c>
      <c r="J88" t="str">
        <f>IFERROR(LEFT(SUBSTITUTE(jason_converted!J88," 'nomClub': '",""),LEN(SUBSTITUTE(jason_converted!J88," 'nomClub': '",""))-1),"")</f>
        <v>CHM GEUDERTHEIM</v>
      </c>
      <c r="K88" t="str">
        <f>IFERROR(LEFT(SUBSTITUTE(jason_converted!K88," 'nomCourtClub': '",""),LEN(SUBSTITUTE(jason_converted!K88," 'nomCourtClub': '",""))-1),"")</f>
        <v>CHM GEUDERTHEIM</v>
      </c>
      <c r="L88" t="str">
        <f>IFERROR("https://ffhaltero.fr/" &amp; LEFT(SUBSTITUTE(jason_converted!L88," 'url': '",""),LEN(SUBSTITUTE(jason_converted!L88," 'url': '",""))-1),"")</f>
        <v>https://ffhaltero.fr//pratiquer/ou-pratiquer/ou-pratiquer-fiche-club/01670006-chm-geudertheim'</v>
      </c>
    </row>
    <row r="89" spans="1:12" x14ac:dyDescent="0.25">
      <c r="A89" t="str">
        <f>IFERROR(SUBSTITUTE(jason_converted!A89,"{'id': ",""),"")</f>
        <v>139</v>
      </c>
      <c r="B89" t="str">
        <f>IFERROR(LEFT(SUBSTITUTE(jason_converted!B89," 'nom': '",""),LEN(SUBSTITUTE(jason_converted!B89," 'nom': '",""))-1),"")</f>
        <v>CARNAT</v>
      </c>
      <c r="C89" t="str">
        <f>IFERROR(LEFT(SUBSTITUTE(jason_converted!C89," 'adresse1': '",""),LEN(SUBSTITUTE(jason_converted!C89," 'adresse1': '",""))-1),"")</f>
        <v>SALLE MUNICIPALE HM BERNARD CARNAT RUE DE VERDUN</v>
      </c>
      <c r="D89" t="str">
        <f>IFERROR(LEFT(SUBSTITUTE(jason_converted!D89," 'adresse2': '",""),LEN(SUBSTITUTE(jason_converted!D89," 'adresse2': '",""))-1),"")</f>
        <v/>
      </c>
      <c r="E89" t="str">
        <f>IFERROR(LEFT(SUBSTITUTE(jason_converted!E89," 'codepostal': '",""),LEN(SUBSTITUTE(jason_converted!E89," 'codepostal': '",""))-1),"")</f>
        <v>41110</v>
      </c>
      <c r="F89" t="str">
        <f>IFERROR(LEFT(SUBSTITUTE(jason_converted!F89," 'ville': '",""),LEN(SUBSTITUTE(jason_converted!F89," 'ville': '",""))-1),"")</f>
        <v>SAINT-AIGNAN</v>
      </c>
      <c r="G89" t="str">
        <f>IFERROR(LEFT(SUBSTITUTE(jason_converted!G89," 'tel': ",""),LEN(SUBSTITUTE(jason_converted!G89," 'tel': ",""))),"")</f>
        <v>None</v>
      </c>
      <c r="H89" t="str">
        <f>IFERROR(LEFT(SUBSTITUTE(jason_converted!H89," 'lat': '",""),LEN(SUBSTITUTE(jason_converted!H89," 'lat': '",""))-1),"")</f>
        <v>47.796759000000002</v>
      </c>
      <c r="I89" t="str">
        <f>IFERROR(LEFT(SUBSTITUTE(jason_converted!I89," 'lng': '",""),LEN(SUBSTITUTE(jason_converted!I89," 'lng': '",""))-1),"")</f>
        <v>-1.416339000000000</v>
      </c>
      <c r="J89" t="str">
        <f>IFERROR(LEFT(SUBSTITUTE(jason_converted!J89," 'nomClub': '",""),LEN(SUBSTITUTE(jason_converted!J89," 'nomClub': '",""))-1),"")</f>
        <v>US ST AIGNAN NOYERS HM</v>
      </c>
      <c r="K89" t="str">
        <f>IFERROR(LEFT(SUBSTITUTE(jason_converted!K89," 'nomCourtClub': '",""),LEN(SUBSTITUTE(jason_converted!K89," 'nomCourtClub': '",""))-1),"")</f>
        <v>US ST AIGNAN NOYERS HM</v>
      </c>
      <c r="L89" t="str">
        <f>IFERROR("https://ffhaltero.fr/" &amp; LEFT(SUBSTITUTE(jason_converted!L89," 'url': '",""),LEN(SUBSTITUTE(jason_converted!L89," 'url': '",""))-1),"")</f>
        <v>https://ffhaltero.fr//pratiquer/ou-pratiquer/ou-pratiquer-fiche-club/07410365-us-st-aignan-noyers-hm'</v>
      </c>
    </row>
    <row r="90" spans="1:12" x14ac:dyDescent="0.25">
      <c r="A90" t="str">
        <f>IFERROR(SUBSTITUTE(jason_converted!A90,"{'id': ",""),"")</f>
        <v>140</v>
      </c>
      <c r="B90" t="str">
        <f>IFERROR(LEFT(SUBSTITUTE(jason_converted!B90," 'nom': '",""),LEN(SUBSTITUTE(jason_converted!B90," 'nom': '",""))-1),"")</f>
        <v>st jean de luz</v>
      </c>
      <c r="C90" t="str">
        <f>IFERROR(LEFT(SUBSTITUTE(jason_converted!C90," 'adresse1': '",""),LEN(SUBSTITUTE(jason_converted!C90," 'adresse1': '",""))-1),"")</f>
        <v>AVENUE GEORGES CLEMENCEAU</v>
      </c>
      <c r="D90" t="str">
        <f>IFERROR(LEFT(SUBSTITUTE(jason_converted!D90," 'adresse2': '",""),LEN(SUBSTITUTE(jason_converted!D90," 'adresse2': '",""))-1),"")</f>
        <v/>
      </c>
      <c r="E90" t="str">
        <f>IFERROR(LEFT(SUBSTITUTE(jason_converted!E90," 'codepostal': '",""),LEN(SUBSTITUTE(jason_converted!E90," 'codepostal': '",""))-1),"")</f>
        <v>64500</v>
      </c>
      <c r="F90" t="str">
        <f>IFERROR(LEFT(SUBSTITUTE(jason_converted!F90," 'ville': '",""),LEN(SUBSTITUTE(jason_converted!F90," 'ville': '",""))-1),"")</f>
        <v>CIBOURE</v>
      </c>
      <c r="G90" t="str">
        <f>IFERROR(LEFT(SUBSTITUTE(jason_converted!G90," 'tel': ",""),LEN(SUBSTITUTE(jason_converted!G90," 'tel': ",""))),"")</f>
        <v>'05.59.26.32.21'</v>
      </c>
      <c r="H90" t="str">
        <f>IFERROR(LEFT(SUBSTITUTE(jason_converted!H90," 'lat': '",""),LEN(SUBSTITUTE(jason_converted!H90," 'lat': '",""))-1),"")</f>
        <v>43.396430350000003</v>
      </c>
      <c r="I90" t="str">
        <f>IFERROR(LEFT(SUBSTITUTE(jason_converted!I90," 'lng': '",""),LEN(SUBSTITUTE(jason_converted!I90," 'lng': '",""))-1),"")</f>
        <v>-1.643698841074780</v>
      </c>
      <c r="J90" t="str">
        <f>IFERROR(LEFT(SUBSTITUTE(jason_converted!J90," 'nomClub': '",""),LEN(SUBSTITUTE(jason_converted!J90," 'nomClub': '",""))-1),"")</f>
        <v>FITNESS CLUB LUZIEN</v>
      </c>
      <c r="K90" t="str">
        <f>IFERROR(LEFT(SUBSTITUTE(jason_converted!K90," 'nomCourtClub': '",""),LEN(SUBSTITUTE(jason_converted!K90," 'nomCourtClub': '",""))-1),"")</f>
        <v>FITNESS CLUB LUZIEN</v>
      </c>
      <c r="L90" t="str">
        <f>IFERROR("https://ffhaltero.fr/" &amp; LEFT(SUBSTITUTE(jason_converted!L90," 'url': '",""),LEN(SUBSTITUTE(jason_converted!L90," 'url': '",""))-1),"")</f>
        <v>https://ffhaltero.fr//pratiquer/ou-pratiquer/ou-pratiquer-fiche-club/02640766-fitness-club-luzien'</v>
      </c>
    </row>
    <row r="91" spans="1:12" x14ac:dyDescent="0.25">
      <c r="A91" t="str">
        <f>IFERROR(SUBSTITUTE(jason_converted!A91,"{'id': ",""),"")</f>
        <v>141</v>
      </c>
      <c r="B91" t="str">
        <f>IFERROR(LEFT(SUBSTITUTE(jason_converted!B91," 'nom': '",""),LEN(SUBSTITUTE(jason_converted!B91," 'nom': '",""))-1),"")</f>
        <v>CMF MUSCULATION FLOIRAC</v>
      </c>
      <c r="C91" t="str">
        <f>IFERROR(LEFT(SUBSTITUTE(jason_converted!C91," 'adresse1': '",""),LEN(SUBSTITUTE(jason_converted!C91," 'adresse1': '",""))-1),"")</f>
        <v>20 RUE DE SAUTERNES</v>
      </c>
      <c r="D91" t="str">
        <f>IFERROR(LEFT(SUBSTITUTE(jason_converted!D91," 'adresse2': '",""),LEN(SUBSTITUTE(jason_converted!D91," 'adresse2': '",""))-1),"")</f>
        <v/>
      </c>
      <c r="E91" t="str">
        <f>IFERROR(LEFT(SUBSTITUTE(jason_converted!E91," 'codepostal': '",""),LEN(SUBSTITUTE(jason_converted!E91," 'codepostal': '",""))-1),"")</f>
        <v>33370</v>
      </c>
      <c r="F91" t="str">
        <f>IFERROR(LEFT(SUBSTITUTE(jason_converted!F91," 'ville': '",""),LEN(SUBSTITUTE(jason_converted!F91," 'ville': '",""))-1),"")</f>
        <v>ARTIGUES-PRÈS-BORDEAUX</v>
      </c>
      <c r="G91" t="str">
        <f>IFERROR(LEFT(SUBSTITUTE(jason_converted!G91," 'tel': ",""),LEN(SUBSTITUTE(jason_converted!G91," 'tel': ",""))),"")</f>
        <v>'0662701324'</v>
      </c>
      <c r="H91" t="str">
        <f>IFERROR(LEFT(SUBSTITUTE(jason_converted!H91," 'lat': '",""),LEN(SUBSTITUTE(jason_converted!H91," 'lat': '",""))-1),"")</f>
        <v>44.854469000000002</v>
      </c>
      <c r="I91" t="str">
        <f>IFERROR(LEFT(SUBSTITUTE(jason_converted!I91," 'lng': '",""),LEN(SUBSTITUTE(jason_converted!I91," 'lng': '",""))-1),"")</f>
        <v>-0.490024000000000</v>
      </c>
      <c r="J91" t="str">
        <f>IFERROR(LEFT(SUBSTITUTE(jason_converted!J91," 'nomClub': '",""),LEN(SUBSTITUTE(jason_converted!J91," 'nomClub': '",""))-1),"")</f>
        <v>CM FLOIRAC MUSCULATION</v>
      </c>
      <c r="K91" t="str">
        <f>IFERROR(LEFT(SUBSTITUTE(jason_converted!K91," 'nomCourtClub': '",""),LEN(SUBSTITUTE(jason_converted!K91," 'nomCourtClub': '",""))-1),"")</f>
        <v>CM FLOIRAC MUSCULATION</v>
      </c>
      <c r="L91" t="str">
        <f>IFERROR("https://ffhaltero.fr/" &amp; LEFT(SUBSTITUTE(jason_converted!L91," 'url': '",""),LEN(SUBSTITUTE(jason_converted!L91," 'url': '",""))-1),"")</f>
        <v>https://ffhaltero.fr//pratiquer/ou-pratiquer/ou-pratiquer-fiche-club/02331273-cm-floirac-musculation'</v>
      </c>
    </row>
    <row r="92" spans="1:12" x14ac:dyDescent="0.25">
      <c r="A92" t="str">
        <f>IFERROR(SUBSTITUTE(jason_converted!A92,"{'id': ",""),"")</f>
        <v>144</v>
      </c>
      <c r="B92" t="str">
        <f>IFERROR(LEFT(SUBSTITUTE(jason_converted!B92," 'nom': '",""),LEN(SUBSTITUTE(jason_converted!B92," 'nom': '",""))-1),"")</f>
        <v>CAM MUSCULATION</v>
      </c>
      <c r="C92" t="str">
        <f>IFERROR(LEFT(SUBSTITUTE(jason_converted!C92," 'adresse1': '",""),LEN(SUBSTITUTE(jason_converted!C92," 'adresse1': '",""))-1),"")</f>
        <v>7 RUE ANDRE MAGINOT</v>
      </c>
      <c r="D92" t="str">
        <f>IFERROR(LEFT(SUBSTITUTE(jason_converted!D92," 'adresse2': '",""),LEN(SUBSTITUTE(jason_converted!D92," 'adresse2': '",""))-1),"")</f>
        <v/>
      </c>
      <c r="E92" t="str">
        <f>IFERROR(LEFT(SUBSTITUTE(jason_converted!E92," 'codepostal': '",""),LEN(SUBSTITUTE(jason_converted!E92," 'codepostal': '",""))-1),"")</f>
        <v>33200</v>
      </c>
      <c r="F92" t="str">
        <f>IFERROR(LEFT(SUBSTITUTE(jason_converted!F92," 'ville': '",""),LEN(SUBSTITUTE(jason_converted!F92," 'ville': '",""))-1),"")</f>
        <v>BORDEAUX</v>
      </c>
      <c r="G92" t="str">
        <f>IFERROR(LEFT(SUBSTITUTE(jason_converted!G92," 'tel': ",""),LEN(SUBSTITUTE(jason_converted!G92," 'tel': ",""))),"")</f>
        <v>'05.56.02.38.38'</v>
      </c>
      <c r="H92" t="str">
        <f>IFERROR(LEFT(SUBSTITUTE(jason_converted!H92," 'lat': '",""),LEN(SUBSTITUTE(jason_converted!H92," 'lat': '",""))-1),"")</f>
        <v>44.842621999999999</v>
      </c>
      <c r="I92" t="str">
        <f>IFERROR(LEFT(SUBSTITUTE(jason_converted!I92," 'lng': '",""),LEN(SUBSTITUTE(jason_converted!I92," 'lng': '",""))-1),"")</f>
        <v>-0.625718000000000</v>
      </c>
      <c r="J92" t="str">
        <f>IFERROR(LEFT(SUBSTITUTE(jason_converted!J92," 'nomClub': '",""),LEN(SUBSTITUTE(jason_converted!J92," 'nomClub': '",""))-1),"")</f>
        <v>CAM DE BORDEAUX MUSCULATION</v>
      </c>
      <c r="K92" t="str">
        <f>IFERROR(LEFT(SUBSTITUTE(jason_converted!K92," 'nomCourtClub': '",""),LEN(SUBSTITUTE(jason_converted!K92," 'nomCourtClub': '",""))-1),"")</f>
        <v>CAM DE BORDEAUX MUSCULATION</v>
      </c>
      <c r="L92" t="str">
        <f>IFERROR("https://ffhaltero.fr/" &amp; LEFT(SUBSTITUTE(jason_converted!L92," 'url': '",""),LEN(SUBSTITUTE(jason_converted!L92," 'url': '",""))-1),"")</f>
        <v>https://ffhaltero.fr//pratiquer/ou-pratiquer/ou-pratiquer-fiche-club/02331256-cam-de-bordeaux-musculation'</v>
      </c>
    </row>
    <row r="93" spans="1:12" x14ac:dyDescent="0.25">
      <c r="A93" t="str">
        <f>IFERROR(SUBSTITUTE(jason_converted!A93,"{'id': ",""),"")</f>
        <v>146</v>
      </c>
      <c r="B93" t="str">
        <f>IFERROR(LEFT(SUBSTITUTE(jason_converted!B93," 'nom': '",""),LEN(SUBSTITUTE(jason_converted!B93," 'nom': '",""))-1),"")</f>
        <v>ALL MY GYM</v>
      </c>
      <c r="C93" t="str">
        <f>IFERROR(LEFT(SUBSTITUTE(jason_converted!C93," 'adresse1': '",""),LEN(SUBSTITUTE(jason_converted!C93," 'adresse1': '",""))-1),"")</f>
        <v>21 RUE DE SAINT SULIAC</v>
      </c>
      <c r="D93" t="str">
        <f>IFERROR(LEFT(SUBSTITUTE(jason_converted!D93," 'adresse2': '",""),LEN(SUBSTITUTE(jason_converted!D93," 'adresse2': '",""))-1),"")</f>
        <v>LEHON</v>
      </c>
      <c r="E93" t="str">
        <f>IFERROR(LEFT(SUBSTITUTE(jason_converted!E93," 'codepostal': '",""),LEN(SUBSTITUTE(jason_converted!E93," 'codepostal': '",""))-1),"")</f>
        <v>22100</v>
      </c>
      <c r="F93" t="str">
        <f>IFERROR(LEFT(SUBSTITUTE(jason_converted!F93," 'ville': '",""),LEN(SUBSTITUTE(jason_converted!F93," 'ville': '",""))-1),"")</f>
        <v>DINAN</v>
      </c>
      <c r="G93" t="str">
        <f>IFERROR(LEFT(SUBSTITUTE(jason_converted!G93," 'tel': ",""),LEN(SUBSTITUTE(jason_converted!G93," 'tel': ",""))),"")</f>
        <v>None</v>
      </c>
      <c r="H93" t="str">
        <f>IFERROR(LEFT(SUBSTITUTE(jason_converted!H93," 'lat': '",""),LEN(SUBSTITUTE(jason_converted!H93," 'lat': '",""))-1),"")</f>
        <v>48.443798000000001</v>
      </c>
      <c r="I93" t="str">
        <f>IFERROR(LEFT(SUBSTITUTE(jason_converted!I93," 'lng': '",""),LEN(SUBSTITUTE(jason_converted!I93," 'lng': '",""))-1),"")</f>
        <v>-2.066979000000000</v>
      </c>
      <c r="J93" t="str">
        <f>IFERROR(LEFT(SUBSTITUTE(jason_converted!J93," 'nomClub': '",""),LEN(SUBSTITUTE(jason_converted!J93," 'nomClub': '",""))-1),"")</f>
        <v>ASSOCIATION SPORTIVE BIBOS COMPETITION</v>
      </c>
      <c r="K93" t="str">
        <f>IFERROR(LEFT(SUBSTITUTE(jason_converted!K93," 'nomCourtClub': '",""),LEN(SUBSTITUTE(jason_converted!K93," 'nomCourtClub': '",""))-1),"")</f>
        <v>ASSOCIATION SPORTIVE BIBOS COMPETITION</v>
      </c>
      <c r="L93" t="str">
        <f>IFERROR("https://ffhaltero.fr/" &amp; LEFT(SUBSTITUTE(jason_converted!L93," 'url': '",""),LEN(SUBSTITUTE(jason_converted!L93," 'url': '",""))-1),"")</f>
        <v>https://ffhaltero.fr//pratiquer/ou-pratiquer/ou-pratiquer-fiche-club/03220004-association-sportive-bibos-competition'</v>
      </c>
    </row>
    <row r="94" spans="1:12" x14ac:dyDescent="0.25">
      <c r="A94" t="str">
        <f>IFERROR(SUBSTITUTE(jason_converted!A94,"{'id': ",""),"")</f>
        <v>148</v>
      </c>
      <c r="B94" t="str">
        <f>IFERROR(LEFT(SUBSTITUTE(jason_converted!B94," 'nom': '",""),LEN(SUBSTITUTE(jason_converted!B94," 'nom': '",""))-1),"")</f>
        <v>CrossFit S A O</v>
      </c>
      <c r="C94" t="str">
        <f>IFERROR(LEFT(SUBSTITUTE(jason_converted!C94," 'adresse1': '",""),LEN(SUBSTITUTE(jason_converted!C94," 'adresse1': '",""))-1),"")</f>
        <v>5 ALLÉE DE CINDAIS</v>
      </c>
      <c r="D94" t="str">
        <f>IFERROR(LEFT(SUBSTITUTE(jason_converted!D94," 'adresse2': '",""),LEN(SUBSTITUTE(jason_converted!D94," 'adresse2': '",""))-1),"")</f>
        <v/>
      </c>
      <c r="E94" t="str">
        <f>IFERROR(LEFT(SUBSTITUTE(jason_converted!E94," 'codepostal': '",""),LEN(SUBSTITUTE(jason_converted!E94," 'codepostal': '",""))-1),"")</f>
        <v>14320</v>
      </c>
      <c r="F94" t="str">
        <f>IFERROR(LEFT(SUBSTITUTE(jason_converted!F94," 'ville': '",""),LEN(SUBSTITUTE(jason_converted!F94," 'ville': '",""))-1),"")</f>
        <v>FEUGUEROLLES-BULLY</v>
      </c>
      <c r="G94" t="str">
        <f>IFERROR(LEFT(SUBSTITUTE(jason_converted!G94," 'tel': ",""),LEN(SUBSTITUTE(jason_converted!G94," 'tel': ",""))),"")</f>
        <v>'0610395223'</v>
      </c>
      <c r="H94" t="str">
        <f>IFERROR(LEFT(SUBSTITUTE(jason_converted!H94," 'lat': '",""),LEN(SUBSTITUTE(jason_converted!H94," 'lat': '",""))-1),"")</f>
        <v>49.126627900000003</v>
      </c>
      <c r="I94" t="str">
        <f>IFERROR(LEFT(SUBSTITUTE(jason_converted!I94," 'lng': '",""),LEN(SUBSTITUTE(jason_converted!I94," 'lng': '",""))-1),"")</f>
        <v>-0.378444200000000</v>
      </c>
      <c r="J94" t="str">
        <f>IFERROR(LEFT(SUBSTITUTE(jason_converted!J94," 'nomClub': '",""),LEN(SUBSTITUTE(jason_converted!J94," 'nomClub': '",""))-1),"")</f>
        <v>SPORT ADEPTES</v>
      </c>
      <c r="K94" t="str">
        <f>IFERROR(LEFT(SUBSTITUTE(jason_converted!K94," 'nomCourtClub': '",""),LEN(SUBSTITUTE(jason_converted!K94," 'nomCourtClub': '",""))-1),"")</f>
        <v>CROSSFIT ST ANDRE/ORNE</v>
      </c>
      <c r="L94" t="str">
        <f>IFERROR("https://ffhaltero.fr/" &amp; LEFT(SUBSTITUTE(jason_converted!L94," 'url': '",""),LEN(SUBSTITUTE(jason_converted!L94," 'url': '",""))-1),"")</f>
        <v>https://ffhaltero.fr//pratiquer/ou-pratiquer/ou-pratiquer-fiche-club/339860052-sport-adeptes'</v>
      </c>
    </row>
    <row r="95" spans="1:12" x14ac:dyDescent="0.25">
      <c r="A95" t="str">
        <f>IFERROR(SUBSTITUTE(jason_converted!A95,"{'id': ",""),"")</f>
        <v>149</v>
      </c>
      <c r="B95" t="str">
        <f>IFERROR(LEFT(SUBSTITUTE(jason_converted!B95," 'nom': '",""),LEN(SUBSTITUTE(jason_converted!B95," 'nom': '",""))-1),"")</f>
        <v>CANIVET</v>
      </c>
      <c r="C95" t="str">
        <f>IFERROR(LEFT(SUBSTITUTE(jason_converted!C95," 'adresse1': '",""),LEN(SUBSTITUTE(jason_converted!C95," 'adresse1': '",""))-1),"")</f>
        <v>1 RUE COTON</v>
      </c>
      <c r="D95" t="str">
        <f>IFERROR(LEFT(SUBSTITUTE(jason_converted!D95," 'adresse2': '",""),LEN(SUBSTITUTE(jason_converted!D95," 'adresse2': '",""))-1),"")</f>
        <v/>
      </c>
      <c r="E95" t="str">
        <f>IFERROR(LEFT(SUBSTITUTE(jason_converted!E95," 'codepostal': '",""),LEN(SUBSTITUTE(jason_converted!E95," 'codepostal': '",""))-1),"")</f>
        <v>50750</v>
      </c>
      <c r="F95" t="str">
        <f>IFERROR(LEFT(SUBSTITUTE(jason_converted!F95," 'ville': '",""),LEN(SUBSTITUTE(jason_converted!F95," 'ville': '",""))-1),"")</f>
        <v>CANISY</v>
      </c>
      <c r="G95" t="str">
        <f>IFERROR(LEFT(SUBSTITUTE(jason_converted!G95," 'tel': ",""),LEN(SUBSTITUTE(jason_converted!G95," 'tel': ",""))),"")</f>
        <v>'+33609584876'</v>
      </c>
      <c r="H95" t="str">
        <f>IFERROR(LEFT(SUBSTITUTE(jason_converted!H95," 'lat': '",""),LEN(SUBSTITUTE(jason_converted!H95," 'lat': '",""))-1),"")</f>
        <v>49.047891000000000</v>
      </c>
      <c r="I95" t="str">
        <f>IFERROR(LEFT(SUBSTITUTE(jason_converted!I95," 'lng': '",""),LEN(SUBSTITUTE(jason_converted!I95," 'lng': '",""))-1),"")</f>
        <v>-1.098478000000000</v>
      </c>
      <c r="J95" t="str">
        <f>IFERROR(LEFT(SUBSTITUTE(jason_converted!J95," 'nomClub': '",""),LEN(SUBSTITUTE(jason_converted!J95," 'nomClub': '",""))-1),"")</f>
        <v>STADE ST LOIS</v>
      </c>
      <c r="K95" t="str">
        <f>IFERROR(LEFT(SUBSTITUTE(jason_converted!K95," 'nomCourtClub': '",""),LEN(SUBSTITUTE(jason_converted!K95," 'nomCourtClub': '",""))-1),"")</f>
        <v>STADE ST LOIS</v>
      </c>
      <c r="L95" t="str">
        <f>IFERROR("https://ffhaltero.fr/" &amp; LEFT(SUBSTITUTE(jason_converted!L95," 'url': '",""),LEN(SUBSTITUTE(jason_converted!L95," 'url': '",""))-1),"")</f>
        <v>https://ffhaltero.fr//pratiquer/ou-pratiquer/ou-pratiquer-fiche-club/04500308-stade-st-lois'</v>
      </c>
    </row>
    <row r="96" spans="1:12" x14ac:dyDescent="0.25">
      <c r="A96" t="str">
        <f>IFERROR(SUBSTITUTE(jason_converted!A96,"{'id': ",""),"")</f>
        <v>150</v>
      </c>
      <c r="B96" t="str">
        <f>IFERROR(LEFT(SUBSTITUTE(jason_converted!B96," 'nom': '",""),LEN(SUBSTITUTE(jason_converted!B96," 'nom': '",""))-1),"")</f>
        <v>avenir de survilliers</v>
      </c>
      <c r="C96" t="str">
        <f>IFERROR(LEFT(SUBSTITUTE(jason_converted!C96," 'adresse1': '",""),LEN(SUBSTITUTE(jason_converted!C96," 'adresse1': '",""))-1),"")</f>
        <v>2 RUE DES GRANDS PRÉS</v>
      </c>
      <c r="D96" t="str">
        <f>IFERROR(LEFT(SUBSTITUTE(jason_converted!D96," 'adresse2': '",""),LEN(SUBSTITUTE(jason_converted!D96," 'adresse2': '",""))-1),"")</f>
        <v/>
      </c>
      <c r="E96" t="str">
        <f>IFERROR(LEFT(SUBSTITUTE(jason_converted!E96," 'codepostal': '",""),LEN(SUBSTITUTE(jason_converted!E96," 'codepostal': '",""))-1),"")</f>
        <v>95470</v>
      </c>
      <c r="F96" t="str">
        <f>IFERROR(LEFT(SUBSTITUTE(jason_converted!F96," 'ville': '",""),LEN(SUBSTITUTE(jason_converted!F96," 'ville': '",""))-1),"")</f>
        <v>SURVILLIERS</v>
      </c>
      <c r="G96" t="str">
        <f>IFERROR(LEFT(SUBSTITUTE(jason_converted!G96," 'tel': ",""),LEN(SUBSTITUTE(jason_converted!G96," 'tel': ",""))),"")</f>
        <v>None</v>
      </c>
      <c r="H96" t="str">
        <f>IFERROR(LEFT(SUBSTITUTE(jason_converted!H96," 'lat': '",""),LEN(SUBSTITUTE(jason_converted!H96," 'lat': '",""))-1),"")</f>
        <v>49.099010414331580</v>
      </c>
      <c r="I96" t="str">
        <f>IFERROR(LEFT(SUBSTITUTE(jason_converted!I96," 'lng': '",""),LEN(SUBSTITUTE(jason_converted!I96," 'lng': '",""))-1),"")</f>
        <v>2.547168954919027</v>
      </c>
      <c r="J96" t="str">
        <f>IFERROR(LEFT(SUBSTITUTE(jason_converted!J96," 'nomClub': '",""),LEN(SUBSTITUTE(jason_converted!J96," 'nomClub': '",""))-1),"")</f>
        <v>AVENIR DE SURVILLIERS</v>
      </c>
      <c r="K96" t="str">
        <f>IFERROR(LEFT(SUBSTITUTE(jason_converted!K96," 'nomCourtClub': '",""),LEN(SUBSTITUTE(jason_converted!K96," 'nomCourtClub': '",""))-1),"")</f>
        <v>AVENIR DE SURVILLIERS</v>
      </c>
      <c r="L96" t="str">
        <f>IFERROR("https://ffhaltero.fr/" &amp; LEFT(SUBSTITUTE(jason_converted!L96," 'url': '",""),LEN(SUBSTITUTE(jason_converted!L96," 'url': '",""))-1),"")</f>
        <v>https://ffhaltero.fr//pratiquer/ou-pratiquer/ou-pratiquer-fiche-club/21951274-avenir-de-survilliers'</v>
      </c>
    </row>
    <row r="97" spans="1:12" x14ac:dyDescent="0.25">
      <c r="A97" t="str">
        <f>IFERROR(SUBSTITUTE(jason_converted!A97,"{'id': ",""),"")</f>
        <v>151</v>
      </c>
      <c r="B97" t="str">
        <f>IFERROR(LEFT(SUBSTITUTE(jason_converted!B97," 'nom': '",""),LEN(SUBSTITUTE(jason_converted!B97," 'nom': '",""))-1),"")</f>
        <v>CrossFit Cholet</v>
      </c>
      <c r="C97" t="str">
        <f>IFERROR(LEFT(SUBSTITUTE(jason_converted!C97," 'adresse1': '",""),LEN(SUBSTITUTE(jason_converted!C97," 'adresse1': '",""))-1),"")</f>
        <v>315 RUE DE BELGIQUE</v>
      </c>
      <c r="D97" t="str">
        <f>IFERROR(LEFT(SUBSTITUTE(jason_converted!D97," 'adresse2': '",""),LEN(SUBSTITUTE(jason_converted!D97," 'adresse2': '",""))-1),"")</f>
        <v>CROSSFIT CHOLET Z1 DES GRANDS BOIS</v>
      </c>
      <c r="E97" t="str">
        <f>IFERROR(LEFT(SUBSTITUTE(jason_converted!E97," 'codepostal': '",""),LEN(SUBSTITUTE(jason_converted!E97," 'codepostal': '",""))-1),"")</f>
        <v>49280</v>
      </c>
      <c r="F97" t="str">
        <f>IFERROR(LEFT(SUBSTITUTE(jason_converted!F97," 'ville': '",""),LEN(SUBSTITUTE(jason_converted!F97," 'ville': '",""))-1),"")</f>
        <v>MAZIÈRES-EN-MAUGES</v>
      </c>
      <c r="G97" t="str">
        <f>IFERROR(LEFT(SUBSTITUTE(jason_converted!G97," 'tel': ",""),LEN(SUBSTITUTE(jason_converted!G97," 'tel': ",""))),"")</f>
        <v>'0632214394'</v>
      </c>
      <c r="H97" t="str">
        <f>IFERROR(LEFT(SUBSTITUTE(jason_converted!H97," 'lat': '",""),LEN(SUBSTITUTE(jason_converted!H97," 'lat': '",""))-1),"")</f>
        <v>47.090001200000003</v>
      </c>
      <c r="I97" t="str">
        <f>IFERROR(LEFT(SUBSTITUTE(jason_converted!I97," 'lng': '",""),LEN(SUBSTITUTE(jason_converted!I97," 'lng': '",""))-1),"")</f>
        <v>-0.915292000000000</v>
      </c>
      <c r="J97" t="str">
        <f>IFERROR(LEFT(SUBSTITUTE(jason_converted!J97," 'nomClub': '",""),LEN(SUBSTITUTE(jason_converted!J97," 'nomClub': '",""))-1),"")</f>
        <v>CHOLET BARBELL CLUB</v>
      </c>
      <c r="K97" t="str">
        <f>IFERROR(LEFT(SUBSTITUTE(jason_converted!K97," 'nomCourtClub': '",""),LEN(SUBSTITUTE(jason_converted!K97," 'nomCourtClub': '",""))-1),"")</f>
        <v>CHOLETBARBELL</v>
      </c>
      <c r="L97" t="str">
        <f>IFERROR("https://ffhaltero.fr/" &amp; LEFT(SUBSTITUTE(jason_converted!L97," 'url': '",""),LEN(SUBSTITUTE(jason_converted!L97," 'url': '",""))-1),"")</f>
        <v>https://ffhaltero.fr//pratiquer/ou-pratiquer/ou-pratiquer-fiche-club/339860007-cholet-barbell-club'</v>
      </c>
    </row>
    <row r="98" spans="1:12" x14ac:dyDescent="0.25">
      <c r="A98" t="str">
        <f>IFERROR(SUBSTITUTE(jason_converted!A98,"{'id': ",""),"")</f>
        <v>147</v>
      </c>
      <c r="B98" t="str">
        <f>IFERROR(LEFT(SUBSTITUTE(jason_converted!B98," 'nom': '",""),LEN(SUBSTITUTE(jason_converted!B98," 'nom': '",""))-1),"")</f>
        <v>Société Athlétique Montmartroise</v>
      </c>
      <c r="C98" t="str">
        <f>IFERROR(LEFT(SUBSTITUTE(jason_converted!C98," 'adresse1': '",""),LEN(SUBSTITUTE(jason_converted!C98," 'adresse1': '",""))-1),"")</f>
        <v>12 RUE RENÉ BINET</v>
      </c>
      <c r="D98" t="str">
        <f>IFERROR(LEFT(SUBSTITUTE(jason_converted!D98," 'adresse2': '",""),LEN(SUBSTITUTE(jason_converted!D98," 'adresse2': '",""))-1),"")</f>
        <v>CENTRE SPORTIF BERTAND DAUVIN</v>
      </c>
      <c r="E98" t="str">
        <f>IFERROR(LEFT(SUBSTITUTE(jason_converted!E98," 'codepostal': '",""),LEN(SUBSTITUTE(jason_converted!E98," 'codepostal': '",""))-1),"")</f>
        <v>75018</v>
      </c>
      <c r="F98" t="str">
        <f>IFERROR(LEFT(SUBSTITUTE(jason_converted!F98," 'ville': '",""),LEN(SUBSTITUTE(jason_converted!F98," 'ville': '",""))-1),"")</f>
        <v>PARIS</v>
      </c>
      <c r="G98" t="str">
        <f>IFERROR(LEFT(SUBSTITUTE(jason_converted!G98," 'tel': ",""),LEN(SUBSTITUTE(jason_converted!G98," 'tel': ",""))),"")</f>
        <v>None</v>
      </c>
      <c r="H98" t="str">
        <f>IFERROR(LEFT(SUBSTITUTE(jason_converted!H98," 'lat': '",""),LEN(SUBSTITUTE(jason_converted!H98," 'lat': '",""))-1),"")</f>
        <v>48.899487000000001</v>
      </c>
      <c r="I98" t="str">
        <f>IFERROR(LEFT(SUBSTITUTE(jason_converted!I98," 'lng': '",""),LEN(SUBSTITUTE(jason_converted!I98," 'lng': '",""))-1),"")</f>
        <v>2.342054000000000</v>
      </c>
      <c r="J98" t="str">
        <f>IFERROR(LEFT(SUBSTITUTE(jason_converted!J98," 'nomClub': '",""),LEN(SUBSTITUTE(jason_converted!J98," 'nomClub': '",""))-1),"")</f>
        <v>SA MONTMARTROISE</v>
      </c>
      <c r="K98" t="str">
        <f>IFERROR(LEFT(SUBSTITUTE(jason_converted!K98," 'nomCourtClub': '",""),LEN(SUBSTITUTE(jason_converted!K98," 'nomCourtClub': '",""))-1),"")</f>
        <v>SA MONTMARTROISE</v>
      </c>
      <c r="L98" t="str">
        <f>IFERROR("https://ffhaltero.fr/" &amp; LEFT(SUBSTITUTE(jason_converted!L98," 'url': '",""),LEN(SUBSTITUTE(jason_converted!L98," 'url': '",""))-1),"")</f>
        <v>https://ffhaltero.fr//pratiquer/ou-pratiquer/ou-pratiquer-fiche-club/21750747-sa-montmartroise'</v>
      </c>
    </row>
    <row r="99" spans="1:12" x14ac:dyDescent="0.25">
      <c r="A99" t="str">
        <f>IFERROR(SUBSTITUTE(jason_converted!A99,"{'id': ",""),"")</f>
        <v>153</v>
      </c>
      <c r="B99" t="str">
        <f>IFERROR(LEFT(SUBSTITUTE(jason_converted!B99," 'nom': '",""),LEN(SUBSTITUTE(jason_converted!B99," 'nom': '",""))-1),"")</f>
        <v>ESPACE FORME</v>
      </c>
      <c r="C99" t="str">
        <f>IFERROR(LEFT(SUBSTITUTE(jason_converted!C99," 'adresse1': '",""),LEN(SUBSTITUTE(jason_converted!C99," 'adresse1': '",""))-1),"")</f>
        <v>5 RUE DES MARTYRS</v>
      </c>
      <c r="D99" t="str">
        <f>IFERROR(LEFT(SUBSTITUTE(jason_converted!D99," 'adresse2': '",""),LEN(SUBSTITUTE(jason_converted!D99," 'adresse2': '",""))-1),"")</f>
        <v/>
      </c>
      <c r="E99" t="str">
        <f>IFERROR(LEFT(SUBSTITUTE(jason_converted!E99," 'codepostal': '",""),LEN(SUBSTITUTE(jason_converted!E99," 'codepostal': '",""))-1),"")</f>
        <v>24150</v>
      </c>
      <c r="F99" t="str">
        <f>IFERROR(LEFT(SUBSTITUTE(jason_converted!F99," 'ville': '",""),LEN(SUBSTITUTE(jason_converted!F99," 'ville': '",""))-1),"")</f>
        <v>LALINDE</v>
      </c>
      <c r="G99" t="str">
        <f>IFERROR(LEFT(SUBSTITUTE(jason_converted!G99," 'tel': ",""),LEN(SUBSTITUTE(jason_converted!G99," 'tel': ",""))),"")</f>
        <v>'05.53.73.18.05'</v>
      </c>
      <c r="H99" t="str">
        <f>IFERROR(LEFT(SUBSTITUTE(jason_converted!H99," 'lat': '",""),LEN(SUBSTITUTE(jason_converted!H99," 'lat': '",""))-1),"")</f>
        <v>44.835965000000002</v>
      </c>
      <c r="I99" t="str">
        <f>IFERROR(LEFT(SUBSTITUTE(jason_converted!I99," 'lng': '",""),LEN(SUBSTITUTE(jason_converted!I99," 'lng': '",""))-1),"")</f>
        <v>0.739561000000000</v>
      </c>
      <c r="J99" t="str">
        <f>IFERROR(LEFT(SUBSTITUTE(jason_converted!J99," 'nomClub': '",""),LEN(SUBSTITUTE(jason_converted!J99," 'nomClub': '",""))-1),"")</f>
        <v>ESPACE FORME LALINDE</v>
      </c>
      <c r="K99" t="str">
        <f>IFERROR(LEFT(SUBSTITUTE(jason_converted!K99," 'nomCourtClub': '",""),LEN(SUBSTITUTE(jason_converted!K99," 'nomCourtClub': '",""))-1),"")</f>
        <v>ESPACE FORME LALINDE</v>
      </c>
      <c r="L99" t="str">
        <f>IFERROR("https://ffhaltero.fr/" &amp; LEFT(SUBSTITUTE(jason_converted!L99," 'url': '",""),LEN(SUBSTITUTE(jason_converted!L99," 'url': '",""))-1),"")</f>
        <v>https://ffhaltero.fr//pratiquer/ou-pratiquer/ou-pratiquer-fiche-club/02240660-espace-forme-lalinde'</v>
      </c>
    </row>
    <row r="100" spans="1:12" x14ac:dyDescent="0.25">
      <c r="A100" t="str">
        <f>IFERROR(SUBSTITUTE(jason_converted!A100,"{'id': ",""),"")</f>
        <v>155</v>
      </c>
      <c r="B100" t="str">
        <f>IFERROR(LEFT(SUBSTITUTE(jason_converted!B100," 'nom': '",""),LEN(SUBSTITUTE(jason_converted!B100," 'nom': '",""))-1),"")</f>
        <v>HALTEROPHILE CLUB MARSEILLE</v>
      </c>
      <c r="C100" t="str">
        <f>IFERROR(LEFT(SUBSTITUTE(jason_converted!C100," 'adresse1': '",""),LEN(SUBSTITUTE(jason_converted!C100," 'adresse1': '",""))-1),"")</f>
        <v>BOULEVARD MIREILLE LAUZE</v>
      </c>
      <c r="D100" t="str">
        <f>IFERROR(LEFT(SUBSTITUTE(jason_converted!D100," 'adresse2': '",""),LEN(SUBSTITUTE(jason_converted!D100," 'adresse2': '",""))-1),"")</f>
        <v/>
      </c>
      <c r="E100" t="str">
        <f>IFERROR(LEFT(SUBSTITUTE(jason_converted!E100," 'codepostal': '",""),LEN(SUBSTITUTE(jason_converted!E100," 'codepostal': '",""))-1),"")</f>
        <v>13011</v>
      </c>
      <c r="F100" t="str">
        <f>IFERROR(LEFT(SUBSTITUTE(jason_converted!F100," 'ville': '",""),LEN(SUBSTITUTE(jason_converted!F100," 'ville': '",""))-1),"")</f>
        <v>MARSEILLE</v>
      </c>
      <c r="G100" t="str">
        <f>IFERROR(LEFT(SUBSTITUTE(jason_converted!G100," 'tel': ",""),LEN(SUBSTITUTE(jason_converted!G100," 'tel': ",""))),"")</f>
        <v>'0623671338'</v>
      </c>
      <c r="H100" t="str">
        <f>IFERROR(LEFT(SUBSTITUTE(jason_converted!H100," 'lat': '",""),LEN(SUBSTITUTE(jason_converted!H100," 'lat': '",""))-1),"")</f>
        <v>43.288778199999996</v>
      </c>
      <c r="I100" t="str">
        <f>IFERROR(LEFT(SUBSTITUTE(jason_converted!I100," 'lng': '",""),LEN(SUBSTITUTE(jason_converted!I100," 'lng': '",""))-1),"")</f>
        <v>5.437097200516724</v>
      </c>
      <c r="J100" t="str">
        <f>IFERROR(LEFT(SUBSTITUTE(jason_converted!J100," 'nomClub': '",""),LEN(SUBSTITUTE(jason_converted!J100," 'nomClub': '",""))-1),"")</f>
        <v>HC MARSEILLE</v>
      </c>
      <c r="K100" t="str">
        <f>IFERROR(LEFT(SUBSTITUTE(jason_converted!K100," 'nomCourtClub': '",""),LEN(SUBSTITUTE(jason_converted!K100," 'nomCourtClub': '",""))-1),"")</f>
        <v>HC MARSEILLE</v>
      </c>
      <c r="L100" t="str">
        <f>IFERROR("https://ffhaltero.fr/" &amp; LEFT(SUBSTITUTE(jason_converted!L100," 'url': '",""),LEN(SUBSTITUTE(jason_converted!L100," 'url': '",""))-1),"")</f>
        <v>https://ffhaltero.fr//pratiquer/ou-pratiquer/ou-pratiquer-fiche-club/20130475-hc-marseille'</v>
      </c>
    </row>
    <row r="101" spans="1:12" x14ac:dyDescent="0.25">
      <c r="A101" t="str">
        <f>IFERROR(SUBSTITUTE(jason_converted!A101,"{'id': ",""),"")</f>
        <v>160</v>
      </c>
      <c r="B101" t="str">
        <f>IFERROR(LEFT(SUBSTITUTE(jason_converted!B101," 'nom': '",""),LEN(SUBSTITUTE(jason_converted!B101," 'nom': '",""))-1),"")</f>
        <v>FITNESS ESSA</v>
      </c>
      <c r="C101" t="str">
        <f>IFERROR(LEFT(SUBSTITUTE(jason_converted!C101," 'adresse1': '",""),LEN(SUBSTITUTE(jason_converted!C101," 'adresse1': '",""))-1),"")</f>
        <v xml:space="preserve"> 'adresse1': "1 RUE BUREAU DES ASSOCIATIONS 1 RUE DES DROITS DE L'HOMME</v>
      </c>
      <c r="D101" t="str">
        <f>IFERROR(LEFT(SUBSTITUTE(jason_converted!D101," 'adresse2': '",""),LEN(SUBSTITUTE(jason_converted!D101," 'adresse2': '",""))-1),"")</f>
        <v xml:space="preserve">GYMNASE DAVID VAILLANT </v>
      </c>
      <c r="E101" t="str">
        <f>IFERROR(LEFT(SUBSTITUTE(jason_converted!E101," 'codepostal': '",""),LEN(SUBSTITUTE(jason_converted!E101," 'codepostal': '",""))-1),"")</f>
        <v>56890</v>
      </c>
      <c r="F101" t="str">
        <f>IFERROR(LEFT(SUBSTITUTE(jason_converted!F101," 'ville': '",""),LEN(SUBSTITUTE(jason_converted!F101," 'ville': '",""))-1),"")</f>
        <v>MEUCON</v>
      </c>
      <c r="G101" t="str">
        <f>IFERROR(LEFT(SUBSTITUTE(jason_converted!G101," 'tel': ",""),LEN(SUBSTITUTE(jason_converted!G101," 'tel': ",""))),"")</f>
        <v>'0689615284'</v>
      </c>
      <c r="H101" t="str">
        <f>IFERROR(LEFT(SUBSTITUTE(jason_converted!H101," 'lat': '",""),LEN(SUBSTITUTE(jason_converted!H101," 'lat': '",""))-1),"")</f>
        <v>47.691240999999998</v>
      </c>
      <c r="I101" t="str">
        <f>IFERROR(LEFT(SUBSTITUTE(jason_converted!I101," 'lng': '",""),LEN(SUBSTITUTE(jason_converted!I101," 'lng': '",""))-1),"")</f>
        <v>-2.738706000000000</v>
      </c>
      <c r="J101" t="str">
        <f>IFERROR(LEFT(SUBSTITUTE(jason_converted!J101," 'nomClub': '",""),LEN(SUBSTITUTE(jason_converted!J101," 'nomClub': '",""))-1),"")</f>
        <v>FITNESS ES ST AVE</v>
      </c>
      <c r="K101" t="str">
        <f>IFERROR(LEFT(SUBSTITUTE(jason_converted!K101," 'nomCourtClub': '",""),LEN(SUBSTITUTE(jason_converted!K101," 'nomCourtClub': '",""))-1),"")</f>
        <v>FITNESS ES ST AVE</v>
      </c>
      <c r="L101" t="str">
        <f>IFERROR("https://ffhaltero.fr/" &amp; LEFT(SUBSTITUTE(jason_converted!L101," 'url': '",""),LEN(SUBSTITUTE(jason_converted!L101," 'url': '",""))-1),"")</f>
        <v>https://ffhaltero.fr//pratiquer/ou-pratiquer/ou-pratiquer-fiche-club/06560095-fitness-es-st-ave'</v>
      </c>
    </row>
    <row r="102" spans="1:12" x14ac:dyDescent="0.25">
      <c r="A102" t="str">
        <f>IFERROR(SUBSTITUTE(jason_converted!A102,"{'id': ",""),"")</f>
        <v>161</v>
      </c>
      <c r="B102" t="str">
        <f>IFERROR(LEFT(SUBSTITUTE(jason_converted!B102," 'nom': '",""),LEN(SUBSTITUTE(jason_converted!B102," 'nom': '",""))-1),"")</f>
        <v>SALLE BERNARD BOYER</v>
      </c>
      <c r="C102" t="str">
        <f>IFERROR(LEFT(SUBSTITUTE(jason_converted!C102," 'adresse1': '",""),LEN(SUBSTITUTE(jason_converted!C102," 'adresse1': '",""))-1),"")</f>
        <v>RUE DES ANCIENS COMBATTANTS</v>
      </c>
      <c r="D102" t="str">
        <f>IFERROR(LEFT(SUBSTITUTE(jason_converted!D102," 'adresse2': '",""),LEN(SUBSTITUTE(jason_converted!D102," 'adresse2': '",""))-1),"")</f>
        <v/>
      </c>
      <c r="E102" t="str">
        <f>IFERROR(LEFT(SUBSTITUTE(jason_converted!E102," 'codepostal': '",""),LEN(SUBSTITUTE(jason_converted!E102," 'codepostal': '",""))-1),"")</f>
        <v>84430</v>
      </c>
      <c r="F102" t="str">
        <f>IFERROR(LEFT(SUBSTITUTE(jason_converted!F102," 'ville': '",""),LEN(SUBSTITUTE(jason_converted!F102," 'ville': '",""))-1),"")</f>
        <v>MONDRAGON</v>
      </c>
      <c r="G102" t="str">
        <f>IFERROR(LEFT(SUBSTITUTE(jason_converted!G102," 'tel': ",""),LEN(SUBSTITUTE(jason_converted!G102," 'tel': ",""))),"")</f>
        <v>'06.75.06.34.63'</v>
      </c>
      <c r="H102" t="str">
        <f>IFERROR(LEFT(SUBSTITUTE(jason_converted!H102," 'lat': '",""),LEN(SUBSTITUTE(jason_converted!H102," 'lat': '",""))-1),"")</f>
        <v>44.240437523546746</v>
      </c>
      <c r="I102" t="str">
        <f>IFERROR(LEFT(SUBSTITUTE(jason_converted!I102," 'lng': '",""),LEN(SUBSTITUTE(jason_converted!I102," 'lng': '",""))-1),"")</f>
        <v>4.712815582915938</v>
      </c>
      <c r="J102" t="str">
        <f>IFERROR(LEFT(SUBSTITUTE(jason_converted!J102," 'nomClub': '",""),LEN(SUBSTITUTE(jason_converted!J102," 'nomClub': '",""))-1),"")</f>
        <v>CHC MONDRAGON</v>
      </c>
      <c r="K102" t="str">
        <f>IFERROR(LEFT(SUBSTITUTE(jason_converted!K102," 'nomCourtClub': '",""),LEN(SUBSTITUTE(jason_converted!K102," 'nomCourtClub': '",""))-1),"")</f>
        <v>CHC MONDRAGON</v>
      </c>
      <c r="L102" t="str">
        <f>IFERROR("https://ffhaltero.fr/" &amp; LEFT(SUBSTITUTE(jason_converted!L102," 'url': '",""),LEN(SUBSTITUTE(jason_converted!L102," 'url': '",""))-1),"")</f>
        <v>https://ffhaltero.fr//pratiquer/ou-pratiquer/ou-pratiquer-fiche-club/20840857-chc-mondragon'</v>
      </c>
    </row>
    <row r="103" spans="1:12" x14ac:dyDescent="0.25">
      <c r="A103" t="str">
        <f>IFERROR(SUBSTITUTE(jason_converted!A103,"{'id': ",""),"")</f>
        <v>162</v>
      </c>
      <c r="B103" t="str">
        <f>IFERROR(LEFT(SUBSTITUTE(jason_converted!B103," 'nom': '",""),LEN(SUBSTITUTE(jason_converted!B103," 'nom': '",""))-1),"")</f>
        <v>Gymnase du Loup</v>
      </c>
      <c r="C103" t="str">
        <f>IFERROR(LEFT(SUBSTITUTE(jason_converted!C103," 'adresse1': '",""),LEN(SUBSTITUTE(jason_converted!C103," 'adresse1': '",""))-1),"")</f>
        <v>RUE BELLEVUE</v>
      </c>
      <c r="D103" t="str">
        <f>IFERROR(LEFT(SUBSTITUTE(jason_converted!D103," 'adresse2': '",""),LEN(SUBSTITUTE(jason_converted!D103," 'adresse2': '",""))-1),"")</f>
        <v/>
      </c>
      <c r="E103" t="str">
        <f>IFERROR(LEFT(SUBSTITUTE(jason_converted!E103," 'codepostal': '",""),LEN(SUBSTITUTE(jason_converted!E103," 'codepostal': '",""))-1),"")</f>
        <v>38070</v>
      </c>
      <c r="F103" t="str">
        <f>IFERROR(LEFT(SUBSTITUTE(jason_converted!F103," 'ville': '",""),LEN(SUBSTITUTE(jason_converted!F103," 'ville': '",""))-1),"")</f>
        <v>SAINT-QUENTIN-FALLAVIER</v>
      </c>
      <c r="G103" t="str">
        <f>IFERROR(LEFT(SUBSTITUTE(jason_converted!G103," 'tel': ",""),LEN(SUBSTITUTE(jason_converted!G103," 'tel': ",""))),"")</f>
        <v>'06.16.92.60.64'</v>
      </c>
      <c r="H103" t="str">
        <f>IFERROR(LEFT(SUBSTITUTE(jason_converted!H103," 'lat': '",""),LEN(SUBSTITUTE(jason_converted!H103," 'lat': '",""))-1),"")</f>
        <v>45.632874450000003</v>
      </c>
      <c r="I103" t="str">
        <f>IFERROR(LEFT(SUBSTITUTE(jason_converted!I103," 'lng': '",""),LEN(SUBSTITUTE(jason_converted!I103," 'lng': '",""))-1),"")</f>
        <v>5.103261672096225</v>
      </c>
      <c r="J103" t="str">
        <f>IFERROR(LEFT(SUBSTITUTE(jason_converted!J103," 'nomClub': '",""),LEN(SUBSTITUTE(jason_converted!J103," 'nomClub': '",""))-1),"")</f>
        <v>OSQ  ST QUENTIN FALLAVIER</v>
      </c>
      <c r="K103" t="str">
        <f>IFERROR(LEFT(SUBSTITUTE(jason_converted!K103," 'nomCourtClub': '",""),LEN(SUBSTITUTE(jason_converted!K103," 'nomCourtClub': '",""))-1),"")</f>
        <v>OSQ  ST QUENTIN FALLAVIER</v>
      </c>
      <c r="L103" t="str">
        <f>IFERROR("https://ffhaltero.fr/" &amp; LEFT(SUBSTITUTE(jason_converted!L103," 'url': '",""),LEN(SUBSTITUTE(jason_converted!L103," 'url': '",""))-1),"")</f>
        <v>https://ffhaltero.fr//pratiquer/ou-pratiquer/ou-pratiquer-fiche-club/22380142-osq-st-quentin-fallavier'</v>
      </c>
    </row>
    <row r="104" spans="1:12" x14ac:dyDescent="0.25">
      <c r="A104" t="str">
        <f>IFERROR(SUBSTITUTE(jason_converted!A104,"{'id': ",""),"")</f>
        <v>163</v>
      </c>
      <c r="B104" t="str">
        <f>IFERROR(LEFT(SUBSTITUTE(jason_converted!B104," 'nom': '",""),LEN(SUBSTITUTE(jason_converted!B104," 'nom': '",""))-1),"")</f>
        <v>Salle Sylvette et Georges Lepetit</v>
      </c>
      <c r="C104" t="str">
        <f>IFERROR(LEFT(SUBSTITUTE(jason_converted!C104," 'adresse1': '",""),LEN(SUBSTITUTE(jason_converted!C104," 'adresse1': '",""))-1),"")</f>
        <v>RUE DANIELLE CASANOVA</v>
      </c>
      <c r="D104" t="str">
        <f>IFERROR(LEFT(SUBSTITUTE(jason_converted!D104," 'adresse2': '",""),LEN(SUBSTITUTE(jason_converted!D104," 'adresse2': '",""))-1),"")</f>
        <v/>
      </c>
      <c r="E104" t="str">
        <f>IFERROR(LEFT(SUBSTITUTE(jason_converted!E104," 'codepostal': '",""),LEN(SUBSTITUTE(jason_converted!E104," 'codepostal': '",""))-1),"")</f>
        <v>04220</v>
      </c>
      <c r="F104" t="str">
        <f>IFERROR(LEFT(SUBSTITUTE(jason_converted!F104," 'ville': '",""),LEN(SUBSTITUTE(jason_converted!F104," 'ville': '",""))-1),"")</f>
        <v>CORBIÈRES</v>
      </c>
      <c r="G104" t="str">
        <f>IFERROR(LEFT(SUBSTITUTE(jason_converted!G104," 'tel': ",""),LEN(SUBSTITUTE(jason_converted!G104," 'tel': ",""))),"")</f>
        <v>'04.92.78.20.94'</v>
      </c>
      <c r="H104" t="str">
        <f>IFERROR(LEFT(SUBSTITUTE(jason_converted!H104," 'lat': '",""),LEN(SUBSTITUTE(jason_converted!H104," 'lat': '",""))-1),"")</f>
        <v>43.789837149999997</v>
      </c>
      <c r="I104" t="str">
        <f>IFERROR(LEFT(SUBSTITUTE(jason_converted!I104," 'lng': '",""),LEN(SUBSTITUTE(jason_converted!I104," 'lng': '",""))-1),"")</f>
        <v>5.770243969373841</v>
      </c>
      <c r="J104" t="str">
        <f>IFERROR(LEFT(SUBSTITUTE(jason_converted!J104," 'nomClub': '",""),LEN(SUBSTITUTE(jason_converted!J104," 'nomClub': '",""))-1),"")</f>
        <v>HM SAINTE TULLE</v>
      </c>
      <c r="K104" t="str">
        <f>IFERROR(LEFT(SUBSTITUTE(jason_converted!K104," 'nomCourtClub': '",""),LEN(SUBSTITUTE(jason_converted!K104," 'nomCourtClub': '",""))-1),"")</f>
        <v>HM SAINTE TULLE</v>
      </c>
      <c r="L104" t="str">
        <f>IFERROR("https://ffhaltero.fr/" &amp; LEFT(SUBSTITUTE(jason_converted!L104," 'url': '",""),LEN(SUBSTITUTE(jason_converted!L104," 'url': '",""))-1),"")</f>
        <v>https://ffhaltero.fr//pratiquer/ou-pratiquer/ou-pratiquer-fiche-club/20040607-hm-sainte-tulle'</v>
      </c>
    </row>
    <row r="105" spans="1:12" x14ac:dyDescent="0.25">
      <c r="A105" t="str">
        <f>IFERROR(SUBSTITUTE(jason_converted!A105,"{'id': ",""),"")</f>
        <v>165</v>
      </c>
      <c r="B105" t="str">
        <f>IFERROR(LEFT(SUBSTITUTE(jason_converted!B105," 'nom': '",""),LEN(SUBSTITUTE(jason_converted!B105," 'nom': '",""))-1),"")</f>
        <v>LA FRANÇAISE DE BESANÇON</v>
      </c>
      <c r="C105" t="str">
        <f>IFERROR(LEFT(SUBSTITUTE(jason_converted!C105," 'adresse1': '",""),LEN(SUBSTITUTE(jason_converted!C105," 'adresse1': '",""))-1),"")</f>
        <v>17 AVENUE FRANÇOIS MITTERRAND</v>
      </c>
      <c r="D105" t="str">
        <f>IFERROR(LEFT(SUBSTITUTE(jason_converted!D105," 'adresse2': '",""),LEN(SUBSTITUTE(jason_converted!D105," 'adresse2': '",""))-1),"")</f>
        <v>COMPLEXE MICHEL VAUTROT - LA MACOMBE</v>
      </c>
      <c r="E105" t="str">
        <f>IFERROR(LEFT(SUBSTITUTE(jason_converted!E105," 'codepostal': '",""),LEN(SUBSTITUTE(jason_converted!E105," 'codepostal': '",""))-1),"")</f>
        <v>25000</v>
      </c>
      <c r="F105" t="str">
        <f>IFERROR(LEFT(SUBSTITUTE(jason_converted!F105," 'ville': '",""),LEN(SUBSTITUTE(jason_converted!F105," 'ville': '",""))-1),"")</f>
        <v>BESANÇON</v>
      </c>
      <c r="G105" t="str">
        <f>IFERROR(LEFT(SUBSTITUTE(jason_converted!G105," 'tel': ",""),LEN(SUBSTITUTE(jason_converted!G105," 'tel': ",""))),"")</f>
        <v>None</v>
      </c>
      <c r="H105" t="str">
        <f>IFERROR(LEFT(SUBSTITUTE(jason_converted!H105," 'lat': '",""),LEN(SUBSTITUTE(jason_converted!H105," 'lat': '",""))-1),"")</f>
        <v>47.154884000000003</v>
      </c>
      <c r="I105" t="str">
        <f>IFERROR(LEFT(SUBSTITUTE(jason_converted!I105," 'lng': '",""),LEN(SUBSTITUTE(jason_converted!I105," 'lng': '",""))-1),"")</f>
        <v>5.741677000000000</v>
      </c>
      <c r="J105" t="str">
        <f>IFERROR(LEFT(SUBSTITUTE(jason_converted!J105," 'nomClub': '",""),LEN(SUBSTITUTE(jason_converted!J105," 'nomClub': '",""))-1),"")</f>
        <v>LA FRANCAISE DE BESANCON</v>
      </c>
      <c r="K105" t="str">
        <f>IFERROR(LEFT(SUBSTITUTE(jason_converted!K105," 'nomCourtClub': '",""),LEN(SUBSTITUTE(jason_converted!K105," 'nomCourtClub': '",""))-1),"")</f>
        <v>LA FRANCAISE DE BESANCON</v>
      </c>
      <c r="L105" t="str">
        <f>IFERROR("https://ffhaltero.fr/" &amp; LEFT(SUBSTITUTE(jason_converted!L105," 'url': '",""),LEN(SUBSTITUTE(jason_converted!L105," 'url': '",""))-1),"")</f>
        <v>https://ffhaltero.fr//pratiquer/ou-pratiquer/ou-pratiquer-fiche-club/10250161-la-francaise-de-besancon'</v>
      </c>
    </row>
    <row r="106" spans="1:12" x14ac:dyDescent="0.25">
      <c r="A106" t="str">
        <f>IFERROR(SUBSTITUTE(jason_converted!A106,"{'id': ",""),"")</f>
        <v>166</v>
      </c>
      <c r="B106" t="str">
        <f>IFERROR(LEFT(SUBSTITUTE(jason_converted!B106," 'nom': '",""),LEN(SUBSTITUTE(jason_converted!B106," 'nom': '",""))-1),"")</f>
        <v>HALTEROPHILE CLUB CULTURISTE NOVAIS</v>
      </c>
      <c r="C106" t="str">
        <f>IFERROR(LEFT(SUBSTITUTE(jason_converted!C106," 'adresse1': '",""),LEN(SUBSTITUTE(jason_converted!C106," 'adresse1': '",""))-1),"")</f>
        <v xml:space="preserve"> 401 CHEMIN DE LA TRANSHUMANCE QUARTIER CHICARD DE POUVAREL</v>
      </c>
      <c r="D106" t="str">
        <f>IFERROR(LEFT(SUBSTITUTE(jason_converted!D106," 'adresse2': '",""),LEN(SUBSTITUTE(jason_converted!D106," 'adresse2': '",""))-1),"")</f>
        <v/>
      </c>
      <c r="E106" t="str">
        <f>IFERROR(LEFT(SUBSTITUTE(jason_converted!E106," 'codepostal': '",""),LEN(SUBSTITUTE(jason_converted!E106," 'codepostal': '",""))-1),"")</f>
        <v>13550</v>
      </c>
      <c r="F106" t="str">
        <f>IFERROR(LEFT(SUBSTITUTE(jason_converted!F106," 'ville': '",""),LEN(SUBSTITUTE(jason_converted!F106," 'ville': '",""))-1),"")</f>
        <v>NOVES</v>
      </c>
      <c r="G106" t="str">
        <f>IFERROR(LEFT(SUBSTITUTE(jason_converted!G106," 'tel': ",""),LEN(SUBSTITUTE(jason_converted!G106," 'tel': ",""))),"")</f>
        <v>None</v>
      </c>
      <c r="H106" t="str">
        <f>IFERROR(LEFT(SUBSTITUTE(jason_converted!H106," 'lat': '",""),LEN(SUBSTITUTE(jason_converted!H106," 'lat': '",""))-1),"")</f>
        <v>43.875928582965926</v>
      </c>
      <c r="I106" t="str">
        <f>IFERROR(LEFT(SUBSTITUTE(jason_converted!I106," 'lng': '",""),LEN(SUBSTITUTE(jason_converted!I106," 'lng': '",""))-1),"")</f>
        <v>4.904344081878663</v>
      </c>
      <c r="J106" t="str">
        <f>IFERROR(LEFT(SUBSTITUTE(jason_converted!J106," 'nomClub': '",""),LEN(SUBSTITUTE(jason_converted!J106," 'nomClub': '",""))-1),"")</f>
        <v>HCC NOVAIS</v>
      </c>
      <c r="K106" t="str">
        <f>IFERROR(LEFT(SUBSTITUTE(jason_converted!K106," 'nomCourtClub': '",""),LEN(SUBSTITUTE(jason_converted!K106," 'nomCourtClub': '",""))-1),"")</f>
        <v>HCC NOVAIS</v>
      </c>
      <c r="L106" t="str">
        <f>IFERROR("https://ffhaltero.fr/" &amp; LEFT(SUBSTITUTE(jason_converted!L106," 'url': '",""),LEN(SUBSTITUTE(jason_converted!L106," 'url': '",""))-1),"")</f>
        <v>https://ffhaltero.fr//pratiquer/ou-pratiquer/ou-pratiquer-fiche-club/20130602-hcc-novais'</v>
      </c>
    </row>
    <row r="107" spans="1:12" x14ac:dyDescent="0.25">
      <c r="A107" t="str">
        <f>IFERROR(SUBSTITUTE(jason_converted!A107,"{'id': ",""),"")</f>
        <v>167</v>
      </c>
      <c r="B107" t="str">
        <f>IFERROR(LEFT(SUBSTITUTE(jason_converted!B107," 'nom': '",""),LEN(SUBSTITUTE(jason_converted!B107," 'nom': '",""))-1),"")</f>
        <v>Aravis Center</v>
      </c>
      <c r="C107" t="str">
        <f>IFERROR(LEFT(SUBSTITUTE(jason_converted!C107," 'adresse1': '",""),LEN(SUBSTITUTE(jason_converted!C107," 'adresse1': '",""))-1),"")</f>
        <v>3 ALLÉE FRANÇOIS COCHAT</v>
      </c>
      <c r="D107" t="str">
        <f>IFERROR(LEFT(SUBSTITUTE(jason_converted!D107," 'adresse2': '",""),LEN(SUBSTITUTE(jason_converted!D107," 'adresse2': '",""))-1),"")</f>
        <v/>
      </c>
      <c r="E107" t="str">
        <f>IFERROR(LEFT(SUBSTITUTE(jason_converted!E107," 'codepostal': '",""),LEN(SUBSTITUTE(jason_converted!E107," 'codepostal': '",""))-1),"")</f>
        <v>74230</v>
      </c>
      <c r="F107" t="str">
        <f>IFERROR(LEFT(SUBSTITUTE(jason_converted!F107," 'ville': '",""),LEN(SUBSTITUTE(jason_converted!F107," 'ville': '",""))-1),"")</f>
        <v>THÔNES</v>
      </c>
      <c r="G107" t="str">
        <f>IFERROR(LEFT(SUBSTITUTE(jason_converted!G107," 'tel': ",""),LEN(SUBSTITUTE(jason_converted!G107," 'tel': ",""))),"")</f>
        <v>'06.43.89.64.98'</v>
      </c>
      <c r="H107" t="str">
        <f>IFERROR(LEFT(SUBSTITUTE(jason_converted!H107," 'lat': '",""),LEN(SUBSTITUTE(jason_converted!H107," 'lat': '",""))-1),"")</f>
        <v>45.883138450000004</v>
      </c>
      <c r="I107" t="str">
        <f>IFERROR(LEFT(SUBSTITUTE(jason_converted!I107," 'lng': '",""),LEN(SUBSTITUTE(jason_converted!I107," 'lng': '",""))-1),"")</f>
        <v>6.319656877373411</v>
      </c>
      <c r="J107" t="str">
        <f>IFERROR(LEFT(SUBSTITUTE(jason_converted!J107," 'nomClub': '",""),LEN(SUBSTITUTE(jason_converted!J107," 'nomClub': '",""))-1),"")</f>
        <v>ARAVIS HAL-FA</v>
      </c>
      <c r="K107" t="str">
        <f>IFERROR(LEFT(SUBSTITUTE(jason_converted!K107," 'nomCourtClub': '",""),LEN(SUBSTITUTE(jason_converted!K107," 'nomCourtClub': '",""))-1),"")</f>
        <v>ARAVIS HAL-FA</v>
      </c>
      <c r="L107" t="str">
        <f>IFERROR("https://ffhaltero.fr/" &amp; LEFT(SUBSTITUTE(jason_converted!L107," 'url': '",""),LEN(SUBSTITUTE(jason_converted!L107," 'url': '",""))-1),"")</f>
        <v>https://ffhaltero.fr//pratiquer/ou-pratiquer/ou-pratiquer-fiche-club/01740004-aravis-hal-fa'</v>
      </c>
    </row>
    <row r="108" spans="1:12" x14ac:dyDescent="0.25">
      <c r="A108" t="str">
        <f>IFERROR(SUBSTITUTE(jason_converted!A108,"{'id': ",""),"")</f>
        <v>168</v>
      </c>
      <c r="B108" t="str">
        <f>IFERROR(LEFT(SUBSTITUTE(jason_converted!B108," 'nom': '",""),LEN(SUBSTITUTE(jason_converted!B108," 'nom': '",""))-1),"")</f>
        <v>Espace Pluriel</v>
      </c>
      <c r="C108" t="str">
        <f>IFERROR(LEFT(SUBSTITUTE(jason_converted!C108," 'adresse1': '",""),LEN(SUBSTITUTE(jason_converted!C108," 'adresse1': '",""))-1),"")</f>
        <v>1 RUE RUE ARTHUR SILBERZAHN</v>
      </c>
      <c r="D108" t="str">
        <f>IFERROR(LEFT(SUBSTITUTE(jason_converted!D108," 'adresse2': '",""),LEN(SUBSTITUTE(jason_converted!D108," 'adresse2': '",""))-1),"")</f>
        <v/>
      </c>
      <c r="E108" t="str">
        <f>IFERROR(LEFT(SUBSTITUTE(jason_converted!E108," 'codepostal': '",""),LEN(SUBSTITUTE(jason_converted!E108," 'codepostal': '",""))-1),"")</f>
        <v>67120</v>
      </c>
      <c r="F108" t="str">
        <f>IFERROR(LEFT(SUBSTITUTE(jason_converted!F108," 'ville': '",""),LEN(SUBSTITUTE(jason_converted!F108," 'ville': '",""))-1),"")</f>
        <v>DORLISHEIM</v>
      </c>
      <c r="G108" t="str">
        <f>IFERROR(LEFT(SUBSTITUTE(jason_converted!G108," 'tel': ",""),LEN(SUBSTITUTE(jason_converted!G108," 'tel': ",""))),"")</f>
        <v>None</v>
      </c>
      <c r="H108" t="str">
        <f>IFERROR(LEFT(SUBSTITUTE(jason_converted!H108," 'lat': '",""),LEN(SUBSTITUTE(jason_converted!H108," 'lat': '",""))-1),"")</f>
        <v>48.528477000000002</v>
      </c>
      <c r="I108" t="str">
        <f>IFERROR(LEFT(SUBSTITUTE(jason_converted!I108," 'lng': '",""),LEN(SUBSTITUTE(jason_converted!I108," 'lng': '",""))-1),"")</f>
        <v>7.488878000000000</v>
      </c>
      <c r="J108" t="str">
        <f>IFERROR(LEFT(SUBSTITUTE(jason_converted!J108," 'nomClub': '",""),LEN(SUBSTITUTE(jason_converted!J108," 'nomClub': '",""))-1),"")</f>
        <v>DORLISHEIM FITNESS HALTER S</v>
      </c>
      <c r="K108" t="str">
        <f>IFERROR(LEFT(SUBSTITUTE(jason_converted!K108," 'nomCourtClub': '",""),LEN(SUBSTITUTE(jason_converted!K108," 'nomCourtClub': '",""))-1),"")</f>
        <v>DORLISHEIM FITNESS HALTER S</v>
      </c>
      <c r="L108" t="str">
        <f>IFERROR("https://ffhaltero.fr/" &amp; LEFT(SUBSTITUTE(jason_converted!L108," 'url': '",""),LEN(SUBSTITUTE(jason_converted!L108," 'url': '",""))-1),"")</f>
        <v>https://ffhaltero.fr//pratiquer/ou-pratiquer/ou-pratiquer-fiche-club/01670932-dorlisheim-fitness-halter'</v>
      </c>
    </row>
    <row r="109" spans="1:12" x14ac:dyDescent="0.25">
      <c r="A109" t="str">
        <f>IFERROR(SUBSTITUTE(jason_converted!A109,"{'id': ",""),"")</f>
        <v>169</v>
      </c>
      <c r="B109" t="str">
        <f>IFERROR(LEFT(SUBSTITUTE(jason_converted!B109," 'nom': '",""),LEN(SUBSTITUTE(jason_converted!B109," 'nom': '",""))-1),"")</f>
        <v>SALLE ALAIN STRADERE  STADE PIERRE DUPORT</v>
      </c>
      <c r="C109" t="str">
        <f>IFERROR(LEFT(SUBSTITUTE(jason_converted!C109," 'adresse1': '",""),LEN(SUBSTITUTE(jason_converted!C109," 'adresse1': '",""))-1),"")</f>
        <v>ALLÉE ROND POINT DU 8 MAI 1945</v>
      </c>
      <c r="D109" t="str">
        <f>IFERROR(LEFT(SUBSTITUTE(jason_converted!D109," 'adresse2': '",""),LEN(SUBSTITUTE(jason_converted!D109," 'adresse2': '",""))-1),"")</f>
        <v/>
      </c>
      <c r="E109" t="str">
        <f>IFERROR(LEFT(SUBSTITUTE(jason_converted!E109," 'codepostal': '",""),LEN(SUBSTITUTE(jason_converted!E109," 'codepostal': '",""))-1),"")</f>
        <v>77500</v>
      </c>
      <c r="F109" t="str">
        <f>IFERROR(LEFT(SUBSTITUTE(jason_converted!F109," 'ville': '",""),LEN(SUBSTITUTE(jason_converted!F109," 'ville': '",""))-1),"")</f>
        <v>CHELLES</v>
      </c>
      <c r="G109" t="str">
        <f>IFERROR(LEFT(SUBSTITUTE(jason_converted!G109," 'tel': ",""),LEN(SUBSTITUTE(jason_converted!G109," 'tel': ",""))),"")</f>
        <v>'0637760800'</v>
      </c>
      <c r="H109" t="str">
        <f>IFERROR(LEFT(SUBSTITUTE(jason_converted!H109," 'lat': '",""),LEN(SUBSTITUTE(jason_converted!H109," 'lat': '",""))-1),"")</f>
        <v>48.874747299999996</v>
      </c>
      <c r="I109" t="str">
        <f>IFERROR(LEFT(SUBSTITUTE(jason_converted!I109," 'lng': '",""),LEN(SUBSTITUTE(jason_converted!I109," 'lng': '",""))-1),"")</f>
        <v>2.587653722080590</v>
      </c>
      <c r="J109" t="str">
        <f>IFERROR(LEFT(SUBSTITUTE(jason_converted!J109," 'nomClub': '",""),LEN(SUBSTITUTE(jason_converted!J109," 'nomClub': '",""))-1),"")</f>
        <v>HCVM CHELLES</v>
      </c>
      <c r="K109" t="str">
        <f>IFERROR(LEFT(SUBSTITUTE(jason_converted!K109," 'nomCourtClub': '",""),LEN(SUBSTITUTE(jason_converted!K109," 'nomCourtClub': '",""))-1),"")</f>
        <v>HCVM CHELLES</v>
      </c>
      <c r="L109" t="str">
        <f>IFERROR("https://ffhaltero.fr/" &amp; LEFT(SUBSTITUTE(jason_converted!L109," 'url': '",""),LEN(SUBSTITUTE(jason_converted!L109," 'url': '",""))-1),"")</f>
        <v>https://ffhaltero.fr//pratiquer/ou-pratiquer/ou-pratiquer-fiche-club/21771272-hcvm-chelles'</v>
      </c>
    </row>
    <row r="110" spans="1:12" x14ac:dyDescent="0.25">
      <c r="A110" t="str">
        <f>IFERROR(SUBSTITUTE(jason_converted!A110,"{'id': ",""),"")</f>
        <v>171</v>
      </c>
      <c r="B110" t="str">
        <f>IFERROR(LEFT(SUBSTITUTE(jason_converted!B110," 'nom': '",""),LEN(SUBSTITUTE(jason_converted!B110," 'nom': '",""))-1),"")</f>
        <v>LA GAULOISE DE VAISE</v>
      </c>
      <c r="C110" t="str">
        <f>IFERROR(LEFT(SUBSTITUTE(jason_converted!C110," 'adresse1': '",""),LEN(SUBSTITUTE(jason_converted!C110," 'adresse1': '",""))-1),"")</f>
        <v>108 RUE PIERRE AUDRY</v>
      </c>
      <c r="D110" t="str">
        <f>IFERROR(LEFT(SUBSTITUTE(jason_converted!D110," 'adresse2': '",""),LEN(SUBSTITUTE(jason_converted!D110," 'adresse2': '",""))-1),"")</f>
        <v/>
      </c>
      <c r="E110" t="str">
        <f>IFERROR(LEFT(SUBSTITUTE(jason_converted!E110," 'codepostal': '",""),LEN(SUBSTITUTE(jason_converted!E110," 'codepostal': '",""))-1),"")</f>
        <v>69009</v>
      </c>
      <c r="F110" t="str">
        <f>IFERROR(LEFT(SUBSTITUTE(jason_converted!F110," 'ville': '",""),LEN(SUBSTITUTE(jason_converted!F110," 'ville': '",""))-1),"")</f>
        <v>LYON</v>
      </c>
      <c r="G110" t="str">
        <f>IFERROR(LEFT(SUBSTITUTE(jason_converted!G110," 'tel': ",""),LEN(SUBSTITUTE(jason_converted!G110," 'tel': ",""))),"")</f>
        <v>'04.90.17.31.32'</v>
      </c>
      <c r="H110" t="str">
        <f>IFERROR(LEFT(SUBSTITUTE(jason_converted!H110," 'lat': '",""),LEN(SUBSTITUTE(jason_converted!H110," 'lat': '",""))-1),"")</f>
        <v>45.759714000000002</v>
      </c>
      <c r="I110" t="str">
        <f>IFERROR(LEFT(SUBSTITUTE(jason_converted!I110," 'lng': '",""),LEN(SUBSTITUTE(jason_converted!I110," 'lng': '",""))-1),"")</f>
        <v>4.810779000000000</v>
      </c>
      <c r="J110" t="str">
        <f>IFERROR(LEFT(SUBSTITUTE(jason_converted!J110," 'nomClub': '",""),LEN(SUBSTITUTE(jason_converted!J110," 'nomClub': '",""))-1),"")</f>
        <v>LA GAULOISE DE VAISE</v>
      </c>
      <c r="K110" t="str">
        <f>IFERROR(LEFT(SUBSTITUTE(jason_converted!K110," 'nomCourtClub': '",""),LEN(SUBSTITUTE(jason_converted!K110," 'nomCourtClub': '",""))-1),"")</f>
        <v>LA GAULOISE DE VAISE</v>
      </c>
      <c r="L110" t="str">
        <f>IFERROR("https://ffhaltero.fr/" &amp; LEFT(SUBSTITUTE(jason_converted!L110," 'url': '",""),LEN(SUBSTITUTE(jason_converted!L110," 'url': '",""))-1),"")</f>
        <v>https://ffhaltero.fr//pratiquer/ou-pratiquer/ou-pratiquer-fiche-club/22690289-la-gauloise-de-vaise'</v>
      </c>
    </row>
    <row r="111" spans="1:12" x14ac:dyDescent="0.25">
      <c r="A111" t="str">
        <f>IFERROR(SUBSTITUTE(jason_converted!A111,"{'id': ",""),"")</f>
        <v>172</v>
      </c>
      <c r="B111" t="str">
        <f>IFERROR(LEFT(SUBSTITUTE(jason_converted!B111," 'nom': '",""),LEN(SUBSTITUTE(jason_converted!B111," 'nom': '",""))-1),"")</f>
        <v>Savoie Barbell Team</v>
      </c>
      <c r="C111" t="str">
        <f>IFERROR(LEFT(SUBSTITUTE(jason_converted!C111," 'adresse1': '",""),LEN(SUBSTITUTE(jason_converted!C111," 'adresse1': '",""))-1),"")</f>
        <v>660 RUE DE ROBERTY</v>
      </c>
      <c r="D111" t="str">
        <f>IFERROR(LEFT(SUBSTITUTE(jason_converted!D111," 'adresse2': '",""),LEN(SUBSTITUTE(jason_converted!D111," 'adresse2': '",""))-1),"")</f>
        <v/>
      </c>
      <c r="E111" t="str">
        <f>IFERROR(LEFT(SUBSTITUTE(jason_converted!E111," 'codepostal': '",""),LEN(SUBSTITUTE(jason_converted!E111," 'codepostal': '",""))-1),"")</f>
        <v>73000</v>
      </c>
      <c r="F111" t="str">
        <f>IFERROR(LEFT(SUBSTITUTE(jason_converted!F111," 'ville': '",""),LEN(SUBSTITUTE(jason_converted!F111," 'ville': '",""))-1),"")</f>
        <v>BARBERAZ</v>
      </c>
      <c r="G111" t="str">
        <f>IFERROR(LEFT(SUBSTITUTE(jason_converted!G111," 'tel': ",""),LEN(SUBSTITUTE(jason_converted!G111," 'tel': ",""))),"")</f>
        <v>'0646803548'</v>
      </c>
      <c r="H111" t="str">
        <f>IFERROR(LEFT(SUBSTITUTE(jason_converted!H111," 'lat': '",""),LEN(SUBSTITUTE(jason_converted!H111," 'lat': '",""))-1),"")</f>
        <v>45.597394000000001</v>
      </c>
      <c r="I111" t="str">
        <f>IFERROR(LEFT(SUBSTITUTE(jason_converted!I111," 'lng': '",""),LEN(SUBSTITUTE(jason_converted!I111," 'lng': '",""))-1),"")</f>
        <v>5.898513000000000</v>
      </c>
      <c r="J111" t="str">
        <f>IFERROR(LEFT(SUBSTITUTE(jason_converted!J111," 'nomClub': '",""),LEN(SUBSTITUTE(jason_converted!J111," 'nomClub': '",""))-1),"")</f>
        <v>SAVOIE BARBELL TEAM</v>
      </c>
      <c r="K111" t="str">
        <f>IFERROR(LEFT(SUBSTITUTE(jason_converted!K111," 'nomCourtClub': '",""),LEN(SUBSTITUTE(jason_converted!K111," 'nomCourtClub': '",""))-1),"")</f>
        <v>SAVOIE BARBELL TEAM</v>
      </c>
      <c r="L111" t="str">
        <f>IFERROR("https://ffhaltero.fr/" &amp; LEFT(SUBSTITUTE(jason_converted!L111," 'url': '",""),LEN(SUBSTITUTE(jason_converted!L111," 'url': '",""))-1),"")</f>
        <v>https://ffhaltero.fr//pratiquer/ou-pratiquer/ou-pratiquer-fiche-club/01730002-savoie-barbell-team'</v>
      </c>
    </row>
    <row r="112" spans="1:12" x14ac:dyDescent="0.25">
      <c r="A112" t="str">
        <f>IFERROR(SUBSTITUTE(jason_converted!A112,"{'id': ",""),"")</f>
        <v>174</v>
      </c>
      <c r="B112" t="str">
        <f>IFERROR(LEFT(SUBSTITUTE(jason_converted!B112," 'nom': '",""),LEN(SUBSTITUTE(jason_converted!B112," 'nom': '",""))-1),"")</f>
        <v>Centre Sportif  du Bon Pasteur</v>
      </c>
      <c r="C112" t="str">
        <f>IFERROR(LEFT(SUBSTITUTE(jason_converted!C112," 'adresse1': '",""),LEN(SUBSTITUTE(jason_converted!C112," 'adresse1': '",""))-1),"")</f>
        <v>6 BOULEVARD JEAN SÉBASTIEN BACH</v>
      </c>
      <c r="D112" t="str">
        <f>IFERROR(LEFT(SUBSTITUTE(jason_converted!D112," 'adresse2': '",""),LEN(SUBSTITUTE(jason_converted!D112," 'adresse2': '",""))-1),"")</f>
        <v xml:space="preserve">CENTRE SPORTIF  DU BON PASTEUR SALLE DE MUSCULATION </v>
      </c>
      <c r="E112" t="str">
        <f>IFERROR(LEFT(SUBSTITUTE(jason_converted!E112," 'codepostal': '",""),LEN(SUBSTITUTE(jason_converted!E112," 'codepostal': '",""))-1),"")</f>
        <v>67000</v>
      </c>
      <c r="F112" t="str">
        <f>IFERROR(LEFT(SUBSTITUTE(jason_converted!F112," 'ville': '",""),LEN(SUBSTITUTE(jason_converted!F112," 'ville': '",""))-1),"")</f>
        <v>STRASBOURG</v>
      </c>
      <c r="G112" t="str">
        <f>IFERROR(LEFT(SUBSTITUTE(jason_converted!G112," 'tel': ",""),LEN(SUBSTITUTE(jason_converted!G112," 'tel': ",""))),"")</f>
        <v>None</v>
      </c>
      <c r="H112" t="str">
        <f>IFERROR(LEFT(SUBSTITUTE(jason_converted!H112," 'lat': '",""),LEN(SUBSTITUTE(jason_converted!H112," 'lat': '",""))-1),"")</f>
        <v>48.588124999999998</v>
      </c>
      <c r="I112" t="str">
        <f>IFERROR(LEFT(SUBSTITUTE(jason_converted!I112," 'lng': '",""),LEN(SUBSTITUTE(jason_converted!I112," 'lng': '",""))-1),"")</f>
        <v>7.778373000000000</v>
      </c>
      <c r="J112" t="str">
        <f>IFERROR(LEFT(SUBSTITUTE(jason_converted!J112," 'nomClub': '",""),LEN(SUBSTITUTE(jason_converted!J112," 'nomClub': '",""))-1),"")</f>
        <v>SPORT UNION XV STRASBOURG</v>
      </c>
      <c r="K112" t="str">
        <f>IFERROR(LEFT(SUBSTITUTE(jason_converted!K112," 'nomCourtClub': '",""),LEN(SUBSTITUTE(jason_converted!K112," 'nomCourtClub': '",""))-1),"")</f>
        <v>SPORT UNION XV STRASBOURG</v>
      </c>
      <c r="L112" t="str">
        <f>IFERROR("https://ffhaltero.fr/" &amp; LEFT(SUBSTITUTE(jason_converted!L112," 'url': '",""),LEN(SUBSTITUTE(jason_converted!L112," 'url': '",""))-1),"")</f>
        <v>https://ffhaltero.fr//pratiquer/ou-pratiquer/ou-pratiquer-fiche-club/01671288-sport-union-xv-strasbourg'</v>
      </c>
    </row>
    <row r="113" spans="1:12" x14ac:dyDescent="0.25">
      <c r="A113" t="str">
        <f>IFERROR(SUBSTITUTE(jason_converted!A113,"{'id': ",""),"")</f>
        <v>175</v>
      </c>
      <c r="B113" t="str">
        <f>IFERROR(LEFT(SUBSTITUTE(jason_converted!B113," 'nom': '",""),LEN(SUBSTITUTE(jason_converted!B113," 'nom': '",""))-1),"")</f>
        <v>cosec</v>
      </c>
      <c r="C113" t="str">
        <f>IFERROR(LEFT(SUBSTITUTE(jason_converted!C113," 'adresse1': '",""),LEN(SUBSTITUTE(jason_converted!C113," 'adresse1': '",""))-1),"")</f>
        <v>13  RUE DU STADE</v>
      </c>
      <c r="D113" t="str">
        <f>IFERROR(LEFT(SUBSTITUTE(jason_converted!D113," 'adresse2': '",""),LEN(SUBSTITUTE(jason_converted!D113," 'adresse2': '",""))-1),"")</f>
        <v>OBERNAI</v>
      </c>
      <c r="E113" t="str">
        <f>IFERROR(LEFT(SUBSTITUTE(jason_converted!E113," 'codepostal': '",""),LEN(SUBSTITUTE(jason_converted!E113," 'codepostal': '",""))-1),"")</f>
        <v>67210</v>
      </c>
      <c r="F113" t="str">
        <f>IFERROR(LEFT(SUBSTITUTE(jason_converted!F113," 'ville': '",""),LEN(SUBSTITUTE(jason_converted!F113," 'ville': '",""))-1),"")</f>
        <v>OBERNAI</v>
      </c>
      <c r="G113" t="str">
        <f>IFERROR(LEFT(SUBSTITUTE(jason_converted!G113," 'tel': ",""),LEN(SUBSTITUTE(jason_converted!G113," 'tel': ",""))),"")</f>
        <v>None</v>
      </c>
      <c r="H113" t="str">
        <f>IFERROR(LEFT(SUBSTITUTE(jason_converted!H113," 'lat': '",""),LEN(SUBSTITUTE(jason_converted!H113," 'lat': '",""))-1),"")</f>
        <v>48.459901000000002</v>
      </c>
      <c r="I113" t="str">
        <f>IFERROR(LEFT(SUBSTITUTE(jason_converted!I113," 'lng': '",""),LEN(SUBSTITUTE(jason_converted!I113," 'lng': '",""))-1),"")</f>
        <v>7.489950000000000</v>
      </c>
      <c r="J113" t="str">
        <f>IFERROR(LEFT(SUBSTITUTE(jason_converted!J113," 'nomClub': '",""),LEN(SUBSTITUTE(jason_converted!J113," 'nomClub': '",""))-1),"")</f>
        <v>SR OBERNAI HM</v>
      </c>
      <c r="K113" t="str">
        <f>IFERROR(LEFT(SUBSTITUTE(jason_converted!K113," 'nomCourtClub': '",""),LEN(SUBSTITUTE(jason_converted!K113," 'nomCourtClub': '",""))-1),"")</f>
        <v>SR OBERNAI HM</v>
      </c>
      <c r="L113" t="str">
        <f>IFERROR("https://ffhaltero.fr/" &amp; LEFT(SUBSTITUTE(jason_converted!L113," 'url': '",""),LEN(SUBSTITUTE(jason_converted!L113," 'url': '",""))-1),"")</f>
        <v>https://ffhaltero.fr//pratiquer/ou-pratiquer/ou-pratiquer-fiche-club/01670009-sr-obernai-hm'</v>
      </c>
    </row>
    <row r="114" spans="1:12" x14ac:dyDescent="0.25">
      <c r="A114" t="str">
        <f>IFERROR(SUBSTITUTE(jason_converted!A114,"{'id': ",""),"")</f>
        <v>176</v>
      </c>
      <c r="B114" t="str">
        <f>IFERROR(LEFT(SUBSTITUTE(jason_converted!B114," 'nom': '",""),LEN(SUBSTITUTE(jason_converted!B114," 'nom': '",""))-1),"")</f>
        <v>Stade Léo Lagrange</v>
      </c>
      <c r="C114" t="str">
        <f>IFERROR(LEFT(SUBSTITUTE(jason_converted!C114," 'adresse1': '",""),LEN(SUBSTITUTE(jason_converted!C114," 'adresse1': '",""))-1),"")</f>
        <v>25 IMPASSE DE LA MADELEINE</v>
      </c>
      <c r="D114" t="str">
        <f>IFERROR(LEFT(SUBSTITUTE(jason_converted!D114," 'adresse2': '",""),LEN(SUBSTITUTE(jason_converted!D114," 'adresse2': '",""))-1),"")</f>
        <v/>
      </c>
      <c r="E114" t="str">
        <f>IFERROR(LEFT(SUBSTITUTE(jason_converted!E114," 'codepostal': '",""),LEN(SUBSTITUTE(jason_converted!E114," 'codepostal': '",""))-1),"")</f>
        <v>94230</v>
      </c>
      <c r="F114" t="str">
        <f>IFERROR(LEFT(SUBSTITUTE(jason_converted!F114," 'ville': '",""),LEN(SUBSTITUTE(jason_converted!F114," 'ville': '",""))-1),"")</f>
        <v>CACHAN</v>
      </c>
      <c r="G114" t="str">
        <f>IFERROR(LEFT(SUBSTITUTE(jason_converted!G114," 'tel': ",""),LEN(SUBSTITUTE(jason_converted!G114," 'tel': ",""))),"")</f>
        <v>None</v>
      </c>
      <c r="H114" t="str">
        <f>IFERROR(LEFT(SUBSTITUTE(jason_converted!H114," 'lat': '",""),LEN(SUBSTITUTE(jason_converted!H114," 'lat': '",""))-1),"")</f>
        <v>48.783762150000001</v>
      </c>
      <c r="I114" t="str">
        <f>IFERROR(LEFT(SUBSTITUTE(jason_converted!I114," 'lng': '",""),LEN(SUBSTITUTE(jason_converted!I114," 'lng': '",""))-1),"")</f>
        <v>2.325215474736625</v>
      </c>
      <c r="J114" t="str">
        <f>IFERROR(LEFT(SUBSTITUTE(jason_converted!J114," 'nomClub': '",""),LEN(SUBSTITUTE(jason_converted!J114," 'nomClub': '",""))-1),"")</f>
        <v>CACHAN HM</v>
      </c>
      <c r="K114" t="str">
        <f>IFERROR(LEFT(SUBSTITUTE(jason_converted!K114," 'nomCourtClub': '",""),LEN(SUBSTITUTE(jason_converted!K114," 'nomCourtClub': '",""))-1),"")</f>
        <v>CACHAN HM</v>
      </c>
      <c r="L114" t="str">
        <f>IFERROR("https://ffhaltero.fr/" &amp; LEFT(SUBSTITUTE(jason_converted!L114," 'url': '",""),LEN(SUBSTITUTE(jason_converted!L114," 'url': '",""))-1),"")</f>
        <v>https://ffhaltero.fr//pratiquer/ou-pratiquer/ou-pratiquer-fiche-club/21940216-cachan-hm'</v>
      </c>
    </row>
    <row r="115" spans="1:12" x14ac:dyDescent="0.25">
      <c r="A115" t="str">
        <f>IFERROR(SUBSTITUTE(jason_converted!A115,"{'id': ",""),"")</f>
        <v>177</v>
      </c>
      <c r="B115" t="str">
        <f>IFERROR(LEFT(SUBSTITUTE(jason_converted!B115," 'nom': '",""),LEN(SUBSTITUTE(jason_converted!B115," 'nom': '",""))-1),"")</f>
        <v>SECTION HALTEROPHILIE-MUSCULATION AMICALE LAIQUE</v>
      </c>
      <c r="C115" t="str">
        <f>IFERROR(LEFT(SUBSTITUTE(jason_converted!C115," 'adresse1': '",""),LEN(SUBSTITUTE(jason_converted!C115," 'adresse1': '",""))-1),"")</f>
        <v>RUE JESSE OWENS</v>
      </c>
      <c r="D115" t="str">
        <f>IFERROR(LEFT(SUBSTITUTE(jason_converted!D115," 'adresse2': '",""),LEN(SUBSTITUTE(jason_converted!D115," 'adresse2': '",""))-1),"")</f>
        <v/>
      </c>
      <c r="E115" t="str">
        <f>IFERROR(LEFT(SUBSTITUTE(jason_converted!E115," 'codepostal': '",""),LEN(SUBSTITUTE(jason_converted!E115," 'codepostal': '",""))-1),"")</f>
        <v>62160</v>
      </c>
      <c r="F115" t="str">
        <f>IFERROR(LEFT(SUBSTITUTE(jason_converted!F115," 'ville': '",""),LEN(SUBSTITUTE(jason_converted!F115," 'ville': '",""))-1),"")</f>
        <v>AIX-NOULETTE</v>
      </c>
      <c r="G115" t="str">
        <f>IFERROR(LEFT(SUBSTITUTE(jason_converted!G115," 'tel': ",""),LEN(SUBSTITUTE(jason_converted!G115," 'tel': ",""))),"")</f>
        <v>None</v>
      </c>
      <c r="H115" t="str">
        <f>IFERROR(LEFT(SUBSTITUTE(jason_converted!H115," 'lat': '",""),LEN(SUBSTITUTE(jason_converted!H115," 'lat': '",""))-1),"")</f>
        <v>50.437826926732001</v>
      </c>
      <c r="I115" t="str">
        <f>IFERROR(LEFT(SUBSTITUTE(jason_converted!I115," 'lng': '",""),LEN(SUBSTITUTE(jason_converted!I115," 'lng': '",""))-1),"")</f>
        <v>2.712992403156182</v>
      </c>
      <c r="J115" t="str">
        <f>IFERROR(LEFT(SUBSTITUTE(jason_converted!J115," 'nomClub': '",""),LEN(SUBSTITUTE(jason_converted!J115," 'nomClub': '",""))-1),"")</f>
        <v>AL SH BULLY LES MINES</v>
      </c>
      <c r="K115" t="str">
        <f>IFERROR(LEFT(SUBSTITUTE(jason_converted!K115," 'nomCourtClub': '",""),LEN(SUBSTITUTE(jason_converted!K115," 'nomCourtClub': '",""))-1),"")</f>
        <v>AL SH BULLY LES MINES</v>
      </c>
      <c r="L115" t="str">
        <f>IFERROR("https://ffhaltero.fr/" &amp; LEFT(SUBSTITUTE(jason_converted!L115," 'url': '",""),LEN(SUBSTITUTE(jason_converted!L115," 'url': '",""))-1),"")</f>
        <v>https://ffhaltero.fr//pratiquer/ou-pratiquer/ou-pratiquer-fiche-club/16620355-al-sh-bully-les-mines'</v>
      </c>
    </row>
    <row r="116" spans="1:12" x14ac:dyDescent="0.25">
      <c r="A116" t="str">
        <f>IFERROR(SUBSTITUTE(jason_converted!A116,"{'id': ",""),"")</f>
        <v>178</v>
      </c>
      <c r="B116" t="str">
        <f>IFERROR(LEFT(SUBSTITUTE(jason_converted!B116," 'nom': '",""),LEN(SUBSTITUTE(jason_converted!B116," 'nom': '",""))-1),"")</f>
        <v>NRB Haltérophilie</v>
      </c>
      <c r="C116" t="str">
        <f>IFERROR(LEFT(SUBSTITUTE(jason_converted!C116," 'adresse1': '",""),LEN(SUBSTITUTE(jason_converted!C116," 'adresse1': '",""))-1),"")</f>
        <v>7 RUE DU COMMERCE</v>
      </c>
      <c r="D116" t="str">
        <f>IFERROR(LEFT(SUBSTITUTE(jason_converted!D116," 'adresse2': '",""),LEN(SUBSTITUTE(jason_converted!D116," 'adresse2': '",""))-1),"")</f>
        <v/>
      </c>
      <c r="E116" t="str">
        <f>IFERROR(LEFT(SUBSTITUTE(jason_converted!E116," 'codepostal': '",""),LEN(SUBSTITUTE(jason_converted!E116," 'codepostal': '",""))-1),"")</f>
        <v>11100</v>
      </c>
      <c r="F116" t="str">
        <f>IFERROR(LEFT(SUBSTITUTE(jason_converted!F116," 'ville': '",""),LEN(SUBSTITUTE(jason_converted!F116," 'ville': '",""))-1),"")</f>
        <v>NARBONNE</v>
      </c>
      <c r="G116" t="str">
        <f>IFERROR(LEFT(SUBSTITUTE(jason_converted!G116," 'tel': ",""),LEN(SUBSTITUTE(jason_converted!G116," 'tel': ",""))),"")</f>
        <v>'0669131001'</v>
      </c>
      <c r="H116" t="str">
        <f>IFERROR(LEFT(SUBSTITUTE(jason_converted!H116," 'lat': '",""),LEN(SUBSTITUTE(jason_converted!H116," 'lat': '",""))-1),"")</f>
        <v>43.187493000000003</v>
      </c>
      <c r="I116" t="str">
        <f>IFERROR(LEFT(SUBSTITUTE(jason_converted!I116," 'lng': '",""),LEN(SUBSTITUTE(jason_converted!I116," 'lng': '",""))-1),"")</f>
        <v>2.998606000000000</v>
      </c>
      <c r="J116" t="str">
        <f>IFERROR(LEFT(SUBSTITUTE(jason_converted!J116," 'nomClub': '",""),LEN(SUBSTITUTE(jason_converted!J116," 'nomClub': '",""))-1),"")</f>
        <v>NRB HALTEROPHILIE</v>
      </c>
      <c r="K116" t="str">
        <f>IFERROR(LEFT(SUBSTITUTE(jason_converted!K116," 'nomCourtClub': '",""),LEN(SUBSTITUTE(jason_converted!K116," 'nomCourtClub': '",""))-1),"")</f>
        <v>NRB HALTEROPHILIE</v>
      </c>
      <c r="L116" t="str">
        <f>IFERROR("https://ffhaltero.fr/" &amp; LEFT(SUBSTITUTE(jason_converted!L116," 'url': '",""),LEN(SUBSTITUTE(jason_converted!L116," 'url': '",""))-1),"")</f>
        <v>https://ffhaltero.fr//pratiquer/ou-pratiquer/ou-pratiquer-fiche-club/15110003-nrb-halterophilie'</v>
      </c>
    </row>
    <row r="117" spans="1:12" x14ac:dyDescent="0.25">
      <c r="A117" t="str">
        <f>IFERROR(SUBSTITUTE(jason_converted!A117,"{'id': ",""),"")</f>
        <v>179</v>
      </c>
      <c r="B117" t="str">
        <f>IFERROR(LEFT(SUBSTITUTE(jason_converted!B117," 'nom': '",""),LEN(SUBSTITUTE(jason_converted!B117," 'nom': '",""))-1),"")</f>
        <v>JLH CrossFit</v>
      </c>
      <c r="C117" t="str">
        <f>IFERROR(LEFT(SUBSTITUTE(jason_converted!C117," 'adresse1': '",""),LEN(SUBSTITUTE(jason_converted!C117," 'adresse1': '",""))-1),"")</f>
        <v>19 RUE DE LA COTONNIÈRE</v>
      </c>
      <c r="D117" t="str">
        <f>IFERROR(LEFT(SUBSTITUTE(jason_converted!D117," 'adresse2': '",""),LEN(SUBSTITUTE(jason_converted!D117," 'adresse2': '",""))-1),"")</f>
        <v>ZI DU CHEMIN VERT</v>
      </c>
      <c r="E117" t="str">
        <f>IFERROR(LEFT(SUBSTITUTE(jason_converted!E117," 'codepostal': '",""),LEN(SUBSTITUTE(jason_converted!E117," 'codepostal': '",""))-1),"")</f>
        <v>14000</v>
      </c>
      <c r="F117" t="str">
        <f>IFERROR(LEFT(SUBSTITUTE(jason_converted!F117," 'ville': '",""),LEN(SUBSTITUTE(jason_converted!F117," 'ville': '",""))-1),"")</f>
        <v>CAEN</v>
      </c>
      <c r="G117" t="str">
        <f>IFERROR(LEFT(SUBSTITUTE(jason_converted!G117," 'tel': ",""),LEN(SUBSTITUTE(jason_converted!G117," 'tel': ",""))),"")</f>
        <v>'02.31.50.89.46'</v>
      </c>
      <c r="H117" t="str">
        <f>IFERROR(LEFT(SUBSTITUTE(jason_converted!H117," 'lat': '",""),LEN(SUBSTITUTE(jason_converted!H117," 'lat': '",""))-1),"")</f>
        <v>49.198840278984200</v>
      </c>
      <c r="I117" t="str">
        <f>IFERROR(LEFT(SUBSTITUTE(jason_converted!I117," 'lng': '",""),LEN(SUBSTITUTE(jason_converted!I117," 'lng': '",""))-1),"")</f>
        <v>-0.399520397186279</v>
      </c>
      <c r="J117" t="str">
        <f>IFERROR(LEFT(SUBSTITUTE(jason_converted!J117," 'nomClub': '",""),LEN(SUBSTITUTE(jason_converted!J117," 'nomClub': '",""))-1),"")</f>
        <v>JLH CROSSFIT</v>
      </c>
      <c r="K117" t="str">
        <f>IFERROR(LEFT(SUBSTITUTE(jason_converted!K117," 'nomCourtClub': '",""),LEN(SUBSTITUTE(jason_converted!K117," 'nomCourtClub': '",""))-1),"")</f>
        <v>JLH CROSSFIT</v>
      </c>
      <c r="L117" t="str">
        <f>IFERROR("https://ffhaltero.fr/" &amp; LEFT(SUBSTITUTE(jason_converted!L117," 'url': '",""),LEN(SUBSTITUTE(jason_converted!L117," 'url': '",""))-1),"")</f>
        <v>https://ffhaltero.fr//pratiquer/ou-pratiquer/ou-pratiquer-fiche-club/12140002-jlh-crossfit'</v>
      </c>
    </row>
    <row r="118" spans="1:12" x14ac:dyDescent="0.25">
      <c r="A118" t="str">
        <f>IFERROR(SUBSTITUTE(jason_converted!A118,"{'id': ",""),"")</f>
        <v>180</v>
      </c>
      <c r="B118" t="str">
        <f>IFERROR(LEFT(SUBSTITUTE(jason_converted!B118," 'nom': '",""),LEN(SUBSTITUTE(jason_converted!B118," 'nom': '",""))-1),"")</f>
        <v>JLH IFS</v>
      </c>
      <c r="C118" t="str">
        <f>IFERROR(LEFT(SUBSTITUTE(jason_converted!C118," 'adresse1': '",""),LEN(SUBSTITUTE(jason_converted!C118," 'adresse1': '",""))-1),"")</f>
        <v>549 RUE DE ROCQUANCOURT</v>
      </c>
      <c r="D118" t="str">
        <f>IFERROR(LEFT(SUBSTITUTE(jason_converted!D118," 'adresse2': '",""),LEN(SUBSTITUTE(jason_converted!D118," 'adresse2': '",""))-1),"")</f>
        <v/>
      </c>
      <c r="E118" t="str">
        <f>IFERROR(LEFT(SUBSTITUTE(jason_converted!E118," 'codepostal': '",""),LEN(SUBSTITUTE(jason_converted!E118," 'codepostal': '",""))-1),"")</f>
        <v>14123</v>
      </c>
      <c r="F118" t="str">
        <f>IFERROR(LEFT(SUBSTITUTE(jason_converted!F118," 'ville': '",""),LEN(SUBSTITUTE(jason_converted!F118," 'ville': '",""))-1),"")</f>
        <v>IFS</v>
      </c>
      <c r="G118" t="str">
        <f>IFERROR(LEFT(SUBSTITUTE(jason_converted!G118," 'tel': ",""),LEN(SUBSTITUTE(jason_converted!G118," 'tel': ",""))),"")</f>
        <v>'02.31.50.89.46'</v>
      </c>
      <c r="H118" t="str">
        <f>IFERROR(LEFT(SUBSTITUTE(jason_converted!H118," 'lat': '",""),LEN(SUBSTITUTE(jason_converted!H118," 'lat': '",""))-1),"")</f>
        <v>49.144756999999998</v>
      </c>
      <c r="I118" t="str">
        <f>IFERROR(LEFT(SUBSTITUTE(jason_converted!I118," 'lng': '",""),LEN(SUBSTITUTE(jason_converted!I118," 'lng': '",""))-1),"")</f>
        <v>-0.341353000000000</v>
      </c>
      <c r="J118" t="str">
        <f>IFERROR(LEFT(SUBSTITUTE(jason_converted!J118," 'nomClub': '",""),LEN(SUBSTITUTE(jason_converted!J118," 'nomClub': '",""))-1),"")</f>
        <v>JLH CROSSFIT</v>
      </c>
      <c r="K118" t="str">
        <f>IFERROR(LEFT(SUBSTITUTE(jason_converted!K118," 'nomCourtClub': '",""),LEN(SUBSTITUTE(jason_converted!K118," 'nomCourtClub': '",""))-1),"")</f>
        <v>JLH CROSSFIT</v>
      </c>
      <c r="L118" t="str">
        <f>IFERROR("https://ffhaltero.fr/" &amp; LEFT(SUBSTITUTE(jason_converted!L118," 'url': '",""),LEN(SUBSTITUTE(jason_converted!L118," 'url': '",""))-1),"")</f>
        <v>https://ffhaltero.fr//pratiquer/ou-pratiquer/ou-pratiquer-fiche-club/12140002-jlh-crossfit'</v>
      </c>
    </row>
    <row r="119" spans="1:12" x14ac:dyDescent="0.25">
      <c r="A119" t="str">
        <f>IFERROR(SUBSTITUTE(jason_converted!A119,"{'id': ",""),"")</f>
        <v>182</v>
      </c>
      <c r="B119" t="str">
        <f>IFERROR(LEFT(SUBSTITUTE(jason_converted!B119," 'nom': '",""),LEN(SUBSTITUTE(jason_converted!B119," 'nom': '",""))-1),"")</f>
        <v>La forge</v>
      </c>
      <c r="C119" t="str">
        <f>IFERROR(LEFT(SUBSTITUTE(jason_converted!C119," 'adresse1': '",""),LEN(SUBSTITUTE(jason_converted!C119," 'adresse1': '",""))-1),"")</f>
        <v>58 AVENUE GEORGES CLEMENCEAU</v>
      </c>
      <c r="D119" t="str">
        <f>IFERROR(LEFT(SUBSTITUTE(jason_converted!D119," 'adresse2': '",""),LEN(SUBSTITUTE(jason_converted!D119," 'adresse2': '",""))-1),"")</f>
        <v/>
      </c>
      <c r="E119" t="str">
        <f>IFERROR(LEFT(SUBSTITUTE(jason_converted!E119," 'codepostal': '",""),LEN(SUBSTITUTE(jason_converted!E119," 'codepostal': '",""))-1),"")</f>
        <v>34000</v>
      </c>
      <c r="F119" t="str">
        <f>IFERROR(LEFT(SUBSTITUTE(jason_converted!F119," 'ville': '",""),LEN(SUBSTITUTE(jason_converted!F119," 'ville': '",""))-1),"")</f>
        <v>MONTPELLIER</v>
      </c>
      <c r="G119" t="str">
        <f>IFERROR(LEFT(SUBSTITUTE(jason_converted!G119," 'tel': ",""),LEN(SUBSTITUTE(jason_converted!G119," 'tel': ",""))),"")</f>
        <v>'0647285377'</v>
      </c>
      <c r="H119" t="str">
        <f>IFERROR(LEFT(SUBSTITUTE(jason_converted!H119," 'lat': '",""),LEN(SUBSTITUTE(jason_converted!H119," 'lat': '",""))-1),"")</f>
        <v>43.601759000000001</v>
      </c>
      <c r="I119" t="str">
        <f>IFERROR(LEFT(SUBSTITUTE(jason_converted!I119," 'lng': '",""),LEN(SUBSTITUTE(jason_converted!I119," 'lng': '",""))-1),"")</f>
        <v>3.869021000000000</v>
      </c>
      <c r="J119" t="str">
        <f>IFERROR(LEFT(SUBSTITUTE(jason_converted!J119," 'nomClub': '",""),LEN(SUBSTITUTE(jason_converted!J119," 'nomClub': '",""))-1),"")</f>
        <v>LA FORGE POWER LIFTING</v>
      </c>
      <c r="K119" t="str">
        <f>IFERROR(LEFT(SUBSTITUTE(jason_converted!K119," 'nomCourtClub': '",""),LEN(SUBSTITUTE(jason_converted!K119," 'nomCourtClub': '",""))-1),"")</f>
        <v>LA FORGE</v>
      </c>
      <c r="L119" t="str">
        <f>IFERROR("https://ffhaltero.fr/" &amp; LEFT(SUBSTITUTE(jason_converted!L119," 'url': '",""),LEN(SUBSTITUTE(jason_converted!L119," 'url': '",""))-1),"")</f>
        <v>https://ffhaltero.fr//pratiquer/ou-pratiquer/ou-pratiquer-fiche-club/339860030-la-forge-power-lifting'</v>
      </c>
    </row>
    <row r="120" spans="1:12" x14ac:dyDescent="0.25">
      <c r="A120" t="str">
        <f>IFERROR(SUBSTITUTE(jason_converted!A120,"{'id': ",""),"")</f>
        <v>185</v>
      </c>
      <c r="B120" t="str">
        <f>IFERROR(LEFT(SUBSTITUTE(jason_converted!B120," 'nom': '",""),LEN(SUBSTITUTE(jason_converted!B120," 'nom': '",""))-1),"")</f>
        <v>Siège social</v>
      </c>
      <c r="C120" t="str">
        <f>IFERROR(LEFT(SUBSTITUTE(jason_converted!C120," 'adresse1': '",""),LEN(SUBSTITUTE(jason_converted!C120," 'adresse1': '",""))-1),"")</f>
        <v>9 RUE GEORGES GAY</v>
      </c>
      <c r="D120" t="str">
        <f>IFERROR(LEFT(SUBSTITUTE(jason_converted!D120," 'adresse2': '",""),LEN(SUBSTITUTE(jason_converted!D120," 'adresse2': '",""))-1),"")</f>
        <v>D APPARTEMENT D12</v>
      </c>
      <c r="E120" t="str">
        <f>IFERROR(LEFT(SUBSTITUTE(jason_converted!E120," 'codepostal': '",""),LEN(SUBSTITUTE(jason_converted!E120," 'codepostal': '",""))-1),"")</f>
        <v>31700</v>
      </c>
      <c r="F120" t="str">
        <f>IFERROR(LEFT(SUBSTITUTE(jason_converted!F120," 'ville': '",""),LEN(SUBSTITUTE(jason_converted!F120," 'ville': '",""))-1),"")</f>
        <v>BLAGNAC</v>
      </c>
      <c r="G120" t="str">
        <f>IFERROR(LEFT(SUBSTITUTE(jason_converted!G120," 'tel': ",""),LEN(SUBSTITUTE(jason_converted!G120," 'tel': ",""))),"")</f>
        <v>'0604176431'</v>
      </c>
      <c r="H120" t="str">
        <f>IFERROR(LEFT(SUBSTITUTE(jason_converted!H120," 'lat': '",""),LEN(SUBSTITUTE(jason_converted!H120," 'lat': '",""))-1),"")</f>
        <v>43.654397000000003</v>
      </c>
      <c r="I120" t="str">
        <f>IFERROR(LEFT(SUBSTITUTE(jason_converted!I120," 'lng': '",""),LEN(SUBSTITUTE(jason_converted!I120," 'lng': '",""))-1),"")</f>
        <v>1.378427000000000</v>
      </c>
      <c r="J120" t="str">
        <f>IFERROR(LEFT(SUBSTITUTE(jason_converted!J120," 'nomClub': '",""),LEN(SUBSTITUTE(jason_converted!J120," 'nomClub': '",""))-1),"")</f>
        <v>OCCITAN BARBELL CREW</v>
      </c>
      <c r="K120" t="str">
        <f>IFERROR(LEFT(SUBSTITUTE(jason_converted!K120," 'nomCourtClub': '",""),LEN(SUBSTITUTE(jason_converted!K120," 'nomCourtClub': '",""))-1),"")</f>
        <v>OBC</v>
      </c>
      <c r="L120" t="str">
        <f>IFERROR("https://ffhaltero.fr/" &amp; LEFT(SUBSTITUTE(jason_converted!L120," 'url': '",""),LEN(SUBSTITUTE(jason_converted!L120," 'url': '",""))-1),"")</f>
        <v>https://ffhaltero.fr//pratiquer/ou-pratiquer/ou-pratiquer-fiche-club/339860054-occitan-barbell-crew'</v>
      </c>
    </row>
    <row r="121" spans="1:12" x14ac:dyDescent="0.25">
      <c r="A121" t="str">
        <f>IFERROR(SUBSTITUTE(jason_converted!A121,"{'id': ",""),"")</f>
        <v>187</v>
      </c>
      <c r="B121" t="str">
        <f>IFERROR(LEFT(SUBSTITUTE(jason_converted!B121," 'nom': '",""),LEN(SUBSTITUTE(jason_converted!B121," 'nom': '",""))-1),"")</f>
        <v>House of lifter</v>
      </c>
      <c r="C121" t="str">
        <f>IFERROR(LEFT(SUBSTITUTE(jason_converted!C121," 'adresse1': '",""),LEN(SUBSTITUTE(jason_converted!C121," 'adresse1': '",""))-1),"")</f>
        <v>RUE MARIUS ET ARY LEBLOND</v>
      </c>
      <c r="D121" t="str">
        <f>IFERROR(LEFT(SUBSTITUTE(jason_converted!D121," 'adresse2': '",""),LEN(SUBSTITUTE(jason_converted!D121," 'adresse2': '",""))-1),"")</f>
        <v/>
      </c>
      <c r="E121" t="str">
        <f>IFERROR(LEFT(SUBSTITUTE(jason_converted!E121," 'codepostal': '",""),LEN(SUBSTITUTE(jason_converted!E121," 'codepostal': '",""))-1),"")</f>
        <v>97546</v>
      </c>
      <c r="F121" t="str">
        <f>IFERROR(LEFT(SUBSTITUTE(jason_converted!F121," 'ville': '",""),LEN(SUBSTITUTE(jason_converted!F121," 'ville': '",""))-1),"")</f>
        <v>AUCUNE COMMUNE CORRESPONDANTE A CE CODE POSTAL</v>
      </c>
      <c r="G121" t="str">
        <f>IFERROR(LEFT(SUBSTITUTE(jason_converted!G121," 'tel': ",""),LEN(SUBSTITUTE(jason_converted!G121," 'tel': ",""))),"")</f>
        <v>'06.92.77.58.57'</v>
      </c>
      <c r="H121" t="str">
        <f>IFERROR(LEFT(SUBSTITUTE(jason_converted!H121," 'lat': '",""),LEN(SUBSTITUTE(jason_converted!H121," 'lat': '",""))-1),"")</f>
        <v>-21.333674750000000</v>
      </c>
      <c r="I121" t="str">
        <f>IFERROR(LEFT(SUBSTITUTE(jason_converted!I121," 'lng': '",""),LEN(SUBSTITUTE(jason_converted!I121," 'lng': '",""))-1),"")</f>
        <v>55.461603143733107</v>
      </c>
      <c r="J121" t="str">
        <f>IFERROR(LEFT(SUBSTITUTE(jason_converted!J121," 'nomClub': '",""),LEN(SUBSTITUTE(jason_converted!J121," 'nomClub': '",""))-1),"")</f>
        <v>MAHAVELI HALTÉROPHILIE RÉUNION</v>
      </c>
      <c r="K121" t="str">
        <f>IFERROR(LEFT(SUBSTITUTE(jason_converted!K121," 'nomCourtClub': '",""),LEN(SUBSTITUTE(jason_converted!K121," 'nomCourtClub': '",""))-1),"")</f>
        <v>MAHAVELI HALTÉRO RÉUNION</v>
      </c>
      <c r="L121" t="str">
        <f>IFERROR("https://ffhaltero.fr/" &amp; LEFT(SUBSTITUTE(jason_converted!L121," 'url': '",""),LEN(SUBSTITUTE(jason_converted!L121," 'url': '",""))-1),"")</f>
        <v>https://ffhaltero.fr//pratiquer/ou-pratiquer/ou-pratiquer-fiche-club/199740003-mahaveli-halterophilie-reunion'</v>
      </c>
    </row>
    <row r="122" spans="1:12" x14ac:dyDescent="0.25">
      <c r="A122" t="str">
        <f>IFERROR(SUBSTITUTE(jason_converted!A122,"{'id': ",""),"")</f>
        <v>189</v>
      </c>
      <c r="B122" t="str">
        <f>IFERROR(LEFT(SUBSTITUTE(jason_converted!B122," 'nom': '",""),LEN(SUBSTITUTE(jason_converted!B122," 'nom': '",""))-1),"")</f>
        <v>complexe balussou</v>
      </c>
      <c r="C122" t="str">
        <f>IFERROR(LEFT(SUBSTITUTE(jason_converted!C122," 'adresse1': '",""),LEN(SUBSTITUTE(jason_converted!C122," 'adresse1': '",""))-1),"")</f>
        <v xml:space="preserve"> 'adresse1': "IMPASSE DE L'HORTE</v>
      </c>
      <c r="D122" t="str">
        <f>IFERROR(LEFT(SUBSTITUTE(jason_converted!D122," 'adresse2': '",""),LEN(SUBSTITUTE(jason_converted!D122," 'adresse2': '",""))-1),"")</f>
        <v/>
      </c>
      <c r="E122" t="str">
        <f>IFERROR(LEFT(SUBSTITUTE(jason_converted!E122," 'codepostal': '",""),LEN(SUBSTITUTE(jason_converted!E122," 'codepostal': '",""))-1),"")</f>
        <v>09100</v>
      </c>
      <c r="F122" t="str">
        <f>IFERROR(LEFT(SUBSTITUTE(jason_converted!F122," 'ville': '",""),LEN(SUBSTITUTE(jason_converted!F122," 'ville': '",""))-1),"")</f>
        <v>PAMIERS</v>
      </c>
      <c r="G122" t="str">
        <f>IFERROR(LEFT(SUBSTITUTE(jason_converted!G122," 'tel': ",""),LEN(SUBSTITUTE(jason_converted!G122," 'tel': ",""))),"")</f>
        <v>None</v>
      </c>
      <c r="H122" t="str">
        <f>IFERROR(LEFT(SUBSTITUTE(jason_converted!H122," 'lat': '",""),LEN(SUBSTITUTE(jason_converted!H122," 'lat': '",""))-1),"")</f>
        <v>43.123324350000004</v>
      </c>
      <c r="I122" t="str">
        <f>IFERROR(LEFT(SUBSTITUTE(jason_converted!I122," 'lng': '",""),LEN(SUBSTITUTE(jason_converted!I122," 'lng': '",""))-1),"")</f>
        <v>1.607650699999998</v>
      </c>
      <c r="J122" t="str">
        <f>IFERROR(LEFT(SUBSTITUTE(jason_converted!J122," 'nomClub': '",""),LEN(SUBSTITUTE(jason_converted!J122," 'nomClub': '",""))-1),"")</f>
        <v>CH PAMIERS</v>
      </c>
      <c r="K122" t="str">
        <f>IFERROR(LEFT(SUBSTITUTE(jason_converted!K122," 'nomCourtClub': '",""),LEN(SUBSTITUTE(jason_converted!K122," 'nomCourtClub': '",""))-1),"")</f>
        <v>CH PAMIERS</v>
      </c>
      <c r="L122" t="str">
        <f>IFERROR("https://ffhaltero.fr/" &amp; LEFT(SUBSTITUTE(jason_converted!L122," 'url': '",""),LEN(SUBSTITUTE(jason_converted!L122," 'url': '",""))-1),"")</f>
        <v>https://ffhaltero.fr//pratiquer/ou-pratiquer/ou-pratiquer-fiche-club/15091170-ch-pamiers'</v>
      </c>
    </row>
    <row r="123" spans="1:12" x14ac:dyDescent="0.25">
      <c r="A123" t="str">
        <f>IFERROR(SUBSTITUTE(jason_converted!A123,"{'id': ",""),"")</f>
        <v>190</v>
      </c>
      <c r="B123" t="str">
        <f>IFERROR(LEFT(SUBSTITUTE(jason_converted!B123," 'nom': '",""),LEN(SUBSTITUTE(jason_converted!B123," 'nom': '",""))-1),"")</f>
        <v>RAC</v>
      </c>
      <c r="C123" t="str">
        <f>IFERROR(LEFT(SUBSTITUTE(jason_converted!C123," 'adresse1': '",""),LEN(SUBSTITUTE(jason_converted!C123," 'adresse1': '",""))-1),"")</f>
        <v>34 RUE DES BONS RAISINS</v>
      </c>
      <c r="D123" t="str">
        <f>IFERROR(LEFT(SUBSTITUTE(jason_converted!D123," 'adresse2': '",""),LEN(SUBSTITUTE(jason_converted!D123," 'adresse2': '",""))-1),"")</f>
        <v/>
      </c>
      <c r="E123" t="str">
        <f>IFERROR(LEFT(SUBSTITUTE(jason_converted!E123," 'codepostal': '",""),LEN(SUBSTITUTE(jason_converted!E123," 'codepostal': '",""))-1),"")</f>
        <v>92500</v>
      </c>
      <c r="F123" t="str">
        <f>IFERROR(LEFT(SUBSTITUTE(jason_converted!F123," 'ville': '",""),LEN(SUBSTITUTE(jason_converted!F123," 'ville': '",""))-1),"")</f>
        <v>RUEIL-MALMAISON</v>
      </c>
      <c r="G123" t="str">
        <f>IFERROR(LEFT(SUBSTITUTE(jason_converted!G123," 'tel': ",""),LEN(SUBSTITUTE(jason_converted!G123," 'tel': ",""))),"")</f>
        <v>'01 41 42 13 68'</v>
      </c>
      <c r="H123" t="str">
        <f>IFERROR(LEFT(SUBSTITUTE(jason_converted!H123," 'lat': '",""),LEN(SUBSTITUTE(jason_converted!H123," 'lat': '",""))-1),"")</f>
        <v>48.872936000000003</v>
      </c>
      <c r="I123" t="str">
        <f>IFERROR(LEFT(SUBSTITUTE(jason_converted!I123," 'lng': '",""),LEN(SUBSTITUTE(jason_converted!I123," 'lng': '",""))-1),"")</f>
        <v>2.193517000000000</v>
      </c>
      <c r="J123" t="str">
        <f>IFERROR(LEFT(SUBSTITUTE(jason_converted!J123," 'nomClub': '",""),LEN(SUBSTITUTE(jason_converted!J123," 'nomClub': '",""))-1),"")</f>
        <v>RUEIL ATHLETIC CLUB</v>
      </c>
      <c r="K123" t="str">
        <f>IFERROR(LEFT(SUBSTITUTE(jason_converted!K123," 'nomCourtClub': '",""),LEN(SUBSTITUTE(jason_converted!K123," 'nomCourtClub': '",""))-1),"")</f>
        <v>RUEIL ATHLETIC CLUB</v>
      </c>
      <c r="L123" t="str">
        <f>IFERROR("https://ffhaltero.fr/" &amp; LEFT(SUBSTITUTE(jason_converted!L123," 'url': '",""),LEN(SUBSTITUTE(jason_converted!L123," 'url': '",""))-1),"")</f>
        <v>https://ffhaltero.fr//pratiquer/ou-pratiquer/ou-pratiquer-fiche-club/21920202-rueil-athletic-club'</v>
      </c>
    </row>
    <row r="124" spans="1:12" x14ac:dyDescent="0.25">
      <c r="A124" t="str">
        <f>IFERROR(SUBSTITUTE(jason_converted!A124,"{'id': ",""),"")</f>
        <v>191</v>
      </c>
      <c r="B124" t="str">
        <f>IFERROR(LEFT(SUBSTITUTE(jason_converted!B124," 'nom': '",""),LEN(SUBSTITUTE(jason_converted!B124," 'nom': '",""))-1),"")</f>
        <v>Centre Pénitentiaire de Guyane</v>
      </c>
      <c r="C124" t="str">
        <f>IFERROR(LEFT(SUBSTITUTE(jason_converted!C124," 'adresse1': '",""),LEN(SUBSTITUTE(jason_converted!C124," 'adresse1': '",""))-1),"")</f>
        <v xml:space="preserve"> CENTRE PÉNITENTIAIRE DE GUYANE</v>
      </c>
      <c r="D124" t="str">
        <f>IFERROR(LEFT(SUBSTITUTE(jason_converted!D124," 'adresse2': '",""),LEN(SUBSTITUTE(jason_converted!D124," 'adresse2': '",""))-1),"")</f>
        <v>LA MATOURIENNE</v>
      </c>
      <c r="E124" t="str">
        <f>IFERROR(LEFT(SUBSTITUTE(jason_converted!E124," 'codepostal': '",""),LEN(SUBSTITUTE(jason_converted!E124," 'codepostal': '",""))-1),"")</f>
        <v>97354</v>
      </c>
      <c r="F124" t="str">
        <f>IFERROR(LEFT(SUBSTITUTE(jason_converted!F124," 'ville': '",""),LEN(SUBSTITUTE(jason_converted!F124," 'ville': '",""))-1),"")</f>
        <v xml:space="preserve"> 'ville': Non</v>
      </c>
      <c r="G124" t="str">
        <f>IFERROR(LEFT(SUBSTITUTE(jason_converted!G124," 'tel': ",""),LEN(SUBSTITUTE(jason_converted!G124," 'tel': ",""))),"")</f>
        <v>'0694911221'</v>
      </c>
      <c r="H124" t="str">
        <f>IFERROR(LEFT(SUBSTITUTE(jason_converted!H124," 'lat': '",""),LEN(SUBSTITUTE(jason_converted!H124," 'lat': '",""))-1),"")</f>
        <v>4.878222000000000</v>
      </c>
      <c r="I124" t="str">
        <f>IFERROR(LEFT(SUBSTITUTE(jason_converted!I124," 'lng': '",""),LEN(SUBSTITUTE(jason_converted!I124," 'lng': '",""))-1),"")</f>
        <v>-52.296073000000000</v>
      </c>
      <c r="J124" t="str">
        <f>IFERROR(LEFT(SUBSTITUTE(jason_converted!J124," 'nomClub': '",""),LEN(SUBSTITUTE(jason_converted!J124," 'nomClub': '",""))-1),"")</f>
        <v>ASCPG</v>
      </c>
      <c r="K124" t="str">
        <f>IFERROR(LEFT(SUBSTITUTE(jason_converted!K124," 'nomCourtClub': '",""),LEN(SUBSTITUTE(jason_converted!K124," 'nomCourtClub': '",""))-1),"")</f>
        <v>ASCPG</v>
      </c>
      <c r="L124" t="str">
        <f>IFERROR("https://ffhaltero.fr/" &amp; LEFT(SUBSTITUTE(jason_converted!L124," 'url': '",""),LEN(SUBSTITUTE(jason_converted!L124," 'url': '",""))-1),"")</f>
        <v>https://ffhaltero.fr//pratiquer/ou-pratiquer/ou-pratiquer-fiche-club/339860053-ascpg'</v>
      </c>
    </row>
    <row r="125" spans="1:12" x14ac:dyDescent="0.25">
      <c r="A125" t="str">
        <f>IFERROR(SUBSTITUTE(jason_converted!A125,"{'id': ",""),"")</f>
        <v>195</v>
      </c>
      <c r="B125" t="str">
        <f>IFERROR(LEFT(SUBSTITUTE(jason_converted!B125," 'nom': '",""),LEN(SUBSTITUTE(jason_converted!B125," 'nom': '",""))-1),"")</f>
        <v>neo crossfit</v>
      </c>
      <c r="C125" t="str">
        <f>IFERROR(LEFT(SUBSTITUTE(jason_converted!C125," 'adresse1': '",""),LEN(SUBSTITUTE(jason_converted!C125," 'adresse1': '",""))-1),"")</f>
        <v>318 BIS RUE ALBERT DE DION</v>
      </c>
      <c r="D125" t="str">
        <f>IFERROR(LEFT(SUBSTITUTE(jason_converted!D125," 'adresse2': '",""),LEN(SUBSTITUTE(jason_converted!D125," 'adresse2': '",""))-1),"")</f>
        <v/>
      </c>
      <c r="E125" t="str">
        <f>IFERROR(LEFT(SUBSTITUTE(jason_converted!E125," 'codepostal': '",""),LEN(SUBSTITUTE(jason_converted!E125," 'codepostal': '",""))-1),"")</f>
        <v>63500</v>
      </c>
      <c r="F125" t="str">
        <f>IFERROR(LEFT(SUBSTITUTE(jason_converted!F125," 'ville': '",""),LEN(SUBSTITUTE(jason_converted!F125," 'ville': '",""))-1),"")</f>
        <v>ISSOIRE</v>
      </c>
      <c r="G125" t="str">
        <f>IFERROR(LEFT(SUBSTITUTE(jason_converted!G125," 'tel': ",""),LEN(SUBSTITUTE(jason_converted!G125," 'tel': ",""))),"")</f>
        <v>'0764847533'</v>
      </c>
      <c r="H125" t="str">
        <f>IFERROR(LEFT(SUBSTITUTE(jason_converted!H125," 'lat': '",""),LEN(SUBSTITUTE(jason_converted!H125," 'lat': '",""))-1),"")</f>
        <v>45.533720614702823</v>
      </c>
      <c r="I125" t="str">
        <f>IFERROR(LEFT(SUBSTITUTE(jason_converted!I125," 'lng': '",""),LEN(SUBSTITUTE(jason_converted!I125," 'lng': '",""))-1),"")</f>
        <v>3.259782258877842</v>
      </c>
      <c r="J125" t="str">
        <f>IFERROR(LEFT(SUBSTITUTE(jason_converted!J125," 'nomClub': '",""),LEN(SUBSTITUTE(jason_converted!J125," 'nomClub': '",""))-1),"")</f>
        <v>NEO WEIGHTLIFTING CLUB</v>
      </c>
      <c r="K125" t="str">
        <f>IFERROR(LEFT(SUBSTITUTE(jason_converted!K125," 'nomCourtClub': '",""),LEN(SUBSTITUTE(jason_converted!K125," 'nomCourtClub': '",""))-1),"")</f>
        <v>NEO CLUB</v>
      </c>
      <c r="L125" t="str">
        <f>IFERROR("https://ffhaltero.fr/" &amp; LEFT(SUBSTITUTE(jason_converted!L125," 'url': '",""),LEN(SUBSTITUTE(jason_converted!L125," 'url': '",""))-1),"")</f>
        <v>https://ffhaltero.fr//pratiquer/ou-pratiquer/ou-pratiquer-fiche-club/339860055-neo-weightlifting-club'</v>
      </c>
    </row>
    <row r="126" spans="1:12" x14ac:dyDescent="0.25">
      <c r="A126" t="str">
        <f>IFERROR(SUBSTITUTE(jason_converted!A126,"{'id': ",""),"")</f>
        <v>196</v>
      </c>
      <c r="B126" t="str">
        <f>IFERROR(LEFT(SUBSTITUTE(jason_converted!B126," 'nom': '",""),LEN(SUBSTITUTE(jason_converted!B126," 'nom': '",""))-1),"")</f>
        <v>COSEC</v>
      </c>
      <c r="C126" t="str">
        <f>IFERROR(LEFT(SUBSTITUTE(jason_converted!C126," 'adresse1': '",""),LEN(SUBSTITUTE(jason_converted!C126," 'adresse1': '",""))-1),"")</f>
        <v>SQUARE DES CHAMPS FLEURIS</v>
      </c>
      <c r="D126" t="str">
        <f>IFERROR(LEFT(SUBSTITUTE(jason_converted!D126," 'adresse2': '",""),LEN(SUBSTITUTE(jason_converted!D126," 'adresse2': '",""))-1),"")</f>
        <v xml:space="preserve">COSSEC </v>
      </c>
      <c r="E126" t="str">
        <f>IFERROR(LEFT(SUBSTITUTE(jason_converted!E126," 'codepostal': '",""),LEN(SUBSTITUTE(jason_converted!E126," 'codepostal': '",""))-1),"")</f>
        <v>35650</v>
      </c>
      <c r="F126" t="str">
        <f>IFERROR(LEFT(SUBSTITUTE(jason_converted!F126," 'ville': '",""),LEN(SUBSTITUTE(jason_converted!F126," 'ville': '",""))-1),"")</f>
        <v>LE RHEU</v>
      </c>
      <c r="G126" t="str">
        <f>IFERROR(LEFT(SUBSTITUTE(jason_converted!G126," 'tel': ",""),LEN(SUBSTITUTE(jason_converted!G126," 'tel': ",""))),"")</f>
        <v>None</v>
      </c>
      <c r="H126" t="str">
        <f>IFERROR(LEFT(SUBSTITUTE(jason_converted!H126," 'lat': '",""),LEN(SUBSTITUTE(jason_converted!H126," 'lat': '",""))-1),"")</f>
        <v>48.100637800000001</v>
      </c>
      <c r="I126" t="str">
        <f>IFERROR(LEFT(SUBSTITUTE(jason_converted!I126," 'lng': '",""),LEN(SUBSTITUTE(jason_converted!I126," 'lng': '",""))-1),"")</f>
        <v>-1.803018600000000</v>
      </c>
      <c r="J126" t="str">
        <f>IFERROR(LEFT(SUBSTITUTE(jason_converted!J126," 'nomClub': '",""),LEN(SUBSTITUTE(jason_converted!J126," 'nomClub': '",""))-1),"")</f>
        <v>SC LE RHEU ENERGYM</v>
      </c>
      <c r="K126" t="str">
        <f>IFERROR(LEFT(SUBSTITUTE(jason_converted!K126," 'nomCourtClub': '",""),LEN(SUBSTITUTE(jason_converted!K126," 'nomCourtClub': '",""))-1),"")</f>
        <v>SC LE RHEU ENERGYM</v>
      </c>
      <c r="L126" t="str">
        <f>IFERROR("https://ffhaltero.fr/" &amp; LEFT(SUBSTITUTE(jason_converted!L126," 'url': '",""),LEN(SUBSTITUTE(jason_converted!L126," 'url': '",""))-1),"")</f>
        <v>https://ffhaltero.fr//pratiquer/ou-pratiquer/ou-pratiquer-fiche-club/06350085-sc-le-rheu-energym'</v>
      </c>
    </row>
    <row r="127" spans="1:12" x14ac:dyDescent="0.25">
      <c r="A127" t="str">
        <f>IFERROR(SUBSTITUTE(jason_converted!A127,"{'id': ",""),"")</f>
        <v>198</v>
      </c>
      <c r="B127" t="str">
        <f>IFERROR(LEFT(SUBSTITUTE(jason_converted!B127," 'nom': '",""),LEN(SUBSTITUTE(jason_converted!B127," 'nom': '",""))-1),"")</f>
        <v>Salle de musculation centre sportif Philippe Cattiau</v>
      </c>
      <c r="C127" t="str">
        <f>IFERROR(LEFT(SUBSTITUTE(jason_converted!C127," 'adresse1': '",""),LEN(SUBSTITUTE(jason_converted!C127," 'adresse1': '",""))-1),"")</f>
        <v>26 CHEMIN DU BUCHER</v>
      </c>
      <c r="D127" t="str">
        <f>IFERROR(LEFT(SUBSTITUTE(jason_converted!D127," 'adresse2': '",""),LEN(SUBSTITUTE(jason_converted!D127," 'adresse2': '",""))-1),"")</f>
        <v xml:space="preserve">RDC </v>
      </c>
      <c r="E127" t="str">
        <f>IFERROR(LEFT(SUBSTITUTE(jason_converted!E127," 'codepostal': '",""),LEN(SUBSTITUTE(jason_converted!E127," 'codepostal': '",""))-1),"")</f>
        <v>92390</v>
      </c>
      <c r="F127" t="str">
        <f>IFERROR(LEFT(SUBSTITUTE(jason_converted!F127," 'ville': '",""),LEN(SUBSTITUTE(jason_converted!F127," 'ville': '",""))-1),"")</f>
        <v>VILLENEUVE-LA-GARENNE</v>
      </c>
      <c r="G127" t="str">
        <f>IFERROR(LEFT(SUBSTITUTE(jason_converted!G127," 'tel': ",""),LEN(SUBSTITUTE(jason_converted!G127," 'tel': ",""))),"")</f>
        <v>'0147946349'</v>
      </c>
      <c r="H127" t="str">
        <f>IFERROR(LEFT(SUBSTITUTE(jason_converted!H127," 'lat': '",""),LEN(SUBSTITUTE(jason_converted!H127," 'lat': '",""))-1),"")</f>
        <v>48.942240050000002</v>
      </c>
      <c r="I127" t="str">
        <f>IFERROR(LEFT(SUBSTITUTE(jason_converted!I127," 'lng': '",""),LEN(SUBSTITUTE(jason_converted!I127," 'lng': '",""))-1),"")</f>
        <v>2.325617998913599</v>
      </c>
      <c r="J127" t="str">
        <f>IFERROR(LEFT(SUBSTITUTE(jason_converted!J127," 'nomClub': '",""),LEN(SUBSTITUTE(jason_converted!J127," 'nomClub': '",""))-1),"")</f>
        <v>AMICALE VILLENEUVE LA GARENNE OMNISPORTS</v>
      </c>
      <c r="K127" t="str">
        <f>IFERROR(LEFT(SUBSTITUTE(jason_converted!K127," 'nomCourtClub': '",""),LEN(SUBSTITUTE(jason_converted!K127," 'nomCourtClub': '",""))-1),"")</f>
        <v>AVG OMNISPORTS</v>
      </c>
      <c r="L127" t="str">
        <f>IFERROR("https://ffhaltero.fr/" &amp; LEFT(SUBSTITUTE(jason_converted!L127," 'url': '",""),LEN(SUBSTITUTE(jason_converted!L127," 'url': '",""))-1),"")</f>
        <v>https://ffhaltero.fr//pratiquer/ou-pratiquer/ou-pratiquer-fiche-club/339860014-amicale-villeneuve-la-garenne-omnisports'</v>
      </c>
    </row>
    <row r="128" spans="1:12" x14ac:dyDescent="0.25">
      <c r="A128" t="str">
        <f>IFERROR(SUBSTITUTE(jason_converted!A128,"{'id': ",""),"")</f>
        <v>199</v>
      </c>
      <c r="B128" t="str">
        <f>IFERROR(LEFT(SUBSTITUTE(jason_converted!B128," 'nom': '",""),LEN(SUBSTITUTE(jason_converted!B128," 'nom': '",""))-1),"")</f>
        <v>HMCC</v>
      </c>
      <c r="C128" t="str">
        <f>IFERROR(LEFT(SUBSTITUTE(jason_converted!C128," 'adresse1': '",""),LEN(SUBSTITUTE(jason_converted!C128," 'adresse1': '",""))-1),"")</f>
        <v xml:space="preserve"> 35 RUE HOCHE</v>
      </c>
      <c r="D128" t="str">
        <f>IFERROR(LEFT(SUBSTITUTE(jason_converted!D128," 'adresse2': '",""),LEN(SUBSTITUTE(jason_converted!D128," 'adresse2': '",""))-1),"")</f>
        <v/>
      </c>
      <c r="E128" t="str">
        <f>IFERROR(LEFT(SUBSTITUTE(jason_converted!E128," 'codepostal': '",""),LEN(SUBSTITUTE(jason_converted!E128," 'codepostal': '",""))-1),"")</f>
        <v>71100</v>
      </c>
      <c r="F128" t="str">
        <f>IFERROR(LEFT(SUBSTITUTE(jason_converted!F128," 'ville': '",""),LEN(SUBSTITUTE(jason_converted!F128," 'ville': '",""))-1),"")</f>
        <v>CHALON-SUR-SAÔNE</v>
      </c>
      <c r="G128" t="str">
        <f>IFERROR(LEFT(SUBSTITUTE(jason_converted!G128," 'tel': ",""),LEN(SUBSTITUTE(jason_converted!G128," 'tel': ",""))),"")</f>
        <v>'0631295568'</v>
      </c>
      <c r="H128" t="str">
        <f>IFERROR(LEFT(SUBSTITUTE(jason_converted!H128," 'lat': '",""),LEN(SUBSTITUTE(jason_converted!H128," 'lat': '",""))-1),"")</f>
        <v>46.790691000000002</v>
      </c>
      <c r="I128" t="str">
        <f>IFERROR(LEFT(SUBSTITUTE(jason_converted!I128," 'lng': '",""),LEN(SUBSTITUTE(jason_converted!I128," 'lng': '",""))-1),"")</f>
        <v>4.845821000000000</v>
      </c>
      <c r="J128" t="str">
        <f>IFERROR(LEFT(SUBSTITUTE(jason_converted!J128," 'nomClub': '",""),LEN(SUBSTITUTE(jason_converted!J128," 'nomClub': '",""))-1),"")</f>
        <v>HALTEROPHILIE MUSCULATION CLUB CHALONNAIS</v>
      </c>
      <c r="K128" t="str">
        <f>IFERROR(LEFT(SUBSTITUTE(jason_converted!K128," 'nomCourtClub': '",""),LEN(SUBSTITUTE(jason_converted!K128," 'nomCourtClub': '",""))-1),"")</f>
        <v>HALTEROPHILIE MUSCULATION CLUB CHALONNAIS</v>
      </c>
      <c r="L128" t="str">
        <f>IFERROR("https://ffhaltero.fr/" &amp; LEFT(SUBSTITUTE(jason_converted!L128," 'url': '",""),LEN(SUBSTITUTE(jason_converted!L128," 'url': '",""))-1),"")</f>
        <v>https://ffhaltero.fr//pratiquer/ou-pratiquer/ou-pratiquer-fiche-club/02710001-halterophilie-musculation-club-chalonnais'</v>
      </c>
    </row>
    <row r="129" spans="1:12" x14ac:dyDescent="0.25">
      <c r="A129" t="str">
        <f>IFERROR(SUBSTITUTE(jason_converted!A129,"{'id': ",""),"")</f>
        <v>202</v>
      </c>
      <c r="B129" t="str">
        <f>IFERROR(LEFT(SUBSTITUTE(jason_converted!B129," 'nom': '",""),LEN(SUBSTITUTE(jason_converted!B129," 'nom': '",""))-1),"")</f>
        <v>SAIYAGYM CROSSFIT</v>
      </c>
      <c r="C129" t="str">
        <f>IFERROR(LEFT(SUBSTITUTE(jason_converted!C129," 'adresse1': '",""),LEN(SUBSTITUTE(jason_converted!C129," 'adresse1': '",""))-1),"")</f>
        <v xml:space="preserve"> 3 RUE DE DURTOL</v>
      </c>
      <c r="D129" t="str">
        <f>IFERROR(LEFT(SUBSTITUTE(jason_converted!D129," 'adresse2': '",""),LEN(SUBSTITUTE(jason_converted!D129," 'adresse2': '",""))-1),"")</f>
        <v/>
      </c>
      <c r="E129" t="str">
        <f>IFERROR(LEFT(SUBSTITUTE(jason_converted!E129," 'codepostal': '",""),LEN(SUBSTITUTE(jason_converted!E129," 'codepostal': '",""))-1),"")</f>
        <v>63370</v>
      </c>
      <c r="F129" t="str">
        <f>IFERROR(LEFT(SUBSTITUTE(jason_converted!F129," 'ville': '",""),LEN(SUBSTITUTE(jason_converted!F129," 'ville': '",""))-1),"")</f>
        <v>LEMPDES</v>
      </c>
      <c r="G129" t="str">
        <f>IFERROR(LEFT(SUBSTITUTE(jason_converted!G129," 'tel': ",""),LEN(SUBSTITUTE(jason_converted!G129," 'tel': ",""))),"")</f>
        <v>None</v>
      </c>
      <c r="H129" t="str">
        <f>IFERROR(LEFT(SUBSTITUTE(jason_converted!H129," 'lat': '",""),LEN(SUBSTITUTE(jason_converted!H129," 'lat': '",""))-1),"")</f>
        <v>45.776682999999998</v>
      </c>
      <c r="I129" t="str">
        <f>IFERROR(LEFT(SUBSTITUTE(jason_converted!I129," 'lng': '",""),LEN(SUBSTITUTE(jason_converted!I129," 'lng': '",""))-1),"")</f>
        <v>3.194500000000000</v>
      </c>
      <c r="J129" t="str">
        <f>IFERROR(LEFT(SUBSTITUTE(jason_converted!J129," 'nomClub': '",""),LEN(SUBSTITUTE(jason_converted!J129," 'nomClub': '",""))-1),"")</f>
        <v>LEMPDES ATHLETIC CLUB</v>
      </c>
      <c r="K129" t="str">
        <f>IFERROR(LEFT(SUBSTITUTE(jason_converted!K129," 'nomCourtClub': '",""),LEN(SUBSTITUTE(jason_converted!K129," 'nomCourtClub': '",""))-1),"")</f>
        <v>LAC</v>
      </c>
      <c r="L129" t="str">
        <f>IFERROR("https://ffhaltero.fr/" &amp; LEFT(SUBSTITUTE(jason_converted!L129," 'url': '",""),LEN(SUBSTITUTE(jason_converted!L129," 'url': '",""))-1),"")</f>
        <v>https://ffhaltero.fr//pratiquer/ou-pratiquer/ou-pratiquer-fiche-club/339860056-lempdes-athletic-club'</v>
      </c>
    </row>
    <row r="130" spans="1:12" x14ac:dyDescent="0.25">
      <c r="A130" t="str">
        <f>IFERROR(SUBSTITUTE(jason_converted!A130,"{'id': ",""),"")</f>
        <v>203</v>
      </c>
      <c r="B130" t="str">
        <f>IFERROR(LEFT(SUBSTITUTE(jason_converted!B130," 'nom': '",""),LEN(SUBSTITUTE(jason_converted!B130," 'nom': '",""))-1),"")</f>
        <v>Essor des carnutes</v>
      </c>
      <c r="C130" t="str">
        <f>IFERROR(LEFT(SUBSTITUTE(jason_converted!C130," 'adresse1': '",""),LEN(SUBSTITUTE(jason_converted!C130," 'adresse1': '",""))-1),"")</f>
        <v>10 RUE DU PUITS BERCHOT</v>
      </c>
      <c r="D130" t="str">
        <f>IFERROR(LEFT(SUBSTITUTE(jason_converted!D130," 'adresse2': '",""),LEN(SUBSTITUTE(jason_converted!D130," 'adresse2': '",""))-1),"")</f>
        <v/>
      </c>
      <c r="E130" t="str">
        <f>IFERROR(LEFT(SUBSTITUTE(jason_converted!E130," 'codepostal': '",""),LEN(SUBSTITUTE(jason_converted!E130," 'codepostal': '",""))-1),"")</f>
        <v>28000</v>
      </c>
      <c r="F130" t="str">
        <f>IFERROR(LEFT(SUBSTITUTE(jason_converted!F130," 'ville': '",""),LEN(SUBSTITUTE(jason_converted!F130," 'ville': '",""))-1),"")</f>
        <v>CHARTRES</v>
      </c>
      <c r="G130" t="str">
        <f>IFERROR(LEFT(SUBSTITUTE(jason_converted!G130," 'tel': ",""),LEN(SUBSTITUTE(jason_converted!G130," 'tel': ",""))),"")</f>
        <v>'0618644215'</v>
      </c>
      <c r="H130" t="str">
        <f>IFERROR(LEFT(SUBSTITUTE(jason_converted!H130," 'lat': '",""),LEN(SUBSTITUTE(jason_converted!H130," 'lat': '",""))-1),"")</f>
        <v>48.446272999999998</v>
      </c>
      <c r="I130" t="str">
        <f>IFERROR(LEFT(SUBSTITUTE(jason_converted!I130," 'lng': '",""),LEN(SUBSTITUTE(jason_converted!I130," 'lng': '",""))-1),"")</f>
        <v>1.493332000000000</v>
      </c>
      <c r="J130" t="str">
        <f>IFERROR(LEFT(SUBSTITUTE(jason_converted!J130," 'nomClub': '",""),LEN(SUBSTITUTE(jason_converted!J130," 'nomClub': '",""))-1),"")</f>
        <v>ESSOR DES CARNUTES CHARTRES</v>
      </c>
      <c r="K130" t="str">
        <f>IFERROR(LEFT(SUBSTITUTE(jason_converted!K130," 'nomCourtClub': '",""),LEN(SUBSTITUTE(jason_converted!K130," 'nomCourtClub': '",""))-1),"")</f>
        <v>ESSOR DES CARNUTES CHARTRES</v>
      </c>
      <c r="L130" t="str">
        <f>IFERROR("https://ffhaltero.fr/" &amp; LEFT(SUBSTITUTE(jason_converted!L130," 'url': '",""),LEN(SUBSTITUTE(jason_converted!L130," 'url': '",""))-1),"")</f>
        <v>https://ffhaltero.fr//pratiquer/ou-pratiquer/ou-pratiquer-fiche-club/07280359-essor-des-carnutes-chartres'</v>
      </c>
    </row>
    <row r="131" spans="1:12" x14ac:dyDescent="0.25">
      <c r="A131" t="str">
        <f>IFERROR(SUBSTITUTE(jason_converted!A131,"{'id': ",""),"")</f>
        <v>204</v>
      </c>
      <c r="B131" t="str">
        <f>IFERROR(LEFT(SUBSTITUTE(jason_converted!B131," 'nom': '",""),LEN(SUBSTITUTE(jason_converted!B131," 'nom': '",""))-1),"")</f>
        <v>usc muscu haltero</v>
      </c>
      <c r="C131" t="str">
        <f>IFERROR(LEFT(SUBSTITUTE(jason_converted!C131," 'adresse1': '",""),LEN(SUBSTITUTE(jason_converted!C131," 'adresse1': '",""))-1),"")</f>
        <v>10 BIS AVENUE YVES BRUNAUD</v>
      </c>
      <c r="D131" t="str">
        <f>IFERROR(LEFT(SUBSTITUTE(jason_converted!D131," 'adresse2': '",""),LEN(SUBSTITUTE(jason_converted!D131," 'adresse2': '",""))-1),"")</f>
        <v/>
      </c>
      <c r="E131" t="str">
        <f>IFERROR(LEFT(SUBSTITUTE(jason_converted!E131," 'codepostal': '",""),LEN(SUBSTITUTE(jason_converted!E131," 'codepostal': '",""))-1),"")</f>
        <v>31770</v>
      </c>
      <c r="F131" t="str">
        <f>IFERROR(LEFT(SUBSTITUTE(jason_converted!F131," 'ville': '",""),LEN(SUBSTITUTE(jason_converted!F131," 'ville': '",""))-1),"")</f>
        <v>COLOMIERS</v>
      </c>
      <c r="G131" t="str">
        <f>IFERROR(LEFT(SUBSTITUTE(jason_converted!G131," 'tel': ",""),LEN(SUBSTITUTE(jason_converted!G131," 'tel': ",""))),"")</f>
        <v>'0534551841'</v>
      </c>
      <c r="H131" t="str">
        <f>IFERROR(LEFT(SUBSTITUTE(jason_converted!H131," 'lat': '",""),LEN(SUBSTITUTE(jason_converted!H131," 'lat': '",""))-1),"")</f>
        <v>43.613646052778350</v>
      </c>
      <c r="I131" t="str">
        <f>IFERROR(LEFT(SUBSTITUTE(jason_converted!I131," 'lng': '",""),LEN(SUBSTITUTE(jason_converted!I131," 'lng': '",""))-1),"")</f>
        <v>1.349172592163086</v>
      </c>
      <c r="J131" t="str">
        <f>IFERROR(LEFT(SUBSTITUTE(jason_converted!J131," 'nomClub': '",""),LEN(SUBSTITUTE(jason_converted!J131," 'nomClub': '",""))-1),"")</f>
        <v>USC HC COLOMIERS</v>
      </c>
      <c r="K131" t="str">
        <f>IFERROR(LEFT(SUBSTITUTE(jason_converted!K131," 'nomCourtClub': '",""),LEN(SUBSTITUTE(jason_converted!K131," 'nomCourtClub': '",""))-1),"")</f>
        <v>USC HC COLOMIERS</v>
      </c>
      <c r="L131" t="str">
        <f>IFERROR("https://ffhaltero.fr/" &amp; LEFT(SUBSTITUTE(jason_converted!L131," 'url': '",""),LEN(SUBSTITUTE(jason_converted!L131," 'url': '",""))-1),"")</f>
        <v>https://ffhaltero.fr//pratiquer/ou-pratiquer/ou-pratiquer-fiche-club/15310442-usc-hc-colomiers'</v>
      </c>
    </row>
    <row r="132" spans="1:12" x14ac:dyDescent="0.25">
      <c r="A132" t="str">
        <f>IFERROR(SUBSTITUTE(jason_converted!A132,"{'id': ",""),"")</f>
        <v>208</v>
      </c>
      <c r="B132" t="str">
        <f>IFERROR(LEFT(SUBSTITUTE(jason_converted!B132," 'nom': '",""),LEN(SUBSTITUTE(jason_converted!B132," 'nom': '",""))-1),"")</f>
        <v>COMPLEXE SPORTIF MARIE AMELIE LE FUR</v>
      </c>
      <c r="C132" t="str">
        <f>IFERROR(LEFT(SUBSTITUTE(jason_converted!C132," 'adresse1': '",""),LEN(SUBSTITUTE(jason_converted!C132," 'adresse1': '",""))-1),"")</f>
        <v>1 RUE DES GRANDS PRES</v>
      </c>
      <c r="D132" t="str">
        <f>IFERROR(LEFT(SUBSTITUTE(jason_converted!D132," 'adresse2': '",""),LEN(SUBSTITUTE(jason_converted!D132," 'adresse2': '",""))-1),"")</f>
        <v/>
      </c>
      <c r="E132" t="str">
        <f>IFERROR(LEFT(SUBSTITUTE(jason_converted!E132," 'codepostal': '",""),LEN(SUBSTITUTE(jason_converted!E132," 'codepostal': '",""))-1),"")</f>
        <v>60230</v>
      </c>
      <c r="F132" t="str">
        <f>IFERROR(LEFT(SUBSTITUTE(jason_converted!F132," 'ville': '",""),LEN(SUBSTITUTE(jason_converted!F132," 'ville': '",""))-1),"")</f>
        <v>CHAMBLY</v>
      </c>
      <c r="G132" t="str">
        <f>IFERROR(LEFT(SUBSTITUTE(jason_converted!G132," 'tel': ",""),LEN(SUBSTITUTE(jason_converted!G132," 'tel': ",""))),"")</f>
        <v>'06 10 85 62 61'</v>
      </c>
      <c r="H132" t="str">
        <f>IFERROR(LEFT(SUBSTITUTE(jason_converted!H132," 'lat': '",""),LEN(SUBSTITUTE(jason_converted!H132," 'lat': '",""))-1),"")</f>
        <v>49.161110999999998</v>
      </c>
      <c r="I132" t="str">
        <f>IFERROR(LEFT(SUBSTITUTE(jason_converted!I132," 'lng': '",""),LEN(SUBSTITUTE(jason_converted!I132," 'lng': '",""))-1),"")</f>
        <v>2.249785000000000</v>
      </c>
      <c r="J132" t="str">
        <f>IFERROR(LEFT(SUBSTITUTE(jason_converted!J132," 'nomClub': '",""),LEN(SUBSTITUTE(jason_converted!J132," 'nomClub': '",""))-1),"")</f>
        <v>BADMINTON CLUB CHAMBLY OISE</v>
      </c>
      <c r="K132" t="str">
        <f>IFERROR(LEFT(SUBSTITUTE(jason_converted!K132," 'nomCourtClub': '",""),LEN(SUBSTITUTE(jason_converted!K132," 'nomCourtClub': '",""))-1),"")</f>
        <v>BCCO</v>
      </c>
      <c r="L132" t="str">
        <f>IFERROR("https://ffhaltero.fr/" &amp; LEFT(SUBSTITUTE(jason_converted!L132," 'url': '",""),LEN(SUBSTITUTE(jason_converted!L132," 'url': '",""))-1),"")</f>
        <v>https://ffhaltero.fr//pratiquer/ou-pratiquer/ou-pratiquer-fiche-club/339860034-badminton-club-chambly-oise'</v>
      </c>
    </row>
    <row r="133" spans="1:12" x14ac:dyDescent="0.25">
      <c r="A133" t="str">
        <f>IFERROR(SUBSTITUTE(jason_converted!A133,"{'id': ",""),"")</f>
        <v>210</v>
      </c>
      <c r="B133" t="str">
        <f>IFERROR(LEFT(SUBSTITUTE(jason_converted!B133," 'nom': '",""),LEN(SUBSTITUTE(jason_converted!B133," 'nom': '",""))-1),"")</f>
        <v>CrossFit Ballers</v>
      </c>
      <c r="C133" t="str">
        <f>IFERROR(LEFT(SUBSTITUTE(jason_converted!C133," 'adresse1': '",""),LEN(SUBSTITUTE(jason_converted!C133," 'adresse1': '",""))-1),"")</f>
        <v>8 RUE SAINT ELOI</v>
      </c>
      <c r="D133" t="str">
        <f>IFERROR(LEFT(SUBSTITUTE(jason_converted!D133," 'adresse2': '",""),LEN(SUBSTITUTE(jason_converted!D133," 'adresse2': '",""))-1),"")</f>
        <v/>
      </c>
      <c r="E133" t="str">
        <f>IFERROR(LEFT(SUBSTITUTE(jason_converted!E133," 'codepostal': '",""),LEN(SUBSTITUTE(jason_converted!E133," 'codepostal': '",""))-1),"")</f>
        <v>76000</v>
      </c>
      <c r="F133" t="str">
        <f>IFERROR(LEFT(SUBSTITUTE(jason_converted!F133," 'ville': '",""),LEN(SUBSTITUTE(jason_converted!F133," 'ville': '",""))-1),"")</f>
        <v>ROUEN</v>
      </c>
      <c r="G133" t="str">
        <f>IFERROR(LEFT(SUBSTITUTE(jason_converted!G133," 'tel': ",""),LEN(SUBSTITUTE(jason_converted!G133," 'tel': ",""))),"")</f>
        <v>'09.81.11.34.64'</v>
      </c>
      <c r="H133" t="str">
        <f>IFERROR(LEFT(SUBSTITUTE(jason_converted!H133," 'lat': '",""),LEN(SUBSTITUTE(jason_converted!H133," 'lat': '",""))-1),"")</f>
        <v>49.440544000000003</v>
      </c>
      <c r="I133" t="str">
        <f>IFERROR(LEFT(SUBSTITUTE(jason_converted!I133," 'lng': '",""),LEN(SUBSTITUTE(jason_converted!I133," 'lng': '",""))-1),"")</f>
        <v>1.086717000000000</v>
      </c>
      <c r="J133" t="str">
        <f>IFERROR(LEFT(SUBSTITUTE(jason_converted!J133," 'nomClub': '",""),LEN(SUBSTITUTE(jason_converted!J133," 'nomClub': '",""))-1),"")</f>
        <v>BALLERS HALTEROPHILIE CLUB DE ROUEN</v>
      </c>
      <c r="K133" t="str">
        <f>IFERROR(LEFT(SUBSTITUTE(jason_converted!K133," 'nomCourtClub': '",""),LEN(SUBSTITUTE(jason_converted!K133," 'nomCourtClub': '",""))-1),"")</f>
        <v>BALLERS HALTEROPHILIE CLUB DE ROUEN</v>
      </c>
      <c r="L133" t="str">
        <f>IFERROR("https://ffhaltero.fr/" &amp; LEFT(SUBSTITUTE(jason_converted!L133," 'url': '",""),LEN(SUBSTITUTE(jason_converted!L133," 'url': '",""))-1),"")</f>
        <v>https://ffhaltero.fr//pratiquer/ou-pratiquer/ou-pratiquer-fiche-club/12760003-ballers-halterophilie-club-de-rouen'</v>
      </c>
    </row>
    <row r="134" spans="1:12" x14ac:dyDescent="0.25">
      <c r="A134" t="str">
        <f>IFERROR(SUBSTITUTE(jason_converted!A134,"{'id': ",""),"")</f>
        <v>212</v>
      </c>
      <c r="B134" t="str">
        <f>IFERROR(LEFT(SUBSTITUTE(jason_converted!B134," 'nom': '",""),LEN(SUBSTITUTE(jason_converted!B134," 'nom': '",""))-1),"")</f>
        <v>STADE POITEVIN HALTEROPHILIE MUSCULATION</v>
      </c>
      <c r="C134" t="str">
        <f>IFERROR(LEFT(SUBSTITUTE(jason_converted!C134," 'adresse1': '",""),LEN(SUBSTITUTE(jason_converted!C134," 'adresse1': '",""))-1),"")</f>
        <v>COMPLEXE MICHEL AMAND AVENUE DE LA FRATERNITE</v>
      </c>
      <c r="D134" t="str">
        <f>IFERROR(LEFT(SUBSTITUTE(jason_converted!D134," 'adresse2': '",""),LEN(SUBSTITUTE(jason_converted!D134," 'adresse2': '",""))-1),"")</f>
        <v/>
      </c>
      <c r="E134" t="str">
        <f>IFERROR(LEFT(SUBSTITUTE(jason_converted!E134," 'codepostal': '",""),LEN(SUBSTITUTE(jason_converted!E134," 'codepostal': '",""))-1),"")</f>
        <v>86180</v>
      </c>
      <c r="F134" t="str">
        <f>IFERROR(LEFT(SUBSTITUTE(jason_converted!F134," 'ville': '",""),LEN(SUBSTITUTE(jason_converted!F134," 'ville': '",""))-1),"")</f>
        <v>BUXEROLLES</v>
      </c>
      <c r="G134" t="str">
        <f>IFERROR(LEFT(SUBSTITUTE(jason_converted!G134," 'tel': ",""),LEN(SUBSTITUTE(jason_converted!G134," 'tel': ",""))),"")</f>
        <v>'05.49.45.51.05'</v>
      </c>
      <c r="H134" t="str">
        <f>IFERROR(LEFT(SUBSTITUTE(jason_converted!H134," 'lat': '",""),LEN(SUBSTITUTE(jason_converted!H134," 'lat': '",""))-1),"")</f>
        <v>46.597546999999999</v>
      </c>
      <c r="I134" t="str">
        <f>IFERROR(LEFT(SUBSTITUTE(jason_converted!I134," 'lng': '",""),LEN(SUBSTITUTE(jason_converted!I134," 'lng': '",""))-1),"")</f>
        <v>0.364530000000000</v>
      </c>
      <c r="J134" t="str">
        <f>IFERROR(LEFT(SUBSTITUTE(jason_converted!J134," 'nomClub': '",""),LEN(SUBSTITUTE(jason_converted!J134," 'nomClub': '",""))-1),"")</f>
        <v>STADE POITEVIN HM</v>
      </c>
      <c r="K134" t="str">
        <f>IFERROR(LEFT(SUBSTITUTE(jason_converted!K134," 'nomCourtClub': '",""),LEN(SUBSTITUTE(jason_converted!K134," 'nomCourtClub': '",""))-1),"")</f>
        <v>STADE POITEVIN HM</v>
      </c>
      <c r="L134" t="str">
        <f>IFERROR("https://ffhaltero.fr/" &amp; LEFT(SUBSTITUTE(jason_converted!L134," 'url': '",""),LEN(SUBSTITUTE(jason_converted!L134," 'url': '",""))-1),"")</f>
        <v>https://ffhaltero.fr//pratiquer/ou-pratiquer/ou-pratiquer-fiche-club/19860432-stade-poitevin-hm'</v>
      </c>
    </row>
    <row r="135" spans="1:12" x14ac:dyDescent="0.25">
      <c r="A135" t="str">
        <f>IFERROR(SUBSTITUTE(jason_converted!A135,"{'id': ",""),"")</f>
        <v>213</v>
      </c>
      <c r="B135" t="str">
        <f>IFERROR(LEFT(SUBSTITUTE(jason_converted!B135," 'nom': '",""),LEN(SUBSTITUTE(jason_converted!B135," 'nom': '",""))-1),"")</f>
        <v>club athletique nantais</v>
      </c>
      <c r="C135" t="str">
        <f>IFERROR(LEFT(SUBSTITUTE(jason_converted!C135," 'adresse1': '",""),LEN(SUBSTITUTE(jason_converted!C135," 'adresse1': '",""))-1),"")</f>
        <v>68 AVENUE DE LA DURANTIÈRE</v>
      </c>
      <c r="D135" t="str">
        <f>IFERROR(LEFT(SUBSTITUTE(jason_converted!D135," 'adresse2': '",""),LEN(SUBSTITUTE(jason_converted!D135," 'adresse2': '",""))-1),"")</f>
        <v/>
      </c>
      <c r="E135" t="str">
        <f>IFERROR(LEFT(SUBSTITUTE(jason_converted!E135," 'codepostal': '",""),LEN(SUBSTITUTE(jason_converted!E135," 'codepostal': '",""))-1),"")</f>
        <v>44100</v>
      </c>
      <c r="F135" t="str">
        <f>IFERROR(LEFT(SUBSTITUTE(jason_converted!F135," 'ville': '",""),LEN(SUBSTITUTE(jason_converted!F135," 'ville': '",""))-1),"")</f>
        <v>NANTES</v>
      </c>
      <c r="G135" t="str">
        <f>IFERROR(LEFT(SUBSTITUTE(jason_converted!G135," 'tel': ",""),LEN(SUBSTITUTE(jason_converted!G135," 'tel': ",""))),"")</f>
        <v>'0643090654'</v>
      </c>
      <c r="H135" t="str">
        <f>IFERROR(LEFT(SUBSTITUTE(jason_converted!H135," 'lat': '",""),LEN(SUBSTITUTE(jason_converted!H135," 'lat': '",""))-1),"")</f>
        <v>47.214706300000003</v>
      </c>
      <c r="I135" t="str">
        <f>IFERROR(LEFT(SUBSTITUTE(jason_converted!I135," 'lng': '",""),LEN(SUBSTITUTE(jason_converted!I135," 'lng': '",""))-1),"")</f>
        <v>-1.603754635756336</v>
      </c>
      <c r="J135" t="str">
        <f>IFERROR(LEFT(SUBSTITUTE(jason_converted!J135," 'nomClub': '",""),LEN(SUBSTITUTE(jason_converted!J135," 'nomClub': '",""))-1),"")</f>
        <v>CLUB ATHLETIQUE NANTAIS</v>
      </c>
      <c r="K135" t="str">
        <f>IFERROR(LEFT(SUBSTITUTE(jason_converted!K135," 'nomCourtClub': '",""),LEN(SUBSTITUTE(jason_converted!K135," 'nomCourtClub': '",""))-1),"")</f>
        <v>CLUB ATHLETIQUE NANTAIS</v>
      </c>
      <c r="L135" t="str">
        <f>IFERROR("https://ffhaltero.fr/" &amp; LEFT(SUBSTITUTE(jason_converted!L135," 'url': '",""),LEN(SUBSTITUTE(jason_converted!L135," 'url': '",""))-1),"")</f>
        <v>https://ffhaltero.fr//pratiquer/ou-pratiquer/ou-pratiquer-fiche-club/16440008-club-athletique-nantais'</v>
      </c>
    </row>
    <row r="136" spans="1:12" x14ac:dyDescent="0.25">
      <c r="A136" t="str">
        <f>IFERROR(SUBSTITUTE(jason_converted!A136,"{'id': ",""),"")</f>
        <v>218</v>
      </c>
      <c r="B136" t="str">
        <f>IFERROR(LEFT(SUBSTITUTE(jason_converted!B136," 'nom': '",""),LEN(SUBSTITUTE(jason_converted!B136," 'nom': '",""))-1),"")</f>
        <v>GYMNASE des CRETS 01440 VIRIAT</v>
      </c>
      <c r="C136" t="str">
        <f>IFERROR(LEFT(SUBSTITUTE(jason_converted!C136," 'adresse1': '",""),LEN(SUBSTITUTE(jason_converted!C136," 'adresse1': '",""))-1),"")</f>
        <v>47 CHEMIN DU MOULIN DE RIONDAZ</v>
      </c>
      <c r="D136" t="str">
        <f>IFERROR(LEFT(SUBSTITUTE(jason_converted!D136," 'adresse2': '",""),LEN(SUBSTITUTE(jason_converted!D136," 'adresse2': '",""))-1),"")</f>
        <v/>
      </c>
      <c r="E136" t="str">
        <f>IFERROR(LEFT(SUBSTITUTE(jason_converted!E136," 'codepostal': '",""),LEN(SUBSTITUTE(jason_converted!E136," 'codepostal': '",""))-1),"")</f>
        <v>01440</v>
      </c>
      <c r="F136" t="str">
        <f>IFERROR(LEFT(SUBSTITUTE(jason_converted!F136," 'ville': '",""),LEN(SUBSTITUTE(jason_converted!F136," 'ville': '",""))-1),"")</f>
        <v>VIRIAT</v>
      </c>
      <c r="G136" t="str">
        <f>IFERROR(LEFT(SUBSTITUTE(jason_converted!G136," 'tel': ",""),LEN(SUBSTITUTE(jason_converted!G136," 'tel': ",""))),"")</f>
        <v>'0681644628'</v>
      </c>
      <c r="H136" t="str">
        <f>IFERROR(LEFT(SUBSTITUTE(jason_converted!H136," 'lat': '",""),LEN(SUBSTITUTE(jason_converted!H136," 'lat': '",""))-1),"")</f>
        <v>46.251899999999999</v>
      </c>
      <c r="I136" t="str">
        <f>IFERROR(LEFT(SUBSTITUTE(jason_converted!I136," 'lng': '",""),LEN(SUBSTITUTE(jason_converted!I136," 'lng': '",""))-1),"")</f>
        <v>5.212780000000000</v>
      </c>
      <c r="J136" t="str">
        <f>IFERROR(LEFT(SUBSTITUTE(jason_converted!J136," 'nomClub': '",""),LEN(SUBSTITUTE(jason_converted!J136," 'nomClub': '",""))-1),"")</f>
        <v>ENTENTE HALTERO VIRIAT</v>
      </c>
      <c r="K136" t="str">
        <f>IFERROR(LEFT(SUBSTITUTE(jason_converted!K136," 'nomCourtClub': '",""),LEN(SUBSTITUTE(jason_converted!K136," 'nomCourtClub': '",""))-1),"")</f>
        <v>ENTENTE HALTERO VIRIAT</v>
      </c>
      <c r="L136" t="str">
        <f>IFERROR("https://ffhaltero.fr/" &amp; LEFT(SUBSTITUTE(jason_converted!L136," 'url': '",""),LEN(SUBSTITUTE(jason_converted!L136," 'url': '",""))-1),"")</f>
        <v>https://ffhaltero.fr//pratiquer/ou-pratiquer/ou-pratiquer-fiche-club/22010281-entente-haltero-viriat'</v>
      </c>
    </row>
    <row r="137" spans="1:12" x14ac:dyDescent="0.25">
      <c r="A137" t="str">
        <f>IFERROR(SUBSTITUTE(jason_converted!A137,"{'id': ",""),"")</f>
        <v>222</v>
      </c>
      <c r="B137" t="str">
        <f>IFERROR(LEFT(SUBSTITUTE(jason_converted!B137," 'nom': '",""),LEN(SUBSTITUTE(jason_converted!B137," 'nom': '",""))-1),"")</f>
        <v>PAPANG</v>
      </c>
      <c r="C137" t="str">
        <f>IFERROR(LEFT(SUBSTITUTE(jason_converted!C137," 'adresse1': '",""),LEN(SUBSTITUTE(jason_converted!C137," 'adresse1': '",""))-1),"")</f>
        <v>4 RUE JEAN ROBERT</v>
      </c>
      <c r="D137" t="str">
        <f>IFERROR(LEFT(SUBSTITUTE(jason_converted!D137," 'adresse2': '",""),LEN(SUBSTITUTE(jason_converted!D137," 'adresse2': '",""))-1),"")</f>
        <v/>
      </c>
      <c r="E137" t="str">
        <f>IFERROR(LEFT(SUBSTITUTE(jason_converted!E137," 'codepostal': '",""),LEN(SUBSTITUTE(jason_converted!E137," 'codepostal': '",""))-1),"")</f>
        <v>97419</v>
      </c>
      <c r="F137" t="str">
        <f>IFERROR(LEFT(SUBSTITUTE(jason_converted!F137," 'ville': '",""),LEN(SUBSTITUTE(jason_converted!F137," 'ville': '",""))-1),"")</f>
        <v>LA POSSESSION</v>
      </c>
      <c r="G137" t="str">
        <f>IFERROR(LEFT(SUBSTITUTE(jason_converted!G137," 'tel': ",""),LEN(SUBSTITUTE(jason_converted!G137," 'tel': ",""))),"")</f>
        <v>'0692461867'</v>
      </c>
      <c r="H137" t="str">
        <f>IFERROR(LEFT(SUBSTITUTE(jason_converted!H137," 'lat': '",""),LEN(SUBSTITUTE(jason_converted!H137," 'lat': '",""))-1),"")</f>
        <v>-20.958354000000000</v>
      </c>
      <c r="I137" t="str">
        <f>IFERROR(LEFT(SUBSTITUTE(jason_converted!I137," 'lng': '",""),LEN(SUBSTITUTE(jason_converted!I137," 'lng': '",""))-1),"")</f>
        <v>55.328446999999997</v>
      </c>
      <c r="J137" t="str">
        <f>IFERROR(LEFT(SUBSTITUTE(jason_converted!J137," 'nomClub': '",""),LEN(SUBSTITUTE(jason_converted!J137," 'nomClub': '",""))-1),"")</f>
        <v>CLUB HALTEROPHILIE RAPTOR</v>
      </c>
      <c r="K137" t="str">
        <f>IFERROR(LEFT(SUBSTITUTE(jason_converted!K137," 'nomCourtClub': '",""),LEN(SUBSTITUTE(jason_converted!K137," 'nomCourtClub': '",""))-1),"")</f>
        <v>CH RAPTOR</v>
      </c>
      <c r="L137" t="str">
        <f>IFERROR("https://ffhaltero.fr/" &amp; LEFT(SUBSTITUTE(jason_converted!L137," 'url': '",""),LEN(SUBSTITUTE(jason_converted!L137," 'url': '",""))-1),"")</f>
        <v>https://ffhaltero.fr//pratiquer/ou-pratiquer/ou-pratiquer-fiche-club/339860024-club-halterophilie-raptor'</v>
      </c>
    </row>
    <row r="138" spans="1:12" x14ac:dyDescent="0.25">
      <c r="A138" t="str">
        <f>IFERROR(SUBSTITUTE(jason_converted!A138,"{'id': ",""),"")</f>
        <v>223</v>
      </c>
      <c r="B138" t="str">
        <f>IFERROR(LEFT(SUBSTITUTE(jason_converted!B138," 'nom': '",""),LEN(SUBSTITUTE(jason_converted!B138," 'nom': '",""))-1),"")</f>
        <v>CFSM Weightlifting Club</v>
      </c>
      <c r="C138" t="str">
        <f>IFERROR(LEFT(SUBSTITUTE(jason_converted!C138," 'adresse1': '",""),LEN(SUBSTITUTE(jason_converted!C138," 'adresse1': '",""))-1),"")</f>
        <v>6 IMPASSE MERCURE</v>
      </c>
      <c r="D138" t="str">
        <f>IFERROR(LEFT(SUBSTITUTE(jason_converted!D138," 'adresse2': '",""),LEN(SUBSTITUTE(jason_converted!D138," 'adresse2': '",""))-1),"")</f>
        <v>LOCAL NUMÉRO 10 - ZAE LA MARE</v>
      </c>
      <c r="E138" t="str">
        <f>IFERROR(LEFT(SUBSTITUTE(jason_converted!E138," 'codepostal': '",""),LEN(SUBSTITUTE(jason_converted!E138," 'codepostal': '",""))-1),"")</f>
        <v>97438</v>
      </c>
      <c r="F138" t="str">
        <f>IFERROR(LEFT(SUBSTITUTE(jason_converted!F138," 'ville': '",""),LEN(SUBSTITUTE(jason_converted!F138," 'ville': '",""))-1),"")</f>
        <v>SAINTE-MARIE</v>
      </c>
      <c r="G138" t="str">
        <f>IFERROR(LEFT(SUBSTITUTE(jason_converted!G138," 'tel': ",""),LEN(SUBSTITUTE(jason_converted!G138," 'tel': ",""))),"")</f>
        <v>'+262692946727'</v>
      </c>
      <c r="H138" t="str">
        <f>IFERROR(LEFT(SUBSTITUTE(jason_converted!H138," 'lat': '",""),LEN(SUBSTITUTE(jason_converted!H138," 'lat': '",""))-1),"")</f>
        <v>-20.898676525547025</v>
      </c>
      <c r="I138" t="str">
        <f>IFERROR(LEFT(SUBSTITUTE(jason_converted!I138," 'lng': '",""),LEN(SUBSTITUTE(jason_converted!I138," 'lng': '",""))-1),"")</f>
        <v>55.534242931032381</v>
      </c>
      <c r="J138" t="str">
        <f>IFERROR(LEFT(SUBSTITUTE(jason_converted!J138," 'nomClub': '",""),LEN(SUBSTITUTE(jason_converted!J138," 'nomClub': '",""))-1),"")</f>
        <v>CFSM WEIGHTLIFTING CLUB</v>
      </c>
      <c r="K138" t="str">
        <f>IFERROR(LEFT(SUBSTITUTE(jason_converted!K138," 'nomCourtClub': '",""),LEN(SUBSTITUTE(jason_converted!K138," 'nomCourtClub': '",""))-1),"")</f>
        <v>CFSM WLF</v>
      </c>
      <c r="L138" t="str">
        <f>IFERROR("https://ffhaltero.fr/" &amp; LEFT(SUBSTITUTE(jason_converted!L138," 'url': '",""),LEN(SUBSTITUTE(jason_converted!L138," 'url': '",""))-1),"")</f>
        <v>https://ffhaltero.fr//pratiquer/ou-pratiquer/ou-pratiquer-fiche-club/339860023-cfsm-weightlifting-club'</v>
      </c>
    </row>
    <row r="139" spans="1:12" x14ac:dyDescent="0.25">
      <c r="A139" t="str">
        <f>IFERROR(SUBSTITUTE(jason_converted!A139,"{'id': ",""),"")</f>
        <v>224</v>
      </c>
      <c r="B139" t="str">
        <f>IFERROR(LEFT(SUBSTITUTE(jason_converted!B139," 'nom': '",""),LEN(SUBSTITUTE(jason_converted!B139," 'nom': '",""))-1),"")</f>
        <v>EASM</v>
      </c>
      <c r="C139" t="str">
        <f>IFERROR(LEFT(SUBSTITUTE(jason_converted!C139," 'adresse1': '",""),LEN(SUBSTITUTE(jason_converted!C139," 'adresse1': '",""))-1),"")</f>
        <v>AVENUE SERVICE MUNICIPAL DES SPORTS 14 RUE PASTEUR</v>
      </c>
      <c r="D139" t="str">
        <f>IFERROR(LEFT(SUBSTITUTE(jason_converted!D139," 'adresse2': '",""),LEN(SUBSTITUTE(jason_converted!D139," 'adresse2': '",""))-1),"")</f>
        <v/>
      </c>
      <c r="E139" t="str">
        <f>IFERROR(LEFT(SUBSTITUTE(jason_converted!E139," 'codepostal': '",""),LEN(SUBSTITUTE(jason_converted!E139," 'codepostal': '",""))-1),"")</f>
        <v>33160</v>
      </c>
      <c r="F139" t="str">
        <f>IFERROR(LEFT(SUBSTITUTE(jason_converted!F139," 'ville': '",""),LEN(SUBSTITUTE(jason_converted!F139," 'ville': '",""))-1),"")</f>
        <v>SAINT-MÉDARD-EN-JALLES</v>
      </c>
      <c r="G139" t="str">
        <f>IFERROR(LEFT(SUBSTITUTE(jason_converted!G139," 'tel': ",""),LEN(SUBSTITUTE(jason_converted!G139," 'tel': ",""))),"")</f>
        <v>'0620117937'</v>
      </c>
      <c r="H139" t="str">
        <f>IFERROR(LEFT(SUBSTITUTE(jason_converted!H139," 'lat': '",""),LEN(SUBSTITUTE(jason_converted!H139," 'lat': '",""))-1),"")</f>
        <v>44.886248999999999</v>
      </c>
      <c r="I139" t="str">
        <f>IFERROR(LEFT(SUBSTITUTE(jason_converted!I139," 'lng': '",""),LEN(SUBSTITUTE(jason_converted!I139," 'lng': '",""))-1),"")</f>
        <v>-0.704038000000000</v>
      </c>
      <c r="J139" t="str">
        <f>IFERROR(LEFT(SUBSTITUTE(jason_converted!J139," 'nomClub': '",""),LEN(SUBSTITUTE(jason_converted!J139," 'nomClub': '",""))-1),"")</f>
        <v>EA DE SAINT MEDARD</v>
      </c>
      <c r="K139" t="str">
        <f>IFERROR(LEFT(SUBSTITUTE(jason_converted!K139," 'nomCourtClub': '",""),LEN(SUBSTITUTE(jason_converted!K139," 'nomCourtClub': '",""))-1),"")</f>
        <v>EA DE SAINT MEDARD</v>
      </c>
      <c r="L139" t="str">
        <f>IFERROR("https://ffhaltero.fr/" &amp; LEFT(SUBSTITUTE(jason_converted!L139," 'url': '",""),LEN(SUBSTITUTE(jason_converted!L139," 'url': '",""))-1),"")</f>
        <v>https://ffhaltero.fr//pratiquer/ou-pratiquer/ou-pratiquer-fiche-club/02330037-ea-de-saint-medard'</v>
      </c>
    </row>
    <row r="140" spans="1:12" x14ac:dyDescent="0.25">
      <c r="A140" t="str">
        <f>IFERROR(SUBSTITUTE(jason_converted!A140,"{'id': ",""),"")</f>
        <v>226</v>
      </c>
      <c r="B140" t="str">
        <f>IFERROR(LEFT(SUBSTITUTE(jason_converted!B140," 'nom': '",""),LEN(SUBSTITUTE(jason_converted!B140," 'nom': '",""))-1),"")</f>
        <v>ESPACE ROUX DE BRIGNOLES</v>
      </c>
      <c r="C140" t="str">
        <f>IFERROR(LEFT(SUBSTITUTE(jason_converted!C140," 'adresse1': '",""),LEN(SUBSTITUTE(jason_converted!C140," 'adresse1': '",""))-1),"")</f>
        <v>PLACE TIVOLI</v>
      </c>
      <c r="D140" t="str">
        <f>IFERROR(LEFT(SUBSTITUTE(jason_converted!D140," 'adresse2': '",""),LEN(SUBSTITUTE(jason_converted!D140," 'adresse2': '",""))-1),"")</f>
        <v xml:space="preserve">ESPACE ROUX DE BRIGNOLES </v>
      </c>
      <c r="E140" t="str">
        <f>IFERROR(LEFT(SUBSTITUTE(jason_converted!E140," 'codepostal': '",""),LEN(SUBSTITUTE(jason_converted!E140," 'codepostal': '",""))-1),"")</f>
        <v>13330</v>
      </c>
      <c r="F140" t="str">
        <f>IFERROR(LEFT(SUBSTITUTE(jason_converted!F140," 'ville': '",""),LEN(SUBSTITUTE(jason_converted!F140," 'ville': '",""))-1),"")</f>
        <v>PÉLISSANNE</v>
      </c>
      <c r="G140" t="str">
        <f>IFERROR(LEFT(SUBSTITUTE(jason_converted!G140," 'tel': ",""),LEN(SUBSTITUTE(jason_converted!G140," 'tel': ",""))),"")</f>
        <v>'0610965305'</v>
      </c>
      <c r="H140" t="str">
        <f>IFERROR(LEFT(SUBSTITUTE(jason_converted!H140," 'lat': '",""),LEN(SUBSTITUTE(jason_converted!H140," 'lat': '",""))-1),"")</f>
        <v>43.631074800000000</v>
      </c>
      <c r="I140" t="str">
        <f>IFERROR(LEFT(SUBSTITUTE(jason_converted!I140," 'lng': '",""),LEN(SUBSTITUTE(jason_converted!I140," 'lng': '",""))-1),"")</f>
        <v>5.152878463230569</v>
      </c>
      <c r="J140" t="str">
        <f>IFERROR(LEFT(SUBSTITUTE(jason_converted!J140," 'nomClub': '",""),LEN(SUBSTITUTE(jason_converted!J140," 'nomClub': '",""))-1),"")</f>
        <v>HC PELISSANNAIS</v>
      </c>
      <c r="K140" t="str">
        <f>IFERROR(LEFT(SUBSTITUTE(jason_converted!K140," 'nomCourtClub': '",""),LEN(SUBSTITUTE(jason_converted!K140," 'nomCourtClub': '",""))-1),"")</f>
        <v>HC PELISSANNAIS</v>
      </c>
      <c r="L140" t="str">
        <f>IFERROR("https://ffhaltero.fr/" &amp; LEFT(SUBSTITUTE(jason_converted!L140," 'url': '",""),LEN(SUBSTITUTE(jason_converted!L140," 'url': '",""))-1),"")</f>
        <v>https://ffhaltero.fr//pratiquer/ou-pratiquer/ou-pratiquer-fiche-club/20131263-hc-pelissannais'</v>
      </c>
    </row>
    <row r="141" spans="1:12" x14ac:dyDescent="0.25">
      <c r="A141" t="str">
        <f>IFERROR(SUBSTITUTE(jason_converted!A141,"{'id': ",""),"")</f>
        <v>227</v>
      </c>
      <c r="B141" t="str">
        <f>IFERROR(LEFT(SUBSTITUTE(jason_converted!B141," 'nom': '",""),LEN(SUBSTITUTE(jason_converted!B141," 'nom': '",""))-1),"")</f>
        <v>Club Olympique Briochin</v>
      </c>
      <c r="C141" t="str">
        <f>IFERROR(LEFT(SUBSTITUTE(jason_converted!C141," 'adresse1': '",""),LEN(SUBSTITUTE(jason_converted!C141," 'adresse1': '",""))-1),"")</f>
        <v>14 RUE ST-BENOÎT</v>
      </c>
      <c r="D141" t="str">
        <f>IFERROR(LEFT(SUBSTITUTE(jason_converted!D141," 'adresse2': '",""),LEN(SUBSTITUTE(jason_converted!D141," 'adresse2': '",""))-1),"")</f>
        <v xml:space="preserve">D </v>
      </c>
      <c r="E141" t="str">
        <f>IFERROR(LEFT(SUBSTITUTE(jason_converted!E141," 'codepostal': '",""),LEN(SUBSTITUTE(jason_converted!E141," 'codepostal': '",""))-1),"")</f>
        <v>22000</v>
      </c>
      <c r="F141" t="str">
        <f>IFERROR(LEFT(SUBSTITUTE(jason_converted!F141," 'ville': '",""),LEN(SUBSTITUTE(jason_converted!F141," 'ville': '",""))-1),"")</f>
        <v>SAINT-BRIEUC</v>
      </c>
      <c r="G141" t="str">
        <f>IFERROR(LEFT(SUBSTITUTE(jason_converted!G141," 'tel': ",""),LEN(SUBSTITUTE(jason_converted!G141," 'tel': ",""))),"")</f>
        <v>None</v>
      </c>
      <c r="H141" t="str">
        <f>IFERROR(LEFT(SUBSTITUTE(jason_converted!H141," 'lat': '",""),LEN(SUBSTITUTE(jason_converted!H141," 'lat': '",""))-1),"")</f>
        <v>48.514780999999999</v>
      </c>
      <c r="I141" t="str">
        <f>IFERROR(LEFT(SUBSTITUTE(jason_converted!I141," 'lng': '",""),LEN(SUBSTITUTE(jason_converted!I141," 'lng': '",""))-1),"")</f>
        <v>-2.758548000000000</v>
      </c>
      <c r="J141" t="str">
        <f>IFERROR(LEFT(SUBSTITUTE(jason_converted!J141," 'nomClub': '",""),LEN(SUBSTITUTE(jason_converted!J141," 'nomClub': '",""))-1),"")</f>
        <v>CLUB OLYMPIQUE BRIOCHIN - SECTION MUSCULATION</v>
      </c>
      <c r="K141" t="str">
        <f>IFERROR(LEFT(SUBSTITUTE(jason_converted!K141," 'nomCourtClub': '",""),LEN(SUBSTITUTE(jason_converted!K141," 'nomCourtClub': '",""))-1),"")</f>
        <v>CLUB OLYMPIQUE BRIOCHIN - SECTION MUSCULATION</v>
      </c>
      <c r="L141" t="str">
        <f>IFERROR("https://ffhaltero.fr/" &amp; LEFT(SUBSTITUTE(jason_converted!L141," 'url': '",""),LEN(SUBSTITUTE(jason_converted!L141," 'url': '",""))-1),"")</f>
        <v>https://ffhaltero.fr//pratiquer/ou-pratiquer/ou-pratiquer-fiche-club/03220002-club-olympique-briochin-section-musculation'</v>
      </c>
    </row>
    <row r="142" spans="1:12" x14ac:dyDescent="0.25">
      <c r="A142" t="str">
        <f>IFERROR(SUBSTITUTE(jason_converted!A142,"{'id': ",""),"")</f>
        <v>228</v>
      </c>
      <c r="B142" t="str">
        <f>IFERROR(LEFT(SUBSTITUTE(jason_converted!B142," 'nom': '",""),LEN(SUBSTITUTE(jason_converted!B142," 'nom': '",""))-1),"")</f>
        <v>Palais des Sports Pierre Mendès France</v>
      </c>
      <c r="C142" t="str">
        <f>IFERROR(LEFT(SUBSTITUTE(jason_converted!C142," 'adresse1': '",""),LEN(SUBSTITUTE(jason_converted!C142," 'adresse1': '",""))-1),"")</f>
        <v>ALLÉE AUGUSTE JAMET</v>
      </c>
      <c r="D142" t="str">
        <f>IFERROR(LEFT(SUBSTITUTE(jason_converted!D142," 'adresse2': '",""),LEN(SUBSTITUTE(jason_converted!D142," 'adresse2': '",""))-1),"")</f>
        <v xml:space="preserve">PALAIS DES SPORT MENDÉS-FRANCE </v>
      </c>
      <c r="E142" t="str">
        <f>IFERROR(LEFT(SUBSTITUTE(jason_converted!E142," 'codepostal': '",""),LEN(SUBSTITUTE(jason_converted!E142," 'codepostal': '",""))-1),"")</f>
        <v>26000</v>
      </c>
      <c r="F142" t="str">
        <f>IFERROR(LEFT(SUBSTITUTE(jason_converted!F142," 'ville': '",""),LEN(SUBSTITUTE(jason_converted!F142," 'ville': '",""))-1),"")</f>
        <v>VALENCE</v>
      </c>
      <c r="G142" t="str">
        <f>IFERROR(LEFT(SUBSTITUTE(jason_converted!G142," 'tel': ",""),LEN(SUBSTITUTE(jason_converted!G142," 'tel': ",""))),"")</f>
        <v>None</v>
      </c>
      <c r="H142" t="str">
        <f>IFERROR(LEFT(SUBSTITUTE(jason_converted!H142," 'lat': '",""),LEN(SUBSTITUTE(jason_converted!H142," 'lat': '",""))-1),"")</f>
        <v>44.915257150000002</v>
      </c>
      <c r="I142" t="str">
        <f>IFERROR(LEFT(SUBSTITUTE(jason_converted!I142," 'lng': '",""),LEN(SUBSTITUTE(jason_converted!I142," 'lng': '",""))-1),"")</f>
        <v>4.919101632493655</v>
      </c>
      <c r="J142" t="str">
        <f>IFERROR(LEFT(SUBSTITUTE(jason_converted!J142," 'nomClub': '",""),LEN(SUBSTITUTE(jason_converted!J142," 'nomClub': '",""))-1),"")</f>
        <v>VALENCE HALTEROPHILIE</v>
      </c>
      <c r="K142" t="str">
        <f>IFERROR(LEFT(SUBSTITUTE(jason_converted!K142," 'nomCourtClub': '",""),LEN(SUBSTITUTE(jason_converted!K142," 'nomCourtClub': '",""))-1),"")</f>
        <v>VALENCE HALTEROPHILIE</v>
      </c>
      <c r="L142" t="str">
        <f>IFERROR("https://ffhaltero.fr/" &amp; LEFT(SUBSTITUTE(jason_converted!L142," 'url': '",""),LEN(SUBSTITUTE(jason_converted!L142," 'url': '",""))-1),"")</f>
        <v>https://ffhaltero.fr//pratiquer/ou-pratiquer/ou-pratiquer-fiche-club/22260614-valence-halterophilie'</v>
      </c>
    </row>
    <row r="143" spans="1:12" x14ac:dyDescent="0.25">
      <c r="A143" t="str">
        <f>IFERROR(SUBSTITUTE(jason_converted!A143,"{'id': ",""),"")</f>
        <v>229</v>
      </c>
      <c r="B143" t="str">
        <f>IFERROR(LEFT(SUBSTITUTE(jason_converted!B143," 'nom': '",""),LEN(SUBSTITUTE(jason_converted!B143," 'nom': '",""))-1),"")</f>
        <v>Christian Lacroix</v>
      </c>
      <c r="C143" t="str">
        <f>IFERROR(LEFT(SUBSTITUTE(jason_converted!C143," 'adresse1': '",""),LEN(SUBSTITUTE(jason_converted!C143," 'adresse1': '",""))-1),"")</f>
        <v>RUE EDMOND BESSE</v>
      </c>
      <c r="D143" t="str">
        <f>IFERROR(LEFT(SUBSTITUTE(jason_converted!D143," 'adresse2': '",""),LEN(SUBSTITUTE(jason_converted!D143," 'adresse2': '",""))-1),"")</f>
        <v/>
      </c>
      <c r="E143" t="str">
        <f>IFERROR(LEFT(SUBSTITUTE(jason_converted!E143," 'codepostal': '",""),LEN(SUBSTITUTE(jason_converted!E143," 'codepostal': '",""))-1),"")</f>
        <v>33300</v>
      </c>
      <c r="F143" t="str">
        <f>IFERROR(LEFT(SUBSTITUTE(jason_converted!F143," 'ville': '",""),LEN(SUBSTITUTE(jason_converted!F143," 'ville': '",""))-1),"")</f>
        <v>BORDEAUX</v>
      </c>
      <c r="G143" t="str">
        <f>IFERROR(LEFT(SUBSTITUTE(jason_converted!G143," 'tel': ",""),LEN(SUBSTITUTE(jason_converted!G143," 'tel': ",""))),"")</f>
        <v>'06.32.64.71.27'</v>
      </c>
      <c r="H143" t="str">
        <f>IFERROR(LEFT(SUBSTITUTE(jason_converted!H143," 'lat': '",""),LEN(SUBSTITUTE(jason_converted!H143," 'lat': '",""))-1),"")</f>
        <v>44.886690299999998</v>
      </c>
      <c r="I143" t="str">
        <f>IFERROR(LEFT(SUBSTITUTE(jason_converted!I143," 'lng': '",""),LEN(SUBSTITUTE(jason_converted!I143," 'lng': '",""))-1),"")</f>
        <v>-0.542497600000000</v>
      </c>
      <c r="J143" t="str">
        <f>IFERROR(LEFT(SUBSTITUTE(jason_converted!J143," 'nomClub': '",""),LEN(SUBSTITUTE(jason_converted!J143," 'nomClub': '",""))-1),"")</f>
        <v>EURO FITNESS SPORTS ET LOISIRS</v>
      </c>
      <c r="K143" t="str">
        <f>IFERROR(LEFT(SUBSTITUTE(jason_converted!K143," 'nomCourtClub': '",""),LEN(SUBSTITUTE(jason_converted!K143," 'nomCourtClub': '",""))-1),"")</f>
        <v>EURO FITNESS SPORTS ET LOISIRS</v>
      </c>
      <c r="L143" t="str">
        <f>IFERROR("https://ffhaltero.fr/" &amp; LEFT(SUBSTITUTE(jason_converted!L143," 'url': '",""),LEN(SUBSTITUTE(jason_converted!L143," 'url': '",""))-1),"")</f>
        <v>https://ffhaltero.fr//pratiquer/ou-pratiquer/ou-pratiquer-fiche-club/02331259-euro-fitness-sports-et-loisirs'</v>
      </c>
    </row>
    <row r="144" spans="1:12" x14ac:dyDescent="0.25">
      <c r="A144" t="str">
        <f>IFERROR(SUBSTITUTE(jason_converted!A144,"{'id': ",""),"")</f>
        <v>230</v>
      </c>
      <c r="B144" t="str">
        <f>IFERROR(LEFT(SUBSTITUTE(jason_converted!B144," 'nom': '",""),LEN(SUBSTITUTE(jason_converted!B144," 'nom': '",""))-1),"")</f>
        <v>gymnase universitaire de La Borie</v>
      </c>
      <c r="C144" t="str">
        <f>IFERROR(LEFT(SUBSTITUTE(jason_converted!C144," 'adresse1': '",""),LEN(SUBSTITUTE(jason_converted!C144," 'adresse1': '",""))-1),"")</f>
        <v>185 AVENUE ALBERT THOMAS 87 100 LIMOGES</v>
      </c>
      <c r="D144" t="str">
        <f>IFERROR(LEFT(SUBSTITUTE(jason_converted!D144," 'adresse2': '",""),LEN(SUBSTITUTE(jason_converted!D144," 'adresse2': '",""))-1),"")</f>
        <v/>
      </c>
      <c r="E144" t="str">
        <f>IFERROR(LEFT(SUBSTITUTE(jason_converted!E144," 'codepostal': '",""),LEN(SUBSTITUTE(jason_converted!E144," 'codepostal': '",""))-1),"")</f>
        <v>87100</v>
      </c>
      <c r="F144" t="str">
        <f>IFERROR(LEFT(SUBSTITUTE(jason_converted!F144," 'ville': '",""),LEN(SUBSTITUTE(jason_converted!F144," 'ville': '",""))-1),"")</f>
        <v>LIMOGES</v>
      </c>
      <c r="G144" t="str">
        <f>IFERROR(LEFT(SUBSTITUTE(jason_converted!G144," 'tel': ",""),LEN(SUBSTITUTE(jason_converted!G144," 'tel': ",""))),"")</f>
        <v>'05.55.45.75.10'</v>
      </c>
      <c r="H144" t="str">
        <f>IFERROR(LEFT(SUBSTITUTE(jason_converted!H144," 'lat': '",""),LEN(SUBSTITUTE(jason_converted!H144," 'lat': '",""))-1),"")</f>
        <v>45.839368000000000</v>
      </c>
      <c r="I144" t="str">
        <f>IFERROR(LEFT(SUBSTITUTE(jason_converted!I144," 'lng': '",""),LEN(SUBSTITUTE(jason_converted!I144," 'lng': '",""))-1),"")</f>
        <v>1.234485000000000</v>
      </c>
      <c r="J144" t="str">
        <f>IFERROR(LEFT(SUBSTITUTE(jason_converted!J144," 'nomClub': '",""),LEN(SUBSTITUTE(jason_converted!J144," 'nomClub': '",""))-1),"")</f>
        <v>LIMOGES ASU</v>
      </c>
      <c r="K144" t="str">
        <f>IFERROR(LEFT(SUBSTITUTE(jason_converted!K144," 'nomCourtClub': '",""),LEN(SUBSTITUTE(jason_converted!K144," 'nomCourtClub': '",""))-1),"")</f>
        <v>LIMOGES ASU</v>
      </c>
      <c r="L144" t="str">
        <f>IFERROR("https://ffhaltero.fr/" &amp; LEFT(SUBSTITUTE(jason_converted!L144," 'url': '",""),LEN(SUBSTITUTE(jason_converted!L144," 'url': '",""))-1),"")</f>
        <v>https://ffhaltero.fr//pratiquer/ou-pratiquer/ou-pratiquer-fiche-club/14870002-limoges-asu'</v>
      </c>
    </row>
    <row r="145" spans="1:12" x14ac:dyDescent="0.25">
      <c r="A145" t="str">
        <f>IFERROR(SUBSTITUTE(jason_converted!A145,"{'id': ",""),"")</f>
        <v>233</v>
      </c>
      <c r="B145" t="str">
        <f>IFERROR(LEFT(SUBSTITUTE(jason_converted!B145," 'nom': '",""),LEN(SUBSTITUTE(jason_converted!B145," 'nom': '",""))-1),"")</f>
        <v>DODARD</v>
      </c>
      <c r="C145" t="str">
        <f>IFERROR(LEFT(SUBSTITUTE(jason_converted!C145," 'adresse1': '",""),LEN(SUBSTITUTE(jason_converted!C145," 'adresse1': '",""))-1),"")</f>
        <v>5 RUE DE LA JOIE</v>
      </c>
      <c r="D145" t="str">
        <f>IFERROR(LEFT(SUBSTITUTE(jason_converted!D145," 'adresse2': '",""),LEN(SUBSTITUTE(jason_converted!D145," 'adresse2': '",""))-1),"")</f>
        <v/>
      </c>
      <c r="E145" t="str">
        <f>IFERROR(LEFT(SUBSTITUTE(jason_converted!E145," 'codepostal': '",""),LEN(SUBSTITUTE(jason_converted!E145," 'codepostal': '",""))-1),"")</f>
        <v>53220</v>
      </c>
      <c r="F145" t="str">
        <f>IFERROR(LEFT(SUBSTITUTE(jason_converted!F145," 'ville': '",""),LEN(SUBSTITUTE(jason_converted!F145," 'ville': '",""))-1),"")</f>
        <v>SAINT-MARS-SUR-LA-FUTAIE</v>
      </c>
      <c r="G145" t="str">
        <f>IFERROR(LEFT(SUBSTITUTE(jason_converted!G145," 'tel': ",""),LEN(SUBSTITUTE(jason_converted!G145," 'tel': ",""))),"")</f>
        <v>None</v>
      </c>
      <c r="H145" t="str">
        <f>IFERROR(LEFT(SUBSTITUTE(jason_converted!H145," 'lat': '",""),LEN(SUBSTITUTE(jason_converted!H145," 'lat': '",""))-1),"")</f>
        <v>48.433033999999999</v>
      </c>
      <c r="I145" t="str">
        <f>IFERROR(LEFT(SUBSTITUTE(jason_converted!I145," 'lng': '",""),LEN(SUBSTITUTE(jason_converted!I145," 'lng': '",""))-1),"")</f>
        <v>-1.014859000000000</v>
      </c>
      <c r="J145" t="str">
        <f>IFERROR(LEFT(SUBSTITUTE(jason_converted!J145," 'nomClub': '",""),LEN(SUBSTITUTE(jason_converted!J145," 'nomClub': '",""))-1),"")</f>
        <v>ASCL ST MARS LA FUTAIE</v>
      </c>
      <c r="K145" t="str">
        <f>IFERROR(LEFT(SUBSTITUTE(jason_converted!K145," 'nomCourtClub': '",""),LEN(SUBSTITUTE(jason_converted!K145," 'nomCourtClub': '",""))-1),"")</f>
        <v>ASCL ST MARS LA FUTAIE</v>
      </c>
      <c r="L145" t="str">
        <f>IFERROR("https://ffhaltero.fr/" &amp; LEFT(SUBSTITUTE(jason_converted!L145," 'url': '",""),LEN(SUBSTITUTE(jason_converted!L145," 'url': '",""))-1),"")</f>
        <v>https://ffhaltero.fr//pratiquer/ou-pratiquer/ou-pratiquer-fiche-club/17530414-ascl-st-mars-la-futaie'</v>
      </c>
    </row>
    <row r="146" spans="1:12" x14ac:dyDescent="0.25">
      <c r="A146" t="str">
        <f>IFERROR(SUBSTITUTE(jason_converted!A146,"{'id': ",""),"")</f>
        <v>236</v>
      </c>
      <c r="B146" t="str">
        <f>IFERROR(LEFT(SUBSTITUTE(jason_converted!B146," 'nom': '",""),LEN(SUBSTITUTE(jason_converted!B146," 'nom': '",""))-1),"")</f>
        <v>Société Athlétique de Koenigshoffen</v>
      </c>
      <c r="C146" t="str">
        <f>IFERROR(LEFT(SUBSTITUTE(jason_converted!C146," 'adresse1': '",""),LEN(SUBSTITUTE(jason_converted!C146," 'adresse1': '",""))-1),"")</f>
        <v>3 RUE FRANÇOISE DOLTO</v>
      </c>
      <c r="D146" t="str">
        <f>IFERROR(LEFT(SUBSTITUTE(jason_converted!D146," 'adresse2': '",""),LEN(SUBSTITUTE(jason_converted!D146," 'adresse2': '",""))-1),"")</f>
        <v xml:space="preserve">GYMNASE BRIGITTE </v>
      </c>
      <c r="E146" t="str">
        <f>IFERROR(LEFT(SUBSTITUTE(jason_converted!E146," 'codepostal': '",""),LEN(SUBSTITUTE(jason_converted!E146," 'codepostal': '",""))-1),"")</f>
        <v>67200</v>
      </c>
      <c r="F146" t="str">
        <f>IFERROR(LEFT(SUBSTITUTE(jason_converted!F146," 'ville': '",""),LEN(SUBSTITUTE(jason_converted!F146," 'ville': '",""))-1),"")</f>
        <v>STRASBOURG</v>
      </c>
      <c r="G146" t="str">
        <f>IFERROR(LEFT(SUBSTITUTE(jason_converted!G146," 'tel': ",""),LEN(SUBSTITUTE(jason_converted!G146," 'tel': ",""))),"")</f>
        <v>'0695669520'</v>
      </c>
      <c r="H146" t="str">
        <f>IFERROR(LEFT(SUBSTITUTE(jason_converted!H146," 'lat': '",""),LEN(SUBSTITUTE(jason_converted!H146," 'lat': '",""))-1),"")</f>
        <v>48.593040000000002</v>
      </c>
      <c r="I146" t="str">
        <f>IFERROR(LEFT(SUBSTITUTE(jason_converted!I146," 'lng': '",""),LEN(SUBSTITUTE(jason_converted!I146," 'lng': '",""))-1),"")</f>
        <v>7.701486000000000</v>
      </c>
      <c r="J146" t="str">
        <f>IFERROR(LEFT(SUBSTITUTE(jason_converted!J146," 'nomClub': '",""),LEN(SUBSTITUTE(jason_converted!J146," 'nomClub': '",""))-1),"")</f>
        <v>SA KOENIGSHOFFEN HM</v>
      </c>
      <c r="K146" t="str">
        <f>IFERROR(LEFT(SUBSTITUTE(jason_converted!K146," 'nomCourtClub': '",""),LEN(SUBSTITUTE(jason_converted!K146," 'nomCourtClub': '",""))-1),"")</f>
        <v>SA KOENIGSHOFFEN HM</v>
      </c>
      <c r="L146" t="str">
        <f>IFERROR("https://ffhaltero.fr/" &amp; LEFT(SUBSTITUTE(jason_converted!L146," 'url': '",""),LEN(SUBSTITUTE(jason_converted!L146," 'url': '",""))-1),"")</f>
        <v>https://ffhaltero.fr//pratiquer/ou-pratiquer/ou-pratiquer-fiche-club/01670601-sa-koenigshoffen-hm'</v>
      </c>
    </row>
    <row r="147" spans="1:12" x14ac:dyDescent="0.25">
      <c r="A147" t="str">
        <f>IFERROR(SUBSTITUTE(jason_converted!A147,"{'id': ",""),"")</f>
        <v>238</v>
      </c>
      <c r="B147" t="str">
        <f>IFERROR(LEFT(SUBSTITUTE(jason_converted!B147," 'nom': '",""),LEN(SUBSTITUTE(jason_converted!B147," 'nom': '",""))-1),"")</f>
        <v>MJC Andlau</v>
      </c>
      <c r="C147" t="str">
        <f>IFERROR(LEFT(SUBSTITUTE(jason_converted!C147," 'adresse1': '",""),LEN(SUBSTITUTE(jason_converted!C147," 'adresse1': '",""))-1),"")</f>
        <v>19 RUE DU MARÉCHAL FOCH</v>
      </c>
      <c r="D147" t="str">
        <f>IFERROR(LEFT(SUBSTITUTE(jason_converted!D147," 'adresse2': '",""),LEN(SUBSTITUTE(jason_converted!D147," 'adresse2': '",""))-1),"")</f>
        <v/>
      </c>
      <c r="E147" t="str">
        <f>IFERROR(LEFT(SUBSTITUTE(jason_converted!E147," 'codepostal': '",""),LEN(SUBSTITUTE(jason_converted!E147," 'codepostal': '",""))-1),"")</f>
        <v>67140</v>
      </c>
      <c r="F147" t="str">
        <f>IFERROR(LEFT(SUBSTITUTE(jason_converted!F147," 'ville': '",""),LEN(SUBSTITUTE(jason_converted!F147," 'ville': '",""))-1),"")</f>
        <v>ANDLAU</v>
      </c>
      <c r="G147" t="str">
        <f>IFERROR(LEFT(SUBSTITUTE(jason_converted!G147," 'tel': ",""),LEN(SUBSTITUTE(jason_converted!G147," 'tel': ",""))),"")</f>
        <v>None</v>
      </c>
      <c r="H147" t="str">
        <f>IFERROR(LEFT(SUBSTITUTE(jason_converted!H147," 'lat': '",""),LEN(SUBSTITUTE(jason_converted!H147," 'lat': '",""))-1),"")</f>
        <v>48.385168966504615</v>
      </c>
      <c r="I147" t="str">
        <f>IFERROR(LEFT(SUBSTITUTE(jason_converted!I147," 'lng': '",""),LEN(SUBSTITUTE(jason_converted!I147," 'lng': '",""))-1),"")</f>
        <v>7.417208847262535</v>
      </c>
      <c r="J147" t="str">
        <f>IFERROR(LEFT(SUBSTITUTE(jason_converted!J147," 'nomClub': '",""),LEN(SUBSTITUTE(jason_converted!J147," 'nomClub': '",""))-1),"")</f>
        <v>CHM ANDLAU</v>
      </c>
      <c r="K147" t="str">
        <f>IFERROR(LEFT(SUBSTITUTE(jason_converted!K147," 'nomCourtClub': '",""),LEN(SUBSTITUTE(jason_converted!K147," 'nomCourtClub': '",""))-1),"")</f>
        <v>CHM ANDLAU</v>
      </c>
      <c r="L147" t="str">
        <f>IFERROR("https://ffhaltero.fr/" &amp; LEFT(SUBSTITUTE(jason_converted!L147," 'url': '",""),LEN(SUBSTITUTE(jason_converted!L147," 'url': '",""))-1),"")</f>
        <v>https://ffhaltero.fr//pratiquer/ou-pratiquer/ou-pratiquer-fiche-club/01670662-chm-andlau'</v>
      </c>
    </row>
    <row r="148" spans="1:12" x14ac:dyDescent="0.25">
      <c r="A148" t="str">
        <f>IFERROR(SUBSTITUTE(jason_converted!A148,"{'id': ",""),"")</f>
        <v>239</v>
      </c>
      <c r="B148" t="str">
        <f>IFERROR(LEFT(SUBSTITUTE(jason_converted!B148," 'nom': '",""),LEN(SUBSTITUTE(jason_converted!B148," 'nom': '",""))-1),"")</f>
        <v>TARBES HALTEROPHILE CLUB</v>
      </c>
      <c r="C148" t="str">
        <f>IFERROR(LEFT(SUBSTITUTE(jason_converted!C148," 'adresse1': '",""),LEN(SUBSTITUTE(jason_converted!C148," 'adresse1': '",""))-1),"")</f>
        <v>RUE TRISTAN DERÊME</v>
      </c>
      <c r="D148" t="str">
        <f>IFERROR(LEFT(SUBSTITUTE(jason_converted!D148," 'adresse2': '",""),LEN(SUBSTITUTE(jason_converted!D148," 'adresse2': '",""))-1),"")</f>
        <v/>
      </c>
      <c r="E148" t="str">
        <f>IFERROR(LEFT(SUBSTITUTE(jason_converted!E148," 'codepostal': '",""),LEN(SUBSTITUTE(jason_converted!E148," 'codepostal': '",""))-1),"")</f>
        <v>65000</v>
      </c>
      <c r="F148" t="str">
        <f>IFERROR(LEFT(SUBSTITUTE(jason_converted!F148," 'ville': '",""),LEN(SUBSTITUTE(jason_converted!F148," 'ville': '",""))-1),"")</f>
        <v>TARBES</v>
      </c>
      <c r="G148" t="str">
        <f>IFERROR(LEFT(SUBSTITUTE(jason_converted!G148," 'tel': ",""),LEN(SUBSTITUTE(jason_converted!G148," 'tel': ",""))),"")</f>
        <v>'0689671559'</v>
      </c>
      <c r="H148" t="str">
        <f>IFERROR(LEFT(SUBSTITUTE(jason_converted!H148," 'lat': '",""),LEN(SUBSTITUTE(jason_converted!H148," 'lat': '",""))-1),"")</f>
        <v>43.223348000000001</v>
      </c>
      <c r="I148" t="str">
        <f>IFERROR(LEFT(SUBSTITUTE(jason_converted!I148," 'lng': '",""),LEN(SUBSTITUTE(jason_converted!I148," 'lng': '",""))-1),"")</f>
        <v>0.081244000000000</v>
      </c>
      <c r="J148" t="str">
        <f>IFERROR(LEFT(SUBSTITUTE(jason_converted!J148," 'nomClub': '",""),LEN(SUBSTITUTE(jason_converted!J148," 'nomClub': '",""))-1),"")</f>
        <v>TARBES HC</v>
      </c>
      <c r="K148" t="str">
        <f>IFERROR(LEFT(SUBSTITUTE(jason_converted!K148," 'nomCourtClub': '",""),LEN(SUBSTITUTE(jason_converted!K148," 'nomCourtClub': '",""))-1),"")</f>
        <v>DESPECHE</v>
      </c>
      <c r="L148" t="str">
        <f>IFERROR("https://ffhaltero.fr/" &amp; LEFT(SUBSTITUTE(jason_converted!L148," 'url': '",""),LEN(SUBSTITUTE(jason_converted!L148," 'url': '",""))-1),"")</f>
        <v>https://ffhaltero.fr//pratiquer/ou-pratiquer/ou-pratiquer-fiche-club/15650452-tarbes-hc'</v>
      </c>
    </row>
    <row r="149" spans="1:12" x14ac:dyDescent="0.25">
      <c r="A149" t="str">
        <f>IFERROR(SUBSTITUTE(jason_converted!A149,"{'id': ",""),"")</f>
        <v>240</v>
      </c>
      <c r="B149" t="str">
        <f>IFERROR(LEFT(SUBSTITUTE(jason_converted!B149," 'nom': '",""),LEN(SUBSTITUTE(jason_converted!B149," 'nom': '",""))-1),"")</f>
        <v>GARDES</v>
      </c>
      <c r="C149" t="str">
        <f>IFERROR(LEFT(SUBSTITUTE(jason_converted!C149," 'adresse1': '",""),LEN(SUBSTITUTE(jason_converted!C149," 'adresse1': '",""))-1),"")</f>
        <v>RUE DES GÉOMÈRES PIONNIERS</v>
      </c>
      <c r="D149" t="str">
        <f>IFERROR(LEFT(SUBSTITUTE(jason_converted!D149," 'adresse2': '",""),LEN(SUBSTITUTE(jason_converted!D149," 'adresse2': '",""))-1),"")</f>
        <v/>
      </c>
      <c r="E149" t="str">
        <f>IFERROR(LEFT(SUBSTITUTE(jason_converted!E149," 'codepostal': '",""),LEN(SUBSTITUTE(jason_converted!E149," 'codepostal': '",""))-1),"")</f>
        <v>99835</v>
      </c>
      <c r="F149" t="str">
        <f>IFERROR(LEFT(SUBSTITUTE(jason_converted!F149," 'ville': '",""),LEN(SUBSTITUTE(jason_converted!F149," 'ville': '",""))-1),"")</f>
        <v>AUCUNE COMMUNE CORRESPONDANTE A CE CODE POSTAL</v>
      </c>
      <c r="G149" t="str">
        <f>IFERROR(LEFT(SUBSTITUTE(jason_converted!G149," 'tel': ",""),LEN(SUBSTITUTE(jason_converted!G149," 'tel': ",""))),"")</f>
        <v>'+687755771'</v>
      </c>
      <c r="H149" t="str">
        <f>IFERROR(LEFT(SUBSTITUTE(jason_converted!H149," 'lat': '",""),LEN(SUBSTITUTE(jason_converted!H149," 'lat': '",""))-1),"")</f>
        <v>-22.183666552414952</v>
      </c>
      <c r="I149" t="str">
        <f>IFERROR(LEFT(SUBSTITUTE(jason_converted!I149," 'lng': '",""),LEN(SUBSTITUTE(jason_converted!I149," 'lng': '",""))-1),"")</f>
        <v>166.438059021926421</v>
      </c>
      <c r="J149" t="str">
        <f>IFERROR(LEFT(SUBSTITUTE(jason_converted!J149," 'nomClub': '",""),LEN(SUBSTITUTE(jason_converted!J149," 'nomClub': '",""))-1),"")</f>
        <v>BARBELL CLUB DUMBEA</v>
      </c>
      <c r="K149" t="str">
        <f>IFERROR(LEFT(SUBSTITUTE(jason_converted!K149," 'nomCourtClub': '",""),LEN(SUBSTITUTE(jason_converted!K149," 'nomCourtClub': '",""))-1),"")</f>
        <v>BARBELL CLUB DUMBEA</v>
      </c>
      <c r="L149" t="str">
        <f>IFERROR("https://ffhaltero.fr/" &amp; LEFT(SUBSTITUTE(jason_converted!L149," 'url': '",""),LEN(SUBSTITUTE(jason_converted!L149," 'url': '",""))-1),"")</f>
        <v>https://ffhaltero.fr//pratiquer/ou-pratiquer/ou-pratiquer-fiche-club/139880004-barbell-club-dumbea'</v>
      </c>
    </row>
    <row r="150" spans="1:12" x14ac:dyDescent="0.25">
      <c r="A150" t="str">
        <f>IFERROR(SUBSTITUTE(jason_converted!A150,"{'id': ",""),"")</f>
        <v>242</v>
      </c>
      <c r="B150" t="str">
        <f>IFERROR(LEFT(SUBSTITUTE(jason_converted!B150," 'nom': '",""),LEN(SUBSTITUTE(jason_converted!B150," 'nom': '",""))-1),"")</f>
        <v>Stade Commandant Bougouin</v>
      </c>
      <c r="C150" t="str">
        <f>IFERROR(LEFT(SUBSTITUTE(jason_converted!C150," 'adresse1': '",""),LEN(SUBSTITUTE(jason_converted!C150," 'adresse1': '",""))-1),"")</f>
        <v>10 RUE ALPHONSE GUÉRIN</v>
      </c>
      <c r="D150" t="str">
        <f>IFERROR(LEFT(SUBSTITUTE(jason_converted!D150," 'adresse2': '",""),LEN(SUBSTITUTE(jason_converted!D150," 'adresse2': '",""))-1),"")</f>
        <v xml:space="preserve">STADE COMMANDANT BOUGOUIN </v>
      </c>
      <c r="E150" t="str">
        <f>IFERROR(LEFT(SUBSTITUTE(jason_converted!E150," 'codepostal': '",""),LEN(SUBSTITUTE(jason_converted!E150," 'codepostal': '",""))-1),"")</f>
        <v>35000</v>
      </c>
      <c r="F150" t="str">
        <f>IFERROR(LEFT(SUBSTITUTE(jason_converted!F150," 'ville': '",""),LEN(SUBSTITUTE(jason_converted!F150," 'ville': '",""))-1),"")</f>
        <v>RENNES</v>
      </c>
      <c r="G150" t="str">
        <f>IFERROR(LEFT(SUBSTITUTE(jason_converted!G150," 'tel': ",""),LEN(SUBSTITUTE(jason_converted!G150," 'tel': ",""))),"")</f>
        <v>None</v>
      </c>
      <c r="H150" t="str">
        <f>IFERROR(LEFT(SUBSTITUTE(jason_converted!H150," 'lat': '",""),LEN(SUBSTITUTE(jason_converted!H150," 'lat': '",""))-1),"")</f>
        <v>48.108809999999998</v>
      </c>
      <c r="I150" t="str">
        <f>IFERROR(LEFT(SUBSTITUTE(jason_converted!I150," 'lng': '",""),LEN(SUBSTITUTE(jason_converted!I150," 'lng': '",""))-1),"")</f>
        <v>-1.663677000000000</v>
      </c>
      <c r="J150" t="str">
        <f>IFERROR(LEFT(SUBSTITUTE(jason_converted!J150," 'nomClub': '",""),LEN(SUBSTITUTE(jason_converted!J150," 'nomClub': '",""))-1),"")</f>
        <v>CERCLE PAUL BERT</v>
      </c>
      <c r="K150" t="str">
        <f>IFERROR(LEFT(SUBSTITUTE(jason_converted!K150," 'nomCourtClub': '",""),LEN(SUBSTITUTE(jason_converted!K150," 'nomCourtClub': '",""))-1),"")</f>
        <v>CPB</v>
      </c>
      <c r="L150" t="str">
        <f>IFERROR("https://ffhaltero.fr/" &amp; LEFT(SUBSTITUTE(jason_converted!L150," 'url': '",""),LEN(SUBSTITUTE(jason_converted!L150," 'url': '",""))-1),"")</f>
        <v>https://ffhaltero.fr//pratiquer/ou-pratiquer/ou-pratiquer-fiche-club/339860057-cercle-paul-bert'</v>
      </c>
    </row>
    <row r="151" spans="1:12" x14ac:dyDescent="0.25">
      <c r="A151" t="str">
        <f>IFERROR(SUBSTITUTE(jason_converted!A151,"{'id': ",""),"")</f>
        <v>244</v>
      </c>
      <c r="B151" t="str">
        <f>IFERROR(LEFT(SUBSTITUTE(jason_converted!B151," 'nom': '",""),LEN(SUBSTITUTE(jason_converted!B151," 'nom': '",""))-1),"")</f>
        <v>ASPTT DRAGUIGNAN</v>
      </c>
      <c r="C151" t="str">
        <f>IFERROR(LEFT(SUBSTITUTE(jason_converted!C151," 'adresse1': '",""),LEN(SUBSTITUTE(jason_converted!C151," 'adresse1': '",""))-1),"")</f>
        <v>296 CHEMIN DE SAINTE-BARBE</v>
      </c>
      <c r="D151" t="str">
        <f>IFERROR(LEFT(SUBSTITUTE(jason_converted!D151," 'adresse2': '",""),LEN(SUBSTITUTE(jason_converted!D151," 'adresse2': '",""))-1),"")</f>
        <v/>
      </c>
      <c r="E151" t="str">
        <f>IFERROR(LEFT(SUBSTITUTE(jason_converted!E151," 'codepostal': '",""),LEN(SUBSTITUTE(jason_converted!E151," 'codepostal': '",""))-1),"")</f>
        <v>83300</v>
      </c>
      <c r="F151" t="str">
        <f>IFERROR(LEFT(SUBSTITUTE(jason_converted!F151," 'ville': '",""),LEN(SUBSTITUTE(jason_converted!F151," 'ville': '",""))-1),"")</f>
        <v>CHÂTEAUDOUBLE</v>
      </c>
      <c r="G151" t="str">
        <f>IFERROR(LEFT(SUBSTITUTE(jason_converted!G151," 'tel': ",""),LEN(SUBSTITUTE(jason_converted!G151," 'tel': ",""))),"")</f>
        <v>'0664999502'</v>
      </c>
      <c r="H151" t="str">
        <f>IFERROR(LEFT(SUBSTITUTE(jason_converted!H151," 'lat': '",""),LEN(SUBSTITUTE(jason_converted!H151," 'lat': '",""))-1),"")</f>
        <v>43.530868900000002</v>
      </c>
      <c r="I151" t="str">
        <f>IFERROR(LEFT(SUBSTITUTE(jason_converted!I151," 'lng': '",""),LEN(SUBSTITUTE(jason_converted!I151," 'lng': '",""))-1),"")</f>
        <v>6.480278986432161</v>
      </c>
      <c r="J151" t="str">
        <f>IFERROR(LEFT(SUBSTITUTE(jason_converted!J151," 'nomClub': '",""),LEN(SUBSTITUTE(jason_converted!J151," 'nomClub': '",""))-1),"")</f>
        <v>ASPTT DRAGUIGNAN</v>
      </c>
      <c r="K151" t="str">
        <f>IFERROR(LEFT(SUBSTITUTE(jason_converted!K151," 'nomCourtClub': '",""),LEN(SUBSTITUTE(jason_converted!K151," 'nomCourtClub': '",""))-1),"")</f>
        <v>ASPTT DRAGUIGNAN</v>
      </c>
      <c r="L151" t="str">
        <f>IFERROR("https://ffhaltero.fr/" &amp; LEFT(SUBSTITUTE(jason_converted!L151," 'url': '",""),LEN(SUBSTITUTE(jason_converted!L151," 'url': '",""))-1),"")</f>
        <v>https://ffhaltero.fr//pratiquer/ou-pratiquer/ou-pratiquer-fiche-club/20831246-asptt-draguignan'</v>
      </c>
    </row>
    <row r="152" spans="1:12" x14ac:dyDescent="0.25">
      <c r="A152" t="str">
        <f>IFERROR(SUBSTITUTE(jason_converted!A152,"{'id': ",""),"")</f>
        <v>245</v>
      </c>
      <c r="B152" t="str">
        <f>IFERROR(LEFT(SUBSTITUTE(jason_converted!B152," 'nom': '",""),LEN(SUBSTITUTE(jason_converted!B152," 'nom': '",""))-1),"")</f>
        <v>aspom</v>
      </c>
      <c r="C152" t="str">
        <f>IFERROR(LEFT(SUBSTITUTE(jason_converted!C152," 'adresse1': '",""),LEN(SUBSTITUTE(jason_converted!C152," 'adresse1': '",""))-1),"")</f>
        <v>132 RUE AMEDÉE ST GERMAIN</v>
      </c>
      <c r="D152" t="str">
        <f>IFERROR(LEFT(SUBSTITUTE(jason_converted!D152," 'adresse2': '",""),LEN(SUBSTITUTE(jason_converted!D152," 'adresse2': '",""))-1),"")</f>
        <v/>
      </c>
      <c r="E152" t="str">
        <f>IFERROR(LEFT(SUBSTITUTE(jason_converted!E152," 'codepostal': '",""),LEN(SUBSTITUTE(jason_converted!E152," 'codepostal': '",""))-1),"")</f>
        <v>33800</v>
      </c>
      <c r="F152" t="str">
        <f>IFERROR(LEFT(SUBSTITUTE(jason_converted!F152," 'ville': '",""),LEN(SUBSTITUTE(jason_converted!F152," 'ville': '",""))-1),"")</f>
        <v>BORDEAUX</v>
      </c>
      <c r="G152" t="str">
        <f>IFERROR(LEFT(SUBSTITUTE(jason_converted!G152," 'tel': ",""),LEN(SUBSTITUTE(jason_converted!G152," 'tel': ",""))),"")</f>
        <v>None</v>
      </c>
      <c r="H152" t="str">
        <f>IFERROR(LEFT(SUBSTITUTE(jason_converted!H152," 'lat': '",""),LEN(SUBSTITUTE(jason_converted!H152," 'lat': '",""))-1),"")</f>
        <v>44.817537999999999</v>
      </c>
      <c r="I152" t="str">
        <f>IFERROR(LEFT(SUBSTITUTE(jason_converted!I152," 'lng': '",""),LEN(SUBSTITUTE(jason_converted!I152," 'lng': '",""))-1),"")</f>
        <v>-0.564433000000000</v>
      </c>
      <c r="J152" t="str">
        <f>IFERROR(LEFT(SUBSTITUTE(jason_converted!J152," 'nomClub': '",""),LEN(SUBSTITUTE(jason_converted!J152," 'nomClub': '",""))-1),"")</f>
        <v>ASPOM BORDEAUX</v>
      </c>
      <c r="K152" t="str">
        <f>IFERROR(LEFT(SUBSTITUTE(jason_converted!K152," 'nomCourtClub': '",""),LEN(SUBSTITUTE(jason_converted!K152," 'nomCourtClub': '",""))-1),"")</f>
        <v>ASPOM BORDEAUX</v>
      </c>
      <c r="L152" t="str">
        <f>IFERROR("https://ffhaltero.fr/" &amp; LEFT(SUBSTITUTE(jason_converted!L152," 'url': '",""),LEN(SUBSTITUTE(jason_converted!L152," 'url': '",""))-1),"")</f>
        <v>https://ffhaltero.fr//pratiquer/ou-pratiquer/ou-pratiquer-fiche-club/02330656-aspom-bordeaux'</v>
      </c>
    </row>
    <row r="153" spans="1:12" x14ac:dyDescent="0.25">
      <c r="A153" t="str">
        <f>IFERROR(SUBSTITUTE(jason_converted!A153,"{'id': ",""),"")</f>
        <v>246</v>
      </c>
      <c r="B153" t="str">
        <f>IFERROR(LEFT(SUBSTITUTE(jason_converted!B153," 'nom': '",""),LEN(SUBSTITUTE(jason_converted!B153," 'nom': '",""))-1),"")</f>
        <v>Complexe Sportif Lothaire Kubel</v>
      </c>
      <c r="C153" t="str">
        <f>IFERROR(LEFT(SUBSTITUTE(jason_converted!C153," 'adresse1': '",""),LEN(SUBSTITUTE(jason_converted!C153," 'adresse1': '",""))-1),"")</f>
        <v>COMPLEXE SPORTIF LOTHAIRE KUBEL RUE DE LA PISCINE</v>
      </c>
      <c r="D153" t="str">
        <f>IFERROR(LEFT(SUBSTITUTE(jason_converted!D153," 'adresse2': '",""),LEN(SUBSTITUTE(jason_converted!D153," 'adresse2': '",""))-1),"")</f>
        <v/>
      </c>
      <c r="E153" t="str">
        <f>IFERROR(LEFT(SUBSTITUTE(jason_converted!E153," 'codepostal': '",""),LEN(SUBSTITUTE(jason_converted!E153," 'codepostal': '",""))-1),"")</f>
        <v>36200</v>
      </c>
      <c r="F153" t="str">
        <f>IFERROR(LEFT(SUBSTITUTE(jason_converted!F153," 'ville': '",""),LEN(SUBSTITUTE(jason_converted!F153," 'ville': '",""))-1),"")</f>
        <v>ARGENTON-SUR-CREUSE</v>
      </c>
      <c r="G153" t="str">
        <f>IFERROR(LEFT(SUBSTITUTE(jason_converted!G153," 'tel': ",""),LEN(SUBSTITUTE(jason_converted!G153," 'tel': ",""))),"")</f>
        <v>'02.54.01.10.78'</v>
      </c>
      <c r="H153" t="str">
        <f>IFERROR(LEFT(SUBSTITUTE(jason_converted!H153," 'lat': '",""),LEN(SUBSTITUTE(jason_converted!H153," 'lat': '",""))-1),"")</f>
        <v>46.585673999999997</v>
      </c>
      <c r="I153" t="str">
        <f>IFERROR(LEFT(SUBSTITUTE(jason_converted!I153," 'lng': '",""),LEN(SUBSTITUTE(jason_converted!I153," 'lng': '",""))-1),"")</f>
        <v>1.531676000000000</v>
      </c>
      <c r="J153" t="str">
        <f>IFERROR(LEFT(SUBSTITUTE(jason_converted!J153," 'nomClub': '",""),LEN(SUBSTITUTE(jason_converted!J153," 'nomClub': '",""))-1),"")</f>
        <v>US ARGENTONNAISE</v>
      </c>
      <c r="K153" t="str">
        <f>IFERROR(LEFT(SUBSTITUTE(jason_converted!K153," 'nomCourtClub': '",""),LEN(SUBSTITUTE(jason_converted!K153," 'nomCourtClub': '",""))-1),"")</f>
        <v>US ARGENTONNAISE</v>
      </c>
      <c r="L153" t="str">
        <f>IFERROR("https://ffhaltero.fr/" &amp; LEFT(SUBSTITUTE(jason_converted!L153," 'url': '",""),LEN(SUBSTITUTE(jason_converted!L153," 'url': '",""))-1),"")</f>
        <v>https://ffhaltero.fr//pratiquer/ou-pratiquer/ou-pratiquer-fiche-club/07361228-us-argentonnaise'</v>
      </c>
    </row>
    <row r="154" spans="1:12" x14ac:dyDescent="0.25">
      <c r="A154" t="str">
        <f>IFERROR(SUBSTITUTE(jason_converted!A154,"{'id': ",""),"")</f>
        <v>247</v>
      </c>
      <c r="B154" t="str">
        <f>IFERROR(LEFT(SUBSTITUTE(jason_converted!B154," 'nom': '",""),LEN(SUBSTITUTE(jason_converted!B154," 'nom': '",""))-1),"")</f>
        <v>DAMALIS LE CLUB</v>
      </c>
      <c r="C154" t="str">
        <f>IFERROR(LEFT(SUBSTITUTE(jason_converted!C154," 'adresse1': '",""),LEN(SUBSTITUTE(jason_converted!C154," 'adresse1': '",""))-1),"")</f>
        <v>33 BOULEVARD BLERIOT</v>
      </c>
      <c r="D154" t="str">
        <f>IFERROR(LEFT(SUBSTITUTE(jason_converted!D154," 'adresse2': '",""),LEN(SUBSTITUTE(jason_converted!D154," 'adresse2': '",""))-1),"")</f>
        <v xml:space="preserve">CENTRE COMMERCIAL DU PERLIC </v>
      </c>
      <c r="E154" t="str">
        <f>IFERROR(LEFT(SUBSTITUTE(jason_converted!E154," 'codepostal': '",""),LEN(SUBSTITUTE(jason_converted!E154," 'codepostal': '",""))-1),"")</f>
        <v>64140</v>
      </c>
      <c r="F154" t="str">
        <f>IFERROR(LEFT(SUBSTITUTE(jason_converted!F154," 'ville': '",""),LEN(SUBSTITUTE(jason_converted!F154," 'ville': '",""))-1),"")</f>
        <v>LONS</v>
      </c>
      <c r="G154" t="str">
        <f>IFERROR(LEFT(SUBSTITUTE(jason_converted!G154," 'tel': ",""),LEN(SUBSTITUTE(jason_converted!G154," 'tel': ",""))),"")</f>
        <v>'0652478941'</v>
      </c>
      <c r="H154" t="str">
        <f>IFERROR(LEFT(SUBSTITUTE(jason_converted!H154," 'lat': '",""),LEN(SUBSTITUTE(jason_converted!H154," 'lat': '",""))-1),"")</f>
        <v>43.334724999999999</v>
      </c>
      <c r="I154" t="str">
        <f>IFERROR(LEFT(SUBSTITUTE(jason_converted!I154," 'lng': '",""),LEN(SUBSTITUTE(jason_converted!I154," 'lng': '",""))-1),"")</f>
        <v>-0.393466000000000</v>
      </c>
      <c r="J154" t="str">
        <f>IFERROR(LEFT(SUBSTITUTE(jason_converted!J154," 'nomClub': '",""),LEN(SUBSTITUTE(jason_converted!J154," 'nomClub': '",""))-1),"")</f>
        <v>CLUB HALTERO PALOIS</v>
      </c>
      <c r="K154" t="str">
        <f>IFERROR(LEFT(SUBSTITUTE(jason_converted!K154," 'nomCourtClub': '",""),LEN(SUBSTITUTE(jason_converted!K154," 'nomCourtClub': '",""))-1),"")</f>
        <v>CHAP</v>
      </c>
      <c r="L154" t="str">
        <f>IFERROR("https://ffhaltero.fr/" &amp; LEFT(SUBSTITUTE(jason_converted!L154," 'url': '",""),LEN(SUBSTITUTE(jason_converted!L154," 'url': '",""))-1),"")</f>
        <v>https://ffhaltero.fr//pratiquer/ou-pratiquer/ou-pratiquer-fiche-club/14640002-club-haltero-palois'</v>
      </c>
    </row>
    <row r="155" spans="1:12" x14ac:dyDescent="0.25">
      <c r="A155" t="str">
        <f>IFERROR(SUBSTITUTE(jason_converted!A155,"{'id': ",""),"")</f>
        <v>248</v>
      </c>
      <c r="B155" t="str">
        <f>IFERROR(LEFT(SUBSTITUTE(jason_converted!B155," 'nom': '",""),LEN(SUBSTITUTE(jason_converted!B155," 'nom': '",""))-1),"")</f>
        <v>ac gardeen acg</v>
      </c>
      <c r="C155" t="str">
        <f>IFERROR(LEFT(SUBSTITUTE(jason_converted!C155," 'adresse1': '",""),LEN(SUBSTITUTE(jason_converted!C155," 'adresse1': '",""))-1),"")</f>
        <v>AVENUE ROBESPIERRE</v>
      </c>
      <c r="D155" t="str">
        <f>IFERROR(LEFT(SUBSTITUTE(jason_converted!D155," 'adresse2': '",""),LEN(SUBSTITUTE(jason_converted!D155," 'adresse2': '",""))-1),"")</f>
        <v/>
      </c>
      <c r="E155" t="str">
        <f>IFERROR(LEFT(SUBSTITUTE(jason_converted!E155," 'codepostal': '",""),LEN(SUBSTITUTE(jason_converted!E155," 'codepostal': '",""))-1),"")</f>
        <v>83130</v>
      </c>
      <c r="F155" t="str">
        <f>IFERROR(LEFT(SUBSTITUTE(jason_converted!F155," 'ville': '",""),LEN(SUBSTITUTE(jason_converted!F155," 'ville': '",""))-1),"")</f>
        <v>LA GARDE</v>
      </c>
      <c r="G155" t="str">
        <f>IFERROR(LEFT(SUBSTITUTE(jason_converted!G155," 'tel': ",""),LEN(SUBSTITUTE(jason_converted!G155," 'tel': ",""))),"")</f>
        <v>None</v>
      </c>
      <c r="H155" t="str">
        <f>IFERROR(LEFT(SUBSTITUTE(jason_converted!H155," 'lat': '",""),LEN(SUBSTITUTE(jason_converted!H155," 'lat': '",""))-1),"")</f>
        <v>43.134936000000003</v>
      </c>
      <c r="I155" t="str">
        <f>IFERROR(LEFT(SUBSTITUTE(jason_converted!I155," 'lng': '",""),LEN(SUBSTITUTE(jason_converted!I155," 'lng': '",""))-1),"")</f>
        <v>6.024972000000000</v>
      </c>
      <c r="J155" t="str">
        <f>IFERROR(LEFT(SUBSTITUTE(jason_converted!J155," 'nomClub': '",""),LEN(SUBSTITUTE(jason_converted!J155," 'nomClub': '",""))-1),"")</f>
        <v>AC GARDEEN</v>
      </c>
      <c r="K155" t="str">
        <f>IFERROR(LEFT(SUBSTITUTE(jason_converted!K155," 'nomCourtClub': '",""),LEN(SUBSTITUTE(jason_converted!K155," 'nomCourtClub': '",""))-1),"")</f>
        <v>AC GARDEEN</v>
      </c>
      <c r="L155" t="str">
        <f>IFERROR("https://ffhaltero.fr/" &amp; LEFT(SUBSTITUTE(jason_converted!L155," 'url': '",""),LEN(SUBSTITUTE(jason_converted!L155," 'url': '",""))-1),"")</f>
        <v>https://ffhaltero.fr//pratiquer/ou-pratiquer/ou-pratiquer-fiche-club/20830123-ac-gardeen'</v>
      </c>
    </row>
    <row r="156" spans="1:12" x14ac:dyDescent="0.25">
      <c r="A156" t="str">
        <f>IFERROR(SUBSTITUTE(jason_converted!A156,"{'id': ",""),"")</f>
        <v>251</v>
      </c>
      <c r="B156" t="str">
        <f>IFERROR(LEFT(SUBSTITUTE(jason_converted!B156," 'nom': '",""),LEN(SUBSTITUTE(jason_converted!B156," 'nom': '",""))-1),"")</f>
        <v>SALLE ETIENNE TURPIN</v>
      </c>
      <c r="C156" t="str">
        <f>IFERROR(LEFT(SUBSTITUTE(jason_converted!C156," 'adresse1': '",""),LEN(SUBSTITUTE(jason_converted!C156," 'adresse1': '",""))-1),"")</f>
        <v>ROUTE DES LACS</v>
      </c>
      <c r="D156" t="str">
        <f>IFERROR(LEFT(SUBSTITUTE(jason_converted!D156," 'adresse2': '",""),LEN(SUBSTITUTE(jason_converted!D156," 'adresse2': '",""))-1),"")</f>
        <v/>
      </c>
      <c r="E156" t="str">
        <f>IFERROR(LEFT(SUBSTITUTE(jason_converted!E156," 'codepostal': '",""),LEN(SUBSTITUTE(jason_converted!E156," 'codepostal': '",""))-1),"")</f>
        <v>33470</v>
      </c>
      <c r="F156" t="str">
        <f>IFERROR(LEFT(SUBSTITUTE(jason_converted!F156," 'ville': '",""),LEN(SUBSTITUTE(jason_converted!F156," 'ville': '",""))-1),"")</f>
        <v>GUJAN-MESTRAS</v>
      </c>
      <c r="G156" t="str">
        <f>IFERROR(LEFT(SUBSTITUTE(jason_converted!G156," 'tel': ",""),LEN(SUBSTITUTE(jason_converted!G156," 'tel': ",""))),"")</f>
        <v>None</v>
      </c>
      <c r="H156" t="str">
        <f>IFERROR(LEFT(SUBSTITUTE(jason_converted!H156," 'lat': '",""),LEN(SUBSTITUTE(jason_converted!H156," 'lat': '",""))-1),"")</f>
        <v>44.610607999999999</v>
      </c>
      <c r="I156" t="str">
        <f>IFERROR(LEFT(SUBSTITUTE(jason_converted!I156," 'lng': '",""),LEN(SUBSTITUTE(jason_converted!I156," 'lng': '",""))-1),"")</f>
        <v>-1.105583000000000</v>
      </c>
      <c r="J156" t="str">
        <f>IFERROR(LEFT(SUBSTITUTE(jason_converted!J156," 'nomClub': '",""),LEN(SUBSTITUTE(jason_converted!J156," 'nomClub': '",""))-1),"")</f>
        <v>AS FORCE TESTERINE</v>
      </c>
      <c r="K156" t="str">
        <f>IFERROR(LEFT(SUBSTITUTE(jason_converted!K156," 'nomCourtClub': '",""),LEN(SUBSTITUTE(jason_converted!K156," 'nomCourtClub': '",""))-1),"")</f>
        <v>AS FORCE TESTERINE</v>
      </c>
      <c r="L156" t="str">
        <f>IFERROR("https://ffhaltero.fr/" &amp; LEFT(SUBSTITUTE(jason_converted!L156," 'url': '",""),LEN(SUBSTITUTE(jason_converted!L156," 'url': '",""))-1),"")</f>
        <v>https://ffhaltero.fr//pratiquer/ou-pratiquer/ou-pratiquer-fiche-club/02330910-as-force-testerine'</v>
      </c>
    </row>
    <row r="157" spans="1:12" x14ac:dyDescent="0.25">
      <c r="A157" t="str">
        <f>IFERROR(SUBSTITUTE(jason_converted!A157,"{'id': ",""),"")</f>
        <v>252</v>
      </c>
      <c r="B157" t="str">
        <f>IFERROR(LEFT(SUBSTITUTE(jason_converted!B157," 'nom': '",""),LEN(SUBSTITUTE(jason_converted!B157," 'nom': '",""))-1),"")</f>
        <v>Crossfit Gaius</v>
      </c>
      <c r="C157" t="str">
        <f>IFERROR(LEFT(SUBSTITUTE(jason_converted!C157," 'adresse1': '",""),LEN(SUBSTITUTE(jason_converted!C157," 'adresse1': '",""))-1),"")</f>
        <v>10 AVENUE DU MARÉCHAL DE LATTRE DE TASSIGNY</v>
      </c>
      <c r="D157" t="str">
        <f>IFERROR(LEFT(SUBSTITUTE(jason_converted!D157," 'adresse2': '",""),LEN(SUBSTITUTE(jason_converted!D157," 'adresse2': '",""))-1),"")</f>
        <v/>
      </c>
      <c r="E157" t="str">
        <f>IFERROR(LEFT(SUBSTITUTE(jason_converted!E157," 'codepostal': '",""),LEN(SUBSTITUTE(jason_converted!E157," 'codepostal': '",""))-1),"")</f>
        <v>13100</v>
      </c>
      <c r="F157" t="str">
        <f>IFERROR(LEFT(SUBSTITUTE(jason_converted!F157," 'ville': '",""),LEN(SUBSTITUTE(jason_converted!F157," 'ville': '",""))-1),"")</f>
        <v>AIX-EN-PROVENCE</v>
      </c>
      <c r="G157" t="str">
        <f>IFERROR(LEFT(SUBSTITUTE(jason_converted!G157," 'tel': ",""),LEN(SUBSTITUTE(jason_converted!G157," 'tel': ",""))),"")</f>
        <v>'06.64.82.67.21'</v>
      </c>
      <c r="H157" t="str">
        <f>IFERROR(LEFT(SUBSTITUTE(jason_converted!H157," 'lat': '",""),LEN(SUBSTITUTE(jason_converted!H157," 'lat': '",""))-1),"")</f>
        <v>43.529692900000001</v>
      </c>
      <c r="I157" t="str">
        <f>IFERROR(LEFT(SUBSTITUTE(jason_converted!I157," 'lng': '",""),LEN(SUBSTITUTE(jason_converted!I157," 'lng': '",""))-1),"")</f>
        <v>5.437339343573731</v>
      </c>
      <c r="J157" t="str">
        <f>IFERROR(LEFT(SUBSTITUTE(jason_converted!J157," 'nomClub': '",""),LEN(SUBSTITUTE(jason_converted!J157," 'nomClub': '",""))-1),"")</f>
        <v>LA COMPAGNIE DE LA BARRE</v>
      </c>
      <c r="K157" t="str">
        <f>IFERROR(LEFT(SUBSTITUTE(jason_converted!K157," 'nomCourtClub': '",""),LEN(SUBSTITUTE(jason_converted!K157," 'nomCourtClub': '",""))-1),"")</f>
        <v>LA COMPAGNIE DE LA BARRE</v>
      </c>
      <c r="L157" t="str">
        <f>IFERROR("https://ffhaltero.fr/" &amp; LEFT(SUBSTITUTE(jason_converted!L157," 'url': '",""),LEN(SUBSTITUTE(jason_converted!L157," 'url': '",""))-1),"")</f>
        <v>https://ffhaltero.fr//pratiquer/ou-pratiquer/ou-pratiquer-fiche-club/18130004-la-compagnie-de-la-barre'</v>
      </c>
    </row>
    <row r="158" spans="1:12" x14ac:dyDescent="0.25">
      <c r="A158" t="str">
        <f>IFERROR(SUBSTITUTE(jason_converted!A158,"{'id': ",""),"")</f>
        <v>254</v>
      </c>
      <c r="B158" t="str">
        <f>IFERROR(LEFT(SUBSTITUTE(jason_converted!B158," 'nom': '",""),LEN(SUBSTITUTE(jason_converted!B158," 'nom': '",""))-1),"")</f>
        <v>HALTERO CLUB OYONNAX</v>
      </c>
      <c r="C158" t="str">
        <f>IFERROR(LEFT(SUBSTITUTE(jason_converted!C158," 'adresse1': '",""),LEN(SUBSTITUTE(jason_converted!C158," 'adresse1': '",""))-1),"")</f>
        <v>22 RUE BRILLAT SAVARIN</v>
      </c>
      <c r="D158" t="str">
        <f>IFERROR(LEFT(SUBSTITUTE(jason_converted!D158," 'adresse2': '",""),LEN(SUBSTITUTE(jason_converted!D158," 'adresse2': '",""))-1),"")</f>
        <v/>
      </c>
      <c r="E158" t="str">
        <f>IFERROR(LEFT(SUBSTITUTE(jason_converted!E158," 'codepostal': '",""),LEN(SUBSTITUTE(jason_converted!E158," 'codepostal': '",""))-1),"")</f>
        <v>01100</v>
      </c>
      <c r="F158" t="str">
        <f>IFERROR(LEFT(SUBSTITUTE(jason_converted!F158," 'ville': '",""),LEN(SUBSTITUTE(jason_converted!F158," 'ville': '",""))-1),"")</f>
        <v>OYONNAX</v>
      </c>
      <c r="G158" t="str">
        <f>IFERROR(LEFT(SUBSTITUTE(jason_converted!G158," 'tel': ",""),LEN(SUBSTITUTE(jason_converted!G158," 'tel': ",""))),"")</f>
        <v>'0679818036'</v>
      </c>
      <c r="H158" t="str">
        <f>IFERROR(LEFT(SUBSTITUTE(jason_converted!H158," 'lat': '",""),LEN(SUBSTITUTE(jason_converted!H158," 'lat': '",""))-1),"")</f>
        <v>46.251655000000000</v>
      </c>
      <c r="I158" t="str">
        <f>IFERROR(LEFT(SUBSTITUTE(jason_converted!I158," 'lng': '",""),LEN(SUBSTITUTE(jason_converted!I158," 'lng': '",""))-1),"")</f>
        <v>5.648112000000000</v>
      </c>
      <c r="J158" t="str">
        <f>IFERROR(LEFT(SUBSTITUTE(jason_converted!J158," 'nomClub': '",""),LEN(SUBSTITUTE(jason_converted!J158," 'nomClub': '",""))-1),"")</f>
        <v>HALTERO CLUB OYONNAXIEN</v>
      </c>
      <c r="K158" t="str">
        <f>IFERROR(LEFT(SUBSTITUTE(jason_converted!K158," 'nomCourtClub': '",""),LEN(SUBSTITUTE(jason_converted!K158," 'nomCourtClub': '",""))-1),"")</f>
        <v>HALTERO CLUB OYONNAXIEN</v>
      </c>
      <c r="L158" t="str">
        <f>IFERROR("https://ffhaltero.fr/" &amp; LEFT(SUBSTITUTE(jason_converted!L158," 'url': '",""),LEN(SUBSTITUTE(jason_converted!L158," 'url': '",""))-1),"")</f>
        <v>https://ffhaltero.fr//pratiquer/ou-pratiquer/ou-pratiquer-fiche-club/22010280-haltero-club-oyonnaxien'</v>
      </c>
    </row>
    <row r="159" spans="1:12" x14ac:dyDescent="0.25">
      <c r="A159" t="str">
        <f>IFERROR(SUBSTITUTE(jason_converted!A159,"{'id': ",""),"")</f>
        <v>255</v>
      </c>
      <c r="B159" t="str">
        <f>IFERROR(LEFT(SUBSTITUTE(jason_converted!B159," 'nom': '",""),LEN(SUBSTITUTE(jason_converted!B159," 'nom': '",""))-1),"")</f>
        <v>SUMMUM CROSSFIT</v>
      </c>
      <c r="C159" t="str">
        <f>IFERROR(LEFT(SUBSTITUTE(jason_converted!C159," 'adresse1': '",""),LEN(SUBSTITUTE(jason_converted!C159," 'adresse1': '",""))-1),"")</f>
        <v xml:space="preserve"> 'adresse1': " 6 BVD DES MONTS D'OR</v>
      </c>
      <c r="D159" t="str">
        <f>IFERROR(LEFT(SUBSTITUTE(jason_converted!D159," 'adresse2': '",""),LEN(SUBSTITUTE(jason_converted!D159," 'adresse2': '",""))-1),"")</f>
        <v/>
      </c>
      <c r="E159" t="str">
        <f>IFERROR(LEFT(SUBSTITUTE(jason_converted!E159," 'codepostal': '",""),LEN(SUBSTITUTE(jason_converted!E159," 'codepostal': '",""))-1),"")</f>
        <v>69580</v>
      </c>
      <c r="F159" t="str">
        <f>IFERROR(LEFT(SUBSTITUTE(jason_converted!F159," 'ville': '",""),LEN(SUBSTITUTE(jason_converted!F159," 'ville': '",""))-1),"")</f>
        <v>SATHONAY-CAMP</v>
      </c>
      <c r="G159" t="str">
        <f>IFERROR(LEFT(SUBSTITUTE(jason_converted!G159," 'tel': ",""),LEN(SUBSTITUTE(jason_converted!G159," 'tel': ",""))),"")</f>
        <v>None</v>
      </c>
      <c r="H159" t="str">
        <f>IFERROR(LEFT(SUBSTITUTE(jason_converted!H159," 'lat': '",""),LEN(SUBSTITUTE(jason_converted!H159," 'lat': '",""))-1),"")</f>
        <v>45.824628500000003</v>
      </c>
      <c r="I159" t="str">
        <f>IFERROR(LEFT(SUBSTITUTE(jason_converted!I159," 'lng': '",""),LEN(SUBSTITUTE(jason_converted!I159," 'lng': '",""))-1),"")</f>
        <v>4.866733500000000</v>
      </c>
      <c r="J159" t="str">
        <f>IFERROR(LEFT(SUBSTITUTE(jason_converted!J159," 'nomClub': '",""),LEN(SUBSTITUTE(jason_converted!J159," 'nomClub': '",""))-1),"")</f>
        <v>SUMMUM CROSSFIT</v>
      </c>
      <c r="K159" t="str">
        <f>IFERROR(LEFT(SUBSTITUTE(jason_converted!K159," 'nomCourtClub': '",""),LEN(SUBSTITUTE(jason_converted!K159," 'nomCourtClub': '",""))-1),"")</f>
        <v>SUMMUM CROSSFIT</v>
      </c>
      <c r="L159" t="str">
        <f>IFERROR("https://ffhaltero.fr/" &amp; LEFT(SUBSTITUTE(jason_converted!L159," 'url': '",""),LEN(SUBSTITUTE(jason_converted!L159," 'url': '",""))-1),"")</f>
        <v>https://ffhaltero.fr//pratiquer/ou-pratiquer/ou-pratiquer-fiche-club/01690004-summum-crossfit'</v>
      </c>
    </row>
    <row r="160" spans="1:12" x14ac:dyDescent="0.25">
      <c r="A160" t="str">
        <f>IFERROR(SUBSTITUTE(jason_converted!A160,"{'id': ",""),"")</f>
        <v>256</v>
      </c>
      <c r="B160" t="str">
        <f>IFERROR(LEFT(SUBSTITUTE(jason_converted!B160," 'nom': '",""),LEN(SUBSTITUTE(jason_converted!B160," 'nom': '",""))-1),"")</f>
        <v>david HELENA</v>
      </c>
      <c r="C160" t="str">
        <f>IFERROR(LEFT(SUBSTITUTE(jason_converted!C160," 'adresse1': '",""),LEN(SUBSTITUTE(jason_converted!C160," 'adresse1': '",""))-1),"")</f>
        <v>36 RUE BERJON</v>
      </c>
      <c r="D160" t="str">
        <f>IFERROR(LEFT(SUBSTITUTE(jason_converted!D160," 'adresse2': '",""),LEN(SUBSTITUTE(jason_converted!D160," 'adresse2': '",""))-1),"")</f>
        <v>10 BIS RUE DU BOIS DE LA CAILLE</v>
      </c>
      <c r="E160" t="str">
        <f>IFERROR(LEFT(SUBSTITUTE(jason_converted!E160," 'codepostal': '",""),LEN(SUBSTITUTE(jason_converted!E160," 'codepostal': '",""))-1),"")</f>
        <v>69300</v>
      </c>
      <c r="F160" t="str">
        <f>IFERROR(LEFT(SUBSTITUTE(jason_converted!F160," 'ville': '",""),LEN(SUBSTITUTE(jason_converted!F160," 'ville': '",""))-1),"")</f>
        <v>CALUIRE-ET-CUIRE</v>
      </c>
      <c r="G160" t="str">
        <f>IFERROR(LEFT(SUBSTITUTE(jason_converted!G160," 'tel': ",""),LEN(SUBSTITUTE(jason_converted!G160," 'tel': ",""))),"")</f>
        <v>None</v>
      </c>
      <c r="H160" t="str">
        <f>IFERROR(LEFT(SUBSTITUTE(jason_converted!H160," 'lat': '",""),LEN(SUBSTITUTE(jason_converted!H160," 'lat': '",""))-1),"")</f>
        <v>45.784100000000002</v>
      </c>
      <c r="I160" t="str">
        <f>IFERROR(LEFT(SUBSTITUTE(jason_converted!I160," 'lng': '",""),LEN(SUBSTITUTE(jason_converted!I160," 'lng': '",""))-1),"")</f>
        <v>4.833174000000000</v>
      </c>
      <c r="J160" t="str">
        <f>IFERROR(LEFT(SUBSTITUTE(jason_converted!J160," 'nomClub': '",""),LEN(SUBSTITUTE(jason_converted!J160," 'nomClub': '",""))-1),"")</f>
        <v>VERTUOSE CLUB</v>
      </c>
      <c r="K160" t="str">
        <f>IFERROR(LEFT(SUBSTITUTE(jason_converted!K160," 'nomCourtClub': '",""),LEN(SUBSTITUTE(jason_converted!K160," 'nomCourtClub': '",""))-1),"")</f>
        <v>VERTUOSE CLUB</v>
      </c>
      <c r="L160" t="str">
        <f>IFERROR("https://ffhaltero.fr/" &amp; LEFT(SUBSTITUTE(jason_converted!L160," 'url': '",""),LEN(SUBSTITUTE(jason_converted!L160," 'url': '",""))-1),"")</f>
        <v>https://ffhaltero.fr//pratiquer/ou-pratiquer/ou-pratiquer-fiche-club/01690006-vertuose-club'</v>
      </c>
    </row>
    <row r="161" spans="1:12" x14ac:dyDescent="0.25">
      <c r="A161" t="str">
        <f>IFERROR(SUBSTITUTE(jason_converted!A161,"{'id': ",""),"")</f>
        <v>258</v>
      </c>
      <c r="B161" t="str">
        <f>IFERROR(LEFT(SUBSTITUTE(jason_converted!B161," 'nom': '",""),LEN(SUBSTITUTE(jason_converted!B161," 'nom': '",""))-1),"")</f>
        <v>MUSCU FITNESS CAHORS</v>
      </c>
      <c r="C161" t="str">
        <f>IFERROR(LEFT(SUBSTITUTE(jason_converted!C161," 'adresse1': '",""),LEN(SUBSTITUTE(jason_converted!C161," 'adresse1': '",""))-1),"")</f>
        <v>150 RUE DE LA GUINGUETTE</v>
      </c>
      <c r="D161" t="str">
        <f>IFERROR(LEFT(SUBSTITUTE(jason_converted!D161," 'adresse2': '",""),LEN(SUBSTITUTE(jason_converted!D161," 'adresse2': '",""))-1),"")</f>
        <v/>
      </c>
      <c r="E161" t="str">
        <f>IFERROR(LEFT(SUBSTITUTE(jason_converted!E161," 'codepostal': '",""),LEN(SUBSTITUTE(jason_converted!E161," 'codepostal': '",""))-1),"")</f>
        <v>46000</v>
      </c>
      <c r="F161" t="str">
        <f>IFERROR(LEFT(SUBSTITUTE(jason_converted!F161," 'ville': '",""),LEN(SUBSTITUTE(jason_converted!F161," 'ville': '",""))-1),"")</f>
        <v>CAHORS</v>
      </c>
      <c r="G161" t="str">
        <f>IFERROR(LEFT(SUBSTITUTE(jason_converted!G161," 'tel': ",""),LEN(SUBSTITUTE(jason_converted!G161," 'tel': ",""))),"")</f>
        <v>None</v>
      </c>
      <c r="H161" t="str">
        <f>IFERROR(LEFT(SUBSTITUTE(jason_converted!H161," 'lat': '",""),LEN(SUBSTITUTE(jason_converted!H161," 'lat': '",""))-1),"")</f>
        <v>44.455562900000004</v>
      </c>
      <c r="I161" t="str">
        <f>IFERROR(LEFT(SUBSTITUTE(jason_converted!I161," 'lng': '",""),LEN(SUBSTITUTE(jason_converted!I161," 'lng': '",""))-1),"")</f>
        <v>1.445813373222948</v>
      </c>
      <c r="J161" t="str">
        <f>IFERROR(LEFT(SUBSTITUTE(jason_converted!J161," 'nomClub': '",""),LEN(SUBSTITUTE(jason_converted!J161," 'nomClub': '",""))-1),"")</f>
        <v>MUSCU FITNESS CAHORS</v>
      </c>
      <c r="K161" t="str">
        <f>IFERROR(LEFT(SUBSTITUTE(jason_converted!K161," 'nomCourtClub': '",""),LEN(SUBSTITUTE(jason_converted!K161," 'nomCourtClub': '",""))-1),"")</f>
        <v>MUSCU FITNESS CAHORS</v>
      </c>
      <c r="L161" t="str">
        <f>IFERROR("https://ffhaltero.fr/" &amp; LEFT(SUBSTITUTE(jason_converted!L161," 'url': '",""),LEN(SUBSTITUTE(jason_converted!L161," 'url': '",""))-1),"")</f>
        <v>https://ffhaltero.fr//pratiquer/ou-pratiquer/ou-pratiquer-fiche-club/15460936-muscu-fitness-cahors'</v>
      </c>
    </row>
    <row r="162" spans="1:12" x14ac:dyDescent="0.25">
      <c r="A162" t="str">
        <f>IFERROR(SUBSTITUTE(jason_converted!A162,"{'id': ",""),"")</f>
        <v>259</v>
      </c>
      <c r="B162" t="str">
        <f>IFERROR(LEFT(SUBSTITUTE(jason_converted!B162," 'nom': '",""),LEN(SUBSTITUTE(jason_converted!B162," 'nom': '",""))-1),"")</f>
        <v>Stade Klebert Picard</v>
      </c>
      <c r="C162" t="str">
        <f>IFERROR(LEFT(SUBSTITUTE(jason_converted!C162," 'adresse1': '",""),LEN(SUBSTITUTE(jason_converted!C162," 'adresse1': '",""))-1),"")</f>
        <v>RUE ROLAND GARROS</v>
      </c>
      <c r="D162" t="str">
        <f>IFERROR(LEFT(SUBSTITUTE(jason_converted!D162," 'adresse2': '",""),LEN(SUBSTITUTE(jason_converted!D162," 'adresse2': '",""))-1),"")</f>
        <v/>
      </c>
      <c r="E162" t="str">
        <f>IFERROR(LEFT(SUBSTITUTE(jason_converted!E162," 'codepostal': '",""),LEN(SUBSTITUTE(jason_converted!E162," 'codepostal': '",""))-1),"")</f>
        <v>97430</v>
      </c>
      <c r="F162" t="str">
        <f>IFERROR(LEFT(SUBSTITUTE(jason_converted!F162," 'ville': '",""),LEN(SUBSTITUTE(jason_converted!F162," 'ville': '",""))-1),"")</f>
        <v>LE TAMPON</v>
      </c>
      <c r="G162" t="str">
        <f>IFERROR(LEFT(SUBSTITUTE(jason_converted!G162," 'tel': ",""),LEN(SUBSTITUTE(jason_converted!G162," 'tel': ",""))),"")</f>
        <v>'0692756941'</v>
      </c>
      <c r="H162" t="str">
        <f>IFERROR(LEFT(SUBSTITUTE(jason_converted!H162," 'lat': '",""),LEN(SUBSTITUTE(jason_converted!H162," 'lat': '",""))-1),"")</f>
        <v>-21.272422200000001</v>
      </c>
      <c r="I162" t="str">
        <f>IFERROR(LEFT(SUBSTITUTE(jason_converted!I162," 'lng': '",""),LEN(SUBSTITUTE(jason_converted!I162," 'lng': '",""))-1),"")</f>
        <v>55.521885275497226</v>
      </c>
      <c r="J162" t="str">
        <f>IFERROR(LEFT(SUBSTITUTE(jason_converted!J162," 'nomClub': '",""),LEN(SUBSTITUTE(jason_converted!J162," 'nomClub': '",""))-1),"")</f>
        <v>CH DU TAMPON</v>
      </c>
      <c r="K162" t="str">
        <f>IFERROR(LEFT(SUBSTITUTE(jason_converted!K162," 'nomCourtClub': '",""),LEN(SUBSTITUTE(jason_converted!K162," 'nomCourtClub': '",""))-1),"")</f>
        <v>CH DU TAMPON</v>
      </c>
      <c r="L162" t="str">
        <f>IFERROR("https://ffhaltero.fr/" &amp; LEFT(SUBSTITUTE(jason_converted!L162," 'url': '",""),LEN(SUBSTITUTE(jason_converted!L162," 'url': '",""))-1),"")</f>
        <v>https://ffhaltero.fr//pratiquer/ou-pratiquer/ou-pratiquer-fiche-club/25971138-ch-du-tampon'</v>
      </c>
    </row>
    <row r="163" spans="1:12" x14ac:dyDescent="0.25">
      <c r="A163" t="str">
        <f>IFERROR(SUBSTITUTE(jason_converted!A163,"{'id': ",""),"")</f>
        <v>263</v>
      </c>
      <c r="B163" t="str">
        <f>IFERROR(LEFT(SUBSTITUTE(jason_converted!B163," 'nom': '",""),LEN(SUBSTITUTE(jason_converted!B163," 'nom': '",""))-1),"")</f>
        <v>BLANC MESNIL SPORT HALTEROPHILIE MUSCULATION</v>
      </c>
      <c r="C163" t="str">
        <f>IFERROR(LEFT(SUBSTITUTE(jason_converted!C163," 'adresse1': '",""),LEN(SUBSTITUTE(jason_converted!C163," 'adresse1': '",""))-1),"")</f>
        <v>3 RUE ROBERT PLANQUETTE</v>
      </c>
      <c r="D163" t="str">
        <f>IFERROR(LEFT(SUBSTITUTE(jason_converted!D163," 'adresse2': '",""),LEN(SUBSTITUTE(jason_converted!D163," 'adresse2': '",""))-1),"")</f>
        <v>CHALET DU STADE BOGHOSSIAN</v>
      </c>
      <c r="E163" t="str">
        <f>IFERROR(LEFT(SUBSTITUTE(jason_converted!E163," 'codepostal': '",""),LEN(SUBSTITUTE(jason_converted!E163," 'codepostal': '",""))-1),"")</f>
        <v>93150</v>
      </c>
      <c r="F163" t="str">
        <f>IFERROR(LEFT(SUBSTITUTE(jason_converted!F163," 'ville': '",""),LEN(SUBSTITUTE(jason_converted!F163," 'ville': '",""))-1),"")</f>
        <v>LE BLANC-MESNIL</v>
      </c>
      <c r="G163" t="str">
        <f>IFERROR(LEFT(SUBSTITUTE(jason_converted!G163," 'tel': ",""),LEN(SUBSTITUTE(jason_converted!G163," 'tel': ",""))),"")</f>
        <v>'06.27.19.24.25'</v>
      </c>
      <c r="H163" t="str">
        <f>IFERROR(LEFT(SUBSTITUTE(jason_converted!H163," 'lat': '",""),LEN(SUBSTITUTE(jason_converted!H163," 'lat': '",""))-1),"")</f>
        <v>48.936875999999998</v>
      </c>
      <c r="I163" t="str">
        <f>IFERROR(LEFT(SUBSTITUTE(jason_converted!I163," 'lng': '",""),LEN(SUBSTITUTE(jason_converted!I163," 'lng': '",""))-1),"")</f>
        <v>2.466378000000000</v>
      </c>
      <c r="J163" t="str">
        <f>IFERROR(LEFT(SUBSTITUTE(jason_converted!J163," 'nomClub': '",""),LEN(SUBSTITUTE(jason_converted!J163," 'nomClub': '",""))-1),"")</f>
        <v>BLANC MESNIL SPORT HM</v>
      </c>
      <c r="K163" t="str">
        <f>IFERROR(LEFT(SUBSTITUTE(jason_converted!K163," 'nomCourtClub': '",""),LEN(SUBSTITUTE(jason_converted!K163," 'nomCourtClub': '",""))-1),"")</f>
        <v>BLANC MESNIL SPORT HM</v>
      </c>
      <c r="L163" t="str">
        <f>IFERROR("https://ffhaltero.fr/" &amp; LEFT(SUBSTITUTE(jason_converted!L163," 'url': '",""),LEN(SUBSTITUTE(jason_converted!L163," 'url': '",""))-1),"")</f>
        <v>https://ffhaltero.fr//pratiquer/ou-pratiquer/ou-pratiquer-fiche-club/21931026-blanc-mesnil-sport-hm'</v>
      </c>
    </row>
    <row r="164" spans="1:12" x14ac:dyDescent="0.25">
      <c r="A164" t="str">
        <f>IFERROR(SUBSTITUTE(jason_converted!A164,"{'id': ",""),"")</f>
        <v>264</v>
      </c>
      <c r="B164" t="str">
        <f>IFERROR(LEFT(SUBSTITUTE(jason_converted!B164," 'nom': '",""),LEN(SUBSTITUTE(jason_converted!B164," 'nom': '",""))-1),"")</f>
        <v>Gymnase Auguste Delaune</v>
      </c>
      <c r="C164" t="str">
        <f>IFERROR(LEFT(SUBSTITUTE(jason_converted!C164," 'adresse1': '",""),LEN(SUBSTITUTE(jason_converted!C164," 'adresse1': '",""))-1),"")</f>
        <v>RUE CHARLES LACOSTE</v>
      </c>
      <c r="D164" t="str">
        <f>IFERROR(LEFT(SUBSTITUTE(jason_converted!D164," 'adresse2': '",""),LEN(SUBSTITUTE(jason_converted!D164," 'adresse2': '",""))-1),"")</f>
        <v/>
      </c>
      <c r="E164" t="str">
        <f>IFERROR(LEFT(SUBSTITUTE(jason_converted!E164," 'codepostal': '",""),LEN(SUBSTITUTE(jason_converted!E164," 'codepostal': '",""))-1),"")</f>
        <v>92230</v>
      </c>
      <c r="F164" t="str">
        <f>IFERROR(LEFT(SUBSTITUTE(jason_converted!F164," 'ville': '",""),LEN(SUBSTITUTE(jason_converted!F164," 'ville': '",""))-1),"")</f>
        <v>GENNEVILLIERS</v>
      </c>
      <c r="G164" t="str">
        <f>IFERROR(LEFT(SUBSTITUTE(jason_converted!G164," 'tel': ",""),LEN(SUBSTITUTE(jason_converted!G164," 'tel': ",""))),"")</f>
        <v>'06.67.46.00.91'</v>
      </c>
      <c r="H164" t="str">
        <f>IFERROR(LEFT(SUBSTITUTE(jason_converted!H164," 'lat': '",""),LEN(SUBSTITUTE(jason_converted!H164," 'lat': '",""))-1),"")</f>
        <v>48.930734000000001</v>
      </c>
      <c r="I164" t="str">
        <f>IFERROR(LEFT(SUBSTITUTE(jason_converted!I164," 'lng': '",""),LEN(SUBSTITUTE(jason_converted!I164," 'lng': '",""))-1),"")</f>
        <v>2.302706000000000</v>
      </c>
      <c r="J164" t="str">
        <f>IFERROR(LEFT(SUBSTITUTE(jason_converted!J164," 'nomClub': '",""),LEN(SUBSTITUTE(jason_converted!J164," 'nomClub': '",""))-1),"")</f>
        <v>CSM GENNEVILLOIS HALTEROPHILIE</v>
      </c>
      <c r="K164" t="str">
        <f>IFERROR(LEFT(SUBSTITUTE(jason_converted!K164," 'nomCourtClub': '",""),LEN(SUBSTITUTE(jason_converted!K164," 'nomCourtClub': '",""))-1),"")</f>
        <v>CSM GENNEVILLOIS HALTEROPHILIE</v>
      </c>
      <c r="L164" t="str">
        <f>IFERROR("https://ffhaltero.fr/" &amp; LEFT(SUBSTITUTE(jason_converted!L164," 'url': '",""),LEN(SUBSTITUTE(jason_converted!L164," 'url': '",""))-1),"")</f>
        <v>https://ffhaltero.fr//pratiquer/ou-pratiquer/ou-pratiquer-fiche-club/21920198-csm-gennevillois-halterophilie'</v>
      </c>
    </row>
    <row r="165" spans="1:12" x14ac:dyDescent="0.25">
      <c r="A165" t="str">
        <f>IFERROR(SUBSTITUTE(jason_converted!A165,"{'id': ",""),"")</f>
        <v>266</v>
      </c>
      <c r="B165" t="str">
        <f>IFERROR(LEFT(SUBSTITUTE(jason_converted!B165," 'nom': '",""),LEN(SUBSTITUTE(jason_converted!B165," 'nom': '",""))-1),"")</f>
        <v>L’Atelier CrossFit</v>
      </c>
      <c r="C165" t="str">
        <f>IFERROR(LEFT(SUBSTITUTE(jason_converted!C165," 'adresse1': '",""),LEN(SUBSTITUTE(jason_converted!C165," 'adresse1': '",""))-1),"")</f>
        <v>8 IMPASSE FRANÇOIS ARAGO</v>
      </c>
      <c r="D165" t="str">
        <f>IFERROR(LEFT(SUBSTITUTE(jason_converted!D165," 'adresse2': '",""),LEN(SUBSTITUTE(jason_converted!D165," 'adresse2': '",""))-1),"")</f>
        <v/>
      </c>
      <c r="E165" t="str">
        <f>IFERROR(LEFT(SUBSTITUTE(jason_converted!E165," 'codepostal': '",""),LEN(SUBSTITUTE(jason_converted!E165," 'codepostal': '",""))-1),"")</f>
        <v>81100</v>
      </c>
      <c r="F165" t="str">
        <f>IFERROR(LEFT(SUBSTITUTE(jason_converted!F165," 'ville': '",""),LEN(SUBSTITUTE(jason_converted!F165," 'ville': '",""))-1),"")</f>
        <v>BOISSEZON</v>
      </c>
      <c r="G165" t="str">
        <f>IFERROR(LEFT(SUBSTITUTE(jason_converted!G165," 'tel': ",""),LEN(SUBSTITUTE(jason_converted!G165," 'tel': ",""))),"")</f>
        <v>'0983915781'</v>
      </c>
      <c r="H165" t="str">
        <f>IFERROR(LEFT(SUBSTITUTE(jason_converted!H165," 'lat': '",""),LEN(SUBSTITUTE(jason_converted!H165," 'lat': '",""))-1),"")</f>
        <v>43.588352321682322</v>
      </c>
      <c r="I165" t="str">
        <f>IFERROR(LEFT(SUBSTITUTE(jason_converted!I165," 'lng': '",""),LEN(SUBSTITUTE(jason_converted!I165," 'lng': '",""))-1),"")</f>
        <v>2.214646750166378</v>
      </c>
      <c r="J165" t="str">
        <f>IFERROR(LEFT(SUBSTITUTE(jason_converted!J165," 'nomClub': '",""),LEN(SUBSTITUTE(jason_converted!J165," 'nomClub': '",""))-1),"")</f>
        <v>CASTRES HALTERO CLUB</v>
      </c>
      <c r="K165" t="str">
        <f>IFERROR(LEFT(SUBSTITUTE(jason_converted!K165," 'nomCourtClub': '",""),LEN(SUBSTITUTE(jason_converted!K165," 'nomCourtClub': '",""))-1),"")</f>
        <v>CASTRES HALTERO CLUB</v>
      </c>
      <c r="L165" t="str">
        <f>IFERROR("https://ffhaltero.fr/" &amp; LEFT(SUBSTITUTE(jason_converted!L165," 'url': '",""),LEN(SUBSTITUTE(jason_converted!L165," 'url': '",""))-1),"")</f>
        <v>https://ffhaltero.fr//pratiquer/ou-pratiquer/ou-pratiquer-fiche-club/339860028-castres-haltero-club'</v>
      </c>
    </row>
    <row r="166" spans="1:12" x14ac:dyDescent="0.25">
      <c r="A166" t="str">
        <f>IFERROR(SUBSTITUTE(jason_converted!A166,"{'id': ",""),"")</f>
        <v>268</v>
      </c>
      <c r="B166" t="str">
        <f>IFERROR(LEFT(SUBSTITUTE(jason_converted!B166," 'nom': '",""),LEN(SUBSTITUTE(jason_converted!B166," 'nom': '",""))-1),"")</f>
        <v>L-R CrossFit</v>
      </c>
      <c r="C166" t="str">
        <f>IFERROR(LEFT(SUBSTITUTE(jason_converted!C166," 'adresse1': '",""),LEN(SUBSTITUTE(jason_converted!C166," 'adresse1': '",""))-1),"")</f>
        <v>26 BIS AVENUE DE LA FEUILLADE</v>
      </c>
      <c r="D166" t="str">
        <f>IFERROR(LEFT(SUBSTITUTE(jason_converted!D166," 'adresse2': '",""),LEN(SUBSTITUTE(jason_converted!D166," 'adresse2': '",""))-1),"")</f>
        <v/>
      </c>
      <c r="E166" t="str">
        <f>IFERROR(LEFT(SUBSTITUTE(jason_converted!E166," 'codepostal': '",""),LEN(SUBSTITUTE(jason_converted!E166," 'codepostal': '",""))-1),"")</f>
        <v>26200</v>
      </c>
      <c r="F166" t="str">
        <f>IFERROR(LEFT(SUBSTITUTE(jason_converted!F166," 'ville': '",""),LEN(SUBSTITUTE(jason_converted!F166," 'ville': '",""))-1),"")</f>
        <v>MONTÉLIMAR</v>
      </c>
      <c r="G166" t="str">
        <f>IFERROR(LEFT(SUBSTITUTE(jason_converted!G166," 'tel': ",""),LEN(SUBSTITUTE(jason_converted!G166," 'tel': ",""))),"")</f>
        <v>'0678654593'</v>
      </c>
      <c r="H166" t="str">
        <f>IFERROR(LEFT(SUBSTITUTE(jason_converted!H166," 'lat': '",""),LEN(SUBSTITUTE(jason_converted!H166," 'lat': '",""))-1),"")</f>
        <v>44.575888999999997</v>
      </c>
      <c r="I166" t="str">
        <f>IFERROR(LEFT(SUBSTITUTE(jason_converted!I166," 'lng': '",""),LEN(SUBSTITUTE(jason_converted!I166," 'lng': '",""))-1),"")</f>
        <v>4.749025000000000</v>
      </c>
      <c r="J166" t="str">
        <f>IFERROR(LEFT(SUBSTITUTE(jason_converted!J166," 'nomClub': '",""),LEN(SUBSTITUTE(jason_converted!J166," 'nomClub': '",""))-1),"")</f>
        <v>HALTERO CLUB MONTILIEN</v>
      </c>
      <c r="K166" t="str">
        <f>IFERROR(LEFT(SUBSTITUTE(jason_converted!K166," 'nomCourtClub': '",""),LEN(SUBSTITUTE(jason_converted!K166," 'nomCourtClub': '",""))-1),"")</f>
        <v>HALTERO CLUB MONTILIEN</v>
      </c>
      <c r="L166" t="str">
        <f>IFERROR("https://ffhaltero.fr/" &amp; LEFT(SUBSTITUTE(jason_converted!L166," 'url': '",""),LEN(SUBSTITUTE(jason_converted!L166," 'url': '",""))-1),"")</f>
        <v>https://ffhaltero.fr//pratiquer/ou-pratiquer/ou-pratiquer-fiche-club/01260006-haltero-club-montilien'</v>
      </c>
    </row>
    <row r="167" spans="1:12" x14ac:dyDescent="0.25">
      <c r="A167" t="str">
        <f>IFERROR(SUBSTITUTE(jason_converted!A167,"{'id': ",""),"")</f>
        <v>269</v>
      </c>
      <c r="B167" t="str">
        <f>IFERROR(LEFT(SUBSTITUTE(jason_converted!B167," 'nom': '",""),LEN(SUBSTITUTE(jason_converted!B167," 'nom': '",""))-1),"")</f>
        <v>nicolas cayron</v>
      </c>
      <c r="C167" t="str">
        <f>IFERROR(LEFT(SUBSTITUTE(jason_converted!C167," 'adresse1': '",""),LEN(SUBSTITUTE(jason_converted!C167," 'adresse1': '",""))-1),"")</f>
        <v>2 RUE LADISLAS BARA</v>
      </c>
      <c r="D167" t="str">
        <f>IFERROR(LEFT(SUBSTITUTE(jason_converted!D167," 'adresse2': '",""),LEN(SUBSTITUTE(jason_converted!D167," 'adresse2': '",""))-1),"")</f>
        <v>2 RUE LADISLAS BARA</v>
      </c>
      <c r="E167" t="str">
        <f>IFERROR(LEFT(SUBSTITUTE(jason_converted!E167," 'codepostal': '",""),LEN(SUBSTITUTE(jason_converted!E167," 'codepostal': '",""))-1),"")</f>
        <v>78490</v>
      </c>
      <c r="F167" t="str">
        <f>IFERROR(LEFT(SUBSTITUTE(jason_converted!F167," 'ville': '",""),LEN(SUBSTITUTE(jason_converted!F167," 'ville': '",""))-1),"")</f>
        <v>BAZOCHES-SUR-GUYONNE</v>
      </c>
      <c r="G167" t="str">
        <f>IFERROR(LEFT(SUBSTITUTE(jason_converted!G167," 'tel': ",""),LEN(SUBSTITUTE(jason_converted!G167," 'tel': ",""))),"")</f>
        <v>'0633552909'</v>
      </c>
      <c r="H167" t="str">
        <f>IFERROR(LEFT(SUBSTITUTE(jason_converted!H167," 'lat': '",""),LEN(SUBSTITUTE(jason_converted!H167," 'lat': '",""))-1),"")</f>
        <v>48.804185500000003</v>
      </c>
      <c r="I167" t="str">
        <f>IFERROR(LEFT(SUBSTITUTE(jason_converted!I167," 'lng': '",""),LEN(SUBSTITUTE(jason_converted!I167," 'lng': '",""))-1),"")</f>
        <v>1.818056400000000</v>
      </c>
      <c r="J167" t="str">
        <f>IFERROR(LEFT(SUBSTITUTE(jason_converted!J167," 'nomClub': '",""),LEN(SUBSTITUTE(jason_converted!J167," 'nomClub': '",""))-1),"")</f>
        <v>LES REQUINS SCY78</v>
      </c>
      <c r="K167" t="str">
        <f>IFERROR(LEFT(SUBSTITUTE(jason_converted!K167," 'nomCourtClub': '",""),LEN(SUBSTITUTE(jason_converted!K167," 'nomCourtClub': '",""))-1),"")</f>
        <v>LES REQUINS SCY78</v>
      </c>
      <c r="L167" t="str">
        <f>IFERROR("https://ffhaltero.fr/" &amp; LEFT(SUBSTITUTE(jason_converted!L167," 'url': '",""),LEN(SUBSTITUTE(jason_converted!L167," 'url': '",""))-1),"")</f>
        <v>https://ffhaltero.fr//pratiquer/ou-pratiquer/ou-pratiquer-fiche-club/339860059-les-requins-scy78'</v>
      </c>
    </row>
    <row r="168" spans="1:12" x14ac:dyDescent="0.25">
      <c r="A168" t="str">
        <f>IFERROR(SUBSTITUTE(jason_converted!A168,"{'id': ",""),"")</f>
        <v>271</v>
      </c>
      <c r="B168" t="str">
        <f>IFERROR(LEFT(SUBSTITUTE(jason_converted!B168," 'nom': '",""),LEN(SUBSTITUTE(jason_converted!B168," 'nom': '",""))-1),"")</f>
        <v>CROSSFIT EVREUX</v>
      </c>
      <c r="C168" t="str">
        <f>IFERROR(LEFT(SUBSTITUTE(jason_converted!C168," 'adresse1': '",""),LEN(SUBSTITUTE(jason_converted!C168," 'adresse1': '",""))-1),"")</f>
        <v>251 RUE NUNGESSER ET COLI</v>
      </c>
      <c r="D168" t="str">
        <f>IFERROR(LEFT(SUBSTITUTE(jason_converted!D168," 'adresse2': '",""),LEN(SUBSTITUTE(jason_converted!D168," 'adresse2': '",""))-1),"")</f>
        <v/>
      </c>
      <c r="E168" t="str">
        <f>IFERROR(LEFT(SUBSTITUTE(jason_converted!E168," 'codepostal': '",""),LEN(SUBSTITUTE(jason_converted!E168," 'codepostal': '",""))-1),"")</f>
        <v>27930</v>
      </c>
      <c r="F168" t="str">
        <f>IFERROR(LEFT(SUBSTITUTE(jason_converted!F168," 'ville': '",""),LEN(SUBSTITUTE(jason_converted!F168," 'ville': '",""))-1),"")</f>
        <v>GUICHAINVILLE</v>
      </c>
      <c r="G168" t="str">
        <f>IFERROR(LEFT(SUBSTITUTE(jason_converted!G168," 'tel': ",""),LEN(SUBSTITUTE(jason_converted!G168," 'tel': ",""))),"")</f>
        <v>'0778191528'</v>
      </c>
      <c r="H168" t="str">
        <f>IFERROR(LEFT(SUBSTITUTE(jason_converted!H168," 'lat': '",""),LEN(SUBSTITUTE(jason_converted!H168," 'lat': '",""))-1),"")</f>
        <v>49.001654000000002</v>
      </c>
      <c r="I168" t="str">
        <f>IFERROR(LEFT(SUBSTITUTE(jason_converted!I168," 'lng': '",""),LEN(SUBSTITUTE(jason_converted!I168," 'lng': '",""))-1),"")</f>
        <v>1.182591000000000</v>
      </c>
      <c r="J168" t="str">
        <f>IFERROR(LEFT(SUBSTITUTE(jason_converted!J168," 'nomClub': '",""),LEN(SUBSTITUTE(jason_converted!J168," 'nomClub': '",""))-1),"")</f>
        <v>EVREUX FITNESS CLUB</v>
      </c>
      <c r="K168" t="str">
        <f>IFERROR(LEFT(SUBSTITUTE(jason_converted!K168," 'nomCourtClub': '",""),LEN(SUBSTITUTE(jason_converted!K168," 'nomCourtClub': '",""))-1),"")</f>
        <v>EFC</v>
      </c>
      <c r="L168" t="str">
        <f>IFERROR("https://ffhaltero.fr/" &amp; LEFT(SUBSTITUTE(jason_converted!L168," 'url': '",""),LEN(SUBSTITUTE(jason_converted!L168," 'url': '",""))-1),"")</f>
        <v>https://ffhaltero.fr//pratiquer/ou-pratiquer/ou-pratiquer-fiche-club/339860060-evreux-fitness-club'</v>
      </c>
    </row>
    <row r="169" spans="1:12" x14ac:dyDescent="0.25">
      <c r="A169" t="str">
        <f>IFERROR(SUBSTITUTE(jason_converted!A169,"{'id': ",""),"")</f>
        <v>272</v>
      </c>
      <c r="B169" t="str">
        <f>IFERROR(LEFT(SUBSTITUTE(jason_converted!B169," 'nom': '",""),LEN(SUBSTITUTE(jason_converted!B169," 'nom': '",""))-1),"")</f>
        <v>VERTUOSE CLUB</v>
      </c>
      <c r="C169" t="str">
        <f>IFERROR(LEFT(SUBSTITUTE(jason_converted!C169," 'adresse1': '",""),LEN(SUBSTITUTE(jason_converted!C169," 'adresse1': '",""))-1),"")</f>
        <v>36 RUE BERJON</v>
      </c>
      <c r="D169" t="str">
        <f>IFERROR(LEFT(SUBSTITUTE(jason_converted!D169," 'adresse2': '",""),LEN(SUBSTITUTE(jason_converted!D169," 'adresse2': '",""))-1),"")</f>
        <v/>
      </c>
      <c r="E169" t="str">
        <f>IFERROR(LEFT(SUBSTITUTE(jason_converted!E169," 'codepostal': '",""),LEN(SUBSTITUTE(jason_converted!E169," 'codepostal': '",""))-1),"")</f>
        <v>69009</v>
      </c>
      <c r="F169" t="str">
        <f>IFERROR(LEFT(SUBSTITUTE(jason_converted!F169," 'ville': '",""),LEN(SUBSTITUTE(jason_converted!F169," 'ville': '",""))-1),"")</f>
        <v>LYON</v>
      </c>
      <c r="G169" t="str">
        <f>IFERROR(LEFT(SUBSTITUTE(jason_converted!G169," 'tel': ",""),LEN(SUBSTITUTE(jason_converted!G169," 'tel': ",""))),"")</f>
        <v>None</v>
      </c>
      <c r="H169" t="str">
        <f>IFERROR(LEFT(SUBSTITUTE(jason_converted!H169," 'lat': '",""),LEN(SUBSTITUTE(jason_converted!H169," 'lat': '",""))-1),"")</f>
        <v>45.776586999999999</v>
      </c>
      <c r="I169" t="str">
        <f>IFERROR(LEFT(SUBSTITUTE(jason_converted!I169," 'lng': '",""),LEN(SUBSTITUTE(jason_converted!I169," 'lng': '",""))-1),"")</f>
        <v>4.797707000000000</v>
      </c>
      <c r="J169" t="str">
        <f>IFERROR(LEFT(SUBSTITUTE(jason_converted!J169," 'nomClub': '",""),LEN(SUBSTITUTE(jason_converted!J169," 'nomClub': '",""))-1),"")</f>
        <v>VERTUOSE CLUB</v>
      </c>
      <c r="K169" t="str">
        <f>IFERROR(LEFT(SUBSTITUTE(jason_converted!K169," 'nomCourtClub': '",""),LEN(SUBSTITUTE(jason_converted!K169," 'nomCourtClub': '",""))-1),"")</f>
        <v>VERTUOSE CLUB</v>
      </c>
      <c r="L169" t="str">
        <f>IFERROR("https://ffhaltero.fr/" &amp; LEFT(SUBSTITUTE(jason_converted!L169," 'url': '",""),LEN(SUBSTITUTE(jason_converted!L169," 'url': '",""))-1),"")</f>
        <v>https://ffhaltero.fr//pratiquer/ou-pratiquer/ou-pratiquer-fiche-club/01690006-vertuose-club'</v>
      </c>
    </row>
    <row r="170" spans="1:12" x14ac:dyDescent="0.25">
      <c r="A170" t="str">
        <f>IFERROR(SUBSTITUTE(jason_converted!A170,"{'id': ",""),"")</f>
        <v>260</v>
      </c>
      <c r="B170" t="str">
        <f>IFERROR(LEFT(SUBSTITUTE(jason_converted!B170," 'nom': '",""),LEN(SUBSTITUTE(jason_converted!B170," 'nom': '",""))-1),"")</f>
        <v>SAINT GERVAIS SUR COUCHES</v>
      </c>
      <c r="C170" t="str">
        <f>IFERROR(LEFT(SUBSTITUTE(jason_converted!C170," 'adresse1': '",""),LEN(SUBSTITUTE(jason_converted!C170," 'adresse1': '",""))-1),"")</f>
        <v xml:space="preserve"> 2</v>
      </c>
      <c r="D170" t="str">
        <f>IFERROR(LEFT(SUBSTITUTE(jason_converted!D170," 'adresse2': '",""),LEN(SUBSTITUTE(jason_converted!D170," 'adresse2': '",""))-1),"")</f>
        <v>CHEMIN DE CHAZEAU</v>
      </c>
      <c r="E170" t="str">
        <f>IFERROR(LEFT(SUBSTITUTE(jason_converted!E170," 'codepostal': '",""),LEN(SUBSTITUTE(jason_converted!E170," 'codepostal': '",""))-1),"")</f>
        <v xml:space="preserve"> 'adresse2': '</v>
      </c>
      <c r="F170" t="str">
        <f>IFERROR(LEFT(SUBSTITUTE(jason_converted!F170," 'ville': '",""),LEN(SUBSTITUTE(jason_converted!F170," 'ville': '",""))-1),"")</f>
        <v xml:space="preserve"> 'codepostal': '71490</v>
      </c>
      <c r="G170" t="str">
        <f>IFERROR(LEFT(SUBSTITUTE(jason_converted!G170," 'tel': ",""),LEN(SUBSTITUTE(jason_converted!G170," 'tel': ",""))),"")</f>
        <v xml:space="preserve"> 'ville': 'SAINT-GERVAIS-SUR-COUCHES'</v>
      </c>
      <c r="H170" t="str">
        <f>IFERROR(LEFT(SUBSTITUTE(jason_converted!H170," 'lat': '",""),LEN(SUBSTITUTE(jason_converted!H170," 'lat': '",""))-1),"")</f>
        <v xml:space="preserve"> 'tel': Non</v>
      </c>
      <c r="I170" t="str">
        <f>IFERROR(LEFT(SUBSTITUTE(jason_converted!I170," 'lng': '",""),LEN(SUBSTITUTE(jason_converted!I170," 'lng': '",""))-1),"")</f>
        <v xml:space="preserve"> 'lat': '100000.000000000000000</v>
      </c>
      <c r="J170" t="str">
        <f>IFERROR(LEFT(SUBSTITUTE(jason_converted!J170," 'nomClub': '",""),LEN(SUBSTITUTE(jason_converted!J170," 'nomClub': '",""))-1),"")</f>
        <v xml:space="preserve"> 'lng': '100000.000000000000000</v>
      </c>
      <c r="K170" t="str">
        <f>IFERROR(LEFT(SUBSTITUTE(jason_converted!K170," 'nomCourtClub': '",""),LEN(SUBSTITUTE(jason_converted!K170," 'nomCourtClub': '",""))-1),"")</f>
        <v xml:space="preserve"> 'nomClub': 'ASO DU MONT DE REME</v>
      </c>
      <c r="L170" t="str">
        <f>IFERROR("https://ffhaltero.fr/" &amp; LEFT(SUBSTITUTE(jason_converted!L170," 'url': '",""),LEN(SUBSTITUTE(jason_converted!L170," 'url': '",""))-1),"")</f>
        <v>https://ffhaltero.fr/ 'nomCourtClub': 'ASO DU MONT DE REME</v>
      </c>
    </row>
    <row r="171" spans="1:12" x14ac:dyDescent="0.25">
      <c r="A171" t="str">
        <f>IFERROR(SUBSTITUTE(jason_converted!A171,"{'id': ",""),"")</f>
        <v>273</v>
      </c>
      <c r="B171" t="str">
        <f>IFERROR(LEFT(SUBSTITUTE(jason_converted!B171," 'nom': '",""),LEN(SUBSTITUTE(jason_converted!B171," 'nom': '",""))-1),"")</f>
        <v>club halterophilie musculation</v>
      </c>
      <c r="C171" t="str">
        <f>IFERROR(LEFT(SUBSTITUTE(jason_converted!C171," 'adresse1': '",""),LEN(SUBSTITUTE(jason_converted!C171," 'adresse1': '",""))-1),"")</f>
        <v>AVENUE DU GÉNÉRAL DE GAULLE</v>
      </c>
      <c r="D171" t="str">
        <f>IFERROR(LEFT(SUBSTITUTE(jason_converted!D171," 'adresse2': '",""),LEN(SUBSTITUTE(jason_converted!D171," 'adresse2': '",""))-1),"")</f>
        <v/>
      </c>
      <c r="E171" t="str">
        <f>IFERROR(LEFT(SUBSTITUTE(jason_converted!E171," 'codepostal': '",""),LEN(SUBSTITUTE(jason_converted!E171," 'codepostal': '",""))-1),"")</f>
        <v>26700</v>
      </c>
      <c r="F171" t="str">
        <f>IFERROR(LEFT(SUBSTITUTE(jason_converted!F171," 'ville': '",""),LEN(SUBSTITUTE(jason_converted!F171," 'ville': '",""))-1),"")</f>
        <v>LA GARDE-ADHÉMAR</v>
      </c>
      <c r="G171" t="str">
        <f>IFERROR(LEFT(SUBSTITUTE(jason_converted!G171," 'tel': ",""),LEN(SUBSTITUTE(jason_converted!G171," 'tel': ",""))),"")</f>
        <v>'04.75.04.23.12'</v>
      </c>
      <c r="H171" t="str">
        <f>IFERROR(LEFT(SUBSTITUTE(jason_converted!H171," 'lat': '",""),LEN(SUBSTITUTE(jason_converted!H171," 'lat': '",""))-1),"")</f>
        <v>44.368784099999999</v>
      </c>
      <c r="I171" t="str">
        <f>IFERROR(LEFT(SUBSTITUTE(jason_converted!I171," 'lng': '",""),LEN(SUBSTITUTE(jason_converted!I171," 'lng': '",""))-1),"")</f>
        <v>4.696162056904118</v>
      </c>
      <c r="J171" t="str">
        <f>IFERROR(LEFT(SUBSTITUTE(jason_converted!J171," 'nomClub': '",""),LEN(SUBSTITUTE(jason_converted!J171," 'nomClub': '",""))-1),"")</f>
        <v>HC PIERRELATTE</v>
      </c>
      <c r="K171" t="str">
        <f>IFERROR(LEFT(SUBSTITUTE(jason_converted!K171," 'nomCourtClub': '",""),LEN(SUBSTITUTE(jason_converted!K171," 'nomCourtClub': '",""))-1),"")</f>
        <v>HC PIERRELATTE</v>
      </c>
      <c r="L171" t="str">
        <f>IFERROR("https://ffhaltero.fr/" &amp; LEFT(SUBSTITUTE(jason_converted!L171," 'url': '",""),LEN(SUBSTITUTE(jason_converted!L171," 'url': '",""))-1),"")</f>
        <v>https://ffhaltero.fr//pratiquer/ou-pratiquer/ou-pratiquer-fiche-club/22260137-hc-pierrelatte'</v>
      </c>
    </row>
    <row r="172" spans="1:12" x14ac:dyDescent="0.25">
      <c r="A172" t="str">
        <f>IFERROR(SUBSTITUTE(jason_converted!A172,"{'id': ",""),"")</f>
        <v>274</v>
      </c>
      <c r="B172" t="str">
        <f>IFERROR(LEFT(SUBSTITUTE(jason_converted!B172," 'nom': '",""),LEN(SUBSTITUTE(jason_converted!B172," 'nom': '",""))-1),"")</f>
        <v>Crossfit Blackpearl</v>
      </c>
      <c r="C172" t="str">
        <f>IFERROR(LEFT(SUBSTITUTE(jason_converted!C172," 'adresse1': '",""),LEN(SUBSTITUTE(jason_converted!C172," 'adresse1': '",""))-1),"")</f>
        <v>953 AVENUE DE BORDEAUX</v>
      </c>
      <c r="D172" t="str">
        <f>IFERROR(LEFT(SUBSTITUTE(jason_converted!D172," 'adresse2': '",""),LEN(SUBSTITUTE(jason_converted!D172," 'adresse2': '",""))-1),"")</f>
        <v/>
      </c>
      <c r="E172" t="str">
        <f>IFERROR(LEFT(SUBSTITUTE(jason_converted!E172," 'codepostal': '",""),LEN(SUBSTITUTE(jason_converted!E172," 'codepostal': '",""))-1),"")</f>
        <v>47300</v>
      </c>
      <c r="F172" t="str">
        <f>IFERROR(LEFT(SUBSTITUTE(jason_converted!F172," 'ville': '",""),LEN(SUBSTITUTE(jason_converted!F172," 'ville': '",""))-1),"")</f>
        <v>BIAS</v>
      </c>
      <c r="G172" t="str">
        <f>IFERROR(LEFT(SUBSTITUTE(jason_converted!G172," 'tel': ",""),LEN(SUBSTITUTE(jason_converted!G172," 'tel': ",""))),"")</f>
        <v>None</v>
      </c>
      <c r="H172" t="str">
        <f>IFERROR(LEFT(SUBSTITUTE(jason_converted!H172," 'lat': '",""),LEN(SUBSTITUTE(jason_converted!H172," 'lat': '",""))-1),"")</f>
        <v>44.402955214676744</v>
      </c>
      <c r="I172" t="str">
        <f>IFERROR(LEFT(SUBSTITUTE(jason_converted!I172," 'lng': '",""),LEN(SUBSTITUTE(jason_converted!I172," 'lng': '",""))-1),"")</f>
        <v>0.678883194923401</v>
      </c>
      <c r="J172" t="str">
        <f>IFERROR(LEFT(SUBSTITUTE(jason_converted!J172," 'nomClub': '",""),LEN(SUBSTITUTE(jason_converted!J172," 'nomClub': '",""))-1),"")</f>
        <v>CROSSFIT BLACK PEARL</v>
      </c>
      <c r="K172" t="str">
        <f>IFERROR(LEFT(SUBSTITUTE(jason_converted!K172," 'nomCourtClub': '",""),LEN(SUBSTITUTE(jason_converted!K172," 'nomCourtClub': '",""))-1),"")</f>
        <v>CROSSFIT BLACK PEARL</v>
      </c>
      <c r="L172" t="str">
        <f>IFERROR("https://ffhaltero.fr/" &amp; LEFT(SUBSTITUTE(jason_converted!L172," 'url': '",""),LEN(SUBSTITUTE(jason_converted!L172," 'url': '",""))-1),"")</f>
        <v>https://ffhaltero.fr//pratiquer/ou-pratiquer/ou-pratiquer-fiche-club/14470003-crossfit-black-pearl'</v>
      </c>
    </row>
    <row r="173" spans="1:12" x14ac:dyDescent="0.25">
      <c r="A173" t="str">
        <f>IFERROR(SUBSTITUTE(jason_converted!A173,"{'id': ",""),"")</f>
        <v>275</v>
      </c>
      <c r="B173" t="str">
        <f>IFERROR(LEFT(SUBSTITUTE(jason_converted!B173," 'nom': '",""),LEN(SUBSTITUTE(jason_converted!B173," 'nom': '",""))-1),"")</f>
        <v>Crossfit CP95</v>
      </c>
      <c r="C173" t="str">
        <f>IFERROR(LEFT(SUBSTITUTE(jason_converted!C173," 'adresse1': '",""),LEN(SUBSTITUTE(jason_converted!C173," 'adresse1': '",""))-1),"")</f>
        <v>9 CHAUSSEE JULES CESAR</v>
      </c>
      <c r="D173" t="str">
        <f>IFERROR(LEFT(SUBSTITUTE(jason_converted!D173," 'adresse2': '",""),LEN(SUBSTITUTE(jason_converted!D173," 'adresse2': '",""))-1),"")</f>
        <v/>
      </c>
      <c r="E173" t="str">
        <f>IFERROR(LEFT(SUBSTITUTE(jason_converted!E173," 'codepostal': '",""),LEN(SUBSTITUTE(jason_converted!E173," 'codepostal': '",""))-1),"")</f>
        <v>95520</v>
      </c>
      <c r="F173" t="str">
        <f>IFERROR(LEFT(SUBSTITUTE(jason_converted!F173," 'ville': '",""),LEN(SUBSTITUTE(jason_converted!F173," 'ville': '",""))-1),"")</f>
        <v>OSNY</v>
      </c>
      <c r="G173" t="str">
        <f>IFERROR(LEFT(SUBSTITUTE(jason_converted!G173," 'tel': ",""),LEN(SUBSTITUTE(jason_converted!G173," 'tel': ",""))),"")</f>
        <v>'0769648102'</v>
      </c>
      <c r="H173" t="str">
        <f>IFERROR(LEFT(SUBSTITUTE(jason_converted!H173," 'lat': '",""),LEN(SUBSTITUTE(jason_converted!H173," 'lat': '",""))-1),"")</f>
        <v>49.051136000000000</v>
      </c>
      <c r="I173" t="str">
        <f>IFERROR(LEFT(SUBSTITUTE(jason_converted!I173," 'lng': '",""),LEN(SUBSTITUTE(jason_converted!I173," 'lng': '",""))-1),"")</f>
        <v>2.068966000000000</v>
      </c>
      <c r="J173" t="str">
        <f>IFERROR(LEFT(SUBSTITUTE(jason_converted!J173," 'nomClub': '",""),LEN(SUBSTITUTE(jason_converted!J173," 'nomClub': '",""))-1),"")</f>
        <v>HFC CP95 CERGY</v>
      </c>
      <c r="K173" t="str">
        <f>IFERROR(LEFT(SUBSTITUTE(jason_converted!K173," 'nomCourtClub': '",""),LEN(SUBSTITUTE(jason_converted!K173," 'nomCourtClub': '",""))-1),"")</f>
        <v>HFC CP95 CERGY</v>
      </c>
      <c r="L173" t="str">
        <f>IFERROR("https://ffhaltero.fr/" &amp; LEFT(SUBSTITUTE(jason_converted!L173," 'url': '",""),LEN(SUBSTITUTE(jason_converted!L173," 'url': '",""))-1),"")</f>
        <v>https://ffhaltero.fr//pratiquer/ou-pratiquer/ou-pratiquer-fiche-club/21951277-hfc-cp95-cergy'</v>
      </c>
    </row>
    <row r="174" spans="1:12" x14ac:dyDescent="0.25">
      <c r="A174" t="str">
        <f>IFERROR(SUBSTITUTE(jason_converted!A174,"{'id': ",""),"")</f>
        <v>278</v>
      </c>
      <c r="B174" t="str">
        <f>IFERROR(LEFT(SUBSTITUTE(jason_converted!B174," 'nom': '",""),LEN(SUBSTITUTE(jason_converted!B174," 'nom': '",""))-1),"")</f>
        <v>TROUDET</v>
      </c>
      <c r="C174" t="str">
        <f>IFERROR(LEFT(SUBSTITUTE(jason_converted!C174," 'adresse1': '",""),LEN(SUBSTITUTE(jason_converted!C174," 'adresse1': '",""))-1),"")</f>
        <v>29 RUE DE FLORANGES</v>
      </c>
      <c r="D174" t="str">
        <f>IFERROR(LEFT(SUBSTITUTE(jason_converted!D174," 'adresse2': '",""),LEN(SUBSTITUTE(jason_converted!D174," 'adresse2': '",""))-1),"")</f>
        <v/>
      </c>
      <c r="E174" t="str">
        <f>IFERROR(LEFT(SUBSTITUTE(jason_converted!E174," 'codepostal': '",""),LEN(SUBSTITUTE(jason_converted!E174," 'codepostal': '",""))-1),"")</f>
        <v>56330</v>
      </c>
      <c r="F174" t="str">
        <f>IFERROR(LEFT(SUBSTITUTE(jason_converted!F174," 'ville': '",""),LEN(SUBSTITUTE(jason_converted!F174," 'ville': '",""))-1),"")</f>
        <v>PLUVIGNER</v>
      </c>
      <c r="G174" t="str">
        <f>IFERROR(LEFT(SUBSTITUTE(jason_converted!G174," 'tel': ",""),LEN(SUBSTITUTE(jason_converted!G174," 'tel': ",""))),"")</f>
        <v>None</v>
      </c>
      <c r="H174" t="str">
        <f>IFERROR(LEFT(SUBSTITUTE(jason_converted!H174," 'lat': '",""),LEN(SUBSTITUTE(jason_converted!H174," 'lat': '",""))-1),"")</f>
        <v>47.805495000000001</v>
      </c>
      <c r="I174" t="str">
        <f>IFERROR(LEFT(SUBSTITUTE(jason_converted!I174," 'lng': '",""),LEN(SUBSTITUTE(jason_converted!I174," 'lng': '",""))-1),"")</f>
        <v>-2.939101000000000</v>
      </c>
      <c r="J174" t="str">
        <f>IFERROR(LEFT(SUBSTITUTE(jason_converted!J174," 'nomClub': '",""),LEN(SUBSTITUTE(jason_converted!J174," 'nomClub': '",""))-1),"")</f>
        <v>BHM2S</v>
      </c>
      <c r="K174" t="str">
        <f>IFERROR(LEFT(SUBSTITUTE(jason_converted!K174," 'nomCourtClub': '",""),LEN(SUBSTITUTE(jason_converted!K174," 'nomCourtClub': '",""))-1),"")</f>
        <v>BHM2S</v>
      </c>
      <c r="L174" t="str">
        <f>IFERROR("https://ffhaltero.fr/" &amp; LEFT(SUBSTITUTE(jason_converted!L174," 'url': '",""),LEN(SUBSTITUTE(jason_converted!L174," 'url': '",""))-1),"")</f>
        <v>https://ffhaltero.fr//pratiquer/ou-pratiquer/ou-pratiquer-fiche-club/03560003-bhm2s'</v>
      </c>
    </row>
    <row r="175" spans="1:12" x14ac:dyDescent="0.25">
      <c r="A175" t="str">
        <f>IFERROR(SUBSTITUTE(jason_converted!A175,"{'id': ",""),"")</f>
        <v>279</v>
      </c>
      <c r="B175" t="str">
        <f>IFERROR(LEFT(SUBSTITUTE(jason_converted!B175," 'nom': '",""),LEN(SUBSTITUTE(jason_converted!B175," 'nom': '",""))-1),"")</f>
        <v>salle vtf85</v>
      </c>
      <c r="C175" t="str">
        <f>IFERROR(LEFT(SUBSTITUTE(jason_converted!C175," 'adresse1': '",""),LEN(SUBSTITUTE(jason_converted!C175," 'adresse1': '",""))-1),"")</f>
        <v>ALLEE DE L RUE DU 19 MARS 1962</v>
      </c>
      <c r="D175" t="str">
        <f>IFERROR(LEFT(SUBSTITUTE(jason_converted!D175," 'adresse2': '",""),LEN(SUBSTITUTE(jason_converted!D175," 'adresse2': '",""))-1),"")</f>
        <v/>
      </c>
      <c r="E175" t="str">
        <f>IFERROR(LEFT(SUBSTITUTE(jason_converted!E175," 'codepostal': '",""),LEN(SUBSTITUTE(jason_converted!E175," 'codepostal': '",""))-1),"")</f>
        <v>85370</v>
      </c>
      <c r="F175" t="str">
        <f>IFERROR(LEFT(SUBSTITUTE(jason_converted!F175," 'ville': '",""),LEN(SUBSTITUTE(jason_converted!F175," 'ville': '",""))-1),"")</f>
        <v>NALLIERS</v>
      </c>
      <c r="G175" t="str">
        <f>IFERROR(LEFT(SUBSTITUTE(jason_converted!G175," 'tel': ",""),LEN(SUBSTITUTE(jason_converted!G175," 'tel': ",""))),"")</f>
        <v>'0674287108'</v>
      </c>
      <c r="H175" t="str">
        <f>IFERROR(LEFT(SUBSTITUTE(jason_converted!H175," 'lat': '",""),LEN(SUBSTITUTE(jason_converted!H175," 'lat': '",""))-1),"")</f>
        <v>46.440136000000003</v>
      </c>
      <c r="I175" t="str">
        <f>IFERROR(LEFT(SUBSTITUTE(jason_converted!I175," 'lng': '",""),LEN(SUBSTITUTE(jason_converted!I175," 'lng': '",""))-1),"")</f>
        <v>-0.979763000000000</v>
      </c>
      <c r="J175" t="str">
        <f>IFERROR(LEFT(SUBSTITUTE(jason_converted!J175," 'nomClub': '",""),LEN(SUBSTITUTE(jason_converted!J175," 'nomClub': '",""))-1),"")</f>
        <v>VIS TA FORME 85</v>
      </c>
      <c r="K175" t="str">
        <f>IFERROR(LEFT(SUBSTITUTE(jason_converted!K175," 'nomCourtClub': '",""),LEN(SUBSTITUTE(jason_converted!K175," 'nomCourtClub': '",""))-1),"")</f>
        <v>VIS TA FORME 85</v>
      </c>
      <c r="L175" t="str">
        <f>IFERROR("https://ffhaltero.fr/" &amp; LEFT(SUBSTITUTE(jason_converted!L175," 'url': '",""),LEN(SUBSTITUTE(jason_converted!L175," 'url': '",""))-1),"")</f>
        <v>https://ffhaltero.fr//pratiquer/ou-pratiquer/ou-pratiquer-fiche-club/17851270-vis-ta-forme-85'</v>
      </c>
    </row>
    <row r="176" spans="1:12" x14ac:dyDescent="0.25">
      <c r="A176" t="str">
        <f>IFERROR(SUBSTITUTE(jason_converted!A176,"{'id': ",""),"")</f>
        <v>280</v>
      </c>
      <c r="B176" t="str">
        <f>IFERROR(LEFT(SUBSTITUTE(jason_converted!B176," 'nom': '",""),LEN(SUBSTITUTE(jason_converted!B176," 'nom': '",""))-1),"")</f>
        <v>CLUB HALTEROFIT</v>
      </c>
      <c r="C176" t="str">
        <f>IFERROR(LEFT(SUBSTITUTE(jason_converted!C176," 'adresse1': '",""),LEN(SUBSTITUTE(jason_converted!C176," 'adresse1': '",""))-1),"")</f>
        <v xml:space="preserve"> 14 RUE DES ROSES</v>
      </c>
      <c r="D176" t="str">
        <f>IFERROR(LEFT(SUBSTITUTE(jason_converted!D176," 'adresse2': '",""),LEN(SUBSTITUTE(jason_converted!D176," 'adresse2': '",""))-1),"")</f>
        <v/>
      </c>
      <c r="E176" t="str">
        <f>IFERROR(LEFT(SUBSTITUTE(jason_converted!E176," 'codepostal': '",""),LEN(SUBSTITUTE(jason_converted!E176," 'codepostal': '",""))-1),"")</f>
        <v>77177</v>
      </c>
      <c r="F176" t="str">
        <f>IFERROR(LEFT(SUBSTITUTE(jason_converted!F176," 'ville': '",""),LEN(SUBSTITUTE(jason_converted!F176," 'ville': '",""))-1),"")</f>
        <v>BROU-SUR-CHANTEREINE</v>
      </c>
      <c r="G176" t="str">
        <f>IFERROR(LEFT(SUBSTITUTE(jason_converted!G176," 'tel': ",""),LEN(SUBSTITUTE(jason_converted!G176," 'tel': ",""))),"")</f>
        <v>'0684995185'</v>
      </c>
      <c r="H176" t="str">
        <f>IFERROR(LEFT(SUBSTITUTE(jason_converted!H176," 'lat': '",""),LEN(SUBSTITUTE(jason_converted!H176," 'lat': '",""))-1),"")</f>
        <v>48.885015000000003</v>
      </c>
      <c r="I176" t="str">
        <f>IFERROR(LEFT(SUBSTITUTE(jason_converted!I176," 'lng': '",""),LEN(SUBSTITUTE(jason_converted!I176," 'lng': '",""))-1),"")</f>
        <v>2.630840000000000</v>
      </c>
      <c r="J176" t="str">
        <f>IFERROR(LEFT(SUBSTITUTE(jason_converted!J176," 'nomClub': '",""),LEN(SUBSTITUTE(jason_converted!J176," 'nomClub': '",""))-1),"")</f>
        <v>CLUB HALTEROFIT</v>
      </c>
      <c r="K176" t="str">
        <f>IFERROR(LEFT(SUBSTITUTE(jason_converted!K176," 'nomCourtClub': '",""),LEN(SUBSTITUTE(jason_converted!K176," 'nomCourtClub': '",""))-1),"")</f>
        <v>HALTEROFIT</v>
      </c>
      <c r="L176" t="str">
        <f>IFERROR("https://ffhaltero.fr/" &amp; LEFT(SUBSTITUTE(jason_converted!L176," 'url': '",""),LEN(SUBSTITUTE(jason_converted!L176," 'url': '",""))-1),"")</f>
        <v>https://ffhaltero.fr//pratiquer/ou-pratiquer/ou-pratiquer-fiche-club/098980115-club-halterofit'</v>
      </c>
    </row>
    <row r="177" spans="1:12" x14ac:dyDescent="0.25">
      <c r="A177" t="str">
        <f>IFERROR(SUBSTITUTE(jason_converted!A177,"{'id': ",""),"")</f>
        <v>283</v>
      </c>
      <c r="B177" t="str">
        <f>IFERROR(LEFT(SUBSTITUTE(jason_converted!B177," 'nom': '",""),LEN(SUBSTITUTE(jason_converted!B177," 'nom': '",""))-1),"")</f>
        <v>GORILLA LIFTING CLUB - CF TITUS</v>
      </c>
      <c r="C177" t="str">
        <f>IFERROR(LEFT(SUBSTITUTE(jason_converted!C177," 'adresse1': '",""),LEN(SUBSTITUTE(jason_converted!C177," 'adresse1': '",""))-1),"")</f>
        <v xml:space="preserve"> 50 BOULEVARD DES NATIONS</v>
      </c>
      <c r="D177" t="str">
        <f>IFERROR(LEFT(SUBSTITUTE(jason_converted!D177," 'adresse2': '",""),LEN(SUBSTITUTE(jason_converted!D177," 'adresse2': '",""))-1),"")</f>
        <v/>
      </c>
      <c r="E177" t="str">
        <f>IFERROR(LEFT(SUBSTITUTE(jason_converted!E177," 'codepostal': '",""),LEN(SUBSTITUTE(jason_converted!E177," 'codepostal': '",""))-1),"")</f>
        <v>14540</v>
      </c>
      <c r="F177" t="str">
        <f>IFERROR(LEFT(SUBSTITUTE(jason_converted!F177," 'ville': '",""),LEN(SUBSTITUTE(jason_converted!F177," 'ville': '",""))-1),"")</f>
        <v>SOLIERS</v>
      </c>
      <c r="G177" t="str">
        <f>IFERROR(LEFT(SUBSTITUTE(jason_converted!G177," 'tel': ",""),LEN(SUBSTITUTE(jason_converted!G177," 'tel': ",""))),"")</f>
        <v>'07.87.06.23.80'</v>
      </c>
      <c r="H177" t="str">
        <f>IFERROR(LEFT(SUBSTITUTE(jason_converted!H177," 'lat': '",""),LEN(SUBSTITUTE(jason_converted!H177," 'lat': '",""))-1),"")</f>
        <v>49.139158999999999</v>
      </c>
      <c r="I177" t="str">
        <f>IFERROR(LEFT(SUBSTITUTE(jason_converted!I177," 'lng': '",""),LEN(SUBSTITUTE(jason_converted!I177," 'lng': '",""))-1),"")</f>
        <v>-0.306802000000000</v>
      </c>
      <c r="J177" t="str">
        <f>IFERROR(LEFT(SUBSTITUTE(jason_converted!J177," 'nomClub': '",""),LEN(SUBSTITUTE(jason_converted!J177," 'nomClub': '",""))-1),"")</f>
        <v>GORILLA LIFTING CLUB</v>
      </c>
      <c r="K177" t="str">
        <f>IFERROR(LEFT(SUBSTITUTE(jason_converted!K177," 'nomCourtClub': '",""),LEN(SUBSTITUTE(jason_converted!K177," 'nomCourtClub': '",""))-1),"")</f>
        <v>GORILLA LIFTING CLUB</v>
      </c>
      <c r="L177" t="str">
        <f>IFERROR("https://ffhaltero.fr/" &amp; LEFT(SUBSTITUTE(jason_converted!L177," 'url': '",""),LEN(SUBSTITUTE(jason_converted!L177," 'url': '",""))-1),"")</f>
        <v>https://ffhaltero.fr//pratiquer/ou-pratiquer/ou-pratiquer-fiche-club/12140003-gorilla-lifting-club'</v>
      </c>
    </row>
    <row r="178" spans="1:12" x14ac:dyDescent="0.25">
      <c r="A178" t="str">
        <f>IFERROR(SUBSTITUTE(jason_converted!A178,"{'id': ",""),"")</f>
        <v>286</v>
      </c>
      <c r="B178" t="str">
        <f>IFERROR(LEFT(SUBSTITUTE(jason_converted!B178," 'nom': '",""),LEN(SUBSTITUTE(jason_converted!B178," 'nom': '",""))-1),"")</f>
        <v>Benjamin hennequin</v>
      </c>
      <c r="C178" t="str">
        <f>IFERROR(LEFT(SUBSTITUTE(jason_converted!C178," 'adresse1': '",""),LEN(SUBSTITUTE(jason_converted!C178," 'adresse1': '",""))-1),"")</f>
        <v>145 AVENUE AVENUE BLAISE PASCAL</v>
      </c>
      <c r="D178" t="str">
        <f>IFERROR(LEFT(SUBSTITUTE(jason_converted!D178," 'adresse2': '",""),LEN(SUBSTITUTE(jason_converted!D178," 'adresse2': '",""))-1),"")</f>
        <v/>
      </c>
      <c r="E178" t="str">
        <f>IFERROR(LEFT(SUBSTITUTE(jason_converted!E178," 'codepostal': '",""),LEN(SUBSTITUTE(jason_converted!E178," 'codepostal': '",""))-1),"")</f>
        <v>33160</v>
      </c>
      <c r="F178" t="str">
        <f>IFERROR(LEFT(SUBSTITUTE(jason_converted!F178," 'ville': '",""),LEN(SUBSTITUTE(jason_converted!F178," 'ville': '",""))-1),"")</f>
        <v>SAINT-MÉDARD-EN-JALLES</v>
      </c>
      <c r="G178" t="str">
        <f>IFERROR(LEFT(SUBSTITUTE(jason_converted!G178," 'tel': ",""),LEN(SUBSTITUTE(jason_converted!G178," 'tel': ",""))),"")</f>
        <v>'0648962631'</v>
      </c>
      <c r="H178" t="str">
        <f>IFERROR(LEFT(SUBSTITUTE(jason_converted!H178," 'lat': '",""),LEN(SUBSTITUTE(jason_converted!H178," 'lat': '",""))-1),"")</f>
        <v>44.897485823735337</v>
      </c>
      <c r="I178" t="str">
        <f>IFERROR(LEFT(SUBSTITUTE(jason_converted!I178," 'lng': '",""),LEN(SUBSTITUTE(jason_converted!I178," 'lng': '",""))-1),"")</f>
        <v>-0.782746354646256</v>
      </c>
      <c r="J178" t="str">
        <f>IFERROR(LEFT(SUBSTITUTE(jason_converted!J178," 'nomClub': '",""),LEN(SUBSTITUTE(jason_converted!J178," 'nomClub': '",""))-1),"")</f>
        <v>OLYMPE ATHLÉTIQUE</v>
      </c>
      <c r="K178" t="str">
        <f>IFERROR(LEFT(SUBSTITUTE(jason_converted!K178," 'nomCourtClub': '",""),LEN(SUBSTITUTE(jason_converted!K178," 'nomCourtClub': '",""))-1),"")</f>
        <v>OLYMPE ATHLÉTIQUE</v>
      </c>
      <c r="L178" t="str">
        <f>IFERROR("https://ffhaltero.fr/" &amp; LEFT(SUBSTITUTE(jason_converted!L178," 'url': '",""),LEN(SUBSTITUTE(jason_converted!L178," 'url': '",""))-1),"")</f>
        <v>https://ffhaltero.fr//pratiquer/ou-pratiquer/ou-pratiquer-fiche-club/339860011-olympe-athletique'</v>
      </c>
    </row>
    <row r="179" spans="1:12" x14ac:dyDescent="0.25">
      <c r="A179" t="str">
        <f>IFERROR(SUBSTITUTE(jason_converted!A179,"{'id': ",""),"")</f>
        <v>287</v>
      </c>
      <c r="B179" t="str">
        <f>IFERROR(LEFT(SUBSTITUTE(jason_converted!B179," 'nom': '",""),LEN(SUBSTITUTE(jason_converted!B179," 'nom': '",""))-1),"")</f>
        <v>GYMNASE DE VERSON</v>
      </c>
      <c r="C179" t="str">
        <f>IFERROR(LEFT(SUBSTITUTE(jason_converted!C179," 'adresse1': '",""),LEN(SUBSTITUTE(jason_converted!C179," 'adresse1': '",""))-1),"")</f>
        <v>ALLÉE JACQUES PRÉVERT</v>
      </c>
      <c r="D179" t="str">
        <f>IFERROR(LEFT(SUBSTITUTE(jason_converted!D179," 'adresse2': '",""),LEN(SUBSTITUTE(jason_converted!D179," 'adresse2': '",""))-1),"")</f>
        <v xml:space="preserve">GYMNASE </v>
      </c>
      <c r="E179" t="str">
        <f>IFERROR(LEFT(SUBSTITUTE(jason_converted!E179," 'codepostal': '",""),LEN(SUBSTITUTE(jason_converted!E179," 'codepostal': '",""))-1),"")</f>
        <v>14790</v>
      </c>
      <c r="F179" t="str">
        <f>IFERROR(LEFT(SUBSTITUTE(jason_converted!F179," 'ville': '",""),LEN(SUBSTITUTE(jason_converted!F179," 'ville': '",""))-1),"")</f>
        <v>FONTAINE-ÉTOUPEFOUR</v>
      </c>
      <c r="G179" t="str">
        <f>IFERROR(LEFT(SUBSTITUTE(jason_converted!G179," 'tel': ",""),LEN(SUBSTITUTE(jason_converted!G179," 'tel': ",""))),"")</f>
        <v>'07.68.37.79.40'</v>
      </c>
      <c r="H179" t="str">
        <f>IFERROR(LEFT(SUBSTITUTE(jason_converted!H179," 'lat': '",""),LEN(SUBSTITUTE(jason_converted!H179," 'lat': '",""))-1),"")</f>
        <v>49.156663000000002</v>
      </c>
      <c r="I179" t="str">
        <f>IFERROR(LEFT(SUBSTITUTE(jason_converted!I179," 'lng': '",""),LEN(SUBSTITUTE(jason_converted!I179," 'lng': '",""))-1),"")</f>
        <v>-0.457432437739774</v>
      </c>
      <c r="J179" t="str">
        <f>IFERROR(LEFT(SUBSTITUTE(jason_converted!J179," 'nomClub': '",""),LEN(SUBSTITUTE(jason_converted!J179," 'nomClub': '",""))-1),"")</f>
        <v>VERSON HM</v>
      </c>
      <c r="K179" t="str">
        <f>IFERROR(LEFT(SUBSTITUTE(jason_converted!K179," 'nomCourtClub': '",""),LEN(SUBSTITUTE(jason_converted!K179," 'nomCourtClub': '",""))-1),"")</f>
        <v>VERSON HM</v>
      </c>
      <c r="L179" t="str">
        <f>IFERROR("https://ffhaltero.fr/" &amp; LEFT(SUBSTITUTE(jason_converted!L179," 'url': '",""),LEN(SUBSTITUTE(jason_converted!L179," 'url': '",""))-1),"")</f>
        <v>https://ffhaltero.fr//pratiquer/ou-pratiquer/ou-pratiquer-fiche-club/04140306-verson-hm'</v>
      </c>
    </row>
    <row r="180" spans="1:12" x14ac:dyDescent="0.25">
      <c r="A180" t="str">
        <f>IFERROR(SUBSTITUTE(jason_converted!A180,"{'id': ",""),"")</f>
        <v>288</v>
      </c>
      <c r="B180" t="str">
        <f>IFERROR(LEFT(SUBSTITUTE(jason_converted!B180," 'nom': '",""),LEN(SUBSTITUTE(jason_converted!B180," 'nom': '",""))-1),"")</f>
        <v>crossfit ascension</v>
      </c>
      <c r="C180" t="str">
        <f>IFERROR(LEFT(SUBSTITUTE(jason_converted!C180," 'adresse1': '",""),LEN(SUBSTITUTE(jason_converted!C180," 'adresse1': '",""))-1),"")</f>
        <v>290 AVENUE DES CHASSÉENS</v>
      </c>
      <c r="D180" t="str">
        <f>IFERROR(LEFT(SUBSTITUTE(jason_converted!D180," 'adresse2': '",""),LEN(SUBSTITUTE(jason_converted!D180," 'adresse2': '",""))-1),"")</f>
        <v/>
      </c>
      <c r="E180" t="str">
        <f>IFERROR(LEFT(SUBSTITUTE(jason_converted!E180," 'codepostal': '",""),LEN(SUBSTITUTE(jason_converted!E180," 'codepostal': '",""))-1),"")</f>
        <v>13120</v>
      </c>
      <c r="F180" t="str">
        <f>IFERROR(LEFT(SUBSTITUTE(jason_converted!F180," 'ville': '",""),LEN(SUBSTITUTE(jason_converted!F180," 'ville': '",""))-1),"")</f>
        <v>GARDANNE</v>
      </c>
      <c r="G180" t="str">
        <f>IFERROR(LEFT(SUBSTITUTE(jason_converted!G180," 'tel': ",""),LEN(SUBSTITUTE(jason_converted!G180," 'tel': ",""))),"")</f>
        <v>'0663639278'</v>
      </c>
      <c r="H180" t="str">
        <f>IFERROR(LEFT(SUBSTITUTE(jason_converted!H180," 'lat': '",""),LEN(SUBSTITUTE(jason_converted!H180," 'lat': '",""))-1),"")</f>
        <v>43.450042199999999</v>
      </c>
      <c r="I180" t="str">
        <f>IFERROR(LEFT(SUBSTITUTE(jason_converted!I180," 'lng': '",""),LEN(SUBSTITUTE(jason_converted!I180," 'lng': '",""))-1),"")</f>
        <v>5.455144500000000</v>
      </c>
      <c r="J180" t="str">
        <f>IFERROR(LEFT(SUBSTITUTE(jason_converted!J180," 'nomClub': '",""),LEN(SUBSTITUTE(jason_converted!J180," 'nomClub': '",""))-1),"")</f>
        <v>ASCENSION HALTERO CLUB</v>
      </c>
      <c r="K180" t="str">
        <f>IFERROR(LEFT(SUBSTITUTE(jason_converted!K180," 'nomCourtClub': '",""),LEN(SUBSTITUTE(jason_converted!K180," 'nomCourtClub': '",""))-1),"")</f>
        <v>AHC</v>
      </c>
      <c r="L180" t="str">
        <f>IFERROR("https://ffhaltero.fr/" &amp; LEFT(SUBSTITUTE(jason_converted!L180," 'url': '",""),LEN(SUBSTITUTE(jason_converted!L180," 'url': '",""))-1),"")</f>
        <v>https://ffhaltero.fr//pratiquer/ou-pratiquer/ou-pratiquer-fiche-club/339860050-ascension-haltero-club'</v>
      </c>
    </row>
    <row r="181" spans="1:12" x14ac:dyDescent="0.25">
      <c r="A181" t="str">
        <f>IFERROR(SUBSTITUTE(jason_converted!A181,"{'id': ",""),"")</f>
        <v>289</v>
      </c>
      <c r="B181" t="str">
        <f>IFERROR(LEFT(SUBSTITUTE(jason_converted!B181," 'nom': '",""),LEN(SUBSTITUTE(jason_converted!B181," 'nom': '",""))-1),"")</f>
        <v>Pendragon</v>
      </c>
      <c r="C181" t="str">
        <f>IFERROR(LEFT(SUBSTITUTE(jason_converted!C181," 'adresse1': '",""),LEN(SUBSTITUTE(jason_converted!C181," 'adresse1': '",""))-1),"")</f>
        <v xml:space="preserve"> 'adresse1': "6 CHEMIN D'ARMANCOURT</v>
      </c>
      <c r="D181" t="str">
        <f>IFERROR(LEFT(SUBSTITUTE(jason_converted!D181," 'adresse2': '",""),LEN(SUBSTITUTE(jason_converted!D181," 'adresse2': '",""))-1),"")</f>
        <v xml:space="preserve">CROSSFIT PENDRAGON </v>
      </c>
      <c r="E181" t="str">
        <f>IFERROR(LEFT(SUBSTITUTE(jason_converted!E181," 'codepostal': '",""),LEN(SUBSTITUTE(jason_converted!E181," 'codepostal': '",""))-1),"")</f>
        <v>60200</v>
      </c>
      <c r="F181" t="str">
        <f>IFERROR(LEFT(SUBSTITUTE(jason_converted!F181," 'ville': '",""),LEN(SUBSTITUTE(jason_converted!F181," 'ville': '",""))-1),"")</f>
        <v>COMPIÈGNE</v>
      </c>
      <c r="G181" t="str">
        <f>IFERROR(LEFT(SUBSTITUTE(jason_converted!G181," 'tel': ",""),LEN(SUBSTITUTE(jason_converted!G181," 'tel': ",""))),"")</f>
        <v>'0769708995'</v>
      </c>
      <c r="H181" t="str">
        <f>IFERROR(LEFT(SUBSTITUTE(jason_converted!H181," 'lat': '",""),LEN(SUBSTITUTE(jason_converted!H181," 'lat': '",""))-1),"")</f>
        <v>49.387526999999999</v>
      </c>
      <c r="I181" t="str">
        <f>IFERROR(LEFT(SUBSTITUTE(jason_converted!I181," 'lng': '",""),LEN(SUBSTITUTE(jason_converted!I181," 'lng': '",""))-1),"")</f>
        <v>2.792966000000000</v>
      </c>
      <c r="J181" t="str">
        <f>IFERROR(LEFT(SUBSTITUTE(jason_converted!J181," 'nomClub': '",""),LEN(SUBSTITUTE(jason_converted!J181," 'nomClub': '",""))-1),"")</f>
        <v>CYMRU</v>
      </c>
      <c r="K181" t="str">
        <f>IFERROR(LEFT(SUBSTITUTE(jason_converted!K181," 'nomCourtClub': '",""),LEN(SUBSTITUTE(jason_converted!K181," 'nomCourtClub': '",""))-1),"")</f>
        <v>CYMRU</v>
      </c>
      <c r="L181" t="str">
        <f>IFERROR("https://ffhaltero.fr/" &amp; LEFT(SUBSTITUTE(jason_converted!L181," 'url': '",""),LEN(SUBSTITUTE(jason_converted!L181," 'url': '",""))-1),"")</f>
        <v>https://ffhaltero.fr//pratiquer/ou-pratiquer/ou-pratiquer-fiche-club/339860027-cymru'</v>
      </c>
    </row>
    <row r="182" spans="1:12" x14ac:dyDescent="0.25">
      <c r="A182" t="str">
        <f>IFERROR(SUBSTITUTE(jason_converted!A182,"{'id': ",""),"")</f>
        <v>290</v>
      </c>
      <c r="B182" t="str">
        <f>IFERROR(LEFT(SUBSTITUTE(jason_converted!B182," 'nom': '",""),LEN(SUBSTITUTE(jason_converted!B182," 'nom': '",""))-1),"")</f>
        <v>SALLE BACHELET</v>
      </c>
      <c r="C182" t="str">
        <f>IFERROR(LEFT(SUBSTITUTE(jason_converted!C182," 'adresse1': '",""),LEN(SUBSTITUTE(jason_converted!C182," 'adresse1': '",""))-1),"")</f>
        <v>QUAI SOUBEYRAN</v>
      </c>
      <c r="D182" t="str">
        <f>IFERROR(LEFT(SUBSTITUTE(jason_converted!D182," 'adresse2': '",""),LEN(SUBSTITUTE(jason_converted!D182," 'adresse2': '",""))-1),"")</f>
        <v/>
      </c>
      <c r="E182" t="str">
        <f>IFERROR(LEFT(SUBSTITUTE(jason_converted!E182," 'codepostal': '",""),LEN(SUBSTITUTE(jason_converted!E182," 'codepostal': '",""))-1),"")</f>
        <v>26400</v>
      </c>
      <c r="F182" t="str">
        <f>IFERROR(LEFT(SUBSTITUTE(jason_converted!F182," 'ville': '",""),LEN(SUBSTITUTE(jason_converted!F182," 'ville': '",""))-1),"")</f>
        <v>CREST</v>
      </c>
      <c r="G182" t="str">
        <f>IFERROR(LEFT(SUBSTITUTE(jason_converted!G182," 'tel': ",""),LEN(SUBSTITUTE(jason_converted!G182," 'tel': ",""))),"")</f>
        <v>'06.29.18.28.11'</v>
      </c>
      <c r="H182" t="str">
        <f>IFERROR(LEFT(SUBSTITUTE(jason_converted!H182," 'lat': '",""),LEN(SUBSTITUTE(jason_converted!H182," 'lat': '",""))-1),"")</f>
        <v>44.723952650000001</v>
      </c>
      <c r="I182" t="str">
        <f>IFERROR(LEFT(SUBSTITUTE(jason_converted!I182," 'lng': '",""),LEN(SUBSTITUTE(jason_converted!I182," 'lng': '",""))-1),"")</f>
        <v>5.025488050000000</v>
      </c>
      <c r="J182" t="str">
        <f>IFERROR(LEFT(SUBSTITUTE(jason_converted!J182," 'nomClub': '",""),LEN(SUBSTITUTE(jason_converted!J182," 'nomClub': '",""))-1),"")</f>
        <v>US CREST HALTEROPHILIE</v>
      </c>
      <c r="K182" t="str">
        <f>IFERROR(LEFT(SUBSTITUTE(jason_converted!K182," 'nomCourtClub': '",""),LEN(SUBSTITUTE(jason_converted!K182," 'nomCourtClub': '",""))-1),"")</f>
        <v>US CREST HALTEROPHILIE</v>
      </c>
      <c r="L182" t="str">
        <f>IFERROR("https://ffhaltero.fr/" &amp; LEFT(SUBSTITUTE(jason_converted!L182," 'url': '",""),LEN(SUBSTITUTE(jason_converted!L182," 'url': '",""))-1),"")</f>
        <v>https://ffhaltero.fr//pratiquer/ou-pratiquer/ou-pratiquer-fiche-club/22260134-us-crest-halterophilie'</v>
      </c>
    </row>
    <row r="183" spans="1:12" x14ac:dyDescent="0.25">
      <c r="A183" t="str">
        <f>IFERROR(SUBSTITUTE(jason_converted!A183,"{'id': ",""),"")</f>
        <v>292</v>
      </c>
      <c r="B183" t="str">
        <f>IFERROR(LEFT(SUBSTITUTE(jason_converted!B183," 'nom': '",""),LEN(SUBSTITUTE(jason_converted!B183," 'nom': '",""))-1),"")</f>
        <v>LIONS BARBELL CLUB</v>
      </c>
      <c r="C183" t="str">
        <f>IFERROR(LEFT(SUBSTITUTE(jason_converted!C183," 'adresse1': '",""),LEN(SUBSTITUTE(jason_converted!C183," 'adresse1': '",""))-1),"")</f>
        <v>ALLÉE DES FUSTIERS</v>
      </c>
      <c r="D183" t="str">
        <f>IFERROR(LEFT(SUBSTITUTE(jason_converted!D183," 'adresse2': '",""),LEN(SUBSTITUTE(jason_converted!D183," 'adresse2': '",""))-1),"")</f>
        <v>BUNKS CROSSFIT</v>
      </c>
      <c r="E183" t="str">
        <f>IFERROR(LEFT(SUBSTITUTE(jason_converted!E183," 'codepostal': '",""),LEN(SUBSTITUTE(jason_converted!E183," 'codepostal': '",""))-1),"")</f>
        <v>13800</v>
      </c>
      <c r="F183" t="str">
        <f>IFERROR(LEFT(SUBSTITUTE(jason_converted!F183," 'ville': '",""),LEN(SUBSTITUTE(jason_converted!F183," 'ville': '",""))-1),"")</f>
        <v>ISTRES</v>
      </c>
      <c r="G183" t="str">
        <f>IFERROR(LEFT(SUBSTITUTE(jason_converted!G183," 'tel': ",""),LEN(SUBSTITUTE(jason_converted!G183," 'tel': ",""))),"")</f>
        <v>'0766737991'</v>
      </c>
      <c r="H183" t="str">
        <f>IFERROR(LEFT(SUBSTITUTE(jason_converted!H183," 'lat': '",""),LEN(SUBSTITUTE(jason_converted!H183," 'lat': '",""))-1),"")</f>
        <v>43.513705000000002</v>
      </c>
      <c r="I183" t="str">
        <f>IFERROR(LEFT(SUBSTITUTE(jason_converted!I183," 'lng': '",""),LEN(SUBSTITUTE(jason_converted!I183," 'lng': '",""))-1),"")</f>
        <v>4.962615000000000</v>
      </c>
      <c r="J183" t="str">
        <f>IFERROR(LEFT(SUBSTITUTE(jason_converted!J183," 'nomClub': '",""),LEN(SUBSTITUTE(jason_converted!J183," 'nomClub': '",""))-1),"")</f>
        <v>LIONS BARBELL CLUB</v>
      </c>
      <c r="K183" t="str">
        <f>IFERROR(LEFT(SUBSTITUTE(jason_converted!K183," 'nomCourtClub': '",""),LEN(SUBSTITUTE(jason_converted!K183," 'nomCourtClub': '",""))-1),"")</f>
        <v>LIONS</v>
      </c>
      <c r="L183" t="str">
        <f>IFERROR("https://ffhaltero.fr/" &amp; LEFT(SUBSTITUTE(jason_converted!L183," 'url': '",""),LEN(SUBSTITUTE(jason_converted!L183," 'url': '",""))-1),"")</f>
        <v>https://ffhaltero.fr//pratiquer/ou-pratiquer/ou-pratiquer-fiche-club/339860012-lions-barbell-club'</v>
      </c>
    </row>
    <row r="184" spans="1:12" x14ac:dyDescent="0.25">
      <c r="A184" t="str">
        <f>IFERROR(SUBSTITUTE(jason_converted!A184,"{'id': ",""),"")</f>
        <v>293</v>
      </c>
      <c r="B184" t="str">
        <f>IFERROR(LEFT(SUBSTITUTE(jason_converted!B184," 'nom': '",""),LEN(SUBSTITUTE(jason_converted!B184," 'nom': '",""))-1),"")</f>
        <v>complexe Jacques Marinelli</v>
      </c>
      <c r="C184" t="str">
        <f>IFERROR(LEFT(SUBSTITUTE(jason_converted!C184," 'adresse1': '",""),LEN(SUBSTITUTE(jason_converted!C184," 'adresse1': '",""))-1),"")</f>
        <v>RUE DORÉ</v>
      </c>
      <c r="D184" t="str">
        <f>IFERROR(LEFT(SUBSTITUTE(jason_converted!D184," 'adresse2': '",""),LEN(SUBSTITUTE(jason_converted!D184," 'adresse2': '",""))-1),"")</f>
        <v/>
      </c>
      <c r="E184" t="str">
        <f>IFERROR(LEFT(SUBSTITUTE(jason_converted!E184," 'codepostal': '",""),LEN(SUBSTITUTE(jason_converted!E184," 'codepostal': '",""))-1),"")</f>
        <v>77000</v>
      </c>
      <c r="F184" t="str">
        <f>IFERROR(LEFT(SUBSTITUTE(jason_converted!F184," 'ville': '",""),LEN(SUBSTITUTE(jason_converted!F184," 'ville': '",""))-1),"")</f>
        <v>LIVRY-SUR-SEINE</v>
      </c>
      <c r="G184" t="str">
        <f>IFERROR(LEFT(SUBSTITUTE(jason_converted!G184," 'tel': ",""),LEN(SUBSTITUTE(jason_converted!G184," 'tel': ",""))),"")</f>
        <v>None</v>
      </c>
      <c r="H184" t="str">
        <f>IFERROR(LEFT(SUBSTITUTE(jason_converted!H184," 'lat': '",""),LEN(SUBSTITUTE(jason_converted!H184," 'lat': '",""))-1),"")</f>
        <v>48.530163232625867</v>
      </c>
      <c r="I184" t="str">
        <f>IFERROR(LEFT(SUBSTITUTE(jason_converted!I184," 'lng': '",""),LEN(SUBSTITUTE(jason_converted!I184," 'lng': '",""))-1),"")</f>
        <v>2.662932882730558</v>
      </c>
      <c r="J184" t="str">
        <f>IFERROR(LEFT(SUBSTITUTE(jason_converted!J184," 'nomClub': '",""),LEN(SUBSTITUTE(jason_converted!J184," 'nomClub': '",""))-1),"")</f>
        <v>US MELUN</v>
      </c>
      <c r="K184" t="str">
        <f>IFERROR(LEFT(SUBSTITUTE(jason_converted!K184," 'nomCourtClub': '",""),LEN(SUBSTITUTE(jason_converted!K184," 'nomCourtClub': '",""))-1),"")</f>
        <v>US MELUN</v>
      </c>
      <c r="L184" t="str">
        <f>IFERROR("https://ffhaltero.fr/" &amp; LEFT(SUBSTITUTE(jason_converted!L184," 'url': '",""),LEN(SUBSTITUTE(jason_converted!L184," 'url': '",""))-1),"")</f>
        <v>https://ffhaltero.fr//pratiquer/ou-pratiquer/ou-pratiquer-fiche-club/21770175-us-melun'</v>
      </c>
    </row>
    <row r="185" spans="1:12" x14ac:dyDescent="0.25">
      <c r="A185" t="str">
        <f>IFERROR(SUBSTITUTE(jason_converted!A185,"{'id': ",""),"")</f>
        <v>294</v>
      </c>
      <c r="B185" t="str">
        <f>IFERROR(LEFT(SUBSTITUTE(jason_converted!B185," 'nom': '",""),LEN(SUBSTITUTE(jason_converted!B185," 'nom': '",""))-1),"")</f>
        <v>Crossfit ONYX 1326</v>
      </c>
      <c r="C185" t="str">
        <f>IFERROR(LEFT(SUBSTITUTE(jason_converted!C185," 'adresse1': '",""),LEN(SUBSTITUTE(jason_converted!C185," 'adresse1': '",""))-1),"")</f>
        <v>300 RUE DES COUTELIERS</v>
      </c>
      <c r="D185" t="str">
        <f>IFERROR(LEFT(SUBSTITUTE(jason_converted!D185," 'adresse2': '",""),LEN(SUBSTITUTE(jason_converted!D185," 'adresse2': '",""))-1),"")</f>
        <v/>
      </c>
      <c r="E185" t="str">
        <f>IFERROR(LEFT(SUBSTITUTE(jason_converted!E185," 'codepostal': '",""),LEN(SUBSTITUTE(jason_converted!E185," 'codepostal': '",""))-1),"")</f>
        <v>05100</v>
      </c>
      <c r="F185" t="str">
        <f>IFERROR(LEFT(SUBSTITUTE(jason_converted!F185," 'ville': '",""),LEN(SUBSTITUTE(jason_converted!F185," 'ville': '",""))-1),"")</f>
        <v>BRIANÇON</v>
      </c>
      <c r="G185" t="str">
        <f>IFERROR(LEFT(SUBSTITUTE(jason_converted!G185," 'tel': ",""),LEN(SUBSTITUTE(jason_converted!G185," 'tel': ",""))),"")</f>
        <v>'0767024406'</v>
      </c>
      <c r="H185" t="str">
        <f>IFERROR(LEFT(SUBSTITUTE(jason_converted!H185," 'lat': '",""),LEN(SUBSTITUTE(jason_converted!H185," 'lat': '",""))-1),"")</f>
        <v>44.885495349999999</v>
      </c>
      <c r="I185" t="str">
        <f>IFERROR(LEFT(SUBSTITUTE(jason_converted!I185," 'lng': '",""),LEN(SUBSTITUTE(jason_converted!I185," 'lng': '",""))-1),"")</f>
        <v>6.626889845522679</v>
      </c>
      <c r="J185" t="str">
        <f>IFERROR(LEFT(SUBSTITUTE(jason_converted!J185," 'nomClub': '",""),LEN(SUBSTITUTE(jason_converted!J185," 'nomClub': '",""))-1),"")</f>
        <v>AS BRIANCON LIFT AND DROP</v>
      </c>
      <c r="K185" t="str">
        <f>IFERROR(LEFT(SUBSTITUTE(jason_converted!K185," 'nomCourtClub': '",""),LEN(SUBSTITUTE(jason_converted!K185," 'nomCourtClub': '",""))-1),"")</f>
        <v>AS BRIANCON LIFT AND DROP</v>
      </c>
      <c r="L185" t="str">
        <f>IFERROR("https://ffhaltero.fr/" &amp; LEFT(SUBSTITUTE(jason_converted!L185," 'url': '",""),LEN(SUBSTITUTE(jason_converted!L185," 'url': '",""))-1),"")</f>
        <v>https://ffhaltero.fr//pratiquer/ou-pratiquer/ou-pratiquer-fiche-club/339860061-as-briancon-lift-and-drop'</v>
      </c>
    </row>
    <row r="186" spans="1:12" x14ac:dyDescent="0.25">
      <c r="A186" t="str">
        <f>IFERROR(SUBSTITUTE(jason_converted!A186,"{'id': ",""),"")</f>
        <v>296</v>
      </c>
      <c r="B186" t="str">
        <f>IFERROR(LEFT(SUBSTITUTE(jason_converted!B186," 'nom': '",""),LEN(SUBSTITUTE(jason_converted!B186," 'nom': '",""))-1),"")</f>
        <v>OMNIUM SPORTIF CLUB STEPHANOIS</v>
      </c>
      <c r="C186" t="str">
        <f>IFERROR(LEFT(SUBSTITUTE(jason_converted!C186," 'adresse1': '",""),LEN(SUBSTITUTE(jason_converted!C186," 'adresse1': '",""))-1),"")</f>
        <v>4 RUE ANDRÉ MALRAUX</v>
      </c>
      <c r="D186" t="str">
        <f>IFERROR(LEFT(SUBSTITUTE(jason_converted!D186," 'adresse2': '",""),LEN(SUBSTITUTE(jason_converted!D186," 'adresse2': '",""))-1),"")</f>
        <v/>
      </c>
      <c r="E186" t="str">
        <f>IFERROR(LEFT(SUBSTITUTE(jason_converted!E186," 'codepostal': '",""),LEN(SUBSTITUTE(jason_converted!E186," 'codepostal': '",""))-1),"")</f>
        <v>42000</v>
      </c>
      <c r="F186" t="str">
        <f>IFERROR(LEFT(SUBSTITUTE(jason_converted!F186," 'ville': '",""),LEN(SUBSTITUTE(jason_converted!F186," 'ville': '",""))-1),"")</f>
        <v>SAINT-ÉTIENNE</v>
      </c>
      <c r="G186" t="str">
        <f>IFERROR(LEFT(SUBSTITUTE(jason_converted!G186," 'tel': ",""),LEN(SUBSTITUTE(jason_converted!G186," 'tel': ",""))),"")</f>
        <v>'04.77.33.16.03'</v>
      </c>
      <c r="H186" t="str">
        <f>IFERROR(LEFT(SUBSTITUTE(jason_converted!H186," 'lat': '",""),LEN(SUBSTITUTE(jason_converted!H186," 'lat': '",""))-1),"")</f>
        <v>45.439703799999997</v>
      </c>
      <c r="I186" t="str">
        <f>IFERROR(LEFT(SUBSTITUTE(jason_converted!I186," 'lng': '",""),LEN(SUBSTITUTE(jason_converted!I186," 'lng': '",""))-1),"")</f>
        <v>4.385041300000000</v>
      </c>
      <c r="J186" t="str">
        <f>IFERROR(LEFT(SUBSTITUTE(jason_converted!J186," 'nomClub': '",""),LEN(SUBSTITUTE(jason_converted!J186," 'nomClub': '",""))-1),"")</f>
        <v>OSC STEPHANOIS</v>
      </c>
      <c r="K186" t="str">
        <f>IFERROR(LEFT(SUBSTITUTE(jason_converted!K186," 'nomCourtClub': '",""),LEN(SUBSTITUTE(jason_converted!K186," 'nomCourtClub': '",""))-1),"")</f>
        <v>OSC STEPHANOIS</v>
      </c>
      <c r="L186" t="str">
        <f>IFERROR("https://ffhaltero.fr/" &amp; LEFT(SUBSTITUTE(jason_converted!L186," 'url': '",""),LEN(SUBSTITUTE(jason_converted!L186," 'url': '",""))-1),"")</f>
        <v>https://ffhaltero.fr//pratiquer/ou-pratiquer/ou-pratiquer-fiche-club/22420287-osc-stephanois'</v>
      </c>
    </row>
    <row r="187" spans="1:12" x14ac:dyDescent="0.25">
      <c r="A187" t="str">
        <f>IFERROR(SUBSTITUTE(jason_converted!A187,"{'id': ",""),"")</f>
        <v>298</v>
      </c>
      <c r="B187" t="str">
        <f>IFERROR(LEFT(SUBSTITUTE(jason_converted!B187," 'nom': '",""),LEN(SUBSTITUTE(jason_converted!B187," 'nom': '",""))-1),"")</f>
        <v>Salle de Musculation - Haltérophilie</v>
      </c>
      <c r="C187" t="str">
        <f>IFERROR(LEFT(SUBSTITUTE(jason_converted!C187," 'adresse1': '",""),LEN(SUBSTITUTE(jason_converted!C187," 'adresse1': '",""))-1),"")</f>
        <v xml:space="preserve"> RÉSIDENCE LA FRÉZELIERE</v>
      </c>
      <c r="D187" t="str">
        <f>IFERROR(LEFT(SUBSTITUTE(jason_converted!D187," 'adresse2': '",""),LEN(SUBSTITUTE(jason_converted!D187," 'adresse2': '",""))-1),"")</f>
        <v/>
      </c>
      <c r="E187" t="str">
        <f>IFERROR(LEFT(SUBSTITUTE(jason_converted!E187," 'codepostal': '",""),LEN(SUBSTITUTE(jason_converted!E187," 'codepostal': '",""))-1),"")</f>
        <v>62140</v>
      </c>
      <c r="F187" t="str">
        <f>IFERROR(LEFT(SUBSTITUTE(jason_converted!F187," 'ville': '",""),LEN(SUBSTITUTE(jason_converted!F187," 'ville': '",""))-1),"")</f>
        <v>HESDIN</v>
      </c>
      <c r="G187" t="str">
        <f>IFERROR(LEFT(SUBSTITUTE(jason_converted!G187," 'tel': ",""),LEN(SUBSTITUTE(jason_converted!G187," 'tel': ",""))),"")</f>
        <v>'0663366880'</v>
      </c>
      <c r="H187" t="str">
        <f>IFERROR(LEFT(SUBSTITUTE(jason_converted!H187," 'lat': '",""),LEN(SUBSTITUTE(jason_converted!H187," 'lat': '",""))-1),"")</f>
        <v>50.375299755511698</v>
      </c>
      <c r="I187" t="str">
        <f>IFERROR(LEFT(SUBSTITUTE(jason_converted!I187," 'lng': '",""),LEN(SUBSTITUTE(jason_converted!I187," 'lng': '",""))-1),"")</f>
        <v>2.041778215244067</v>
      </c>
      <c r="J187" t="str">
        <f>IFERROR(LEFT(SUBSTITUTE(jason_converted!J187," 'nomClub': '",""),LEN(SUBSTITUTE(jason_converted!J187," 'nomClub': '",""))-1),"")</f>
        <v>OHM FITNESS HESDIN</v>
      </c>
      <c r="K187" t="str">
        <f>IFERROR(LEFT(SUBSTITUTE(jason_converted!K187," 'nomCourtClub': '",""),LEN(SUBSTITUTE(jason_converted!K187," 'nomCourtClub': '",""))-1),"")</f>
        <v>OHM FITNESS</v>
      </c>
      <c r="L187" t="str">
        <f>IFERROR("https://ffhaltero.fr/" &amp; LEFT(SUBSTITUTE(jason_converted!L187," 'url': '",""),LEN(SUBSTITUTE(jason_converted!L187," 'url': '",""))-1),"")</f>
        <v>https://ffhaltero.fr//pratiquer/ou-pratiquer/ou-pratiquer-fiche-club/339860062-ohm-fitness-hesdin'</v>
      </c>
    </row>
    <row r="188" spans="1:12" x14ac:dyDescent="0.25">
      <c r="A188" t="str">
        <f>IFERROR(SUBSTITUTE(jason_converted!A188,"{'id': ",""),"")</f>
        <v>299</v>
      </c>
      <c r="B188" t="str">
        <f>IFERROR(LEFT(SUBSTITUTE(jason_converted!B188," 'nom': '",""),LEN(SUBSTITUTE(jason_converted!B188," 'nom': '",""))-1),"")</f>
        <v>Barbell Union</v>
      </c>
      <c r="C188" t="str">
        <f>IFERROR(LEFT(SUBSTITUTE(jason_converted!C188," 'adresse1': '",""),LEN(SUBSTITUTE(jason_converted!C188," 'adresse1': '",""))-1),"")</f>
        <v>98 AVENUE LÉON BLUM</v>
      </c>
      <c r="D188" t="str">
        <f>IFERROR(LEFT(SUBSTITUTE(jason_converted!D188," 'adresse2': '",""),LEN(SUBSTITUTE(jason_converted!D188," 'adresse2': '",""))-1),"")</f>
        <v/>
      </c>
      <c r="E188" t="str">
        <f>IFERROR(LEFT(SUBSTITUTE(jason_converted!E188," 'codepostal': '",""),LEN(SUBSTITUTE(jason_converted!E188," 'codepostal': '",""))-1),"")</f>
        <v>38100</v>
      </c>
      <c r="F188" t="str">
        <f>IFERROR(LEFT(SUBSTITUTE(jason_converted!F188," 'ville': '",""),LEN(SUBSTITUTE(jason_converted!F188," 'ville': '",""))-1),"")</f>
        <v>GRENOBLE</v>
      </c>
      <c r="G188" t="str">
        <f>IFERROR(LEFT(SUBSTITUTE(jason_converted!G188," 'tel': ",""),LEN(SUBSTITUTE(jason_converted!G188," 'tel': ",""))),"")</f>
        <v>'06.87.93.72.41'</v>
      </c>
      <c r="H188" t="str">
        <f>IFERROR(LEFT(SUBSTITUTE(jason_converted!H188," 'lat': '",""),LEN(SUBSTITUTE(jason_converted!H188," 'lat': '",""))-1),"")</f>
        <v>45.162883999999998</v>
      </c>
      <c r="I188" t="str">
        <f>IFERROR(LEFT(SUBSTITUTE(jason_converted!I188," 'lng': '",""),LEN(SUBSTITUTE(jason_converted!I188," 'lng': '",""))-1),"")</f>
        <v>5.716159000000000</v>
      </c>
      <c r="J188" t="str">
        <f>IFERROR(LEFT(SUBSTITUTE(jason_converted!J188," 'nomClub': '",""),LEN(SUBSTITUTE(jason_converted!J188," 'nomClub': '",""))-1),"")</f>
        <v>BARBELL UNION</v>
      </c>
      <c r="K188" t="str">
        <f>IFERROR(LEFT(SUBSTITUTE(jason_converted!K188," 'nomCourtClub': '",""),LEN(SUBSTITUTE(jason_converted!K188," 'nomCourtClub': '",""))-1),"")</f>
        <v>BARBELL UNION</v>
      </c>
      <c r="L188" t="str">
        <f>IFERROR("https://ffhaltero.fr/" &amp; LEFT(SUBSTITUTE(jason_converted!L188," 'url': '",""),LEN(SUBSTITUTE(jason_converted!L188," 'url': '",""))-1),"")</f>
        <v>https://ffhaltero.fr//pratiquer/ou-pratiquer/ou-pratiquer-fiche-club/01380001-barbell-union'</v>
      </c>
    </row>
    <row r="189" spans="1:12" x14ac:dyDescent="0.25">
      <c r="A189" t="str">
        <f>IFERROR(SUBSTITUTE(jason_converted!A189,"{'id': ",""),"")</f>
        <v>300</v>
      </c>
      <c r="B189" t="str">
        <f>IFERROR(LEFT(SUBSTITUTE(jason_converted!B189," 'nom': '",""),LEN(SUBSTITUTE(jason_converted!B189," 'nom': '",""))-1),"")</f>
        <v>Espace Boris Vian</v>
      </c>
      <c r="C189" t="str">
        <f>IFERROR(LEFT(SUBSTITUTE(jason_converted!C189," 'adresse1': '",""),LEN(SUBSTITUTE(jason_converted!C189," 'adresse1': '",""))-1),"")</f>
        <v>ESPACE BORIS VIAN 25 RUE DES FAUCHEROUX</v>
      </c>
      <c r="D189" t="str">
        <f>IFERROR(LEFT(SUBSTITUTE(jason_converted!D189," 'adresse2': '",""),LEN(SUBSTITUTE(jason_converted!D189," 'adresse2': '",""))-1),"")</f>
        <v/>
      </c>
      <c r="E189" t="str">
        <f>IFERROR(LEFT(SUBSTITUTE(jason_converted!E189," 'codepostal': '",""),LEN(SUBSTITUTE(jason_converted!E189," 'codepostal': '",""))-1),"")</f>
        <v>03100</v>
      </c>
      <c r="F189" t="str">
        <f>IFERROR(LEFT(SUBSTITUTE(jason_converted!F189," 'ville': '",""),LEN(SUBSTITUTE(jason_converted!F189," 'ville': '",""))-1),"")</f>
        <v>MONTLUÇON</v>
      </c>
      <c r="G189" t="str">
        <f>IFERROR(LEFT(SUBSTITUTE(jason_converted!G189," 'tel': ",""),LEN(SUBSTITUTE(jason_converted!G189," 'tel': ",""))),"")</f>
        <v>'0617422122'</v>
      </c>
      <c r="H189" t="str">
        <f>IFERROR(LEFT(SUBSTITUTE(jason_converted!H189," 'lat': '",""),LEN(SUBSTITUTE(jason_converted!H189," 'lat': '",""))-1),"")</f>
        <v>46.329999999999998</v>
      </c>
      <c r="I189" t="str">
        <f>IFERROR(LEFT(SUBSTITUTE(jason_converted!I189," 'lng': '",""),LEN(SUBSTITUTE(jason_converted!I189," 'lng': '",""))-1),"")</f>
        <v>2.600000000000000</v>
      </c>
      <c r="J189" t="str">
        <f>IFERROR(LEFT(SUBSTITUTE(jason_converted!J189," 'nomClub': '",""),LEN(SUBSTITUTE(jason_converted!J189," 'nomClub': '",""))-1),"")</f>
        <v>IS MONTLUCONNAIS</v>
      </c>
      <c r="K189" t="str">
        <f>IFERROR(LEFT(SUBSTITUTE(jason_converted!K189," 'nomCourtClub': '",""),LEN(SUBSTITUTE(jason_converted!K189," 'nomCourtClub': '",""))-1),"")</f>
        <v>IS MONTLUCONNAIS</v>
      </c>
      <c r="L189" t="str">
        <f>IFERROR("https://ffhaltero.fr/" &amp; LEFT(SUBSTITUTE(jason_converted!L189," 'url': '",""),LEN(SUBSTITUTE(jason_converted!L189," 'url': '",""))-1),"")</f>
        <v>https://ffhaltero.fr//pratiquer/ou-pratiquer/ou-pratiquer-fiche-club/03030015-is-montluconnais'</v>
      </c>
    </row>
    <row r="190" spans="1:12" x14ac:dyDescent="0.25">
      <c r="A190" t="str">
        <f>IFERROR(SUBSTITUTE(jason_converted!A190,"{'id': ",""),"")</f>
        <v>302</v>
      </c>
      <c r="B190" t="str">
        <f>IFERROR(LEFT(SUBSTITUTE(jason_converted!B190," 'nom': '",""),LEN(SUBSTITUTE(jason_converted!B190," 'nom': '",""))-1),"")</f>
        <v>BEN ABDELKADER</v>
      </c>
      <c r="C190" t="str">
        <f>IFERROR(LEFT(SUBSTITUTE(jason_converted!C190," 'adresse1': '",""),LEN(SUBSTITUTE(jason_converted!C190," 'adresse1': '",""))-1),"")</f>
        <v xml:space="preserve">2 </v>
      </c>
      <c r="D190" t="str">
        <f>IFERROR(LEFT(SUBSTITUTE(jason_converted!D190," 'adresse2': '",""),LEN(SUBSTITUTE(jason_converted!D190," 'adresse2': '",""))-1),"")</f>
        <v xml:space="preserve">EUROPEEN 2 </v>
      </c>
      <c r="E190" t="str">
        <f>IFERROR(LEFT(SUBSTITUTE(jason_converted!E190," 'codepostal': '",""),LEN(SUBSTITUTE(jason_converted!E190," 'codepostal': '",""))-1),"")</f>
        <v>36120</v>
      </c>
      <c r="F190" t="str">
        <f>IFERROR(LEFT(SUBSTITUTE(jason_converted!F190," 'ville': '",""),LEN(SUBSTITUTE(jason_converted!F190," 'ville': '",""))-1),"")</f>
        <v>AMBRAULT</v>
      </c>
      <c r="G190" t="str">
        <f>IFERROR(LEFT(SUBSTITUTE(jason_converted!G190," 'tel': ",""),LEN(SUBSTITUTE(jason_converted!G190," 'tel': ",""))),"")</f>
        <v>'0618080608'</v>
      </c>
      <c r="H190" t="str">
        <f>IFERROR(LEFT(SUBSTITUTE(jason_converted!H190," 'lat': '",""),LEN(SUBSTITUTE(jason_converted!H190," 'lat': '",""))-1),"")</f>
        <v>46.756324589260075</v>
      </c>
      <c r="I190" t="str">
        <f>IFERROR(LEFT(SUBSTITUTE(jason_converted!I190," 'lng': '",""),LEN(SUBSTITUTE(jason_converted!I190," 'lng': '",""))-1),"")</f>
        <v>2.065427857810458</v>
      </c>
      <c r="J190" t="str">
        <f>IFERROR(LEFT(SUBSTITUTE(jason_converted!J190," 'nomClub': '",""),LEN(SUBSTITUTE(jason_converted!J190," 'nomClub': '",""))-1),"")</f>
        <v>APSAD 93 BOBIGNY</v>
      </c>
      <c r="K190" t="str">
        <f>IFERROR(LEFT(SUBSTITUTE(jason_converted!K190," 'nomCourtClub': '",""),LEN(SUBSTITUTE(jason_converted!K190," 'nomCourtClub': '",""))-1),"")</f>
        <v>APSAD 93 BOBIGNY</v>
      </c>
      <c r="L190" t="str">
        <f>IFERROR("https://ffhaltero.fr/" &amp; LEFT(SUBSTITUTE(jason_converted!L190," 'url': '",""),LEN(SUBSTITUTE(jason_converted!L190," 'url': '",""))-1),"")</f>
        <v>https://ffhaltero.fr//pratiquer/ou-pratiquer/ou-pratiquer-fiche-club/21931143-apsad-93-bobigny'</v>
      </c>
    </row>
    <row r="191" spans="1:12" x14ac:dyDescent="0.25">
      <c r="A191" t="str">
        <f>IFERROR(SUBSTITUTE(jason_converted!A191,"{'id': ",""),"")</f>
        <v>303</v>
      </c>
      <c r="B191" t="str">
        <f>IFERROR(LEFT(SUBSTITUTE(jason_converted!B191," 'nom': '",""),LEN(SUBSTITUTE(jason_converted!B191," 'nom': '",""))-1),"")</f>
        <v>crossfit callisto</v>
      </c>
      <c r="C191" t="str">
        <f>IFERROR(LEFT(SUBSTITUTE(jason_converted!C191," 'adresse1': '",""),LEN(SUBSTITUTE(jason_converted!C191," 'adresse1': '",""))-1),"")</f>
        <v/>
      </c>
      <c r="D191" t="str">
        <f>IFERROR(LEFT(SUBSTITUTE(jason_converted!D191," 'adresse2': '",""),LEN(SUBSTITUTE(jason_converted!D191," 'adresse2': '",""))-1),"")</f>
        <v/>
      </c>
      <c r="E191" t="str">
        <f>IFERROR(LEFT(SUBSTITUTE(jason_converted!E191," 'codepostal': '",""),LEN(SUBSTITUTE(jason_converted!E191," 'codepostal': '",""))-1),"")</f>
        <v>56620</v>
      </c>
      <c r="F191" t="str">
        <f>IFERROR(LEFT(SUBSTITUTE(jason_converted!F191," 'ville': '",""),LEN(SUBSTITUTE(jason_converted!F191," 'ville': '",""))-1),"")</f>
        <v>CLÉGUER</v>
      </c>
      <c r="G191" t="str">
        <f>IFERROR(LEFT(SUBSTITUTE(jason_converted!G191," 'tel': ",""),LEN(SUBSTITUTE(jason_converted!G191," 'tel': ",""))),"")</f>
        <v>None</v>
      </c>
      <c r="H191" t="str">
        <f>IFERROR(LEFT(SUBSTITUTE(jason_converted!H191," 'lat': '",""),LEN(SUBSTITUTE(jason_converted!H191," 'lat': '",""))-1),"")</f>
        <v>47.865132000000003</v>
      </c>
      <c r="I191" t="str">
        <f>IFERROR(LEFT(SUBSTITUTE(jason_converted!I191," 'lng': '",""),LEN(SUBSTITUTE(jason_converted!I191," 'lng': '",""))-1),"")</f>
        <v>-3.364357000000000</v>
      </c>
      <c r="J191" t="str">
        <f>IFERROR(LEFT(SUBSTITUTE(jason_converted!J191," 'nomClub': '",""),LEN(SUBSTITUTE(jason_converted!J191," 'nomClub': '",""))-1),"")</f>
        <v>CROSSFIT CALLISTO</v>
      </c>
      <c r="K191" t="str">
        <f>IFERROR(LEFT(SUBSTITUTE(jason_converted!K191," 'nomCourtClub': '",""),LEN(SUBSTITUTE(jason_converted!K191," 'nomCourtClub': '",""))-1),"")</f>
        <v>CROSSFIT CALLISTO</v>
      </c>
      <c r="L191" t="str">
        <f>IFERROR("https://ffhaltero.fr/" &amp; LEFT(SUBSTITUTE(jason_converted!L191," 'url': '",""),LEN(SUBSTITUTE(jason_converted!L191," 'url': '",""))-1),"")</f>
        <v>https://ffhaltero.fr//pratiquer/ou-pratiquer/ou-pratiquer-fiche-club/339860063-crossfit-callisto'</v>
      </c>
    </row>
    <row r="192" spans="1:12" x14ac:dyDescent="0.25">
      <c r="A192" t="str">
        <f>IFERROR(SUBSTITUTE(jason_converted!A192,"{'id': ",""),"")</f>
        <v>307</v>
      </c>
      <c r="B192" t="str">
        <f>IFERROR(LEFT(SUBSTITUTE(jason_converted!B192," 'nom': '",""),LEN(SUBSTITUTE(jason_converted!B192," 'nom': '",""))-1),"")</f>
        <v>Zakrzewski</v>
      </c>
      <c r="C192" t="str">
        <f>IFERROR(LEFT(SUBSTITUTE(jason_converted!C192," 'adresse1': '",""),LEN(SUBSTITUTE(jason_converted!C192," 'adresse1': '",""))-1),"")</f>
        <v>IMPASSE PARADOU</v>
      </c>
      <c r="D192" t="str">
        <f>IFERROR(LEFT(SUBSTITUTE(jason_converted!D192," 'adresse2': '",""),LEN(SUBSTITUTE(jason_converted!D192," 'adresse2': '",""))-1),"")</f>
        <v/>
      </c>
      <c r="E192" t="str">
        <f>IFERROR(LEFT(SUBSTITUTE(jason_converted!E192," 'codepostal': '",""),LEN(SUBSTITUTE(jason_converted!E192," 'codepostal': '",""))-1),"")</f>
        <v>13009</v>
      </c>
      <c r="F192" t="str">
        <f>IFERROR(LEFT(SUBSTITUTE(jason_converted!F192," 'ville': '",""),LEN(SUBSTITUTE(jason_converted!F192," 'ville': '",""))-1),"")</f>
        <v>MARSEILLE</v>
      </c>
      <c r="G192" t="str">
        <f>IFERROR(LEFT(SUBSTITUTE(jason_converted!G192," 'tel': ",""),LEN(SUBSTITUTE(jason_converted!G192," 'tel': ",""))),"")</f>
        <v>'06.24.67.12.25'</v>
      </c>
      <c r="H192" t="str">
        <f>IFERROR(LEFT(SUBSTITUTE(jason_converted!H192," 'lat': '",""),LEN(SUBSTITUTE(jason_converted!H192," 'lat': '",""))-1),"")</f>
        <v>43.241928230935507</v>
      </c>
      <c r="I192" t="str">
        <f>IFERROR(LEFT(SUBSTITUTE(jason_converted!I192," 'lng': '",""),LEN(SUBSTITUTE(jason_converted!I192," 'lng': '",""))-1),"")</f>
        <v>5.398154794527595</v>
      </c>
      <c r="J192" t="str">
        <f>IFERROR(LEFT(SUBSTITUTE(jason_converted!J192," 'nomClub': '",""),LEN(SUBSTITUTE(jason_converted!J192," 'nomClub': '",""))-1),"")</f>
        <v>MASSILIA BARBELL CLUB</v>
      </c>
      <c r="K192" t="str">
        <f>IFERROR(LEFT(SUBSTITUTE(jason_converted!K192," 'nomCourtClub': '",""),LEN(SUBSTITUTE(jason_converted!K192," 'nomCourtClub': '",""))-1),"")</f>
        <v>MASSILIA BARBELL CLUB</v>
      </c>
      <c r="L192" t="str">
        <f>IFERROR("https://ffhaltero.fr/" &amp; LEFT(SUBSTITUTE(jason_converted!L192," 'url': '",""),LEN(SUBSTITUTE(jason_converted!L192," 'url': '",""))-1),"")</f>
        <v>https://ffhaltero.fr//pratiquer/ou-pratiquer/ou-pratiquer-fiche-club/20131266-massilia-barbell-club'</v>
      </c>
    </row>
    <row r="193" spans="1:12" x14ac:dyDescent="0.25">
      <c r="A193" t="str">
        <f>IFERROR(SUBSTITUTE(jason_converted!A193,"{'id': ",""),"")</f>
        <v>308</v>
      </c>
      <c r="B193" t="str">
        <f>IFERROR(LEFT(SUBSTITUTE(jason_converted!B193," 'nom': '",""),LEN(SUBSTITUTE(jason_converted!B193," 'nom': '",""))-1),"")</f>
        <v>PHYSIQUE CLUB LEDONIEN</v>
      </c>
      <c r="C193" t="str">
        <f>IFERROR(LEFT(SUBSTITUTE(jason_converted!C193," 'adresse1': '",""),LEN(SUBSTITUTE(jason_converted!C193," 'adresse1': '",""))-1),"")</f>
        <v>15 AVENUE DU STADE</v>
      </c>
      <c r="D193" t="str">
        <f>IFERROR(LEFT(SUBSTITUTE(jason_converted!D193," 'adresse2': '",""),LEN(SUBSTITUTE(jason_converted!D193," 'adresse2': '",""))-1),"")</f>
        <v xml:space="preserve">PHYSIQUE CLUB LEDONIEN </v>
      </c>
      <c r="E193" t="str">
        <f>IFERROR(LEFT(SUBSTITUTE(jason_converted!E193," 'codepostal': '",""),LEN(SUBSTITUTE(jason_converted!E193," 'codepostal': '",""))-1),"")</f>
        <v>39000</v>
      </c>
      <c r="F193" t="str">
        <f>IFERROR(LEFT(SUBSTITUTE(jason_converted!F193," 'ville': '",""),LEN(SUBSTITUTE(jason_converted!F193," 'ville': '",""))-1),"")</f>
        <v>LONS-LE-SAUNIER</v>
      </c>
      <c r="G193" t="str">
        <f>IFERROR(LEFT(SUBSTITUTE(jason_converted!G193," 'tel': ",""),LEN(SUBSTITUTE(jason_converted!G193," 'tel': ",""))),"")</f>
        <v>None</v>
      </c>
      <c r="H193" t="str">
        <f>IFERROR(LEFT(SUBSTITUTE(jason_converted!H193," 'lat': '",""),LEN(SUBSTITUTE(jason_converted!H193," 'lat': '",""))-1),"")</f>
        <v>46.670116999999998</v>
      </c>
      <c r="I193" t="str">
        <f>IFERROR(LEFT(SUBSTITUTE(jason_converted!I193," 'lng': '",""),LEN(SUBSTITUTE(jason_converted!I193," 'lng': '",""))-1),"")</f>
        <v>5.562750000000000</v>
      </c>
      <c r="J193" t="str">
        <f>IFERROR(LEFT(SUBSTITUTE(jason_converted!J193," 'nomClub': '",""),LEN(SUBSTITUTE(jason_converted!J193," 'nomClub': '",""))-1),"")</f>
        <v>PHYSIQUE CLUB LEDONIEN</v>
      </c>
      <c r="K193" t="str">
        <f>IFERROR(LEFT(SUBSTITUTE(jason_converted!K193," 'nomCourtClub': '",""),LEN(SUBSTITUTE(jason_converted!K193," 'nomCourtClub': '",""))-1),"")</f>
        <v>PCL</v>
      </c>
      <c r="L193" t="str">
        <f>IFERROR("https://ffhaltero.fr/" &amp; LEFT(SUBSTITUTE(jason_converted!L193," 'url': '",""),LEN(SUBSTITUTE(jason_converted!L193," 'url': '",""))-1),"")</f>
        <v>https://ffhaltero.fr//pratiquer/ou-pratiquer/ou-pratiquer-fiche-club/339860042-physique-club-ledonien'</v>
      </c>
    </row>
    <row r="194" spans="1:12" x14ac:dyDescent="0.25">
      <c r="A194" t="str">
        <f>IFERROR(SUBSTITUTE(jason_converted!A194,"{'id': ",""),"")</f>
        <v>309</v>
      </c>
      <c r="B194" t="str">
        <f>IFERROR(LEFT(SUBSTITUTE(jason_converted!B194," 'nom': '",""),LEN(SUBSTITUTE(jason_converted!B194," 'nom': '",""))-1),"")</f>
        <v>Kintsu CrossFit</v>
      </c>
      <c r="C194" t="str">
        <f>IFERROR(LEFT(SUBSTITUTE(jason_converted!C194," 'adresse1': '",""),LEN(SUBSTITUTE(jason_converted!C194," 'adresse1': '",""))-1),"")</f>
        <v>9  9 RUE DU CAPITAINE DREYFUS</v>
      </c>
      <c r="D194" t="str">
        <f>IFERROR(LEFT(SUBSTITUTE(jason_converted!D194," 'adresse2': '",""),LEN(SUBSTITUTE(jason_converted!D194," 'adresse2': '",""))-1),"")</f>
        <v/>
      </c>
      <c r="E194" t="str">
        <f>IFERROR(LEFT(SUBSTITUTE(jason_converted!E194," 'codepostal': '",""),LEN(SUBSTITUTE(jason_converted!E194," 'codepostal': '",""))-1),"")</f>
        <v>68510</v>
      </c>
      <c r="F194" t="str">
        <f>IFERROR(LEFT(SUBSTITUTE(jason_converted!F194," 'ville': '",""),LEN(SUBSTITUTE(jason_converted!F194," 'ville': '",""))-1),"")</f>
        <v>SIERENTZ</v>
      </c>
      <c r="G194" t="str">
        <f>IFERROR(LEFT(SUBSTITUTE(jason_converted!G194," 'tel': ",""),LEN(SUBSTITUTE(jason_converted!G194," 'tel': ",""))),"")</f>
        <v>'0658232747'</v>
      </c>
      <c r="H194" t="str">
        <f>IFERROR(LEFT(SUBSTITUTE(jason_converted!H194," 'lat': '",""),LEN(SUBSTITUTE(jason_converted!H194," 'lat': '",""))-1),"")</f>
        <v>47.666811000000003</v>
      </c>
      <c r="I194" t="str">
        <f>IFERROR(LEFT(SUBSTITUTE(jason_converted!I194," 'lng': '",""),LEN(SUBSTITUTE(jason_converted!I194," 'lng': '",""))-1),"")</f>
        <v>7.438152000000000</v>
      </c>
      <c r="J194" t="str">
        <f>IFERROR(LEFT(SUBSTITUTE(jason_converted!J194," 'nomClub': '",""),LEN(SUBSTITUTE(jason_converted!J194," 'nomClub': '",""))-1),"")</f>
        <v>KINTSU CROSSFIT</v>
      </c>
      <c r="K194" t="str">
        <f>IFERROR(LEFT(SUBSTITUTE(jason_converted!K194," 'nomCourtClub': '",""),LEN(SUBSTITUTE(jason_converted!K194," 'nomCourtClub': '",""))-1),"")</f>
        <v>KINTSU CROSSFIT</v>
      </c>
      <c r="L194" t="str">
        <f>IFERROR("https://ffhaltero.fr/" &amp; LEFT(SUBSTITUTE(jason_converted!L194," 'url': '",""),LEN(SUBSTITUTE(jason_converted!L194," 'url': '",""))-1),"")</f>
        <v>https://ffhaltero.fr//pratiquer/ou-pratiquer/ou-pratiquer-fiche-club/339860066-kintsu-crossfit'</v>
      </c>
    </row>
    <row r="195" spans="1:12" x14ac:dyDescent="0.25">
      <c r="A195" t="str">
        <f>IFERROR(SUBSTITUTE(jason_converted!A195,"{'id': ",""),"")</f>
        <v>310</v>
      </c>
      <c r="B195" t="str">
        <f>IFERROR(LEFT(SUBSTITUTE(jason_converted!B195," 'nom': '",""),LEN(SUBSTITUTE(jason_converted!B195," 'nom': '",""))-1),"")</f>
        <v>Spartebox ( crossfit SBM )</v>
      </c>
      <c r="C195" t="str">
        <f>IFERROR(LEFT(SUBSTITUTE(jason_converted!C195," 'adresse1': '",""),LEN(SUBSTITUTE(jason_converted!C195," 'adresse1': '",""))-1),"")</f>
        <v>66 RUE RUE POUILLY VINZELLE</v>
      </c>
      <c r="D195" t="str">
        <f>IFERROR(LEFT(SUBSTITUTE(jason_converted!D195," 'adresse2': '",""),LEN(SUBSTITUTE(jason_converted!D195," 'adresse2': '",""))-1),"")</f>
        <v/>
      </c>
      <c r="E195" t="str">
        <f>IFERROR(LEFT(SUBSTITUTE(jason_converted!E195," 'codepostal': '",""),LEN(SUBSTITUTE(jason_converted!E195," 'codepostal': '",""))-1),"")</f>
        <v>71000</v>
      </c>
      <c r="F195" t="str">
        <f>IFERROR(LEFT(SUBSTITUTE(jason_converted!F195," 'ville': '",""),LEN(SUBSTITUTE(jason_converted!F195," 'ville': '",""))-1),"")</f>
        <v>MÂCON</v>
      </c>
      <c r="G195" t="str">
        <f>IFERROR(LEFT(SUBSTITUTE(jason_converted!G195," 'tel': ",""),LEN(SUBSTITUTE(jason_converted!G195," 'tel': ",""))),"")</f>
        <v>'0671145950'</v>
      </c>
      <c r="H195" t="str">
        <f>IFERROR(LEFT(SUBSTITUTE(jason_converted!H195," 'lat': '",""),LEN(SUBSTITUTE(jason_converted!H195," 'lat': '",""))-1),"")</f>
        <v>46.281084000000000</v>
      </c>
      <c r="I195" t="str">
        <f>IFERROR(LEFT(SUBSTITUTE(jason_converted!I195," 'lng': '",""),LEN(SUBSTITUTE(jason_converted!I195," 'lng': '",""))-1),"")</f>
        <v>4.782058000000000</v>
      </c>
      <c r="J195" t="str">
        <f>IFERROR(LEFT(SUBSTITUTE(jason_converted!J195," 'nomClub': '",""),LEN(SUBSTITUTE(jason_converted!J195," 'nomClub': '",""))-1),"")</f>
        <v>SPARTE BOX SAS</v>
      </c>
      <c r="K195" t="str">
        <f>IFERROR(LEFT(SUBSTITUTE(jason_converted!K195," 'nomCourtClub': '",""),LEN(SUBSTITUTE(jason_converted!K195," 'nomCourtClub': '",""))-1),"")</f>
        <v>CROSSFIT SBM</v>
      </c>
      <c r="L195" t="str">
        <f>IFERROR("https://ffhaltero.fr/" &amp; LEFT(SUBSTITUTE(jason_converted!L195," 'url': '",""),LEN(SUBSTITUTE(jason_converted!L195," 'url': '",""))-1),"")</f>
        <v>https://ffhaltero.fr//pratiquer/ou-pratiquer/ou-pratiquer-fiche-club/339860065-sparte-box-sas'</v>
      </c>
    </row>
    <row r="196" spans="1:12" x14ac:dyDescent="0.25">
      <c r="A196" t="str">
        <f>IFERROR(SUBSTITUTE(jason_converted!A196,"{'id': ",""),"")</f>
        <v>311</v>
      </c>
      <c r="B196" t="str">
        <f>IFERROR(LEFT(SUBSTITUTE(jason_converted!B196," 'nom': '",""),LEN(SUBSTITUTE(jason_converted!B196," 'nom': '",""))-1),"")</f>
        <v>Spartebox</v>
      </c>
      <c r="C196" t="str">
        <f>IFERROR(LEFT(SUBSTITUTE(jason_converted!C196," 'adresse1': '",""),LEN(SUBSTITUTE(jason_converted!C196," 'adresse1': '",""))-1),"")</f>
        <v>66 RUE RUE POUILLY VINZELLE</v>
      </c>
      <c r="D196" t="str">
        <f>IFERROR(LEFT(SUBSTITUTE(jason_converted!D196," 'adresse2': '",""),LEN(SUBSTITUTE(jason_converted!D196," 'adresse2': '",""))-1),"")</f>
        <v/>
      </c>
      <c r="E196" t="str">
        <f>IFERROR(LEFT(SUBSTITUTE(jason_converted!E196," 'codepostal': '",""),LEN(SUBSTITUTE(jason_converted!E196," 'codepostal': '",""))-1),"")</f>
        <v>71000</v>
      </c>
      <c r="F196" t="str">
        <f>IFERROR(LEFT(SUBSTITUTE(jason_converted!F196," 'ville': '",""),LEN(SUBSTITUTE(jason_converted!F196," 'ville': '",""))-1),"")</f>
        <v>MÂCON</v>
      </c>
      <c r="G196" t="str">
        <f>IFERROR(LEFT(SUBSTITUTE(jason_converted!G196," 'tel': ",""),LEN(SUBSTITUTE(jason_converted!G196," 'tel': ",""))),"")</f>
        <v>'0671145950'</v>
      </c>
      <c r="H196" t="str">
        <f>IFERROR(LEFT(SUBSTITUTE(jason_converted!H196," 'lat': '",""),LEN(SUBSTITUTE(jason_converted!H196," 'lat': '",""))-1),"")</f>
        <v>46.281084000000000</v>
      </c>
      <c r="I196" t="str">
        <f>IFERROR(LEFT(SUBSTITUTE(jason_converted!I196," 'lng': '",""),LEN(SUBSTITUTE(jason_converted!I196," 'lng': '",""))-1),"")</f>
        <v>4.782058000000000</v>
      </c>
      <c r="J196" t="str">
        <f>IFERROR(LEFT(SUBSTITUTE(jason_converted!J196," 'nomClub': '",""),LEN(SUBSTITUTE(jason_converted!J196," 'nomClub': '",""))-1),"")</f>
        <v>SPARTE BOX SAS</v>
      </c>
      <c r="K196" t="str">
        <f>IFERROR(LEFT(SUBSTITUTE(jason_converted!K196," 'nomCourtClub': '",""),LEN(SUBSTITUTE(jason_converted!K196," 'nomCourtClub': '",""))-1),"")</f>
        <v>CROSSFIT SBM</v>
      </c>
      <c r="L196" t="str">
        <f>IFERROR("https://ffhaltero.fr/" &amp; LEFT(SUBSTITUTE(jason_converted!L196," 'url': '",""),LEN(SUBSTITUTE(jason_converted!L196," 'url': '",""))-1),"")</f>
        <v>https://ffhaltero.fr//pratiquer/ou-pratiquer/ou-pratiquer-fiche-club/339860065-sparte-box-sas'</v>
      </c>
    </row>
    <row r="197" spans="1:12" x14ac:dyDescent="0.25">
      <c r="A197" t="str">
        <f>IFERROR(SUBSTITUTE(jason_converted!A197,"{'id': ",""),"")</f>
        <v>312</v>
      </c>
      <c r="B197" t="str">
        <f>IFERROR(LEFT(SUBSTITUTE(jason_converted!B197," 'nom': '",""),LEN(SUBSTITUTE(jason_converted!B197," 'nom': '",""))-1),"")</f>
        <v>Saint Exupéry</v>
      </c>
      <c r="C197" t="str">
        <f>IFERROR(LEFT(SUBSTITUTE(jason_converted!C197," 'adresse1': '",""),LEN(SUBSTITUTE(jason_converted!C197," 'adresse1': '",""))-1),"")</f>
        <v>31 AVENUE SAINT-EXUPÉRY</v>
      </c>
      <c r="D197" t="str">
        <f>IFERROR(LEFT(SUBSTITUTE(jason_converted!D197," 'adresse2': '",""),LEN(SUBSTITUTE(jason_converted!D197," 'adresse2': '",""))-1),"")</f>
        <v>SALLE DU HAUT-LIVRAC (HALTÉROPHILIE FORCE ATHLÉTIQUE)</v>
      </c>
      <c r="E197" t="str">
        <f>IFERROR(LEFT(SUBSTITUTE(jason_converted!E197," 'codepostal': '",""),LEN(SUBSTITUTE(jason_converted!E197," 'codepostal': '",""))-1),"")</f>
        <v>33600</v>
      </c>
      <c r="F197" t="str">
        <f>IFERROR(LEFT(SUBSTITUTE(jason_converted!F197," 'ville': '",""),LEN(SUBSTITUTE(jason_converted!F197," 'ville': '",""))-1),"")</f>
        <v>PESSAC</v>
      </c>
      <c r="G197" t="str">
        <f>IFERROR(LEFT(SUBSTITUTE(jason_converted!G197," 'tel': ",""),LEN(SUBSTITUTE(jason_converted!G197," 'tel': ",""))),"")</f>
        <v>'05.56.36.05.62'</v>
      </c>
      <c r="H197" t="str">
        <f>IFERROR(LEFT(SUBSTITUTE(jason_converted!H197," 'lat': '",""),LEN(SUBSTITUTE(jason_converted!H197," 'lat': '",""))-1),"")</f>
        <v>44.797000999999995</v>
      </c>
      <c r="I197" t="str">
        <f>IFERROR(LEFT(SUBSTITUTE(jason_converted!I197," 'lng': '",""),LEN(SUBSTITUTE(jason_converted!I197," 'lng': '",""))-1),"")</f>
        <v>-0.675159485117812</v>
      </c>
      <c r="J197" t="str">
        <f>IFERROR(LEFT(SUBSTITUTE(jason_converted!J197," 'nomClub': '",""),LEN(SUBSTITUTE(jason_converted!J197," 'nomClub': '",""))-1),"")</f>
        <v>ASCPA PESSAC</v>
      </c>
      <c r="K197" t="str">
        <f>IFERROR(LEFT(SUBSTITUTE(jason_converted!K197," 'nomCourtClub': '",""),LEN(SUBSTITUTE(jason_converted!K197," 'nomCourtClub': '",""))-1),"")</f>
        <v>ASCPA PESSAC</v>
      </c>
      <c r="L197" t="str">
        <f>IFERROR("https://ffhaltero.fr/" &amp; LEFT(SUBSTITUTE(jason_converted!L197," 'url': '",""),LEN(SUBSTITUTE(jason_converted!L197," 'url': '",""))-1),"")</f>
        <v>https://ffhaltero.fr//pratiquer/ou-pratiquer/ou-pratiquer-fiche-club/02331249-ascpa-pessac'</v>
      </c>
    </row>
    <row r="198" spans="1:12" x14ac:dyDescent="0.25">
      <c r="A198" t="str">
        <f>IFERROR(SUBSTITUTE(jason_converted!A198,"{'id': ",""),"")</f>
        <v>313</v>
      </c>
      <c r="B198" t="str">
        <f>IFERROR(LEFT(SUBSTITUTE(jason_converted!B198," 'nom': '",""),LEN(SUBSTITUTE(jason_converted!B198," 'nom': '",""))-1),"")</f>
        <v>Serval Barbell Club</v>
      </c>
      <c r="C198" t="str">
        <f>IFERROR(LEFT(SUBSTITUTE(jason_converted!C198," 'adresse1': '",""),LEN(SUBSTITUTE(jason_converted!C198," 'adresse1': '",""))-1),"")</f>
        <v>15 AVENUE DE LONDRES</v>
      </c>
      <c r="D198" t="str">
        <f>IFERROR(LEFT(SUBSTITUTE(jason_converted!D198," 'adresse2': '",""),LEN(SUBSTITUTE(jason_converted!D198," 'adresse2': '",""))-1),"")</f>
        <v>ALCAU SAS. CROSSFIT SERVAL</v>
      </c>
      <c r="E198" t="str">
        <f>IFERROR(LEFT(SUBSTITUTE(jason_converted!E198," 'codepostal': '",""),LEN(SUBSTITUTE(jason_converted!E198," 'codepostal': '",""))-1),"")</f>
        <v>13127</v>
      </c>
      <c r="F198" t="str">
        <f>IFERROR(LEFT(SUBSTITUTE(jason_converted!F198," 'ville': '",""),LEN(SUBSTITUTE(jason_converted!F198," 'ville': '",""))-1),"")</f>
        <v>VITROLLES</v>
      </c>
      <c r="G198" t="str">
        <f>IFERROR(LEFT(SUBSTITUTE(jason_converted!G198," 'tel': ",""),LEN(SUBSTITUTE(jason_converted!G198," 'tel': ",""))),"")</f>
        <v>'06.73.78.68.49'</v>
      </c>
      <c r="H198" t="str">
        <f>IFERROR(LEFT(SUBSTITUTE(jason_converted!H198," 'lat': '",""),LEN(SUBSTITUTE(jason_converted!H198," 'lat': '",""))-1),"")</f>
        <v>43.429233249999996</v>
      </c>
      <c r="I198" t="str">
        <f>IFERROR(LEFT(SUBSTITUTE(jason_converted!I198," 'lng': '",""),LEN(SUBSTITUTE(jason_converted!I198," 'lng': '",""))-1),"")</f>
        <v>5.238303730558528</v>
      </c>
      <c r="J198" t="str">
        <f>IFERROR(LEFT(SUBSTITUTE(jason_converted!J198," 'nomClub': '",""),LEN(SUBSTITUTE(jason_converted!J198," 'nomClub': '",""))-1),"")</f>
        <v>SERVAL BARBELL CLUB</v>
      </c>
      <c r="K198" t="str">
        <f>IFERROR(LEFT(SUBSTITUTE(jason_converted!K198," 'nomCourtClub': '",""),LEN(SUBSTITUTE(jason_converted!K198," 'nomCourtClub': '",""))-1),"")</f>
        <v>SERVAL BARBELL CLUB</v>
      </c>
      <c r="L198" t="str">
        <f>IFERROR("https://ffhaltero.fr/" &amp; LEFT(SUBSTITUTE(jason_converted!L198," 'url': '",""),LEN(SUBSTITUTE(jason_converted!L198," 'url': '",""))-1),"")</f>
        <v>https://ffhaltero.fr//pratiquer/ou-pratiquer/ou-pratiquer-fiche-club/20131270-serval-barbell-club'</v>
      </c>
    </row>
    <row r="199" spans="1:12" x14ac:dyDescent="0.25">
      <c r="A199" t="str">
        <f>IFERROR(SUBSTITUTE(jason_converted!A199,"{'id': ",""),"")</f>
        <v>314</v>
      </c>
      <c r="B199" t="str">
        <f>IFERROR(LEFT(SUBSTITUTE(jason_converted!B199," 'nom': '",""),LEN(SUBSTITUTE(jason_converted!B199," 'nom': '",""))-1),"")</f>
        <v>Haltérophile Club de Pointe à Pitre 971</v>
      </c>
      <c r="C199" t="str">
        <f>IFERROR(LEFT(SUBSTITUTE(jason_converted!C199," 'adresse1': '",""),LEN(SUBSTITUTE(jason_converted!C199," 'adresse1': '",""))-1),"")</f>
        <v>6 RUE ACHILLE RENÉ BOISNEUF</v>
      </c>
      <c r="D199" t="str">
        <f>IFERROR(LEFT(SUBSTITUTE(jason_converted!D199," 'adresse2': '",""),LEN(SUBSTITUTE(jason_converted!D199," 'adresse2': '",""))-1),"")</f>
        <v/>
      </c>
      <c r="E199" t="str">
        <f>IFERROR(LEFT(SUBSTITUTE(jason_converted!E199," 'codepostal': '",""),LEN(SUBSTITUTE(jason_converted!E199," 'codepostal': '",""))-1),"")</f>
        <v>97110</v>
      </c>
      <c r="F199" t="str">
        <f>IFERROR(LEFT(SUBSTITUTE(jason_converted!F199," 'ville': '",""),LEN(SUBSTITUTE(jason_converted!F199," 'ville': '",""))-1),"")</f>
        <v>POINTE-À-PITRE</v>
      </c>
      <c r="G199" t="str">
        <f>IFERROR(LEFT(SUBSTITUTE(jason_converted!G199," 'tel': ",""),LEN(SUBSTITUTE(jason_converted!G199," 'tel': ",""))),"")</f>
        <v>'06 90 54 02 66'</v>
      </c>
      <c r="H199" t="str">
        <f>IFERROR(LEFT(SUBSTITUTE(jason_converted!H199," 'lat': '",""),LEN(SUBSTITUTE(jason_converted!H199," 'lat': '",""))-1),"")</f>
        <v>16.236058000000000</v>
      </c>
      <c r="I199" t="str">
        <f>IFERROR(LEFT(SUBSTITUTE(jason_converted!I199," 'lng': '",""),LEN(SUBSTITUTE(jason_converted!I199," 'lng': '",""))-1),"")</f>
        <v>-61.535778999999998</v>
      </c>
      <c r="J199" t="str">
        <f>IFERROR(LEFT(SUBSTITUTE(jason_converted!J199," 'nomClub': '",""),LEN(SUBSTITUTE(jason_converted!J199," 'nomClub': '",""))-1),"")</f>
        <v>HALTEROPHILIE CLUB DE POINTE A PITRE 971</v>
      </c>
      <c r="K199" t="str">
        <f>IFERROR(LEFT(SUBSTITUTE(jason_converted!K199," 'nomCourtClub': '",""),LEN(SUBSTITUTE(jason_converted!K199," 'nomCourtClub': '",""))-1),"")</f>
        <v>HALTEROPHILIE CLUB DE POINTE A PITRE 971</v>
      </c>
      <c r="L199" t="str">
        <f>IFERROR("https://ffhaltero.fr/" &amp; LEFT(SUBSTITUTE(jason_converted!L199," 'url': '",""),LEN(SUBSTITUTE(jason_converted!L199," 'url': '",""))-1),"")</f>
        <v>https://ffhaltero.fr//pratiquer/ou-pratiquer/ou-pratiquer-fiche-club/069710002-halterophilie-club-de-pointe-pitre-971'</v>
      </c>
    </row>
    <row r="200" spans="1:12" x14ac:dyDescent="0.25">
      <c r="A200" t="str">
        <f>IFERROR(SUBSTITUTE(jason_converted!A200,"{'id': ",""),"")</f>
        <v>318</v>
      </c>
      <c r="B200" t="str">
        <f>IFERROR(LEFT(SUBSTITUTE(jason_converted!B200," 'nom': '",""),LEN(SUBSTITUTE(jason_converted!B200," 'nom': '",""))-1),"")</f>
        <v>Salle Pierre Gallien</v>
      </c>
      <c r="C200" t="str">
        <f>IFERROR(LEFT(SUBSTITUTE(jason_converted!C200," 'adresse1': '",""),LEN(SUBSTITUTE(jason_converted!C200," 'adresse1': '",""))-1),"")</f>
        <v>29 RUE LAVOISIER</v>
      </c>
      <c r="D200" t="str">
        <f>IFERROR(LEFT(SUBSTITUTE(jason_converted!D200," 'adresse2': '",""),LEN(SUBSTITUTE(jason_converted!D200," 'adresse2': '",""))-1),"")</f>
        <v xml:space="preserve">SALLE POLYVALENTE </v>
      </c>
      <c r="E200" t="str">
        <f>IFERROR(LEFT(SUBSTITUTE(jason_converted!E200," 'codepostal': '",""),LEN(SUBSTITUTE(jason_converted!E200," 'codepostal': '",""))-1),"")</f>
        <v>38490</v>
      </c>
      <c r="F200" t="str">
        <f>IFERROR(LEFT(SUBSTITUTE(jason_converted!F200," 'ville': '",""),LEN(SUBSTITUTE(jason_converted!F200," 'ville': '",""))-1),"")</f>
        <v>SAINT-ANDRÉ-LE-GAZ</v>
      </c>
      <c r="G200" t="str">
        <f>IFERROR(LEFT(SUBSTITUTE(jason_converted!G200," 'tel': ",""),LEN(SUBSTITUTE(jason_converted!G200," 'tel': ",""))),"")</f>
        <v>'0952389425'</v>
      </c>
      <c r="H200" t="str">
        <f>IFERROR(LEFT(SUBSTITUTE(jason_converted!H200," 'lat': '",""),LEN(SUBSTITUTE(jason_converted!H200," 'lat': '",""))-1),"")</f>
        <v>45.546295999999998</v>
      </c>
      <c r="I200" t="str">
        <f>IFERROR(LEFT(SUBSTITUTE(jason_converted!I200," 'lng': '",""),LEN(SUBSTITUTE(jason_converted!I200," 'lng': '",""))-1),"")</f>
        <v>5.534473000000000</v>
      </c>
      <c r="J200" t="str">
        <f>IFERROR(LEFT(SUBSTITUTE(jason_converted!J200," 'nomClub': '",""),LEN(SUBSTITUTE(jason_converted!J200," 'nomClub': '",""))-1),"")</f>
        <v>HC ST ANDRE LE GAZ</v>
      </c>
      <c r="K200" t="str">
        <f>IFERROR(LEFT(SUBSTITUTE(jason_converted!K200," 'nomCourtClub': '",""),LEN(SUBSTITUTE(jason_converted!K200," 'nomCourtClub': '",""))-1),"")</f>
        <v>HC ST ANDRE LE GAZ</v>
      </c>
      <c r="L200" t="str">
        <f>IFERROR("https://ffhaltero.fr/" &amp; LEFT(SUBSTITUTE(jason_converted!L200," 'url': '",""),LEN(SUBSTITUTE(jason_converted!L200," 'url': '",""))-1),"")</f>
        <v>https://ffhaltero.fr//pratiquer/ou-pratiquer/ou-pratiquer-fiche-club/22380140-hc-st-andre-le-gaz'</v>
      </c>
    </row>
    <row r="201" spans="1:12" x14ac:dyDescent="0.25">
      <c r="A201" t="str">
        <f>IFERROR(SUBSTITUTE(jason_converted!A201,"{'id': ",""),"")</f>
        <v>319</v>
      </c>
      <c r="B201" t="str">
        <f>IFERROR(LEFT(SUBSTITUTE(jason_converted!B201," 'nom': '",""),LEN(SUBSTITUTE(jason_converted!B201," 'nom': '",""))-1),"")</f>
        <v>Salle Pierre Gallien</v>
      </c>
      <c r="C201" t="str">
        <f>IFERROR(LEFT(SUBSTITUTE(jason_converted!C201," 'adresse1': '",""),LEN(SUBSTITUTE(jason_converted!C201," 'adresse1': '",""))-1),"")</f>
        <v>29 RUE LAVOISIER</v>
      </c>
      <c r="D201" t="str">
        <f>IFERROR(LEFT(SUBSTITUTE(jason_converted!D201," 'adresse2': '",""),LEN(SUBSTITUTE(jason_converted!D201," 'adresse2': '",""))-1),"")</f>
        <v/>
      </c>
      <c r="E201" t="str">
        <f>IFERROR(LEFT(SUBSTITUTE(jason_converted!E201," 'codepostal': '",""),LEN(SUBSTITUTE(jason_converted!E201," 'codepostal': '",""))-1),"")</f>
        <v>38490</v>
      </c>
      <c r="F201" t="str">
        <f>IFERROR(LEFT(SUBSTITUTE(jason_converted!F201," 'ville': '",""),LEN(SUBSTITUTE(jason_converted!F201," 'ville': '",""))-1),"")</f>
        <v>LES ABRETS EN DAUPHINÉ</v>
      </c>
      <c r="G201" t="str">
        <f>IFERROR(LEFT(SUBSTITUTE(jason_converted!G201," 'tel': ",""),LEN(SUBSTITUTE(jason_converted!G201," 'tel': ",""))),"")</f>
        <v>'0952389425'</v>
      </c>
      <c r="H201" t="str">
        <f>IFERROR(LEFT(SUBSTITUTE(jason_converted!H201," 'lat': '",""),LEN(SUBSTITUTE(jason_converted!H201," 'lat': '",""))-1),"")</f>
        <v>45.546161400000003</v>
      </c>
      <c r="I201" t="str">
        <f>IFERROR(LEFT(SUBSTITUTE(jason_converted!I201," 'lng': '",""),LEN(SUBSTITUTE(jason_converted!I201," 'lng': '",""))-1),"")</f>
        <v>5.535536981023152</v>
      </c>
      <c r="J201" t="str">
        <f>IFERROR(LEFT(SUBSTITUTE(jason_converted!J201," 'nomClub': '",""),LEN(SUBSTITUTE(jason_converted!J201," 'nomClub': '",""))-1),"")</f>
        <v>HC ST ANDRE LE GAZ</v>
      </c>
      <c r="K201" t="str">
        <f>IFERROR(LEFT(SUBSTITUTE(jason_converted!K201," 'nomCourtClub': '",""),LEN(SUBSTITUTE(jason_converted!K201," 'nomCourtClub': '",""))-1),"")</f>
        <v>HC ST ANDRE LE GAZ</v>
      </c>
      <c r="L201" t="str">
        <f>IFERROR("https://ffhaltero.fr/" &amp; LEFT(SUBSTITUTE(jason_converted!L201," 'url': '",""),LEN(SUBSTITUTE(jason_converted!L201," 'url': '",""))-1),"")</f>
        <v>https://ffhaltero.fr//pratiquer/ou-pratiquer/ou-pratiquer-fiche-club/22380140-hc-st-andre-le-gaz'</v>
      </c>
    </row>
    <row r="202" spans="1:12" x14ac:dyDescent="0.25">
      <c r="A202" t="str">
        <f>IFERROR(SUBSTITUTE(jason_converted!A202,"{'id': ",""),"")</f>
        <v>322</v>
      </c>
      <c r="B202" t="str">
        <f>IFERROR(LEFT(SUBSTITUTE(jason_converted!B202," 'nom': '",""),LEN(SUBSTITUTE(jason_converted!B202," 'nom': '",""))-1),"")</f>
        <v>GUILHEM BROCCHI</v>
      </c>
      <c r="C202" t="str">
        <f>IFERROR(LEFT(SUBSTITUTE(jason_converted!C202," 'adresse1': '",""),LEN(SUBSTITUTE(jason_converted!C202," 'adresse1': '",""))-1),"")</f>
        <v>331 AVENUE JULIEN LEFEBVRE</v>
      </c>
      <c r="D202" t="str">
        <f>IFERROR(LEFT(SUBSTITUTE(jason_converted!D202," 'adresse2': '",""),LEN(SUBSTITUTE(jason_converted!D202," 'adresse2': '",""))-1),"")</f>
        <v/>
      </c>
      <c r="E202" t="str">
        <f>IFERROR(LEFT(SUBSTITUTE(jason_converted!E202," 'codepostal': '",""),LEN(SUBSTITUTE(jason_converted!E202," 'codepostal': '",""))-1),"")</f>
        <v>06270</v>
      </c>
      <c r="F202" t="str">
        <f>IFERROR(LEFT(SUBSTITUTE(jason_converted!F202," 'ville': '",""),LEN(SUBSTITUTE(jason_converted!F202," 'ville': '",""))-1),"")</f>
        <v>VILLENEUVE-LOUBET</v>
      </c>
      <c r="G202" t="str">
        <f>IFERROR(LEFT(SUBSTITUTE(jason_converted!G202," 'tel': ",""),LEN(SUBSTITUTE(jason_converted!G202," 'tel': ",""))),"")</f>
        <v>'0621074326'</v>
      </c>
      <c r="H202" t="str">
        <f>IFERROR(LEFT(SUBSTITUTE(jason_converted!H202," 'lat': '",""),LEN(SUBSTITUTE(jason_converted!H202," 'lat': '",""))-1),"")</f>
        <v>43.634095400000000</v>
      </c>
      <c r="I202" t="str">
        <f>IFERROR(LEFT(SUBSTITUTE(jason_converted!I202," 'lng': '",""),LEN(SUBSTITUTE(jason_converted!I202," 'lng': '",""))-1),"")</f>
        <v>7.132024100000000</v>
      </c>
      <c r="J202" t="str">
        <f>IFERROR(LEFT(SUBSTITUTE(jason_converted!J202," 'nomClub': '",""),LEN(SUBSTITUTE(jason_converted!J202," 'nomClub': '",""))-1),"")</f>
        <v>SARL BROBOX</v>
      </c>
      <c r="K202" t="str">
        <f>IFERROR(LEFT(SUBSTITUTE(jason_converted!K202," 'nomCourtClub': '",""),LEN(SUBSTITUTE(jason_converted!K202," 'nomCourtClub': '",""))-1),"")</f>
        <v xml:space="preserve"> 'nomCourtClub': "BRO'BOX</v>
      </c>
      <c r="L202" t="str">
        <f>IFERROR("https://ffhaltero.fr/" &amp; LEFT(SUBSTITUTE(jason_converted!L202," 'url': '",""),LEN(SUBSTITUTE(jason_converted!L202," 'url': '",""))-1),"")</f>
        <v>https://ffhaltero.fr//pratiquer/ou-pratiquer/ou-pratiquer-fiche-club/339860067-sarl-brobox'</v>
      </c>
    </row>
    <row r="203" spans="1:12" x14ac:dyDescent="0.25">
      <c r="A203" t="str">
        <f>IFERROR(SUBSTITUTE(jason_converted!A203,"{'id': ",""),"")</f>
        <v>323</v>
      </c>
      <c r="B203" t="str">
        <f>IFERROR(LEFT(SUBSTITUTE(jason_converted!B203," 'nom': '",""),LEN(SUBSTITUTE(jason_converted!B203," 'nom': '",""))-1),"")</f>
        <v>gymnase Marcel Coene avenue Guy Moquet 60160 MONTATAIRE</v>
      </c>
      <c r="C203" t="str">
        <f>IFERROR(LEFT(SUBSTITUTE(jason_converted!C203," 'adresse1': '",""),LEN(SUBSTITUTE(jason_converted!C203," 'adresse1': '",""))-1),"")</f>
        <v>83 SQUARE BERTHE FOUCHÈRE</v>
      </c>
      <c r="D203" t="str">
        <f>IFERROR(LEFT(SUBSTITUTE(jason_converted!D203," 'adresse2': '",""),LEN(SUBSTITUTE(jason_converted!D203," 'adresse2': '",""))-1),"")</f>
        <v xml:space="preserve">83 RUE JACQUES DUCLOS 83 RUE JACQUES DUCLOS </v>
      </c>
      <c r="E203" t="str">
        <f>IFERROR(LEFT(SUBSTITUTE(jason_converted!E203," 'codepostal': '",""),LEN(SUBSTITUTE(jason_converted!E203," 'codepostal': '",""))-1),"")</f>
        <v>60160</v>
      </c>
      <c r="F203" t="str">
        <f>IFERROR(LEFT(SUBSTITUTE(jason_converted!F203," 'ville': '",""),LEN(SUBSTITUTE(jason_converted!F203," 'ville': '",""))-1),"")</f>
        <v>MONTATAIRE</v>
      </c>
      <c r="G203" t="str">
        <f>IFERROR(LEFT(SUBSTITUTE(jason_converted!G203," 'tel': ",""),LEN(SUBSTITUTE(jason_converted!G203," 'tel': ",""))),"")</f>
        <v>'0625118039'</v>
      </c>
      <c r="H203" t="str">
        <f>IFERROR(LEFT(SUBSTITUTE(jason_converted!H203," 'lat': '",""),LEN(SUBSTITUTE(jason_converted!H203," 'lat': '",""))-1),"")</f>
        <v>49.255031150000001</v>
      </c>
      <c r="I203" t="str">
        <f>IFERROR(LEFT(SUBSTITUTE(jason_converted!I203," 'lng': '",""),LEN(SUBSTITUTE(jason_converted!I203," 'lng': '",""))-1),"")</f>
        <v>2.431034431610897</v>
      </c>
      <c r="J203" t="str">
        <f>IFERROR(LEFT(SUBSTITUTE(jason_converted!J203," 'nomClub': '",""),LEN(SUBSTITUTE(jason_converted!J203," 'nomClub': '",""))-1),"")</f>
        <v>CHM MONTATAIRIEN</v>
      </c>
      <c r="K203" t="str">
        <f>IFERROR(LEFT(SUBSTITUTE(jason_converted!K203," 'nomCourtClub': '",""),LEN(SUBSTITUTE(jason_converted!K203," 'nomCourtClub': '",""))-1),"")</f>
        <v>CHM MONTATAIRIEN</v>
      </c>
      <c r="L203" t="str">
        <f>IFERROR("https://ffhaltero.fr/" &amp; LEFT(SUBSTITUTE(jason_converted!L203," 'url': '",""),LEN(SUBSTITUTE(jason_converted!L203," 'url': '",""))-1),"")</f>
        <v>https://ffhaltero.fr//pratiquer/ou-pratiquer/ou-pratiquer-fiche-club/08600002-chm-montatairien'</v>
      </c>
    </row>
    <row r="204" spans="1:12" x14ac:dyDescent="0.25">
      <c r="A204" t="str">
        <f>IFERROR(SUBSTITUTE(jason_converted!A204,"{'id': ",""),"")</f>
        <v>324</v>
      </c>
      <c r="B204" t="str">
        <f>IFERROR(LEFT(SUBSTITUTE(jason_converted!B204," 'nom': '",""),LEN(SUBSTITUTE(jason_converted!B204," 'nom': '",""))-1),"")</f>
        <v>CACEB</v>
      </c>
      <c r="C204" t="str">
        <f>IFERROR(LEFT(SUBSTITUTE(jason_converted!C204," 'adresse1': '",""),LEN(SUBSTITUTE(jason_converted!C204," 'adresse1': '",""))-1),"")</f>
        <v>AVENUE MARTIN LUTHER KING</v>
      </c>
      <c r="D204" t="str">
        <f>IFERROR(LEFT(SUBSTITUTE(jason_converted!D204," 'adresse2': '",""),LEN(SUBSTITUTE(jason_converted!D204," 'adresse2': '",""))-1),"")</f>
        <v>BERGEVIN</v>
      </c>
      <c r="E204" t="str">
        <f>IFERROR(LEFT(SUBSTITUTE(jason_converted!E204," 'codepostal': '",""),LEN(SUBSTITUTE(jason_converted!E204," 'codepostal': '",""))-1),"")</f>
        <v>97110</v>
      </c>
      <c r="F204" t="str">
        <f>IFERROR(LEFT(SUBSTITUTE(jason_converted!F204," 'ville': '",""),LEN(SUBSTITUTE(jason_converted!F204," 'ville': '",""))-1),"")</f>
        <v xml:space="preserve"> 'ville': Non</v>
      </c>
      <c r="G204" t="str">
        <f>IFERROR(LEFT(SUBSTITUTE(jason_converted!G204," 'tel': ",""),LEN(SUBSTITUTE(jason_converted!G204," 'tel': ",""))),"")</f>
        <v>None</v>
      </c>
      <c r="H204" t="str">
        <f>IFERROR(LEFT(SUBSTITUTE(jason_converted!H204," 'lat': '",""),LEN(SUBSTITUTE(jason_converted!H204," 'lat': '",""))-1),"")</f>
        <v>16.246724000000000</v>
      </c>
      <c r="I204" t="str">
        <f>IFERROR(LEFT(SUBSTITUTE(jason_converted!I204," 'lng': '",""),LEN(SUBSTITUTE(jason_converted!I204," 'lng': '",""))-1),"")</f>
        <v>-61.535235000000000</v>
      </c>
      <c r="J204" t="str">
        <f>IFERROR(LEFT(SUBSTITUTE(jason_converted!J204," 'nomClub': '",""),LEN(SUBSTITUTE(jason_converted!J204," 'nomClub': '",""))-1),"")</f>
        <v>AHCS POINTOIS</v>
      </c>
      <c r="K204" t="str">
        <f>IFERROR(LEFT(SUBSTITUTE(jason_converted!K204," 'nomCourtClub': '",""),LEN(SUBSTITUTE(jason_converted!K204," 'nomCourtClub': '",""))-1),"")</f>
        <v>AHCS POINTOIS</v>
      </c>
      <c r="L204" t="str">
        <f>IFERROR("https://ffhaltero.fr/" &amp; LEFT(SUBSTITUTE(jason_converted!L204," 'url': '",""),LEN(SUBSTITUTE(jason_converted!L204," 'url': '",""))-1),"")</f>
        <v>https://ffhaltero.fr//pratiquer/ou-pratiquer/ou-pratiquer-fiche-club/269710001-ahcs-pointois'</v>
      </c>
    </row>
    <row r="205" spans="1:12" x14ac:dyDescent="0.25">
      <c r="A205" t="str">
        <f>IFERROR(SUBSTITUTE(jason_converted!A205,"{'id': ",""),"")</f>
        <v>325</v>
      </c>
      <c r="B205" t="str">
        <f>IFERROR(LEFT(SUBSTITUTE(jason_converted!B205," 'nom': '",""),LEN(SUBSTITUTE(jason_converted!B205," 'nom': '",""))-1),"")</f>
        <v>Crossfit Beziers</v>
      </c>
      <c r="C205" t="str">
        <f>IFERROR(LEFT(SUBSTITUTE(jason_converted!C205," 'adresse1': '",""),LEN(SUBSTITUTE(jason_converted!C205," 'adresse1': '",""))-1),"")</f>
        <v>5 RUE RENÉ GOMEZ</v>
      </c>
      <c r="D205" t="str">
        <f>IFERROR(LEFT(SUBSTITUTE(jason_converted!D205," 'adresse2': '",""),LEN(SUBSTITUTE(jason_converted!D205," 'adresse2': '",""))-1),"")</f>
        <v/>
      </c>
      <c r="E205" t="str">
        <f>IFERROR(LEFT(SUBSTITUTE(jason_converted!E205," 'codepostal': '",""),LEN(SUBSTITUTE(jason_converted!E205," 'codepostal': '",""))-1),"")</f>
        <v>34420</v>
      </c>
      <c r="F205" t="str">
        <f>IFERROR(LEFT(SUBSTITUTE(jason_converted!F205," 'ville': '",""),LEN(SUBSTITUTE(jason_converted!F205," 'ville': '",""))-1),"")</f>
        <v>VILLENEUVE-LÈS-BÉZIERS</v>
      </c>
      <c r="G205" t="str">
        <f>IFERROR(LEFT(SUBSTITUTE(jason_converted!G205," 'tel': ",""),LEN(SUBSTITUTE(jason_converted!G205," 'tel': ",""))),"")</f>
        <v>'06.03.54.44.87'</v>
      </c>
      <c r="H205" t="str">
        <f>IFERROR(LEFT(SUBSTITUTE(jason_converted!H205," 'lat': '",""),LEN(SUBSTITUTE(jason_converted!H205," 'lat': '",""))-1),"")</f>
        <v>43.330005999999997</v>
      </c>
      <c r="I205" t="str">
        <f>IFERROR(LEFT(SUBSTITUTE(jason_converted!I205," 'lng': '",""),LEN(SUBSTITUTE(jason_converted!I205," 'lng': '",""))-1),"")</f>
        <v>3.272726000000000</v>
      </c>
      <c r="J205" t="str">
        <f>IFERROR(LEFT(SUBSTITUTE(jason_converted!J205," 'nomClub': '",""),LEN(SUBSTITUTE(jason_converted!J205," 'nomClub': '",""))-1),"")</f>
        <v>CROSSFIT BEZIERS</v>
      </c>
      <c r="K205" t="str">
        <f>IFERROR(LEFT(SUBSTITUTE(jason_converted!K205," 'nomCourtClub': '",""),LEN(SUBSTITUTE(jason_converted!K205," 'nomCourtClub': '",""))-1),"")</f>
        <v>CROSSFIT BEZIERS</v>
      </c>
      <c r="L205" t="str">
        <f>IFERROR("https://ffhaltero.fr/" &amp; LEFT(SUBSTITUTE(jason_converted!L205," 'url': '",""),LEN(SUBSTITUTE(jason_converted!L205," 'url': '",""))-1),"")</f>
        <v>https://ffhaltero.fr//pratiquer/ou-pratiquer/ou-pratiquer-fiche-club/12341267-crossfit-beziers'</v>
      </c>
    </row>
    <row r="206" spans="1:12" x14ac:dyDescent="0.25">
      <c r="A206" t="str">
        <f>IFERROR(SUBSTITUTE(jason_converted!A206,"{'id': ",""),"")</f>
        <v>326</v>
      </c>
      <c r="B206" t="str">
        <f>IFERROR(LEFT(SUBSTITUTE(jason_converted!B206," 'nom': '",""),LEN(SUBSTITUTE(jason_converted!B206," 'nom': '",""))-1),"")</f>
        <v>ESM</v>
      </c>
      <c r="C206" t="str">
        <f>IFERROR(LEFT(SUBSTITUTE(jason_converted!C206," 'adresse1': '",""),LEN(SUBSTITUTE(jason_converted!C206," 'adresse1': '",""))-1),"")</f>
        <v>AVENUE DU MARÉCHAL DE LATTRE DE TASSIGNY</v>
      </c>
      <c r="D206" t="str">
        <f>IFERROR(LEFT(SUBSTITUTE(jason_converted!D206," 'adresse2': '",""),LEN(SUBSTITUTE(jason_converted!D206," 'adresse2': '",""))-1),"")</f>
        <v/>
      </c>
      <c r="E206" t="str">
        <f>IFERROR(LEFT(SUBSTITUTE(jason_converted!E206," 'codepostal': '",""),LEN(SUBSTITUTE(jason_converted!E206," 'codepostal': '",""))-1),"")</f>
        <v>91300</v>
      </c>
      <c r="F206" t="str">
        <f>IFERROR(LEFT(SUBSTITUTE(jason_converted!F206," 'ville': '",""),LEN(SUBSTITUTE(jason_converted!F206," 'ville': '",""))-1),"")</f>
        <v>MASSY</v>
      </c>
      <c r="G206" t="str">
        <f>IFERROR(LEFT(SUBSTITUTE(jason_converted!G206," 'tel': ",""),LEN(SUBSTITUTE(jason_converted!G206," 'tel': ",""))),"")</f>
        <v>'01.69.20.48.30'</v>
      </c>
      <c r="H206" t="str">
        <f>IFERROR(LEFT(SUBSTITUTE(jason_converted!H206," 'lat': '",""),LEN(SUBSTITUTE(jason_converted!H206," 'lat': '",""))-1),"")</f>
        <v>48.720429937205495</v>
      </c>
      <c r="I206" t="str">
        <f>IFERROR(LEFT(SUBSTITUTE(jason_converted!I206," 'lng': '",""),LEN(SUBSTITUTE(jason_converted!I206," 'lng': '",""))-1),"")</f>
        <v>2.289952530455288</v>
      </c>
      <c r="J206" t="str">
        <f>IFERROR(LEFT(SUBSTITUTE(jason_converted!J206," 'nomClub': '",""),LEN(SUBSTITUTE(jason_converted!J206," 'nomClub': '",""))-1),"")</f>
        <v>ES MASSY</v>
      </c>
      <c r="K206" t="str">
        <f>IFERROR(LEFT(SUBSTITUTE(jason_converted!K206," 'nomCourtClub': '",""),LEN(SUBSTITUTE(jason_converted!K206," 'nomCourtClub': '",""))-1),"")</f>
        <v>ES MASSY</v>
      </c>
      <c r="L206" t="str">
        <f>IFERROR("https://ffhaltero.fr/" &amp; LEFT(SUBSTITUTE(jason_converted!L206," 'url': '",""),LEN(SUBSTITUTE(jason_converted!L206," 'url': '",""))-1),"")</f>
        <v>https://ffhaltero.fr//pratiquer/ou-pratiquer/ou-pratiquer-fiche-club/21910191-es-massy'</v>
      </c>
    </row>
    <row r="207" spans="1:12" x14ac:dyDescent="0.25">
      <c r="A207" t="str">
        <f>IFERROR(SUBSTITUTE(jason_converted!A207,"{'id': ",""),"")</f>
        <v>327</v>
      </c>
      <c r="B207" t="str">
        <f>IFERROR(LEFT(SUBSTITUTE(jason_converted!B207," 'nom': '",""),LEN(SUBSTITUTE(jason_converted!B207," 'nom': '",""))-1),"")</f>
        <v>SALLE VAUBAN</v>
      </c>
      <c r="C207" t="str">
        <f>IFERROR(LEFT(SUBSTITUTE(jason_converted!C207," 'adresse1': '",""),LEN(SUBSTITUTE(jason_converted!C207," 'adresse1': '",""))-1),"")</f>
        <v>56 RUE QUAI DE L’ ILL</v>
      </c>
      <c r="D207" t="str">
        <f>IFERROR(LEFT(SUBSTITUTE(jason_converted!D207," 'adresse2': '",""),LEN(SUBSTITUTE(jason_converted!D207," 'adresse2': '",""))-1),"")</f>
        <v>MAISON 2</v>
      </c>
      <c r="E207" t="str">
        <f>IFERROR(LEFT(SUBSTITUTE(jason_converted!E207," 'codepostal': '",""),LEN(SUBSTITUTE(jason_converted!E207," 'codepostal': '",""))-1),"")</f>
        <v>67600</v>
      </c>
      <c r="F207" t="str">
        <f>IFERROR(LEFT(SUBSTITUTE(jason_converted!F207," 'ville': '",""),LEN(SUBSTITUTE(jason_converted!F207," 'ville': '",""))-1),"")</f>
        <v>SÉLESTAT</v>
      </c>
      <c r="G207" t="str">
        <f>IFERROR(LEFT(SUBSTITUTE(jason_converted!G207," 'tel': ",""),LEN(SUBSTITUTE(jason_converted!G207," 'tel': ",""))),"")</f>
        <v>None</v>
      </c>
      <c r="H207" t="str">
        <f>IFERROR(LEFT(SUBSTITUTE(jason_converted!H207," 'lat': '",""),LEN(SUBSTITUTE(jason_converted!H207," 'lat': '",""))-1),"")</f>
        <v>48.266669999999998</v>
      </c>
      <c r="I207" t="str">
        <f>IFERROR(LEFT(SUBSTITUTE(jason_converted!I207," 'lng': '",""),LEN(SUBSTITUTE(jason_converted!I207," 'lng': '",""))-1),"")</f>
        <v>7.454308000000000</v>
      </c>
      <c r="J207" t="str">
        <f>IFERROR(LEFT(SUBSTITUTE(jason_converted!J207," 'nomClub': '",""),LEN(SUBSTITUTE(jason_converted!J207," 'nomClub': '",""))-1),"")</f>
        <v>HCA SELESTAT</v>
      </c>
      <c r="K207" t="str">
        <f>IFERROR(LEFT(SUBSTITUTE(jason_converted!K207," 'nomCourtClub': '",""),LEN(SUBSTITUTE(jason_converted!K207," 'nomCourtClub': '",""))-1),"")</f>
        <v>HCA SELESTAT</v>
      </c>
      <c r="L207" t="str">
        <f>IFERROR("https://ffhaltero.fr/" &amp; LEFT(SUBSTITUTE(jason_converted!L207," 'url': '",""),LEN(SUBSTITUTE(jason_converted!L207," 'url': '",""))-1),"")</f>
        <v>https://ffhaltero.fr//pratiquer/ou-pratiquer/ou-pratiquer-fiche-club/01671015-hca-selestat'</v>
      </c>
    </row>
    <row r="208" spans="1:12" x14ac:dyDescent="0.25">
      <c r="A208" t="str">
        <f>IFERROR(SUBSTITUTE(jason_converted!A208,"{'id': ",""),"")</f>
        <v>328</v>
      </c>
      <c r="B208" t="str">
        <f>IFERROR(LEFT(SUBSTITUTE(jason_converted!B208," 'nom': '",""),LEN(SUBSTITUTE(jason_converted!B208," 'nom': '",""))-1),"")</f>
        <v>SALLE VAUBAN</v>
      </c>
      <c r="C208" t="str">
        <f>IFERROR(LEFT(SUBSTITUTE(jason_converted!C208," 'adresse1': '",""),LEN(SUBSTITUTE(jason_converted!C208," 'adresse1': '",""))-1),"")</f>
        <v>2 BOULEVARD VAUBAN</v>
      </c>
      <c r="D208" t="str">
        <f>IFERROR(LEFT(SUBSTITUTE(jason_converted!D208," 'adresse2': '",""),LEN(SUBSTITUTE(jason_converted!D208," 'adresse2': '",""))-1),"")</f>
        <v/>
      </c>
      <c r="E208" t="str">
        <f>IFERROR(LEFT(SUBSTITUTE(jason_converted!E208," 'codepostal': '",""),LEN(SUBSTITUTE(jason_converted!E208," 'codepostal': '",""))-1),"")</f>
        <v>67600</v>
      </c>
      <c r="F208" t="str">
        <f>IFERROR(LEFT(SUBSTITUTE(jason_converted!F208," 'ville': '",""),LEN(SUBSTITUTE(jason_converted!F208," 'ville': '",""))-1),"")</f>
        <v>SÉLESTAT</v>
      </c>
      <c r="G208" t="str">
        <f>IFERROR(LEFT(SUBSTITUTE(jason_converted!G208," 'tel': ",""),LEN(SUBSTITUTE(jason_converted!G208," 'tel': ",""))),"")</f>
        <v>None</v>
      </c>
      <c r="H208" t="str">
        <f>IFERROR(LEFT(SUBSTITUTE(jason_converted!H208," 'lat': '",""),LEN(SUBSTITUTE(jason_converted!H208," 'lat': '",""))-1),"")</f>
        <v>48.254913000000002</v>
      </c>
      <c r="I208" t="str">
        <f>IFERROR(LEFT(SUBSTITUTE(jason_converted!I208," 'lng': '",""),LEN(SUBSTITUTE(jason_converted!I208," 'lng': '",""))-1),"")</f>
        <v>7.454308000000000</v>
      </c>
      <c r="J208" t="str">
        <f>IFERROR(LEFT(SUBSTITUTE(jason_converted!J208," 'nomClub': '",""),LEN(SUBSTITUTE(jason_converted!J208," 'nomClub': '",""))-1),"")</f>
        <v>HCA SELESTAT</v>
      </c>
      <c r="K208" t="str">
        <f>IFERROR(LEFT(SUBSTITUTE(jason_converted!K208," 'nomCourtClub': '",""),LEN(SUBSTITUTE(jason_converted!K208," 'nomCourtClub': '",""))-1),"")</f>
        <v>HCA SELESTAT</v>
      </c>
      <c r="L208" t="str">
        <f>IFERROR("https://ffhaltero.fr/" &amp; LEFT(SUBSTITUTE(jason_converted!L208," 'url': '",""),LEN(SUBSTITUTE(jason_converted!L208," 'url': '",""))-1),"")</f>
        <v>https://ffhaltero.fr//pratiquer/ou-pratiquer/ou-pratiquer-fiche-club/01671015-hca-selestat'</v>
      </c>
    </row>
    <row r="209" spans="1:12" x14ac:dyDescent="0.25">
      <c r="A209" t="str">
        <f>IFERROR(SUBSTITUTE(jason_converted!A209,"{'id': ",""),"")</f>
        <v>329</v>
      </c>
      <c r="B209" t="str">
        <f>IFERROR(LEFT(SUBSTITUTE(jason_converted!B209," 'nom': '",""),LEN(SUBSTITUTE(jason_converted!B209," 'nom': '",""))-1),"")</f>
        <v>GYMNASE ESPACE MONTAND</v>
      </c>
      <c r="C209" t="str">
        <f>IFERROR(LEFT(SUBSTITUTE(jason_converted!C209," 'adresse1': '",""),LEN(SUBSTITUTE(jason_converted!C209," 'adresse1': '",""))-1),"")</f>
        <v>341 RUE DES 18 SOUS</v>
      </c>
      <c r="D209" t="str">
        <f>IFERROR(LEFT(SUBSTITUTE(jason_converted!D209," 'adresse2': '",""),LEN(SUBSTITUTE(jason_converted!D209," 'adresse2': '",""))-1),"")</f>
        <v/>
      </c>
      <c r="E209" t="str">
        <f>IFERROR(LEFT(SUBSTITUTE(jason_converted!E209," 'codepostal': '",""),LEN(SUBSTITUTE(jason_converted!E209," 'codepostal': '",""))-1),"")</f>
        <v>77176</v>
      </c>
      <c r="F209" t="str">
        <f>IFERROR(LEFT(SUBSTITUTE(jason_converted!F209," 'ville': '",""),LEN(SUBSTITUTE(jason_converted!F209," 'ville': '",""))-1),"")</f>
        <v xml:space="preserve"> 'ville': Non</v>
      </c>
      <c r="G209" t="str">
        <f>IFERROR(LEFT(SUBSTITUTE(jason_converted!G209," 'tel': ",""),LEN(SUBSTITUTE(jason_converted!G209," 'tel': ",""))),"")</f>
        <v>None</v>
      </c>
      <c r="H209" t="str">
        <f>IFERROR(LEFT(SUBSTITUTE(jason_converted!H209," 'lat': '",""),LEN(SUBSTITUTE(jason_converted!H209," 'lat': '",""))-1),"")</f>
        <v>48.588355000000000</v>
      </c>
      <c r="I209" t="str">
        <f>IFERROR(LEFT(SUBSTITUTE(jason_converted!I209," 'lng': '",""),LEN(SUBSTITUTE(jason_converted!I209," 'lng': '",""))-1),"")</f>
        <v>2.568293000000000</v>
      </c>
      <c r="J209" t="str">
        <f>IFERROR(LEFT(SUBSTITUTE(jason_converted!J209," 'nomClub': '",""),LEN(SUBSTITUTE(jason_converted!J209," 'nomClub': '",""))-1),"")</f>
        <v>AS NANDY MUSCULATION</v>
      </c>
      <c r="K209" t="str">
        <f>IFERROR(LEFT(SUBSTITUTE(jason_converted!K209," 'nomCourtClub': '",""),LEN(SUBSTITUTE(jason_converted!K209," 'nomCourtClub': '",""))-1),"")</f>
        <v>AS NANDY MUSCULATION</v>
      </c>
      <c r="L209" t="str">
        <f>IFERROR("https://ffhaltero.fr/" &amp; LEFT(SUBSTITUTE(jason_converted!L209," 'url': '",""),LEN(SUBSTITUTE(jason_converted!L209," 'url': '",""))-1),"")</f>
        <v>https://ffhaltero.fr//pratiquer/ou-pratiquer/ou-pratiquer-fiche-club/21771209-as-nandy-musculation'</v>
      </c>
    </row>
    <row r="210" spans="1:12" x14ac:dyDescent="0.25">
      <c r="A210" t="str">
        <f>IFERROR(SUBSTITUTE(jason_converted!A210,"{'id': ",""),"")</f>
        <v>330</v>
      </c>
      <c r="B210" t="str">
        <f>IFERROR(LEFT(SUBSTITUTE(jason_converted!B210," 'nom': '",""),LEN(SUBSTITUTE(jason_converted!B210," 'nom': '",""))-1),"")</f>
        <v>LOCAL 2 CHAMOIS</v>
      </c>
      <c r="C210" t="str">
        <f>IFERROR(LEFT(SUBSTITUTE(jason_converted!C210," 'adresse1': '",""),LEN(SUBSTITUTE(jason_converted!C210," 'adresse1': '",""))-1),"")</f>
        <v>4 RUE DES CHAMOIS</v>
      </c>
      <c r="D210" t="str">
        <f>IFERROR(LEFT(SUBSTITUTE(jason_converted!D210," 'adresse2': '",""),LEN(SUBSTITUTE(jason_converted!D210," 'adresse2': '",""))-1),"")</f>
        <v/>
      </c>
      <c r="E210" t="str">
        <f>IFERROR(LEFT(SUBSTITUTE(jason_converted!E210," 'codepostal': '",""),LEN(SUBSTITUTE(jason_converted!E210," 'codepostal': '",""))-1),"")</f>
        <v>31200</v>
      </c>
      <c r="F210" t="str">
        <f>IFERROR(LEFT(SUBSTITUTE(jason_converted!F210," 'ville': '",""),LEN(SUBSTITUTE(jason_converted!F210," 'ville': '",""))-1),"")</f>
        <v>TOULOUSE</v>
      </c>
      <c r="G210" t="str">
        <f>IFERROR(LEFT(SUBSTITUTE(jason_converted!G210," 'tel': ",""),LEN(SUBSTITUTE(jason_converted!G210," 'tel': ",""))),"")</f>
        <v>None</v>
      </c>
      <c r="H210" t="str">
        <f>IFERROR(LEFT(SUBSTITUTE(jason_converted!H210," 'lat': '",""),LEN(SUBSTITUTE(jason_converted!H210," 'lat': '",""))-1),"")</f>
        <v>43.638596999999997</v>
      </c>
      <c r="I210" t="str">
        <f>IFERROR(LEFT(SUBSTITUTE(jason_converted!I210," 'lng': '",""),LEN(SUBSTITUTE(jason_converted!I210," 'lng': '",""))-1),"")</f>
        <v>1.443829000000000</v>
      </c>
      <c r="J210" t="str">
        <f>IFERROR(LEFT(SUBSTITUTE(jason_converted!J210," 'nomClub': '",""),LEN(SUBSTITUTE(jason_converted!J210," 'nomClub': '",""))-1),"")</f>
        <v>ASGCI TOULOUSE</v>
      </c>
      <c r="K210" t="str">
        <f>IFERROR(LEFT(SUBSTITUTE(jason_converted!K210," 'nomCourtClub': '",""),LEN(SUBSTITUTE(jason_converted!K210," 'nomCourtClub': '",""))-1),"")</f>
        <v>ASGCI TOULOUSE</v>
      </c>
      <c r="L210" t="str">
        <f>IFERROR("https://ffhaltero.fr/" &amp; LEFT(SUBSTITUTE(jason_converted!L210," 'url': '",""),LEN(SUBSTITUTE(jason_converted!L210," 'url': '",""))-1),"")</f>
        <v>https://ffhaltero.fr//pratiquer/ou-pratiquer/ou-pratiquer-fiche-club/15311238-asgci-toulouse'</v>
      </c>
    </row>
    <row r="211" spans="1:12" x14ac:dyDescent="0.25">
      <c r="A211" t="str">
        <f>IFERROR(SUBSTITUTE(jason_converted!A211,"{'id': ",""),"")</f>
        <v>331</v>
      </c>
      <c r="B211" t="str">
        <f>IFERROR(LEFT(SUBSTITUTE(jason_converted!B211," 'nom': '",""),LEN(SUBSTITUTE(jason_converted!B211," 'nom': '",""))-1),"")</f>
        <v>LOCAL 1 CHAMOIS</v>
      </c>
      <c r="C211" t="str">
        <f>IFERROR(LEFT(SUBSTITUTE(jason_converted!C211," 'adresse1': '",""),LEN(SUBSTITUTE(jason_converted!C211," 'adresse1': '",""))-1),"")</f>
        <v>3 RUE DES CHAMOIS</v>
      </c>
      <c r="D211" t="str">
        <f>IFERROR(LEFT(SUBSTITUTE(jason_converted!D211," 'adresse2': '",""),LEN(SUBSTITUTE(jason_converted!D211," 'adresse2': '",""))-1),"")</f>
        <v/>
      </c>
      <c r="E211" t="str">
        <f>IFERROR(LEFT(SUBSTITUTE(jason_converted!E211," 'codepostal': '",""),LEN(SUBSTITUTE(jason_converted!E211," 'codepostal': '",""))-1),"")</f>
        <v>31200</v>
      </c>
      <c r="F211" t="str">
        <f>IFERROR(LEFT(SUBSTITUTE(jason_converted!F211," 'ville': '",""),LEN(SUBSTITUTE(jason_converted!F211," 'ville': '",""))-1),"")</f>
        <v>TOULOUSE</v>
      </c>
      <c r="G211" t="str">
        <f>IFERROR(LEFT(SUBSTITUTE(jason_converted!G211," 'tel': ",""),LEN(SUBSTITUTE(jason_converted!G211," 'tel': ",""))),"")</f>
        <v>None</v>
      </c>
      <c r="H211" t="str">
        <f>IFERROR(LEFT(SUBSTITUTE(jason_converted!H211," 'lat': '",""),LEN(SUBSTITUTE(jason_converted!H211," 'lat': '",""))-1),"")</f>
        <v>43.638095000000000</v>
      </c>
      <c r="I211" t="str">
        <f>IFERROR(LEFT(SUBSTITUTE(jason_converted!I211," 'lng': '",""),LEN(SUBSTITUTE(jason_converted!I211," 'lng': '",""))-1),"")</f>
        <v>1.443036000000000</v>
      </c>
      <c r="J211" t="str">
        <f>IFERROR(LEFT(SUBSTITUTE(jason_converted!J211," 'nomClub': '",""),LEN(SUBSTITUTE(jason_converted!J211," 'nomClub': '",""))-1),"")</f>
        <v>ASGCI TOULOUSE</v>
      </c>
      <c r="K211" t="str">
        <f>IFERROR(LEFT(SUBSTITUTE(jason_converted!K211," 'nomCourtClub': '",""),LEN(SUBSTITUTE(jason_converted!K211," 'nomCourtClub': '",""))-1),"")</f>
        <v>ASGCI TOULOUSE</v>
      </c>
      <c r="L211" t="str">
        <f>IFERROR("https://ffhaltero.fr/" &amp; LEFT(SUBSTITUTE(jason_converted!L211," 'url': '",""),LEN(SUBSTITUTE(jason_converted!L211," 'url': '",""))-1),"")</f>
        <v>https://ffhaltero.fr//pratiquer/ou-pratiquer/ou-pratiquer-fiche-club/15311238-asgci-toulouse'</v>
      </c>
    </row>
    <row r="212" spans="1:12" x14ac:dyDescent="0.25">
      <c r="A212" t="str">
        <f>IFERROR(SUBSTITUTE(jason_converted!A212,"{'id': ",""),"")</f>
        <v>332</v>
      </c>
      <c r="B212" t="str">
        <f>IFERROR(LEFT(SUBSTITUTE(jason_converted!B212," 'nom': '",""),LEN(SUBSTITUTE(jason_converted!B212," 'nom': '",""))-1),"")</f>
        <v>COMPLEXE SPORTIF DENIS PADOVANI</v>
      </c>
      <c r="C212" t="str">
        <f>IFERROR(LEFT(SUBSTITUTE(jason_converted!C212," 'adresse1': '",""),LEN(SUBSTITUTE(jason_converted!C212," 'adresse1': '",""))-1),"")</f>
        <v>774 AVENUE COMPLEXE SPORTIF DENIS PADOVANI AVENUE DU PETIT PRINCE BP 60094</v>
      </c>
      <c r="D212" t="str">
        <f>IFERROR(LEFT(SUBSTITUTE(jason_converted!D212," 'adresse2': '",""),LEN(SUBSTITUTE(jason_converted!D212," 'adresse2': '",""))-1),"")</f>
        <v>COMPLEXE  SPORTIF DENIS PADOVANI RDC HYDRAVIONS</v>
      </c>
      <c r="E212" t="str">
        <f>IFERROR(LEFT(SUBSTITUTE(jason_converted!E212," 'codepostal': '",""),LEN(SUBSTITUTE(jason_converted!E212," 'codepostal': '",""))-1),"")</f>
        <v>13130</v>
      </c>
      <c r="F212" t="str">
        <f>IFERROR(LEFT(SUBSTITUTE(jason_converted!F212," 'ville': '",""),LEN(SUBSTITUTE(jason_converted!F212," 'ville': '",""))-1),"")</f>
        <v xml:space="preserve"> 'ville': "BERRE-L'ÉTANG</v>
      </c>
      <c r="G212" t="str">
        <f>IFERROR(LEFT(SUBSTITUTE(jason_converted!G212," 'tel': ",""),LEN(SUBSTITUTE(jason_converted!G212," 'tel': ",""))),"")</f>
        <v>'0612188023'</v>
      </c>
      <c r="H212" t="str">
        <f>IFERROR(LEFT(SUBSTITUTE(jason_converted!H212," 'lat': '",""),LEN(SUBSTITUTE(jason_converted!H212," 'lat': '",""))-1),"")</f>
        <v>0.000000000000000</v>
      </c>
      <c r="I212" t="str">
        <f>IFERROR(LEFT(SUBSTITUTE(jason_converted!I212," 'lng': '",""),LEN(SUBSTITUTE(jason_converted!I212," 'lng': '",""))-1),"")</f>
        <v>0.000000000000000</v>
      </c>
      <c r="J212" t="str">
        <f>IFERROR(LEFT(SUBSTITUTE(jason_converted!J212," 'nomClub': '",""),LEN(SUBSTITUTE(jason_converted!J212," 'nomClub': '",""))-1),"")</f>
        <v>HMC BERRE</v>
      </c>
      <c r="K212" t="str">
        <f>IFERROR(LEFT(SUBSTITUTE(jason_converted!K212," 'nomCourtClub': '",""),LEN(SUBSTITUTE(jason_converted!K212," 'nomCourtClub': '",""))-1),"")</f>
        <v>HMC BERRE</v>
      </c>
      <c r="L212" t="str">
        <f>IFERROR("https://ffhaltero.fr/" &amp; LEFT(SUBSTITUTE(jason_converted!L212," 'url': '",""),LEN(SUBSTITUTE(jason_converted!L212," 'url': '",""))-1),"")</f>
        <v>https://ffhaltero.fr//pratiquer/ou-pratiquer/ou-pratiquer-fiche-club/20130472-hmc-berre'</v>
      </c>
    </row>
    <row r="213" spans="1:12" x14ac:dyDescent="0.25">
      <c r="A213" t="str">
        <f>IFERROR(SUBSTITUTE(jason_converted!A213,"{'id': ",""),"")</f>
        <v>333</v>
      </c>
      <c r="B213" t="str">
        <f>IFERROR(LEFT(SUBSTITUTE(jason_converted!B213," 'nom': '",""),LEN(SUBSTITUTE(jason_converted!B213," 'nom': '",""))-1),"")</f>
        <v>Salle DUPOIZAT</v>
      </c>
      <c r="C213" t="str">
        <f>IFERROR(LEFT(SUBSTITUTE(jason_converted!C213," 'adresse1': '",""),LEN(SUBSTITUTE(jason_converted!C213," 'adresse1': '",""))-1),"")</f>
        <v>CHEMIN DU LAC</v>
      </c>
      <c r="D213" t="str">
        <f>IFERROR(LEFT(SUBSTITUTE(jason_converted!D213," 'adresse2': '",""),LEN(SUBSTITUTE(jason_converted!D213," 'adresse2': '",""))-1),"")</f>
        <v/>
      </c>
      <c r="E213" t="str">
        <f>IFERROR(LEFT(SUBSTITUTE(jason_converted!E213," 'codepostal': '",""),LEN(SUBSTITUTE(jason_converted!E213," 'codepostal': '",""))-1),"")</f>
        <v>69380</v>
      </c>
      <c r="F213" t="str">
        <f>IFERROR(LEFT(SUBSTITUTE(jason_converted!F213," 'ville': '",""),LEN(SUBSTITUTE(jason_converted!F213," 'ville': '",""))-1),"")</f>
        <v>CHÂTILLON</v>
      </c>
      <c r="G213" t="str">
        <f>IFERROR(LEFT(SUBSTITUTE(jason_converted!G213," 'tel': ",""),LEN(SUBSTITUTE(jason_converted!G213," 'tel': ",""))),"")</f>
        <v>None</v>
      </c>
      <c r="H213" t="str">
        <f>IFERROR(LEFT(SUBSTITUTE(jason_converted!H213," 'lat': '",""),LEN(SUBSTITUTE(jason_converted!H213," 'lat': '",""))-1),"")</f>
        <v>45.874001999999997</v>
      </c>
      <c r="I213" t="str">
        <f>IFERROR(LEFT(SUBSTITUTE(jason_converted!I213," 'lng': '",""),LEN(SUBSTITUTE(jason_converted!I213," 'lng': '",""))-1),"")</f>
        <v>4.640929642447998</v>
      </c>
      <c r="J213" t="str">
        <f>IFERROR(LEFT(SUBSTITUTE(jason_converted!J213," 'nomClub': '",""),LEN(SUBSTITUTE(jason_converted!J213," 'nomClub': '",""))-1),"")</f>
        <v>HC CHATILLON D AZERGUES</v>
      </c>
      <c r="K213" t="str">
        <f>IFERROR(LEFT(SUBSTITUTE(jason_converted!K213," 'nomCourtClub': '",""),LEN(SUBSTITUTE(jason_converted!K213," 'nomCourtClub': '",""))-1),"")</f>
        <v>HC CHATILLON D AZERGUES</v>
      </c>
      <c r="L213" t="str">
        <f>IFERROR("https://ffhaltero.fr/" &amp; LEFT(SUBSTITUTE(jason_converted!L213," 'url': '",""),LEN(SUBSTITUTE(jason_converted!L213," 'url': '",""))-1),"")</f>
        <v>https://ffhaltero.fr//pratiquer/ou-pratiquer/ou-pratiquer-fiche-club/22690297-hc-chatillon-azergues'</v>
      </c>
    </row>
    <row r="214" spans="1:12" x14ac:dyDescent="0.25">
      <c r="A214" t="str">
        <f>IFERROR(SUBSTITUTE(jason_converted!A214,"{'id': ",""),"")</f>
        <v>334</v>
      </c>
      <c r="B214" t="str">
        <f>IFERROR(LEFT(SUBSTITUTE(jason_converted!B214," 'nom': '",""),LEN(SUBSTITUTE(jason_converted!B214," 'nom': '",""))-1),"")</f>
        <v>Kurnos Lift Club</v>
      </c>
      <c r="C214" t="str">
        <f>IFERROR(LEFT(SUBSTITUTE(jason_converted!C214," 'adresse1': '",""),LEN(SUBSTITUTE(jason_converted!C214," 'adresse1': '",""))-1),"")</f>
        <v>C 150</v>
      </c>
      <c r="D214" t="str">
        <f>IFERROR(LEFT(SUBSTITUTE(jason_converted!D214," 'adresse2': '",""),LEN(SUBSTITUTE(jason_converted!D214," 'adresse2': '",""))-1),"")</f>
        <v/>
      </c>
      <c r="E214" t="str">
        <f>IFERROR(LEFT(SUBSTITUTE(jason_converted!E214," 'codepostal': '",""),LEN(SUBSTITUTE(jason_converted!E214," 'codepostal': '",""))-1),"")</f>
        <v>20600</v>
      </c>
      <c r="F214" t="str">
        <f>IFERROR(LEFT(SUBSTITUTE(jason_converted!F214," 'ville': '",""),LEN(SUBSTITUTE(jason_converted!F214," 'ville': '",""))-1),"")</f>
        <v xml:space="preserve"> 'ville': Non</v>
      </c>
      <c r="G214" t="str">
        <f>IFERROR(LEFT(SUBSTITUTE(jason_converted!G214," 'tel': ",""),LEN(SUBSTITUTE(jason_converted!G214," 'tel': ",""))),"")</f>
        <v>'0777281419'</v>
      </c>
      <c r="H214" t="str">
        <f>IFERROR(LEFT(SUBSTITUTE(jason_converted!H214," 'lat': '",""),LEN(SUBSTITUTE(jason_converted!H214," 'lat': '",""))-1),"")</f>
        <v>42.664138419422336</v>
      </c>
      <c r="I214" t="str">
        <f>IFERROR(LEFT(SUBSTITUTE(jason_converted!I214," 'lng': '",""),LEN(SUBSTITUTE(jason_converted!I214," 'lng': '",""))-1),"")</f>
        <v>9.437247645272231</v>
      </c>
      <c r="J214" t="str">
        <f>IFERROR(LEFT(SUBSTITUTE(jason_converted!J214," 'nomClub': '",""),LEN(SUBSTITUTE(jason_converted!J214," 'nomClub': '",""))-1),"")</f>
        <v>CROSSFIT KURNOS</v>
      </c>
      <c r="K214" t="str">
        <f>IFERROR(LEFT(SUBSTITUTE(jason_converted!K214," 'nomCourtClub': '",""),LEN(SUBSTITUTE(jason_converted!K214," 'nomCourtClub': '",""))-1),"")</f>
        <v>KURNOS LIFT CLUB</v>
      </c>
      <c r="L214" t="str">
        <f>IFERROR("https://ffhaltero.fr/" &amp; LEFT(SUBSTITUTE(jason_converted!L214," 'url': '",""),LEN(SUBSTITUTE(jason_converted!L214," 'url': '",""))-1),"")</f>
        <v>https://ffhaltero.fr//pratiquer/ou-pratiquer/ou-pratiquer-fiche-club/339860068-crossfit-kurnos'</v>
      </c>
    </row>
    <row r="215" spans="1:12" x14ac:dyDescent="0.25">
      <c r="A215" t="str">
        <f>IFERROR(SUBSTITUTE(jason_converted!A215,"{'id': ",""),"")</f>
        <v>335</v>
      </c>
      <c r="B215" t="str">
        <f>IFERROR(LEFT(SUBSTITUTE(jason_converted!B215," 'nom': '",""),LEN(SUBSTITUTE(jason_converted!B215," 'nom': '",""))-1),"")</f>
        <v>BRIAND PHILIPPE</v>
      </c>
      <c r="C215" t="str">
        <f>IFERROR(LEFT(SUBSTITUTE(jason_converted!C215," 'adresse1': '",""),LEN(SUBSTITUTE(jason_converted!C215," 'adresse1': '",""))-1),"")</f>
        <v>15 AVENUE DE LA BORDELAISE</v>
      </c>
      <c r="D215" t="str">
        <f>IFERROR(LEFT(SUBSTITUTE(jason_converted!D215," 'adresse2': '",""),LEN(SUBSTITUTE(jason_converted!D215," 'adresse2': '",""))-1),"")</f>
        <v/>
      </c>
      <c r="E215" t="str">
        <f>IFERROR(LEFT(SUBSTITUTE(jason_converted!E215," 'codepostal': '",""),LEN(SUBSTITUTE(jason_converted!E215," 'codepostal': '",""))-1),"")</f>
        <v>34110</v>
      </c>
      <c r="F215" t="str">
        <f>IFERROR(LEFT(SUBSTITUTE(jason_converted!F215," 'ville': '",""),LEN(SUBSTITUTE(jason_converted!F215," 'ville': '",""))-1),"")</f>
        <v>FRONTIGNAN</v>
      </c>
      <c r="G215" t="str">
        <f>IFERROR(LEFT(SUBSTITUTE(jason_converted!G215," 'tel': ",""),LEN(SUBSTITUTE(jason_converted!G215," 'tel': ",""))),"")</f>
        <v>'0982344962'</v>
      </c>
      <c r="H215" t="str">
        <f>IFERROR(LEFT(SUBSTITUTE(jason_converted!H215," 'lat': '",""),LEN(SUBSTITUTE(jason_converted!H215," 'lat': '",""))-1),"")</f>
        <v>43.511076000000003</v>
      </c>
      <c r="I215" t="str">
        <f>IFERROR(LEFT(SUBSTITUTE(jason_converted!I215," 'lng': '",""),LEN(SUBSTITUTE(jason_converted!I215," 'lng': '",""))-1),"")</f>
        <v>3.815685000000000</v>
      </c>
      <c r="J215" t="str">
        <f>IFERROR(LEFT(SUBSTITUTE(jason_converted!J215," 'nomClub': '",""),LEN(SUBSTITUTE(jason_converted!J215," 'nomClub': '",""))-1),"")</f>
        <v>SASU  BRIAND</v>
      </c>
      <c r="K215" t="str">
        <f>IFERROR(LEFT(SUBSTITUTE(jason_converted!K215," 'nomCourtClub': '",""),LEN(SUBSTITUTE(jason_converted!K215," 'nomCourtClub': '",""))-1),"")</f>
        <v>SASU  BRIAND</v>
      </c>
      <c r="L215" t="str">
        <f>IFERROR("https://ffhaltero.fr/" &amp; LEFT(SUBSTITUTE(jason_converted!L215," 'url': '",""),LEN(SUBSTITUTE(jason_converted!L215," 'url': '",""))-1),"")</f>
        <v>https://ffhaltero.fr//pratiquer/ou-pratiquer/ou-pratiquer-fiche-club/15340004-sasu-briand'</v>
      </c>
    </row>
    <row r="216" spans="1:12" x14ac:dyDescent="0.25">
      <c r="A216" t="str">
        <f>IFERROR(SUBSTITUTE(jason_converted!A216,"{'id': ",""),"")</f>
        <v>336</v>
      </c>
      <c r="B216" t="str">
        <f>IFERROR(LEFT(SUBSTITUTE(jason_converted!B216," 'nom': '",""),LEN(SUBSTITUTE(jason_converted!B216," 'nom': '",""))-1),"")</f>
        <v>PHYSIC CLUB DE SAINT LYE</v>
      </c>
      <c r="C216" t="str">
        <f>IFERROR(LEFT(SUBSTITUTE(jason_converted!C216," 'adresse1': '",""),LEN(SUBSTITUTE(jason_converted!C216," 'adresse1': '",""))-1),"")</f>
        <v>MAIRIE DE ST LYE 4 AVENUE DE LA GARE</v>
      </c>
      <c r="D216" t="str">
        <f>IFERROR(LEFT(SUBSTITUTE(jason_converted!D216," 'adresse2': '",""),LEN(SUBSTITUTE(jason_converted!D216," 'adresse2': '",""))-1),"")</f>
        <v/>
      </c>
      <c r="E216" t="str">
        <f>IFERROR(LEFT(SUBSTITUTE(jason_converted!E216," 'codepostal': '",""),LEN(SUBSTITUTE(jason_converted!E216," 'codepostal': '",""))-1),"")</f>
        <v>10180</v>
      </c>
      <c r="F216" t="str">
        <f>IFERROR(LEFT(SUBSTITUTE(jason_converted!F216," 'ville': '",""),LEN(SUBSTITUTE(jason_converted!F216," 'ville': '",""))-1),"")</f>
        <v>SAINT-LYÉ</v>
      </c>
      <c r="G216" t="str">
        <f>IFERROR(LEFT(SUBSTITUTE(jason_converted!G216," 'tel': ",""),LEN(SUBSTITUTE(jason_converted!G216," 'tel': ",""))),"")</f>
        <v>'0638337833'</v>
      </c>
      <c r="H216" t="str">
        <f>IFERROR(LEFT(SUBSTITUTE(jason_converted!H216," 'lat': '",""),LEN(SUBSTITUTE(jason_converted!H216," 'lat': '",""))-1),"")</f>
        <v>48.360776999999999</v>
      </c>
      <c r="I216" t="str">
        <f>IFERROR(LEFT(SUBSTITUTE(jason_converted!I216," 'lng': '",""),LEN(SUBSTITUTE(jason_converted!I216," 'lng': '",""))-1),"")</f>
        <v>4.002818000000000</v>
      </c>
      <c r="J216" t="str">
        <f>IFERROR(LEFT(SUBSTITUTE(jason_converted!J216," 'nomClub': '",""),LEN(SUBSTITUTE(jason_converted!J216," 'nomClub': '",""))-1),"")</f>
        <v>PHYSIC CLUB DE SAINT LYE</v>
      </c>
      <c r="K216" t="str">
        <f>IFERROR(LEFT(SUBSTITUTE(jason_converted!K216," 'nomCourtClub': '",""),LEN(SUBSTITUTE(jason_converted!K216," 'nomCourtClub': '",""))-1),"")</f>
        <v>PHYSIC CLUB DE SAINT LYE</v>
      </c>
      <c r="L216" t="str">
        <f>IFERROR("https://ffhaltero.fr/" &amp; LEFT(SUBSTITUTE(jason_converted!L216," 'url': '",""),LEN(SUBSTITUTE(jason_converted!L216," 'url': '",""))-1),"")</f>
        <v>https://ffhaltero.fr//pratiquer/ou-pratiquer/ou-pratiquer-fiche-club/08101072-physic-club-de-saint-lye'</v>
      </c>
    </row>
    <row r="217" spans="1:12" x14ac:dyDescent="0.25">
      <c r="A217" t="str">
        <f>IFERROR(SUBSTITUTE(jason_converted!A217,"{'id': ",""),"")</f>
        <v>338</v>
      </c>
      <c r="B217" t="str">
        <f>IFERROR(LEFT(SUBSTITUTE(jason_converted!B217," 'nom': '",""),LEN(SUBSTITUTE(jason_converted!B217," 'nom': '",""))-1),"")</f>
        <v>Lycée de Kahani</v>
      </c>
      <c r="C217" t="str">
        <f>IFERROR(LEFT(SUBSTITUTE(jason_converted!C217," 'adresse1': '",""),LEN(SUBSTITUTE(jason_converted!C217," 'adresse1': '",""))-1),"")</f>
        <v xml:space="preserve"> RUE DU LYCÉE</v>
      </c>
      <c r="D217" t="str">
        <f>IFERROR(LEFT(SUBSTITUTE(jason_converted!D217," 'adresse2': '",""),LEN(SUBSTITUTE(jason_converted!D217," 'adresse2': '",""))-1),"")</f>
        <v/>
      </c>
      <c r="E217" t="str">
        <f>IFERROR(LEFT(SUBSTITUTE(jason_converted!E217," 'codepostal': '",""),LEN(SUBSTITUTE(jason_converted!E217," 'codepostal': '",""))-1),"")</f>
        <v>97670</v>
      </c>
      <c r="F217" t="str">
        <f>IFERROR(LEFT(SUBSTITUTE(jason_converted!F217," 'ville': '",""),LEN(SUBSTITUTE(jason_converted!F217," 'ville': '",""))-1),"")</f>
        <v>OUANGANI</v>
      </c>
      <c r="G217" t="str">
        <f>IFERROR(LEFT(SUBSTITUTE(jason_converted!G217," 'tel': ",""),LEN(SUBSTITUTE(jason_converted!G217," 'tel': ",""))),"")</f>
        <v>'06.66.93.72.49'</v>
      </c>
      <c r="H217" t="str">
        <f>IFERROR(LEFT(SUBSTITUTE(jason_converted!H217," 'lat': '",""),LEN(SUBSTITUTE(jason_converted!H217," 'lat': '",""))-1),"")</f>
        <v>-12.826047000000001</v>
      </c>
      <c r="I217" t="str">
        <f>IFERROR(LEFT(SUBSTITUTE(jason_converted!I217," 'lng': '",""),LEN(SUBSTITUTE(jason_converted!I217," 'lng': '",""))-1),"")</f>
        <v>45.129598999999999</v>
      </c>
      <c r="J217" t="str">
        <f>IFERROR(LEFT(SUBSTITUTE(jason_converted!J217," 'nomClub': '",""),LEN(SUBSTITUTE(jason_converted!J217," 'nomClub': '",""))-1),"")</f>
        <v>MAY STRENGTH</v>
      </c>
      <c r="K217" t="str">
        <f>IFERROR(LEFT(SUBSTITUTE(jason_converted!K217," 'nomCourtClub': '",""),LEN(SUBSTITUTE(jason_converted!K217," 'nomCourtClub': '",""))-1),"")</f>
        <v>MAY STRENGTH</v>
      </c>
      <c r="L217" t="str">
        <f>IFERROR("https://ffhaltero.fr/" &amp; LEFT(SUBSTITUTE(jason_converted!L217," 'url': '",""),LEN(SUBSTITUTE(jason_converted!L217," 'url': '",""))-1),"")</f>
        <v>https://ffhaltero.fr//pratiquer/ou-pratiquer/ou-pratiquer-fiche-club/119760002-may-strength'</v>
      </c>
    </row>
    <row r="218" spans="1:12" x14ac:dyDescent="0.25">
      <c r="A218" t="str">
        <f>IFERROR(SUBSTITUTE(jason_converted!A218,"{'id': ",""),"")</f>
        <v>339</v>
      </c>
      <c r="B218" t="str">
        <f>IFERROR(LEFT(SUBSTITUTE(jason_converted!B218," 'nom': '",""),LEN(SUBSTITUTE(jason_converted!B218," 'nom': '",""))-1),"")</f>
        <v>Gym Club Emblavez</v>
      </c>
      <c r="C218" t="str">
        <f>IFERROR(LEFT(SUBSTITUTE(jason_converted!C218," 'adresse1': '",""),LEN(SUBSTITUTE(jason_converted!C218," 'adresse1': '",""))-1),"")</f>
        <v>2460 RUE DE LA SUISSESSE</v>
      </c>
      <c r="D218" t="str">
        <f>IFERROR(LEFT(SUBSTITUTE(jason_converted!D218," 'adresse2': '",""),LEN(SUBSTITUTE(jason_converted!D218," 'adresse2': '",""))-1),"")</f>
        <v/>
      </c>
      <c r="E218" t="str">
        <f>IFERROR(LEFT(SUBSTITUTE(jason_converted!E218," 'codepostal': '",""),LEN(SUBSTITUTE(jason_converted!E218," 'codepostal': '",""))-1),"")</f>
        <v>43800</v>
      </c>
      <c r="F218" t="str">
        <f>IFERROR(LEFT(SUBSTITUTE(jason_converted!F218," 'ville': '",""),LEN(SUBSTITUTE(jason_converted!F218," 'ville': '",""))-1),"")</f>
        <v>BEAULIEU</v>
      </c>
      <c r="G218" t="str">
        <f>IFERROR(LEFT(SUBSTITUTE(jason_converted!G218," 'tel': ",""),LEN(SUBSTITUTE(jason_converted!G218," 'tel': ",""))),"")</f>
        <v>None</v>
      </c>
      <c r="H218" t="str">
        <f>IFERROR(LEFT(SUBSTITUTE(jason_converted!H218," 'lat': '",""),LEN(SUBSTITUTE(jason_converted!H218," 'lat': '",""))-1),"")</f>
        <v>45.125709000000001</v>
      </c>
      <c r="I218" t="str">
        <f>IFERROR(LEFT(SUBSTITUTE(jason_converted!I218," 'lng': '",""),LEN(SUBSTITUTE(jason_converted!I218," 'lng': '",""))-1),"")</f>
        <v>3.946486855978261</v>
      </c>
      <c r="J218" t="str">
        <f>IFERROR(LEFT(SUBSTITUTE(jason_converted!J218," 'nomClub': '",""),LEN(SUBSTITUTE(jason_converted!J218," 'nomClub': '",""))-1),"")</f>
        <v>GYM CLUB EMBLAVEZ</v>
      </c>
      <c r="K218" t="str">
        <f>IFERROR(LEFT(SUBSTITUTE(jason_converted!K218," 'nomCourtClub': '",""),LEN(SUBSTITUTE(jason_converted!K218," 'nomCourtClub': '",""))-1),"")</f>
        <v>GYM CLUB EMBLAVEZ</v>
      </c>
      <c r="L218" t="str">
        <f>IFERROR("https://ffhaltero.fr/" &amp; LEFT(SUBSTITUTE(jason_converted!L218," 'url': '",""),LEN(SUBSTITUTE(jason_converted!L218," 'url': '",""))-1),"")</f>
        <v>https://ffhaltero.fr//pratiquer/ou-pratiquer/ou-pratiquer-fiche-club/01430002-gym-club-emblavez'</v>
      </c>
    </row>
    <row r="219" spans="1:12" x14ac:dyDescent="0.25">
      <c r="A219" t="str">
        <f>IFERROR(SUBSTITUTE(jason_converted!A219,"{'id': ",""),"")</f>
        <v>342</v>
      </c>
      <c r="B219" t="str">
        <f>IFERROR(LEFT(SUBSTITUTE(jason_converted!B219," 'nom': '",""),LEN(SUBSTITUTE(jason_converted!B219," 'nom': '",""))-1),"")</f>
        <v>vsdhei</v>
      </c>
      <c r="C219" t="str">
        <f>IFERROR(LEFT(SUBSTITUTE(jason_converted!C219," 'adresse1': '",""),LEN(SUBSTITUTE(jason_converted!C219," 'adresse1': '",""))-1),"")</f>
        <v>RUE PAUL BOUTONNET</v>
      </c>
      <c r="D219" t="str">
        <f>IFERROR(LEFT(SUBSTITUTE(jason_converted!D219," 'adresse2': '",""),LEN(SUBSTITUTE(jason_converted!D219," 'adresse2': '",""))-1),"")</f>
        <v/>
      </c>
      <c r="E219" t="str">
        <f>IFERROR(LEFT(SUBSTITUTE(jason_converted!E219," 'codepostal': '",""),LEN(SUBSTITUTE(jason_converted!E219," 'codepostal': '",""))-1),"")</f>
        <v>98800</v>
      </c>
      <c r="F219" t="str">
        <f>IFERROR(LEFT(SUBSTITUTE(jason_converted!F219," 'ville': '",""),LEN(SUBSTITUTE(jason_converted!F219," 'ville': '",""))-1),"")</f>
        <v>NOUMEA</v>
      </c>
      <c r="G219" t="str">
        <f>IFERROR(LEFT(SUBSTITUTE(jason_converted!G219," 'tel': ",""),LEN(SUBSTITUTE(jason_converted!G219," 'tel': ",""))),"")</f>
        <v>None</v>
      </c>
      <c r="H219" t="str">
        <f>IFERROR(LEFT(SUBSTITUTE(jason_converted!H219," 'lat': '",""),LEN(SUBSTITUTE(jason_converted!H219," 'lat': '",""))-1),"")</f>
        <v>-22.298133199999999</v>
      </c>
      <c r="I219" t="str">
        <f>IFERROR(LEFT(SUBSTITUTE(jason_converted!I219," 'lng': '",""),LEN(SUBSTITUTE(jason_converted!I219," 'lng': '",""))-1),"")</f>
        <v>166.443538914597241</v>
      </c>
      <c r="J219" t="str">
        <f>IFERROR(LEFT(SUBSTITUTE(jason_converted!J219," 'nomClub': '",""),LEN(SUBSTITUTE(jason_converted!J219," 'nomClub': '",""))-1),"")</f>
        <v>OLYMPIQUE DE NOUMEA</v>
      </c>
      <c r="K219" t="str">
        <f>IFERROR(LEFT(SUBSTITUTE(jason_converted!K219," 'nomCourtClub': '",""),LEN(SUBSTITUTE(jason_converted!K219," 'nomCourtClub': '",""))-1),"")</f>
        <v>OLYMPIQUE DE NOUMEA</v>
      </c>
      <c r="L219" t="str">
        <f>IFERROR("https://ffhaltero.fr/" &amp; LEFT(SUBSTITUTE(jason_converted!L219," 'url': '",""),LEN(SUBSTITUTE(jason_converted!L219," 'url': '",""))-1),"")</f>
        <v>https://ffhaltero.fr//pratiquer/ou-pratiquer/ou-pratiquer-fiche-club/329880012-olympique-de-noumea'</v>
      </c>
    </row>
    <row r="220" spans="1:12" x14ac:dyDescent="0.25">
      <c r="A220" t="str">
        <f>IFERROR(SUBSTITUTE(jason_converted!A220,"{'id': ",""),"")</f>
        <v/>
      </c>
      <c r="B220" t="str">
        <f>IFERROR(LEFT(SUBSTITUTE(jason_converted!B220," 'nom': '",""),LEN(SUBSTITUTE(jason_converted!B220," 'nom': '",""))-1),"")</f>
        <v/>
      </c>
      <c r="C220" t="str">
        <f>IFERROR(LEFT(SUBSTITUTE(jason_converted!C220," 'adresse1': '",""),LEN(SUBSTITUTE(jason_converted!C220," 'adresse1': '",""))-1),"")</f>
        <v/>
      </c>
      <c r="D220" t="str">
        <f>IFERROR(LEFT(SUBSTITUTE(jason_converted!D220," 'adresse2': '",""),LEN(SUBSTITUTE(jason_converted!D220," 'adresse2': '",""))-1),"")</f>
        <v/>
      </c>
      <c r="E220" t="str">
        <f>IFERROR(LEFT(SUBSTITUTE(jason_converted!E220," 'codepostal': '",""),LEN(SUBSTITUTE(jason_converted!E220," 'codepostal': '",""))-1),"")</f>
        <v/>
      </c>
      <c r="F220" t="str">
        <f>IFERROR(LEFT(SUBSTITUTE(jason_converted!F220," 'ville': '",""),LEN(SUBSTITUTE(jason_converted!F220," 'ville': '",""))-1),"")</f>
        <v/>
      </c>
      <c r="G220" t="str">
        <f>IFERROR(LEFT(SUBSTITUTE(jason_converted!G220," 'tel': ",""),LEN(SUBSTITUTE(jason_converted!G220," 'tel': ",""))),"")</f>
        <v/>
      </c>
      <c r="H220" t="str">
        <f>IFERROR(LEFT(SUBSTITUTE(jason_converted!H220," 'lat': '",""),LEN(SUBSTITUTE(jason_converted!H220," 'lat': '",""))-1),"")</f>
        <v/>
      </c>
      <c r="I220" t="str">
        <f>IFERROR(LEFT(SUBSTITUTE(jason_converted!I220," 'lng': '",""),LEN(SUBSTITUTE(jason_converted!I220," 'lng': '",""))-1),"")</f>
        <v/>
      </c>
      <c r="J220" t="str">
        <f>IFERROR(LEFT(SUBSTITUTE(jason_converted!J220," 'nomClub': '",""),LEN(SUBSTITUTE(jason_converted!J220," 'nomClub': '",""))-1),"")</f>
        <v/>
      </c>
      <c r="K220" t="str">
        <f>IFERROR(LEFT(SUBSTITUTE(jason_converted!K220," 'nomCourtClub': '",""),LEN(SUBSTITUTE(jason_converted!K220," 'nomCourtClub': '",""))-1),"")</f>
        <v/>
      </c>
      <c r="L220" t="str">
        <f>IFERROR("https://ffhaltero.fr/" &amp; LEFT(SUBSTITUTE(jason_converted!L220," 'url': '",""),LEN(SUBSTITUTE(jason_converted!L220," 'url': '",""))-1),"")</f>
        <v/>
      </c>
    </row>
    <row r="221" spans="1:12" x14ac:dyDescent="0.25">
      <c r="A221" t="str">
        <f>IFERROR(SUBSTITUTE(jason_converted!A221,"{'id': ",""),"")</f>
        <v/>
      </c>
      <c r="B221" t="str">
        <f>IFERROR(LEFT(SUBSTITUTE(jason_converted!B221," 'nom': '",""),LEN(SUBSTITUTE(jason_converted!B221," 'nom': '",""))-1),"")</f>
        <v/>
      </c>
      <c r="C221" t="str">
        <f>IFERROR(LEFT(SUBSTITUTE(jason_converted!C221," 'adresse1': '",""),LEN(SUBSTITUTE(jason_converted!C221," 'adresse1': '",""))-1),"")</f>
        <v/>
      </c>
      <c r="D221" t="str">
        <f>IFERROR(LEFT(SUBSTITUTE(jason_converted!D221," 'adresse2': '",""),LEN(SUBSTITUTE(jason_converted!D221," 'adresse2': '",""))-1),"")</f>
        <v/>
      </c>
      <c r="E221" t="str">
        <f>IFERROR(LEFT(SUBSTITUTE(jason_converted!E221," 'codepostal': '",""),LEN(SUBSTITUTE(jason_converted!E221," 'codepostal': '",""))-1),"")</f>
        <v/>
      </c>
      <c r="F221" t="str">
        <f>IFERROR(LEFT(SUBSTITUTE(jason_converted!F221," 'ville': '",""),LEN(SUBSTITUTE(jason_converted!F221," 'ville': '",""))-1),"")</f>
        <v/>
      </c>
      <c r="G221" t="str">
        <f>IFERROR(LEFT(SUBSTITUTE(jason_converted!G221," 'tel': ",""),LEN(SUBSTITUTE(jason_converted!G221," 'tel': ",""))),"")</f>
        <v/>
      </c>
      <c r="H221" t="str">
        <f>IFERROR(LEFT(SUBSTITUTE(jason_converted!H221," 'lat': '",""),LEN(SUBSTITUTE(jason_converted!H221," 'lat': '",""))-1),"")</f>
        <v/>
      </c>
      <c r="I221" t="str">
        <f>IFERROR(LEFT(SUBSTITUTE(jason_converted!I221," 'lng': '",""),LEN(SUBSTITUTE(jason_converted!I221," 'lng': '",""))-1),"")</f>
        <v/>
      </c>
      <c r="J221" t="str">
        <f>IFERROR(LEFT(SUBSTITUTE(jason_converted!J221," 'nomClub': '",""),LEN(SUBSTITUTE(jason_converted!J221," 'nomClub': '",""))-1),"")</f>
        <v/>
      </c>
      <c r="K221" t="str">
        <f>IFERROR(LEFT(SUBSTITUTE(jason_converted!K221," 'nomCourtClub': '",""),LEN(SUBSTITUTE(jason_converted!K221," 'nomCourtClub': '",""))-1),"")</f>
        <v/>
      </c>
      <c r="L221" t="str">
        <f>IFERROR("https://ffhaltero.fr/" &amp; LEFT(SUBSTITUTE(jason_converted!L221," 'url': '",""),LEN(SUBSTITUTE(jason_converted!L221," 'url': '",""))-1),"")</f>
        <v/>
      </c>
    </row>
    <row r="222" spans="1:12" x14ac:dyDescent="0.25">
      <c r="A222" t="str">
        <f>IFERROR(SUBSTITUTE(jason_converted!A222,"{'id': ",""),"")</f>
        <v/>
      </c>
      <c r="B222" t="str">
        <f>IFERROR(LEFT(SUBSTITUTE(jason_converted!B222," 'nom': '",""),LEN(SUBSTITUTE(jason_converted!B222," 'nom': '",""))-1),"")</f>
        <v/>
      </c>
      <c r="C222" t="str">
        <f>IFERROR(LEFT(SUBSTITUTE(jason_converted!C222," 'adresse1': '",""),LEN(SUBSTITUTE(jason_converted!C222," 'adresse1': '",""))-1),"")</f>
        <v/>
      </c>
      <c r="D222" t="str">
        <f>IFERROR(LEFT(SUBSTITUTE(jason_converted!D222," 'adresse2': '",""),LEN(SUBSTITUTE(jason_converted!D222," 'adresse2': '",""))-1),"")</f>
        <v/>
      </c>
      <c r="E222" t="str">
        <f>IFERROR(LEFT(SUBSTITUTE(jason_converted!E222," 'codepostal': '",""),LEN(SUBSTITUTE(jason_converted!E222," 'codepostal': '",""))-1),"")</f>
        <v/>
      </c>
      <c r="F222" t="str">
        <f>IFERROR(LEFT(SUBSTITUTE(jason_converted!F222," 'ville': '",""),LEN(SUBSTITUTE(jason_converted!F222," 'ville': '",""))-1),"")</f>
        <v/>
      </c>
      <c r="G222" t="str">
        <f>IFERROR(LEFT(SUBSTITUTE(jason_converted!G222," 'tel': ",""),LEN(SUBSTITUTE(jason_converted!G222," 'tel': ",""))),"")</f>
        <v/>
      </c>
      <c r="H222" t="str">
        <f>IFERROR(LEFT(SUBSTITUTE(jason_converted!H222," 'lat': '",""),LEN(SUBSTITUTE(jason_converted!H222," 'lat': '",""))-1),"")</f>
        <v/>
      </c>
      <c r="I222" t="str">
        <f>IFERROR(LEFT(SUBSTITUTE(jason_converted!I222," 'lng': '",""),LEN(SUBSTITUTE(jason_converted!I222," 'lng': '",""))-1),"")</f>
        <v/>
      </c>
      <c r="J222" t="str">
        <f>IFERROR(LEFT(SUBSTITUTE(jason_converted!J222," 'nomClub': '",""),LEN(SUBSTITUTE(jason_converted!J222," 'nomClub': '",""))-1),"")</f>
        <v/>
      </c>
      <c r="K222" t="str">
        <f>IFERROR(LEFT(SUBSTITUTE(jason_converted!K222," 'nomCourtClub': '",""),LEN(SUBSTITUTE(jason_converted!K222," 'nomCourtClub': '",""))-1),"")</f>
        <v/>
      </c>
      <c r="L222" t="str">
        <f>IFERROR("https://ffhaltero.fr/" &amp; LEFT(SUBSTITUTE(jason_converted!L222," 'url': '",""),LEN(SUBSTITUTE(jason_converted!L222," 'url': '",""))-1),"")</f>
        <v/>
      </c>
    </row>
    <row r="223" spans="1:12" x14ac:dyDescent="0.25">
      <c r="A223" t="str">
        <f>IFERROR(SUBSTITUTE(jason_converted!A223,"{'id': ",""),"")</f>
        <v/>
      </c>
      <c r="B223" t="str">
        <f>IFERROR(LEFT(SUBSTITUTE(jason_converted!B223," 'nom': '",""),LEN(SUBSTITUTE(jason_converted!B223," 'nom': '",""))-1),"")</f>
        <v/>
      </c>
      <c r="C223" t="str">
        <f>IFERROR(LEFT(SUBSTITUTE(jason_converted!C223," 'adresse1': '",""),LEN(SUBSTITUTE(jason_converted!C223," 'adresse1': '",""))-1),"")</f>
        <v/>
      </c>
      <c r="D223" t="str">
        <f>IFERROR(LEFT(SUBSTITUTE(jason_converted!D223," 'adresse2': '",""),LEN(SUBSTITUTE(jason_converted!D223," 'adresse2': '",""))-1),"")</f>
        <v/>
      </c>
      <c r="E223" t="str">
        <f>IFERROR(LEFT(SUBSTITUTE(jason_converted!E223," 'codepostal': '",""),LEN(SUBSTITUTE(jason_converted!E223," 'codepostal': '",""))-1),"")</f>
        <v/>
      </c>
      <c r="F223" t="str">
        <f>IFERROR(LEFT(SUBSTITUTE(jason_converted!F223," 'ville': '",""),LEN(SUBSTITUTE(jason_converted!F223," 'ville': '",""))-1),"")</f>
        <v/>
      </c>
      <c r="G223" t="str">
        <f>IFERROR(LEFT(SUBSTITUTE(jason_converted!G223," 'tel': ",""),LEN(SUBSTITUTE(jason_converted!G223," 'tel': ",""))),"")</f>
        <v/>
      </c>
      <c r="H223" t="str">
        <f>IFERROR(LEFT(SUBSTITUTE(jason_converted!H223," 'lat': '",""),LEN(SUBSTITUTE(jason_converted!H223," 'lat': '",""))-1),"")</f>
        <v/>
      </c>
      <c r="I223" t="str">
        <f>IFERROR(LEFT(SUBSTITUTE(jason_converted!I223," 'lng': '",""),LEN(SUBSTITUTE(jason_converted!I223," 'lng': '",""))-1),"")</f>
        <v/>
      </c>
      <c r="J223" t="str">
        <f>IFERROR(LEFT(SUBSTITUTE(jason_converted!J223," 'nomClub': '",""),LEN(SUBSTITUTE(jason_converted!J223," 'nomClub': '",""))-1),"")</f>
        <v/>
      </c>
      <c r="K223" t="str">
        <f>IFERROR(LEFT(SUBSTITUTE(jason_converted!K223," 'nomCourtClub': '",""),LEN(SUBSTITUTE(jason_converted!K223," 'nomCourtClub': '",""))-1),"")</f>
        <v/>
      </c>
      <c r="L223" t="str">
        <f>IFERROR("https://ffhaltero.fr/" &amp; LEFT(SUBSTITUTE(jason_converted!L223," 'url': '",""),LEN(SUBSTITUTE(jason_converted!L223," 'url': '",""))-1),"")</f>
        <v/>
      </c>
    </row>
    <row r="224" spans="1:12" x14ac:dyDescent="0.25">
      <c r="A224" t="str">
        <f>IFERROR(SUBSTITUTE(jason_converted!A224,"{'id': ",""),"")</f>
        <v/>
      </c>
      <c r="B224" t="str">
        <f>IFERROR(LEFT(SUBSTITUTE(jason_converted!B224," 'nom': '",""),LEN(SUBSTITUTE(jason_converted!B224," 'nom': '",""))-1),"")</f>
        <v/>
      </c>
      <c r="C224" t="str">
        <f>IFERROR(LEFT(SUBSTITUTE(jason_converted!C224," 'adresse1': '",""),LEN(SUBSTITUTE(jason_converted!C224," 'adresse1': '",""))-1),"")</f>
        <v/>
      </c>
      <c r="D224" t="str">
        <f>IFERROR(LEFT(SUBSTITUTE(jason_converted!D224," 'adresse2': '",""),LEN(SUBSTITUTE(jason_converted!D224," 'adresse2': '",""))-1),"")</f>
        <v/>
      </c>
      <c r="E224" t="str">
        <f>IFERROR(LEFT(SUBSTITUTE(jason_converted!E224," 'codepostal': '",""),LEN(SUBSTITUTE(jason_converted!E224," 'codepostal': '",""))-1),"")</f>
        <v/>
      </c>
      <c r="F224" t="str">
        <f>IFERROR(LEFT(SUBSTITUTE(jason_converted!F224," 'ville': '",""),LEN(SUBSTITUTE(jason_converted!F224," 'ville': '",""))-1),"")</f>
        <v/>
      </c>
      <c r="G224" t="str">
        <f>IFERROR(LEFT(SUBSTITUTE(jason_converted!G224," 'tel': ",""),LEN(SUBSTITUTE(jason_converted!G224," 'tel': ",""))),"")</f>
        <v/>
      </c>
      <c r="H224" t="str">
        <f>IFERROR(LEFT(SUBSTITUTE(jason_converted!H224," 'lat': '",""),LEN(SUBSTITUTE(jason_converted!H224," 'lat': '",""))-1),"")</f>
        <v/>
      </c>
      <c r="I224" t="str">
        <f>IFERROR(LEFT(SUBSTITUTE(jason_converted!I224," 'lng': '",""),LEN(SUBSTITUTE(jason_converted!I224," 'lng': '",""))-1),"")</f>
        <v/>
      </c>
      <c r="J224" t="str">
        <f>IFERROR(LEFT(SUBSTITUTE(jason_converted!J224," 'nomClub': '",""),LEN(SUBSTITUTE(jason_converted!J224," 'nomClub': '",""))-1),"")</f>
        <v/>
      </c>
      <c r="K224" t="str">
        <f>IFERROR(LEFT(SUBSTITUTE(jason_converted!K224," 'nomCourtClub': '",""),LEN(SUBSTITUTE(jason_converted!K224," 'nomCourtClub': '",""))-1),"")</f>
        <v/>
      </c>
      <c r="L224" t="str">
        <f>IFERROR("https://ffhaltero.fr/" &amp; LEFT(SUBSTITUTE(jason_converted!L224," 'url': '",""),LEN(SUBSTITUTE(jason_converted!L224," 'url': '",""))-1),"")</f>
        <v/>
      </c>
    </row>
    <row r="225" spans="1:12" x14ac:dyDescent="0.25">
      <c r="A225" t="str">
        <f>IFERROR(SUBSTITUTE(jason_converted!A225,"{'id': ",""),"")</f>
        <v/>
      </c>
      <c r="B225" t="str">
        <f>IFERROR(LEFT(SUBSTITUTE(jason_converted!B225," 'nom': '",""),LEN(SUBSTITUTE(jason_converted!B225," 'nom': '",""))-1),"")</f>
        <v/>
      </c>
      <c r="C225" t="str">
        <f>IFERROR(LEFT(SUBSTITUTE(jason_converted!C225," 'adresse1': '",""),LEN(SUBSTITUTE(jason_converted!C225," 'adresse1': '",""))-1),"")</f>
        <v/>
      </c>
      <c r="D225" t="str">
        <f>IFERROR(LEFT(SUBSTITUTE(jason_converted!D225," 'adresse2': '",""),LEN(SUBSTITUTE(jason_converted!D225," 'adresse2': '",""))-1),"")</f>
        <v/>
      </c>
      <c r="E225" t="str">
        <f>IFERROR(LEFT(SUBSTITUTE(jason_converted!E225," 'codepostal': '",""),LEN(SUBSTITUTE(jason_converted!E225," 'codepostal': '",""))-1),"")</f>
        <v/>
      </c>
      <c r="F225" t="str">
        <f>IFERROR(LEFT(SUBSTITUTE(jason_converted!F225," 'ville': '",""),LEN(SUBSTITUTE(jason_converted!F225," 'ville': '",""))-1),"")</f>
        <v/>
      </c>
      <c r="G225" t="str">
        <f>IFERROR(LEFT(SUBSTITUTE(jason_converted!G225," 'tel': ",""),LEN(SUBSTITUTE(jason_converted!G225," 'tel': ",""))),"")</f>
        <v/>
      </c>
      <c r="H225" t="str">
        <f>IFERROR(LEFT(SUBSTITUTE(jason_converted!H225," 'lat': '",""),LEN(SUBSTITUTE(jason_converted!H225," 'lat': '",""))-1),"")</f>
        <v/>
      </c>
      <c r="I225" t="str">
        <f>IFERROR(LEFT(SUBSTITUTE(jason_converted!I225," 'lng': '",""),LEN(SUBSTITUTE(jason_converted!I225," 'lng': '",""))-1),"")</f>
        <v/>
      </c>
      <c r="J225" t="str">
        <f>IFERROR(LEFT(SUBSTITUTE(jason_converted!J225," 'nomClub': '",""),LEN(SUBSTITUTE(jason_converted!J225," 'nomClub': '",""))-1),"")</f>
        <v/>
      </c>
      <c r="K225" t="str">
        <f>IFERROR(LEFT(SUBSTITUTE(jason_converted!K225," 'nomCourtClub': '",""),LEN(SUBSTITUTE(jason_converted!K225," 'nomCourtClub': '",""))-1),"")</f>
        <v/>
      </c>
      <c r="L225" t="str">
        <f>IFERROR("https://ffhaltero.fr/" &amp; LEFT(SUBSTITUTE(jason_converted!L225," 'url': '",""),LEN(SUBSTITUTE(jason_converted!L225," 'url': '",""))-1),"")</f>
        <v/>
      </c>
    </row>
    <row r="226" spans="1:12" x14ac:dyDescent="0.25">
      <c r="A226" t="str">
        <f>IFERROR(SUBSTITUTE(jason_converted!A226,"{'id': ",""),"")</f>
        <v/>
      </c>
      <c r="B226" t="str">
        <f>IFERROR(LEFT(SUBSTITUTE(jason_converted!B226," 'nom': '",""),LEN(SUBSTITUTE(jason_converted!B226," 'nom': '",""))-1),"")</f>
        <v/>
      </c>
      <c r="C226" t="str">
        <f>IFERROR(LEFT(SUBSTITUTE(jason_converted!C226," 'adresse1': '",""),LEN(SUBSTITUTE(jason_converted!C226," 'adresse1': '",""))-1),"")</f>
        <v/>
      </c>
      <c r="D226" t="str">
        <f>IFERROR(LEFT(SUBSTITUTE(jason_converted!D226," 'adresse2': '",""),LEN(SUBSTITUTE(jason_converted!D226," 'adresse2': '",""))-1),"")</f>
        <v/>
      </c>
      <c r="E226" t="str">
        <f>IFERROR(LEFT(SUBSTITUTE(jason_converted!E226," 'codepostal': '",""),LEN(SUBSTITUTE(jason_converted!E226," 'codepostal': '",""))-1),"")</f>
        <v/>
      </c>
      <c r="F226" t="str">
        <f>IFERROR(LEFT(SUBSTITUTE(jason_converted!F226," 'ville': '",""),LEN(SUBSTITUTE(jason_converted!F226," 'ville': '",""))-1),"")</f>
        <v/>
      </c>
      <c r="G226" t="str">
        <f>IFERROR(LEFT(SUBSTITUTE(jason_converted!G226," 'tel': ",""),LEN(SUBSTITUTE(jason_converted!G226," 'tel': ",""))),"")</f>
        <v/>
      </c>
      <c r="H226" t="str">
        <f>IFERROR(LEFT(SUBSTITUTE(jason_converted!H226," 'lat': '",""),LEN(SUBSTITUTE(jason_converted!H226," 'lat': '",""))-1),"")</f>
        <v/>
      </c>
      <c r="I226" t="str">
        <f>IFERROR(LEFT(SUBSTITUTE(jason_converted!I226," 'lng': '",""),LEN(SUBSTITUTE(jason_converted!I226," 'lng': '",""))-1),"")</f>
        <v/>
      </c>
      <c r="J226" t="str">
        <f>IFERROR(LEFT(SUBSTITUTE(jason_converted!J226," 'nomClub': '",""),LEN(SUBSTITUTE(jason_converted!J226," 'nomClub': '",""))-1),"")</f>
        <v/>
      </c>
      <c r="K226" t="str">
        <f>IFERROR(LEFT(SUBSTITUTE(jason_converted!K226," 'nomCourtClub': '",""),LEN(SUBSTITUTE(jason_converted!K226," 'nomCourtClub': '",""))-1),"")</f>
        <v/>
      </c>
      <c r="L226" t="str">
        <f>IFERROR("https://ffhaltero.fr/" &amp; LEFT(SUBSTITUTE(jason_converted!L226," 'url': '",""),LEN(SUBSTITUTE(jason_converted!L226," 'url': '",""))-1),"")</f>
        <v/>
      </c>
    </row>
    <row r="227" spans="1:12" x14ac:dyDescent="0.25">
      <c r="A227" t="str">
        <f>IFERROR(SUBSTITUTE(jason_converted!A227,"{'id': ",""),"")</f>
        <v/>
      </c>
      <c r="B227" t="str">
        <f>IFERROR(LEFT(SUBSTITUTE(jason_converted!B227," 'nom': '",""),LEN(SUBSTITUTE(jason_converted!B227," 'nom': '",""))-1),"")</f>
        <v/>
      </c>
      <c r="C227" t="str">
        <f>IFERROR(LEFT(SUBSTITUTE(jason_converted!C227," 'adresse1': '",""),LEN(SUBSTITUTE(jason_converted!C227," 'adresse1': '",""))-1),"")</f>
        <v/>
      </c>
      <c r="D227" t="str">
        <f>IFERROR(LEFT(SUBSTITUTE(jason_converted!D227," 'adresse2': '",""),LEN(SUBSTITUTE(jason_converted!D227," 'adresse2': '",""))-1),"")</f>
        <v/>
      </c>
      <c r="E227" t="str">
        <f>IFERROR(LEFT(SUBSTITUTE(jason_converted!E227," 'codepostal': '",""),LEN(SUBSTITUTE(jason_converted!E227," 'codepostal': '",""))-1),"")</f>
        <v/>
      </c>
      <c r="F227" t="str">
        <f>IFERROR(LEFT(SUBSTITUTE(jason_converted!F227," 'ville': '",""),LEN(SUBSTITUTE(jason_converted!F227," 'ville': '",""))-1),"")</f>
        <v/>
      </c>
      <c r="G227" t="str">
        <f>IFERROR(LEFT(SUBSTITUTE(jason_converted!G227," 'tel': ",""),LEN(SUBSTITUTE(jason_converted!G227," 'tel': ",""))),"")</f>
        <v/>
      </c>
      <c r="H227" t="str">
        <f>IFERROR(LEFT(SUBSTITUTE(jason_converted!H227," 'lat': '",""),LEN(SUBSTITUTE(jason_converted!H227," 'lat': '",""))-1),"")</f>
        <v/>
      </c>
      <c r="I227" t="str">
        <f>IFERROR(LEFT(SUBSTITUTE(jason_converted!I227," 'lng': '",""),LEN(SUBSTITUTE(jason_converted!I227," 'lng': '",""))-1),"")</f>
        <v/>
      </c>
      <c r="J227" t="str">
        <f>IFERROR(LEFT(SUBSTITUTE(jason_converted!J227," 'nomClub': '",""),LEN(SUBSTITUTE(jason_converted!J227," 'nomClub': '",""))-1),"")</f>
        <v/>
      </c>
      <c r="K227" t="str">
        <f>IFERROR(LEFT(SUBSTITUTE(jason_converted!K227," 'nomCourtClub': '",""),LEN(SUBSTITUTE(jason_converted!K227," 'nomCourtClub': '",""))-1),"")</f>
        <v/>
      </c>
      <c r="L227" t="str">
        <f>IFERROR("https://ffhaltero.fr/" &amp; LEFT(SUBSTITUTE(jason_converted!L227," 'url': '",""),LEN(SUBSTITUTE(jason_converted!L227," 'url': '",""))-1),"")</f>
        <v/>
      </c>
    </row>
    <row r="228" spans="1:12" x14ac:dyDescent="0.25">
      <c r="A228" t="str">
        <f>IFERROR(SUBSTITUTE(jason_converted!A228,"{'id': ",""),"")</f>
        <v/>
      </c>
      <c r="B228" t="str">
        <f>IFERROR(LEFT(SUBSTITUTE(jason_converted!B228," 'nom': '",""),LEN(SUBSTITUTE(jason_converted!B228," 'nom': '",""))-1),"")</f>
        <v/>
      </c>
      <c r="C228" t="str">
        <f>IFERROR(LEFT(SUBSTITUTE(jason_converted!C228," 'adresse1': '",""),LEN(SUBSTITUTE(jason_converted!C228," 'adresse1': '",""))-1),"")</f>
        <v/>
      </c>
      <c r="D228" t="str">
        <f>IFERROR(LEFT(SUBSTITUTE(jason_converted!D228," 'adresse2': '",""),LEN(SUBSTITUTE(jason_converted!D228," 'adresse2': '",""))-1),"")</f>
        <v/>
      </c>
      <c r="E228" t="str">
        <f>IFERROR(LEFT(SUBSTITUTE(jason_converted!E228," 'codepostal': '",""),LEN(SUBSTITUTE(jason_converted!E228," 'codepostal': '",""))-1),"")</f>
        <v/>
      </c>
      <c r="F228" t="str">
        <f>IFERROR(LEFT(SUBSTITUTE(jason_converted!F228," 'ville': '",""),LEN(SUBSTITUTE(jason_converted!F228," 'ville': '",""))-1),"")</f>
        <v/>
      </c>
      <c r="G228" t="str">
        <f>IFERROR(LEFT(SUBSTITUTE(jason_converted!G228," 'tel': ",""),LEN(SUBSTITUTE(jason_converted!G228," 'tel': ",""))),"")</f>
        <v/>
      </c>
      <c r="H228" t="str">
        <f>IFERROR(LEFT(SUBSTITUTE(jason_converted!H228," 'lat': '",""),LEN(SUBSTITUTE(jason_converted!H228," 'lat': '",""))-1),"")</f>
        <v/>
      </c>
      <c r="I228" t="str">
        <f>IFERROR(LEFT(SUBSTITUTE(jason_converted!I228," 'lng': '",""),LEN(SUBSTITUTE(jason_converted!I228," 'lng': '",""))-1),"")</f>
        <v/>
      </c>
      <c r="J228" t="str">
        <f>IFERROR(LEFT(SUBSTITUTE(jason_converted!J228," 'nomClub': '",""),LEN(SUBSTITUTE(jason_converted!J228," 'nomClub': '",""))-1),"")</f>
        <v/>
      </c>
      <c r="K228" t="str">
        <f>IFERROR(LEFT(SUBSTITUTE(jason_converted!K228," 'nomCourtClub': '",""),LEN(SUBSTITUTE(jason_converted!K228," 'nomCourtClub': '",""))-1),"")</f>
        <v/>
      </c>
      <c r="L228" t="str">
        <f>IFERROR("https://ffhaltero.fr/" &amp; LEFT(SUBSTITUTE(jason_converted!L228," 'url': '",""),LEN(SUBSTITUTE(jason_converted!L228," 'url': '",""))-1),"")</f>
        <v/>
      </c>
    </row>
    <row r="229" spans="1:12" x14ac:dyDescent="0.25">
      <c r="A229" t="str">
        <f>IFERROR(SUBSTITUTE(jason_converted!A229,"{'id': ",""),"")</f>
        <v/>
      </c>
      <c r="B229" t="str">
        <f>IFERROR(LEFT(SUBSTITUTE(jason_converted!B229," 'nom': '",""),LEN(SUBSTITUTE(jason_converted!B229," 'nom': '",""))-1),"")</f>
        <v/>
      </c>
      <c r="C229" t="str">
        <f>IFERROR(LEFT(SUBSTITUTE(jason_converted!C229," 'adresse1': '",""),LEN(SUBSTITUTE(jason_converted!C229," 'adresse1': '",""))-1),"")</f>
        <v/>
      </c>
      <c r="D229" t="str">
        <f>IFERROR(LEFT(SUBSTITUTE(jason_converted!D229," 'adresse2': '",""),LEN(SUBSTITUTE(jason_converted!D229," 'adresse2': '",""))-1),"")</f>
        <v/>
      </c>
      <c r="E229" t="str">
        <f>IFERROR(LEFT(SUBSTITUTE(jason_converted!E229," 'codepostal': '",""),LEN(SUBSTITUTE(jason_converted!E229," 'codepostal': '",""))-1),"")</f>
        <v/>
      </c>
      <c r="F229" t="str">
        <f>IFERROR(LEFT(SUBSTITUTE(jason_converted!F229," 'ville': '",""),LEN(SUBSTITUTE(jason_converted!F229," 'ville': '",""))-1),"")</f>
        <v/>
      </c>
      <c r="G229" t="str">
        <f>IFERROR(LEFT(SUBSTITUTE(jason_converted!G229," 'tel': ",""),LEN(SUBSTITUTE(jason_converted!G229," 'tel': ",""))),"")</f>
        <v/>
      </c>
      <c r="H229" t="str">
        <f>IFERROR(LEFT(SUBSTITUTE(jason_converted!H229," 'lat': '",""),LEN(SUBSTITUTE(jason_converted!H229," 'lat': '",""))-1),"")</f>
        <v/>
      </c>
      <c r="I229" t="str">
        <f>IFERROR(LEFT(SUBSTITUTE(jason_converted!I229," 'lng': '",""),LEN(SUBSTITUTE(jason_converted!I229," 'lng': '",""))-1),"")</f>
        <v/>
      </c>
      <c r="J229" t="str">
        <f>IFERROR(LEFT(SUBSTITUTE(jason_converted!J229," 'nomClub': '",""),LEN(SUBSTITUTE(jason_converted!J229," 'nomClub': '",""))-1),"")</f>
        <v/>
      </c>
      <c r="K229" t="str">
        <f>IFERROR(LEFT(SUBSTITUTE(jason_converted!K229," 'nomCourtClub': '",""),LEN(SUBSTITUTE(jason_converted!K229," 'nomCourtClub': '",""))-1),"")</f>
        <v/>
      </c>
      <c r="L229" t="str">
        <f>IFERROR("https://ffhaltero.fr/" &amp; LEFT(SUBSTITUTE(jason_converted!L229," 'url': '",""),LEN(SUBSTITUTE(jason_converted!L229," 'url': '",""))-1),"")</f>
        <v/>
      </c>
    </row>
    <row r="230" spans="1:12" x14ac:dyDescent="0.25">
      <c r="A230" t="str">
        <f>IFERROR(SUBSTITUTE(jason_converted!A230,"{'id': ",""),"")</f>
        <v/>
      </c>
      <c r="B230" t="str">
        <f>IFERROR(LEFT(SUBSTITUTE(jason_converted!B230," 'nom': '",""),LEN(SUBSTITUTE(jason_converted!B230," 'nom': '",""))-1),"")</f>
        <v/>
      </c>
      <c r="C230" t="str">
        <f>IFERROR(LEFT(SUBSTITUTE(jason_converted!C230," 'adresse1': '",""),LEN(SUBSTITUTE(jason_converted!C230," 'adresse1': '",""))-1),"")</f>
        <v/>
      </c>
      <c r="D230" t="str">
        <f>IFERROR(LEFT(SUBSTITUTE(jason_converted!D230," 'adresse2': '",""),LEN(SUBSTITUTE(jason_converted!D230," 'adresse2': '",""))-1),"")</f>
        <v/>
      </c>
      <c r="E230" t="str">
        <f>IFERROR(LEFT(SUBSTITUTE(jason_converted!E230," 'codepostal': '",""),LEN(SUBSTITUTE(jason_converted!E230," 'codepostal': '",""))-1),"")</f>
        <v/>
      </c>
      <c r="F230" t="str">
        <f>IFERROR(LEFT(SUBSTITUTE(jason_converted!F230," 'ville': '",""),LEN(SUBSTITUTE(jason_converted!F230," 'ville': '",""))-1),"")</f>
        <v/>
      </c>
      <c r="G230" t="str">
        <f>IFERROR(LEFT(SUBSTITUTE(jason_converted!G230," 'tel': ",""),LEN(SUBSTITUTE(jason_converted!G230," 'tel': ",""))),"")</f>
        <v/>
      </c>
      <c r="H230" t="str">
        <f>IFERROR(LEFT(SUBSTITUTE(jason_converted!H230," 'lat': '",""),LEN(SUBSTITUTE(jason_converted!H230," 'lat': '",""))-1),"")</f>
        <v/>
      </c>
      <c r="I230" t="str">
        <f>IFERROR(LEFT(SUBSTITUTE(jason_converted!I230," 'lng': '",""),LEN(SUBSTITUTE(jason_converted!I230," 'lng': '",""))-1),"")</f>
        <v/>
      </c>
      <c r="J230" t="str">
        <f>IFERROR(LEFT(SUBSTITUTE(jason_converted!J230," 'nomClub': '",""),LEN(SUBSTITUTE(jason_converted!J230," 'nomClub': '",""))-1),"")</f>
        <v/>
      </c>
      <c r="K230" t="str">
        <f>IFERROR(LEFT(SUBSTITUTE(jason_converted!K230," 'nomCourtClub': '",""),LEN(SUBSTITUTE(jason_converted!K230," 'nomCourtClub': '",""))-1),"")</f>
        <v/>
      </c>
      <c r="L230" t="str">
        <f>IFERROR("https://ffhaltero.fr/" &amp; LEFT(SUBSTITUTE(jason_converted!L230," 'url': '",""),LEN(SUBSTITUTE(jason_converted!L230," 'url': '",""))-1),"")</f>
        <v/>
      </c>
    </row>
    <row r="231" spans="1:12" x14ac:dyDescent="0.25">
      <c r="A231" t="str">
        <f>IFERROR(SUBSTITUTE(jason_converted!A231,"{'id': ",""),"")</f>
        <v/>
      </c>
      <c r="B231" t="str">
        <f>IFERROR(LEFT(SUBSTITUTE(jason_converted!B231," 'nom': '",""),LEN(SUBSTITUTE(jason_converted!B231," 'nom': '",""))-1),"")</f>
        <v/>
      </c>
      <c r="C231" t="str">
        <f>IFERROR(LEFT(SUBSTITUTE(jason_converted!C231," 'adresse1': '",""),LEN(SUBSTITUTE(jason_converted!C231," 'adresse1': '",""))-1),"")</f>
        <v/>
      </c>
      <c r="D231" t="str">
        <f>IFERROR(LEFT(SUBSTITUTE(jason_converted!D231," 'adresse2': '",""),LEN(SUBSTITUTE(jason_converted!D231," 'adresse2': '",""))-1),"")</f>
        <v/>
      </c>
      <c r="E231" t="str">
        <f>IFERROR(LEFT(SUBSTITUTE(jason_converted!E231," 'codepostal': '",""),LEN(SUBSTITUTE(jason_converted!E231," 'codepostal': '",""))-1),"")</f>
        <v/>
      </c>
      <c r="F231" t="str">
        <f>IFERROR(LEFT(SUBSTITUTE(jason_converted!F231," 'ville': '",""),LEN(SUBSTITUTE(jason_converted!F231," 'ville': '",""))-1),"")</f>
        <v/>
      </c>
      <c r="G231" t="str">
        <f>IFERROR(LEFT(SUBSTITUTE(jason_converted!G231," 'tel': ",""),LEN(SUBSTITUTE(jason_converted!G231," 'tel': ",""))),"")</f>
        <v/>
      </c>
      <c r="H231" t="str">
        <f>IFERROR(LEFT(SUBSTITUTE(jason_converted!H231," 'lat': '",""),LEN(SUBSTITUTE(jason_converted!H231," 'lat': '",""))-1),"")</f>
        <v/>
      </c>
      <c r="I231" t="str">
        <f>IFERROR(LEFT(SUBSTITUTE(jason_converted!I231," 'lng': '",""),LEN(SUBSTITUTE(jason_converted!I231," 'lng': '",""))-1),"")</f>
        <v/>
      </c>
      <c r="J231" t="str">
        <f>IFERROR(LEFT(SUBSTITUTE(jason_converted!J231," 'nomClub': '",""),LEN(SUBSTITUTE(jason_converted!J231," 'nomClub': '",""))-1),"")</f>
        <v/>
      </c>
      <c r="K231" t="str">
        <f>IFERROR(LEFT(SUBSTITUTE(jason_converted!K231," 'nomCourtClub': '",""),LEN(SUBSTITUTE(jason_converted!K231," 'nomCourtClub': '",""))-1),"")</f>
        <v/>
      </c>
      <c r="L231" t="str">
        <f>IFERROR("https://ffhaltero.fr/" &amp; LEFT(SUBSTITUTE(jason_converted!L231," 'url': '",""),LEN(SUBSTITUTE(jason_converted!L231," 'url': '",""))-1),"")</f>
        <v/>
      </c>
    </row>
    <row r="232" spans="1:12" x14ac:dyDescent="0.25">
      <c r="A232" t="str">
        <f>IFERROR(SUBSTITUTE(jason_converted!A232,"{'id': ",""),"")</f>
        <v/>
      </c>
      <c r="B232" t="str">
        <f>IFERROR(LEFT(SUBSTITUTE(jason_converted!B232," 'nom': '",""),LEN(SUBSTITUTE(jason_converted!B232," 'nom': '",""))-1),"")</f>
        <v/>
      </c>
      <c r="C232" t="str">
        <f>IFERROR(LEFT(SUBSTITUTE(jason_converted!C232," 'adresse1': '",""),LEN(SUBSTITUTE(jason_converted!C232," 'adresse1': '",""))-1),"")</f>
        <v/>
      </c>
      <c r="D232" t="str">
        <f>IFERROR(LEFT(SUBSTITUTE(jason_converted!D232," 'adresse2': '",""),LEN(SUBSTITUTE(jason_converted!D232," 'adresse2': '",""))-1),"")</f>
        <v/>
      </c>
      <c r="E232" t="str">
        <f>IFERROR(LEFT(SUBSTITUTE(jason_converted!E232," 'codepostal': '",""),LEN(SUBSTITUTE(jason_converted!E232," 'codepostal': '",""))-1),"")</f>
        <v/>
      </c>
      <c r="F232" t="str">
        <f>IFERROR(LEFT(SUBSTITUTE(jason_converted!F232," 'ville': '",""),LEN(SUBSTITUTE(jason_converted!F232," 'ville': '",""))-1),"")</f>
        <v/>
      </c>
      <c r="G232" t="str">
        <f>IFERROR(LEFT(SUBSTITUTE(jason_converted!G232," 'tel': ",""),LEN(SUBSTITUTE(jason_converted!G232," 'tel': ",""))),"")</f>
        <v/>
      </c>
      <c r="H232" t="str">
        <f>IFERROR(LEFT(SUBSTITUTE(jason_converted!H232," 'lat': '",""),LEN(SUBSTITUTE(jason_converted!H232," 'lat': '",""))-1),"")</f>
        <v/>
      </c>
      <c r="I232" t="str">
        <f>IFERROR(LEFT(SUBSTITUTE(jason_converted!I232," 'lng': '",""),LEN(SUBSTITUTE(jason_converted!I232," 'lng': '",""))-1),"")</f>
        <v/>
      </c>
      <c r="J232" t="str">
        <f>IFERROR(LEFT(SUBSTITUTE(jason_converted!J232," 'nomClub': '",""),LEN(SUBSTITUTE(jason_converted!J232," 'nomClub': '",""))-1),"")</f>
        <v/>
      </c>
      <c r="K232" t="str">
        <f>IFERROR(LEFT(SUBSTITUTE(jason_converted!K232," 'nomCourtClub': '",""),LEN(SUBSTITUTE(jason_converted!K232," 'nomCourtClub': '",""))-1),"")</f>
        <v/>
      </c>
      <c r="L232" t="str">
        <f>IFERROR("https://ffhaltero.fr/" &amp; LEFT(SUBSTITUTE(jason_converted!L232," 'url': '",""),LEN(SUBSTITUTE(jason_converted!L232," 'url': '",""))-1),"")</f>
        <v/>
      </c>
    </row>
    <row r="233" spans="1:12" x14ac:dyDescent="0.25">
      <c r="A233" t="str">
        <f>IFERROR(SUBSTITUTE(jason_converted!A233,"{'id': ",""),"")</f>
        <v/>
      </c>
      <c r="B233" t="str">
        <f>IFERROR(LEFT(SUBSTITUTE(jason_converted!B233," 'nom': '",""),LEN(SUBSTITUTE(jason_converted!B233," 'nom': '",""))-1),"")</f>
        <v/>
      </c>
      <c r="C233" t="str">
        <f>IFERROR(LEFT(SUBSTITUTE(jason_converted!C233," 'adresse1': '",""),LEN(SUBSTITUTE(jason_converted!C233," 'adresse1': '",""))-1),"")</f>
        <v/>
      </c>
      <c r="D233" t="str">
        <f>IFERROR(LEFT(SUBSTITUTE(jason_converted!D233," 'adresse2': '",""),LEN(SUBSTITUTE(jason_converted!D233," 'adresse2': '",""))-1),"")</f>
        <v/>
      </c>
      <c r="E233" t="str">
        <f>IFERROR(LEFT(SUBSTITUTE(jason_converted!E233," 'codepostal': '",""),LEN(SUBSTITUTE(jason_converted!E233," 'codepostal': '",""))-1),"")</f>
        <v/>
      </c>
      <c r="F233" t="str">
        <f>IFERROR(LEFT(SUBSTITUTE(jason_converted!F233," 'ville': '",""),LEN(SUBSTITUTE(jason_converted!F233," 'ville': '",""))-1),"")</f>
        <v/>
      </c>
      <c r="G233" t="str">
        <f>IFERROR(LEFT(SUBSTITUTE(jason_converted!G233," 'tel': ",""),LEN(SUBSTITUTE(jason_converted!G233," 'tel': ",""))),"")</f>
        <v/>
      </c>
      <c r="H233" t="str">
        <f>IFERROR(LEFT(SUBSTITUTE(jason_converted!H233," 'lat': '",""),LEN(SUBSTITUTE(jason_converted!H233," 'lat': '",""))-1),"")</f>
        <v/>
      </c>
      <c r="I233" t="str">
        <f>IFERROR(LEFT(SUBSTITUTE(jason_converted!I233," 'lng': '",""),LEN(SUBSTITUTE(jason_converted!I233," 'lng': '",""))-1),"")</f>
        <v/>
      </c>
      <c r="J233" t="str">
        <f>IFERROR(LEFT(SUBSTITUTE(jason_converted!J233," 'nomClub': '",""),LEN(SUBSTITUTE(jason_converted!J233," 'nomClub': '",""))-1),"")</f>
        <v/>
      </c>
      <c r="K233" t="str">
        <f>IFERROR(LEFT(SUBSTITUTE(jason_converted!K233," 'nomCourtClub': '",""),LEN(SUBSTITUTE(jason_converted!K233," 'nomCourtClub': '",""))-1),"")</f>
        <v/>
      </c>
      <c r="L233" t="str">
        <f>IFERROR("https://ffhaltero.fr/" &amp; LEFT(SUBSTITUTE(jason_converted!L233," 'url': '",""),LEN(SUBSTITUTE(jason_converted!L233," 'url': '",""))-1),"")</f>
        <v/>
      </c>
    </row>
    <row r="234" spans="1:12" x14ac:dyDescent="0.25">
      <c r="A234" t="str">
        <f>IFERROR(SUBSTITUTE(jason_converted!A234,"{'id': ",""),"")</f>
        <v/>
      </c>
      <c r="B234" t="str">
        <f>IFERROR(LEFT(SUBSTITUTE(jason_converted!B234," 'nom': '",""),LEN(SUBSTITUTE(jason_converted!B234," 'nom': '",""))-1),"")</f>
        <v/>
      </c>
      <c r="C234" t="str">
        <f>IFERROR(LEFT(SUBSTITUTE(jason_converted!C234," 'adresse1': '",""),LEN(SUBSTITUTE(jason_converted!C234," 'adresse1': '",""))-1),"")</f>
        <v/>
      </c>
      <c r="D234" t="str">
        <f>IFERROR(LEFT(SUBSTITUTE(jason_converted!D234," 'adresse2': '",""),LEN(SUBSTITUTE(jason_converted!D234," 'adresse2': '",""))-1),"")</f>
        <v/>
      </c>
      <c r="E234" t="str">
        <f>IFERROR(LEFT(SUBSTITUTE(jason_converted!E234," 'codepostal': '",""),LEN(SUBSTITUTE(jason_converted!E234," 'codepostal': '",""))-1),"")</f>
        <v/>
      </c>
      <c r="F234" t="str">
        <f>IFERROR(LEFT(SUBSTITUTE(jason_converted!F234," 'ville': '",""),LEN(SUBSTITUTE(jason_converted!F234," 'ville': '",""))-1),"")</f>
        <v/>
      </c>
      <c r="G234" t="str">
        <f>IFERROR(LEFT(SUBSTITUTE(jason_converted!G234," 'tel': ",""),LEN(SUBSTITUTE(jason_converted!G234," 'tel': ",""))),"")</f>
        <v/>
      </c>
      <c r="H234" t="str">
        <f>IFERROR(LEFT(SUBSTITUTE(jason_converted!H234," 'lat': '",""),LEN(SUBSTITUTE(jason_converted!H234," 'lat': '",""))-1),"")</f>
        <v/>
      </c>
      <c r="I234" t="str">
        <f>IFERROR(LEFT(SUBSTITUTE(jason_converted!I234," 'lng': '",""),LEN(SUBSTITUTE(jason_converted!I234," 'lng': '",""))-1),"")</f>
        <v/>
      </c>
      <c r="J234" t="str">
        <f>IFERROR(LEFT(SUBSTITUTE(jason_converted!J234," 'nomClub': '",""),LEN(SUBSTITUTE(jason_converted!J234," 'nomClub': '",""))-1),"")</f>
        <v/>
      </c>
      <c r="K234" t="str">
        <f>IFERROR(LEFT(SUBSTITUTE(jason_converted!K234," 'nomCourtClub': '",""),LEN(SUBSTITUTE(jason_converted!K234," 'nomCourtClub': '",""))-1),"")</f>
        <v/>
      </c>
      <c r="L234" t="str">
        <f>IFERROR("https://ffhaltero.fr/" &amp; LEFT(SUBSTITUTE(jason_converted!L234," 'url': '",""),LEN(SUBSTITUTE(jason_converted!L234," 'url': '",""))-1),"")</f>
        <v/>
      </c>
    </row>
    <row r="235" spans="1:12" x14ac:dyDescent="0.25">
      <c r="A235" t="str">
        <f>IFERROR(SUBSTITUTE(jason_converted!A235,"{'id': ",""),"")</f>
        <v/>
      </c>
      <c r="B235" t="str">
        <f>IFERROR(LEFT(SUBSTITUTE(jason_converted!B235," 'nom': '",""),LEN(SUBSTITUTE(jason_converted!B235," 'nom': '",""))-1),"")</f>
        <v/>
      </c>
      <c r="C235" t="str">
        <f>IFERROR(LEFT(SUBSTITUTE(jason_converted!C235," 'adresse1': '",""),LEN(SUBSTITUTE(jason_converted!C235," 'adresse1': '",""))-1),"")</f>
        <v/>
      </c>
      <c r="D235" t="str">
        <f>IFERROR(LEFT(SUBSTITUTE(jason_converted!D235," 'adresse2': '",""),LEN(SUBSTITUTE(jason_converted!D235," 'adresse2': '",""))-1),"")</f>
        <v/>
      </c>
      <c r="E235" t="str">
        <f>IFERROR(LEFT(SUBSTITUTE(jason_converted!E235," 'codepostal': '",""),LEN(SUBSTITUTE(jason_converted!E235," 'codepostal': '",""))-1),"")</f>
        <v/>
      </c>
      <c r="F235" t="str">
        <f>IFERROR(LEFT(SUBSTITUTE(jason_converted!F235," 'ville': '",""),LEN(SUBSTITUTE(jason_converted!F235," 'ville': '",""))-1),"")</f>
        <v/>
      </c>
      <c r="G235" t="str">
        <f>IFERROR(LEFT(SUBSTITUTE(jason_converted!G235," 'tel': ",""),LEN(SUBSTITUTE(jason_converted!G235," 'tel': ",""))),"")</f>
        <v/>
      </c>
      <c r="H235" t="str">
        <f>IFERROR(LEFT(SUBSTITUTE(jason_converted!H235," 'lat': '",""),LEN(SUBSTITUTE(jason_converted!H235," 'lat': '",""))-1),"")</f>
        <v/>
      </c>
      <c r="I235" t="str">
        <f>IFERROR(LEFT(SUBSTITUTE(jason_converted!I235," 'lng': '",""),LEN(SUBSTITUTE(jason_converted!I235," 'lng': '",""))-1),"")</f>
        <v/>
      </c>
      <c r="J235" t="str">
        <f>IFERROR(LEFT(SUBSTITUTE(jason_converted!J235," 'nomClub': '",""),LEN(SUBSTITUTE(jason_converted!J235," 'nomClub': '",""))-1),"")</f>
        <v/>
      </c>
      <c r="K235" t="str">
        <f>IFERROR(LEFT(SUBSTITUTE(jason_converted!K235," 'nomCourtClub': '",""),LEN(SUBSTITUTE(jason_converted!K235," 'nomCourtClub': '",""))-1),"")</f>
        <v/>
      </c>
      <c r="L235" t="str">
        <f>IFERROR("https://ffhaltero.fr/" &amp; LEFT(SUBSTITUTE(jason_converted!L235," 'url': '",""),LEN(SUBSTITUTE(jason_converted!L235," 'url': '",""))-1),"")</f>
        <v/>
      </c>
    </row>
    <row r="236" spans="1:12" x14ac:dyDescent="0.25">
      <c r="A236" t="str">
        <f>IFERROR(SUBSTITUTE(jason_converted!A236,"{'id': ",""),"")</f>
        <v/>
      </c>
      <c r="B236" t="str">
        <f>IFERROR(LEFT(SUBSTITUTE(jason_converted!B236," 'nom': '",""),LEN(SUBSTITUTE(jason_converted!B236," 'nom': '",""))-1),"")</f>
        <v/>
      </c>
      <c r="C236" t="str">
        <f>IFERROR(LEFT(SUBSTITUTE(jason_converted!C236," 'adresse1': '",""),LEN(SUBSTITUTE(jason_converted!C236," 'adresse1': '",""))-1),"")</f>
        <v/>
      </c>
      <c r="D236" t="str">
        <f>IFERROR(LEFT(SUBSTITUTE(jason_converted!D236," 'adresse2': '",""),LEN(SUBSTITUTE(jason_converted!D236," 'adresse2': '",""))-1),"")</f>
        <v/>
      </c>
      <c r="E236" t="str">
        <f>IFERROR(LEFT(SUBSTITUTE(jason_converted!E236," 'codepostal': '",""),LEN(SUBSTITUTE(jason_converted!E236," 'codepostal': '",""))-1),"")</f>
        <v/>
      </c>
      <c r="F236" t="str">
        <f>IFERROR(LEFT(SUBSTITUTE(jason_converted!F236," 'ville': '",""),LEN(SUBSTITUTE(jason_converted!F236," 'ville': '",""))-1),"")</f>
        <v/>
      </c>
      <c r="G236" t="str">
        <f>IFERROR(LEFT(SUBSTITUTE(jason_converted!G236," 'tel': ",""),LEN(SUBSTITUTE(jason_converted!G236," 'tel': ",""))),"")</f>
        <v/>
      </c>
      <c r="H236" t="str">
        <f>IFERROR(LEFT(SUBSTITUTE(jason_converted!H236," 'lat': '",""),LEN(SUBSTITUTE(jason_converted!H236," 'lat': '",""))-1),"")</f>
        <v/>
      </c>
      <c r="I236" t="str">
        <f>IFERROR(LEFT(SUBSTITUTE(jason_converted!I236," 'lng': '",""),LEN(SUBSTITUTE(jason_converted!I236," 'lng': '",""))-1),"")</f>
        <v/>
      </c>
      <c r="J236" t="str">
        <f>IFERROR(LEFT(SUBSTITUTE(jason_converted!J236," 'nomClub': '",""),LEN(SUBSTITUTE(jason_converted!J236," 'nomClub': '",""))-1),"")</f>
        <v/>
      </c>
      <c r="K236" t="str">
        <f>IFERROR(LEFT(SUBSTITUTE(jason_converted!K236," 'nomCourtClub': '",""),LEN(SUBSTITUTE(jason_converted!K236," 'nomCourtClub': '",""))-1),"")</f>
        <v/>
      </c>
      <c r="L236" t="str">
        <f>IFERROR("https://ffhaltero.fr/" &amp; LEFT(SUBSTITUTE(jason_converted!L236," 'url': '",""),LEN(SUBSTITUTE(jason_converted!L236," 'url': '",""))-1),"")</f>
        <v/>
      </c>
    </row>
    <row r="237" spans="1:12" x14ac:dyDescent="0.25">
      <c r="A237" t="str">
        <f>IFERROR(SUBSTITUTE(jason_converted!A237,"{'id': ",""),"")</f>
        <v/>
      </c>
      <c r="B237" t="str">
        <f>IFERROR(LEFT(SUBSTITUTE(jason_converted!B237," 'nom': '",""),LEN(SUBSTITUTE(jason_converted!B237," 'nom': '",""))-1),"")</f>
        <v/>
      </c>
      <c r="C237" t="str">
        <f>IFERROR(LEFT(SUBSTITUTE(jason_converted!C237," 'adresse1': '",""),LEN(SUBSTITUTE(jason_converted!C237," 'adresse1': '",""))-1),"")</f>
        <v/>
      </c>
      <c r="D237" t="str">
        <f>IFERROR(LEFT(SUBSTITUTE(jason_converted!D237," 'adresse2': '",""),LEN(SUBSTITUTE(jason_converted!D237," 'adresse2': '",""))-1),"")</f>
        <v/>
      </c>
      <c r="E237" t="str">
        <f>IFERROR(LEFT(SUBSTITUTE(jason_converted!E237," 'codepostal': '",""),LEN(SUBSTITUTE(jason_converted!E237," 'codepostal': '",""))-1),"")</f>
        <v/>
      </c>
      <c r="F237" t="str">
        <f>IFERROR(LEFT(SUBSTITUTE(jason_converted!F237," 'ville': '",""),LEN(SUBSTITUTE(jason_converted!F237," 'ville': '",""))-1),"")</f>
        <v/>
      </c>
      <c r="G237" t="str">
        <f>IFERROR(LEFT(SUBSTITUTE(jason_converted!G237," 'tel': ",""),LEN(SUBSTITUTE(jason_converted!G237," 'tel': ",""))),"")</f>
        <v/>
      </c>
      <c r="H237" t="str">
        <f>IFERROR(LEFT(SUBSTITUTE(jason_converted!H237," 'lat': '",""),LEN(SUBSTITUTE(jason_converted!H237," 'lat': '",""))-1),"")</f>
        <v/>
      </c>
      <c r="I237" t="str">
        <f>IFERROR(LEFT(SUBSTITUTE(jason_converted!I237," 'lng': '",""),LEN(SUBSTITUTE(jason_converted!I237," 'lng': '",""))-1),"")</f>
        <v/>
      </c>
      <c r="J237" t="str">
        <f>IFERROR(LEFT(SUBSTITUTE(jason_converted!J237," 'nomClub': '",""),LEN(SUBSTITUTE(jason_converted!J237," 'nomClub': '",""))-1),"")</f>
        <v/>
      </c>
      <c r="K237" t="str">
        <f>IFERROR(LEFT(SUBSTITUTE(jason_converted!K237," 'nomCourtClub': '",""),LEN(SUBSTITUTE(jason_converted!K237," 'nomCourtClub': '",""))-1),"")</f>
        <v/>
      </c>
      <c r="L237" t="str">
        <f>IFERROR("https://ffhaltero.fr/" &amp; LEFT(SUBSTITUTE(jason_converted!L237," 'url': '",""),LEN(SUBSTITUTE(jason_converted!L237," 'url': '",""))-1),"")</f>
        <v/>
      </c>
    </row>
    <row r="238" spans="1:12" x14ac:dyDescent="0.25">
      <c r="A238" t="str">
        <f>IFERROR(SUBSTITUTE(jason_converted!A238,"{'id': ",""),"")</f>
        <v/>
      </c>
      <c r="B238" t="str">
        <f>IFERROR(LEFT(SUBSTITUTE(jason_converted!B238," 'nom': '",""),LEN(SUBSTITUTE(jason_converted!B238," 'nom': '",""))-1),"")</f>
        <v/>
      </c>
      <c r="C238" t="str">
        <f>IFERROR(LEFT(SUBSTITUTE(jason_converted!C238," 'adresse1': '",""),LEN(SUBSTITUTE(jason_converted!C238," 'adresse1': '",""))-1),"")</f>
        <v/>
      </c>
      <c r="D238" t="str">
        <f>IFERROR(LEFT(SUBSTITUTE(jason_converted!D238," 'adresse2': '",""),LEN(SUBSTITUTE(jason_converted!D238," 'adresse2': '",""))-1),"")</f>
        <v/>
      </c>
      <c r="E238" t="str">
        <f>IFERROR(LEFT(SUBSTITUTE(jason_converted!E238," 'codepostal': '",""),LEN(SUBSTITUTE(jason_converted!E238," 'codepostal': '",""))-1),"")</f>
        <v/>
      </c>
      <c r="F238" t="str">
        <f>IFERROR(LEFT(SUBSTITUTE(jason_converted!F238," 'ville': '",""),LEN(SUBSTITUTE(jason_converted!F238," 'ville': '",""))-1),"")</f>
        <v/>
      </c>
      <c r="G238" t="str">
        <f>IFERROR(LEFT(SUBSTITUTE(jason_converted!G238," 'tel': ",""),LEN(SUBSTITUTE(jason_converted!G238," 'tel': ",""))),"")</f>
        <v/>
      </c>
      <c r="H238" t="str">
        <f>IFERROR(LEFT(SUBSTITUTE(jason_converted!H238," 'lat': '",""),LEN(SUBSTITUTE(jason_converted!H238," 'lat': '",""))-1),"")</f>
        <v/>
      </c>
      <c r="I238" t="str">
        <f>IFERROR(LEFT(SUBSTITUTE(jason_converted!I238," 'lng': '",""),LEN(SUBSTITUTE(jason_converted!I238," 'lng': '",""))-1),"")</f>
        <v/>
      </c>
      <c r="J238" t="str">
        <f>IFERROR(LEFT(SUBSTITUTE(jason_converted!J238," 'nomClub': '",""),LEN(SUBSTITUTE(jason_converted!J238," 'nomClub': '",""))-1),"")</f>
        <v/>
      </c>
      <c r="K238" t="str">
        <f>IFERROR(LEFT(SUBSTITUTE(jason_converted!K238," 'nomCourtClub': '",""),LEN(SUBSTITUTE(jason_converted!K238," 'nomCourtClub': '",""))-1),"")</f>
        <v/>
      </c>
      <c r="L238" t="str">
        <f>IFERROR("https://ffhaltero.fr/" &amp; LEFT(SUBSTITUTE(jason_converted!L238," 'url': '",""),LEN(SUBSTITUTE(jason_converted!L238," 'url': '",""))-1),"")</f>
        <v/>
      </c>
    </row>
    <row r="239" spans="1:12" x14ac:dyDescent="0.25">
      <c r="A239" t="str">
        <f>IFERROR(SUBSTITUTE(jason_converted!A239,"{'id': ",""),"")</f>
        <v/>
      </c>
      <c r="B239" t="str">
        <f>IFERROR(LEFT(SUBSTITUTE(jason_converted!B239," 'nom': '",""),LEN(SUBSTITUTE(jason_converted!B239," 'nom': '",""))-1),"")</f>
        <v/>
      </c>
      <c r="C239" t="str">
        <f>IFERROR(LEFT(SUBSTITUTE(jason_converted!C239," 'adresse1': '",""),LEN(SUBSTITUTE(jason_converted!C239," 'adresse1': '",""))-1),"")</f>
        <v/>
      </c>
      <c r="D239" t="str">
        <f>IFERROR(LEFT(SUBSTITUTE(jason_converted!D239," 'adresse2': '",""),LEN(SUBSTITUTE(jason_converted!D239," 'adresse2': '",""))-1),"")</f>
        <v/>
      </c>
      <c r="E239" t="str">
        <f>IFERROR(LEFT(SUBSTITUTE(jason_converted!E239," 'codepostal': '",""),LEN(SUBSTITUTE(jason_converted!E239," 'codepostal': '",""))-1),"")</f>
        <v/>
      </c>
      <c r="F239" t="str">
        <f>IFERROR(LEFT(SUBSTITUTE(jason_converted!F239," 'ville': '",""),LEN(SUBSTITUTE(jason_converted!F239," 'ville': '",""))-1),"")</f>
        <v/>
      </c>
      <c r="G239" t="str">
        <f>IFERROR(LEFT(SUBSTITUTE(jason_converted!G239," 'tel': ",""),LEN(SUBSTITUTE(jason_converted!G239," 'tel': ",""))),"")</f>
        <v/>
      </c>
      <c r="H239" t="str">
        <f>IFERROR(LEFT(SUBSTITUTE(jason_converted!H239," 'lat': '",""),LEN(SUBSTITUTE(jason_converted!H239," 'lat': '",""))-1),"")</f>
        <v/>
      </c>
      <c r="I239" t="str">
        <f>IFERROR(LEFT(SUBSTITUTE(jason_converted!I239," 'lng': '",""),LEN(SUBSTITUTE(jason_converted!I239," 'lng': '",""))-1),"")</f>
        <v/>
      </c>
      <c r="J239" t="str">
        <f>IFERROR(LEFT(SUBSTITUTE(jason_converted!J239," 'nomClub': '",""),LEN(SUBSTITUTE(jason_converted!J239," 'nomClub': '",""))-1),"")</f>
        <v/>
      </c>
      <c r="K239" t="str">
        <f>IFERROR(LEFT(SUBSTITUTE(jason_converted!K239," 'nomCourtClub': '",""),LEN(SUBSTITUTE(jason_converted!K239," 'nomCourtClub': '",""))-1),"")</f>
        <v/>
      </c>
      <c r="L239" t="str">
        <f>IFERROR("https://ffhaltero.fr/" &amp; LEFT(SUBSTITUTE(jason_converted!L239," 'url': '",""),LEN(SUBSTITUTE(jason_converted!L239," 'url': '",""))-1),"")</f>
        <v/>
      </c>
    </row>
    <row r="240" spans="1:12" x14ac:dyDescent="0.25">
      <c r="A240" t="str">
        <f>IFERROR(SUBSTITUTE(jason_converted!A240,"{'id': ",""),"")</f>
        <v/>
      </c>
      <c r="B240" t="str">
        <f>IFERROR(LEFT(SUBSTITUTE(jason_converted!B240," 'nom': '",""),LEN(SUBSTITUTE(jason_converted!B240," 'nom': '",""))-1),"")</f>
        <v/>
      </c>
      <c r="C240" t="str">
        <f>IFERROR(LEFT(SUBSTITUTE(jason_converted!C240," 'adresse1': '",""),LEN(SUBSTITUTE(jason_converted!C240," 'adresse1': '",""))-1),"")</f>
        <v/>
      </c>
      <c r="D240" t="str">
        <f>IFERROR(LEFT(SUBSTITUTE(jason_converted!D240," 'adresse2': '",""),LEN(SUBSTITUTE(jason_converted!D240," 'adresse2': '",""))-1),"")</f>
        <v/>
      </c>
      <c r="E240" t="str">
        <f>IFERROR(LEFT(SUBSTITUTE(jason_converted!E240," 'codepostal': '",""),LEN(SUBSTITUTE(jason_converted!E240," 'codepostal': '",""))-1),"")</f>
        <v/>
      </c>
      <c r="F240" t="str">
        <f>IFERROR(LEFT(SUBSTITUTE(jason_converted!F240," 'ville': '",""),LEN(SUBSTITUTE(jason_converted!F240," 'ville': '",""))-1),"")</f>
        <v/>
      </c>
      <c r="G240" t="str">
        <f>IFERROR(LEFT(SUBSTITUTE(jason_converted!G240," 'tel': ",""),LEN(SUBSTITUTE(jason_converted!G240," 'tel': ",""))),"")</f>
        <v/>
      </c>
      <c r="H240" t="str">
        <f>IFERROR(LEFT(SUBSTITUTE(jason_converted!H240," 'lat': '",""),LEN(SUBSTITUTE(jason_converted!H240," 'lat': '",""))-1),"")</f>
        <v/>
      </c>
      <c r="I240" t="str">
        <f>IFERROR(LEFT(SUBSTITUTE(jason_converted!I240," 'lng': '",""),LEN(SUBSTITUTE(jason_converted!I240," 'lng': '",""))-1),"")</f>
        <v/>
      </c>
      <c r="J240" t="str">
        <f>IFERROR(LEFT(SUBSTITUTE(jason_converted!J240," 'nomClub': '",""),LEN(SUBSTITUTE(jason_converted!J240," 'nomClub': '",""))-1),"")</f>
        <v/>
      </c>
      <c r="K240" t="str">
        <f>IFERROR(LEFT(SUBSTITUTE(jason_converted!K240," 'nomCourtClub': '",""),LEN(SUBSTITUTE(jason_converted!K240," 'nomCourtClub': '",""))-1),"")</f>
        <v/>
      </c>
      <c r="L240" t="str">
        <f>IFERROR("https://ffhaltero.fr/" &amp; LEFT(SUBSTITUTE(jason_converted!L240," 'url': '",""),LEN(SUBSTITUTE(jason_converted!L240," 'url': '",""))-1),"")</f>
        <v/>
      </c>
    </row>
    <row r="241" spans="1:12" x14ac:dyDescent="0.25">
      <c r="A241" t="str">
        <f>IFERROR(SUBSTITUTE(jason_converted!A241,"{'id': ",""),"")</f>
        <v/>
      </c>
      <c r="B241" t="str">
        <f>IFERROR(LEFT(SUBSTITUTE(jason_converted!B241," 'nom': '",""),LEN(SUBSTITUTE(jason_converted!B241," 'nom': '",""))-1),"")</f>
        <v/>
      </c>
      <c r="C241" t="str">
        <f>IFERROR(LEFT(SUBSTITUTE(jason_converted!C241," 'adresse1': '",""),LEN(SUBSTITUTE(jason_converted!C241," 'adresse1': '",""))-1),"")</f>
        <v/>
      </c>
      <c r="D241" t="str">
        <f>IFERROR(LEFT(SUBSTITUTE(jason_converted!D241," 'adresse2': '",""),LEN(SUBSTITUTE(jason_converted!D241," 'adresse2': '",""))-1),"")</f>
        <v/>
      </c>
      <c r="E241" t="str">
        <f>IFERROR(LEFT(SUBSTITUTE(jason_converted!E241," 'codepostal': '",""),LEN(SUBSTITUTE(jason_converted!E241," 'codepostal': '",""))-1),"")</f>
        <v/>
      </c>
      <c r="F241" t="str">
        <f>IFERROR(LEFT(SUBSTITUTE(jason_converted!F241," 'ville': '",""),LEN(SUBSTITUTE(jason_converted!F241," 'ville': '",""))-1),"")</f>
        <v/>
      </c>
      <c r="G241" t="str">
        <f>IFERROR(LEFT(SUBSTITUTE(jason_converted!G241," 'tel': ",""),LEN(SUBSTITUTE(jason_converted!G241," 'tel': ",""))),"")</f>
        <v/>
      </c>
      <c r="H241" t="str">
        <f>IFERROR(LEFT(SUBSTITUTE(jason_converted!H241," 'lat': '",""),LEN(SUBSTITUTE(jason_converted!H241," 'lat': '",""))-1),"")</f>
        <v/>
      </c>
      <c r="I241" t="str">
        <f>IFERROR(LEFT(SUBSTITUTE(jason_converted!I241," 'lng': '",""),LEN(SUBSTITUTE(jason_converted!I241," 'lng': '",""))-1),"")</f>
        <v/>
      </c>
      <c r="J241" t="str">
        <f>IFERROR(LEFT(SUBSTITUTE(jason_converted!J241," 'nomClub': '",""),LEN(SUBSTITUTE(jason_converted!J241," 'nomClub': '",""))-1),"")</f>
        <v/>
      </c>
      <c r="K241" t="str">
        <f>IFERROR(LEFT(SUBSTITUTE(jason_converted!K241," 'nomCourtClub': '",""),LEN(SUBSTITUTE(jason_converted!K241," 'nomCourtClub': '",""))-1),"")</f>
        <v/>
      </c>
      <c r="L241" t="str">
        <f>IFERROR("https://ffhaltero.fr/" &amp; LEFT(SUBSTITUTE(jason_converted!L241," 'url': '",""),LEN(SUBSTITUTE(jason_converted!L241," 'url': '",""))-1),"")</f>
        <v/>
      </c>
    </row>
    <row r="242" spans="1:12" x14ac:dyDescent="0.25">
      <c r="A242" t="str">
        <f>IFERROR(SUBSTITUTE(jason_converted!A242,"{'id': ",""),"")</f>
        <v/>
      </c>
      <c r="B242" t="str">
        <f>IFERROR(LEFT(SUBSTITUTE(jason_converted!B242," 'nom': '",""),LEN(SUBSTITUTE(jason_converted!B242," 'nom': '",""))-1),"")</f>
        <v/>
      </c>
      <c r="C242" t="str">
        <f>IFERROR(LEFT(SUBSTITUTE(jason_converted!C242," 'adresse1': '",""),LEN(SUBSTITUTE(jason_converted!C242," 'adresse1': '",""))-1),"")</f>
        <v/>
      </c>
      <c r="D242" t="str">
        <f>IFERROR(LEFT(SUBSTITUTE(jason_converted!D242," 'adresse2': '",""),LEN(SUBSTITUTE(jason_converted!D242," 'adresse2': '",""))-1),"")</f>
        <v/>
      </c>
      <c r="E242" t="str">
        <f>IFERROR(LEFT(SUBSTITUTE(jason_converted!E242," 'codepostal': '",""),LEN(SUBSTITUTE(jason_converted!E242," 'codepostal': '",""))-1),"")</f>
        <v/>
      </c>
      <c r="F242" t="str">
        <f>IFERROR(LEFT(SUBSTITUTE(jason_converted!F242," 'ville': '",""),LEN(SUBSTITUTE(jason_converted!F242," 'ville': '",""))-1),"")</f>
        <v/>
      </c>
      <c r="G242" t="str">
        <f>IFERROR(LEFT(SUBSTITUTE(jason_converted!G242," 'tel': ",""),LEN(SUBSTITUTE(jason_converted!G242," 'tel': ",""))),"")</f>
        <v/>
      </c>
      <c r="H242" t="str">
        <f>IFERROR(LEFT(SUBSTITUTE(jason_converted!H242," 'lat': '",""),LEN(SUBSTITUTE(jason_converted!H242," 'lat': '",""))-1),"")</f>
        <v/>
      </c>
      <c r="I242" t="str">
        <f>IFERROR(LEFT(SUBSTITUTE(jason_converted!I242," 'lng': '",""),LEN(SUBSTITUTE(jason_converted!I242," 'lng': '",""))-1),"")</f>
        <v/>
      </c>
      <c r="J242" t="str">
        <f>IFERROR(LEFT(SUBSTITUTE(jason_converted!J242," 'nomClub': '",""),LEN(SUBSTITUTE(jason_converted!J242," 'nomClub': '",""))-1),"")</f>
        <v/>
      </c>
      <c r="K242" t="str">
        <f>IFERROR(LEFT(SUBSTITUTE(jason_converted!K242," 'nomCourtClub': '",""),LEN(SUBSTITUTE(jason_converted!K242," 'nomCourtClub': '",""))-1),"")</f>
        <v/>
      </c>
      <c r="L242" t="str">
        <f>IFERROR("https://ffhaltero.fr/" &amp; LEFT(SUBSTITUTE(jason_converted!L242," 'url': '",""),LEN(SUBSTITUTE(jason_converted!L242," 'url': '",""))-1),"")</f>
        <v/>
      </c>
    </row>
    <row r="243" spans="1:12" x14ac:dyDescent="0.25">
      <c r="A243" t="str">
        <f>IFERROR(SUBSTITUTE(jason_converted!A243,"{'id': ",""),"")</f>
        <v/>
      </c>
      <c r="B243" t="str">
        <f>IFERROR(LEFT(SUBSTITUTE(jason_converted!B243," 'nom': '",""),LEN(SUBSTITUTE(jason_converted!B243," 'nom': '",""))-1),"")</f>
        <v/>
      </c>
      <c r="C243" t="str">
        <f>IFERROR(LEFT(SUBSTITUTE(jason_converted!C243," 'adresse1': '",""),LEN(SUBSTITUTE(jason_converted!C243," 'adresse1': '",""))-1),"")</f>
        <v/>
      </c>
      <c r="D243" t="str">
        <f>IFERROR(LEFT(SUBSTITUTE(jason_converted!D243," 'adresse2': '",""),LEN(SUBSTITUTE(jason_converted!D243," 'adresse2': '",""))-1),"")</f>
        <v/>
      </c>
      <c r="E243" t="str">
        <f>IFERROR(LEFT(SUBSTITUTE(jason_converted!E243," 'codepostal': '",""),LEN(SUBSTITUTE(jason_converted!E243," 'codepostal': '",""))-1),"")</f>
        <v/>
      </c>
      <c r="F243" t="str">
        <f>IFERROR(LEFT(SUBSTITUTE(jason_converted!F243," 'ville': '",""),LEN(SUBSTITUTE(jason_converted!F243," 'ville': '",""))-1),"")</f>
        <v/>
      </c>
      <c r="G243" t="str">
        <f>IFERROR(LEFT(SUBSTITUTE(jason_converted!G243," 'tel': ",""),LEN(SUBSTITUTE(jason_converted!G243," 'tel': ",""))),"")</f>
        <v/>
      </c>
      <c r="H243" t="str">
        <f>IFERROR(LEFT(SUBSTITUTE(jason_converted!H243," 'lat': '",""),LEN(SUBSTITUTE(jason_converted!H243," 'lat': '",""))-1),"")</f>
        <v/>
      </c>
      <c r="I243" t="str">
        <f>IFERROR(LEFT(SUBSTITUTE(jason_converted!I243," 'lng': '",""),LEN(SUBSTITUTE(jason_converted!I243," 'lng': '",""))-1),"")</f>
        <v/>
      </c>
      <c r="J243" t="str">
        <f>IFERROR(LEFT(SUBSTITUTE(jason_converted!J243," 'nomClub': '",""),LEN(SUBSTITUTE(jason_converted!J243," 'nomClub': '",""))-1),"")</f>
        <v/>
      </c>
      <c r="K243" t="str">
        <f>IFERROR(LEFT(SUBSTITUTE(jason_converted!K243," 'nomCourtClub': '",""),LEN(SUBSTITUTE(jason_converted!K243," 'nomCourtClub': '",""))-1),"")</f>
        <v/>
      </c>
      <c r="L243" t="str">
        <f>IFERROR("https://ffhaltero.fr/" &amp; LEFT(SUBSTITUTE(jason_converted!L243," 'url': '",""),LEN(SUBSTITUTE(jason_converted!L243," 'url': '",""))-1),"")</f>
        <v/>
      </c>
    </row>
    <row r="244" spans="1:12" x14ac:dyDescent="0.25">
      <c r="A244" t="str">
        <f>IFERROR(SUBSTITUTE(jason_converted!A244,"{'id': ",""),"")</f>
        <v/>
      </c>
      <c r="B244" t="str">
        <f>IFERROR(LEFT(SUBSTITUTE(jason_converted!B244," 'nom': '",""),LEN(SUBSTITUTE(jason_converted!B244," 'nom': '",""))-1),"")</f>
        <v/>
      </c>
      <c r="C244" t="str">
        <f>IFERROR(LEFT(SUBSTITUTE(jason_converted!C244," 'adresse1': '",""),LEN(SUBSTITUTE(jason_converted!C244," 'adresse1': '",""))-1),"")</f>
        <v/>
      </c>
      <c r="D244" t="str">
        <f>IFERROR(LEFT(SUBSTITUTE(jason_converted!D244," 'adresse2': '",""),LEN(SUBSTITUTE(jason_converted!D244," 'adresse2': '",""))-1),"")</f>
        <v/>
      </c>
      <c r="E244" t="str">
        <f>IFERROR(LEFT(SUBSTITUTE(jason_converted!E244," 'codepostal': '",""),LEN(SUBSTITUTE(jason_converted!E244," 'codepostal': '",""))-1),"")</f>
        <v/>
      </c>
      <c r="F244" t="str">
        <f>IFERROR(LEFT(SUBSTITUTE(jason_converted!F244," 'ville': '",""),LEN(SUBSTITUTE(jason_converted!F244," 'ville': '",""))-1),"")</f>
        <v/>
      </c>
      <c r="G244" t="str">
        <f>IFERROR(LEFT(SUBSTITUTE(jason_converted!G244," 'tel': ",""),LEN(SUBSTITUTE(jason_converted!G244," 'tel': ",""))),"")</f>
        <v/>
      </c>
      <c r="H244" t="str">
        <f>IFERROR(LEFT(SUBSTITUTE(jason_converted!H244," 'lat': '",""),LEN(SUBSTITUTE(jason_converted!H244," 'lat': '",""))-1),"")</f>
        <v/>
      </c>
      <c r="I244" t="str">
        <f>IFERROR(LEFT(SUBSTITUTE(jason_converted!I244," 'lng': '",""),LEN(SUBSTITUTE(jason_converted!I244," 'lng': '",""))-1),"")</f>
        <v/>
      </c>
      <c r="J244" t="str">
        <f>IFERROR(LEFT(SUBSTITUTE(jason_converted!J244," 'nomClub': '",""),LEN(SUBSTITUTE(jason_converted!J244," 'nomClub': '",""))-1),"")</f>
        <v/>
      </c>
      <c r="K244" t="str">
        <f>IFERROR(LEFT(SUBSTITUTE(jason_converted!K244," 'nomCourtClub': '",""),LEN(SUBSTITUTE(jason_converted!K244," 'nomCourtClub': '",""))-1),"")</f>
        <v/>
      </c>
      <c r="L244" t="str">
        <f>IFERROR("https://ffhaltero.fr/" &amp; LEFT(SUBSTITUTE(jason_converted!L244," 'url': '",""),LEN(SUBSTITUTE(jason_converted!L244," 'url': '",""))-1),"")</f>
        <v/>
      </c>
    </row>
    <row r="245" spans="1:12" x14ac:dyDescent="0.25">
      <c r="A245" t="str">
        <f>IFERROR(SUBSTITUTE(jason_converted!A245,"{'id': ",""),"")</f>
        <v/>
      </c>
      <c r="B245" t="str">
        <f>IFERROR(LEFT(SUBSTITUTE(jason_converted!B245," 'nom': '",""),LEN(SUBSTITUTE(jason_converted!B245," 'nom': '",""))-1),"")</f>
        <v/>
      </c>
      <c r="C245" t="str">
        <f>IFERROR(LEFT(SUBSTITUTE(jason_converted!C245," 'adresse1': '",""),LEN(SUBSTITUTE(jason_converted!C245," 'adresse1': '",""))-1),"")</f>
        <v/>
      </c>
      <c r="D245" t="str">
        <f>IFERROR(LEFT(SUBSTITUTE(jason_converted!D245," 'adresse2': '",""),LEN(SUBSTITUTE(jason_converted!D245," 'adresse2': '",""))-1),"")</f>
        <v/>
      </c>
      <c r="E245" t="str">
        <f>IFERROR(LEFT(SUBSTITUTE(jason_converted!E245," 'codepostal': '",""),LEN(SUBSTITUTE(jason_converted!E245," 'codepostal': '",""))-1),"")</f>
        <v/>
      </c>
      <c r="F245" t="str">
        <f>IFERROR(LEFT(SUBSTITUTE(jason_converted!F245," 'ville': '",""),LEN(SUBSTITUTE(jason_converted!F245," 'ville': '",""))-1),"")</f>
        <v/>
      </c>
      <c r="G245" t="str">
        <f>IFERROR(LEFT(SUBSTITUTE(jason_converted!G245," 'tel': ",""),LEN(SUBSTITUTE(jason_converted!G245," 'tel': ",""))),"")</f>
        <v/>
      </c>
      <c r="H245" t="str">
        <f>IFERROR(LEFT(SUBSTITUTE(jason_converted!H245," 'lat': '",""),LEN(SUBSTITUTE(jason_converted!H245," 'lat': '",""))-1),"")</f>
        <v/>
      </c>
      <c r="I245" t="str">
        <f>IFERROR(LEFT(SUBSTITUTE(jason_converted!I245," 'lng': '",""),LEN(SUBSTITUTE(jason_converted!I245," 'lng': '",""))-1),"")</f>
        <v/>
      </c>
      <c r="J245" t="str">
        <f>IFERROR(LEFT(SUBSTITUTE(jason_converted!J245," 'nomClub': '",""),LEN(SUBSTITUTE(jason_converted!J245," 'nomClub': '",""))-1),"")</f>
        <v/>
      </c>
      <c r="K245" t="str">
        <f>IFERROR(LEFT(SUBSTITUTE(jason_converted!K245," 'nomCourtClub': '",""),LEN(SUBSTITUTE(jason_converted!K245," 'nomCourtClub': '",""))-1),"")</f>
        <v/>
      </c>
      <c r="L245" t="str">
        <f>IFERROR("https://ffhaltero.fr/" &amp; LEFT(SUBSTITUTE(jason_converted!L245," 'url': '",""),LEN(SUBSTITUTE(jason_converted!L245," 'url': '",""))-1),"")</f>
        <v/>
      </c>
    </row>
    <row r="246" spans="1:12" x14ac:dyDescent="0.25">
      <c r="A246" t="str">
        <f>IFERROR(SUBSTITUTE(jason_converted!A246,"{'id': ",""),"")</f>
        <v/>
      </c>
      <c r="B246" t="str">
        <f>IFERROR(LEFT(SUBSTITUTE(jason_converted!B246," 'nom': '",""),LEN(SUBSTITUTE(jason_converted!B246," 'nom': '",""))-1),"")</f>
        <v/>
      </c>
      <c r="C246" t="str">
        <f>IFERROR(LEFT(SUBSTITUTE(jason_converted!C246," 'adresse1': '",""),LEN(SUBSTITUTE(jason_converted!C246," 'adresse1': '",""))-1),"")</f>
        <v/>
      </c>
      <c r="D246" t="str">
        <f>IFERROR(LEFT(SUBSTITUTE(jason_converted!D246," 'adresse2': '",""),LEN(SUBSTITUTE(jason_converted!D246," 'adresse2': '",""))-1),"")</f>
        <v/>
      </c>
      <c r="E246" t="str">
        <f>IFERROR(LEFT(SUBSTITUTE(jason_converted!E246," 'codepostal': '",""),LEN(SUBSTITUTE(jason_converted!E246," 'codepostal': '",""))-1),"")</f>
        <v/>
      </c>
      <c r="F246" t="str">
        <f>IFERROR(LEFT(SUBSTITUTE(jason_converted!F246," 'ville': '",""),LEN(SUBSTITUTE(jason_converted!F246," 'ville': '",""))-1),"")</f>
        <v/>
      </c>
      <c r="G246" t="str">
        <f>IFERROR(LEFT(SUBSTITUTE(jason_converted!G246," 'tel': ",""),LEN(SUBSTITUTE(jason_converted!G246," 'tel': ",""))),"")</f>
        <v/>
      </c>
      <c r="H246" t="str">
        <f>IFERROR(LEFT(SUBSTITUTE(jason_converted!H246," 'lat': '",""),LEN(SUBSTITUTE(jason_converted!H246," 'lat': '",""))-1),"")</f>
        <v/>
      </c>
      <c r="I246" t="str">
        <f>IFERROR(LEFT(SUBSTITUTE(jason_converted!I246," 'lng': '",""),LEN(SUBSTITUTE(jason_converted!I246," 'lng': '",""))-1),"")</f>
        <v/>
      </c>
      <c r="J246" t="str">
        <f>IFERROR(LEFT(SUBSTITUTE(jason_converted!J246," 'nomClub': '",""),LEN(SUBSTITUTE(jason_converted!J246," 'nomClub': '",""))-1),"")</f>
        <v/>
      </c>
      <c r="K246" t="str">
        <f>IFERROR(LEFT(SUBSTITUTE(jason_converted!K246," 'nomCourtClub': '",""),LEN(SUBSTITUTE(jason_converted!K246," 'nomCourtClub': '",""))-1),"")</f>
        <v/>
      </c>
      <c r="L246" t="str">
        <f>IFERROR("https://ffhaltero.fr/" &amp; LEFT(SUBSTITUTE(jason_converted!L246," 'url': '",""),LEN(SUBSTITUTE(jason_converted!L246," 'url': '",""))-1),"")</f>
        <v/>
      </c>
    </row>
    <row r="247" spans="1:12" x14ac:dyDescent="0.25">
      <c r="A247" t="str">
        <f>IFERROR(SUBSTITUTE(jason_converted!A247,"{'id': ",""),"")</f>
        <v/>
      </c>
      <c r="B247" t="str">
        <f>IFERROR(LEFT(SUBSTITUTE(jason_converted!B247," 'nom': '",""),LEN(SUBSTITUTE(jason_converted!B247," 'nom': '",""))-1),"")</f>
        <v/>
      </c>
      <c r="C247" t="str">
        <f>IFERROR(LEFT(SUBSTITUTE(jason_converted!C247," 'adresse1': '",""),LEN(SUBSTITUTE(jason_converted!C247," 'adresse1': '",""))-1),"")</f>
        <v/>
      </c>
      <c r="D247" t="str">
        <f>IFERROR(LEFT(SUBSTITUTE(jason_converted!D247," 'adresse2': '",""),LEN(SUBSTITUTE(jason_converted!D247," 'adresse2': '",""))-1),"")</f>
        <v/>
      </c>
      <c r="E247" t="str">
        <f>IFERROR(LEFT(SUBSTITUTE(jason_converted!E247," 'codepostal': '",""),LEN(SUBSTITUTE(jason_converted!E247," 'codepostal': '",""))-1),"")</f>
        <v/>
      </c>
      <c r="F247" t="str">
        <f>IFERROR(LEFT(SUBSTITUTE(jason_converted!F247," 'ville': '",""),LEN(SUBSTITUTE(jason_converted!F247," 'ville': '",""))-1),"")</f>
        <v/>
      </c>
      <c r="G247" t="str">
        <f>IFERROR(LEFT(SUBSTITUTE(jason_converted!G247," 'tel': ",""),LEN(SUBSTITUTE(jason_converted!G247," 'tel': ",""))),"")</f>
        <v/>
      </c>
      <c r="H247" t="str">
        <f>IFERROR(LEFT(SUBSTITUTE(jason_converted!H247," 'lat': '",""),LEN(SUBSTITUTE(jason_converted!H247," 'lat': '",""))-1),"")</f>
        <v/>
      </c>
      <c r="I247" t="str">
        <f>IFERROR(LEFT(SUBSTITUTE(jason_converted!I247," 'lng': '",""),LEN(SUBSTITUTE(jason_converted!I247," 'lng': '",""))-1),"")</f>
        <v/>
      </c>
      <c r="J247" t="str">
        <f>IFERROR(LEFT(SUBSTITUTE(jason_converted!J247," 'nomClub': '",""),LEN(SUBSTITUTE(jason_converted!J247," 'nomClub': '",""))-1),"")</f>
        <v/>
      </c>
      <c r="K247" t="str">
        <f>IFERROR(LEFT(SUBSTITUTE(jason_converted!K247," 'nomCourtClub': '",""),LEN(SUBSTITUTE(jason_converted!K247," 'nomCourtClub': '",""))-1),"")</f>
        <v/>
      </c>
      <c r="L247" t="str">
        <f>IFERROR("https://ffhaltero.fr/" &amp; LEFT(SUBSTITUTE(jason_converted!L247," 'url': '",""),LEN(SUBSTITUTE(jason_converted!L247," 'url': '",""))-1),"")</f>
        <v/>
      </c>
    </row>
    <row r="248" spans="1:12" x14ac:dyDescent="0.25">
      <c r="A248" t="str">
        <f>IFERROR(SUBSTITUTE(jason_converted!A248,"{'id': ",""),"")</f>
        <v/>
      </c>
      <c r="B248" t="str">
        <f>IFERROR(LEFT(SUBSTITUTE(jason_converted!B248," 'nom': '",""),LEN(SUBSTITUTE(jason_converted!B248," 'nom': '",""))-1),"")</f>
        <v/>
      </c>
      <c r="C248" t="str">
        <f>IFERROR(LEFT(SUBSTITUTE(jason_converted!C248," 'adresse1': '",""),LEN(SUBSTITUTE(jason_converted!C248," 'adresse1': '",""))-1),"")</f>
        <v/>
      </c>
      <c r="D248" t="str">
        <f>IFERROR(LEFT(SUBSTITUTE(jason_converted!D248," 'adresse2': '",""),LEN(SUBSTITUTE(jason_converted!D248," 'adresse2': '",""))-1),"")</f>
        <v/>
      </c>
      <c r="E248" t="str">
        <f>IFERROR(LEFT(SUBSTITUTE(jason_converted!E248," 'codepostal': '",""),LEN(SUBSTITUTE(jason_converted!E248," 'codepostal': '",""))-1),"")</f>
        <v/>
      </c>
      <c r="F248" t="str">
        <f>IFERROR(LEFT(SUBSTITUTE(jason_converted!F248," 'ville': '",""),LEN(SUBSTITUTE(jason_converted!F248," 'ville': '",""))-1),"")</f>
        <v/>
      </c>
      <c r="G248" t="str">
        <f>IFERROR(LEFT(SUBSTITUTE(jason_converted!G248," 'tel': ",""),LEN(SUBSTITUTE(jason_converted!G248," 'tel': ",""))),"")</f>
        <v/>
      </c>
      <c r="H248" t="str">
        <f>IFERROR(LEFT(SUBSTITUTE(jason_converted!H248," 'lat': '",""),LEN(SUBSTITUTE(jason_converted!H248," 'lat': '",""))-1),"")</f>
        <v/>
      </c>
      <c r="I248" t="str">
        <f>IFERROR(LEFT(SUBSTITUTE(jason_converted!I248," 'lng': '",""),LEN(SUBSTITUTE(jason_converted!I248," 'lng': '",""))-1),"")</f>
        <v/>
      </c>
      <c r="J248" t="str">
        <f>IFERROR(LEFT(SUBSTITUTE(jason_converted!J248," 'nomClub': '",""),LEN(SUBSTITUTE(jason_converted!J248," 'nomClub': '",""))-1),"")</f>
        <v/>
      </c>
      <c r="K248" t="str">
        <f>IFERROR(LEFT(SUBSTITUTE(jason_converted!K248," 'nomCourtClub': '",""),LEN(SUBSTITUTE(jason_converted!K248," 'nomCourtClub': '",""))-1),"")</f>
        <v/>
      </c>
      <c r="L248" t="str">
        <f>IFERROR("https://ffhaltero.fr/" &amp; LEFT(SUBSTITUTE(jason_converted!L248," 'url': '",""),LEN(SUBSTITUTE(jason_converted!L248," 'url': '",""))-1),"")</f>
        <v/>
      </c>
    </row>
    <row r="249" spans="1:12" x14ac:dyDescent="0.25">
      <c r="A249" t="str">
        <f>IFERROR(SUBSTITUTE(jason_converted!A249,"{'id': ",""),"")</f>
        <v/>
      </c>
      <c r="B249" t="str">
        <f>IFERROR(LEFT(SUBSTITUTE(jason_converted!B249," 'nom': '",""),LEN(SUBSTITUTE(jason_converted!B249," 'nom': '",""))-1),"")</f>
        <v/>
      </c>
      <c r="C249" t="str">
        <f>IFERROR(LEFT(SUBSTITUTE(jason_converted!C249," 'adresse1': '",""),LEN(SUBSTITUTE(jason_converted!C249," 'adresse1': '",""))-1),"")</f>
        <v/>
      </c>
      <c r="D249" t="str">
        <f>IFERROR(LEFT(SUBSTITUTE(jason_converted!D249," 'adresse2': '",""),LEN(SUBSTITUTE(jason_converted!D249," 'adresse2': '",""))-1),"")</f>
        <v/>
      </c>
      <c r="E249" t="str">
        <f>IFERROR(LEFT(SUBSTITUTE(jason_converted!E249," 'codepostal': '",""),LEN(SUBSTITUTE(jason_converted!E249," 'codepostal': '",""))-1),"")</f>
        <v/>
      </c>
      <c r="F249" t="str">
        <f>IFERROR(LEFT(SUBSTITUTE(jason_converted!F249," 'ville': '",""),LEN(SUBSTITUTE(jason_converted!F249," 'ville': '",""))-1),"")</f>
        <v/>
      </c>
      <c r="G249" t="str">
        <f>IFERROR(LEFT(SUBSTITUTE(jason_converted!G249," 'tel': ",""),LEN(SUBSTITUTE(jason_converted!G249," 'tel': ",""))),"")</f>
        <v/>
      </c>
      <c r="H249" t="str">
        <f>IFERROR(LEFT(SUBSTITUTE(jason_converted!H249," 'lat': '",""),LEN(SUBSTITUTE(jason_converted!H249," 'lat': '",""))-1),"")</f>
        <v/>
      </c>
      <c r="I249" t="str">
        <f>IFERROR(LEFT(SUBSTITUTE(jason_converted!I249," 'lng': '",""),LEN(SUBSTITUTE(jason_converted!I249," 'lng': '",""))-1),"")</f>
        <v/>
      </c>
      <c r="J249" t="str">
        <f>IFERROR(LEFT(SUBSTITUTE(jason_converted!J249," 'nomClub': '",""),LEN(SUBSTITUTE(jason_converted!J249," 'nomClub': '",""))-1),"")</f>
        <v/>
      </c>
      <c r="K249" t="str">
        <f>IFERROR(LEFT(SUBSTITUTE(jason_converted!K249," 'nomCourtClub': '",""),LEN(SUBSTITUTE(jason_converted!K249," 'nomCourtClub': '",""))-1),"")</f>
        <v/>
      </c>
      <c r="L249" t="str">
        <f>IFERROR("https://ffhaltero.fr/" &amp; LEFT(SUBSTITUTE(jason_converted!L249," 'url': '",""),LEN(SUBSTITUTE(jason_converted!L249," 'url': '",""))-1),"")</f>
        <v/>
      </c>
    </row>
    <row r="250" spans="1:12" x14ac:dyDescent="0.25">
      <c r="A250" t="str">
        <f>IFERROR(SUBSTITUTE(jason_converted!A250,"{'id': ",""),"")</f>
        <v/>
      </c>
      <c r="B250" t="str">
        <f>IFERROR(LEFT(SUBSTITUTE(jason_converted!B250," 'nom': '",""),LEN(SUBSTITUTE(jason_converted!B250," 'nom': '",""))-1),"")</f>
        <v/>
      </c>
      <c r="C250" t="str">
        <f>IFERROR(LEFT(SUBSTITUTE(jason_converted!C250," 'adresse1': '",""),LEN(SUBSTITUTE(jason_converted!C250," 'adresse1': '",""))-1),"")</f>
        <v/>
      </c>
      <c r="D250" t="str">
        <f>IFERROR(LEFT(SUBSTITUTE(jason_converted!D250," 'adresse2': '",""),LEN(SUBSTITUTE(jason_converted!D250," 'adresse2': '",""))-1),"")</f>
        <v/>
      </c>
      <c r="E250" t="str">
        <f>IFERROR(LEFT(SUBSTITUTE(jason_converted!E250," 'codepostal': '",""),LEN(SUBSTITUTE(jason_converted!E250," 'codepostal': '",""))-1),"")</f>
        <v/>
      </c>
      <c r="F250" t="str">
        <f>IFERROR(LEFT(SUBSTITUTE(jason_converted!F250," 'ville': '",""),LEN(SUBSTITUTE(jason_converted!F250," 'ville': '",""))-1),"")</f>
        <v/>
      </c>
      <c r="G250" t="str">
        <f>IFERROR(LEFT(SUBSTITUTE(jason_converted!G250," 'tel': ",""),LEN(SUBSTITUTE(jason_converted!G250," 'tel': ",""))),"")</f>
        <v/>
      </c>
      <c r="H250" t="str">
        <f>IFERROR(LEFT(SUBSTITUTE(jason_converted!H250," 'lat': '",""),LEN(SUBSTITUTE(jason_converted!H250," 'lat': '",""))-1),"")</f>
        <v/>
      </c>
      <c r="I250" t="str">
        <f>IFERROR(LEFT(SUBSTITUTE(jason_converted!I250," 'lng': '",""),LEN(SUBSTITUTE(jason_converted!I250," 'lng': '",""))-1),"")</f>
        <v/>
      </c>
      <c r="J250" t="str">
        <f>IFERROR(LEFT(SUBSTITUTE(jason_converted!J250," 'nomClub': '",""),LEN(SUBSTITUTE(jason_converted!J250," 'nomClub': '",""))-1),"")</f>
        <v/>
      </c>
      <c r="K250" t="str">
        <f>IFERROR(LEFT(SUBSTITUTE(jason_converted!K250," 'nomCourtClub': '",""),LEN(SUBSTITUTE(jason_converted!K250," 'nomCourtClub': '",""))-1),"")</f>
        <v/>
      </c>
      <c r="L250" t="str">
        <f>IFERROR("https://ffhaltero.fr/" &amp; LEFT(SUBSTITUTE(jason_converted!L250," 'url': '",""),LEN(SUBSTITUTE(jason_converted!L250," 'url': '",""))-1),"")</f>
        <v/>
      </c>
    </row>
    <row r="251" spans="1:12" x14ac:dyDescent="0.25">
      <c r="A251" t="str">
        <f>IFERROR(SUBSTITUTE(jason_converted!A251,"{'id': ",""),"")</f>
        <v/>
      </c>
      <c r="B251" t="str">
        <f>IFERROR(LEFT(SUBSTITUTE(jason_converted!B251," 'nom': '",""),LEN(SUBSTITUTE(jason_converted!B251," 'nom': '",""))-1),"")</f>
        <v/>
      </c>
      <c r="C251" t="str">
        <f>IFERROR(LEFT(SUBSTITUTE(jason_converted!C251," 'adresse1': '",""),LEN(SUBSTITUTE(jason_converted!C251," 'adresse1': '",""))-1),"")</f>
        <v/>
      </c>
      <c r="D251" t="str">
        <f>IFERROR(LEFT(SUBSTITUTE(jason_converted!D251," 'adresse2': '",""),LEN(SUBSTITUTE(jason_converted!D251," 'adresse2': '",""))-1),"")</f>
        <v/>
      </c>
      <c r="E251" t="str">
        <f>IFERROR(LEFT(SUBSTITUTE(jason_converted!E251," 'codepostal': '",""),LEN(SUBSTITUTE(jason_converted!E251," 'codepostal': '",""))-1),"")</f>
        <v/>
      </c>
      <c r="F251" t="str">
        <f>IFERROR(LEFT(SUBSTITUTE(jason_converted!F251," 'ville': '",""),LEN(SUBSTITUTE(jason_converted!F251," 'ville': '",""))-1),"")</f>
        <v/>
      </c>
      <c r="G251" t="str">
        <f>IFERROR(LEFT(SUBSTITUTE(jason_converted!G251," 'tel': ",""),LEN(SUBSTITUTE(jason_converted!G251," 'tel': ",""))),"")</f>
        <v/>
      </c>
      <c r="H251" t="str">
        <f>IFERROR(LEFT(SUBSTITUTE(jason_converted!H251," 'lat': '",""),LEN(SUBSTITUTE(jason_converted!H251," 'lat': '",""))-1),"")</f>
        <v/>
      </c>
      <c r="I251" t="str">
        <f>IFERROR(LEFT(SUBSTITUTE(jason_converted!I251," 'lng': '",""),LEN(SUBSTITUTE(jason_converted!I251," 'lng': '",""))-1),"")</f>
        <v/>
      </c>
      <c r="J251" t="str">
        <f>IFERROR(LEFT(SUBSTITUTE(jason_converted!J251," 'nomClub': '",""),LEN(SUBSTITUTE(jason_converted!J251," 'nomClub': '",""))-1),"")</f>
        <v/>
      </c>
      <c r="K251" t="str">
        <f>IFERROR(LEFT(SUBSTITUTE(jason_converted!K251," 'nomCourtClub': '",""),LEN(SUBSTITUTE(jason_converted!K251," 'nomCourtClub': '",""))-1),"")</f>
        <v/>
      </c>
      <c r="L251" t="str">
        <f>IFERROR("https://ffhaltero.fr/" &amp; LEFT(SUBSTITUTE(jason_converted!L251," 'url': '",""),LEN(SUBSTITUTE(jason_converted!L251," 'url': '",""))-1),"")</f>
        <v/>
      </c>
    </row>
    <row r="252" spans="1:12" x14ac:dyDescent="0.25">
      <c r="A252" t="str">
        <f>IFERROR(SUBSTITUTE(jason_converted!A252,"{'id': ",""),"")</f>
        <v/>
      </c>
      <c r="B252" t="str">
        <f>IFERROR(LEFT(SUBSTITUTE(jason_converted!B252," 'nom': '",""),LEN(SUBSTITUTE(jason_converted!B252," 'nom': '",""))-1),"")</f>
        <v/>
      </c>
      <c r="C252" t="str">
        <f>IFERROR(LEFT(SUBSTITUTE(jason_converted!C252," 'adresse1': '",""),LEN(SUBSTITUTE(jason_converted!C252," 'adresse1': '",""))-1),"")</f>
        <v/>
      </c>
      <c r="D252" t="str">
        <f>IFERROR(LEFT(SUBSTITUTE(jason_converted!D252," 'adresse2': '",""),LEN(SUBSTITUTE(jason_converted!D252," 'adresse2': '",""))-1),"")</f>
        <v/>
      </c>
      <c r="E252" t="str">
        <f>IFERROR(LEFT(SUBSTITUTE(jason_converted!E252," 'codepostal': '",""),LEN(SUBSTITUTE(jason_converted!E252," 'codepostal': '",""))-1),"")</f>
        <v/>
      </c>
      <c r="F252" t="str">
        <f>IFERROR(LEFT(SUBSTITUTE(jason_converted!F252," 'ville': '",""),LEN(SUBSTITUTE(jason_converted!F252," 'ville': '",""))-1),"")</f>
        <v/>
      </c>
      <c r="G252" t="str">
        <f>IFERROR(LEFT(SUBSTITUTE(jason_converted!G252," 'tel': ",""),LEN(SUBSTITUTE(jason_converted!G252," 'tel': ",""))),"")</f>
        <v/>
      </c>
      <c r="H252" t="str">
        <f>IFERROR(LEFT(SUBSTITUTE(jason_converted!H252," 'lat': '",""),LEN(SUBSTITUTE(jason_converted!H252," 'lat': '",""))-1),"")</f>
        <v/>
      </c>
      <c r="I252" t="str">
        <f>IFERROR(LEFT(SUBSTITUTE(jason_converted!I252," 'lng': '",""),LEN(SUBSTITUTE(jason_converted!I252," 'lng': '",""))-1),"")</f>
        <v/>
      </c>
      <c r="J252" t="str">
        <f>IFERROR(LEFT(SUBSTITUTE(jason_converted!J252," 'nomClub': '",""),LEN(SUBSTITUTE(jason_converted!J252," 'nomClub': '",""))-1),"")</f>
        <v/>
      </c>
      <c r="K252" t="str">
        <f>IFERROR(LEFT(SUBSTITUTE(jason_converted!K252," 'nomCourtClub': '",""),LEN(SUBSTITUTE(jason_converted!K252," 'nomCourtClub': '",""))-1),"")</f>
        <v/>
      </c>
      <c r="L252" t="str">
        <f>IFERROR("https://ffhaltero.fr/" &amp; LEFT(SUBSTITUTE(jason_converted!L252," 'url': '",""),LEN(SUBSTITUTE(jason_converted!L252," 'url': '",""))-1),"")</f>
        <v/>
      </c>
    </row>
    <row r="253" spans="1:12" x14ac:dyDescent="0.25">
      <c r="A253" t="str">
        <f>IFERROR(SUBSTITUTE(jason_converted!A253,"{'id': ",""),"")</f>
        <v/>
      </c>
      <c r="B253" t="str">
        <f>IFERROR(LEFT(SUBSTITUTE(jason_converted!B253," 'nom': '",""),LEN(SUBSTITUTE(jason_converted!B253," 'nom': '",""))-1),"")</f>
        <v/>
      </c>
      <c r="C253" t="str">
        <f>IFERROR(LEFT(SUBSTITUTE(jason_converted!C253," 'adresse1': '",""),LEN(SUBSTITUTE(jason_converted!C253," 'adresse1': '",""))-1),"")</f>
        <v/>
      </c>
      <c r="D253" t="str">
        <f>IFERROR(LEFT(SUBSTITUTE(jason_converted!D253," 'adresse2': '",""),LEN(SUBSTITUTE(jason_converted!D253," 'adresse2': '",""))-1),"")</f>
        <v/>
      </c>
      <c r="E253" t="str">
        <f>IFERROR(LEFT(SUBSTITUTE(jason_converted!E253," 'codepostal': '",""),LEN(SUBSTITUTE(jason_converted!E253," 'codepostal': '",""))-1),"")</f>
        <v/>
      </c>
      <c r="F253" t="str">
        <f>IFERROR(LEFT(SUBSTITUTE(jason_converted!F253," 'ville': '",""),LEN(SUBSTITUTE(jason_converted!F253," 'ville': '",""))-1),"")</f>
        <v/>
      </c>
      <c r="G253" t="str">
        <f>IFERROR(LEFT(SUBSTITUTE(jason_converted!G253," 'tel': ",""),LEN(SUBSTITUTE(jason_converted!G253," 'tel': ",""))),"")</f>
        <v/>
      </c>
      <c r="H253" t="str">
        <f>IFERROR(LEFT(SUBSTITUTE(jason_converted!H253," 'lat': '",""),LEN(SUBSTITUTE(jason_converted!H253," 'lat': '",""))-1),"")</f>
        <v/>
      </c>
      <c r="I253" t="str">
        <f>IFERROR(LEFT(SUBSTITUTE(jason_converted!I253," 'lng': '",""),LEN(SUBSTITUTE(jason_converted!I253," 'lng': '",""))-1),"")</f>
        <v/>
      </c>
      <c r="J253" t="str">
        <f>IFERROR(LEFT(SUBSTITUTE(jason_converted!J253," 'nomClub': '",""),LEN(SUBSTITUTE(jason_converted!J253," 'nomClub': '",""))-1),"")</f>
        <v/>
      </c>
      <c r="K253" t="str">
        <f>IFERROR(LEFT(SUBSTITUTE(jason_converted!K253," 'nomCourtClub': '",""),LEN(SUBSTITUTE(jason_converted!K253," 'nomCourtClub': '",""))-1),"")</f>
        <v/>
      </c>
      <c r="L253" t="str">
        <f>IFERROR("https://ffhaltero.fr/" &amp; LEFT(SUBSTITUTE(jason_converted!L253," 'url': '",""),LEN(SUBSTITUTE(jason_converted!L253," 'url': '",""))-1),"")</f>
        <v/>
      </c>
    </row>
    <row r="254" spans="1:12" x14ac:dyDescent="0.25">
      <c r="A254" t="str">
        <f>IFERROR(SUBSTITUTE(jason_converted!A254,"{'id': ",""),"")</f>
        <v/>
      </c>
      <c r="B254" t="str">
        <f>IFERROR(LEFT(SUBSTITUTE(jason_converted!B254," 'nom': '",""),LEN(SUBSTITUTE(jason_converted!B254," 'nom': '",""))-1),"")</f>
        <v/>
      </c>
      <c r="C254" t="str">
        <f>IFERROR(LEFT(SUBSTITUTE(jason_converted!C254," 'adresse1': '",""),LEN(SUBSTITUTE(jason_converted!C254," 'adresse1': '",""))-1),"")</f>
        <v/>
      </c>
      <c r="D254" t="str">
        <f>IFERROR(LEFT(SUBSTITUTE(jason_converted!D254," 'adresse2': '",""),LEN(SUBSTITUTE(jason_converted!D254," 'adresse2': '",""))-1),"")</f>
        <v/>
      </c>
      <c r="E254" t="str">
        <f>IFERROR(LEFT(SUBSTITUTE(jason_converted!E254," 'codepostal': '",""),LEN(SUBSTITUTE(jason_converted!E254," 'codepostal': '",""))-1),"")</f>
        <v/>
      </c>
      <c r="F254" t="str">
        <f>IFERROR(LEFT(SUBSTITUTE(jason_converted!F254," 'ville': '",""),LEN(SUBSTITUTE(jason_converted!F254," 'ville': '",""))-1),"")</f>
        <v/>
      </c>
      <c r="G254" t="str">
        <f>IFERROR(LEFT(SUBSTITUTE(jason_converted!G254," 'tel': ",""),LEN(SUBSTITUTE(jason_converted!G254," 'tel': ",""))),"")</f>
        <v/>
      </c>
      <c r="H254" t="str">
        <f>IFERROR(LEFT(SUBSTITUTE(jason_converted!H254," 'lat': '",""),LEN(SUBSTITUTE(jason_converted!H254," 'lat': '",""))-1),"")</f>
        <v/>
      </c>
      <c r="I254" t="str">
        <f>IFERROR(LEFT(SUBSTITUTE(jason_converted!I254," 'lng': '",""),LEN(SUBSTITUTE(jason_converted!I254," 'lng': '",""))-1),"")</f>
        <v/>
      </c>
      <c r="J254" t="str">
        <f>IFERROR(LEFT(SUBSTITUTE(jason_converted!J254," 'nomClub': '",""),LEN(SUBSTITUTE(jason_converted!J254," 'nomClub': '",""))-1),"")</f>
        <v/>
      </c>
      <c r="K254" t="str">
        <f>IFERROR(LEFT(SUBSTITUTE(jason_converted!K254," 'nomCourtClub': '",""),LEN(SUBSTITUTE(jason_converted!K254," 'nomCourtClub': '",""))-1),"")</f>
        <v/>
      </c>
      <c r="L254" t="str">
        <f>IFERROR("https://ffhaltero.fr/" &amp; LEFT(SUBSTITUTE(jason_converted!L254," 'url': '",""),LEN(SUBSTITUTE(jason_converted!L254," 'url': '",""))-1),"")</f>
        <v/>
      </c>
    </row>
    <row r="255" spans="1:12" x14ac:dyDescent="0.25">
      <c r="A255" t="str">
        <f>IFERROR(SUBSTITUTE(jason_converted!A255,"{'id': ",""),"")</f>
        <v/>
      </c>
      <c r="B255" t="str">
        <f>IFERROR(LEFT(SUBSTITUTE(jason_converted!B255," 'nom': '",""),LEN(SUBSTITUTE(jason_converted!B255," 'nom': '",""))-1),"")</f>
        <v/>
      </c>
      <c r="C255" t="str">
        <f>IFERROR(LEFT(SUBSTITUTE(jason_converted!C255," 'adresse1': '",""),LEN(SUBSTITUTE(jason_converted!C255," 'adresse1': '",""))-1),"")</f>
        <v/>
      </c>
      <c r="D255" t="str">
        <f>IFERROR(LEFT(SUBSTITUTE(jason_converted!D255," 'adresse2': '",""),LEN(SUBSTITUTE(jason_converted!D255," 'adresse2': '",""))-1),"")</f>
        <v/>
      </c>
      <c r="E255" t="str">
        <f>IFERROR(LEFT(SUBSTITUTE(jason_converted!E255," 'codepostal': '",""),LEN(SUBSTITUTE(jason_converted!E255," 'codepostal': '",""))-1),"")</f>
        <v/>
      </c>
      <c r="F255" t="str">
        <f>IFERROR(LEFT(SUBSTITUTE(jason_converted!F255," 'ville': '",""),LEN(SUBSTITUTE(jason_converted!F255," 'ville': '",""))-1),"")</f>
        <v/>
      </c>
      <c r="G255" t="str">
        <f>IFERROR(LEFT(SUBSTITUTE(jason_converted!G255," 'tel': ",""),LEN(SUBSTITUTE(jason_converted!G255," 'tel': ",""))),"")</f>
        <v/>
      </c>
      <c r="H255" t="str">
        <f>IFERROR(LEFT(SUBSTITUTE(jason_converted!H255," 'lat': '",""),LEN(SUBSTITUTE(jason_converted!H255," 'lat': '",""))-1),"")</f>
        <v/>
      </c>
      <c r="I255" t="str">
        <f>IFERROR(LEFT(SUBSTITUTE(jason_converted!I255," 'lng': '",""),LEN(SUBSTITUTE(jason_converted!I255," 'lng': '",""))-1),"")</f>
        <v/>
      </c>
      <c r="J255" t="str">
        <f>IFERROR(LEFT(SUBSTITUTE(jason_converted!J255," 'nomClub': '",""),LEN(SUBSTITUTE(jason_converted!J255," 'nomClub': '",""))-1),"")</f>
        <v/>
      </c>
      <c r="K255" t="str">
        <f>IFERROR(LEFT(SUBSTITUTE(jason_converted!K255," 'nomCourtClub': '",""),LEN(SUBSTITUTE(jason_converted!K255," 'nomCourtClub': '",""))-1),"")</f>
        <v/>
      </c>
      <c r="L255" t="str">
        <f>IFERROR("https://ffhaltero.fr/" &amp; LEFT(SUBSTITUTE(jason_converted!L255," 'url': '",""),LEN(SUBSTITUTE(jason_converted!L255," 'url': '",""))-1),"")</f>
        <v/>
      </c>
    </row>
    <row r="256" spans="1:12" x14ac:dyDescent="0.25">
      <c r="A256" t="str">
        <f>IFERROR(SUBSTITUTE(jason_converted!A256,"{'id': ",""),"")</f>
        <v/>
      </c>
      <c r="B256" t="str">
        <f>IFERROR(LEFT(SUBSTITUTE(jason_converted!B256," 'nom': '",""),LEN(SUBSTITUTE(jason_converted!B256," 'nom': '",""))-1),"")</f>
        <v/>
      </c>
      <c r="C256" t="str">
        <f>IFERROR(LEFT(SUBSTITUTE(jason_converted!C256," 'adresse1': '",""),LEN(SUBSTITUTE(jason_converted!C256," 'adresse1': '",""))-1),"")</f>
        <v/>
      </c>
      <c r="D256" t="str">
        <f>IFERROR(LEFT(SUBSTITUTE(jason_converted!D256," 'adresse2': '",""),LEN(SUBSTITUTE(jason_converted!D256," 'adresse2': '",""))-1),"")</f>
        <v/>
      </c>
      <c r="E256" t="str">
        <f>IFERROR(LEFT(SUBSTITUTE(jason_converted!E256," 'codepostal': '",""),LEN(SUBSTITUTE(jason_converted!E256," 'codepostal': '",""))-1),"")</f>
        <v/>
      </c>
      <c r="F256" t="str">
        <f>IFERROR(LEFT(SUBSTITUTE(jason_converted!F256," 'ville': '",""),LEN(SUBSTITUTE(jason_converted!F256," 'ville': '",""))-1),"")</f>
        <v/>
      </c>
      <c r="G256" t="str">
        <f>IFERROR(LEFT(SUBSTITUTE(jason_converted!G256," 'tel': ",""),LEN(SUBSTITUTE(jason_converted!G256," 'tel': ",""))),"")</f>
        <v/>
      </c>
      <c r="H256" t="str">
        <f>IFERROR(LEFT(SUBSTITUTE(jason_converted!H256," 'lat': '",""),LEN(SUBSTITUTE(jason_converted!H256," 'lat': '",""))-1),"")</f>
        <v/>
      </c>
      <c r="I256" t="str">
        <f>IFERROR(LEFT(SUBSTITUTE(jason_converted!I256," 'lng': '",""),LEN(SUBSTITUTE(jason_converted!I256," 'lng': '",""))-1),"")</f>
        <v/>
      </c>
      <c r="J256" t="str">
        <f>IFERROR(LEFT(SUBSTITUTE(jason_converted!J256," 'nomClub': '",""),LEN(SUBSTITUTE(jason_converted!J256," 'nomClub': '",""))-1),"")</f>
        <v/>
      </c>
      <c r="K256" t="str">
        <f>IFERROR(LEFT(SUBSTITUTE(jason_converted!K256," 'nomCourtClub': '",""),LEN(SUBSTITUTE(jason_converted!K256," 'nomCourtClub': '",""))-1),"")</f>
        <v/>
      </c>
      <c r="L256" t="str">
        <f>IFERROR("https://ffhaltero.fr/" &amp; LEFT(SUBSTITUTE(jason_converted!L256," 'url': '",""),LEN(SUBSTITUTE(jason_converted!L256," 'url': '",""))-1),"")</f>
        <v/>
      </c>
    </row>
    <row r="257" spans="1:12" x14ac:dyDescent="0.25">
      <c r="A257" t="str">
        <f>IFERROR(SUBSTITUTE(jason_converted!A257,"{'id': ",""),"")</f>
        <v/>
      </c>
      <c r="B257" t="str">
        <f>IFERROR(LEFT(SUBSTITUTE(jason_converted!B257," 'nom': '",""),LEN(SUBSTITUTE(jason_converted!B257," 'nom': '",""))-1),"")</f>
        <v/>
      </c>
      <c r="C257" t="str">
        <f>IFERROR(LEFT(SUBSTITUTE(jason_converted!C257," 'adresse1': '",""),LEN(SUBSTITUTE(jason_converted!C257," 'adresse1': '",""))-1),"")</f>
        <v/>
      </c>
      <c r="D257" t="str">
        <f>IFERROR(LEFT(SUBSTITUTE(jason_converted!D257," 'adresse2': '",""),LEN(SUBSTITUTE(jason_converted!D257," 'adresse2': '",""))-1),"")</f>
        <v/>
      </c>
      <c r="E257" t="str">
        <f>IFERROR(LEFT(SUBSTITUTE(jason_converted!E257," 'codepostal': '",""),LEN(SUBSTITUTE(jason_converted!E257," 'codepostal': '",""))-1),"")</f>
        <v/>
      </c>
      <c r="F257" t="str">
        <f>IFERROR(LEFT(SUBSTITUTE(jason_converted!F257," 'ville': '",""),LEN(SUBSTITUTE(jason_converted!F257," 'ville': '",""))-1),"")</f>
        <v/>
      </c>
      <c r="G257" t="str">
        <f>IFERROR(LEFT(SUBSTITUTE(jason_converted!G257," 'tel': ",""),LEN(SUBSTITUTE(jason_converted!G257," 'tel': ",""))),"")</f>
        <v/>
      </c>
      <c r="H257" t="str">
        <f>IFERROR(LEFT(SUBSTITUTE(jason_converted!H257," 'lat': '",""),LEN(SUBSTITUTE(jason_converted!H257," 'lat': '",""))-1),"")</f>
        <v/>
      </c>
      <c r="I257" t="str">
        <f>IFERROR(LEFT(SUBSTITUTE(jason_converted!I257," 'lng': '",""),LEN(SUBSTITUTE(jason_converted!I257," 'lng': '",""))-1),"")</f>
        <v/>
      </c>
      <c r="J257" t="str">
        <f>IFERROR(LEFT(SUBSTITUTE(jason_converted!J257," 'nomClub': '",""),LEN(SUBSTITUTE(jason_converted!J257," 'nomClub': '",""))-1),"")</f>
        <v/>
      </c>
      <c r="K257" t="str">
        <f>IFERROR(LEFT(SUBSTITUTE(jason_converted!K257," 'nomCourtClub': '",""),LEN(SUBSTITUTE(jason_converted!K257," 'nomCourtClub': '",""))-1),"")</f>
        <v/>
      </c>
      <c r="L257" t="str">
        <f>IFERROR("https://ffhaltero.fr/" &amp; LEFT(SUBSTITUTE(jason_converted!L257," 'url': '",""),LEN(SUBSTITUTE(jason_converted!L257," 'url': '",""))-1),"")</f>
        <v/>
      </c>
    </row>
    <row r="258" spans="1:12" x14ac:dyDescent="0.25">
      <c r="A258" t="str">
        <f>IFERROR(SUBSTITUTE(jason_converted!A258,"{'id': ",""),"")</f>
        <v/>
      </c>
      <c r="B258" t="str">
        <f>IFERROR(LEFT(SUBSTITUTE(jason_converted!B258," 'nom': '",""),LEN(SUBSTITUTE(jason_converted!B258," 'nom': '",""))-1),"")</f>
        <v/>
      </c>
      <c r="C258" t="str">
        <f>IFERROR(LEFT(SUBSTITUTE(jason_converted!C258," 'adresse1': '",""),LEN(SUBSTITUTE(jason_converted!C258," 'adresse1': '",""))-1),"")</f>
        <v/>
      </c>
      <c r="D258" t="str">
        <f>IFERROR(LEFT(SUBSTITUTE(jason_converted!D258," 'adresse2': '",""),LEN(SUBSTITUTE(jason_converted!D258," 'adresse2': '",""))-1),"")</f>
        <v/>
      </c>
      <c r="E258" t="str">
        <f>IFERROR(LEFT(SUBSTITUTE(jason_converted!E258," 'codepostal': '",""),LEN(SUBSTITUTE(jason_converted!E258," 'codepostal': '",""))-1),"")</f>
        <v/>
      </c>
      <c r="F258" t="str">
        <f>IFERROR(LEFT(SUBSTITUTE(jason_converted!F258," 'ville': '",""),LEN(SUBSTITUTE(jason_converted!F258," 'ville': '",""))-1),"")</f>
        <v/>
      </c>
      <c r="G258" t="str">
        <f>IFERROR(LEFT(SUBSTITUTE(jason_converted!G258," 'tel': ",""),LEN(SUBSTITUTE(jason_converted!G258," 'tel': ",""))),"")</f>
        <v/>
      </c>
      <c r="H258" t="str">
        <f>IFERROR(LEFT(SUBSTITUTE(jason_converted!H258," 'lat': '",""),LEN(SUBSTITUTE(jason_converted!H258," 'lat': '",""))-1),"")</f>
        <v/>
      </c>
      <c r="I258" t="str">
        <f>IFERROR(LEFT(SUBSTITUTE(jason_converted!I258," 'lng': '",""),LEN(SUBSTITUTE(jason_converted!I258," 'lng': '",""))-1),"")</f>
        <v/>
      </c>
      <c r="J258" t="str">
        <f>IFERROR(LEFT(SUBSTITUTE(jason_converted!J258," 'nomClub': '",""),LEN(SUBSTITUTE(jason_converted!J258," 'nomClub': '",""))-1),"")</f>
        <v/>
      </c>
      <c r="K258" t="str">
        <f>IFERROR(LEFT(SUBSTITUTE(jason_converted!K258," 'nomCourtClub': '",""),LEN(SUBSTITUTE(jason_converted!K258," 'nomCourtClub': '",""))-1),"")</f>
        <v/>
      </c>
      <c r="L258" t="str">
        <f>IFERROR("https://ffhaltero.fr/" &amp; LEFT(SUBSTITUTE(jason_converted!L258," 'url': '",""),LEN(SUBSTITUTE(jason_converted!L258," 'url': '",""))-1),"")</f>
        <v/>
      </c>
    </row>
    <row r="259" spans="1:12" x14ac:dyDescent="0.25">
      <c r="A259" t="str">
        <f>IFERROR(SUBSTITUTE(jason_converted!A259,"{'id': ",""),"")</f>
        <v/>
      </c>
      <c r="B259" t="str">
        <f>IFERROR(LEFT(SUBSTITUTE(jason_converted!B259," 'nom': '",""),LEN(SUBSTITUTE(jason_converted!B259," 'nom': '",""))-1),"")</f>
        <v/>
      </c>
      <c r="C259" t="str">
        <f>IFERROR(LEFT(SUBSTITUTE(jason_converted!C259," 'adresse1': '",""),LEN(SUBSTITUTE(jason_converted!C259," 'adresse1': '",""))-1),"")</f>
        <v/>
      </c>
      <c r="D259" t="str">
        <f>IFERROR(LEFT(SUBSTITUTE(jason_converted!D259," 'adresse2': '",""),LEN(SUBSTITUTE(jason_converted!D259," 'adresse2': '",""))-1),"")</f>
        <v/>
      </c>
      <c r="E259" t="str">
        <f>IFERROR(LEFT(SUBSTITUTE(jason_converted!E259," 'codepostal': '",""),LEN(SUBSTITUTE(jason_converted!E259," 'codepostal': '",""))-1),"")</f>
        <v/>
      </c>
      <c r="F259" t="str">
        <f>IFERROR(LEFT(SUBSTITUTE(jason_converted!F259," 'ville': '",""),LEN(SUBSTITUTE(jason_converted!F259," 'ville': '",""))-1),"")</f>
        <v/>
      </c>
      <c r="G259" t="str">
        <f>IFERROR(LEFT(SUBSTITUTE(jason_converted!G259," 'tel': ",""),LEN(SUBSTITUTE(jason_converted!G259," 'tel': ",""))),"")</f>
        <v/>
      </c>
      <c r="H259" t="str">
        <f>IFERROR(LEFT(SUBSTITUTE(jason_converted!H259," 'lat': '",""),LEN(SUBSTITUTE(jason_converted!H259," 'lat': '",""))-1),"")</f>
        <v/>
      </c>
      <c r="I259" t="str">
        <f>IFERROR(LEFT(SUBSTITUTE(jason_converted!I259," 'lng': '",""),LEN(SUBSTITUTE(jason_converted!I259," 'lng': '",""))-1),"")</f>
        <v/>
      </c>
      <c r="J259" t="str">
        <f>IFERROR(LEFT(SUBSTITUTE(jason_converted!J259," 'nomClub': '",""),LEN(SUBSTITUTE(jason_converted!J259," 'nomClub': '",""))-1),"")</f>
        <v/>
      </c>
      <c r="K259" t="str">
        <f>IFERROR(LEFT(SUBSTITUTE(jason_converted!K259," 'nomCourtClub': '",""),LEN(SUBSTITUTE(jason_converted!K259," 'nomCourtClub': '",""))-1),"")</f>
        <v/>
      </c>
      <c r="L259" t="str">
        <f>IFERROR("https://ffhaltero.fr/" &amp; LEFT(SUBSTITUTE(jason_converted!L259," 'url': '",""),LEN(SUBSTITUTE(jason_converted!L259," 'url': '",""))-1),"")</f>
        <v/>
      </c>
    </row>
    <row r="260" spans="1:12" x14ac:dyDescent="0.25">
      <c r="A260" t="str">
        <f>IFERROR(SUBSTITUTE(jason_converted!A260,"{'id': ",""),"")</f>
        <v/>
      </c>
      <c r="B260" t="str">
        <f>IFERROR(LEFT(SUBSTITUTE(jason_converted!B260," 'nom': '",""),LEN(SUBSTITUTE(jason_converted!B260," 'nom': '",""))-1),"")</f>
        <v/>
      </c>
      <c r="C260" t="str">
        <f>IFERROR(LEFT(SUBSTITUTE(jason_converted!C260," 'adresse1': '",""),LEN(SUBSTITUTE(jason_converted!C260," 'adresse1': '",""))-1),"")</f>
        <v/>
      </c>
      <c r="D260" t="str">
        <f>IFERROR(LEFT(SUBSTITUTE(jason_converted!D260," 'adresse2': '",""),LEN(SUBSTITUTE(jason_converted!D260," 'adresse2': '",""))-1),"")</f>
        <v/>
      </c>
      <c r="E260" t="str">
        <f>IFERROR(LEFT(SUBSTITUTE(jason_converted!E260," 'codepostal': '",""),LEN(SUBSTITUTE(jason_converted!E260," 'codepostal': '",""))-1),"")</f>
        <v/>
      </c>
      <c r="F260" t="str">
        <f>IFERROR(LEFT(SUBSTITUTE(jason_converted!F260," 'ville': '",""),LEN(SUBSTITUTE(jason_converted!F260," 'ville': '",""))-1),"")</f>
        <v/>
      </c>
      <c r="G260" t="str">
        <f>IFERROR(LEFT(SUBSTITUTE(jason_converted!G260," 'tel': ",""),LEN(SUBSTITUTE(jason_converted!G260," 'tel': ",""))),"")</f>
        <v/>
      </c>
      <c r="H260" t="str">
        <f>IFERROR(LEFT(SUBSTITUTE(jason_converted!H260," 'lat': '",""),LEN(SUBSTITUTE(jason_converted!H260," 'lat': '",""))-1),"")</f>
        <v/>
      </c>
      <c r="I260" t="str">
        <f>IFERROR(LEFT(SUBSTITUTE(jason_converted!I260," 'lng': '",""),LEN(SUBSTITUTE(jason_converted!I260," 'lng': '",""))-1),"")</f>
        <v/>
      </c>
      <c r="J260" t="str">
        <f>IFERROR(LEFT(SUBSTITUTE(jason_converted!J260," 'nomClub': '",""),LEN(SUBSTITUTE(jason_converted!J260," 'nomClub': '",""))-1),"")</f>
        <v/>
      </c>
      <c r="K260" t="str">
        <f>IFERROR(LEFT(SUBSTITUTE(jason_converted!K260," 'nomCourtClub': '",""),LEN(SUBSTITUTE(jason_converted!K260," 'nomCourtClub': '",""))-1),"")</f>
        <v/>
      </c>
      <c r="L260" t="str">
        <f>IFERROR("https://ffhaltero.fr/" &amp; LEFT(SUBSTITUTE(jason_converted!L260," 'url': '",""),LEN(SUBSTITUTE(jason_converted!L260," 'url': '",""))-1),"")</f>
        <v/>
      </c>
    </row>
    <row r="261" spans="1:12" x14ac:dyDescent="0.25">
      <c r="A261" t="str">
        <f>IFERROR(SUBSTITUTE(jason_converted!A261,"{'id': ",""),"")</f>
        <v/>
      </c>
      <c r="B261" t="str">
        <f>IFERROR(LEFT(SUBSTITUTE(jason_converted!B261," 'nom': '",""),LEN(SUBSTITUTE(jason_converted!B261," 'nom': '",""))-1),"")</f>
        <v/>
      </c>
      <c r="C261" t="str">
        <f>IFERROR(LEFT(SUBSTITUTE(jason_converted!C261," 'adresse1': '",""),LEN(SUBSTITUTE(jason_converted!C261," 'adresse1': '",""))-1),"")</f>
        <v/>
      </c>
      <c r="D261" t="str">
        <f>IFERROR(LEFT(SUBSTITUTE(jason_converted!D261," 'adresse2': '",""),LEN(SUBSTITUTE(jason_converted!D261," 'adresse2': '",""))-1),"")</f>
        <v/>
      </c>
      <c r="E261" t="str">
        <f>IFERROR(LEFT(SUBSTITUTE(jason_converted!E261," 'codepostal': '",""),LEN(SUBSTITUTE(jason_converted!E261," 'codepostal': '",""))-1),"")</f>
        <v/>
      </c>
      <c r="F261" t="str">
        <f>IFERROR(LEFT(SUBSTITUTE(jason_converted!F261," 'ville': '",""),LEN(SUBSTITUTE(jason_converted!F261," 'ville': '",""))-1),"")</f>
        <v/>
      </c>
      <c r="G261" t="str">
        <f>IFERROR(LEFT(SUBSTITUTE(jason_converted!G261," 'tel': ",""),LEN(SUBSTITUTE(jason_converted!G261," 'tel': ",""))),"")</f>
        <v/>
      </c>
      <c r="H261" t="str">
        <f>IFERROR(LEFT(SUBSTITUTE(jason_converted!H261," 'lat': '",""),LEN(SUBSTITUTE(jason_converted!H261," 'lat': '",""))-1),"")</f>
        <v/>
      </c>
      <c r="I261" t="str">
        <f>IFERROR(LEFT(SUBSTITUTE(jason_converted!I261," 'lng': '",""),LEN(SUBSTITUTE(jason_converted!I261," 'lng': '",""))-1),"")</f>
        <v/>
      </c>
      <c r="J261" t="str">
        <f>IFERROR(LEFT(SUBSTITUTE(jason_converted!J261," 'nomClub': '",""),LEN(SUBSTITUTE(jason_converted!J261," 'nomClub': '",""))-1),"")</f>
        <v/>
      </c>
      <c r="K261" t="str">
        <f>IFERROR(LEFT(SUBSTITUTE(jason_converted!K261," 'nomCourtClub': '",""),LEN(SUBSTITUTE(jason_converted!K261," 'nomCourtClub': '",""))-1),"")</f>
        <v/>
      </c>
      <c r="L261" t="str">
        <f>IFERROR("https://ffhaltero.fr/" &amp; LEFT(SUBSTITUTE(jason_converted!L261," 'url': '",""),LEN(SUBSTITUTE(jason_converted!L261," 'url': '",""))-1),"")</f>
        <v/>
      </c>
    </row>
    <row r="262" spans="1:12" x14ac:dyDescent="0.25">
      <c r="A262" t="str">
        <f>IFERROR(SUBSTITUTE(jason_converted!A262,"{'id': ",""),"")</f>
        <v/>
      </c>
      <c r="B262" t="str">
        <f>IFERROR(LEFT(SUBSTITUTE(jason_converted!B262," 'nom': '",""),LEN(SUBSTITUTE(jason_converted!B262," 'nom': '",""))-1),"")</f>
        <v/>
      </c>
      <c r="C262" t="str">
        <f>IFERROR(LEFT(SUBSTITUTE(jason_converted!C262," 'adresse1': '",""),LEN(SUBSTITUTE(jason_converted!C262," 'adresse1': '",""))-1),"")</f>
        <v/>
      </c>
      <c r="D262" t="str">
        <f>IFERROR(LEFT(SUBSTITUTE(jason_converted!D262," 'adresse2': '",""),LEN(SUBSTITUTE(jason_converted!D262," 'adresse2': '",""))-1),"")</f>
        <v/>
      </c>
      <c r="E262" t="str">
        <f>IFERROR(LEFT(SUBSTITUTE(jason_converted!E262," 'codepostal': '",""),LEN(SUBSTITUTE(jason_converted!E262," 'codepostal': '",""))-1),"")</f>
        <v/>
      </c>
      <c r="F262" t="str">
        <f>IFERROR(LEFT(SUBSTITUTE(jason_converted!F262," 'ville': '",""),LEN(SUBSTITUTE(jason_converted!F262," 'ville': '",""))-1),"")</f>
        <v/>
      </c>
      <c r="G262" t="str">
        <f>IFERROR(LEFT(SUBSTITUTE(jason_converted!G262," 'tel': ",""),LEN(SUBSTITUTE(jason_converted!G262," 'tel': ",""))),"")</f>
        <v/>
      </c>
      <c r="H262" t="str">
        <f>IFERROR(LEFT(SUBSTITUTE(jason_converted!H262," 'lat': '",""),LEN(SUBSTITUTE(jason_converted!H262," 'lat': '",""))-1),"")</f>
        <v/>
      </c>
      <c r="I262" t="str">
        <f>IFERROR(LEFT(SUBSTITUTE(jason_converted!I262," 'lng': '",""),LEN(SUBSTITUTE(jason_converted!I262," 'lng': '",""))-1),"")</f>
        <v/>
      </c>
      <c r="J262" t="str">
        <f>IFERROR(LEFT(SUBSTITUTE(jason_converted!J262," 'nomClub': '",""),LEN(SUBSTITUTE(jason_converted!J262," 'nomClub': '",""))-1),"")</f>
        <v/>
      </c>
      <c r="K262" t="str">
        <f>IFERROR(LEFT(SUBSTITUTE(jason_converted!K262," 'nomCourtClub': '",""),LEN(SUBSTITUTE(jason_converted!K262," 'nomCourtClub': '",""))-1),"")</f>
        <v/>
      </c>
      <c r="L262" t="str">
        <f>IFERROR("https://ffhaltero.fr/" &amp; LEFT(SUBSTITUTE(jason_converted!L262," 'url': '",""),LEN(SUBSTITUTE(jason_converted!L262," 'url': '",""))-1),"")</f>
        <v/>
      </c>
    </row>
    <row r="263" spans="1:12" x14ac:dyDescent="0.25">
      <c r="A263" t="str">
        <f>IFERROR(SUBSTITUTE(jason_converted!A263,"{'id': ",""),"")</f>
        <v/>
      </c>
      <c r="B263" t="str">
        <f>IFERROR(LEFT(SUBSTITUTE(jason_converted!B263," 'nom': '",""),LEN(SUBSTITUTE(jason_converted!B263," 'nom': '",""))-1),"")</f>
        <v/>
      </c>
      <c r="C263" t="str">
        <f>IFERROR(LEFT(SUBSTITUTE(jason_converted!C263," 'adresse1': '",""),LEN(SUBSTITUTE(jason_converted!C263," 'adresse1': '",""))-1),"")</f>
        <v/>
      </c>
      <c r="D263" t="str">
        <f>IFERROR(LEFT(SUBSTITUTE(jason_converted!D263," 'adresse2': '",""),LEN(SUBSTITUTE(jason_converted!D263," 'adresse2': '",""))-1),"")</f>
        <v/>
      </c>
      <c r="E263" t="str">
        <f>IFERROR(LEFT(SUBSTITUTE(jason_converted!E263," 'codepostal': '",""),LEN(SUBSTITUTE(jason_converted!E263," 'codepostal': '",""))-1),"")</f>
        <v/>
      </c>
      <c r="F263" t="str">
        <f>IFERROR(LEFT(SUBSTITUTE(jason_converted!F263," 'ville': '",""),LEN(SUBSTITUTE(jason_converted!F263," 'ville': '",""))-1),"")</f>
        <v/>
      </c>
      <c r="G263" t="str">
        <f>IFERROR(LEFT(SUBSTITUTE(jason_converted!G263," 'tel': ",""),LEN(SUBSTITUTE(jason_converted!G263," 'tel': ",""))),"")</f>
        <v/>
      </c>
      <c r="H263" t="str">
        <f>IFERROR(LEFT(SUBSTITUTE(jason_converted!H263," 'lat': '",""),LEN(SUBSTITUTE(jason_converted!H263," 'lat': '",""))-1),"")</f>
        <v/>
      </c>
      <c r="I263" t="str">
        <f>IFERROR(LEFT(SUBSTITUTE(jason_converted!I263," 'lng': '",""),LEN(SUBSTITUTE(jason_converted!I263," 'lng': '",""))-1),"")</f>
        <v/>
      </c>
      <c r="J263" t="str">
        <f>IFERROR(LEFT(SUBSTITUTE(jason_converted!J263," 'nomClub': '",""),LEN(SUBSTITUTE(jason_converted!J263," 'nomClub': '",""))-1),"")</f>
        <v/>
      </c>
      <c r="K263" t="str">
        <f>IFERROR(LEFT(SUBSTITUTE(jason_converted!K263," 'nomCourtClub': '",""),LEN(SUBSTITUTE(jason_converted!K263," 'nomCourtClub': '",""))-1),"")</f>
        <v/>
      </c>
      <c r="L263" t="str">
        <f>IFERROR("https://ffhaltero.fr/" &amp; LEFT(SUBSTITUTE(jason_converted!L263," 'url': '",""),LEN(SUBSTITUTE(jason_converted!L263," 'url': '",""))-1),"")</f>
        <v/>
      </c>
    </row>
    <row r="264" spans="1:12" x14ac:dyDescent="0.25">
      <c r="A264" t="str">
        <f>IFERROR(SUBSTITUTE(jason_converted!A264,"{'id': ",""),"")</f>
        <v/>
      </c>
      <c r="B264" t="str">
        <f>IFERROR(LEFT(SUBSTITUTE(jason_converted!B264," 'nom': '",""),LEN(SUBSTITUTE(jason_converted!B264," 'nom': '",""))-1),"")</f>
        <v/>
      </c>
      <c r="C264" t="str">
        <f>IFERROR(LEFT(SUBSTITUTE(jason_converted!C264," 'adresse1': '",""),LEN(SUBSTITUTE(jason_converted!C264," 'adresse1': '",""))-1),"")</f>
        <v/>
      </c>
      <c r="D264" t="str">
        <f>IFERROR(LEFT(SUBSTITUTE(jason_converted!D264," 'adresse2': '",""),LEN(SUBSTITUTE(jason_converted!D264," 'adresse2': '",""))-1),"")</f>
        <v/>
      </c>
      <c r="E264" t="str">
        <f>IFERROR(LEFT(SUBSTITUTE(jason_converted!E264," 'codepostal': '",""),LEN(SUBSTITUTE(jason_converted!E264," 'codepostal': '",""))-1),"")</f>
        <v/>
      </c>
      <c r="F264" t="str">
        <f>IFERROR(LEFT(SUBSTITUTE(jason_converted!F264," 'ville': '",""),LEN(SUBSTITUTE(jason_converted!F264," 'ville': '",""))-1),"")</f>
        <v/>
      </c>
      <c r="G264" t="str">
        <f>IFERROR(LEFT(SUBSTITUTE(jason_converted!G264," 'tel': ",""),LEN(SUBSTITUTE(jason_converted!G264," 'tel': ",""))),"")</f>
        <v/>
      </c>
      <c r="H264" t="str">
        <f>IFERROR(LEFT(SUBSTITUTE(jason_converted!H264," 'lat': '",""),LEN(SUBSTITUTE(jason_converted!H264," 'lat': '",""))-1),"")</f>
        <v/>
      </c>
      <c r="I264" t="str">
        <f>IFERROR(LEFT(SUBSTITUTE(jason_converted!I264," 'lng': '",""),LEN(SUBSTITUTE(jason_converted!I264," 'lng': '",""))-1),"")</f>
        <v/>
      </c>
      <c r="J264" t="str">
        <f>IFERROR(LEFT(SUBSTITUTE(jason_converted!J264," 'nomClub': '",""),LEN(SUBSTITUTE(jason_converted!J264," 'nomClub': '",""))-1),"")</f>
        <v/>
      </c>
      <c r="K264" t="str">
        <f>IFERROR(LEFT(SUBSTITUTE(jason_converted!K264," 'nomCourtClub': '",""),LEN(SUBSTITUTE(jason_converted!K264," 'nomCourtClub': '",""))-1),"")</f>
        <v/>
      </c>
      <c r="L264" t="str">
        <f>IFERROR("https://ffhaltero.fr/" &amp; LEFT(SUBSTITUTE(jason_converted!L264," 'url': '",""),LEN(SUBSTITUTE(jason_converted!L264," 'url': '",""))-1),"")</f>
        <v/>
      </c>
    </row>
    <row r="265" spans="1:12" x14ac:dyDescent="0.25">
      <c r="A265" t="str">
        <f>IFERROR(SUBSTITUTE(jason_converted!A265,"{'id': ",""),"")</f>
        <v/>
      </c>
      <c r="B265" t="str">
        <f>IFERROR(LEFT(SUBSTITUTE(jason_converted!B265," 'nom': '",""),LEN(SUBSTITUTE(jason_converted!B265," 'nom': '",""))-1),"")</f>
        <v/>
      </c>
      <c r="C265" t="str">
        <f>IFERROR(LEFT(SUBSTITUTE(jason_converted!C265," 'adresse1': '",""),LEN(SUBSTITUTE(jason_converted!C265," 'adresse1': '",""))-1),"")</f>
        <v/>
      </c>
      <c r="D265" t="str">
        <f>IFERROR(LEFT(SUBSTITUTE(jason_converted!D265," 'adresse2': '",""),LEN(SUBSTITUTE(jason_converted!D265," 'adresse2': '",""))-1),"")</f>
        <v/>
      </c>
      <c r="E265" t="str">
        <f>IFERROR(LEFT(SUBSTITUTE(jason_converted!E265," 'codepostal': '",""),LEN(SUBSTITUTE(jason_converted!E265," 'codepostal': '",""))-1),"")</f>
        <v/>
      </c>
      <c r="F265" t="str">
        <f>IFERROR(LEFT(SUBSTITUTE(jason_converted!F265," 'ville': '",""),LEN(SUBSTITUTE(jason_converted!F265," 'ville': '",""))-1),"")</f>
        <v/>
      </c>
      <c r="G265" t="str">
        <f>IFERROR(LEFT(SUBSTITUTE(jason_converted!G265," 'tel': ",""),LEN(SUBSTITUTE(jason_converted!G265," 'tel': ",""))),"")</f>
        <v/>
      </c>
      <c r="H265" t="str">
        <f>IFERROR(LEFT(SUBSTITUTE(jason_converted!H265," 'lat': '",""),LEN(SUBSTITUTE(jason_converted!H265," 'lat': '",""))-1),"")</f>
        <v/>
      </c>
      <c r="I265" t="str">
        <f>IFERROR(LEFT(SUBSTITUTE(jason_converted!I265," 'lng': '",""),LEN(SUBSTITUTE(jason_converted!I265," 'lng': '",""))-1),"")</f>
        <v/>
      </c>
      <c r="J265" t="str">
        <f>IFERROR(LEFT(SUBSTITUTE(jason_converted!J265," 'nomClub': '",""),LEN(SUBSTITUTE(jason_converted!J265," 'nomClub': '",""))-1),"")</f>
        <v/>
      </c>
      <c r="K265" t="str">
        <f>IFERROR(LEFT(SUBSTITUTE(jason_converted!K265," 'nomCourtClub': '",""),LEN(SUBSTITUTE(jason_converted!K265," 'nomCourtClub': '",""))-1),"")</f>
        <v/>
      </c>
      <c r="L265" t="str">
        <f>IFERROR("https://ffhaltero.fr/" &amp; LEFT(SUBSTITUTE(jason_converted!L265," 'url': '",""),LEN(SUBSTITUTE(jason_converted!L265," 'url': '",""))-1),"")</f>
        <v/>
      </c>
    </row>
    <row r="266" spans="1:12" x14ac:dyDescent="0.25">
      <c r="A266" t="str">
        <f>IFERROR(SUBSTITUTE(jason_converted!A266,"{'id': ",""),"")</f>
        <v/>
      </c>
      <c r="B266" t="str">
        <f>IFERROR(LEFT(SUBSTITUTE(jason_converted!B266," 'nom': '",""),LEN(SUBSTITUTE(jason_converted!B266," 'nom': '",""))-1),"")</f>
        <v/>
      </c>
      <c r="C266" t="str">
        <f>IFERROR(LEFT(SUBSTITUTE(jason_converted!C266," 'adresse1': '",""),LEN(SUBSTITUTE(jason_converted!C266," 'adresse1': '",""))-1),"")</f>
        <v/>
      </c>
      <c r="D266" t="str">
        <f>IFERROR(LEFT(SUBSTITUTE(jason_converted!D266," 'adresse2': '",""),LEN(SUBSTITUTE(jason_converted!D266," 'adresse2': '",""))-1),"")</f>
        <v/>
      </c>
      <c r="E266" t="str">
        <f>IFERROR(LEFT(SUBSTITUTE(jason_converted!E266," 'codepostal': '",""),LEN(SUBSTITUTE(jason_converted!E266," 'codepostal': '",""))-1),"")</f>
        <v/>
      </c>
      <c r="F266" t="str">
        <f>IFERROR(LEFT(SUBSTITUTE(jason_converted!F266," 'ville': '",""),LEN(SUBSTITUTE(jason_converted!F266," 'ville': '",""))-1),"")</f>
        <v/>
      </c>
      <c r="G266" t="str">
        <f>IFERROR(LEFT(SUBSTITUTE(jason_converted!G266," 'tel': ",""),LEN(SUBSTITUTE(jason_converted!G266," 'tel': ",""))),"")</f>
        <v/>
      </c>
      <c r="H266" t="str">
        <f>IFERROR(LEFT(SUBSTITUTE(jason_converted!H266," 'lat': '",""),LEN(SUBSTITUTE(jason_converted!H266," 'lat': '",""))-1),"")</f>
        <v/>
      </c>
      <c r="I266" t="str">
        <f>IFERROR(LEFT(SUBSTITUTE(jason_converted!I266," 'lng': '",""),LEN(SUBSTITUTE(jason_converted!I266," 'lng': '",""))-1),"")</f>
        <v/>
      </c>
      <c r="J266" t="str">
        <f>IFERROR(LEFT(SUBSTITUTE(jason_converted!J266," 'nomClub': '",""),LEN(SUBSTITUTE(jason_converted!J266," 'nomClub': '",""))-1),"")</f>
        <v/>
      </c>
      <c r="K266" t="str">
        <f>IFERROR(LEFT(SUBSTITUTE(jason_converted!K266," 'nomCourtClub': '",""),LEN(SUBSTITUTE(jason_converted!K266," 'nomCourtClub': '",""))-1),"")</f>
        <v/>
      </c>
      <c r="L266" t="str">
        <f>IFERROR("https://ffhaltero.fr/" &amp; LEFT(SUBSTITUTE(jason_converted!L266," 'url': '",""),LEN(SUBSTITUTE(jason_converted!L266," 'url': '",""))-1),"")</f>
        <v/>
      </c>
    </row>
    <row r="267" spans="1:12" x14ac:dyDescent="0.25">
      <c r="A267" t="str">
        <f>IFERROR(SUBSTITUTE(jason_converted!A267,"{'id': ",""),"")</f>
        <v/>
      </c>
      <c r="B267" t="str">
        <f>IFERROR(LEFT(SUBSTITUTE(jason_converted!B267," 'nom': '",""),LEN(SUBSTITUTE(jason_converted!B267," 'nom': '",""))-1),"")</f>
        <v/>
      </c>
      <c r="C267" t="str">
        <f>IFERROR(LEFT(SUBSTITUTE(jason_converted!C267," 'adresse1': '",""),LEN(SUBSTITUTE(jason_converted!C267," 'adresse1': '",""))-1),"")</f>
        <v/>
      </c>
      <c r="D267" t="str">
        <f>IFERROR(LEFT(SUBSTITUTE(jason_converted!D267," 'adresse2': '",""),LEN(SUBSTITUTE(jason_converted!D267," 'adresse2': '",""))-1),"")</f>
        <v/>
      </c>
      <c r="E267" t="str">
        <f>IFERROR(LEFT(SUBSTITUTE(jason_converted!E267," 'codepostal': '",""),LEN(SUBSTITUTE(jason_converted!E267," 'codepostal': '",""))-1),"")</f>
        <v/>
      </c>
      <c r="F267" t="str">
        <f>IFERROR(LEFT(SUBSTITUTE(jason_converted!F267," 'ville': '",""),LEN(SUBSTITUTE(jason_converted!F267," 'ville': '",""))-1),"")</f>
        <v/>
      </c>
      <c r="G267" t="str">
        <f>IFERROR(LEFT(SUBSTITUTE(jason_converted!G267," 'tel': ",""),LEN(SUBSTITUTE(jason_converted!G267," 'tel': ",""))),"")</f>
        <v/>
      </c>
      <c r="H267" t="str">
        <f>IFERROR(LEFT(SUBSTITUTE(jason_converted!H267," 'lat': '",""),LEN(SUBSTITUTE(jason_converted!H267," 'lat': '",""))-1),"")</f>
        <v/>
      </c>
      <c r="I267" t="str">
        <f>IFERROR(LEFT(SUBSTITUTE(jason_converted!I267," 'lng': '",""),LEN(SUBSTITUTE(jason_converted!I267," 'lng': '",""))-1),"")</f>
        <v/>
      </c>
      <c r="J267" t="str">
        <f>IFERROR(LEFT(SUBSTITUTE(jason_converted!J267," 'nomClub': '",""),LEN(SUBSTITUTE(jason_converted!J267," 'nomClub': '",""))-1),"")</f>
        <v/>
      </c>
      <c r="K267" t="str">
        <f>IFERROR(LEFT(SUBSTITUTE(jason_converted!K267," 'nomCourtClub': '",""),LEN(SUBSTITUTE(jason_converted!K267," 'nomCourtClub': '",""))-1),"")</f>
        <v/>
      </c>
      <c r="L267" t="str">
        <f>IFERROR("https://ffhaltero.fr/" &amp; LEFT(SUBSTITUTE(jason_converted!L267," 'url': '",""),LEN(SUBSTITUTE(jason_converted!L267," 'url': '",""))-1),"")</f>
        <v/>
      </c>
    </row>
    <row r="268" spans="1:12" x14ac:dyDescent="0.25">
      <c r="A268" t="str">
        <f>IFERROR(SUBSTITUTE(jason_converted!A268,"{'id': ",""),"")</f>
        <v/>
      </c>
      <c r="B268" t="str">
        <f>IFERROR(LEFT(SUBSTITUTE(jason_converted!B268," 'nom': '",""),LEN(SUBSTITUTE(jason_converted!B268," 'nom': '",""))-1),"")</f>
        <v/>
      </c>
      <c r="C268" t="str">
        <f>IFERROR(LEFT(SUBSTITUTE(jason_converted!C268," 'adresse1': '",""),LEN(SUBSTITUTE(jason_converted!C268," 'adresse1': '",""))-1),"")</f>
        <v/>
      </c>
      <c r="D268" t="str">
        <f>IFERROR(LEFT(SUBSTITUTE(jason_converted!D268," 'adresse2': '",""),LEN(SUBSTITUTE(jason_converted!D268," 'adresse2': '",""))-1),"")</f>
        <v/>
      </c>
      <c r="E268" t="str">
        <f>IFERROR(LEFT(SUBSTITUTE(jason_converted!E268," 'codepostal': '",""),LEN(SUBSTITUTE(jason_converted!E268," 'codepostal': '",""))-1),"")</f>
        <v/>
      </c>
      <c r="F268" t="str">
        <f>IFERROR(LEFT(SUBSTITUTE(jason_converted!F268," 'ville': '",""),LEN(SUBSTITUTE(jason_converted!F268," 'ville': '",""))-1),"")</f>
        <v/>
      </c>
      <c r="G268" t="str">
        <f>IFERROR(LEFT(SUBSTITUTE(jason_converted!G268," 'tel': ",""),LEN(SUBSTITUTE(jason_converted!G268," 'tel': ",""))),"")</f>
        <v/>
      </c>
      <c r="H268" t="str">
        <f>IFERROR(LEFT(SUBSTITUTE(jason_converted!H268," 'lat': '",""),LEN(SUBSTITUTE(jason_converted!H268," 'lat': '",""))-1),"")</f>
        <v/>
      </c>
      <c r="I268" t="str">
        <f>IFERROR(LEFT(SUBSTITUTE(jason_converted!I268," 'lng': '",""),LEN(SUBSTITUTE(jason_converted!I268," 'lng': '",""))-1),"")</f>
        <v/>
      </c>
      <c r="J268" t="str">
        <f>IFERROR(LEFT(SUBSTITUTE(jason_converted!J268," 'nomClub': '",""),LEN(SUBSTITUTE(jason_converted!J268," 'nomClub': '",""))-1),"")</f>
        <v/>
      </c>
      <c r="K268" t="str">
        <f>IFERROR(LEFT(SUBSTITUTE(jason_converted!K268," 'nomCourtClub': '",""),LEN(SUBSTITUTE(jason_converted!K268," 'nomCourtClub': '",""))-1),"")</f>
        <v/>
      </c>
      <c r="L268" t="str">
        <f>IFERROR("https://ffhaltero.fr/" &amp; LEFT(SUBSTITUTE(jason_converted!L268," 'url': '",""),LEN(SUBSTITUTE(jason_converted!L268," 'url': '",""))-1),"")</f>
        <v/>
      </c>
    </row>
    <row r="269" spans="1:12" x14ac:dyDescent="0.25">
      <c r="A269" t="str">
        <f>IFERROR(SUBSTITUTE(jason_converted!A269,"{'id': ",""),"")</f>
        <v/>
      </c>
      <c r="B269" t="str">
        <f>IFERROR(LEFT(SUBSTITUTE(jason_converted!B269," 'nom': '",""),LEN(SUBSTITUTE(jason_converted!B269," 'nom': '",""))-1),"")</f>
        <v/>
      </c>
      <c r="C269" t="str">
        <f>IFERROR(LEFT(SUBSTITUTE(jason_converted!C269," 'adresse1': '",""),LEN(SUBSTITUTE(jason_converted!C269," 'adresse1': '",""))-1),"")</f>
        <v/>
      </c>
      <c r="D269" t="str">
        <f>IFERROR(LEFT(SUBSTITUTE(jason_converted!D269," 'adresse2': '",""),LEN(SUBSTITUTE(jason_converted!D269," 'adresse2': '",""))-1),"")</f>
        <v/>
      </c>
      <c r="E269" t="str">
        <f>IFERROR(LEFT(SUBSTITUTE(jason_converted!E269," 'codepostal': '",""),LEN(SUBSTITUTE(jason_converted!E269," 'codepostal': '",""))-1),"")</f>
        <v/>
      </c>
      <c r="F269" t="str">
        <f>IFERROR(LEFT(SUBSTITUTE(jason_converted!F269," 'ville': '",""),LEN(SUBSTITUTE(jason_converted!F269," 'ville': '",""))-1),"")</f>
        <v/>
      </c>
      <c r="G269" t="str">
        <f>IFERROR(LEFT(SUBSTITUTE(jason_converted!G269," 'tel': ",""),LEN(SUBSTITUTE(jason_converted!G269," 'tel': ",""))),"")</f>
        <v/>
      </c>
      <c r="H269" t="str">
        <f>IFERROR(LEFT(SUBSTITUTE(jason_converted!H269," 'lat': '",""),LEN(SUBSTITUTE(jason_converted!H269," 'lat': '",""))-1),"")</f>
        <v/>
      </c>
      <c r="I269" t="str">
        <f>IFERROR(LEFT(SUBSTITUTE(jason_converted!I269," 'lng': '",""),LEN(SUBSTITUTE(jason_converted!I269," 'lng': '",""))-1),"")</f>
        <v/>
      </c>
      <c r="J269" t="str">
        <f>IFERROR(LEFT(SUBSTITUTE(jason_converted!J269," 'nomClub': '",""),LEN(SUBSTITUTE(jason_converted!J269," 'nomClub': '",""))-1),"")</f>
        <v/>
      </c>
      <c r="K269" t="str">
        <f>IFERROR(LEFT(SUBSTITUTE(jason_converted!K269," 'nomCourtClub': '",""),LEN(SUBSTITUTE(jason_converted!K269," 'nomCourtClub': '",""))-1),"")</f>
        <v/>
      </c>
      <c r="L269" t="str">
        <f>IFERROR("https://ffhaltero.fr/" &amp; LEFT(SUBSTITUTE(jason_converted!L269," 'url': '",""),LEN(SUBSTITUTE(jason_converted!L269," 'url': '",""))-1),"")</f>
        <v/>
      </c>
    </row>
    <row r="270" spans="1:12" x14ac:dyDescent="0.25">
      <c r="A270" t="str">
        <f>IFERROR(SUBSTITUTE(jason_converted!A270,"{'id': ",""),"")</f>
        <v/>
      </c>
      <c r="B270" t="str">
        <f>IFERROR(LEFT(SUBSTITUTE(jason_converted!B270," 'nom': '",""),LEN(SUBSTITUTE(jason_converted!B270," 'nom': '",""))-1),"")</f>
        <v/>
      </c>
      <c r="C270" t="str">
        <f>IFERROR(LEFT(SUBSTITUTE(jason_converted!C270," 'adresse1': '",""),LEN(SUBSTITUTE(jason_converted!C270," 'adresse1': '",""))-1),"")</f>
        <v/>
      </c>
      <c r="D270" t="str">
        <f>IFERROR(LEFT(SUBSTITUTE(jason_converted!D270," 'adresse2': '",""),LEN(SUBSTITUTE(jason_converted!D270," 'adresse2': '",""))-1),"")</f>
        <v/>
      </c>
      <c r="E270" t="str">
        <f>IFERROR(LEFT(SUBSTITUTE(jason_converted!E270," 'codepostal': '",""),LEN(SUBSTITUTE(jason_converted!E270," 'codepostal': '",""))-1),"")</f>
        <v/>
      </c>
      <c r="F270" t="str">
        <f>IFERROR(LEFT(SUBSTITUTE(jason_converted!F270," 'ville': '",""),LEN(SUBSTITUTE(jason_converted!F270," 'ville': '",""))-1),"")</f>
        <v/>
      </c>
      <c r="G270" t="str">
        <f>IFERROR(LEFT(SUBSTITUTE(jason_converted!G270," 'tel': ",""),LEN(SUBSTITUTE(jason_converted!G270," 'tel': ",""))),"")</f>
        <v/>
      </c>
      <c r="H270" t="str">
        <f>IFERROR(LEFT(SUBSTITUTE(jason_converted!H270," 'lat': '",""),LEN(SUBSTITUTE(jason_converted!H270," 'lat': '",""))-1),"")</f>
        <v/>
      </c>
      <c r="I270" t="str">
        <f>IFERROR(LEFT(SUBSTITUTE(jason_converted!I270," 'lng': '",""),LEN(SUBSTITUTE(jason_converted!I270," 'lng': '",""))-1),"")</f>
        <v/>
      </c>
      <c r="J270" t="str">
        <f>IFERROR(LEFT(SUBSTITUTE(jason_converted!J270," 'nomClub': '",""),LEN(SUBSTITUTE(jason_converted!J270," 'nomClub': '",""))-1),"")</f>
        <v/>
      </c>
      <c r="K270" t="str">
        <f>IFERROR(LEFT(SUBSTITUTE(jason_converted!K270," 'nomCourtClub': '",""),LEN(SUBSTITUTE(jason_converted!K270," 'nomCourtClub': '",""))-1),"")</f>
        <v/>
      </c>
      <c r="L270" t="str">
        <f>IFERROR("https://ffhaltero.fr/" &amp; LEFT(SUBSTITUTE(jason_converted!L270," 'url': '",""),LEN(SUBSTITUTE(jason_converted!L270," 'url': '",""))-1),"")</f>
        <v/>
      </c>
    </row>
    <row r="271" spans="1:12" x14ac:dyDescent="0.25">
      <c r="A271" t="str">
        <f>IFERROR(SUBSTITUTE(jason_converted!A271,"{'id': ",""),"")</f>
        <v/>
      </c>
      <c r="B271" t="str">
        <f>IFERROR(LEFT(SUBSTITUTE(jason_converted!B271," 'nom': '",""),LEN(SUBSTITUTE(jason_converted!B271," 'nom': '",""))-1),"")</f>
        <v/>
      </c>
      <c r="C271" t="str">
        <f>IFERROR(LEFT(SUBSTITUTE(jason_converted!C271," 'adresse1': '",""),LEN(SUBSTITUTE(jason_converted!C271," 'adresse1': '",""))-1),"")</f>
        <v/>
      </c>
      <c r="D271" t="str">
        <f>IFERROR(LEFT(SUBSTITUTE(jason_converted!D271," 'adresse2': '",""),LEN(SUBSTITUTE(jason_converted!D271," 'adresse2': '",""))-1),"")</f>
        <v/>
      </c>
      <c r="E271" t="str">
        <f>IFERROR(LEFT(SUBSTITUTE(jason_converted!E271," 'codepostal': '",""),LEN(SUBSTITUTE(jason_converted!E271," 'codepostal': '",""))-1),"")</f>
        <v/>
      </c>
      <c r="F271" t="str">
        <f>IFERROR(LEFT(SUBSTITUTE(jason_converted!F271," 'ville': '",""),LEN(SUBSTITUTE(jason_converted!F271," 'ville': '",""))-1),"")</f>
        <v/>
      </c>
      <c r="G271" t="str">
        <f>IFERROR(LEFT(SUBSTITUTE(jason_converted!G271," 'tel': ",""),LEN(SUBSTITUTE(jason_converted!G271," 'tel': ",""))),"")</f>
        <v/>
      </c>
      <c r="H271" t="str">
        <f>IFERROR(LEFT(SUBSTITUTE(jason_converted!H271," 'lat': '",""),LEN(SUBSTITUTE(jason_converted!H271," 'lat': '",""))-1),"")</f>
        <v/>
      </c>
      <c r="I271" t="str">
        <f>IFERROR(LEFT(SUBSTITUTE(jason_converted!I271," 'lng': '",""),LEN(SUBSTITUTE(jason_converted!I271," 'lng': '",""))-1),"")</f>
        <v/>
      </c>
      <c r="J271" t="str">
        <f>IFERROR(LEFT(SUBSTITUTE(jason_converted!J271," 'nomClub': '",""),LEN(SUBSTITUTE(jason_converted!J271," 'nomClub': '",""))-1),"")</f>
        <v/>
      </c>
      <c r="K271" t="str">
        <f>IFERROR(LEFT(SUBSTITUTE(jason_converted!K271," 'nomCourtClub': '",""),LEN(SUBSTITUTE(jason_converted!K271," 'nomCourtClub': '",""))-1),"")</f>
        <v/>
      </c>
      <c r="L271" t="str">
        <f>IFERROR("https://ffhaltero.fr/" &amp; LEFT(SUBSTITUTE(jason_converted!L271," 'url': '",""),LEN(SUBSTITUTE(jason_converted!L271," 'url': '",""))-1),"")</f>
        <v/>
      </c>
    </row>
    <row r="272" spans="1:12" x14ac:dyDescent="0.25">
      <c r="A272" t="str">
        <f>IFERROR(SUBSTITUTE(jason_converted!A272,"{'id': ",""),"")</f>
        <v/>
      </c>
      <c r="B272" t="str">
        <f>IFERROR(LEFT(SUBSTITUTE(jason_converted!B272," 'nom': '",""),LEN(SUBSTITUTE(jason_converted!B272," 'nom': '",""))-1),"")</f>
        <v/>
      </c>
      <c r="C272" t="str">
        <f>IFERROR(LEFT(SUBSTITUTE(jason_converted!C272," 'adresse1': '",""),LEN(SUBSTITUTE(jason_converted!C272," 'adresse1': '",""))-1),"")</f>
        <v/>
      </c>
      <c r="D272" t="str">
        <f>IFERROR(LEFT(SUBSTITUTE(jason_converted!D272," 'adresse2': '",""),LEN(SUBSTITUTE(jason_converted!D272," 'adresse2': '",""))-1),"")</f>
        <v/>
      </c>
      <c r="E272" t="str">
        <f>IFERROR(LEFT(SUBSTITUTE(jason_converted!E272," 'codepostal': '",""),LEN(SUBSTITUTE(jason_converted!E272," 'codepostal': '",""))-1),"")</f>
        <v/>
      </c>
      <c r="F272" t="str">
        <f>IFERROR(LEFT(SUBSTITUTE(jason_converted!F272," 'ville': '",""),LEN(SUBSTITUTE(jason_converted!F272," 'ville': '",""))-1),"")</f>
        <v/>
      </c>
      <c r="G272" t="str">
        <f>IFERROR(LEFT(SUBSTITUTE(jason_converted!G272," 'tel': ",""),LEN(SUBSTITUTE(jason_converted!G272," 'tel': ",""))),"")</f>
        <v/>
      </c>
      <c r="H272" t="str">
        <f>IFERROR(LEFT(SUBSTITUTE(jason_converted!H272," 'lat': '",""),LEN(SUBSTITUTE(jason_converted!H272," 'lat': '",""))-1),"")</f>
        <v/>
      </c>
      <c r="I272" t="str">
        <f>IFERROR(LEFT(SUBSTITUTE(jason_converted!I272," 'lng': '",""),LEN(SUBSTITUTE(jason_converted!I272," 'lng': '",""))-1),"")</f>
        <v/>
      </c>
      <c r="J272" t="str">
        <f>IFERROR(LEFT(SUBSTITUTE(jason_converted!J272," 'nomClub': '",""),LEN(SUBSTITUTE(jason_converted!J272," 'nomClub': '",""))-1),"")</f>
        <v/>
      </c>
      <c r="K272" t="str">
        <f>IFERROR(LEFT(SUBSTITUTE(jason_converted!K272," 'nomCourtClub': '",""),LEN(SUBSTITUTE(jason_converted!K272," 'nomCourtClub': '",""))-1),"")</f>
        <v/>
      </c>
      <c r="L272" t="str">
        <f>IFERROR("https://ffhaltero.fr/" &amp; LEFT(SUBSTITUTE(jason_converted!L272," 'url': '",""),LEN(SUBSTITUTE(jason_converted!L272," 'url': '",""))-1),"")</f>
        <v/>
      </c>
    </row>
    <row r="273" spans="1:12" x14ac:dyDescent="0.25">
      <c r="A273" t="str">
        <f>IFERROR(SUBSTITUTE(jason_converted!A273,"{'id': ",""),"")</f>
        <v/>
      </c>
      <c r="B273" t="str">
        <f>IFERROR(LEFT(SUBSTITUTE(jason_converted!B273," 'nom': '",""),LEN(SUBSTITUTE(jason_converted!B273," 'nom': '",""))-1),"")</f>
        <v/>
      </c>
      <c r="C273" t="str">
        <f>IFERROR(LEFT(SUBSTITUTE(jason_converted!C273," 'adresse1': '",""),LEN(SUBSTITUTE(jason_converted!C273," 'adresse1': '",""))-1),"")</f>
        <v/>
      </c>
      <c r="D273" t="str">
        <f>IFERROR(LEFT(SUBSTITUTE(jason_converted!D273," 'adresse2': '",""),LEN(SUBSTITUTE(jason_converted!D273," 'adresse2': '",""))-1),"")</f>
        <v/>
      </c>
      <c r="E273" t="str">
        <f>IFERROR(LEFT(SUBSTITUTE(jason_converted!E273," 'codepostal': '",""),LEN(SUBSTITUTE(jason_converted!E273," 'codepostal': '",""))-1),"")</f>
        <v/>
      </c>
      <c r="F273" t="str">
        <f>IFERROR(LEFT(SUBSTITUTE(jason_converted!F273," 'ville': '",""),LEN(SUBSTITUTE(jason_converted!F273," 'ville': '",""))-1),"")</f>
        <v/>
      </c>
      <c r="G273" t="str">
        <f>IFERROR(LEFT(SUBSTITUTE(jason_converted!G273," 'tel': ",""),LEN(SUBSTITUTE(jason_converted!G273," 'tel': ",""))),"")</f>
        <v/>
      </c>
      <c r="H273" t="str">
        <f>IFERROR(LEFT(SUBSTITUTE(jason_converted!H273," 'lat': '",""),LEN(SUBSTITUTE(jason_converted!H273," 'lat': '",""))-1),"")</f>
        <v/>
      </c>
      <c r="I273" t="str">
        <f>IFERROR(LEFT(SUBSTITUTE(jason_converted!I273," 'lng': '",""),LEN(SUBSTITUTE(jason_converted!I273," 'lng': '",""))-1),"")</f>
        <v/>
      </c>
      <c r="J273" t="str">
        <f>IFERROR(LEFT(SUBSTITUTE(jason_converted!J273," 'nomClub': '",""),LEN(SUBSTITUTE(jason_converted!J273," 'nomClub': '",""))-1),"")</f>
        <v/>
      </c>
      <c r="K273" t="str">
        <f>IFERROR(LEFT(SUBSTITUTE(jason_converted!K273," 'nomCourtClub': '",""),LEN(SUBSTITUTE(jason_converted!K273," 'nomCourtClub': '",""))-1),"")</f>
        <v/>
      </c>
      <c r="L273" t="str">
        <f>IFERROR("https://ffhaltero.fr/" &amp; LEFT(SUBSTITUTE(jason_converted!L273," 'url': '",""),LEN(SUBSTITUTE(jason_converted!L273," 'url': '",""))-1),"")</f>
        <v/>
      </c>
    </row>
    <row r="274" spans="1:12" x14ac:dyDescent="0.25">
      <c r="A274" t="str">
        <f>IFERROR(SUBSTITUTE(jason_converted!A274,"{'id': ",""),"")</f>
        <v/>
      </c>
      <c r="B274" t="str">
        <f>IFERROR(LEFT(SUBSTITUTE(jason_converted!B274," 'nom': '",""),LEN(SUBSTITUTE(jason_converted!B274," 'nom': '",""))-1),"")</f>
        <v/>
      </c>
      <c r="C274" t="str">
        <f>IFERROR(LEFT(SUBSTITUTE(jason_converted!C274," 'adresse1': '",""),LEN(SUBSTITUTE(jason_converted!C274," 'adresse1': '",""))-1),"")</f>
        <v/>
      </c>
      <c r="D274" t="str">
        <f>IFERROR(LEFT(SUBSTITUTE(jason_converted!D274," 'adresse2': '",""),LEN(SUBSTITUTE(jason_converted!D274," 'adresse2': '",""))-1),"")</f>
        <v/>
      </c>
      <c r="E274" t="str">
        <f>IFERROR(LEFT(SUBSTITUTE(jason_converted!E274," 'codepostal': '",""),LEN(SUBSTITUTE(jason_converted!E274," 'codepostal': '",""))-1),"")</f>
        <v/>
      </c>
      <c r="F274" t="str">
        <f>IFERROR(LEFT(SUBSTITUTE(jason_converted!F274," 'ville': '",""),LEN(SUBSTITUTE(jason_converted!F274," 'ville': '",""))-1),"")</f>
        <v/>
      </c>
      <c r="G274" t="str">
        <f>IFERROR(LEFT(SUBSTITUTE(jason_converted!G274," 'tel': ",""),LEN(SUBSTITUTE(jason_converted!G274," 'tel': ",""))),"")</f>
        <v/>
      </c>
      <c r="H274" t="str">
        <f>IFERROR(LEFT(SUBSTITUTE(jason_converted!H274," 'lat': '",""),LEN(SUBSTITUTE(jason_converted!H274," 'lat': '",""))-1),"")</f>
        <v/>
      </c>
      <c r="I274" t="str">
        <f>IFERROR(LEFT(SUBSTITUTE(jason_converted!I274," 'lng': '",""),LEN(SUBSTITUTE(jason_converted!I274," 'lng': '",""))-1),"")</f>
        <v/>
      </c>
      <c r="J274" t="str">
        <f>IFERROR(LEFT(SUBSTITUTE(jason_converted!J274," 'nomClub': '",""),LEN(SUBSTITUTE(jason_converted!J274," 'nomClub': '",""))-1),"")</f>
        <v/>
      </c>
      <c r="K274" t="str">
        <f>IFERROR(LEFT(SUBSTITUTE(jason_converted!K274," 'nomCourtClub': '",""),LEN(SUBSTITUTE(jason_converted!K274," 'nomCourtClub': '",""))-1),"")</f>
        <v/>
      </c>
      <c r="L274" t="str">
        <f>IFERROR("https://ffhaltero.fr/" &amp; LEFT(SUBSTITUTE(jason_converted!L274," 'url': '",""),LEN(SUBSTITUTE(jason_converted!L274," 'url': '",""))-1),"")</f>
        <v/>
      </c>
    </row>
    <row r="275" spans="1:12" x14ac:dyDescent="0.25">
      <c r="A275" t="str">
        <f>IFERROR(SUBSTITUTE(jason_converted!A275,"{'id': ",""),"")</f>
        <v/>
      </c>
      <c r="B275" t="str">
        <f>IFERROR(LEFT(SUBSTITUTE(jason_converted!B275," 'nom': '",""),LEN(SUBSTITUTE(jason_converted!B275," 'nom': '",""))-1),"")</f>
        <v/>
      </c>
      <c r="C275" t="str">
        <f>IFERROR(LEFT(SUBSTITUTE(jason_converted!C275," 'adresse1': '",""),LEN(SUBSTITUTE(jason_converted!C275," 'adresse1': '",""))-1),"")</f>
        <v/>
      </c>
      <c r="D275" t="str">
        <f>IFERROR(LEFT(SUBSTITUTE(jason_converted!D275," 'adresse2': '",""),LEN(SUBSTITUTE(jason_converted!D275," 'adresse2': '",""))-1),"")</f>
        <v/>
      </c>
      <c r="E275" t="str">
        <f>IFERROR(LEFT(SUBSTITUTE(jason_converted!E275," 'codepostal': '",""),LEN(SUBSTITUTE(jason_converted!E275," 'codepostal': '",""))-1),"")</f>
        <v/>
      </c>
      <c r="F275" t="str">
        <f>IFERROR(LEFT(SUBSTITUTE(jason_converted!F275," 'ville': '",""),LEN(SUBSTITUTE(jason_converted!F275," 'ville': '",""))-1),"")</f>
        <v/>
      </c>
      <c r="G275" t="str">
        <f>IFERROR(LEFT(SUBSTITUTE(jason_converted!G275," 'tel': ",""),LEN(SUBSTITUTE(jason_converted!G275," 'tel': ",""))),"")</f>
        <v/>
      </c>
      <c r="H275" t="str">
        <f>IFERROR(LEFT(SUBSTITUTE(jason_converted!H275," 'lat': '",""),LEN(SUBSTITUTE(jason_converted!H275," 'lat': '",""))-1),"")</f>
        <v/>
      </c>
      <c r="I275" t="str">
        <f>IFERROR(LEFT(SUBSTITUTE(jason_converted!I275," 'lng': '",""),LEN(SUBSTITUTE(jason_converted!I275," 'lng': '",""))-1),"")</f>
        <v/>
      </c>
      <c r="J275" t="str">
        <f>IFERROR(LEFT(SUBSTITUTE(jason_converted!J275," 'nomClub': '",""),LEN(SUBSTITUTE(jason_converted!J275," 'nomClub': '",""))-1),"")</f>
        <v/>
      </c>
      <c r="K275" t="str">
        <f>IFERROR(LEFT(SUBSTITUTE(jason_converted!K275," 'nomCourtClub': '",""),LEN(SUBSTITUTE(jason_converted!K275," 'nomCourtClub': '",""))-1),"")</f>
        <v/>
      </c>
      <c r="L275" t="str">
        <f>IFERROR("https://ffhaltero.fr/" &amp; LEFT(SUBSTITUTE(jason_converted!L275," 'url': '",""),LEN(SUBSTITUTE(jason_converted!L275," 'url': '",""))-1),"")</f>
        <v/>
      </c>
    </row>
    <row r="276" spans="1:12" x14ac:dyDescent="0.25">
      <c r="A276" t="str">
        <f>IFERROR(SUBSTITUTE(jason_converted!A276,"{'id': ",""),"")</f>
        <v/>
      </c>
      <c r="B276" t="str">
        <f>IFERROR(LEFT(SUBSTITUTE(jason_converted!B276," 'nom': '",""),LEN(SUBSTITUTE(jason_converted!B276," 'nom': '",""))-1),"")</f>
        <v/>
      </c>
      <c r="C276" t="str">
        <f>IFERROR(LEFT(SUBSTITUTE(jason_converted!C276," 'adresse1': '",""),LEN(SUBSTITUTE(jason_converted!C276," 'adresse1': '",""))-1),"")</f>
        <v/>
      </c>
      <c r="D276" t="str">
        <f>IFERROR(LEFT(SUBSTITUTE(jason_converted!D276," 'adresse2': '",""),LEN(SUBSTITUTE(jason_converted!D276," 'adresse2': '",""))-1),"")</f>
        <v/>
      </c>
      <c r="E276" t="str">
        <f>IFERROR(LEFT(SUBSTITUTE(jason_converted!E276," 'codepostal': '",""),LEN(SUBSTITUTE(jason_converted!E276," 'codepostal': '",""))-1),"")</f>
        <v/>
      </c>
      <c r="F276" t="str">
        <f>IFERROR(LEFT(SUBSTITUTE(jason_converted!F276," 'ville': '",""),LEN(SUBSTITUTE(jason_converted!F276," 'ville': '",""))-1),"")</f>
        <v/>
      </c>
      <c r="G276" t="str">
        <f>IFERROR(LEFT(SUBSTITUTE(jason_converted!G276," 'tel': ",""),LEN(SUBSTITUTE(jason_converted!G276," 'tel': ",""))),"")</f>
        <v/>
      </c>
      <c r="H276" t="str">
        <f>IFERROR(LEFT(SUBSTITUTE(jason_converted!H276," 'lat': '",""),LEN(SUBSTITUTE(jason_converted!H276," 'lat': '",""))-1),"")</f>
        <v/>
      </c>
      <c r="I276" t="str">
        <f>IFERROR(LEFT(SUBSTITUTE(jason_converted!I276," 'lng': '",""),LEN(SUBSTITUTE(jason_converted!I276," 'lng': '",""))-1),"")</f>
        <v/>
      </c>
      <c r="J276" t="str">
        <f>IFERROR(LEFT(SUBSTITUTE(jason_converted!J276," 'nomClub': '",""),LEN(SUBSTITUTE(jason_converted!J276," 'nomClub': '",""))-1),"")</f>
        <v/>
      </c>
      <c r="K276" t="str">
        <f>IFERROR(LEFT(SUBSTITUTE(jason_converted!K276," 'nomCourtClub': '",""),LEN(SUBSTITUTE(jason_converted!K276," 'nomCourtClub': '",""))-1),"")</f>
        <v/>
      </c>
      <c r="L276" t="str">
        <f>IFERROR("https://ffhaltero.fr/" &amp; LEFT(SUBSTITUTE(jason_converted!L276," 'url': '",""),LEN(SUBSTITUTE(jason_converted!L276," 'url': '",""))-1),"")</f>
        <v/>
      </c>
    </row>
    <row r="277" spans="1:12" x14ac:dyDescent="0.25">
      <c r="A277" t="str">
        <f>IFERROR(SUBSTITUTE(jason_converted!A277,"{'id': ",""),"")</f>
        <v/>
      </c>
      <c r="B277" t="str">
        <f>IFERROR(LEFT(SUBSTITUTE(jason_converted!B277," 'nom': '",""),LEN(SUBSTITUTE(jason_converted!B277," 'nom': '",""))-1),"")</f>
        <v/>
      </c>
      <c r="C277" t="str">
        <f>IFERROR(LEFT(SUBSTITUTE(jason_converted!C277," 'adresse1': '",""),LEN(SUBSTITUTE(jason_converted!C277," 'adresse1': '",""))-1),"")</f>
        <v/>
      </c>
      <c r="D277" t="str">
        <f>IFERROR(LEFT(SUBSTITUTE(jason_converted!D277," 'adresse2': '",""),LEN(SUBSTITUTE(jason_converted!D277," 'adresse2': '",""))-1),"")</f>
        <v/>
      </c>
      <c r="E277" t="str">
        <f>IFERROR(LEFT(SUBSTITUTE(jason_converted!E277," 'codepostal': '",""),LEN(SUBSTITUTE(jason_converted!E277," 'codepostal': '",""))-1),"")</f>
        <v/>
      </c>
      <c r="F277" t="str">
        <f>IFERROR(LEFT(SUBSTITUTE(jason_converted!F277," 'ville': '",""),LEN(SUBSTITUTE(jason_converted!F277," 'ville': '",""))-1),"")</f>
        <v/>
      </c>
      <c r="G277" t="str">
        <f>IFERROR(LEFT(SUBSTITUTE(jason_converted!G277," 'tel': ",""),LEN(SUBSTITUTE(jason_converted!G277," 'tel': ",""))),"")</f>
        <v/>
      </c>
      <c r="H277" t="str">
        <f>IFERROR(LEFT(SUBSTITUTE(jason_converted!H277," 'lat': '",""),LEN(SUBSTITUTE(jason_converted!H277," 'lat': '",""))-1),"")</f>
        <v/>
      </c>
      <c r="I277" t="str">
        <f>IFERROR(LEFT(SUBSTITUTE(jason_converted!I277," 'lng': '",""),LEN(SUBSTITUTE(jason_converted!I277," 'lng': '",""))-1),"")</f>
        <v/>
      </c>
      <c r="J277" t="str">
        <f>IFERROR(LEFT(SUBSTITUTE(jason_converted!J277," 'nomClub': '",""),LEN(SUBSTITUTE(jason_converted!J277," 'nomClub': '",""))-1),"")</f>
        <v/>
      </c>
      <c r="K277" t="str">
        <f>IFERROR(LEFT(SUBSTITUTE(jason_converted!K277," 'nomCourtClub': '",""),LEN(SUBSTITUTE(jason_converted!K277," 'nomCourtClub': '",""))-1),"")</f>
        <v/>
      </c>
      <c r="L277" t="str">
        <f>IFERROR("https://ffhaltero.fr/" &amp; LEFT(SUBSTITUTE(jason_converted!L277," 'url': '",""),LEN(SUBSTITUTE(jason_converted!L277," 'url': '",""))-1),"")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jason_converted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Joris Dawid</dc:creator>
  <cp:lastModifiedBy>Joris Dawid</cp:lastModifiedBy>
  <dcterms:created xsi:type="dcterms:W3CDTF">2025-01-05T22:52:02Z</dcterms:created>
  <dcterms:modified xsi:type="dcterms:W3CDTF">2025-01-09T12:11:19Z</dcterms:modified>
</cp:coreProperties>
</file>