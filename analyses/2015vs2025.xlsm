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27" codeName="{0730EB3F-75F1-03CD-C966-41DC9FD4AD36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joris\PycharmProjects\halterodata\analyses\"/>
    </mc:Choice>
  </mc:AlternateContent>
  <xr:revisionPtr revIDLastSave="0" documentId="8_{1FE115C3-9C74-46E4-BDAE-C53E5BC35643}" xr6:coauthVersionLast="47" xr6:coauthVersionMax="47" xr10:uidLastSave="{00000000-0000-0000-0000-000000000000}"/>
  <bookViews>
    <workbookView xWindow="-108" yWindow="-108" windowWidth="23256" windowHeight="12456" firstSheet="1" activeTab="5" xr2:uid="{00000000-000D-0000-FFFF-FFFF00000000}"/>
  </bookViews>
  <sheets>
    <sheet name="Feuil1" sheetId="3" state="hidden" r:id="rId1"/>
    <sheet name="CADETS 1" sheetId="9" r:id="rId2"/>
    <sheet name="CADETS 2" sheetId="8" r:id="rId3"/>
    <sheet name="JUNIORS" sheetId="7" r:id="rId4"/>
    <sheet name="SENIORS" sheetId="6" r:id="rId5"/>
    <sheet name="Recap" sheetId="10" r:id="rId6"/>
    <sheet name="Feuil3" sheetId="11" r:id="rId7"/>
  </sheets>
  <definedNames>
    <definedName name="_xlnm._FilterDatabase" localSheetId="1" hidden="1">'CADETS 1'!$A$1:$BC$1787</definedName>
    <definedName name="_xlnm._FilterDatabase" localSheetId="2" hidden="1">'CADETS 2'!$A$1:$BC$1818</definedName>
    <definedName name="_xlnm._FilterDatabase" localSheetId="3" hidden="1">JUNIORS!$A$1:$BC$1889</definedName>
    <definedName name="_xlnm._FilterDatabase" localSheetId="5" hidden="1">Recap!$A$1:$AB$77</definedName>
    <definedName name="_xlnm._FilterDatabase" localSheetId="4" hidden="1">SENIORS!$A$1:$BC$2013</definedName>
    <definedName name="_xlnm.Print_Area" localSheetId="1">'CADETS 1'!$A$1:$Y$66</definedName>
    <definedName name="_xlnm.Print_Area" localSheetId="2">'CADETS 2'!$A$1:$Y$97</definedName>
    <definedName name="_xlnm.Print_Area" localSheetId="3">JUNIORS!$A$1:$Y$103</definedName>
    <definedName name="_xlnm.Print_Area" localSheetId="4">SENIORS!$A$1:$Y$336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3" i="10" l="1"/>
  <c r="AB4" i="10"/>
  <c r="AB5" i="10"/>
  <c r="AB6" i="10"/>
  <c r="AB7" i="10"/>
  <c r="AB8" i="10"/>
  <c r="AB9" i="10"/>
  <c r="AB10" i="10"/>
  <c r="AB11" i="10"/>
  <c r="AB12" i="10"/>
  <c r="AB13" i="10"/>
  <c r="AB14" i="10"/>
  <c r="AB15" i="10"/>
  <c r="AB16" i="10"/>
  <c r="AB17" i="10"/>
  <c r="AB18" i="10"/>
  <c r="AB19" i="10"/>
  <c r="AB20" i="10"/>
  <c r="AB21" i="10"/>
  <c r="AB22" i="10"/>
  <c r="AB23" i="10"/>
  <c r="AB24" i="10"/>
  <c r="AB25" i="10"/>
  <c r="AB26" i="10"/>
  <c r="AB27" i="10"/>
  <c r="AB28" i="10"/>
  <c r="AB29" i="10"/>
  <c r="AB30" i="10"/>
  <c r="AB31" i="10"/>
  <c r="AB32" i="10"/>
  <c r="AB33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3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1" i="10"/>
  <c r="AB72" i="10"/>
  <c r="AB73" i="10"/>
  <c r="AB74" i="10"/>
  <c r="AB75" i="10"/>
  <c r="AB76" i="10"/>
  <c r="AB77" i="10"/>
  <c r="AB2" i="10"/>
  <c r="AA3" i="10"/>
  <c r="AA4" i="10"/>
  <c r="AA5" i="10"/>
  <c r="AA6" i="10"/>
  <c r="AA7" i="10"/>
  <c r="AA8" i="10"/>
  <c r="AA9" i="10"/>
  <c r="AA10" i="10"/>
  <c r="AA11" i="10"/>
  <c r="AA12" i="10"/>
  <c r="AA13" i="10"/>
  <c r="AA14" i="10"/>
  <c r="AA15" i="10"/>
  <c r="AA16" i="10"/>
  <c r="AA17" i="10"/>
  <c r="AA18" i="10"/>
  <c r="AA19" i="10"/>
  <c r="AA20" i="10"/>
  <c r="AA21" i="10"/>
  <c r="AA22" i="10"/>
  <c r="AA23" i="10"/>
  <c r="AA24" i="10"/>
  <c r="AA25" i="10"/>
  <c r="AA26" i="10"/>
  <c r="AA27" i="10"/>
  <c r="AA28" i="10"/>
  <c r="AA29" i="10"/>
  <c r="AA30" i="10"/>
  <c r="AA31" i="10"/>
  <c r="AA32" i="10"/>
  <c r="AA33" i="10"/>
  <c r="AA34" i="10"/>
  <c r="AA35" i="10"/>
  <c r="AA36" i="10"/>
  <c r="AA37" i="10"/>
  <c r="AA38" i="10"/>
  <c r="AA39" i="10"/>
  <c r="AA40" i="10"/>
  <c r="AA41" i="10"/>
  <c r="AA42" i="10"/>
  <c r="AA43" i="10"/>
  <c r="AA44" i="10"/>
  <c r="AA45" i="10"/>
  <c r="AA46" i="10"/>
  <c r="AA47" i="10"/>
  <c r="AA48" i="10"/>
  <c r="AA49" i="10"/>
  <c r="AA50" i="10"/>
  <c r="AA51" i="10"/>
  <c r="AA52" i="10"/>
  <c r="AA53" i="10"/>
  <c r="AA54" i="10"/>
  <c r="AA55" i="10"/>
  <c r="AA56" i="10"/>
  <c r="AA57" i="10"/>
  <c r="AA58" i="10"/>
  <c r="AA59" i="10"/>
  <c r="AA60" i="10"/>
  <c r="AA61" i="10"/>
  <c r="AA62" i="10"/>
  <c r="AA63" i="10"/>
  <c r="AA64" i="10"/>
  <c r="AA65" i="10"/>
  <c r="AA66" i="10"/>
  <c r="AA67" i="10"/>
  <c r="AA68" i="10"/>
  <c r="AA69" i="10"/>
  <c r="AA70" i="10"/>
  <c r="AA71" i="10"/>
  <c r="AA72" i="10"/>
  <c r="AA73" i="10"/>
  <c r="AA74" i="10"/>
  <c r="AA75" i="10"/>
  <c r="AA76" i="10"/>
  <c r="AA77" i="10"/>
  <c r="AA2" i="10"/>
  <c r="Z4" i="10"/>
  <c r="Z19" i="10"/>
  <c r="Z9" i="10"/>
  <c r="Z13" i="10"/>
  <c r="Z37" i="10"/>
  <c r="Z60" i="10"/>
  <c r="Z6" i="10"/>
  <c r="Z29" i="10"/>
  <c r="Z70" i="10"/>
  <c r="Z71" i="10"/>
  <c r="Z11" i="10"/>
  <c r="Z58" i="10"/>
  <c r="Z69" i="10"/>
  <c r="Z21" i="10"/>
  <c r="Z10" i="10"/>
  <c r="Z17" i="10"/>
  <c r="Z18" i="10"/>
  <c r="Z75" i="10"/>
  <c r="Z25" i="10"/>
  <c r="Z77" i="10"/>
  <c r="Z50" i="10"/>
  <c r="Z30" i="10"/>
  <c r="Z15" i="10"/>
  <c r="Z27" i="10"/>
  <c r="Z56" i="10"/>
  <c r="Z41" i="10"/>
  <c r="Z24" i="10"/>
  <c r="Z22" i="10"/>
  <c r="Z34" i="10"/>
  <c r="Z44" i="10"/>
  <c r="Z35" i="10"/>
  <c r="Z33" i="10"/>
  <c r="Z76" i="10"/>
  <c r="Z59" i="10"/>
  <c r="Z49" i="10"/>
  <c r="Z32" i="10"/>
  <c r="Z46" i="10"/>
  <c r="Z62" i="10"/>
  <c r="Z73" i="10"/>
  <c r="Z61" i="10"/>
  <c r="Z72" i="10"/>
  <c r="Z64" i="10"/>
  <c r="Z68" i="10"/>
  <c r="Z38" i="10"/>
  <c r="Z51" i="10"/>
  <c r="Z54" i="10"/>
  <c r="Z47" i="10"/>
  <c r="Z57" i="10"/>
  <c r="Z65" i="10"/>
  <c r="Z67" i="10"/>
  <c r="Z28" i="10"/>
  <c r="Z45" i="10"/>
  <c r="Z53" i="10"/>
  <c r="Z66" i="10"/>
  <c r="Z52" i="10"/>
  <c r="Z74" i="10"/>
  <c r="Z42" i="10"/>
  <c r="Z36" i="10"/>
  <c r="Z12" i="10"/>
  <c r="Z14" i="10"/>
  <c r="Z16" i="10"/>
  <c r="Z39" i="10"/>
  <c r="Z3" i="10"/>
  <c r="Z43" i="10"/>
  <c r="Z8" i="10"/>
  <c r="Z5" i="10"/>
  <c r="Z55" i="10"/>
  <c r="Z2" i="10"/>
  <c r="Z40" i="10"/>
  <c r="Z7" i="10"/>
  <c r="Z31" i="10"/>
  <c r="Z48" i="10"/>
  <c r="Z63" i="10"/>
  <c r="Z23" i="10"/>
  <c r="Z26" i="10"/>
  <c r="Z20" i="10"/>
  <c r="AJ336" i="6"/>
  <c r="AQ336" i="6" s="1"/>
  <c r="AI336" i="6"/>
  <c r="AH336" i="6"/>
  <c r="AG336" i="6"/>
  <c r="AF336" i="6"/>
  <c r="AE336" i="6"/>
  <c r="AD336" i="6"/>
  <c r="AC336" i="6"/>
  <c r="AB336" i="6"/>
  <c r="AJ307" i="6"/>
  <c r="AQ307" i="6" s="1"/>
  <c r="AI307" i="6"/>
  <c r="AH307" i="6"/>
  <c r="AG307" i="6"/>
  <c r="AF307" i="6"/>
  <c r="AE307" i="6"/>
  <c r="AD307" i="6"/>
  <c r="AC307" i="6"/>
  <c r="AB307" i="6"/>
  <c r="AJ276" i="6"/>
  <c r="AQ276" i="6" s="1"/>
  <c r="AI276" i="6"/>
  <c r="AH276" i="6"/>
  <c r="AG276" i="6"/>
  <c r="AF276" i="6"/>
  <c r="AE276" i="6"/>
  <c r="AD276" i="6"/>
  <c r="AC276" i="6"/>
  <c r="AB276" i="6"/>
  <c r="AJ228" i="6"/>
  <c r="AQ228" i="6" s="1"/>
  <c r="AI228" i="6"/>
  <c r="AH228" i="6"/>
  <c r="AG228" i="6"/>
  <c r="AF228" i="6"/>
  <c r="AE228" i="6"/>
  <c r="AD228" i="6"/>
  <c r="AC228" i="6"/>
  <c r="AB228" i="6"/>
  <c r="AJ155" i="6"/>
  <c r="AQ155" i="6" s="1"/>
  <c r="AI155" i="6"/>
  <c r="AH155" i="6"/>
  <c r="AG155" i="6"/>
  <c r="AF155" i="6"/>
  <c r="AE155" i="6"/>
  <c r="AD155" i="6"/>
  <c r="AC155" i="6"/>
  <c r="AB155" i="6"/>
  <c r="AJ76" i="6"/>
  <c r="AQ76" i="6" s="1"/>
  <c r="AI76" i="6"/>
  <c r="AH76" i="6"/>
  <c r="AG76" i="6"/>
  <c r="AF76" i="6"/>
  <c r="AE76" i="6"/>
  <c r="AD76" i="6"/>
  <c r="AC76" i="6"/>
  <c r="AB76" i="6"/>
  <c r="AJ24" i="6"/>
  <c r="AQ24" i="6" s="1"/>
  <c r="AI24" i="6"/>
  <c r="AH24" i="6"/>
  <c r="AG24" i="6"/>
  <c r="AF24" i="6"/>
  <c r="AE24" i="6"/>
  <c r="AD24" i="6"/>
  <c r="AC24" i="6"/>
  <c r="AB24" i="6"/>
  <c r="AJ2" i="6"/>
  <c r="AQ2" i="6" s="1"/>
  <c r="AI2" i="6"/>
  <c r="AH2" i="6"/>
  <c r="AG2" i="6"/>
  <c r="AF2" i="6"/>
  <c r="AE2" i="6"/>
  <c r="AD2" i="6"/>
  <c r="AC2" i="6"/>
  <c r="AB2" i="6"/>
  <c r="X100" i="7" l="1"/>
  <c r="S100" i="7"/>
  <c r="O100" i="7"/>
  <c r="T100" i="7" s="1"/>
  <c r="AJ103" i="7"/>
  <c r="AQ103" i="7" s="1"/>
  <c r="AI103" i="7"/>
  <c r="AH103" i="7"/>
  <c r="AG103" i="7"/>
  <c r="AF103" i="7"/>
  <c r="AE103" i="7"/>
  <c r="AD103" i="7"/>
  <c r="AC103" i="7"/>
  <c r="AB103" i="7"/>
  <c r="AJ99" i="7"/>
  <c r="AQ99" i="7" s="1"/>
  <c r="AI99" i="7"/>
  <c r="AH99" i="7"/>
  <c r="AG99" i="7"/>
  <c r="AF99" i="7"/>
  <c r="AE99" i="7"/>
  <c r="AD99" i="7"/>
  <c r="AC99" i="7"/>
  <c r="AB99" i="7"/>
  <c r="AJ90" i="7"/>
  <c r="AQ90" i="7" s="1"/>
  <c r="AI90" i="7"/>
  <c r="AH90" i="7"/>
  <c r="AG90" i="7"/>
  <c r="AF90" i="7"/>
  <c r="AE90" i="7"/>
  <c r="AD90" i="7"/>
  <c r="AC90" i="7"/>
  <c r="AB90" i="7"/>
  <c r="AJ79" i="7"/>
  <c r="AQ79" i="7" s="1"/>
  <c r="AI79" i="7"/>
  <c r="AH79" i="7"/>
  <c r="AG79" i="7"/>
  <c r="AF79" i="7"/>
  <c r="AE79" i="7"/>
  <c r="AD79" i="7"/>
  <c r="AC79" i="7"/>
  <c r="AB79" i="7"/>
  <c r="AJ61" i="7"/>
  <c r="AQ61" i="7" s="1"/>
  <c r="AI61" i="7"/>
  <c r="AH61" i="7"/>
  <c r="AG61" i="7"/>
  <c r="AF61" i="7"/>
  <c r="AE61" i="7"/>
  <c r="AD61" i="7"/>
  <c r="AC61" i="7"/>
  <c r="AB61" i="7"/>
  <c r="AJ32" i="7"/>
  <c r="AQ32" i="7" s="1"/>
  <c r="AI32" i="7"/>
  <c r="AH32" i="7"/>
  <c r="AG32" i="7"/>
  <c r="AF32" i="7"/>
  <c r="AE32" i="7"/>
  <c r="AD32" i="7"/>
  <c r="AC32" i="7"/>
  <c r="AB32" i="7"/>
  <c r="AJ12" i="7"/>
  <c r="AQ12" i="7" s="1"/>
  <c r="AI12" i="7"/>
  <c r="AH12" i="7"/>
  <c r="AG12" i="7"/>
  <c r="AF12" i="7"/>
  <c r="AE12" i="7"/>
  <c r="AD12" i="7"/>
  <c r="AC12" i="7"/>
  <c r="AB12" i="7"/>
  <c r="AJ2" i="7"/>
  <c r="AQ2" i="7" s="1"/>
  <c r="AI2" i="7"/>
  <c r="AH2" i="7"/>
  <c r="AG2" i="7"/>
  <c r="AF2" i="7"/>
  <c r="AE2" i="7"/>
  <c r="AD2" i="7"/>
  <c r="AC2" i="7"/>
  <c r="AB2" i="7"/>
  <c r="AG100" i="7" l="1"/>
  <c r="AH100" i="7"/>
  <c r="Y100" i="7"/>
  <c r="AI100" i="7"/>
  <c r="AB100" i="7"/>
  <c r="AF100" i="7"/>
  <c r="AJ100" i="7"/>
  <c r="AD100" i="7"/>
  <c r="U100" i="7"/>
  <c r="AE100" i="7"/>
  <c r="AC100" i="7"/>
  <c r="AJ97" i="8"/>
  <c r="AQ97" i="8" s="1"/>
  <c r="AI97" i="8"/>
  <c r="AH97" i="8"/>
  <c r="AG97" i="8"/>
  <c r="AF97" i="8"/>
  <c r="AE97" i="8"/>
  <c r="AD97" i="8"/>
  <c r="AC97" i="8"/>
  <c r="AB97" i="8"/>
  <c r="AJ89" i="8"/>
  <c r="AQ89" i="8" s="1"/>
  <c r="AI89" i="8"/>
  <c r="AH89" i="8"/>
  <c r="AG89" i="8"/>
  <c r="AF89" i="8"/>
  <c r="AE89" i="8"/>
  <c r="AD89" i="8"/>
  <c r="AC89" i="8"/>
  <c r="AB89" i="8"/>
  <c r="AJ78" i="8"/>
  <c r="AQ78" i="8" s="1"/>
  <c r="AI78" i="8"/>
  <c r="AH78" i="8"/>
  <c r="AG78" i="8"/>
  <c r="AF78" i="8"/>
  <c r="AE78" i="8"/>
  <c r="AD78" i="8"/>
  <c r="AC78" i="8"/>
  <c r="AB78" i="8"/>
  <c r="AJ58" i="8"/>
  <c r="AQ58" i="8" s="1"/>
  <c r="AI58" i="8"/>
  <c r="AH58" i="8"/>
  <c r="AG58" i="8"/>
  <c r="AF58" i="8"/>
  <c r="AE58" i="8"/>
  <c r="AD58" i="8"/>
  <c r="AC58" i="8"/>
  <c r="AB58" i="8"/>
  <c r="AJ39" i="8"/>
  <c r="AQ39" i="8" s="1"/>
  <c r="AI39" i="8"/>
  <c r="AH39" i="8"/>
  <c r="AG39" i="8"/>
  <c r="AF39" i="8"/>
  <c r="AE39" i="8"/>
  <c r="AD39" i="8"/>
  <c r="AC39" i="8"/>
  <c r="AB39" i="8"/>
  <c r="AJ18" i="8"/>
  <c r="AQ18" i="8" s="1"/>
  <c r="AI18" i="8"/>
  <c r="AH18" i="8"/>
  <c r="AG18" i="8"/>
  <c r="AF18" i="8"/>
  <c r="AE18" i="8"/>
  <c r="AD18" i="8"/>
  <c r="AC18" i="8"/>
  <c r="AB18" i="8"/>
  <c r="AJ6" i="8"/>
  <c r="AQ6" i="8" s="1"/>
  <c r="AI6" i="8"/>
  <c r="AH6" i="8"/>
  <c r="AG6" i="8"/>
  <c r="AF6" i="8"/>
  <c r="AE6" i="8"/>
  <c r="AD6" i="8"/>
  <c r="AC6" i="8"/>
  <c r="AB6" i="8"/>
  <c r="AJ2" i="8"/>
  <c r="AQ2" i="8" s="1"/>
  <c r="AI2" i="8"/>
  <c r="AH2" i="8"/>
  <c r="AG2" i="8"/>
  <c r="AF2" i="8"/>
  <c r="AE2" i="8"/>
  <c r="AD2" i="8"/>
  <c r="AC2" i="8"/>
  <c r="AB2" i="8"/>
  <c r="AQ100" i="7" l="1"/>
  <c r="V100" i="7" s="1"/>
  <c r="W100" i="7"/>
  <c r="X4" i="9"/>
  <c r="S4" i="9"/>
  <c r="O4" i="9"/>
  <c r="AJ61" i="9"/>
  <c r="AQ61" i="9" s="1"/>
  <c r="AI61" i="9"/>
  <c r="AH61" i="9"/>
  <c r="AG61" i="9"/>
  <c r="AF61" i="9"/>
  <c r="AE61" i="9"/>
  <c r="AD61" i="9"/>
  <c r="AC61" i="9"/>
  <c r="AB61" i="9"/>
  <c r="AJ55" i="9"/>
  <c r="AQ55" i="9" s="1"/>
  <c r="AI55" i="9"/>
  <c r="AH55" i="9"/>
  <c r="AG55" i="9"/>
  <c r="AF55" i="9"/>
  <c r="AE55" i="9"/>
  <c r="AD55" i="9"/>
  <c r="AC55" i="9"/>
  <c r="AB55" i="9"/>
  <c r="AJ48" i="9"/>
  <c r="AQ48" i="9" s="1"/>
  <c r="AI48" i="9"/>
  <c r="AH48" i="9"/>
  <c r="AG48" i="9"/>
  <c r="AF48" i="9"/>
  <c r="AE48" i="9"/>
  <c r="AD48" i="9"/>
  <c r="AC48" i="9"/>
  <c r="AB48" i="9"/>
  <c r="AJ38" i="9"/>
  <c r="AQ38" i="9" s="1"/>
  <c r="AI38" i="9"/>
  <c r="AH38" i="9"/>
  <c r="AG38" i="9"/>
  <c r="AF38" i="9"/>
  <c r="AE38" i="9"/>
  <c r="AD38" i="9"/>
  <c r="AC38" i="9"/>
  <c r="AB38" i="9"/>
  <c r="AJ25" i="9"/>
  <c r="AQ25" i="9" s="1"/>
  <c r="AI25" i="9"/>
  <c r="AH25" i="9"/>
  <c r="AG25" i="9"/>
  <c r="AF25" i="9"/>
  <c r="AE25" i="9"/>
  <c r="AD25" i="9"/>
  <c r="AC25" i="9"/>
  <c r="AB25" i="9"/>
  <c r="AJ13" i="9"/>
  <c r="AQ13" i="9" s="1"/>
  <c r="AI13" i="9"/>
  <c r="AH13" i="9"/>
  <c r="AG13" i="9"/>
  <c r="AF13" i="9"/>
  <c r="AE13" i="9"/>
  <c r="AD13" i="9"/>
  <c r="AC13" i="9"/>
  <c r="AB13" i="9"/>
  <c r="AJ6" i="9"/>
  <c r="AQ6" i="9" s="1"/>
  <c r="AI6" i="9"/>
  <c r="AH6" i="9"/>
  <c r="AG6" i="9"/>
  <c r="AF6" i="9"/>
  <c r="AE6" i="9"/>
  <c r="AD6" i="9"/>
  <c r="AC6" i="9"/>
  <c r="AB6" i="9"/>
  <c r="AJ2" i="9"/>
  <c r="AQ2" i="9" s="1"/>
  <c r="AI2" i="9"/>
  <c r="AH2" i="9"/>
  <c r="AG2" i="9"/>
  <c r="AF2" i="9"/>
  <c r="AE2" i="9"/>
  <c r="AD2" i="9"/>
  <c r="AC2" i="9"/>
  <c r="AB2" i="9"/>
  <c r="T4" i="9" l="1"/>
  <c r="AG4" i="9" s="1"/>
  <c r="AJ4" i="9" l="1"/>
  <c r="AE4" i="9"/>
  <c r="AC4" i="9"/>
  <c r="AF4" i="9"/>
  <c r="Y4" i="9"/>
  <c r="AH4" i="9"/>
  <c r="AB4" i="9"/>
  <c r="U4" i="9"/>
  <c r="AD4" i="9"/>
  <c r="AI4" i="9"/>
  <c r="X51" i="6"/>
  <c r="S51" i="6"/>
  <c r="O51" i="6"/>
  <c r="X194" i="6"/>
  <c r="S194" i="6"/>
  <c r="O194" i="6"/>
  <c r="X239" i="6"/>
  <c r="S239" i="6"/>
  <c r="O239" i="6"/>
  <c r="W4" i="9" l="1"/>
  <c r="AQ4" i="9"/>
  <c r="V4" i="9" s="1"/>
  <c r="T239" i="6"/>
  <c r="AB239" i="6" s="1"/>
  <c r="T194" i="6"/>
  <c r="Y194" i="6" s="1"/>
  <c r="T51" i="6"/>
  <c r="AD51" i="6" s="1"/>
  <c r="AC239" i="6"/>
  <c r="U194" i="6"/>
  <c r="AH239" i="6" l="1"/>
  <c r="AD239" i="6"/>
  <c r="AF239" i="6"/>
  <c r="AI239" i="6"/>
  <c r="AE239" i="6"/>
  <c r="AH194" i="6"/>
  <c r="AJ194" i="6"/>
  <c r="AJ239" i="6"/>
  <c r="AG194" i="6"/>
  <c r="U239" i="6"/>
  <c r="Y239" i="6"/>
  <c r="AG239" i="6"/>
  <c r="AI51" i="6"/>
  <c r="AI194" i="6"/>
  <c r="AJ51" i="6"/>
  <c r="AB51" i="6"/>
  <c r="AE51" i="6"/>
  <c r="AH51" i="6"/>
  <c r="AG51" i="6"/>
  <c r="U51" i="6"/>
  <c r="AC51" i="6"/>
  <c r="AC194" i="6"/>
  <c r="AF194" i="6"/>
  <c r="AB194" i="6"/>
  <c r="AE194" i="6"/>
  <c r="AD194" i="6"/>
  <c r="Y51" i="6"/>
  <c r="AF51" i="6"/>
  <c r="W239" i="6" l="1"/>
  <c r="AQ239" i="6"/>
  <c r="V239" i="6" s="1"/>
  <c r="W51" i="6"/>
  <c r="AQ194" i="6"/>
  <c r="V194" i="6" s="1"/>
  <c r="W194" i="6"/>
  <c r="AQ51" i="6"/>
  <c r="V51" i="6" s="1"/>
  <c r="X274" i="6"/>
  <c r="S274" i="6"/>
  <c r="O274" i="6"/>
  <c r="X38" i="6"/>
  <c r="S38" i="6"/>
  <c r="O38" i="6"/>
  <c r="X273" i="6"/>
  <c r="S273" i="6"/>
  <c r="O273" i="6"/>
  <c r="X40" i="6"/>
  <c r="S40" i="6"/>
  <c r="O40" i="6"/>
  <c r="X104" i="6"/>
  <c r="S104" i="6"/>
  <c r="O104" i="6"/>
  <c r="X263" i="6"/>
  <c r="S263" i="6"/>
  <c r="O263" i="6"/>
  <c r="X171" i="6"/>
  <c r="S171" i="6"/>
  <c r="O171" i="6"/>
  <c r="T104" i="6" l="1"/>
  <c r="AE104" i="6" s="1"/>
  <c r="T274" i="6"/>
  <c r="AG274" i="6" s="1"/>
  <c r="T263" i="6"/>
  <c r="Y263" i="6" s="1"/>
  <c r="T38" i="6"/>
  <c r="AE38" i="6" s="1"/>
  <c r="T40" i="6"/>
  <c r="AE40" i="6" s="1"/>
  <c r="T171" i="6"/>
  <c r="AG171" i="6" s="1"/>
  <c r="T273" i="6"/>
  <c r="AG273" i="6" s="1"/>
  <c r="AD104" i="6"/>
  <c r="Y40" i="6" l="1"/>
  <c r="Y104" i="6"/>
  <c r="AG40" i="6"/>
  <c r="AB171" i="6"/>
  <c r="U104" i="6"/>
  <c r="AF104" i="6"/>
  <c r="U171" i="6"/>
  <c r="AD40" i="6"/>
  <c r="AE263" i="6"/>
  <c r="AE171" i="6"/>
  <c r="AE273" i="6"/>
  <c r="AH171" i="6"/>
  <c r="AE274" i="6"/>
  <c r="AH274" i="6"/>
  <c r="AC274" i="6"/>
  <c r="AI274" i="6"/>
  <c r="U274" i="6"/>
  <c r="AF274" i="6"/>
  <c r="AB274" i="6"/>
  <c r="Y274" i="6"/>
  <c r="AD274" i="6"/>
  <c r="AJ274" i="6"/>
  <c r="AJ171" i="6"/>
  <c r="AI171" i="6"/>
  <c r="AD171" i="6"/>
  <c r="AC171" i="6"/>
  <c r="AI104" i="6"/>
  <c r="AG104" i="6"/>
  <c r="AF40" i="6"/>
  <c r="AI38" i="6"/>
  <c r="AG263" i="6"/>
  <c r="AH263" i="6"/>
  <c r="AB38" i="6"/>
  <c r="AJ273" i="6"/>
  <c r="AF263" i="6"/>
  <c r="AG38" i="6"/>
  <c r="AC273" i="6"/>
  <c r="U263" i="6"/>
  <c r="AF38" i="6"/>
  <c r="U38" i="6"/>
  <c r="AD38" i="6"/>
  <c r="AJ38" i="6"/>
  <c r="Y38" i="6"/>
  <c r="AH38" i="6"/>
  <c r="AC38" i="6"/>
  <c r="AB40" i="6"/>
  <c r="U40" i="6"/>
  <c r="AB104" i="6"/>
  <c r="AH104" i="6"/>
  <c r="AC104" i="6"/>
  <c r="AH273" i="6"/>
  <c r="AD263" i="6"/>
  <c r="AJ263" i="6"/>
  <c r="AI263" i="6"/>
  <c r="AJ40" i="6"/>
  <c r="AI40" i="6"/>
  <c r="AJ104" i="6"/>
  <c r="AB273" i="6"/>
  <c r="AC263" i="6"/>
  <c r="AB263" i="6"/>
  <c r="AH40" i="6"/>
  <c r="AC40" i="6"/>
  <c r="Y273" i="6"/>
  <c r="AF273" i="6"/>
  <c r="U273" i="6"/>
  <c r="AF171" i="6"/>
  <c r="Y171" i="6"/>
  <c r="AI273" i="6"/>
  <c r="AD273" i="6"/>
  <c r="W104" i="6" l="1"/>
  <c r="AQ274" i="6"/>
  <c r="V274" i="6" s="1"/>
  <c r="W274" i="6"/>
  <c r="AQ171" i="6"/>
  <c r="V171" i="6" s="1"/>
  <c r="W38" i="6"/>
  <c r="AQ104" i="6"/>
  <c r="V104" i="6" s="1"/>
  <c r="W40" i="6"/>
  <c r="W263" i="6"/>
  <c r="AQ38" i="6"/>
  <c r="V38" i="6" s="1"/>
  <c r="AQ263" i="6"/>
  <c r="V263" i="6" s="1"/>
  <c r="W171" i="6"/>
  <c r="W273" i="6"/>
  <c r="AQ40" i="6"/>
  <c r="V40" i="6" s="1"/>
  <c r="AQ273" i="6"/>
  <c r="V273" i="6" s="1"/>
  <c r="X101" i="6"/>
  <c r="S101" i="6"/>
  <c r="O101" i="6"/>
  <c r="X179" i="6"/>
  <c r="S179" i="6"/>
  <c r="O179" i="6"/>
  <c r="X283" i="6"/>
  <c r="S283" i="6"/>
  <c r="O283" i="6"/>
  <c r="X331" i="6"/>
  <c r="S331" i="6"/>
  <c r="O331" i="6"/>
  <c r="X300" i="6"/>
  <c r="S300" i="6"/>
  <c r="O300" i="6"/>
  <c r="X69" i="6"/>
  <c r="S69" i="6"/>
  <c r="O69" i="6"/>
  <c r="X223" i="6"/>
  <c r="S223" i="6"/>
  <c r="O223" i="6"/>
  <c r="X285" i="6"/>
  <c r="S285" i="6"/>
  <c r="O285" i="6"/>
  <c r="X177" i="6"/>
  <c r="S177" i="6"/>
  <c r="O177" i="6"/>
  <c r="X105" i="6"/>
  <c r="S105" i="6"/>
  <c r="O105" i="6"/>
  <c r="T300" i="6" l="1"/>
  <c r="Y300" i="6" s="1"/>
  <c r="T177" i="6"/>
  <c r="AH177" i="6" s="1"/>
  <c r="T285" i="6"/>
  <c r="AI285" i="6" s="1"/>
  <c r="T101" i="6"/>
  <c r="Y101" i="6" s="1"/>
  <c r="T223" i="6"/>
  <c r="AH223" i="6" s="1"/>
  <c r="T69" i="6"/>
  <c r="AF69" i="6" s="1"/>
  <c r="T283" i="6"/>
  <c r="AH283" i="6" s="1"/>
  <c r="T179" i="6"/>
  <c r="AJ179" i="6" s="1"/>
  <c r="T105" i="6"/>
  <c r="AG105" i="6" s="1"/>
  <c r="T331" i="6"/>
  <c r="Y331" i="6" s="1"/>
  <c r="AC69" i="6" l="1"/>
  <c r="AF177" i="6"/>
  <c r="AD223" i="6"/>
  <c r="AG223" i="6"/>
  <c r="AE331" i="6"/>
  <c r="U283" i="6"/>
  <c r="AG285" i="6"/>
  <c r="AE285" i="6"/>
  <c r="AI283" i="6"/>
  <c r="AF285" i="6"/>
  <c r="U285" i="6"/>
  <c r="AF283" i="6"/>
  <c r="AB285" i="6"/>
  <c r="AD285" i="6"/>
  <c r="AC283" i="6"/>
  <c r="AC300" i="6"/>
  <c r="Y283" i="6"/>
  <c r="AG101" i="6"/>
  <c r="AE177" i="6"/>
  <c r="AI69" i="6"/>
  <c r="AE69" i="6"/>
  <c r="AH101" i="6"/>
  <c r="AC177" i="6"/>
  <c r="Y177" i="6"/>
  <c r="AJ331" i="6"/>
  <c r="AD101" i="6"/>
  <c r="AH179" i="6"/>
  <c r="AB101" i="6"/>
  <c r="AD105" i="6"/>
  <c r="AE283" i="6"/>
  <c r="AJ283" i="6"/>
  <c r="AI300" i="6"/>
  <c r="Y285" i="6"/>
  <c r="AC105" i="6"/>
  <c r="AH285" i="6"/>
  <c r="AD283" i="6"/>
  <c r="AB283" i="6"/>
  <c r="AG283" i="6"/>
  <c r="AB223" i="6"/>
  <c r="AC285" i="6"/>
  <c r="AJ285" i="6"/>
  <c r="U223" i="6"/>
  <c r="AF223" i="6"/>
  <c r="AD300" i="6"/>
  <c r="AB300" i="6"/>
  <c r="AG300" i="6"/>
  <c r="AF105" i="6"/>
  <c r="AE105" i="6"/>
  <c r="U105" i="6"/>
  <c r="AH105" i="6"/>
  <c r="AE223" i="6"/>
  <c r="AJ223" i="6"/>
  <c r="U300" i="6"/>
  <c r="AF300" i="6"/>
  <c r="AH300" i="6"/>
  <c r="Y223" i="6"/>
  <c r="Y105" i="6"/>
  <c r="AI223" i="6"/>
  <c r="AC223" i="6"/>
  <c r="AE300" i="6"/>
  <c r="AJ300" i="6"/>
  <c r="AE179" i="6"/>
  <c r="AH69" i="6"/>
  <c r="AE101" i="6"/>
  <c r="U177" i="6"/>
  <c r="AJ177" i="6"/>
  <c r="AB69" i="6"/>
  <c r="AJ101" i="6"/>
  <c r="AI177" i="6"/>
  <c r="Y69" i="6"/>
  <c r="AF179" i="6"/>
  <c r="AG179" i="6"/>
  <c r="AI179" i="6"/>
  <c r="U179" i="6"/>
  <c r="U69" i="6"/>
  <c r="AD69" i="6"/>
  <c r="U101" i="6"/>
  <c r="AF101" i="6"/>
  <c r="AD177" i="6"/>
  <c r="AB177" i="6"/>
  <c r="AG177" i="6"/>
  <c r="AC179" i="6"/>
  <c r="Y179" i="6"/>
  <c r="AB179" i="6"/>
  <c r="AB331" i="6"/>
  <c r="AG69" i="6"/>
  <c r="AJ69" i="6"/>
  <c r="AB105" i="6"/>
  <c r="AI105" i="6"/>
  <c r="U331" i="6"/>
  <c r="AD179" i="6"/>
  <c r="AI101" i="6"/>
  <c r="AC101" i="6"/>
  <c r="AI331" i="6"/>
  <c r="AD331" i="6"/>
  <c r="AF331" i="6"/>
  <c r="AG331" i="6"/>
  <c r="AJ105" i="6"/>
  <c r="AH331" i="6"/>
  <c r="AC331" i="6"/>
  <c r="W285" i="6" l="1"/>
  <c r="W283" i="6"/>
  <c r="AQ223" i="6"/>
  <c r="V223" i="6" s="1"/>
  <c r="W177" i="6"/>
  <c r="W69" i="6"/>
  <c r="W223" i="6"/>
  <c r="AQ105" i="6"/>
  <c r="V105" i="6" s="1"/>
  <c r="AQ285" i="6"/>
  <c r="V285" i="6" s="1"/>
  <c r="AQ283" i="6"/>
  <c r="V283" i="6" s="1"/>
  <c r="AQ179" i="6"/>
  <c r="V179" i="6" s="1"/>
  <c r="AQ300" i="6"/>
  <c r="V300" i="6" s="1"/>
  <c r="W300" i="6"/>
  <c r="AQ69" i="6"/>
  <c r="V69" i="6" s="1"/>
  <c r="AQ177" i="6"/>
  <c r="V177" i="6" s="1"/>
  <c r="AQ101" i="6"/>
  <c r="V101" i="6" s="1"/>
  <c r="W179" i="6"/>
  <c r="W101" i="6"/>
  <c r="AQ331" i="6"/>
  <c r="V331" i="6" s="1"/>
  <c r="W105" i="6"/>
  <c r="W331" i="6"/>
  <c r="X92" i="6"/>
  <c r="S92" i="6"/>
  <c r="O92" i="6"/>
  <c r="X90" i="6"/>
  <c r="S90" i="6"/>
  <c r="O90" i="6"/>
  <c r="X88" i="6"/>
  <c r="S88" i="6"/>
  <c r="O88" i="6"/>
  <c r="X81" i="6"/>
  <c r="S81" i="6"/>
  <c r="O81" i="6"/>
  <c r="X41" i="6"/>
  <c r="S41" i="6"/>
  <c r="O41" i="6"/>
  <c r="X308" i="6"/>
  <c r="S308" i="6"/>
  <c r="O308" i="6"/>
  <c r="X277" i="6"/>
  <c r="S277" i="6"/>
  <c r="O277" i="6"/>
  <c r="X82" i="6"/>
  <c r="S82" i="6"/>
  <c r="O82" i="6"/>
  <c r="X182" i="6"/>
  <c r="S182" i="6"/>
  <c r="O182" i="6"/>
  <c r="X120" i="6"/>
  <c r="S120" i="6"/>
  <c r="O120" i="6"/>
  <c r="X4" i="6"/>
  <c r="S4" i="6"/>
  <c r="O4" i="6"/>
  <c r="X30" i="6"/>
  <c r="S30" i="6"/>
  <c r="O30" i="6"/>
  <c r="X87" i="6"/>
  <c r="S87" i="6"/>
  <c r="O87" i="6"/>
  <c r="X267" i="6"/>
  <c r="S267" i="6"/>
  <c r="O267" i="6"/>
  <c r="X261" i="6"/>
  <c r="S261" i="6"/>
  <c r="O261" i="6"/>
  <c r="X208" i="6"/>
  <c r="S208" i="6"/>
  <c r="O208" i="6"/>
  <c r="X196" i="6"/>
  <c r="S196" i="6"/>
  <c r="O196" i="6"/>
  <c r="X188" i="6"/>
  <c r="S188" i="6"/>
  <c r="O188" i="6"/>
  <c r="X166" i="6"/>
  <c r="S166" i="6"/>
  <c r="O166" i="6"/>
  <c r="X141" i="6"/>
  <c r="S141" i="6"/>
  <c r="O141" i="6"/>
  <c r="X140" i="6"/>
  <c r="S140" i="6"/>
  <c r="O140" i="6"/>
  <c r="X135" i="6"/>
  <c r="S135" i="6"/>
  <c r="O135" i="6"/>
  <c r="X93" i="6"/>
  <c r="S93" i="6"/>
  <c r="O93" i="6"/>
  <c r="X178" i="6"/>
  <c r="S178" i="6"/>
  <c r="O178" i="6"/>
  <c r="X48" i="6"/>
  <c r="S48" i="6"/>
  <c r="O48" i="6"/>
  <c r="X46" i="6"/>
  <c r="S46" i="6"/>
  <c r="O46" i="6"/>
  <c r="X296" i="6"/>
  <c r="S296" i="6"/>
  <c r="O296" i="6"/>
  <c r="X169" i="6"/>
  <c r="S169" i="6"/>
  <c r="O169" i="6"/>
  <c r="X20" i="6"/>
  <c r="S20" i="6"/>
  <c r="O20" i="6"/>
  <c r="X189" i="6"/>
  <c r="S189" i="6"/>
  <c r="O189" i="6"/>
  <c r="X173" i="6"/>
  <c r="S173" i="6"/>
  <c r="O173" i="6"/>
  <c r="X242" i="6"/>
  <c r="S242" i="6"/>
  <c r="O242" i="6"/>
  <c r="X325" i="6"/>
  <c r="S325" i="6"/>
  <c r="O325" i="6"/>
  <c r="X48" i="7"/>
  <c r="S48" i="7"/>
  <c r="O48" i="7"/>
  <c r="X51" i="7"/>
  <c r="S51" i="7"/>
  <c r="O51" i="7"/>
  <c r="X37" i="7"/>
  <c r="S37" i="7"/>
  <c r="O37" i="7"/>
  <c r="X68" i="7"/>
  <c r="S68" i="7"/>
  <c r="O68" i="7"/>
  <c r="X17" i="7"/>
  <c r="S17" i="7"/>
  <c r="O17" i="7"/>
  <c r="X3" i="7"/>
  <c r="S3" i="7"/>
  <c r="O3" i="7"/>
  <c r="X50" i="7"/>
  <c r="S50" i="7"/>
  <c r="O50" i="7"/>
  <c r="T51" i="7" l="1"/>
  <c r="T3" i="7"/>
  <c r="Y3" i="7" s="1"/>
  <c r="T173" i="6"/>
  <c r="U173" i="6" s="1"/>
  <c r="T166" i="6"/>
  <c r="Y166" i="6" s="1"/>
  <c r="T277" i="6"/>
  <c r="AD277" i="6" s="1"/>
  <c r="T30" i="6"/>
  <c r="Y30" i="6" s="1"/>
  <c r="T4" i="6"/>
  <c r="U4" i="6" s="1"/>
  <c r="T93" i="6"/>
  <c r="Y93" i="6" s="1"/>
  <c r="T308" i="6"/>
  <c r="AF308" i="6" s="1"/>
  <c r="T46" i="6"/>
  <c r="Y46" i="6" s="1"/>
  <c r="T48" i="6"/>
  <c r="Y48" i="6" s="1"/>
  <c r="T141" i="6"/>
  <c r="AC141" i="6" s="1"/>
  <c r="T196" i="6"/>
  <c r="AC196" i="6" s="1"/>
  <c r="T120" i="6"/>
  <c r="Y120" i="6" s="1"/>
  <c r="T81" i="6"/>
  <c r="AG81" i="6" s="1"/>
  <c r="T88" i="6"/>
  <c r="Y88" i="6" s="1"/>
  <c r="T178" i="6"/>
  <c r="Y178" i="6" s="1"/>
  <c r="T267" i="6"/>
  <c r="U267" i="6" s="1"/>
  <c r="T87" i="6"/>
  <c r="AE87" i="6" s="1"/>
  <c r="T82" i="6"/>
  <c r="AH82" i="6" s="1"/>
  <c r="T92" i="6"/>
  <c r="Y92" i="6" s="1"/>
  <c r="T68" i="7"/>
  <c r="Y68" i="7" s="1"/>
  <c r="T48" i="7"/>
  <c r="AH48" i="7" s="1"/>
  <c r="T17" i="7"/>
  <c r="AG17" i="7" s="1"/>
  <c r="T50" i="7"/>
  <c r="AG50" i="7" s="1"/>
  <c r="T37" i="7"/>
  <c r="AB37" i="7" s="1"/>
  <c r="AH51" i="7"/>
  <c r="AG51" i="7"/>
  <c r="AC51" i="7"/>
  <c r="Y51" i="7"/>
  <c r="T135" i="6"/>
  <c r="Y135" i="6" s="1"/>
  <c r="T140" i="6"/>
  <c r="Y140" i="6" s="1"/>
  <c r="T188" i="6"/>
  <c r="AF188" i="6" s="1"/>
  <c r="T90" i="6"/>
  <c r="AH90" i="6" s="1"/>
  <c r="T208" i="6"/>
  <c r="AE208" i="6" s="1"/>
  <c r="T261" i="6"/>
  <c r="Y261" i="6" s="1"/>
  <c r="T41" i="6"/>
  <c r="AF41" i="6" s="1"/>
  <c r="AI68" i="7"/>
  <c r="T182" i="6"/>
  <c r="AD182" i="6" s="1"/>
  <c r="T325" i="6"/>
  <c r="AG325" i="6" s="1"/>
  <c r="T20" i="6"/>
  <c r="Y20" i="6" s="1"/>
  <c r="T169" i="6"/>
  <c r="U169" i="6" s="1"/>
  <c r="AH166" i="6"/>
  <c r="T189" i="6"/>
  <c r="AE189" i="6" s="1"/>
  <c r="T296" i="6"/>
  <c r="AE296" i="6" s="1"/>
  <c r="U166" i="6"/>
  <c r="AI178" i="6"/>
  <c r="T242" i="6"/>
  <c r="U51" i="7"/>
  <c r="AE51" i="7"/>
  <c r="AI51" i="7"/>
  <c r="AB51" i="7"/>
  <c r="AF51" i="7"/>
  <c r="AJ51" i="7"/>
  <c r="AD51" i="7"/>
  <c r="X10" i="7"/>
  <c r="S10" i="7"/>
  <c r="O10" i="7"/>
  <c r="X71" i="7"/>
  <c r="S71" i="7"/>
  <c r="O71" i="7"/>
  <c r="X53" i="7"/>
  <c r="S53" i="7"/>
  <c r="O53" i="7"/>
  <c r="X35" i="7"/>
  <c r="S35" i="7"/>
  <c r="O35" i="7"/>
  <c r="X15" i="7"/>
  <c r="S15" i="7"/>
  <c r="O15" i="7"/>
  <c r="X19" i="7"/>
  <c r="S19" i="7"/>
  <c r="O19" i="7"/>
  <c r="X5" i="7"/>
  <c r="S5" i="7"/>
  <c r="O5" i="7"/>
  <c r="X60" i="7"/>
  <c r="S60" i="7"/>
  <c r="O60" i="7"/>
  <c r="X49" i="7"/>
  <c r="S49" i="7"/>
  <c r="O49" i="7"/>
  <c r="X64" i="7"/>
  <c r="S64" i="7"/>
  <c r="O64" i="7"/>
  <c r="X83" i="7"/>
  <c r="S83" i="7"/>
  <c r="O83" i="7"/>
  <c r="X72" i="7"/>
  <c r="S72" i="7"/>
  <c r="O72" i="7"/>
  <c r="X21" i="7"/>
  <c r="S21" i="7"/>
  <c r="O21" i="7"/>
  <c r="X42" i="7"/>
  <c r="S42" i="7"/>
  <c r="O42" i="7"/>
  <c r="X30" i="7"/>
  <c r="S30" i="7"/>
  <c r="O30" i="7"/>
  <c r="X43" i="7"/>
  <c r="S43" i="7"/>
  <c r="O43" i="7"/>
  <c r="O21" i="9"/>
  <c r="O47" i="9"/>
  <c r="O52" i="9"/>
  <c r="O53" i="9"/>
  <c r="O54" i="9"/>
  <c r="O58" i="9"/>
  <c r="AD166" i="6" l="1"/>
  <c r="AJ166" i="6"/>
  <c r="AF46" i="6"/>
  <c r="AI48" i="6"/>
  <c r="AI277" i="6"/>
  <c r="AF81" i="6"/>
  <c r="AJ277" i="6"/>
  <c r="W277" i="6" s="1"/>
  <c r="AE48" i="6"/>
  <c r="AJ48" i="6"/>
  <c r="AB4" i="6"/>
  <c r="Y48" i="7"/>
  <c r="AI173" i="6"/>
  <c r="AH48" i="6"/>
  <c r="AH267" i="6"/>
  <c r="AC30" i="6"/>
  <c r="AI93" i="6"/>
  <c r="AF93" i="6"/>
  <c r="AH173" i="6"/>
  <c r="AC17" i="7"/>
  <c r="AB93" i="6"/>
  <c r="AC93" i="6"/>
  <c r="AB48" i="6"/>
  <c r="AC188" i="6"/>
  <c r="AI81" i="6"/>
  <c r="Y87" i="6"/>
  <c r="AC173" i="6"/>
  <c r="Y169" i="6"/>
  <c r="Y173" i="6"/>
  <c r="AD87" i="6"/>
  <c r="AJ4" i="6"/>
  <c r="AH87" i="6"/>
  <c r="AH81" i="6"/>
  <c r="Y4" i="6"/>
  <c r="AB87" i="6"/>
  <c r="AC87" i="6"/>
  <c r="AE37" i="7"/>
  <c r="U37" i="7"/>
  <c r="AD3" i="7"/>
  <c r="AB3" i="7"/>
  <c r="AJ325" i="6"/>
  <c r="AE308" i="6"/>
  <c r="AD308" i="6"/>
  <c r="AG308" i="6"/>
  <c r="AC308" i="6"/>
  <c r="AJ308" i="6"/>
  <c r="W308" i="6" s="1"/>
  <c r="AJ267" i="6"/>
  <c r="AB169" i="6"/>
  <c r="AE188" i="6"/>
  <c r="AG188" i="6"/>
  <c r="AB173" i="6"/>
  <c r="AG169" i="6"/>
  <c r="AF166" i="6"/>
  <c r="AI188" i="6"/>
  <c r="AG41" i="6"/>
  <c r="AG173" i="6"/>
  <c r="U140" i="6"/>
  <c r="AF82" i="6"/>
  <c r="AF277" i="6"/>
  <c r="Y82" i="6"/>
  <c r="AC20" i="6"/>
  <c r="AF173" i="6"/>
  <c r="AD173" i="6"/>
  <c r="AE173" i="6"/>
  <c r="AD82" i="6"/>
  <c r="AI308" i="6"/>
  <c r="AE277" i="6"/>
  <c r="AB120" i="6"/>
  <c r="Y308" i="6"/>
  <c r="Y90" i="6"/>
  <c r="AJ173" i="6"/>
  <c r="AD46" i="6"/>
  <c r="AG46" i="6"/>
  <c r="AD4" i="6"/>
  <c r="AH4" i="6"/>
  <c r="AC4" i="6"/>
  <c r="AJ41" i="6"/>
  <c r="AG4" i="6"/>
  <c r="U120" i="6"/>
  <c r="AH120" i="6"/>
  <c r="AE4" i="6"/>
  <c r="AI4" i="6"/>
  <c r="AG267" i="6"/>
  <c r="AD30" i="6"/>
  <c r="AI30" i="6"/>
  <c r="AJ135" i="6"/>
  <c r="AE92" i="6"/>
  <c r="Y208" i="6"/>
  <c r="U135" i="6"/>
  <c r="AF189" i="6"/>
  <c r="AF30" i="6"/>
  <c r="AI208" i="6"/>
  <c r="AE93" i="6"/>
  <c r="AI87" i="6"/>
  <c r="AE81" i="6"/>
  <c r="U81" i="6"/>
  <c r="U188" i="6"/>
  <c r="AF48" i="6"/>
  <c r="U48" i="6"/>
  <c r="AD48" i="6"/>
  <c r="AB166" i="6"/>
  <c r="AC48" i="6"/>
  <c r="AH93" i="6"/>
  <c r="AD81" i="6"/>
  <c r="AD325" i="6"/>
  <c r="AG48" i="6"/>
  <c r="AE325" i="6"/>
  <c r="AE166" i="6"/>
  <c r="U93" i="6"/>
  <c r="AJ93" i="6"/>
  <c r="AD93" i="6"/>
  <c r="AI166" i="6"/>
  <c r="AG166" i="6"/>
  <c r="AJ81" i="6"/>
  <c r="AB81" i="6"/>
  <c r="AJ87" i="6"/>
  <c r="AG87" i="6"/>
  <c r="AG93" i="6"/>
  <c r="AF87" i="6"/>
  <c r="AC166" i="6"/>
  <c r="AC81" i="6"/>
  <c r="Y81" i="6"/>
  <c r="AI37" i="7"/>
  <c r="AG37" i="7"/>
  <c r="AB17" i="7"/>
  <c r="AF3" i="7"/>
  <c r="AG3" i="7"/>
  <c r="AC3" i="7"/>
  <c r="AJ48" i="7"/>
  <c r="AI48" i="7"/>
  <c r="AD48" i="7"/>
  <c r="AG68" i="7"/>
  <c r="AE48" i="7"/>
  <c r="AC48" i="7"/>
  <c r="AH68" i="7"/>
  <c r="AJ68" i="7"/>
  <c r="AE68" i="7"/>
  <c r="T83" i="7"/>
  <c r="Y83" i="7" s="1"/>
  <c r="AI3" i="7"/>
  <c r="AE3" i="7"/>
  <c r="AC68" i="7"/>
  <c r="AB68" i="7"/>
  <c r="AF68" i="7"/>
  <c r="AH3" i="7"/>
  <c r="AC37" i="7"/>
  <c r="AF37" i="7"/>
  <c r="AD37" i="7"/>
  <c r="AD68" i="7"/>
  <c r="AJ3" i="7"/>
  <c r="U3" i="7"/>
  <c r="U68" i="7"/>
  <c r="Y37" i="7"/>
  <c r="AH37" i="7"/>
  <c r="AI17" i="7"/>
  <c r="AJ17" i="7"/>
  <c r="U17" i="7"/>
  <c r="AD17" i="7"/>
  <c r="Y17" i="7"/>
  <c r="AB48" i="7"/>
  <c r="AH17" i="7"/>
  <c r="AE17" i="7"/>
  <c r="AF17" i="7"/>
  <c r="AJ50" i="7"/>
  <c r="U48" i="7"/>
  <c r="AE30" i="6"/>
  <c r="AE196" i="6"/>
  <c r="AB30" i="6"/>
  <c r="AJ92" i="6"/>
  <c r="AG30" i="6"/>
  <c r="AH178" i="6"/>
  <c r="U30" i="6"/>
  <c r="AJ196" i="6"/>
  <c r="AH308" i="6"/>
  <c r="AB308" i="6"/>
  <c r="U277" i="6"/>
  <c r="AB135" i="6"/>
  <c r="AG277" i="6"/>
  <c r="AI88" i="6"/>
  <c r="Y277" i="6"/>
  <c r="Y196" i="6"/>
  <c r="AF4" i="6"/>
  <c r="AJ178" i="6"/>
  <c r="AF296" i="6"/>
  <c r="AI296" i="6"/>
  <c r="AH30" i="6"/>
  <c r="AJ30" i="6"/>
  <c r="AG88" i="6"/>
  <c r="AB208" i="6"/>
  <c r="U308" i="6"/>
  <c r="AH277" i="6"/>
  <c r="AB277" i="6"/>
  <c r="AE182" i="6"/>
  <c r="AC277" i="6"/>
  <c r="AJ20" i="6"/>
  <c r="U196" i="6"/>
  <c r="AI92" i="6"/>
  <c r="AC92" i="6"/>
  <c r="AG140" i="6"/>
  <c r="AG196" i="6"/>
  <c r="AF169" i="6"/>
  <c r="AD169" i="6"/>
  <c r="AE169" i="6"/>
  <c r="AJ169" i="6"/>
  <c r="AH169" i="6"/>
  <c r="AI169" i="6"/>
  <c r="AE178" i="6"/>
  <c r="AD92" i="6"/>
  <c r="AB92" i="6"/>
  <c r="AG92" i="6"/>
  <c r="AG261" i="6"/>
  <c r="AH92" i="6"/>
  <c r="AI196" i="6"/>
  <c r="AF178" i="6"/>
  <c r="AD178" i="6"/>
  <c r="AD261" i="6"/>
  <c r="AF196" i="6"/>
  <c r="AB178" i="6"/>
  <c r="AB196" i="6"/>
  <c r="AJ140" i="6"/>
  <c r="AH196" i="6"/>
  <c r="AH140" i="6"/>
  <c r="AC178" i="6"/>
  <c r="U189" i="6"/>
  <c r="AC169" i="6"/>
  <c r="U178" i="6"/>
  <c r="AE261" i="6"/>
  <c r="AF261" i="6"/>
  <c r="AB140" i="6"/>
  <c r="AG178" i="6"/>
  <c r="AD196" i="6"/>
  <c r="U92" i="6"/>
  <c r="AF92" i="6"/>
  <c r="AB20" i="6"/>
  <c r="U46" i="6"/>
  <c r="AD135" i="6"/>
  <c r="AH135" i="6"/>
  <c r="AC182" i="6"/>
  <c r="AJ188" i="6"/>
  <c r="AC135" i="6"/>
  <c r="AC208" i="6"/>
  <c r="AD88" i="6"/>
  <c r="AJ120" i="6"/>
  <c r="AH208" i="6"/>
  <c r="AI135" i="6"/>
  <c r="AB182" i="6"/>
  <c r="AG135" i="6"/>
  <c r="AI182" i="6"/>
  <c r="AF135" i="6"/>
  <c r="AG208" i="6"/>
  <c r="U208" i="6"/>
  <c r="Y188" i="6"/>
  <c r="U87" i="6"/>
  <c r="AC46" i="6"/>
  <c r="AJ46" i="6"/>
  <c r="AH20" i="6"/>
  <c r="AI20" i="6"/>
  <c r="AD208" i="6"/>
  <c r="AD188" i="6"/>
  <c r="AE46" i="6"/>
  <c r="AH188" i="6"/>
  <c r="AJ208" i="6"/>
  <c r="AJ141" i="6"/>
  <c r="AI141" i="6"/>
  <c r="AE82" i="6"/>
  <c r="AE135" i="6"/>
  <c r="AG182" i="6"/>
  <c r="AI267" i="6"/>
  <c r="AB188" i="6"/>
  <c r="U82" i="6"/>
  <c r="AF208" i="6"/>
  <c r="AE267" i="6"/>
  <c r="AE141" i="6"/>
  <c r="Y267" i="6"/>
  <c r="AD120" i="6"/>
  <c r="AE20" i="6"/>
  <c r="AG20" i="6"/>
  <c r="U88" i="6"/>
  <c r="AF88" i="6"/>
  <c r="AG141" i="6"/>
  <c r="Y141" i="6"/>
  <c r="AC140" i="6"/>
  <c r="AB46" i="6"/>
  <c r="AB296" i="6"/>
  <c r="AH46" i="6"/>
  <c r="AD20" i="6"/>
  <c r="AC189" i="6"/>
  <c r="Y189" i="6"/>
  <c r="U20" i="6"/>
  <c r="U296" i="6"/>
  <c r="AE140" i="6"/>
  <c r="AD267" i="6"/>
  <c r="AF140" i="6"/>
  <c r="AI46" i="6"/>
  <c r="AD140" i="6"/>
  <c r="AI82" i="6"/>
  <c r="AC267" i="6"/>
  <c r="AB82" i="6"/>
  <c r="AE41" i="6"/>
  <c r="AE120" i="6"/>
  <c r="AH141" i="6"/>
  <c r="AC88" i="6"/>
  <c r="AG82" i="6"/>
  <c r="AF182" i="6"/>
  <c r="AF141" i="6"/>
  <c r="AE88" i="6"/>
  <c r="AJ88" i="6"/>
  <c r="AG120" i="6"/>
  <c r="Y182" i="6"/>
  <c r="AF267" i="6"/>
  <c r="Y41" i="6"/>
  <c r="U141" i="6"/>
  <c r="AI140" i="6"/>
  <c r="AF20" i="6"/>
  <c r="AH296" i="6"/>
  <c r="AJ189" i="6"/>
  <c r="AD141" i="6"/>
  <c r="AB141" i="6"/>
  <c r="AJ82" i="6"/>
  <c r="AC82" i="6"/>
  <c r="AF120" i="6"/>
  <c r="AB267" i="6"/>
  <c r="AH88" i="6"/>
  <c r="AB88" i="6"/>
  <c r="AI120" i="6"/>
  <c r="AC120" i="6"/>
  <c r="U90" i="6"/>
  <c r="AI50" i="7"/>
  <c r="AG48" i="7"/>
  <c r="AF48" i="7"/>
  <c r="AJ37" i="7"/>
  <c r="U50" i="7"/>
  <c r="AB50" i="7"/>
  <c r="Y50" i="7"/>
  <c r="AH50" i="7"/>
  <c r="T42" i="7"/>
  <c r="U42" i="7" s="1"/>
  <c r="T64" i="7"/>
  <c r="AE64" i="7" s="1"/>
  <c r="AC50" i="7"/>
  <c r="AF50" i="7"/>
  <c r="AD50" i="7"/>
  <c r="AE50" i="7"/>
  <c r="AD90" i="6"/>
  <c r="AI41" i="6"/>
  <c r="AC41" i="6"/>
  <c r="AD41" i="6"/>
  <c r="AF90" i="6"/>
  <c r="AB90" i="6"/>
  <c r="AH41" i="6"/>
  <c r="AB41" i="6"/>
  <c r="AC90" i="6"/>
  <c r="AI90" i="6"/>
  <c r="AG90" i="6"/>
  <c r="U41" i="6"/>
  <c r="AE90" i="6"/>
  <c r="AJ90" i="6"/>
  <c r="U261" i="6"/>
  <c r="AH261" i="6"/>
  <c r="AJ261" i="6"/>
  <c r="AI261" i="6"/>
  <c r="AB261" i="6"/>
  <c r="AC261" i="6"/>
  <c r="AH182" i="6"/>
  <c r="U182" i="6"/>
  <c r="AJ182" i="6"/>
  <c r="AC325" i="6"/>
  <c r="AB325" i="6"/>
  <c r="AD296" i="6"/>
  <c r="U325" i="6"/>
  <c r="Y325" i="6"/>
  <c r="Y296" i="6"/>
  <c r="AG296" i="6"/>
  <c r="AQ308" i="6"/>
  <c r="V308" i="6" s="1"/>
  <c r="AF325" i="6"/>
  <c r="AI325" i="6"/>
  <c r="AC296" i="6"/>
  <c r="AJ296" i="6"/>
  <c r="AH325" i="6"/>
  <c r="AB189" i="6"/>
  <c r="AH189" i="6"/>
  <c r="AI189" i="6"/>
  <c r="AG189" i="6"/>
  <c r="AD189" i="6"/>
  <c r="AI242" i="6"/>
  <c r="AE242" i="6"/>
  <c r="Y242" i="6"/>
  <c r="U242" i="6"/>
  <c r="AH242" i="6"/>
  <c r="AD242" i="6"/>
  <c r="AJ242" i="6"/>
  <c r="AF242" i="6"/>
  <c r="AB242" i="6"/>
  <c r="AG242" i="6"/>
  <c r="AC242" i="6"/>
  <c r="AQ51" i="7"/>
  <c r="V51" i="7" s="1"/>
  <c r="W51" i="7"/>
  <c r="T72" i="7"/>
  <c r="Y72" i="7" s="1"/>
  <c r="T30" i="7"/>
  <c r="AI30" i="7" s="1"/>
  <c r="T21" i="7"/>
  <c r="Y21" i="7" s="1"/>
  <c r="T10" i="7"/>
  <c r="AH10" i="7" s="1"/>
  <c r="AI83" i="7"/>
  <c r="T15" i="7"/>
  <c r="Y15" i="7" s="1"/>
  <c r="T49" i="7"/>
  <c r="AH49" i="7" s="1"/>
  <c r="T5" i="7"/>
  <c r="AC5" i="7" s="1"/>
  <c r="T35" i="7"/>
  <c r="AJ35" i="7" s="1"/>
  <c r="T53" i="7"/>
  <c r="AG53" i="7" s="1"/>
  <c r="T71" i="7"/>
  <c r="AC71" i="7" s="1"/>
  <c r="T19" i="7"/>
  <c r="AC19" i="7" s="1"/>
  <c r="Y5" i="7"/>
  <c r="T43" i="7"/>
  <c r="AI43" i="7" s="1"/>
  <c r="T60" i="7"/>
  <c r="AI60" i="7" s="1"/>
  <c r="AB5" i="7"/>
  <c r="X334" i="6"/>
  <c r="S334" i="6"/>
  <c r="O334" i="6"/>
  <c r="X320" i="6"/>
  <c r="S320" i="6"/>
  <c r="O320" i="6"/>
  <c r="X147" i="6"/>
  <c r="S147" i="6"/>
  <c r="O147" i="6"/>
  <c r="X74" i="6"/>
  <c r="S74" i="6"/>
  <c r="O74" i="6"/>
  <c r="X73" i="6"/>
  <c r="S73" i="6"/>
  <c r="O73" i="6"/>
  <c r="X23" i="6"/>
  <c r="S23" i="6"/>
  <c r="O23" i="6"/>
  <c r="X14" i="6"/>
  <c r="S14" i="6"/>
  <c r="O14" i="6"/>
  <c r="X227" i="6"/>
  <c r="S227" i="6"/>
  <c r="O227" i="6"/>
  <c r="X209" i="6"/>
  <c r="S209" i="6"/>
  <c r="O209" i="6"/>
  <c r="X159" i="6"/>
  <c r="S159" i="6"/>
  <c r="O159" i="6"/>
  <c r="X85" i="6"/>
  <c r="S85" i="6"/>
  <c r="O85" i="6"/>
  <c r="X42" i="6"/>
  <c r="S42" i="6"/>
  <c r="O42" i="6"/>
  <c r="AQ277" i="6" l="1"/>
  <c r="V277" i="6" s="1"/>
  <c r="AQ81" i="6"/>
  <c r="V81" i="6" s="1"/>
  <c r="AQ48" i="6"/>
  <c r="V48" i="6" s="1"/>
  <c r="W48" i="6"/>
  <c r="AG42" i="7"/>
  <c r="W4" i="6"/>
  <c r="AQ173" i="6"/>
  <c r="V173" i="6" s="1"/>
  <c r="W173" i="6"/>
  <c r="W81" i="6"/>
  <c r="AG83" i="7"/>
  <c r="AQ166" i="6"/>
  <c r="V166" i="6" s="1"/>
  <c r="AQ93" i="6"/>
  <c r="V93" i="6" s="1"/>
  <c r="W87" i="6"/>
  <c r="W166" i="6"/>
  <c r="W93" i="6"/>
  <c r="AQ4" i="6"/>
  <c r="V4" i="6" s="1"/>
  <c r="AQ87" i="6"/>
  <c r="V87" i="6" s="1"/>
  <c r="W169" i="6"/>
  <c r="AQ196" i="6"/>
  <c r="V196" i="6" s="1"/>
  <c r="W135" i="6"/>
  <c r="AQ30" i="6"/>
  <c r="V30" i="6" s="1"/>
  <c r="W88" i="6"/>
  <c r="AQ82" i="6"/>
  <c r="V82" i="6" s="1"/>
  <c r="W178" i="6"/>
  <c r="AQ169" i="6"/>
  <c r="V169" i="6" s="1"/>
  <c r="W140" i="6"/>
  <c r="W188" i="6"/>
  <c r="AQ178" i="6"/>
  <c r="V178" i="6" s="1"/>
  <c r="W92" i="6"/>
  <c r="W30" i="6"/>
  <c r="W208" i="6"/>
  <c r="AQ92" i="6"/>
  <c r="V92" i="6" s="1"/>
  <c r="AF64" i="7"/>
  <c r="W3" i="7"/>
  <c r="W68" i="7"/>
  <c r="AD42" i="7"/>
  <c r="AB42" i="7"/>
  <c r="AJ10" i="7"/>
  <c r="AJ49" i="7"/>
  <c r="AQ17" i="7"/>
  <c r="V17" i="7" s="1"/>
  <c r="AQ68" i="7"/>
  <c r="V68" i="7" s="1"/>
  <c r="AB53" i="7"/>
  <c r="AQ3" i="7"/>
  <c r="V3" i="7" s="1"/>
  <c r="AD83" i="7"/>
  <c r="AH42" i="7"/>
  <c r="AJ83" i="7"/>
  <c r="U83" i="7"/>
  <c r="AC83" i="7"/>
  <c r="W17" i="7"/>
  <c r="AB64" i="7"/>
  <c r="AF83" i="7"/>
  <c r="AE83" i="7"/>
  <c r="AH83" i="7"/>
  <c r="AB83" i="7"/>
  <c r="AI42" i="7"/>
  <c r="W37" i="7"/>
  <c r="U30" i="7"/>
  <c r="AQ48" i="7"/>
  <c r="V48" i="7" s="1"/>
  <c r="W50" i="7"/>
  <c r="AQ50" i="7"/>
  <c r="V50" i="7" s="1"/>
  <c r="W48" i="7"/>
  <c r="AQ88" i="6"/>
  <c r="V88" i="6" s="1"/>
  <c r="W82" i="6"/>
  <c r="AQ208" i="6"/>
  <c r="V208" i="6" s="1"/>
  <c r="W120" i="6"/>
  <c r="AQ20" i="6"/>
  <c r="V20" i="6" s="1"/>
  <c r="AQ267" i="6"/>
  <c r="V267" i="6" s="1"/>
  <c r="W196" i="6"/>
  <c r="W141" i="6"/>
  <c r="AQ296" i="6"/>
  <c r="V296" i="6" s="1"/>
  <c r="W20" i="6"/>
  <c r="AQ46" i="6"/>
  <c r="V46" i="6" s="1"/>
  <c r="AQ140" i="6"/>
  <c r="V140" i="6" s="1"/>
  <c r="AQ135" i="6"/>
  <c r="V135" i="6" s="1"/>
  <c r="W46" i="6"/>
  <c r="W267" i="6"/>
  <c r="AQ120" i="6"/>
  <c r="V120" i="6" s="1"/>
  <c r="AQ188" i="6"/>
  <c r="V188" i="6" s="1"/>
  <c r="AQ141" i="6"/>
  <c r="V141" i="6" s="1"/>
  <c r="AQ41" i="6"/>
  <c r="V41" i="6" s="1"/>
  <c r="AD10" i="7"/>
  <c r="AH64" i="7"/>
  <c r="AG10" i="7"/>
  <c r="AQ37" i="7"/>
  <c r="V37" i="7" s="1"/>
  <c r="U5" i="7"/>
  <c r="AI64" i="7"/>
  <c r="AB10" i="7"/>
  <c r="AJ42" i="7"/>
  <c r="Y42" i="7"/>
  <c r="Y64" i="7"/>
  <c r="U64" i="7"/>
  <c r="AF10" i="7"/>
  <c r="AE10" i="7"/>
  <c r="AD64" i="7"/>
  <c r="AG64" i="7"/>
  <c r="AE42" i="7"/>
  <c r="AC64" i="7"/>
  <c r="AF42" i="7"/>
  <c r="U49" i="7"/>
  <c r="U10" i="7"/>
  <c r="AC42" i="7"/>
  <c r="AC10" i="7"/>
  <c r="AJ64" i="7"/>
  <c r="Y10" i="7"/>
  <c r="AJ72" i="7"/>
  <c r="AE53" i="7"/>
  <c r="AE72" i="7"/>
  <c r="AH72" i="7"/>
  <c r="AF72" i="7"/>
  <c r="AJ19" i="7"/>
  <c r="AC72" i="7"/>
  <c r="AH5" i="7"/>
  <c r="AE49" i="7"/>
  <c r="U72" i="7"/>
  <c r="AD72" i="7"/>
  <c r="AB72" i="7"/>
  <c r="AD43" i="7"/>
  <c r="U53" i="7"/>
  <c r="AI72" i="7"/>
  <c r="AD5" i="7"/>
  <c r="AB49" i="7"/>
  <c r="AG5" i="7"/>
  <c r="AC53" i="7"/>
  <c r="AI10" i="7"/>
  <c r="AQ325" i="6"/>
  <c r="V325" i="6" s="1"/>
  <c r="W182" i="6"/>
  <c r="W41" i="6"/>
  <c r="W296" i="6"/>
  <c r="AQ182" i="6"/>
  <c r="V182" i="6" s="1"/>
  <c r="W90" i="6"/>
  <c r="W261" i="6"/>
  <c r="AQ261" i="6"/>
  <c r="V261" i="6" s="1"/>
  <c r="AQ90" i="6"/>
  <c r="V90" i="6" s="1"/>
  <c r="W325" i="6"/>
  <c r="W189" i="6"/>
  <c r="AQ189" i="6"/>
  <c r="V189" i="6" s="1"/>
  <c r="AQ242" i="6"/>
  <c r="V242" i="6" s="1"/>
  <c r="W242" i="6"/>
  <c r="AH21" i="7"/>
  <c r="AD30" i="7"/>
  <c r="AG30" i="7"/>
  <c r="AF30" i="7"/>
  <c r="Y30" i="7"/>
  <c r="AH30" i="7"/>
  <c r="AC30" i="7"/>
  <c r="AE30" i="7"/>
  <c r="AJ30" i="7"/>
  <c r="AG72" i="7"/>
  <c r="AB30" i="7"/>
  <c r="AH15" i="7"/>
  <c r="AD15" i="7"/>
  <c r="AC15" i="7"/>
  <c r="AI21" i="7"/>
  <c r="U15" i="7"/>
  <c r="AB15" i="7"/>
  <c r="Y53" i="7"/>
  <c r="AE15" i="7"/>
  <c r="AJ15" i="7"/>
  <c r="AI15" i="7"/>
  <c r="U21" i="7"/>
  <c r="AC21" i="7"/>
  <c r="AB21" i="7"/>
  <c r="AF43" i="7"/>
  <c r="AJ53" i="7"/>
  <c r="U43" i="7"/>
  <c r="AE5" i="7"/>
  <c r="AF53" i="7"/>
  <c r="AF5" i="7"/>
  <c r="AD49" i="7"/>
  <c r="AD53" i="7"/>
  <c r="AG49" i="7"/>
  <c r="Y49" i="7"/>
  <c r="AC49" i="7"/>
  <c r="AI5" i="7"/>
  <c r="AI53" i="7"/>
  <c r="AE19" i="7"/>
  <c r="AE60" i="7"/>
  <c r="AG43" i="7"/>
  <c r="AJ5" i="7"/>
  <c r="AF60" i="7"/>
  <c r="AH53" i="7"/>
  <c r="AF49" i="7"/>
  <c r="AI49" i="7"/>
  <c r="AD21" i="7"/>
  <c r="AG21" i="7"/>
  <c r="AE21" i="7"/>
  <c r="AF21" i="7"/>
  <c r="AJ21" i="7"/>
  <c r="T320" i="6"/>
  <c r="AH320" i="6" s="1"/>
  <c r="Y43" i="7"/>
  <c r="AF71" i="7"/>
  <c r="AI35" i="7"/>
  <c r="AB43" i="7"/>
  <c r="AJ71" i="7"/>
  <c r="AE35" i="7"/>
  <c r="AE43" i="7"/>
  <c r="AJ43" i="7"/>
  <c r="AH43" i="7"/>
  <c r="U71" i="7"/>
  <c r="AB35" i="7"/>
  <c r="AF35" i="7"/>
  <c r="AH35" i="7"/>
  <c r="AF15" i="7"/>
  <c r="AB19" i="7"/>
  <c r="AD60" i="7"/>
  <c r="Y60" i="7"/>
  <c r="AG15" i="7"/>
  <c r="AG35" i="7"/>
  <c r="AC35" i="7"/>
  <c r="AD35" i="7"/>
  <c r="AC43" i="7"/>
  <c r="Y19" i="7"/>
  <c r="U35" i="7"/>
  <c r="Y35" i="7"/>
  <c r="AG71" i="7"/>
  <c r="AB71" i="7"/>
  <c r="AH71" i="7"/>
  <c r="AD71" i="7"/>
  <c r="Y71" i="7"/>
  <c r="AE71" i="7"/>
  <c r="AI71" i="7"/>
  <c r="T334" i="6"/>
  <c r="Y334" i="6" s="1"/>
  <c r="T42" i="6"/>
  <c r="AH42" i="6" s="1"/>
  <c r="T85" i="6"/>
  <c r="AD85" i="6" s="1"/>
  <c r="T159" i="6"/>
  <c r="AC159" i="6" s="1"/>
  <c r="T209" i="6"/>
  <c r="Y209" i="6" s="1"/>
  <c r="T23" i="6"/>
  <c r="Y23" i="6" s="1"/>
  <c r="T73" i="6"/>
  <c r="Y73" i="6" s="1"/>
  <c r="T147" i="6"/>
  <c r="AH147" i="6" s="1"/>
  <c r="T14" i="6"/>
  <c r="AH14" i="6" s="1"/>
  <c r="T74" i="6"/>
  <c r="Y74" i="6" s="1"/>
  <c r="AH19" i="7"/>
  <c r="AG19" i="7"/>
  <c r="AD19" i="7"/>
  <c r="AI19" i="7"/>
  <c r="U19" i="7"/>
  <c r="AF19" i="7"/>
  <c r="T227" i="6"/>
  <c r="AH227" i="6" s="1"/>
  <c r="AC60" i="7"/>
  <c r="U60" i="7"/>
  <c r="AB60" i="7"/>
  <c r="AG60" i="7"/>
  <c r="AJ60" i="7"/>
  <c r="AH60" i="7"/>
  <c r="X330" i="6"/>
  <c r="S330" i="6"/>
  <c r="O330" i="6"/>
  <c r="X321" i="6"/>
  <c r="S321" i="6"/>
  <c r="O321" i="6"/>
  <c r="X314" i="6"/>
  <c r="S314" i="6"/>
  <c r="O314" i="6"/>
  <c r="X305" i="6"/>
  <c r="S305" i="6"/>
  <c r="O305" i="6"/>
  <c r="X293" i="6"/>
  <c r="S293" i="6"/>
  <c r="O293" i="6"/>
  <c r="X269" i="6"/>
  <c r="S269" i="6"/>
  <c r="O269" i="6"/>
  <c r="X268" i="6"/>
  <c r="S268" i="6"/>
  <c r="O268" i="6"/>
  <c r="X260" i="6"/>
  <c r="S260" i="6"/>
  <c r="O260" i="6"/>
  <c r="X259" i="6"/>
  <c r="S259" i="6"/>
  <c r="O259" i="6"/>
  <c r="X253" i="6"/>
  <c r="S253" i="6"/>
  <c r="O253" i="6"/>
  <c r="X252" i="6"/>
  <c r="S252" i="6"/>
  <c r="O252" i="6"/>
  <c r="X250" i="6"/>
  <c r="S250" i="6"/>
  <c r="O250" i="6"/>
  <c r="X245" i="6"/>
  <c r="S245" i="6"/>
  <c r="O245" i="6"/>
  <c r="X243" i="6"/>
  <c r="S243" i="6"/>
  <c r="O243" i="6"/>
  <c r="X232" i="6"/>
  <c r="S232" i="6"/>
  <c r="O232" i="6"/>
  <c r="X225" i="6"/>
  <c r="S225" i="6"/>
  <c r="O225" i="6"/>
  <c r="X219" i="6"/>
  <c r="S219" i="6"/>
  <c r="O219" i="6"/>
  <c r="X216" i="6"/>
  <c r="S216" i="6"/>
  <c r="O216" i="6"/>
  <c r="X211" i="6"/>
  <c r="S211" i="6"/>
  <c r="O211" i="6"/>
  <c r="X210" i="6"/>
  <c r="S210" i="6"/>
  <c r="O210" i="6"/>
  <c r="X206" i="6"/>
  <c r="S206" i="6"/>
  <c r="O206" i="6"/>
  <c r="X203" i="6"/>
  <c r="S203" i="6"/>
  <c r="O203" i="6"/>
  <c r="X187" i="6"/>
  <c r="S187" i="6"/>
  <c r="O187" i="6"/>
  <c r="X183" i="6"/>
  <c r="S183" i="6"/>
  <c r="O183" i="6"/>
  <c r="X181" i="6"/>
  <c r="S181" i="6"/>
  <c r="O181" i="6"/>
  <c r="X172" i="6"/>
  <c r="S172" i="6"/>
  <c r="O172" i="6"/>
  <c r="X154" i="6"/>
  <c r="S154" i="6"/>
  <c r="O154" i="6"/>
  <c r="X152" i="6"/>
  <c r="S152" i="6"/>
  <c r="O152" i="6"/>
  <c r="X133" i="6"/>
  <c r="S133" i="6"/>
  <c r="O133" i="6"/>
  <c r="X130" i="6"/>
  <c r="S130" i="6"/>
  <c r="O130" i="6"/>
  <c r="X129" i="6"/>
  <c r="S129" i="6"/>
  <c r="O129" i="6"/>
  <c r="X128" i="6"/>
  <c r="S128" i="6"/>
  <c r="O128" i="6"/>
  <c r="X114" i="6"/>
  <c r="S114" i="6"/>
  <c r="O114" i="6"/>
  <c r="X109" i="6"/>
  <c r="S109" i="6"/>
  <c r="O109" i="6"/>
  <c r="X100" i="6"/>
  <c r="S100" i="6"/>
  <c r="O100" i="6"/>
  <c r="X96" i="6"/>
  <c r="S96" i="6"/>
  <c r="O96" i="6"/>
  <c r="X77" i="6"/>
  <c r="S77" i="6"/>
  <c r="O77" i="6"/>
  <c r="AQ83" i="7" l="1"/>
  <c r="V83" i="7" s="1"/>
  <c r="W83" i="7"/>
  <c r="W42" i="7"/>
  <c r="W72" i="7"/>
  <c r="W10" i="7"/>
  <c r="AQ42" i="7"/>
  <c r="V42" i="7" s="1"/>
  <c r="W64" i="7"/>
  <c r="AH74" i="6"/>
  <c r="AI85" i="6"/>
  <c r="AQ72" i="7"/>
  <c r="V72" i="7" s="1"/>
  <c r="AQ64" i="7"/>
  <c r="V64" i="7" s="1"/>
  <c r="AQ10" i="7"/>
  <c r="V10" i="7" s="1"/>
  <c r="AG74" i="6"/>
  <c r="AF320" i="6"/>
  <c r="Y320" i="6"/>
  <c r="W30" i="7"/>
  <c r="AG320" i="6"/>
  <c r="AE320" i="6"/>
  <c r="U320" i="6"/>
  <c r="AJ320" i="6"/>
  <c r="AC320" i="6"/>
  <c r="AD320" i="6"/>
  <c r="AB320" i="6"/>
  <c r="AI320" i="6"/>
  <c r="Y42" i="6"/>
  <c r="W21" i="7"/>
  <c r="AQ15" i="7"/>
  <c r="V15" i="7" s="1"/>
  <c r="AQ30" i="7"/>
  <c r="V30" i="7" s="1"/>
  <c r="W15" i="7"/>
  <c r="AQ53" i="7"/>
  <c r="V53" i="7" s="1"/>
  <c r="AQ60" i="7"/>
  <c r="V60" i="7" s="1"/>
  <c r="AQ49" i="7"/>
  <c r="V49" i="7" s="1"/>
  <c r="AQ5" i="7"/>
  <c r="V5" i="7" s="1"/>
  <c r="W5" i="7"/>
  <c r="W53" i="7"/>
  <c r="W49" i="7"/>
  <c r="AQ43" i="7"/>
  <c r="V43" i="7" s="1"/>
  <c r="AQ21" i="7"/>
  <c r="V21" i="7" s="1"/>
  <c r="AJ227" i="6"/>
  <c r="AB227" i="6"/>
  <c r="U147" i="6"/>
  <c r="AG334" i="6"/>
  <c r="AG23" i="6"/>
  <c r="AI159" i="6"/>
  <c r="U334" i="6"/>
  <c r="U85" i="6"/>
  <c r="AC334" i="6"/>
  <c r="AB334" i="6"/>
  <c r="T100" i="6"/>
  <c r="Y100" i="6" s="1"/>
  <c r="U209" i="6"/>
  <c r="AF209" i="6"/>
  <c r="AF74" i="6"/>
  <c r="U42" i="6"/>
  <c r="AI227" i="6"/>
  <c r="AH209" i="6"/>
  <c r="AC85" i="6"/>
  <c r="U23" i="6"/>
  <c r="AF23" i="6"/>
  <c r="AI334" i="6"/>
  <c r="AE334" i="6"/>
  <c r="AD334" i="6"/>
  <c r="AF334" i="6"/>
  <c r="AB85" i="6"/>
  <c r="AH85" i="6"/>
  <c r="AG85" i="6"/>
  <c r="AI23" i="6"/>
  <c r="AH334" i="6"/>
  <c r="AJ334" i="6"/>
  <c r="AJ85" i="6"/>
  <c r="AH23" i="6"/>
  <c r="AC209" i="6"/>
  <c r="T96" i="6"/>
  <c r="AI96" i="6" s="1"/>
  <c r="AE85" i="6"/>
  <c r="AJ209" i="6"/>
  <c r="AF85" i="6"/>
  <c r="AJ42" i="6"/>
  <c r="AG209" i="6"/>
  <c r="AI209" i="6"/>
  <c r="Y85" i="6"/>
  <c r="T183" i="6"/>
  <c r="Y183" i="6" s="1"/>
  <c r="T243" i="6"/>
  <c r="Y243" i="6" s="1"/>
  <c r="T245" i="6"/>
  <c r="Y245" i="6" s="1"/>
  <c r="AE73" i="6"/>
  <c r="AE209" i="6"/>
  <c r="AH73" i="6"/>
  <c r="AD209" i="6"/>
  <c r="AD74" i="6"/>
  <c r="AB209" i="6"/>
  <c r="U74" i="6"/>
  <c r="AE74" i="6"/>
  <c r="AF42" i="6"/>
  <c r="AI42" i="6"/>
  <c r="W35" i="7"/>
  <c r="W43" i="7"/>
  <c r="AQ19" i="7"/>
  <c r="V19" i="7" s="1"/>
  <c r="W19" i="7"/>
  <c r="AQ35" i="7"/>
  <c r="V35" i="7" s="1"/>
  <c r="AQ71" i="7"/>
  <c r="V71" i="7" s="1"/>
  <c r="W71" i="7"/>
  <c r="T109" i="6"/>
  <c r="Y109" i="6" s="1"/>
  <c r="AD147" i="6"/>
  <c r="T114" i="6"/>
  <c r="Y114" i="6" s="1"/>
  <c r="T133" i="6"/>
  <c r="Y133" i="6" s="1"/>
  <c r="AB14" i="6"/>
  <c r="U159" i="6"/>
  <c r="AF159" i="6"/>
  <c r="AG147" i="6"/>
  <c r="AB42" i="6"/>
  <c r="AC42" i="6"/>
  <c r="AI147" i="6"/>
  <c r="AE159" i="6"/>
  <c r="T232" i="6"/>
  <c r="Y232" i="6" s="1"/>
  <c r="T314" i="6"/>
  <c r="Y314" i="6" s="1"/>
  <c r="AF73" i="6"/>
  <c r="AD42" i="6"/>
  <c r="AJ147" i="6"/>
  <c r="AG159" i="6"/>
  <c r="AE42" i="6"/>
  <c r="AG42" i="6"/>
  <c r="AH159" i="6"/>
  <c r="Y147" i="6"/>
  <c r="T152" i="6"/>
  <c r="Y152" i="6" s="1"/>
  <c r="T154" i="6"/>
  <c r="Y154" i="6" s="1"/>
  <c r="T206" i="6"/>
  <c r="Y206" i="6" s="1"/>
  <c r="T210" i="6"/>
  <c r="Y210" i="6" s="1"/>
  <c r="T225" i="6"/>
  <c r="Y225" i="6" s="1"/>
  <c r="T252" i="6"/>
  <c r="Y252" i="6" s="1"/>
  <c r="T293" i="6"/>
  <c r="Y293" i="6" s="1"/>
  <c r="T305" i="6"/>
  <c r="AH305" i="6" s="1"/>
  <c r="T321" i="6"/>
  <c r="Y321" i="6" s="1"/>
  <c r="T330" i="6"/>
  <c r="Y330" i="6" s="1"/>
  <c r="AB23" i="6"/>
  <c r="AD227" i="6"/>
  <c r="AD159" i="6"/>
  <c r="AD23" i="6"/>
  <c r="AB159" i="6"/>
  <c r="U227" i="6"/>
  <c r="AF147" i="6"/>
  <c r="AC23" i="6"/>
  <c r="Y159" i="6"/>
  <c r="Y227" i="6"/>
  <c r="AC147" i="6"/>
  <c r="T187" i="6"/>
  <c r="Y187" i="6" s="1"/>
  <c r="T203" i="6"/>
  <c r="Y203" i="6" s="1"/>
  <c r="T211" i="6"/>
  <c r="Y211" i="6" s="1"/>
  <c r="T216" i="6"/>
  <c r="Y216" i="6" s="1"/>
  <c r="AE23" i="6"/>
  <c r="AJ23" i="6"/>
  <c r="AE147" i="6"/>
  <c r="AE227" i="6"/>
  <c r="AB147" i="6"/>
  <c r="AG227" i="6"/>
  <c r="AJ159" i="6"/>
  <c r="AF227" i="6"/>
  <c r="AC227" i="6"/>
  <c r="AI73" i="6"/>
  <c r="AD73" i="6"/>
  <c r="AB73" i="6"/>
  <c r="AB74" i="6"/>
  <c r="AJ74" i="6"/>
  <c r="AI74" i="6"/>
  <c r="AC14" i="6"/>
  <c r="U73" i="6"/>
  <c r="AJ73" i="6"/>
  <c r="AG73" i="6"/>
  <c r="AC73" i="6"/>
  <c r="AE14" i="6"/>
  <c r="Y14" i="6"/>
  <c r="AG14" i="6"/>
  <c r="AF14" i="6"/>
  <c r="AJ14" i="6"/>
  <c r="AC74" i="6"/>
  <c r="AI14" i="6"/>
  <c r="U14" i="6"/>
  <c r="AD14" i="6"/>
  <c r="W60" i="7"/>
  <c r="T172" i="6"/>
  <c r="Y172" i="6" s="1"/>
  <c r="T253" i="6"/>
  <c r="Y253" i="6" s="1"/>
  <c r="T259" i="6"/>
  <c r="Y259" i="6" s="1"/>
  <c r="T269" i="6"/>
  <c r="Y269" i="6" s="1"/>
  <c r="T128" i="6"/>
  <c r="U128" i="6" s="1"/>
  <c r="T129" i="6"/>
  <c r="Y129" i="6" s="1"/>
  <c r="T260" i="6"/>
  <c r="Y260" i="6" s="1"/>
  <c r="T268" i="6"/>
  <c r="Y268" i="6" s="1"/>
  <c r="T77" i="6"/>
  <c r="Y77" i="6" s="1"/>
  <c r="T130" i="6"/>
  <c r="Y130" i="6" s="1"/>
  <c r="T181" i="6"/>
  <c r="AG181" i="6" s="1"/>
  <c r="T219" i="6"/>
  <c r="Y219" i="6" s="1"/>
  <c r="T250" i="6"/>
  <c r="Y250" i="6" s="1"/>
  <c r="X78" i="6"/>
  <c r="S78" i="6"/>
  <c r="O78" i="6"/>
  <c r="X309" i="6"/>
  <c r="S309" i="6"/>
  <c r="O309" i="6"/>
  <c r="X279" i="6"/>
  <c r="S279" i="6"/>
  <c r="O279" i="6"/>
  <c r="X303" i="6"/>
  <c r="S303" i="6"/>
  <c r="O303" i="6"/>
  <c r="X272" i="6"/>
  <c r="S272" i="6"/>
  <c r="O272" i="6"/>
  <c r="X286" i="6"/>
  <c r="S286" i="6"/>
  <c r="O286" i="6"/>
  <c r="X246" i="6"/>
  <c r="S246" i="6"/>
  <c r="O246" i="6"/>
  <c r="X115" i="6"/>
  <c r="S115" i="6"/>
  <c r="O115" i="6"/>
  <c r="X47" i="6"/>
  <c r="S47" i="6"/>
  <c r="O47" i="6"/>
  <c r="X59" i="6"/>
  <c r="S59" i="6"/>
  <c r="O59" i="6"/>
  <c r="X7" i="6"/>
  <c r="S7" i="6"/>
  <c r="O7" i="6"/>
  <c r="X167" i="6"/>
  <c r="S167" i="6"/>
  <c r="O167" i="6"/>
  <c r="X97" i="6"/>
  <c r="S97" i="6"/>
  <c r="O97" i="6"/>
  <c r="X291" i="6"/>
  <c r="S291" i="6"/>
  <c r="O291" i="6"/>
  <c r="X118" i="6"/>
  <c r="S118" i="6"/>
  <c r="O118" i="6"/>
  <c r="X65" i="6"/>
  <c r="S65" i="6"/>
  <c r="O65" i="6"/>
  <c r="X79" i="6"/>
  <c r="S79" i="6"/>
  <c r="O79" i="6"/>
  <c r="X49" i="6"/>
  <c r="S49" i="6"/>
  <c r="O49" i="6"/>
  <c r="X123" i="6"/>
  <c r="S123" i="6"/>
  <c r="O123" i="6"/>
  <c r="X326" i="6"/>
  <c r="S326" i="6"/>
  <c r="O326" i="6"/>
  <c r="X251" i="6"/>
  <c r="S251" i="6"/>
  <c r="O251" i="6"/>
  <c r="X75" i="6"/>
  <c r="S75" i="6"/>
  <c r="O75" i="6"/>
  <c r="X270" i="6"/>
  <c r="S270" i="6"/>
  <c r="O270" i="6"/>
  <c r="X151" i="6"/>
  <c r="S151" i="6"/>
  <c r="O151" i="6"/>
  <c r="X190" i="6"/>
  <c r="S190" i="6"/>
  <c r="O190" i="6"/>
  <c r="X111" i="6"/>
  <c r="S111" i="6"/>
  <c r="O111" i="6"/>
  <c r="X301" i="6"/>
  <c r="S301" i="6"/>
  <c r="O301" i="6"/>
  <c r="X132" i="6"/>
  <c r="S132" i="6"/>
  <c r="O132" i="6"/>
  <c r="X220" i="6"/>
  <c r="S220" i="6"/>
  <c r="O220" i="6"/>
  <c r="X136" i="6"/>
  <c r="S136" i="6"/>
  <c r="O136" i="6"/>
  <c r="X294" i="6"/>
  <c r="S294" i="6"/>
  <c r="O294" i="6"/>
  <c r="X138" i="6"/>
  <c r="S138" i="6"/>
  <c r="O138" i="6"/>
  <c r="X15" i="6"/>
  <c r="S15" i="6"/>
  <c r="O15" i="6"/>
  <c r="X27" i="6"/>
  <c r="S27" i="6"/>
  <c r="O27" i="6"/>
  <c r="X318" i="6"/>
  <c r="S318" i="6"/>
  <c r="O318" i="6"/>
  <c r="X8" i="6"/>
  <c r="S8" i="6"/>
  <c r="O8" i="6"/>
  <c r="X116" i="6"/>
  <c r="S116" i="6"/>
  <c r="O116" i="6"/>
  <c r="X333" i="6"/>
  <c r="S333" i="6"/>
  <c r="O333" i="6"/>
  <c r="X61" i="6"/>
  <c r="S61" i="6"/>
  <c r="O61" i="6"/>
  <c r="X56" i="6"/>
  <c r="S56" i="6"/>
  <c r="O56" i="6"/>
  <c r="X54" i="6"/>
  <c r="S54" i="6"/>
  <c r="O54" i="6"/>
  <c r="X119" i="6"/>
  <c r="S119" i="6"/>
  <c r="O119" i="6"/>
  <c r="X50" i="6"/>
  <c r="S50" i="6"/>
  <c r="O50" i="6"/>
  <c r="X39" i="6"/>
  <c r="S39" i="6"/>
  <c r="O39" i="6"/>
  <c r="X21" i="6"/>
  <c r="S21" i="6"/>
  <c r="O21" i="6"/>
  <c r="X13" i="6"/>
  <c r="S13" i="6"/>
  <c r="O13" i="6"/>
  <c r="X12" i="6"/>
  <c r="S12" i="6"/>
  <c r="O12" i="6"/>
  <c r="X11" i="6"/>
  <c r="S11" i="6"/>
  <c r="O11" i="6"/>
  <c r="X57" i="7"/>
  <c r="S57" i="7"/>
  <c r="O57" i="7"/>
  <c r="X6" i="7"/>
  <c r="S6" i="7"/>
  <c r="O6" i="7"/>
  <c r="X96" i="7"/>
  <c r="S96" i="7"/>
  <c r="O96" i="7"/>
  <c r="X88" i="7"/>
  <c r="S88" i="7"/>
  <c r="O88" i="7"/>
  <c r="X86" i="7"/>
  <c r="S86" i="7"/>
  <c r="O86" i="7"/>
  <c r="X54" i="7"/>
  <c r="S54" i="7"/>
  <c r="O54" i="7"/>
  <c r="X41" i="7"/>
  <c r="S41" i="7"/>
  <c r="O41" i="7"/>
  <c r="X84" i="7"/>
  <c r="S84" i="7"/>
  <c r="O84" i="7"/>
  <c r="X66" i="7"/>
  <c r="S66" i="7"/>
  <c r="O66" i="7"/>
  <c r="X20" i="7"/>
  <c r="S20" i="7"/>
  <c r="O20" i="7"/>
  <c r="X40" i="7"/>
  <c r="S40" i="7"/>
  <c r="O40" i="7"/>
  <c r="X18" i="7"/>
  <c r="S18" i="7"/>
  <c r="O18" i="7"/>
  <c r="X89" i="7"/>
  <c r="S89" i="7"/>
  <c r="O89" i="7"/>
  <c r="X56" i="7"/>
  <c r="S56" i="7"/>
  <c r="O56" i="7"/>
  <c r="X29" i="7"/>
  <c r="S29" i="7"/>
  <c r="O29" i="7"/>
  <c r="X9" i="7"/>
  <c r="S9" i="7"/>
  <c r="O9" i="7"/>
  <c r="X97" i="7"/>
  <c r="S97" i="7"/>
  <c r="O97" i="7"/>
  <c r="X39" i="7"/>
  <c r="S39" i="7"/>
  <c r="O39" i="7"/>
  <c r="X36" i="7"/>
  <c r="S36" i="7"/>
  <c r="O36" i="7"/>
  <c r="X26" i="9"/>
  <c r="S26" i="9"/>
  <c r="O26" i="9"/>
  <c r="X44" i="9"/>
  <c r="S44" i="9"/>
  <c r="O44" i="9"/>
  <c r="X27" i="9"/>
  <c r="S27" i="9"/>
  <c r="O27" i="9"/>
  <c r="X15" i="9"/>
  <c r="S15" i="9"/>
  <c r="O15" i="9"/>
  <c r="X5" i="9"/>
  <c r="S5" i="9"/>
  <c r="O5" i="9"/>
  <c r="X57" i="9"/>
  <c r="S57" i="9"/>
  <c r="O57" i="9"/>
  <c r="X45" i="9"/>
  <c r="S45" i="9"/>
  <c r="O45" i="9"/>
  <c r="X64" i="9"/>
  <c r="S64" i="9"/>
  <c r="O64" i="9"/>
  <c r="X36" i="9"/>
  <c r="S36" i="9"/>
  <c r="O36" i="9"/>
  <c r="X62" i="9"/>
  <c r="S62" i="9"/>
  <c r="O62" i="9"/>
  <c r="X18" i="9"/>
  <c r="S18" i="9"/>
  <c r="O18" i="9"/>
  <c r="X8" i="9"/>
  <c r="S8" i="9"/>
  <c r="O8" i="9"/>
  <c r="X58" i="9"/>
  <c r="S58" i="9"/>
  <c r="T58" i="9" s="1"/>
  <c r="Y58" i="9" s="1"/>
  <c r="X54" i="9"/>
  <c r="S54" i="9"/>
  <c r="T54" i="9" s="1"/>
  <c r="Y54" i="9" s="1"/>
  <c r="X53" i="9"/>
  <c r="S53" i="9"/>
  <c r="T53" i="9" s="1"/>
  <c r="Y53" i="9" s="1"/>
  <c r="X52" i="9"/>
  <c r="S52" i="9"/>
  <c r="T52" i="9" s="1"/>
  <c r="Y52" i="9" s="1"/>
  <c r="X47" i="9"/>
  <c r="S47" i="9"/>
  <c r="T47" i="9" s="1"/>
  <c r="Y47" i="9" s="1"/>
  <c r="X21" i="9"/>
  <c r="S21" i="9"/>
  <c r="T21" i="9" s="1"/>
  <c r="Y21" i="9" s="1"/>
  <c r="X37" i="9"/>
  <c r="S37" i="9"/>
  <c r="O37" i="9"/>
  <c r="AF259" i="6" l="1"/>
  <c r="AD128" i="6"/>
  <c r="U252" i="6"/>
  <c r="T44" i="9"/>
  <c r="Y44" i="9" s="1"/>
  <c r="T37" i="9"/>
  <c r="Y37" i="9" s="1"/>
  <c r="T26" i="9"/>
  <c r="Y26" i="9" s="1"/>
  <c r="T45" i="9"/>
  <c r="Y45" i="9" s="1"/>
  <c r="T8" i="9"/>
  <c r="Y8" i="9" s="1"/>
  <c r="T57" i="9"/>
  <c r="Y57" i="9" s="1"/>
  <c r="AI330" i="6"/>
  <c r="AI245" i="6"/>
  <c r="T5" i="9"/>
  <c r="AJ5" i="9" s="1"/>
  <c r="T15" i="9"/>
  <c r="Y15" i="9" s="1"/>
  <c r="T27" i="9"/>
  <c r="Y27" i="9" s="1"/>
  <c r="W320" i="6"/>
  <c r="AB219" i="6"/>
  <c r="AI133" i="6"/>
  <c r="AH172" i="6"/>
  <c r="AI154" i="6"/>
  <c r="AQ320" i="6"/>
  <c r="V320" i="6" s="1"/>
  <c r="AD210" i="6"/>
  <c r="AH130" i="6"/>
  <c r="AD172" i="6"/>
  <c r="AC211" i="6"/>
  <c r="AI206" i="6"/>
  <c r="AD203" i="6"/>
  <c r="T18" i="9"/>
  <c r="Y18" i="9" s="1"/>
  <c r="T36" i="9"/>
  <c r="Y36" i="9" s="1"/>
  <c r="T62" i="9"/>
  <c r="Y62" i="9" s="1"/>
  <c r="T64" i="9"/>
  <c r="Y64" i="9" s="1"/>
  <c r="AB232" i="6"/>
  <c r="AG243" i="6"/>
  <c r="U172" i="6"/>
  <c r="AF203" i="6"/>
  <c r="AE260" i="6"/>
  <c r="AE100" i="6"/>
  <c r="AF305" i="6"/>
  <c r="AQ159" i="6"/>
  <c r="V159" i="6" s="1"/>
  <c r="AF183" i="6"/>
  <c r="AJ100" i="6"/>
  <c r="U109" i="6"/>
  <c r="AI314" i="6"/>
  <c r="AG203" i="6"/>
  <c r="T21" i="6"/>
  <c r="Y21" i="6" s="1"/>
  <c r="T116" i="6"/>
  <c r="Y116" i="6" s="1"/>
  <c r="T15" i="6"/>
  <c r="U15" i="6" s="1"/>
  <c r="T220" i="6"/>
  <c r="U220" i="6" s="1"/>
  <c r="AE305" i="6"/>
  <c r="AE243" i="6"/>
  <c r="U187" i="6"/>
  <c r="AD330" i="6"/>
  <c r="AB100" i="6"/>
  <c r="AH100" i="6"/>
  <c r="AI211" i="6"/>
  <c r="AD154" i="6"/>
  <c r="AD211" i="6"/>
  <c r="AB243" i="6"/>
  <c r="AC210" i="6"/>
  <c r="AC133" i="6"/>
  <c r="AD314" i="6"/>
  <c r="AG100" i="6"/>
  <c r="AJ211" i="6"/>
  <c r="AE293" i="6"/>
  <c r="AB172" i="6"/>
  <c r="AB130" i="6"/>
  <c r="AI172" i="6"/>
  <c r="AF130" i="6"/>
  <c r="AG321" i="6"/>
  <c r="AG128" i="6"/>
  <c r="AJ128" i="6"/>
  <c r="AH128" i="6"/>
  <c r="AJ225" i="6"/>
  <c r="AC232" i="6"/>
  <c r="U219" i="6"/>
  <c r="AE128" i="6"/>
  <c r="AH260" i="6"/>
  <c r="AH183" i="6"/>
  <c r="AH219" i="6"/>
  <c r="AG183" i="6"/>
  <c r="AJ172" i="6"/>
  <c r="AQ85" i="6"/>
  <c r="V85" i="6" s="1"/>
  <c r="AJ330" i="6"/>
  <c r="AI305" i="6"/>
  <c r="AJ243" i="6"/>
  <c r="U243" i="6"/>
  <c r="AH243" i="6"/>
  <c r="AI210" i="6"/>
  <c r="AD133" i="6"/>
  <c r="AC100" i="6"/>
  <c r="AJ314" i="6"/>
  <c r="AC187" i="6"/>
  <c r="AF100" i="6"/>
  <c r="AJ154" i="6"/>
  <c r="AD100" i="6"/>
  <c r="AI100" i="6"/>
  <c r="AC314" i="6"/>
  <c r="AH252" i="6"/>
  <c r="AD219" i="6"/>
  <c r="AF210" i="6"/>
  <c r="W334" i="6"/>
  <c r="AJ305" i="6"/>
  <c r="AG252" i="6"/>
  <c r="AC243" i="6"/>
  <c r="AI243" i="6"/>
  <c r="AB210" i="6"/>
  <c r="AF243" i="6"/>
  <c r="AG211" i="6"/>
  <c r="U100" i="6"/>
  <c r="AF314" i="6"/>
  <c r="AH210" i="6"/>
  <c r="AJ210" i="6"/>
  <c r="AD243" i="6"/>
  <c r="T326" i="6"/>
  <c r="Y326" i="6" s="1"/>
  <c r="T59" i="6"/>
  <c r="Y59" i="6" s="1"/>
  <c r="T309" i="6"/>
  <c r="Y309" i="6" s="1"/>
  <c r="AB330" i="6"/>
  <c r="AC330" i="6"/>
  <c r="AG187" i="6"/>
  <c r="AF133" i="6"/>
  <c r="AF154" i="6"/>
  <c r="AB133" i="6"/>
  <c r="AE77" i="6"/>
  <c r="AG154" i="6"/>
  <c r="AF330" i="6"/>
  <c r="T75" i="6"/>
  <c r="Y75" i="6" s="1"/>
  <c r="AE330" i="6"/>
  <c r="AB252" i="6"/>
  <c r="AC252" i="6"/>
  <c r="AE269" i="6"/>
  <c r="AJ219" i="6"/>
  <c r="AB187" i="6"/>
  <c r="AJ133" i="6"/>
  <c r="AI128" i="6"/>
  <c r="AD245" i="6"/>
  <c r="AF187" i="6"/>
  <c r="AH133" i="6"/>
  <c r="AE133" i="6"/>
  <c r="AE187" i="6"/>
  <c r="AE154" i="6"/>
  <c r="AC128" i="6"/>
  <c r="AD252" i="6"/>
  <c r="AI187" i="6"/>
  <c r="AG133" i="6"/>
  <c r="AJ245" i="6"/>
  <c r="AF252" i="6"/>
  <c r="AF219" i="6"/>
  <c r="Y128" i="6"/>
  <c r="AQ227" i="6"/>
  <c r="V227" i="6" s="1"/>
  <c r="W23" i="6"/>
  <c r="AQ334" i="6"/>
  <c r="V334" i="6" s="1"/>
  <c r="W85" i="6"/>
  <c r="T49" i="6"/>
  <c r="Y49" i="6" s="1"/>
  <c r="T291" i="6"/>
  <c r="Y291" i="6" s="1"/>
  <c r="T286" i="6"/>
  <c r="Y286" i="6" s="1"/>
  <c r="AE252" i="6"/>
  <c r="AH154" i="6"/>
  <c r="AH330" i="6"/>
  <c r="AJ187" i="6"/>
  <c r="U330" i="6"/>
  <c r="AG330" i="6"/>
  <c r="AJ252" i="6"/>
  <c r="AI252" i="6"/>
  <c r="AB269" i="6"/>
  <c r="AE219" i="6"/>
  <c r="AH269" i="6"/>
  <c r="AH187" i="6"/>
  <c r="AC154" i="6"/>
  <c r="AB154" i="6"/>
  <c r="AB128" i="6"/>
  <c r="U133" i="6"/>
  <c r="U154" i="6"/>
  <c r="AF128" i="6"/>
  <c r="AD187" i="6"/>
  <c r="W42" i="6"/>
  <c r="AG269" i="6"/>
  <c r="AH293" i="6"/>
  <c r="AH245" i="6"/>
  <c r="AE183" i="6"/>
  <c r="AH109" i="6"/>
  <c r="AF269" i="6"/>
  <c r="AG245" i="6"/>
  <c r="AD206" i="6"/>
  <c r="AD129" i="6"/>
  <c r="AI109" i="6"/>
  <c r="AG96" i="6"/>
  <c r="AD269" i="6"/>
  <c r="AD253" i="6"/>
  <c r="AQ42" i="6"/>
  <c r="V42" i="6" s="1"/>
  <c r="W209" i="6"/>
  <c r="AE232" i="6"/>
  <c r="AG253" i="6"/>
  <c r="AC206" i="6"/>
  <c r="U96" i="6"/>
  <c r="U245" i="6"/>
  <c r="AD232" i="6"/>
  <c r="AD114" i="6"/>
  <c r="AD96" i="6"/>
  <c r="AI152" i="6"/>
  <c r="AJ152" i="6"/>
  <c r="AQ209" i="6"/>
  <c r="V209" i="6" s="1"/>
  <c r="W147" i="6"/>
  <c r="AB268" i="6"/>
  <c r="AJ232" i="6"/>
  <c r="AI232" i="6"/>
  <c r="AC269" i="6"/>
  <c r="AI269" i="6"/>
  <c r="U206" i="6"/>
  <c r="AG293" i="6"/>
  <c r="AH250" i="6"/>
  <c r="U216" i="6"/>
  <c r="AI183" i="6"/>
  <c r="AE96" i="6"/>
  <c r="AB245" i="6"/>
  <c r="AE245" i="6"/>
  <c r="AE225" i="6"/>
  <c r="AB77" i="6"/>
  <c r="AF109" i="6"/>
  <c r="AC96" i="6"/>
  <c r="AB96" i="6"/>
  <c r="AF232" i="6"/>
  <c r="AJ183" i="6"/>
  <c r="AJ96" i="6"/>
  <c r="AB183" i="6"/>
  <c r="Y96" i="6"/>
  <c r="AQ73" i="6"/>
  <c r="V73" i="6" s="1"/>
  <c r="W227" i="6"/>
  <c r="AD250" i="6"/>
  <c r="T8" i="6"/>
  <c r="Y8" i="6" s="1"/>
  <c r="T318" i="6"/>
  <c r="Y318" i="6" s="1"/>
  <c r="U232" i="6"/>
  <c r="AG232" i="6"/>
  <c r="AJ269" i="6"/>
  <c r="U269" i="6"/>
  <c r="AI253" i="6"/>
  <c r="AJ206" i="6"/>
  <c r="AB293" i="6"/>
  <c r="U183" i="6"/>
  <c r="AF129" i="6"/>
  <c r="AC109" i="6"/>
  <c r="AF245" i="6"/>
  <c r="AC245" i="6"/>
  <c r="AH232" i="6"/>
  <c r="AC203" i="6"/>
  <c r="AD183" i="6"/>
  <c r="AB109" i="6"/>
  <c r="AH96" i="6"/>
  <c r="AE203" i="6"/>
  <c r="AD109" i="6"/>
  <c r="AC183" i="6"/>
  <c r="AE109" i="6"/>
  <c r="AJ109" i="6"/>
  <c r="AF96" i="6"/>
  <c r="AG109" i="6"/>
  <c r="T9" i="7"/>
  <c r="Y9" i="7" s="1"/>
  <c r="T18" i="7"/>
  <c r="Y18" i="7" s="1"/>
  <c r="T54" i="7"/>
  <c r="Y54" i="7" s="1"/>
  <c r="T96" i="7"/>
  <c r="Y96" i="7" s="1"/>
  <c r="T65" i="6"/>
  <c r="Y65" i="6" s="1"/>
  <c r="T115" i="6"/>
  <c r="Y115" i="6" s="1"/>
  <c r="AC152" i="6"/>
  <c r="AC225" i="6"/>
  <c r="AE152" i="6"/>
  <c r="AE321" i="6"/>
  <c r="AH114" i="6"/>
  <c r="T111" i="6"/>
  <c r="Y111" i="6" s="1"/>
  <c r="T251" i="6"/>
  <c r="Y251" i="6" s="1"/>
  <c r="T78" i="6"/>
  <c r="Y78" i="6" s="1"/>
  <c r="U305" i="6"/>
  <c r="AG305" i="6"/>
  <c r="AC253" i="6"/>
  <c r="AB216" i="6"/>
  <c r="AH211" i="6"/>
  <c r="AE210" i="6"/>
  <c r="AD181" i="6"/>
  <c r="AD225" i="6"/>
  <c r="AI114" i="6"/>
  <c r="AH321" i="6"/>
  <c r="AF211" i="6"/>
  <c r="AE211" i="6"/>
  <c r="AB314" i="6"/>
  <c r="AE314" i="6"/>
  <c r="AD305" i="6"/>
  <c r="AQ74" i="6"/>
  <c r="V74" i="6" s="1"/>
  <c r="AQ147" i="6"/>
  <c r="V147" i="6" s="1"/>
  <c r="T11" i="6"/>
  <c r="Y11" i="6" s="1"/>
  <c r="T167" i="6"/>
  <c r="Y167" i="6" s="1"/>
  <c r="T303" i="6"/>
  <c r="Y303" i="6" s="1"/>
  <c r="AE268" i="6"/>
  <c r="AI216" i="6"/>
  <c r="AJ114" i="6"/>
  <c r="AC114" i="6"/>
  <c r="AB114" i="6"/>
  <c r="AF268" i="6"/>
  <c r="T132" i="6"/>
  <c r="Y132" i="6" s="1"/>
  <c r="AB305" i="6"/>
  <c r="AC305" i="6"/>
  <c r="AC268" i="6"/>
  <c r="AG216" i="6"/>
  <c r="U210" i="6"/>
  <c r="AG210" i="6"/>
  <c r="AE114" i="6"/>
  <c r="AH268" i="6"/>
  <c r="AG114" i="6"/>
  <c r="AB321" i="6"/>
  <c r="AH314" i="6"/>
  <c r="AB211" i="6"/>
  <c r="U211" i="6"/>
  <c r="U114" i="6"/>
  <c r="U314" i="6"/>
  <c r="AG314" i="6"/>
  <c r="AF114" i="6"/>
  <c r="AB152" i="6"/>
  <c r="AH152" i="6"/>
  <c r="Y305" i="6"/>
  <c r="W159" i="6"/>
  <c r="AQ23" i="6"/>
  <c r="V23" i="6" s="1"/>
  <c r="T39" i="6"/>
  <c r="Y39" i="6" s="1"/>
  <c r="T56" i="6"/>
  <c r="Y56" i="6" s="1"/>
  <c r="T138" i="6"/>
  <c r="Y138" i="6" s="1"/>
  <c r="T294" i="6"/>
  <c r="Y294" i="6" s="1"/>
  <c r="T190" i="6"/>
  <c r="Y190" i="6" s="1"/>
  <c r="T151" i="6"/>
  <c r="Y151" i="6" s="1"/>
  <c r="U268" i="6"/>
  <c r="AG268" i="6"/>
  <c r="AB206" i="6"/>
  <c r="AE206" i="6"/>
  <c r="AF293" i="6"/>
  <c r="U293" i="6"/>
  <c r="AH216" i="6"/>
  <c r="AC216" i="6"/>
  <c r="AG172" i="6"/>
  <c r="AG152" i="6"/>
  <c r="AB225" i="6"/>
  <c r="AI225" i="6"/>
  <c r="AH203" i="6"/>
  <c r="AE172" i="6"/>
  <c r="AH206" i="6"/>
  <c r="AI203" i="6"/>
  <c r="AC321" i="6"/>
  <c r="AI321" i="6"/>
  <c r="AB203" i="6"/>
  <c r="AF181" i="6"/>
  <c r="AC129" i="6"/>
  <c r="AC259" i="6"/>
  <c r="AC172" i="6"/>
  <c r="AF216" i="6"/>
  <c r="U152" i="6"/>
  <c r="AJ216" i="6"/>
  <c r="AD293" i="6"/>
  <c r="W73" i="6"/>
  <c r="AJ268" i="6"/>
  <c r="AI268" i="6"/>
  <c r="AG206" i="6"/>
  <c r="AJ321" i="6"/>
  <c r="AC293" i="6"/>
  <c r="AI293" i="6"/>
  <c r="AE250" i="6"/>
  <c r="AF225" i="6"/>
  <c r="AE216" i="6"/>
  <c r="AJ203" i="6"/>
  <c r="AF152" i="6"/>
  <c r="U129" i="6"/>
  <c r="AD268" i="6"/>
  <c r="U225" i="6"/>
  <c r="AG225" i="6"/>
  <c r="AF172" i="6"/>
  <c r="U203" i="6"/>
  <c r="AF321" i="6"/>
  <c r="U321" i="6"/>
  <c r="AD152" i="6"/>
  <c r="AE181" i="6"/>
  <c r="AJ293" i="6"/>
  <c r="AH225" i="6"/>
  <c r="AD216" i="6"/>
  <c r="AF206" i="6"/>
  <c r="AB129" i="6"/>
  <c r="AD321" i="6"/>
  <c r="AJ129" i="6"/>
  <c r="AQ14" i="6"/>
  <c r="V14" i="6" s="1"/>
  <c r="W74" i="6"/>
  <c r="W14" i="6"/>
  <c r="T39" i="7"/>
  <c r="Y39" i="7" s="1"/>
  <c r="T56" i="7"/>
  <c r="Y56" i="7" s="1"/>
  <c r="T66" i="7"/>
  <c r="Y66" i="7" s="1"/>
  <c r="T57" i="7"/>
  <c r="Y57" i="7" s="1"/>
  <c r="T84" i="7"/>
  <c r="Y84" i="7" s="1"/>
  <c r="T86" i="7"/>
  <c r="Y86" i="7" s="1"/>
  <c r="T41" i="7"/>
  <c r="Y41" i="7" s="1"/>
  <c r="T88" i="7"/>
  <c r="Y88" i="7" s="1"/>
  <c r="T6" i="7"/>
  <c r="Y6" i="7" s="1"/>
  <c r="T20" i="7"/>
  <c r="Y20" i="7" s="1"/>
  <c r="T123" i="6"/>
  <c r="Y123" i="6" s="1"/>
  <c r="T118" i="6"/>
  <c r="AB118" i="6" s="1"/>
  <c r="T7" i="6"/>
  <c r="Y7" i="6" s="1"/>
  <c r="T246" i="6"/>
  <c r="Y246" i="6" s="1"/>
  <c r="T279" i="6"/>
  <c r="Y279" i="6" s="1"/>
  <c r="T79" i="6"/>
  <c r="Y79" i="6" s="1"/>
  <c r="T97" i="6"/>
  <c r="Y97" i="6" s="1"/>
  <c r="T47" i="6"/>
  <c r="Y47" i="6" s="1"/>
  <c r="T272" i="6"/>
  <c r="Y272" i="6" s="1"/>
  <c r="U118" i="6"/>
  <c r="T97" i="7"/>
  <c r="Y97" i="7" s="1"/>
  <c r="T89" i="7"/>
  <c r="AG89" i="7" s="1"/>
  <c r="T36" i="7"/>
  <c r="U36" i="7" s="1"/>
  <c r="T29" i="7"/>
  <c r="Y29" i="7" s="1"/>
  <c r="T40" i="7"/>
  <c r="U40" i="7" s="1"/>
  <c r="T136" i="6"/>
  <c r="Y136" i="6" s="1"/>
  <c r="T301" i="6"/>
  <c r="Y301" i="6" s="1"/>
  <c r="T27" i="6"/>
  <c r="Y27" i="6" s="1"/>
  <c r="T270" i="6"/>
  <c r="Y270" i="6" s="1"/>
  <c r="AH21" i="9"/>
  <c r="AH52" i="9"/>
  <c r="AH58" i="9"/>
  <c r="AJ21" i="9"/>
  <c r="AJ52" i="9"/>
  <c r="AC57" i="9"/>
  <c r="AI54" i="9"/>
  <c r="U21" i="9"/>
  <c r="AB21" i="9"/>
  <c r="AC47" i="9"/>
  <c r="AD47" i="9"/>
  <c r="U52" i="9"/>
  <c r="AB52" i="9"/>
  <c r="AC53" i="9"/>
  <c r="AD53" i="9"/>
  <c r="U54" i="9"/>
  <c r="AB54" i="9"/>
  <c r="U58" i="9"/>
  <c r="AB58" i="9"/>
  <c r="AJ260" i="6"/>
  <c r="AC250" i="6"/>
  <c r="AI250" i="6"/>
  <c r="AC77" i="6"/>
  <c r="AC260" i="6"/>
  <c r="AI260" i="6"/>
  <c r="U77" i="6"/>
  <c r="U259" i="6"/>
  <c r="AG259" i="6"/>
  <c r="T119" i="6"/>
  <c r="Y119" i="6" s="1"/>
  <c r="T54" i="6"/>
  <c r="AJ54" i="6" s="1"/>
  <c r="T333" i="6"/>
  <c r="Y333" i="6" s="1"/>
  <c r="AB253" i="6"/>
  <c r="AE253" i="6"/>
  <c r="AG219" i="6"/>
  <c r="AF250" i="6"/>
  <c r="U250" i="6"/>
  <c r="AI129" i="6"/>
  <c r="AF77" i="6"/>
  <c r="AD77" i="6"/>
  <c r="AF260" i="6"/>
  <c r="U260" i="6"/>
  <c r="AH253" i="6"/>
  <c r="AH129" i="6"/>
  <c r="AI77" i="6"/>
  <c r="AD259" i="6"/>
  <c r="AI259" i="6"/>
  <c r="AG129" i="6"/>
  <c r="Y181" i="6"/>
  <c r="T50" i="6"/>
  <c r="Y50" i="6" s="1"/>
  <c r="T61" i="6"/>
  <c r="Y61" i="6" s="1"/>
  <c r="AG77" i="6"/>
  <c r="AD260" i="6"/>
  <c r="T13" i="6"/>
  <c r="Y13" i="6" s="1"/>
  <c r="AJ253" i="6"/>
  <c r="U253" i="6"/>
  <c r="AC219" i="6"/>
  <c r="AI219" i="6"/>
  <c r="AB250" i="6"/>
  <c r="AG250" i="6"/>
  <c r="AE129" i="6"/>
  <c r="AJ259" i="6"/>
  <c r="AJ77" i="6"/>
  <c r="AH77" i="6"/>
  <c r="AB260" i="6"/>
  <c r="AG260" i="6"/>
  <c r="AH259" i="6"/>
  <c r="AB259" i="6"/>
  <c r="AE259" i="6"/>
  <c r="AF253" i="6"/>
  <c r="T12" i="6"/>
  <c r="Y12" i="6" s="1"/>
  <c r="AI181" i="6"/>
  <c r="AG130" i="6"/>
  <c r="AJ130" i="6"/>
  <c r="AI130" i="6"/>
  <c r="AJ250" i="6"/>
  <c r="AC181" i="6"/>
  <c r="AH181" i="6"/>
  <c r="U181" i="6"/>
  <c r="U130" i="6"/>
  <c r="AB181" i="6"/>
  <c r="AC130" i="6"/>
  <c r="AJ181" i="6"/>
  <c r="AE130" i="6"/>
  <c r="AD130" i="6"/>
  <c r="AE21" i="9"/>
  <c r="AG47" i="9"/>
  <c r="AE52" i="9"/>
  <c r="AG53" i="9"/>
  <c r="AE54" i="9"/>
  <c r="AF58" i="9"/>
  <c r="AF21" i="9"/>
  <c r="AF52" i="9"/>
  <c r="AF54" i="9"/>
  <c r="AH62" i="9"/>
  <c r="AI21" i="9"/>
  <c r="AI52" i="9"/>
  <c r="AJ54" i="9"/>
  <c r="AG326" i="6"/>
  <c r="AJ47" i="9"/>
  <c r="AF47" i="9"/>
  <c r="AB47" i="9"/>
  <c r="AI47" i="9"/>
  <c r="AE47" i="9"/>
  <c r="U47" i="9"/>
  <c r="AH47" i="9"/>
  <c r="AJ53" i="9"/>
  <c r="AF53" i="9"/>
  <c r="AB53" i="9"/>
  <c r="AI53" i="9"/>
  <c r="AE53" i="9"/>
  <c r="U53" i="9"/>
  <c r="AH53" i="9"/>
  <c r="AG58" i="9"/>
  <c r="AC58" i="9"/>
  <c r="AJ58" i="9"/>
  <c r="AE58" i="9"/>
  <c r="AI58" i="9"/>
  <c r="AD58" i="9"/>
  <c r="AC21" i="9"/>
  <c r="AG21" i="9"/>
  <c r="AC52" i="9"/>
  <c r="AG52" i="9"/>
  <c r="AC54" i="9"/>
  <c r="AG54" i="9"/>
  <c r="AD21" i="9"/>
  <c r="AD52" i="9"/>
  <c r="AD54" i="9"/>
  <c r="AH54" i="9"/>
  <c r="X102" i="7"/>
  <c r="S102" i="7"/>
  <c r="O102" i="7"/>
  <c r="X23" i="7"/>
  <c r="S23" i="7"/>
  <c r="O23" i="7"/>
  <c r="X44" i="7"/>
  <c r="S44" i="7"/>
  <c r="O44" i="7"/>
  <c r="X85" i="7"/>
  <c r="S85" i="7"/>
  <c r="O85" i="7"/>
  <c r="X67" i="7"/>
  <c r="S67" i="7"/>
  <c r="O67" i="7"/>
  <c r="X63" i="7"/>
  <c r="S63" i="7"/>
  <c r="O63" i="7"/>
  <c r="AG62" i="9" l="1"/>
  <c r="AJ318" i="6"/>
  <c r="AF75" i="6"/>
  <c r="AF26" i="9"/>
  <c r="AH26" i="9"/>
  <c r="AD56" i="7"/>
  <c r="AG26" i="9"/>
  <c r="AI220" i="6"/>
  <c r="AJ56" i="7"/>
  <c r="AJ18" i="9"/>
  <c r="AH294" i="6"/>
  <c r="AF13" i="6"/>
  <c r="AE54" i="7"/>
  <c r="AC54" i="7"/>
  <c r="AD6" i="7"/>
  <c r="AI84" i="7"/>
  <c r="AB84" i="7"/>
  <c r="AD84" i="7"/>
  <c r="U39" i="7"/>
  <c r="AB54" i="7"/>
  <c r="AE36" i="7"/>
  <c r="AG9" i="7"/>
  <c r="AF44" i="9"/>
  <c r="AD37" i="9"/>
  <c r="AF57" i="9"/>
  <c r="AF37" i="9"/>
  <c r="AE37" i="9"/>
  <c r="AI57" i="9"/>
  <c r="AG37" i="9"/>
  <c r="AD44" i="9"/>
  <c r="AI44" i="9"/>
  <c r="AE36" i="9"/>
  <c r="U37" i="9"/>
  <c r="U44" i="9"/>
  <c r="AB44" i="9"/>
  <c r="AG44" i="9"/>
  <c r="AH45" i="9"/>
  <c r="AE44" i="9"/>
  <c r="AJ44" i="9"/>
  <c r="AH44" i="9"/>
  <c r="AC44" i="9"/>
  <c r="AC37" i="9"/>
  <c r="AJ36" i="9"/>
  <c r="AJ37" i="9"/>
  <c r="AH37" i="9"/>
  <c r="AE15" i="9"/>
  <c r="AD36" i="9"/>
  <c r="AH15" i="9"/>
  <c r="AI36" i="9"/>
  <c r="AI37" i="9"/>
  <c r="AB37" i="9"/>
  <c r="AJ15" i="9"/>
  <c r="AF36" i="9"/>
  <c r="U36" i="9"/>
  <c r="AC36" i="9"/>
  <c r="AB57" i="9"/>
  <c r="AI15" i="9"/>
  <c r="AC15" i="9"/>
  <c r="AB36" i="9"/>
  <c r="AH36" i="9"/>
  <c r="AG36" i="9"/>
  <c r="AJ57" i="9"/>
  <c r="AG57" i="9"/>
  <c r="AE220" i="6"/>
  <c r="AH6" i="7"/>
  <c r="AI9" i="7"/>
  <c r="AC56" i="7"/>
  <c r="AI56" i="7"/>
  <c r="AI41" i="7"/>
  <c r="AG18" i="7"/>
  <c r="AI29" i="7"/>
  <c r="U45" i="9"/>
  <c r="AE26" i="9"/>
  <c r="AD27" i="9"/>
  <c r="AJ26" i="9"/>
  <c r="AB62" i="9"/>
  <c r="AI62" i="9"/>
  <c r="U26" i="9"/>
  <c r="AJ27" i="9"/>
  <c r="AJ62" i="9"/>
  <c r="AI26" i="9"/>
  <c r="AC64" i="9"/>
  <c r="AC5" i="9"/>
  <c r="AI45" i="9"/>
  <c r="AC45" i="9"/>
  <c r="AE5" i="9"/>
  <c r="AF45" i="9"/>
  <c r="AD26" i="9"/>
  <c r="AG5" i="9"/>
  <c r="AD45" i="9"/>
  <c r="AG45" i="9"/>
  <c r="AB45" i="9"/>
  <c r="AI18" i="9"/>
  <c r="AF8" i="9"/>
  <c r="AE8" i="9"/>
  <c r="AE45" i="9"/>
  <c r="AB26" i="9"/>
  <c r="AJ45" i="9"/>
  <c r="AC26" i="9"/>
  <c r="U62" i="9"/>
  <c r="AC18" i="9"/>
  <c r="AH8" i="9"/>
  <c r="AD18" i="9"/>
  <c r="AG8" i="9"/>
  <c r="AF5" i="9"/>
  <c r="AJ8" i="9"/>
  <c r="AD8" i="9"/>
  <c r="AB5" i="9"/>
  <c r="Y5" i="9"/>
  <c r="U8" i="9"/>
  <c r="AI8" i="9"/>
  <c r="AI5" i="9"/>
  <c r="AD5" i="9"/>
  <c r="U5" i="9"/>
  <c r="AB8" i="9"/>
  <c r="AC8" i="9"/>
  <c r="AH5" i="9"/>
  <c r="AG18" i="9"/>
  <c r="U18" i="9"/>
  <c r="U57" i="9"/>
  <c r="U64" i="9"/>
  <c r="AH18" i="9"/>
  <c r="U15" i="9"/>
  <c r="AB15" i="9"/>
  <c r="AG15" i="9"/>
  <c r="AE27" i="9"/>
  <c r="AB27" i="9"/>
  <c r="AG27" i="9"/>
  <c r="AB18" i="9"/>
  <c r="AI27" i="9"/>
  <c r="AH27" i="9"/>
  <c r="AC27" i="9"/>
  <c r="AE57" i="9"/>
  <c r="AD64" i="9"/>
  <c r="AD57" i="9"/>
  <c r="AF18" i="9"/>
  <c r="AD15" i="9"/>
  <c r="AF15" i="9"/>
  <c r="U27" i="9"/>
  <c r="AF27" i="9"/>
  <c r="AG64" i="9"/>
  <c r="AE18" i="9"/>
  <c r="AH57" i="9"/>
  <c r="AD75" i="6"/>
  <c r="AE116" i="6"/>
  <c r="AE294" i="6"/>
  <c r="AB291" i="6"/>
  <c r="AB75" i="6"/>
  <c r="AG75" i="6"/>
  <c r="AJ291" i="6"/>
  <c r="AI291" i="6"/>
  <c r="AC39" i="6"/>
  <c r="AF326" i="6"/>
  <c r="AB326" i="6"/>
  <c r="U291" i="6"/>
  <c r="AI326" i="6"/>
  <c r="AJ75" i="6"/>
  <c r="AH13" i="6"/>
  <c r="AH116" i="6"/>
  <c r="AH59" i="6"/>
  <c r="AD15" i="6"/>
  <c r="AC291" i="6"/>
  <c r="AH326" i="6"/>
  <c r="AC111" i="6"/>
  <c r="AH75" i="6"/>
  <c r="AB111" i="6"/>
  <c r="AC116" i="6"/>
  <c r="AJ116" i="6"/>
  <c r="AC318" i="6"/>
  <c r="AF220" i="6"/>
  <c r="U286" i="6"/>
  <c r="Y15" i="6"/>
  <c r="Y220" i="6"/>
  <c r="AD39" i="6"/>
  <c r="AH15" i="6"/>
  <c r="AC15" i="6"/>
  <c r="AG21" i="6"/>
  <c r="AC272" i="6"/>
  <c r="AH49" i="6"/>
  <c r="AH8" i="6"/>
  <c r="AE21" i="6"/>
  <c r="AF21" i="6"/>
  <c r="AJ279" i="6"/>
  <c r="AG220" i="6"/>
  <c r="W100" i="6"/>
  <c r="AJ21" i="6"/>
  <c r="AI8" i="6"/>
  <c r="AB21" i="6"/>
  <c r="AC21" i="6"/>
  <c r="AJ220" i="6"/>
  <c r="AJ57" i="7"/>
  <c r="AC9" i="7"/>
  <c r="AC40" i="7"/>
  <c r="AD41" i="7"/>
  <c r="AF9" i="7"/>
  <c r="U9" i="7"/>
  <c r="AI57" i="7"/>
  <c r="AD57" i="7"/>
  <c r="AB57" i="7"/>
  <c r="AG57" i="7"/>
  <c r="AJ41" i="7"/>
  <c r="AC41" i="7"/>
  <c r="AH57" i="7"/>
  <c r="AB9" i="7"/>
  <c r="AC57" i="7"/>
  <c r="U41" i="7"/>
  <c r="AH9" i="7"/>
  <c r="AE9" i="7"/>
  <c r="AE57" i="7"/>
  <c r="U57" i="7"/>
  <c r="AF57" i="7"/>
  <c r="AJ9" i="7"/>
  <c r="AG96" i="7"/>
  <c r="AD36" i="7"/>
  <c r="AI96" i="7"/>
  <c r="AE56" i="7"/>
  <c r="U54" i="7"/>
  <c r="AI54" i="7"/>
  <c r="AG54" i="7"/>
  <c r="AD96" i="7"/>
  <c r="AF54" i="7"/>
  <c r="U18" i="7"/>
  <c r="AH88" i="7"/>
  <c r="AH54" i="7"/>
  <c r="AD54" i="7"/>
  <c r="AF6" i="7"/>
  <c r="AG84" i="7"/>
  <c r="AB96" i="7"/>
  <c r="AJ54" i="7"/>
  <c r="AD97" i="7"/>
  <c r="AB64" i="9"/>
  <c r="AE64" i="9"/>
  <c r="AF62" i="9"/>
  <c r="AI64" i="9"/>
  <c r="AD62" i="9"/>
  <c r="AJ64" i="9"/>
  <c r="AC62" i="9"/>
  <c r="AF64" i="9"/>
  <c r="AE62" i="9"/>
  <c r="AH64" i="9"/>
  <c r="AC118" i="6"/>
  <c r="AH21" i="6"/>
  <c r="AI49" i="6"/>
  <c r="AF15" i="6"/>
  <c r="AG59" i="6"/>
  <c r="AJ15" i="6"/>
  <c r="AB15" i="6"/>
  <c r="AH286" i="6"/>
  <c r="U21" i="6"/>
  <c r="AJ8" i="6"/>
  <c r="AD21" i="6"/>
  <c r="AG65" i="6"/>
  <c r="AE15" i="6"/>
  <c r="AF286" i="6"/>
  <c r="AI21" i="6"/>
  <c r="AG15" i="6"/>
  <c r="AB59" i="6"/>
  <c r="AI15" i="6"/>
  <c r="U123" i="6"/>
  <c r="U279" i="6"/>
  <c r="AI123" i="6"/>
  <c r="AF318" i="6"/>
  <c r="U318" i="6"/>
  <c r="AF291" i="6"/>
  <c r="AD220" i="6"/>
  <c r="AC123" i="6"/>
  <c r="U326" i="6"/>
  <c r="AD291" i="6"/>
  <c r="AH291" i="6"/>
  <c r="AH279" i="6"/>
  <c r="AH272" i="6"/>
  <c r="AC326" i="6"/>
  <c r="U75" i="6"/>
  <c r="AE75" i="6"/>
  <c r="AC220" i="6"/>
  <c r="AI116" i="6"/>
  <c r="AB78" i="6"/>
  <c r="AF116" i="6"/>
  <c r="AB116" i="6"/>
  <c r="AH220" i="6"/>
  <c r="AG116" i="6"/>
  <c r="U116" i="6"/>
  <c r="AB220" i="6"/>
  <c r="AC294" i="6"/>
  <c r="W187" i="6"/>
  <c r="AQ128" i="6"/>
  <c r="V128" i="6" s="1"/>
  <c r="AD116" i="6"/>
  <c r="AJ326" i="6"/>
  <c r="AD111" i="6"/>
  <c r="AG291" i="6"/>
  <c r="AE291" i="6"/>
  <c r="AH7" i="6"/>
  <c r="AD326" i="6"/>
  <c r="AI75" i="6"/>
  <c r="AC75" i="6"/>
  <c r="AJ111" i="6"/>
  <c r="AB318" i="6"/>
  <c r="AE326" i="6"/>
  <c r="AQ154" i="6"/>
  <c r="V154" i="6" s="1"/>
  <c r="AQ100" i="6"/>
  <c r="V100" i="6" s="1"/>
  <c r="U59" i="6"/>
  <c r="AD59" i="6"/>
  <c r="AD251" i="6"/>
  <c r="AI251" i="6"/>
  <c r="AF65" i="6"/>
  <c r="AF270" i="6"/>
  <c r="AC49" i="6"/>
  <c r="AI59" i="6"/>
  <c r="AD79" i="6"/>
  <c r="AF39" i="6"/>
  <c r="W128" i="6"/>
  <c r="W133" i="6"/>
  <c r="W243" i="6"/>
  <c r="AE286" i="6"/>
  <c r="AD286" i="6"/>
  <c r="AF79" i="6"/>
  <c r="AE39" i="6"/>
  <c r="AB50" i="6"/>
  <c r="AD246" i="6"/>
  <c r="AD49" i="6"/>
  <c r="AI286" i="6"/>
  <c r="AI272" i="6"/>
  <c r="AF59" i="6"/>
  <c r="AJ59" i="6"/>
  <c r="AJ190" i="6"/>
  <c r="AI190" i="6"/>
  <c r="W314" i="6"/>
  <c r="W183" i="6"/>
  <c r="AQ187" i="6"/>
  <c r="V187" i="6" s="1"/>
  <c r="AB49" i="6"/>
  <c r="AF246" i="6"/>
  <c r="AQ269" i="6"/>
  <c r="V269" i="6" s="1"/>
  <c r="AQ133" i="6"/>
  <c r="V133" i="6" s="1"/>
  <c r="W154" i="6"/>
  <c r="AD303" i="6"/>
  <c r="AJ138" i="6"/>
  <c r="AC54" i="6"/>
  <c r="AF8" i="6"/>
  <c r="AG49" i="6"/>
  <c r="AE49" i="6"/>
  <c r="AE8" i="6"/>
  <c r="AB301" i="6"/>
  <c r="AE301" i="6"/>
  <c r="AQ243" i="6"/>
  <c r="V243" i="6" s="1"/>
  <c r="U56" i="6"/>
  <c r="AG78" i="6"/>
  <c r="AQ210" i="6"/>
  <c r="V210" i="6" s="1"/>
  <c r="AJ49" i="6"/>
  <c r="AC138" i="6"/>
  <c r="W252" i="6"/>
  <c r="U303" i="6"/>
  <c r="AD78" i="6"/>
  <c r="AF54" i="6"/>
  <c r="AB47" i="6"/>
  <c r="U49" i="6"/>
  <c r="AH97" i="6"/>
  <c r="AB309" i="6"/>
  <c r="AD8" i="6"/>
  <c r="AF49" i="6"/>
  <c r="AI138" i="6"/>
  <c r="AQ252" i="6"/>
  <c r="V252" i="6" s="1"/>
  <c r="W330" i="6"/>
  <c r="W232" i="6"/>
  <c r="AG167" i="6"/>
  <c r="AI309" i="6"/>
  <c r="AI167" i="6"/>
  <c r="AJ61" i="6"/>
  <c r="AB251" i="6"/>
  <c r="AJ65" i="6"/>
  <c r="AH11" i="6"/>
  <c r="AC251" i="6"/>
  <c r="AJ132" i="6"/>
  <c r="AB286" i="6"/>
  <c r="AQ330" i="6"/>
  <c r="V330" i="6" s="1"/>
  <c r="AJ309" i="6"/>
  <c r="AB115" i="6"/>
  <c r="AE56" i="6"/>
  <c r="AG309" i="6"/>
  <c r="AJ286" i="6"/>
  <c r="U190" i="6"/>
  <c r="AC286" i="6"/>
  <c r="AI270" i="6"/>
  <c r="AE309" i="6"/>
  <c r="AH309" i="6"/>
  <c r="AE132" i="6"/>
  <c r="U309" i="6"/>
  <c r="AE59" i="6"/>
  <c r="AD309" i="6"/>
  <c r="AD115" i="6"/>
  <c r="AF167" i="6"/>
  <c r="AE97" i="6"/>
  <c r="AB65" i="6"/>
  <c r="AE11" i="6"/>
  <c r="AF309" i="6"/>
  <c r="AG286" i="6"/>
  <c r="AC59" i="6"/>
  <c r="AC309" i="6"/>
  <c r="AJ12" i="6"/>
  <c r="AJ39" i="6"/>
  <c r="AQ183" i="6"/>
  <c r="V183" i="6" s="1"/>
  <c r="U115" i="6"/>
  <c r="AD318" i="6"/>
  <c r="AD272" i="6"/>
  <c r="U136" i="6"/>
  <c r="AG111" i="6"/>
  <c r="AB279" i="6"/>
  <c r="AC7" i="6"/>
  <c r="AE111" i="6"/>
  <c r="AE272" i="6"/>
  <c r="AB136" i="6"/>
  <c r="U111" i="6"/>
  <c r="U13" i="6"/>
  <c r="AF111" i="6"/>
  <c r="AI115" i="6"/>
  <c r="AH318" i="6"/>
  <c r="AE318" i="6"/>
  <c r="AI78" i="6"/>
  <c r="AI279" i="6"/>
  <c r="AC167" i="6"/>
  <c r="AG318" i="6"/>
  <c r="AI318" i="6"/>
  <c r="W269" i="6"/>
  <c r="U78" i="6"/>
  <c r="AH167" i="6"/>
  <c r="AD294" i="6"/>
  <c r="AB123" i="6"/>
  <c r="AI111" i="6"/>
  <c r="AJ13" i="6"/>
  <c r="AI13" i="6"/>
  <c r="AG279" i="6"/>
  <c r="AJ272" i="6"/>
  <c r="AH111" i="6"/>
  <c r="AI50" i="6"/>
  <c r="AF294" i="6"/>
  <c r="U151" i="6"/>
  <c r="AC56" i="6"/>
  <c r="AF78" i="6"/>
  <c r="U294" i="6"/>
  <c r="AQ268" i="6"/>
  <c r="V268" i="6" s="1"/>
  <c r="AQ114" i="6"/>
  <c r="V114" i="6" s="1"/>
  <c r="W211" i="6"/>
  <c r="AQ109" i="6"/>
  <c r="V109" i="6" s="1"/>
  <c r="W96" i="6"/>
  <c r="AQ232" i="6"/>
  <c r="V232" i="6" s="1"/>
  <c r="AQ96" i="6"/>
  <c r="V96" i="6" s="1"/>
  <c r="W245" i="6"/>
  <c r="AG79" i="6"/>
  <c r="AI54" i="6"/>
  <c r="U39" i="6"/>
  <c r="U12" i="6"/>
  <c r="AD190" i="6"/>
  <c r="AB61" i="6"/>
  <c r="AD54" i="6"/>
  <c r="AC11" i="6"/>
  <c r="AH39" i="6"/>
  <c r="AH12" i="6"/>
  <c r="U251" i="6"/>
  <c r="AG54" i="6"/>
  <c r="AH65" i="6"/>
  <c r="AE65" i="6"/>
  <c r="AE54" i="6"/>
  <c r="AJ11" i="6"/>
  <c r="W109" i="6"/>
  <c r="AG61" i="6"/>
  <c r="AE190" i="6"/>
  <c r="U79" i="6"/>
  <c r="AH190" i="6"/>
  <c r="AF190" i="6"/>
  <c r="AF251" i="6"/>
  <c r="Y54" i="6"/>
  <c r="W77" i="6"/>
  <c r="W219" i="6"/>
  <c r="AJ294" i="6"/>
  <c r="W172" i="6"/>
  <c r="W305" i="6"/>
  <c r="AQ211" i="6"/>
  <c r="V211" i="6" s="1"/>
  <c r="AD123" i="6"/>
  <c r="AG123" i="6"/>
  <c r="AC8" i="6"/>
  <c r="AF61" i="6"/>
  <c r="AH50" i="6"/>
  <c r="AH54" i="6"/>
  <c r="AB11" i="6"/>
  <c r="AH251" i="6"/>
  <c r="AE251" i="6"/>
  <c r="AB8" i="6"/>
  <c r="AE50" i="6"/>
  <c r="AE279" i="6"/>
  <c r="AC279" i="6"/>
  <c r="AD65" i="6"/>
  <c r="AI65" i="6"/>
  <c r="AB54" i="6"/>
  <c r="AF272" i="6"/>
  <c r="U8" i="6"/>
  <c r="AF11" i="6"/>
  <c r="AI11" i="6"/>
  <c r="AF50" i="6"/>
  <c r="AB119" i="6"/>
  <c r="AF301" i="6"/>
  <c r="AG8" i="6"/>
  <c r="AI39" i="6"/>
  <c r="AB190" i="6"/>
  <c r="AG39" i="6"/>
  <c r="AC190" i="6"/>
  <c r="AD61" i="6"/>
  <c r="U54" i="6"/>
  <c r="W210" i="6"/>
  <c r="AQ250" i="6"/>
  <c r="V250" i="6" s="1"/>
  <c r="AQ253" i="6"/>
  <c r="V253" i="6" s="1"/>
  <c r="AF123" i="6"/>
  <c r="AQ152" i="6"/>
  <c r="V152" i="6" s="1"/>
  <c r="W206" i="6"/>
  <c r="AQ314" i="6"/>
  <c r="V314" i="6" s="1"/>
  <c r="W114" i="6"/>
  <c r="AQ305" i="6"/>
  <c r="V305" i="6" s="1"/>
  <c r="AG251" i="6"/>
  <c r="AC65" i="6"/>
  <c r="U65" i="6"/>
  <c r="AF27" i="6"/>
  <c r="AD11" i="6"/>
  <c r="AD12" i="6"/>
  <c r="U11" i="6"/>
  <c r="AJ251" i="6"/>
  <c r="AB12" i="6"/>
  <c r="AI118" i="6"/>
  <c r="AG190" i="6"/>
  <c r="AG11" i="6"/>
  <c r="AB39" i="6"/>
  <c r="AC12" i="6"/>
  <c r="AQ245" i="6"/>
  <c r="V245" i="6" s="1"/>
  <c r="U66" i="7"/>
  <c r="AH18" i="7"/>
  <c r="AH96" i="7"/>
  <c r="AJ39" i="7"/>
  <c r="AB39" i="7"/>
  <c r="AG6" i="7"/>
  <c r="AC84" i="7"/>
  <c r="AF39" i="7"/>
  <c r="AE96" i="7"/>
  <c r="AI39" i="7"/>
  <c r="U96" i="7"/>
  <c r="AJ96" i="7"/>
  <c r="AJ88" i="7"/>
  <c r="AB18" i="7"/>
  <c r="AG29" i="7"/>
  <c r="AF18" i="7"/>
  <c r="AI66" i="7"/>
  <c r="AD88" i="7"/>
  <c r="AH84" i="7"/>
  <c r="AD39" i="7"/>
  <c r="AD29" i="7"/>
  <c r="AB6" i="7"/>
  <c r="AE39" i="7"/>
  <c r="AG39" i="7"/>
  <c r="AF96" i="7"/>
  <c r="AD9" i="7"/>
  <c r="AB56" i="7"/>
  <c r="AJ18" i="7"/>
  <c r="AF88" i="7"/>
  <c r="AH39" i="7"/>
  <c r="AE18" i="7"/>
  <c r="AD18" i="7"/>
  <c r="AC39" i="7"/>
  <c r="AI6" i="7"/>
  <c r="AC96" i="7"/>
  <c r="AF29" i="7"/>
  <c r="AE84" i="7"/>
  <c r="AC18" i="7"/>
  <c r="AI18" i="7"/>
  <c r="AF136" i="6"/>
  <c r="AC303" i="6"/>
  <c r="AD136" i="6"/>
  <c r="AJ303" i="6"/>
  <c r="U138" i="6"/>
  <c r="AQ225" i="6"/>
  <c r="V225" i="6" s="1"/>
  <c r="AE78" i="6"/>
  <c r="AE303" i="6"/>
  <c r="AE115" i="6"/>
  <c r="AH78" i="6"/>
  <c r="AH303" i="6"/>
  <c r="AH115" i="6"/>
  <c r="AE167" i="6"/>
  <c r="AH270" i="6"/>
  <c r="AD167" i="6"/>
  <c r="AE151" i="6"/>
  <c r="AC132" i="6"/>
  <c r="AF138" i="6"/>
  <c r="AB167" i="6"/>
  <c r="AE47" i="6"/>
  <c r="U132" i="6"/>
  <c r="AF132" i="6"/>
  <c r="AH246" i="6"/>
  <c r="AJ115" i="6"/>
  <c r="AH138" i="6"/>
  <c r="AF115" i="6"/>
  <c r="AI303" i="6"/>
  <c r="AB333" i="6"/>
  <c r="AG270" i="6"/>
  <c r="AI132" i="6"/>
  <c r="AJ333" i="6"/>
  <c r="AJ270" i="6"/>
  <c r="AG303" i="6"/>
  <c r="AQ260" i="6"/>
  <c r="V260" i="6" s="1"/>
  <c r="W293" i="6"/>
  <c r="W268" i="6"/>
  <c r="AQ216" i="6"/>
  <c r="V216" i="6" s="1"/>
  <c r="AQ321" i="6"/>
  <c r="V321" i="6" s="1"/>
  <c r="AQ172" i="6"/>
  <c r="V172" i="6" s="1"/>
  <c r="W152" i="6"/>
  <c r="W129" i="6"/>
  <c r="AE138" i="6"/>
  <c r="AJ47" i="6"/>
  <c r="AC246" i="6"/>
  <c r="AI136" i="6"/>
  <c r="W321" i="6"/>
  <c r="AQ203" i="6"/>
  <c r="V203" i="6" s="1"/>
  <c r="U167" i="6"/>
  <c r="AD333" i="6"/>
  <c r="U47" i="6"/>
  <c r="AH132" i="6"/>
  <c r="AB138" i="6"/>
  <c r="AJ167" i="6"/>
  <c r="AG47" i="6"/>
  <c r="AG132" i="6"/>
  <c r="AB132" i="6"/>
  <c r="AQ206" i="6"/>
  <c r="V206" i="6" s="1"/>
  <c r="AG138" i="6"/>
  <c r="AD132" i="6"/>
  <c r="AG115" i="6"/>
  <c r="AB303" i="6"/>
  <c r="U97" i="6"/>
  <c r="AE270" i="6"/>
  <c r="AC115" i="6"/>
  <c r="AJ78" i="6"/>
  <c r="AB56" i="6"/>
  <c r="AG56" i="6"/>
  <c r="AF303" i="6"/>
  <c r="AF97" i="6"/>
  <c r="AC78" i="6"/>
  <c r="AD138" i="6"/>
  <c r="AQ77" i="6"/>
  <c r="V77" i="6" s="1"/>
  <c r="AQ259" i="6"/>
  <c r="V259" i="6" s="1"/>
  <c r="AJ97" i="6"/>
  <c r="AB151" i="6"/>
  <c r="AI27" i="6"/>
  <c r="AJ27" i="6"/>
  <c r="AD56" i="6"/>
  <c r="AD97" i="6"/>
  <c r="AC97" i="6"/>
  <c r="AF151" i="6"/>
  <c r="AD27" i="6"/>
  <c r="AF7" i="6"/>
  <c r="AE27" i="6"/>
  <c r="U7" i="6"/>
  <c r="W203" i="6"/>
  <c r="AH151" i="6"/>
  <c r="AF56" i="6"/>
  <c r="AD151" i="6"/>
  <c r="AH27" i="6"/>
  <c r="W225" i="6"/>
  <c r="AD119" i="6"/>
  <c r="U272" i="6"/>
  <c r="AI97" i="6"/>
  <c r="AG97" i="6"/>
  <c r="AJ123" i="6"/>
  <c r="AH123" i="6"/>
  <c r="AJ151" i="6"/>
  <c r="AE61" i="6"/>
  <c r="AE12" i="6"/>
  <c r="AD279" i="6"/>
  <c r="U27" i="6"/>
  <c r="AF279" i="6"/>
  <c r="AE7" i="6"/>
  <c r="AJ7" i="6"/>
  <c r="AB27" i="6"/>
  <c r="AB272" i="6"/>
  <c r="AG272" i="6"/>
  <c r="AC27" i="6"/>
  <c r="AC61" i="6"/>
  <c r="AI12" i="6"/>
  <c r="AI7" i="6"/>
  <c r="AH61" i="6"/>
  <c r="AG12" i="6"/>
  <c r="AF12" i="6"/>
  <c r="AC333" i="6"/>
  <c r="AI56" i="6"/>
  <c r="AJ56" i="6"/>
  <c r="U61" i="6"/>
  <c r="W216" i="6"/>
  <c r="AB294" i="6"/>
  <c r="AI294" i="6"/>
  <c r="AQ129" i="6"/>
  <c r="V129" i="6" s="1"/>
  <c r="AG119" i="6"/>
  <c r="AQ293" i="6"/>
  <c r="V293" i="6" s="1"/>
  <c r="W250" i="6"/>
  <c r="W253" i="6"/>
  <c r="W259" i="6"/>
  <c r="AQ219" i="6"/>
  <c r="V219" i="6" s="1"/>
  <c r="AH136" i="6"/>
  <c r="AB97" i="6"/>
  <c r="W260" i="6"/>
  <c r="AB7" i="6"/>
  <c r="AG7" i="6"/>
  <c r="AD7" i="6"/>
  <c r="AG27" i="6"/>
  <c r="AC151" i="6"/>
  <c r="AG151" i="6"/>
  <c r="AE119" i="6"/>
  <c r="AF119" i="6"/>
  <c r="AG294" i="6"/>
  <c r="AI61" i="6"/>
  <c r="U119" i="6"/>
  <c r="AC136" i="6"/>
  <c r="AH56" i="6"/>
  <c r="AE123" i="6"/>
  <c r="W181" i="6"/>
  <c r="AI151" i="6"/>
  <c r="W21" i="9"/>
  <c r="AQ21" i="9"/>
  <c r="V21" i="9" s="1"/>
  <c r="W52" i="9"/>
  <c r="AH66" i="7"/>
  <c r="AF66" i="7"/>
  <c r="AD66" i="7"/>
  <c r="AE66" i="7"/>
  <c r="AH56" i="7"/>
  <c r="AE20" i="7"/>
  <c r="AD86" i="7"/>
  <c r="AJ20" i="7"/>
  <c r="AF56" i="7"/>
  <c r="AC66" i="7"/>
  <c r="AB66" i="7"/>
  <c r="AG88" i="7"/>
  <c r="AH97" i="7"/>
  <c r="Y40" i="7"/>
  <c r="U20" i="7"/>
  <c r="AI36" i="7"/>
  <c r="U56" i="7"/>
  <c r="AC36" i="7"/>
  <c r="AG66" i="7"/>
  <c r="AJ66" i="7"/>
  <c r="AG56" i="7"/>
  <c r="AG36" i="7"/>
  <c r="AC20" i="7"/>
  <c r="AH36" i="7"/>
  <c r="AH20" i="7"/>
  <c r="AI20" i="7"/>
  <c r="AB20" i="7"/>
  <c r="AG20" i="7"/>
  <c r="AB36" i="7"/>
  <c r="AD20" i="7"/>
  <c r="AJ36" i="7"/>
  <c r="AF36" i="7"/>
  <c r="AF20" i="7"/>
  <c r="AE86" i="7"/>
  <c r="AE88" i="7"/>
  <c r="U88" i="7"/>
  <c r="AH86" i="7"/>
  <c r="AH40" i="7"/>
  <c r="AC6" i="7"/>
  <c r="AC86" i="7"/>
  <c r="AJ84" i="7"/>
  <c r="AJ40" i="7"/>
  <c r="AI86" i="7"/>
  <c r="AI40" i="7"/>
  <c r="AE6" i="7"/>
  <c r="AI88" i="7"/>
  <c r="AC88" i="7"/>
  <c r="AF97" i="7"/>
  <c r="AJ6" i="7"/>
  <c r="AF86" i="7"/>
  <c r="AF84" i="7"/>
  <c r="U6" i="7"/>
  <c r="U84" i="7"/>
  <c r="AB88" i="7"/>
  <c r="Y36" i="7"/>
  <c r="AH29" i="7"/>
  <c r="AD89" i="7"/>
  <c r="AB86" i="7"/>
  <c r="AG86" i="7"/>
  <c r="AE29" i="7"/>
  <c r="U86" i="7"/>
  <c r="AB29" i="7"/>
  <c r="T102" i="7"/>
  <c r="Y102" i="7" s="1"/>
  <c r="AE41" i="7"/>
  <c r="AH41" i="7"/>
  <c r="AJ86" i="7"/>
  <c r="AF89" i="7"/>
  <c r="AC29" i="7"/>
  <c r="AF41" i="7"/>
  <c r="AB41" i="7"/>
  <c r="AG41" i="7"/>
  <c r="AD118" i="6"/>
  <c r="AB79" i="6"/>
  <c r="AG118" i="6"/>
  <c r="AC79" i="6"/>
  <c r="AD47" i="6"/>
  <c r="AH47" i="6"/>
  <c r="AC47" i="6"/>
  <c r="U246" i="6"/>
  <c r="AE246" i="6"/>
  <c r="AJ246" i="6"/>
  <c r="AI79" i="6"/>
  <c r="AH118" i="6"/>
  <c r="AJ118" i="6"/>
  <c r="AJ79" i="6"/>
  <c r="AI47" i="6"/>
  <c r="Y118" i="6"/>
  <c r="AF118" i="6"/>
  <c r="AE118" i="6"/>
  <c r="AI246" i="6"/>
  <c r="AF47" i="6"/>
  <c r="AE79" i="6"/>
  <c r="AB246" i="6"/>
  <c r="AG246" i="6"/>
  <c r="AH79" i="6"/>
  <c r="AH89" i="7"/>
  <c r="U89" i="7"/>
  <c r="AJ89" i="7"/>
  <c r="AI89" i="7"/>
  <c r="Y89" i="7"/>
  <c r="AC97" i="7"/>
  <c r="AB40" i="7"/>
  <c r="AG40" i="7"/>
  <c r="AC89" i="7"/>
  <c r="AD40" i="7"/>
  <c r="AB97" i="7"/>
  <c r="AI97" i="7"/>
  <c r="AE40" i="7"/>
  <c r="AE89" i="7"/>
  <c r="AG97" i="7"/>
  <c r="U29" i="7"/>
  <c r="AF40" i="7"/>
  <c r="AB89" i="7"/>
  <c r="AE97" i="7"/>
  <c r="AJ29" i="7"/>
  <c r="U97" i="7"/>
  <c r="AJ97" i="7"/>
  <c r="AD301" i="6"/>
  <c r="AJ136" i="6"/>
  <c r="U301" i="6"/>
  <c r="AI301" i="6"/>
  <c r="AD270" i="6"/>
  <c r="AG136" i="6"/>
  <c r="AE136" i="6"/>
  <c r="AJ301" i="6"/>
  <c r="U270" i="6"/>
  <c r="AC270" i="6"/>
  <c r="AB270" i="6"/>
  <c r="AG301" i="6"/>
  <c r="AH301" i="6"/>
  <c r="AC301" i="6"/>
  <c r="T44" i="7"/>
  <c r="Y44" i="7" s="1"/>
  <c r="AQ52" i="9"/>
  <c r="V52" i="9" s="1"/>
  <c r="AC13" i="6"/>
  <c r="AB13" i="6"/>
  <c r="AD50" i="6"/>
  <c r="AD13" i="6"/>
  <c r="AQ181" i="6"/>
  <c r="V181" i="6" s="1"/>
  <c r="AJ119" i="6"/>
  <c r="AE333" i="6"/>
  <c r="AH119" i="6"/>
  <c r="U333" i="6"/>
  <c r="AG333" i="6"/>
  <c r="AC119" i="6"/>
  <c r="AI119" i="6"/>
  <c r="W130" i="6"/>
  <c r="AQ130" i="6"/>
  <c r="V130" i="6" s="1"/>
  <c r="AC50" i="6"/>
  <c r="AG50" i="6"/>
  <c r="U50" i="6"/>
  <c r="AE13" i="6"/>
  <c r="AJ50" i="6"/>
  <c r="AG13" i="6"/>
  <c r="AI333" i="6"/>
  <c r="AF333" i="6"/>
  <c r="AH333" i="6"/>
  <c r="T63" i="7"/>
  <c r="Y63" i="7" s="1"/>
  <c r="T85" i="7"/>
  <c r="AH85" i="7" s="1"/>
  <c r="W54" i="9"/>
  <c r="AQ54" i="9"/>
  <c r="V54" i="9" s="1"/>
  <c r="AQ53" i="9"/>
  <c r="V53" i="9" s="1"/>
  <c r="W53" i="9"/>
  <c r="AQ58" i="9"/>
  <c r="V58" i="9" s="1"/>
  <c r="W58" i="9"/>
  <c r="W47" i="9"/>
  <c r="AQ47" i="9"/>
  <c r="V47" i="9" s="1"/>
  <c r="T23" i="7"/>
  <c r="Y23" i="7" s="1"/>
  <c r="T67" i="7"/>
  <c r="AH67" i="7" s="1"/>
  <c r="W44" i="9" l="1"/>
  <c r="AQ44" i="9"/>
  <c r="V44" i="9" s="1"/>
  <c r="AQ15" i="9"/>
  <c r="V15" i="9" s="1"/>
  <c r="AQ37" i="9"/>
  <c r="V37" i="9" s="1"/>
  <c r="W26" i="9"/>
  <c r="AQ26" i="9"/>
  <c r="V26" i="9" s="1"/>
  <c r="W36" i="9"/>
  <c r="W37" i="9"/>
  <c r="W62" i="9"/>
  <c r="W15" i="9"/>
  <c r="AQ36" i="9"/>
  <c r="V36" i="9" s="1"/>
  <c r="AQ279" i="6"/>
  <c r="V279" i="6" s="1"/>
  <c r="AQ9" i="7"/>
  <c r="V9" i="7" s="1"/>
  <c r="W27" i="9"/>
  <c r="W18" i="9"/>
  <c r="AQ5" i="9"/>
  <c r="V5" i="9" s="1"/>
  <c r="AQ45" i="9"/>
  <c r="V45" i="9" s="1"/>
  <c r="W45" i="9"/>
  <c r="AQ18" i="9"/>
  <c r="V18" i="9" s="1"/>
  <c r="W57" i="9"/>
  <c r="AQ57" i="9"/>
  <c r="V57" i="9" s="1"/>
  <c r="W5" i="9"/>
  <c r="W8" i="9"/>
  <c r="AQ27" i="9"/>
  <c r="V27" i="9" s="1"/>
  <c r="AQ62" i="9"/>
  <c r="V62" i="9" s="1"/>
  <c r="AQ8" i="9"/>
  <c r="V8" i="9" s="1"/>
  <c r="W64" i="9"/>
  <c r="AQ64" i="9"/>
  <c r="V64" i="9" s="1"/>
  <c r="AQ116" i="6"/>
  <c r="V116" i="6" s="1"/>
  <c r="W15" i="6"/>
  <c r="AQ21" i="6"/>
  <c r="V21" i="6" s="1"/>
  <c r="AQ75" i="6"/>
  <c r="V75" i="6" s="1"/>
  <c r="AQ286" i="6"/>
  <c r="V286" i="6" s="1"/>
  <c r="W220" i="6"/>
  <c r="W21" i="6"/>
  <c r="W167" i="6"/>
  <c r="AQ326" i="6"/>
  <c r="V326" i="6" s="1"/>
  <c r="W116" i="6"/>
  <c r="AQ15" i="6"/>
  <c r="V15" i="6" s="1"/>
  <c r="W9" i="7"/>
  <c r="AQ57" i="7"/>
  <c r="V57" i="7" s="1"/>
  <c r="W57" i="7"/>
  <c r="W54" i="7"/>
  <c r="AQ18" i="7"/>
  <c r="V18" i="7" s="1"/>
  <c r="AQ96" i="7"/>
  <c r="V96" i="7" s="1"/>
  <c r="AQ54" i="7"/>
  <c r="V54" i="7" s="1"/>
  <c r="W56" i="7"/>
  <c r="AQ56" i="7"/>
  <c r="V56" i="7" s="1"/>
  <c r="W66" i="7"/>
  <c r="W18" i="7"/>
  <c r="W39" i="7"/>
  <c r="AQ291" i="6"/>
  <c r="V291" i="6" s="1"/>
  <c r="AQ97" i="6"/>
  <c r="V97" i="6" s="1"/>
  <c r="AQ138" i="6"/>
  <c r="V138" i="6" s="1"/>
  <c r="W8" i="6"/>
  <c r="AQ59" i="6"/>
  <c r="V59" i="6" s="1"/>
  <c r="AQ49" i="6"/>
  <c r="V49" i="6" s="1"/>
  <c r="W326" i="6"/>
  <c r="AQ220" i="6"/>
  <c r="V220" i="6" s="1"/>
  <c r="W75" i="6"/>
  <c r="W291" i="6"/>
  <c r="W279" i="6"/>
  <c r="W65" i="6"/>
  <c r="W286" i="6"/>
  <c r="W49" i="6"/>
  <c r="AQ272" i="6"/>
  <c r="V272" i="6" s="1"/>
  <c r="W56" i="6"/>
  <c r="W39" i="6"/>
  <c r="AQ251" i="6"/>
  <c r="V251" i="6" s="1"/>
  <c r="AQ318" i="6"/>
  <c r="V318" i="6" s="1"/>
  <c r="W78" i="6"/>
  <c r="AQ309" i="6"/>
  <c r="V309" i="6" s="1"/>
  <c r="W309" i="6"/>
  <c r="W61" i="6"/>
  <c r="W54" i="6"/>
  <c r="AQ111" i="6"/>
  <c r="V111" i="6" s="1"/>
  <c r="W272" i="6"/>
  <c r="W59" i="6"/>
  <c r="AQ39" i="6"/>
  <c r="V39" i="6" s="1"/>
  <c r="AQ50" i="6"/>
  <c r="V50" i="6" s="1"/>
  <c r="W318" i="6"/>
  <c r="AQ78" i="6"/>
  <c r="V78" i="6" s="1"/>
  <c r="AQ167" i="6"/>
  <c r="V167" i="6" s="1"/>
  <c r="AQ115" i="6"/>
  <c r="V115" i="6" s="1"/>
  <c r="AQ190" i="6"/>
  <c r="V190" i="6" s="1"/>
  <c r="AQ54" i="6"/>
  <c r="V54" i="6" s="1"/>
  <c r="AQ11" i="6"/>
  <c r="V11" i="6" s="1"/>
  <c r="W251" i="6"/>
  <c r="W123" i="6"/>
  <c r="W111" i="6"/>
  <c r="AQ132" i="6"/>
  <c r="V132" i="6" s="1"/>
  <c r="AQ303" i="6"/>
  <c r="V303" i="6" s="1"/>
  <c r="AQ65" i="6"/>
  <c r="V65" i="6" s="1"/>
  <c r="W11" i="6"/>
  <c r="W138" i="6"/>
  <c r="AQ8" i="6"/>
  <c r="V8" i="6" s="1"/>
  <c r="W303" i="6"/>
  <c r="W118" i="6"/>
  <c r="AQ136" i="6"/>
  <c r="V136" i="6" s="1"/>
  <c r="W12" i="6"/>
  <c r="W190" i="6"/>
  <c r="W7" i="6"/>
  <c r="AQ27" i="6"/>
  <c r="V27" i="6" s="1"/>
  <c r="W132" i="6"/>
  <c r="W115" i="6"/>
  <c r="AQ39" i="7"/>
  <c r="V39" i="7" s="1"/>
  <c r="AH44" i="7"/>
  <c r="AQ41" i="7"/>
  <c r="V41" i="7" s="1"/>
  <c r="AQ6" i="7"/>
  <c r="V6" i="7" s="1"/>
  <c r="AQ36" i="7"/>
  <c r="V36" i="7" s="1"/>
  <c r="AQ66" i="7"/>
  <c r="V66" i="7" s="1"/>
  <c r="W96" i="7"/>
  <c r="AB102" i="7"/>
  <c r="AD102" i="7"/>
  <c r="AD44" i="7"/>
  <c r="AC44" i="7"/>
  <c r="AE44" i="7"/>
  <c r="W20" i="7"/>
  <c r="AQ56" i="6"/>
  <c r="V56" i="6" s="1"/>
  <c r="AQ61" i="6"/>
  <c r="V61" i="6" s="1"/>
  <c r="AQ151" i="6"/>
  <c r="V151" i="6" s="1"/>
  <c r="W151" i="6"/>
  <c r="AQ12" i="6"/>
  <c r="V12" i="6" s="1"/>
  <c r="W13" i="6"/>
  <c r="AQ301" i="6"/>
  <c r="V301" i="6" s="1"/>
  <c r="W246" i="6"/>
  <c r="W119" i="6"/>
  <c r="AQ7" i="6"/>
  <c r="V7" i="6" s="1"/>
  <c r="AQ123" i="6"/>
  <c r="V123" i="6" s="1"/>
  <c r="AQ294" i="6"/>
  <c r="V294" i="6" s="1"/>
  <c r="W97" i="6"/>
  <c r="W333" i="6"/>
  <c r="W50" i="6"/>
  <c r="W27" i="6"/>
  <c r="AQ333" i="6"/>
  <c r="V333" i="6" s="1"/>
  <c r="AQ79" i="6"/>
  <c r="V79" i="6" s="1"/>
  <c r="AQ47" i="6"/>
  <c r="V47" i="6" s="1"/>
  <c r="AQ119" i="6"/>
  <c r="V119" i="6" s="1"/>
  <c r="AQ270" i="6"/>
  <c r="V270" i="6" s="1"/>
  <c r="W136" i="6"/>
  <c r="AQ118" i="6"/>
  <c r="V118" i="6" s="1"/>
  <c r="W294" i="6"/>
  <c r="W301" i="6"/>
  <c r="W36" i="7"/>
  <c r="W6" i="7"/>
  <c r="AQ88" i="7"/>
  <c r="V88" i="7" s="1"/>
  <c r="AQ29" i="7"/>
  <c r="V29" i="7" s="1"/>
  <c r="W84" i="7"/>
  <c r="AQ20" i="7"/>
  <c r="V20" i="7" s="1"/>
  <c r="AQ84" i="7"/>
  <c r="V84" i="7" s="1"/>
  <c r="AQ40" i="7"/>
  <c r="V40" i="7" s="1"/>
  <c r="AI102" i="7"/>
  <c r="AQ86" i="7"/>
  <c r="V86" i="7" s="1"/>
  <c r="AC102" i="7"/>
  <c r="AJ102" i="7"/>
  <c r="AE102" i="7"/>
  <c r="AG44" i="7"/>
  <c r="W88" i="7"/>
  <c r="W41" i="7"/>
  <c r="AF102" i="7"/>
  <c r="U102" i="7"/>
  <c r="AH102" i="7"/>
  <c r="U44" i="7"/>
  <c r="AI44" i="7"/>
  <c r="AG102" i="7"/>
  <c r="W97" i="7"/>
  <c r="AQ89" i="7"/>
  <c r="V89" i="7" s="1"/>
  <c r="W86" i="7"/>
  <c r="AH63" i="7"/>
  <c r="W29" i="7"/>
  <c r="W40" i="7"/>
  <c r="W89" i="7"/>
  <c r="W47" i="6"/>
  <c r="AQ246" i="6"/>
  <c r="V246" i="6" s="1"/>
  <c r="W79" i="6"/>
  <c r="AQ97" i="7"/>
  <c r="V97" i="7" s="1"/>
  <c r="W270" i="6"/>
  <c r="AF44" i="7"/>
  <c r="AB44" i="7"/>
  <c r="AJ44" i="7"/>
  <c r="AQ13" i="6"/>
  <c r="V13" i="6" s="1"/>
  <c r="AC63" i="7"/>
  <c r="AB63" i="7"/>
  <c r="AJ63" i="7"/>
  <c r="AF63" i="7"/>
  <c r="AD63" i="7"/>
  <c r="AE63" i="7"/>
  <c r="U63" i="7"/>
  <c r="AG23" i="7"/>
  <c r="AG85" i="7"/>
  <c r="AE23" i="7"/>
  <c r="AI63" i="7"/>
  <c r="AG63" i="7"/>
  <c r="AE85" i="7"/>
  <c r="Y85" i="7"/>
  <c r="AD85" i="7"/>
  <c r="Y67" i="7"/>
  <c r="AB85" i="7"/>
  <c r="AI85" i="7"/>
  <c r="U85" i="7"/>
  <c r="AF85" i="7"/>
  <c r="AJ85" i="7"/>
  <c r="AC85" i="7"/>
  <c r="AB67" i="7"/>
  <c r="AF23" i="7"/>
  <c r="AC67" i="7"/>
  <c r="AD23" i="7"/>
  <c r="AB23" i="7"/>
  <c r="U23" i="7"/>
  <c r="AJ23" i="7"/>
  <c r="AI23" i="7"/>
  <c r="AC23" i="7"/>
  <c r="AF67" i="7"/>
  <c r="AI67" i="7"/>
  <c r="AD67" i="7"/>
  <c r="AH23" i="7"/>
  <c r="AJ67" i="7"/>
  <c r="AE67" i="7"/>
  <c r="AG67" i="7"/>
  <c r="U67" i="7"/>
  <c r="AQ102" i="7" l="1"/>
  <c r="V102" i="7" s="1"/>
  <c r="W102" i="7"/>
  <c r="W63" i="7"/>
  <c r="AQ44" i="7"/>
  <c r="V44" i="7" s="1"/>
  <c r="W44" i="7"/>
  <c r="AQ85" i="7"/>
  <c r="V85" i="7" s="1"/>
  <c r="AQ63" i="7"/>
  <c r="V63" i="7" s="1"/>
  <c r="W85" i="7"/>
  <c r="W67" i="7"/>
  <c r="W23" i="7"/>
  <c r="AQ67" i="7"/>
  <c r="V67" i="7" s="1"/>
  <c r="AQ23" i="7"/>
  <c r="V23" i="7" s="1"/>
  <c r="X297" i="6"/>
  <c r="S297" i="6"/>
  <c r="O297" i="6"/>
  <c r="X230" i="6"/>
  <c r="S230" i="6"/>
  <c r="O230" i="6"/>
  <c r="X201" i="6"/>
  <c r="S201" i="6"/>
  <c r="O201" i="6"/>
  <c r="X180" i="6"/>
  <c r="S180" i="6"/>
  <c r="O180" i="6"/>
  <c r="X168" i="6"/>
  <c r="S168" i="6"/>
  <c r="O168" i="6"/>
  <c r="X127" i="6"/>
  <c r="S127" i="6"/>
  <c r="O127" i="6"/>
  <c r="X89" i="6"/>
  <c r="S89" i="6"/>
  <c r="O89" i="6"/>
  <c r="X28" i="6"/>
  <c r="S28" i="6"/>
  <c r="O28" i="6"/>
  <c r="X287" i="6"/>
  <c r="S287" i="6"/>
  <c r="O287" i="6"/>
  <c r="X266" i="6"/>
  <c r="S266" i="6"/>
  <c r="O266" i="6"/>
  <c r="X192" i="6"/>
  <c r="S192" i="6"/>
  <c r="O192" i="6"/>
  <c r="X176" i="6"/>
  <c r="S176" i="6"/>
  <c r="O176" i="6"/>
  <c r="X175" i="6"/>
  <c r="S175" i="6"/>
  <c r="O175" i="6"/>
  <c r="X44" i="6"/>
  <c r="S44" i="6"/>
  <c r="O44" i="6"/>
  <c r="X186" i="6"/>
  <c r="S186" i="6"/>
  <c r="O186" i="6"/>
  <c r="X107" i="6"/>
  <c r="S107" i="6"/>
  <c r="O107" i="6"/>
  <c r="X288" i="6"/>
  <c r="S288" i="6"/>
  <c r="O288" i="6"/>
  <c r="X198" i="6"/>
  <c r="S198" i="6"/>
  <c r="O198" i="6"/>
  <c r="X195" i="6"/>
  <c r="S195" i="6"/>
  <c r="O195" i="6"/>
  <c r="X278" i="6"/>
  <c r="S278" i="6"/>
  <c r="O278" i="6"/>
  <c r="X229" i="6"/>
  <c r="S229" i="6"/>
  <c r="O229" i="6"/>
  <c r="X204" i="6"/>
  <c r="S204" i="6"/>
  <c r="O204" i="6"/>
  <c r="X264" i="6"/>
  <c r="S264" i="6"/>
  <c r="O264" i="6"/>
  <c r="X207" i="6"/>
  <c r="S207" i="6"/>
  <c r="O207" i="6"/>
  <c r="X213" i="6"/>
  <c r="S213" i="6"/>
  <c r="O213" i="6"/>
  <c r="X271" i="6"/>
  <c r="S271" i="6"/>
  <c r="O271" i="6"/>
  <c r="X199" i="6"/>
  <c r="S199" i="6"/>
  <c r="O199" i="6"/>
  <c r="X265" i="6"/>
  <c r="S265" i="6"/>
  <c r="O265" i="6"/>
  <c r="X84" i="6"/>
  <c r="S84" i="6"/>
  <c r="O84" i="6"/>
  <c r="X165" i="6"/>
  <c r="S165" i="6"/>
  <c r="O165" i="6"/>
  <c r="X121" i="6"/>
  <c r="S121" i="6"/>
  <c r="O121" i="6"/>
  <c r="X98" i="6"/>
  <c r="S98" i="6"/>
  <c r="O98" i="6"/>
  <c r="T271" i="6" l="1"/>
  <c r="Y271" i="6" s="1"/>
  <c r="T98" i="6"/>
  <c r="Y98" i="6" s="1"/>
  <c r="T168" i="6"/>
  <c r="Y168" i="6" s="1"/>
  <c r="T230" i="6"/>
  <c r="Y230" i="6" s="1"/>
  <c r="T297" i="6"/>
  <c r="Y297" i="6" s="1"/>
  <c r="T192" i="6"/>
  <c r="AB192" i="6" s="1"/>
  <c r="T287" i="6"/>
  <c r="Y287" i="6" s="1"/>
  <c r="T89" i="6"/>
  <c r="AH89" i="6" s="1"/>
  <c r="T201" i="6"/>
  <c r="Y201" i="6" s="1"/>
  <c r="T121" i="6"/>
  <c r="U121" i="6" s="1"/>
  <c r="T84" i="6"/>
  <c r="AJ84" i="6" s="1"/>
  <c r="T265" i="6"/>
  <c r="Y265" i="6" s="1"/>
  <c r="T204" i="6"/>
  <c r="Y204" i="6" s="1"/>
  <c r="T180" i="6"/>
  <c r="Y180" i="6" s="1"/>
  <c r="T288" i="6"/>
  <c r="Y288" i="6" s="1"/>
  <c r="T207" i="6"/>
  <c r="Y207" i="6" s="1"/>
  <c r="T229" i="6"/>
  <c r="AG229" i="6" s="1"/>
  <c r="T278" i="6"/>
  <c r="Y278" i="6" s="1"/>
  <c r="T186" i="6"/>
  <c r="AG186" i="6" s="1"/>
  <c r="T127" i="6"/>
  <c r="AG127" i="6" s="1"/>
  <c r="T266" i="6"/>
  <c r="AF266" i="6" s="1"/>
  <c r="T28" i="6"/>
  <c r="AG28" i="6" s="1"/>
  <c r="T165" i="6"/>
  <c r="Y165" i="6" s="1"/>
  <c r="T195" i="6"/>
  <c r="Y195" i="6" s="1"/>
  <c r="T198" i="6"/>
  <c r="Y198" i="6" s="1"/>
  <c r="T107" i="6"/>
  <c r="Y107" i="6" s="1"/>
  <c r="T44" i="6"/>
  <c r="Y44" i="6" s="1"/>
  <c r="T175" i="6"/>
  <c r="AC175" i="6" s="1"/>
  <c r="T176" i="6"/>
  <c r="AH176" i="6" s="1"/>
  <c r="T213" i="6"/>
  <c r="Y213" i="6" s="1"/>
  <c r="T264" i="6"/>
  <c r="Y264" i="6" s="1"/>
  <c r="T199" i="6"/>
  <c r="Y199" i="6" s="1"/>
  <c r="X157" i="6"/>
  <c r="S157" i="6"/>
  <c r="O157" i="6"/>
  <c r="X113" i="6"/>
  <c r="S113" i="6"/>
  <c r="O113" i="6"/>
  <c r="X144" i="6"/>
  <c r="S144" i="6"/>
  <c r="O144" i="6"/>
  <c r="X103" i="6"/>
  <c r="S103" i="6"/>
  <c r="O103" i="6"/>
  <c r="X68" i="6"/>
  <c r="S68" i="6"/>
  <c r="O68" i="6"/>
  <c r="X72" i="6"/>
  <c r="S72" i="6"/>
  <c r="O72" i="6"/>
  <c r="X57" i="6"/>
  <c r="S57" i="6"/>
  <c r="O57" i="6"/>
  <c r="X16" i="6"/>
  <c r="S16" i="6"/>
  <c r="O16" i="6"/>
  <c r="AE168" i="6" l="1"/>
  <c r="AH168" i="6"/>
  <c r="AF271" i="6"/>
  <c r="AI271" i="6"/>
  <c r="AD271" i="6"/>
  <c r="AB271" i="6"/>
  <c r="AE271" i="6"/>
  <c r="AH271" i="6"/>
  <c r="AC271" i="6"/>
  <c r="U271" i="6"/>
  <c r="AJ271" i="6"/>
  <c r="AG271" i="6"/>
  <c r="AF98" i="6"/>
  <c r="AI98" i="6"/>
  <c r="AC98" i="6"/>
  <c r="AB98" i="6"/>
  <c r="AG98" i="6"/>
  <c r="AE98" i="6"/>
  <c r="AF168" i="6"/>
  <c r="AI168" i="6"/>
  <c r="AD98" i="6"/>
  <c r="AH98" i="6"/>
  <c r="U98" i="6"/>
  <c r="AJ98" i="6"/>
  <c r="U168" i="6"/>
  <c r="AJ168" i="6"/>
  <c r="AD168" i="6"/>
  <c r="AB168" i="6"/>
  <c r="AG168" i="6"/>
  <c r="AC168" i="6"/>
  <c r="Y121" i="6"/>
  <c r="T157" i="6"/>
  <c r="Y157" i="6" s="1"/>
  <c r="AH198" i="6"/>
  <c r="AJ121" i="6"/>
  <c r="AJ230" i="6"/>
  <c r="W230" i="6" s="1"/>
  <c r="AC230" i="6"/>
  <c r="AE230" i="6"/>
  <c r="AI230" i="6"/>
  <c r="AI201" i="6"/>
  <c r="T113" i="6"/>
  <c r="Y113" i="6" s="1"/>
  <c r="U230" i="6"/>
  <c r="AF230" i="6"/>
  <c r="AD201" i="6"/>
  <c r="AC201" i="6"/>
  <c r="AH230" i="6"/>
  <c r="AD230" i="6"/>
  <c r="AB230" i="6"/>
  <c r="AG230" i="6"/>
  <c r="AF201" i="6"/>
  <c r="T72" i="6"/>
  <c r="Y72" i="6" s="1"/>
  <c r="AG278" i="6"/>
  <c r="AB121" i="6"/>
  <c r="AH121" i="6"/>
  <c r="AF127" i="6"/>
  <c r="AH127" i="6"/>
  <c r="AJ264" i="6"/>
  <c r="AE297" i="6"/>
  <c r="AF297" i="6"/>
  <c r="AB176" i="6"/>
  <c r="AJ297" i="6"/>
  <c r="U297" i="6"/>
  <c r="AF176" i="6"/>
  <c r="AD176" i="6"/>
  <c r="AG176" i="6"/>
  <c r="AI297" i="6"/>
  <c r="AC297" i="6"/>
  <c r="Y176" i="6"/>
  <c r="AH297" i="6"/>
  <c r="AI204" i="6"/>
  <c r="AD297" i="6"/>
  <c r="AB297" i="6"/>
  <c r="AG297" i="6"/>
  <c r="AB107" i="6"/>
  <c r="AJ176" i="6"/>
  <c r="U264" i="6"/>
  <c r="AE264" i="6"/>
  <c r="AI121" i="6"/>
  <c r="AI176" i="6"/>
  <c r="AC176" i="6"/>
  <c r="U84" i="6"/>
  <c r="Y186" i="6"/>
  <c r="AI192" i="6"/>
  <c r="AD121" i="6"/>
  <c r="AG84" i="6"/>
  <c r="AE121" i="6"/>
  <c r="AI207" i="6"/>
  <c r="AG121" i="6"/>
  <c r="AF121" i="6"/>
  <c r="AF288" i="6"/>
  <c r="AE176" i="6"/>
  <c r="Y192" i="6"/>
  <c r="AH28" i="6"/>
  <c r="AG287" i="6"/>
  <c r="AH287" i="6"/>
  <c r="AH186" i="6"/>
  <c r="AD287" i="6"/>
  <c r="AJ28" i="6"/>
  <c r="AC121" i="6"/>
  <c r="AE198" i="6"/>
  <c r="AH192" i="6"/>
  <c r="AC28" i="6"/>
  <c r="AI186" i="6"/>
  <c r="AD186" i="6"/>
  <c r="AJ201" i="6"/>
  <c r="U176" i="6"/>
  <c r="U192" i="6"/>
  <c r="AC287" i="6"/>
  <c r="AF28" i="6"/>
  <c r="AE28" i="6"/>
  <c r="AF287" i="6"/>
  <c r="AJ287" i="6"/>
  <c r="AG180" i="6"/>
  <c r="AF264" i="6"/>
  <c r="AC84" i="6"/>
  <c r="AH264" i="6"/>
  <c r="AG204" i="6"/>
  <c r="AB204" i="6"/>
  <c r="AF278" i="6"/>
  <c r="AB288" i="6"/>
  <c r="AD28" i="6"/>
  <c r="AH201" i="6"/>
  <c r="AE201" i="6"/>
  <c r="U201" i="6"/>
  <c r="AB201" i="6"/>
  <c r="AG201" i="6"/>
  <c r="AC192" i="6"/>
  <c r="AG192" i="6"/>
  <c r="AB28" i="6"/>
  <c r="AE180" i="6"/>
  <c r="AD229" i="6"/>
  <c r="AG89" i="6"/>
  <c r="AD288" i="6"/>
  <c r="AI84" i="6"/>
  <c r="AG288" i="6"/>
  <c r="AJ207" i="6"/>
  <c r="AH207" i="6"/>
  <c r="AH107" i="6"/>
  <c r="U288" i="6"/>
  <c r="AE165" i="6"/>
  <c r="AD192" i="6"/>
  <c r="AB175" i="6"/>
  <c r="AE192" i="6"/>
  <c r="AF192" i="6"/>
  <c r="AE89" i="6"/>
  <c r="AF89" i="6"/>
  <c r="AB287" i="6"/>
  <c r="AE287" i="6"/>
  <c r="AG265" i="6"/>
  <c r="AF107" i="6"/>
  <c r="AE175" i="6"/>
  <c r="AJ186" i="6"/>
  <c r="AB84" i="6"/>
  <c r="AH288" i="6"/>
  <c r="AE288" i="6"/>
  <c r="Y84" i="6"/>
  <c r="AI175" i="6"/>
  <c r="AJ192" i="6"/>
  <c r="AI287" i="6"/>
  <c r="U287" i="6"/>
  <c r="AI89" i="6"/>
  <c r="AD89" i="6"/>
  <c r="AB89" i="6"/>
  <c r="U89" i="6"/>
  <c r="U266" i="6"/>
  <c r="Y89" i="6"/>
  <c r="AC89" i="6"/>
  <c r="AJ89" i="6"/>
  <c r="AD198" i="6"/>
  <c r="AJ198" i="6"/>
  <c r="AH265" i="6"/>
  <c r="AF198" i="6"/>
  <c r="AD207" i="6"/>
  <c r="AE84" i="6"/>
  <c r="AB186" i="6"/>
  <c r="AC186" i="6"/>
  <c r="AJ229" i="6"/>
  <c r="AF84" i="6"/>
  <c r="AH229" i="6"/>
  <c r="AC288" i="6"/>
  <c r="AC198" i="6"/>
  <c r="AB207" i="6"/>
  <c r="U265" i="6"/>
  <c r="AG207" i="6"/>
  <c r="AD84" i="6"/>
  <c r="AB198" i="6"/>
  <c r="AE207" i="6"/>
  <c r="AJ288" i="6"/>
  <c r="U186" i="6"/>
  <c r="AJ266" i="6"/>
  <c r="Y28" i="6"/>
  <c r="AF213" i="6"/>
  <c r="AF229" i="6"/>
  <c r="AB265" i="6"/>
  <c r="U198" i="6"/>
  <c r="AD213" i="6"/>
  <c r="AE186" i="6"/>
  <c r="AE229" i="6"/>
  <c r="AH84" i="6"/>
  <c r="AF186" i="6"/>
  <c r="AE213" i="6"/>
  <c r="AI288" i="6"/>
  <c r="U207" i="6"/>
  <c r="AC207" i="6"/>
  <c r="AG198" i="6"/>
  <c r="AF207" i="6"/>
  <c r="AI198" i="6"/>
  <c r="Y229" i="6"/>
  <c r="AC266" i="6"/>
  <c r="AF44" i="6"/>
  <c r="AC278" i="6"/>
  <c r="AE204" i="6"/>
  <c r="U213" i="6"/>
  <c r="AH213" i="6"/>
  <c r="AF180" i="6"/>
  <c r="U127" i="6"/>
  <c r="AD127" i="6"/>
  <c r="Y127" i="6"/>
  <c r="AI180" i="6"/>
  <c r="AD278" i="6"/>
  <c r="AD265" i="6"/>
  <c r="AI213" i="6"/>
  <c r="AC213" i="6"/>
  <c r="AI44" i="6"/>
  <c r="AI229" i="6"/>
  <c r="AC229" i="6"/>
  <c r="AC199" i="6"/>
  <c r="AI278" i="6"/>
  <c r="AG165" i="6"/>
  <c r="AC204" i="6"/>
  <c r="AC265" i="6"/>
  <c r="AF204" i="6"/>
  <c r="AE265" i="6"/>
  <c r="U278" i="6"/>
  <c r="AB278" i="6"/>
  <c r="AF265" i="6"/>
  <c r="AI127" i="6"/>
  <c r="AC127" i="6"/>
  <c r="U229" i="6"/>
  <c r="AJ175" i="6"/>
  <c r="AH175" i="6"/>
  <c r="AB180" i="6"/>
  <c r="AH180" i="6"/>
  <c r="AE127" i="6"/>
  <c r="AC180" i="6"/>
  <c r="AJ213" i="6"/>
  <c r="AE199" i="6"/>
  <c r="AI199" i="6"/>
  <c r="AJ204" i="6"/>
  <c r="U204" i="6"/>
  <c r="AJ278" i="6"/>
  <c r="AJ127" i="6"/>
  <c r="AD204" i="6"/>
  <c r="AB213" i="6"/>
  <c r="AG213" i="6"/>
  <c r="AB229" i="6"/>
  <c r="AJ195" i="6"/>
  <c r="AH278" i="6"/>
  <c r="AJ265" i="6"/>
  <c r="U165" i="6"/>
  <c r="AI265" i="6"/>
  <c r="AH204" i="6"/>
  <c r="AE278" i="6"/>
  <c r="AC165" i="6"/>
  <c r="AD180" i="6"/>
  <c r="AB127" i="6"/>
  <c r="U175" i="6"/>
  <c r="AJ180" i="6"/>
  <c r="U180" i="6"/>
  <c r="U199" i="6"/>
  <c r="AE266" i="6"/>
  <c r="AG266" i="6"/>
  <c r="Y266" i="6"/>
  <c r="AD266" i="6"/>
  <c r="AB266" i="6"/>
  <c r="AH266" i="6"/>
  <c r="AI266" i="6"/>
  <c r="AI28" i="6"/>
  <c r="U28" i="6"/>
  <c r="AH195" i="6"/>
  <c r="AB44" i="6"/>
  <c r="AD44" i="6"/>
  <c r="AD107" i="6"/>
  <c r="AD165" i="6"/>
  <c r="AI264" i="6"/>
  <c r="AC264" i="6"/>
  <c r="AE44" i="6"/>
  <c r="AG44" i="6"/>
  <c r="AH44" i="6"/>
  <c r="AD195" i="6"/>
  <c r="AB195" i="6"/>
  <c r="AG195" i="6"/>
  <c r="AF199" i="6"/>
  <c r="AJ107" i="6"/>
  <c r="AF165" i="6"/>
  <c r="AG107" i="6"/>
  <c r="AE107" i="6"/>
  <c r="AI165" i="6"/>
  <c r="AI107" i="6"/>
  <c r="Y175" i="6"/>
  <c r="AG175" i="6"/>
  <c r="AE195" i="6"/>
  <c r="AI195" i="6"/>
  <c r="AC195" i="6"/>
  <c r="AB199" i="6"/>
  <c r="AG199" i="6"/>
  <c r="AJ44" i="6"/>
  <c r="AD264" i="6"/>
  <c r="AH199" i="6"/>
  <c r="AB264" i="6"/>
  <c r="AG264" i="6"/>
  <c r="U44" i="6"/>
  <c r="AC44" i="6"/>
  <c r="U195" i="6"/>
  <c r="AD199" i="6"/>
  <c r="AF195" i="6"/>
  <c r="AJ199" i="6"/>
  <c r="AC107" i="6"/>
  <c r="AH165" i="6"/>
  <c r="U107" i="6"/>
  <c r="AJ165" i="6"/>
  <c r="AB165" i="6"/>
  <c r="AD175" i="6"/>
  <c r="AF175" i="6"/>
  <c r="T103" i="6"/>
  <c r="AI103" i="6" s="1"/>
  <c r="T68" i="6"/>
  <c r="Y68" i="6" s="1"/>
  <c r="T57" i="6"/>
  <c r="AG57" i="6" s="1"/>
  <c r="T16" i="6"/>
  <c r="Y16" i="6" s="1"/>
  <c r="T144" i="6"/>
  <c r="Y144" i="6" s="1"/>
  <c r="AG157" i="6" l="1"/>
  <c r="U157" i="6"/>
  <c r="AI157" i="6"/>
  <c r="AJ113" i="6"/>
  <c r="AB157" i="6"/>
  <c r="AC157" i="6"/>
  <c r="AQ271" i="6"/>
  <c r="V271" i="6" s="1"/>
  <c r="W271" i="6"/>
  <c r="AQ168" i="6"/>
  <c r="V168" i="6" s="1"/>
  <c r="W98" i="6"/>
  <c r="W168" i="6"/>
  <c r="AQ98" i="6"/>
  <c r="V98" i="6" s="1"/>
  <c r="AF157" i="6"/>
  <c r="AE157" i="6"/>
  <c r="AH157" i="6"/>
  <c r="AJ157" i="6"/>
  <c r="AD157" i="6"/>
  <c r="AC113" i="6"/>
  <c r="AH72" i="6"/>
  <c r="AQ230" i="6"/>
  <c r="V230" i="6" s="1"/>
  <c r="AI113" i="6"/>
  <c r="AE113" i="6"/>
  <c r="AH113" i="6"/>
  <c r="AB113" i="6"/>
  <c r="U113" i="6"/>
  <c r="AD113" i="6"/>
  <c r="AJ72" i="6"/>
  <c r="AG113" i="6"/>
  <c r="AF113" i="6"/>
  <c r="AI72" i="6"/>
  <c r="AC72" i="6"/>
  <c r="AF72" i="6"/>
  <c r="AD72" i="6"/>
  <c r="U72" i="6"/>
  <c r="AE72" i="6"/>
  <c r="AB72" i="6"/>
  <c r="AG72" i="6"/>
  <c r="W176" i="6"/>
  <c r="AQ297" i="6"/>
  <c r="V297" i="6" s="1"/>
  <c r="W297" i="6"/>
  <c r="W201" i="6"/>
  <c r="AF57" i="6"/>
  <c r="AQ176" i="6"/>
  <c r="V176" i="6" s="1"/>
  <c r="W192" i="6"/>
  <c r="W84" i="6"/>
  <c r="AQ204" i="6"/>
  <c r="V204" i="6" s="1"/>
  <c r="W89" i="6"/>
  <c r="AQ121" i="6"/>
  <c r="V121" i="6" s="1"/>
  <c r="AH57" i="6"/>
  <c r="W121" i="6"/>
  <c r="U16" i="6"/>
  <c r="AQ192" i="6"/>
  <c r="V192" i="6" s="1"/>
  <c r="AQ201" i="6"/>
  <c r="V201" i="6" s="1"/>
  <c r="AQ89" i="6"/>
  <c r="V89" i="6" s="1"/>
  <c r="W28" i="6"/>
  <c r="W265" i="6"/>
  <c r="W198" i="6"/>
  <c r="W287" i="6"/>
  <c r="AQ288" i="6"/>
  <c r="V288" i="6" s="1"/>
  <c r="AQ186" i="6"/>
  <c r="V186" i="6" s="1"/>
  <c r="AQ180" i="6"/>
  <c r="V180" i="6" s="1"/>
  <c r="AQ287" i="6"/>
  <c r="V287" i="6" s="1"/>
  <c r="W180" i="6"/>
  <c r="AQ207" i="6"/>
  <c r="V207" i="6" s="1"/>
  <c r="W186" i="6"/>
  <c r="W229" i="6"/>
  <c r="W288" i="6"/>
  <c r="AQ213" i="6"/>
  <c r="V213" i="6" s="1"/>
  <c r="AQ84" i="6"/>
  <c r="V84" i="6" s="1"/>
  <c r="AQ127" i="6"/>
  <c r="V127" i="6" s="1"/>
  <c r="AQ198" i="6"/>
  <c r="V198" i="6" s="1"/>
  <c r="W264" i="6"/>
  <c r="U103" i="6"/>
  <c r="AJ103" i="6"/>
  <c r="W207" i="6"/>
  <c r="W266" i="6"/>
  <c r="W278" i="6"/>
  <c r="AQ265" i="6"/>
  <c r="V265" i="6" s="1"/>
  <c r="W127" i="6"/>
  <c r="W204" i="6"/>
  <c r="W213" i="6"/>
  <c r="AQ229" i="6"/>
  <c r="V229" i="6" s="1"/>
  <c r="AQ195" i="6"/>
  <c r="V195" i="6" s="1"/>
  <c r="AQ278" i="6"/>
  <c r="V278" i="6" s="1"/>
  <c r="AQ266" i="6"/>
  <c r="V266" i="6" s="1"/>
  <c r="W165" i="6"/>
  <c r="AQ175" i="6"/>
  <c r="V175" i="6" s="1"/>
  <c r="AQ165" i="6"/>
  <c r="V165" i="6" s="1"/>
  <c r="AQ264" i="6"/>
  <c r="V264" i="6" s="1"/>
  <c r="AD57" i="6"/>
  <c r="W199" i="6"/>
  <c r="W44" i="6"/>
  <c r="W175" i="6"/>
  <c r="AQ199" i="6"/>
  <c r="V199" i="6" s="1"/>
  <c r="AQ107" i="6"/>
  <c r="V107" i="6" s="1"/>
  <c r="W195" i="6"/>
  <c r="AQ28" i="6"/>
  <c r="V28" i="6" s="1"/>
  <c r="AF144" i="6"/>
  <c r="W107" i="6"/>
  <c r="AQ44" i="6"/>
  <c r="V44" i="6" s="1"/>
  <c r="AH103" i="6"/>
  <c r="AJ68" i="6"/>
  <c r="AD103" i="6"/>
  <c r="AB16" i="6"/>
  <c r="AC103" i="6"/>
  <c r="AC68" i="6"/>
  <c r="U68" i="6"/>
  <c r="AD16" i="6"/>
  <c r="AC16" i="6"/>
  <c r="AI68" i="6"/>
  <c r="AE68" i="6"/>
  <c r="AC57" i="6"/>
  <c r="AE57" i="6"/>
  <c r="AI57" i="6"/>
  <c r="Y57" i="6"/>
  <c r="AE103" i="6"/>
  <c r="Y103" i="6"/>
  <c r="AB103" i="6"/>
  <c r="AG103" i="6"/>
  <c r="AF103" i="6"/>
  <c r="AB68" i="6"/>
  <c r="AH68" i="6"/>
  <c r="AF68" i="6"/>
  <c r="AG68" i="6"/>
  <c r="AD68" i="6"/>
  <c r="AJ144" i="6"/>
  <c r="AD144" i="6"/>
  <c r="AH144" i="6"/>
  <c r="AC144" i="6"/>
  <c r="U144" i="6"/>
  <c r="AI144" i="6"/>
  <c r="AE144" i="6"/>
  <c r="U57" i="6"/>
  <c r="AB144" i="6"/>
  <c r="AG144" i="6"/>
  <c r="AI16" i="6"/>
  <c r="AB57" i="6"/>
  <c r="AJ57" i="6"/>
  <c r="AE16" i="6"/>
  <c r="AJ16" i="6"/>
  <c r="AF16" i="6"/>
  <c r="AG16" i="6"/>
  <c r="AH16" i="6"/>
  <c r="W157" i="6" l="1"/>
  <c r="AQ157" i="6"/>
  <c r="V157" i="6" s="1"/>
  <c r="AQ113" i="6"/>
  <c r="V113" i="6" s="1"/>
  <c r="W72" i="6"/>
  <c r="W113" i="6"/>
  <c r="AQ72" i="6"/>
  <c r="V72" i="6" s="1"/>
  <c r="W68" i="6"/>
  <c r="AQ103" i="6"/>
  <c r="V103" i="6" s="1"/>
  <c r="AQ57" i="6"/>
  <c r="V57" i="6" s="1"/>
  <c r="W103" i="6"/>
  <c r="AQ144" i="6"/>
  <c r="V144" i="6" s="1"/>
  <c r="AQ68" i="6"/>
  <c r="V68" i="6" s="1"/>
  <c r="W16" i="6"/>
  <c r="AQ16" i="6"/>
  <c r="V16" i="6" s="1"/>
  <c r="W144" i="6"/>
  <c r="W57" i="6"/>
  <c r="X323" i="6"/>
  <c r="S323" i="6"/>
  <c r="O323" i="6"/>
  <c r="X221" i="6"/>
  <c r="S221" i="6"/>
  <c r="O221" i="6"/>
  <c r="T323" i="6" l="1"/>
  <c r="AG323" i="6" s="1"/>
  <c r="T221" i="6"/>
  <c r="AG221" i="6" s="1"/>
  <c r="AD221" i="6" l="1"/>
  <c r="Y323" i="6"/>
  <c r="AH323" i="6"/>
  <c r="AC323" i="6"/>
  <c r="AJ323" i="6"/>
  <c r="AI323" i="6"/>
  <c r="AB323" i="6"/>
  <c r="AJ221" i="6"/>
  <c r="AB221" i="6"/>
  <c r="AE221" i="6"/>
  <c r="U221" i="6"/>
  <c r="AE323" i="6"/>
  <c r="AD323" i="6"/>
  <c r="U323" i="6"/>
  <c r="AF323" i="6"/>
  <c r="AF221" i="6"/>
  <c r="Y221" i="6"/>
  <c r="AC221" i="6"/>
  <c r="AI221" i="6"/>
  <c r="AH221" i="6"/>
  <c r="AQ323" i="6" l="1"/>
  <c r="V323" i="6" s="1"/>
  <c r="W323" i="6"/>
  <c r="AQ221" i="6"/>
  <c r="V221" i="6" s="1"/>
  <c r="W221" i="6"/>
  <c r="X61" i="8" l="1"/>
  <c r="S61" i="8"/>
  <c r="O61" i="8"/>
  <c r="X41" i="8"/>
  <c r="S41" i="8"/>
  <c r="O41" i="8"/>
  <c r="X3" i="8"/>
  <c r="S3" i="8"/>
  <c r="O3" i="8"/>
  <c r="X36" i="6"/>
  <c r="S36" i="6"/>
  <c r="O36" i="6"/>
  <c r="X125" i="6"/>
  <c r="S125" i="6"/>
  <c r="O125" i="6"/>
  <c r="X58" i="6"/>
  <c r="S58" i="6"/>
  <c r="O58" i="6"/>
  <c r="X43" i="6"/>
  <c r="S43" i="6"/>
  <c r="O43" i="6"/>
  <c r="X29" i="6"/>
  <c r="S29" i="6"/>
  <c r="O29" i="6"/>
  <c r="X60" i="6"/>
  <c r="S60" i="6"/>
  <c r="O60" i="6"/>
  <c r="X134" i="6"/>
  <c r="S134" i="6"/>
  <c r="O134" i="6"/>
  <c r="X8" i="7"/>
  <c r="S8" i="7"/>
  <c r="O8" i="7"/>
  <c r="X95" i="7"/>
  <c r="S95" i="7"/>
  <c r="O95" i="7"/>
  <c r="X8" i="8"/>
  <c r="S8" i="8"/>
  <c r="O8" i="8"/>
  <c r="X27" i="8"/>
  <c r="S27" i="8"/>
  <c r="O27" i="8"/>
  <c r="X40" i="9"/>
  <c r="S40" i="9"/>
  <c r="O40" i="9"/>
  <c r="X32" i="9"/>
  <c r="S32" i="9"/>
  <c r="O32" i="9"/>
  <c r="X50" i="9"/>
  <c r="S50" i="9"/>
  <c r="O50" i="9"/>
  <c r="X42" i="9"/>
  <c r="S42" i="9"/>
  <c r="O42" i="9"/>
  <c r="X41" i="9"/>
  <c r="S41" i="9"/>
  <c r="O41" i="9"/>
  <c r="X31" i="9"/>
  <c r="S31" i="9"/>
  <c r="O31" i="9"/>
  <c r="X30" i="9"/>
  <c r="S30" i="9"/>
  <c r="O30" i="9"/>
  <c r="X33" i="9"/>
  <c r="S33" i="9"/>
  <c r="O33" i="9"/>
  <c r="X22" i="9"/>
  <c r="S22" i="9"/>
  <c r="O22" i="9"/>
  <c r="X59" i="9"/>
  <c r="S59" i="9"/>
  <c r="O59" i="9"/>
  <c r="X24" i="9"/>
  <c r="S24" i="9"/>
  <c r="O24" i="9"/>
  <c r="X63" i="9"/>
  <c r="S63" i="9"/>
  <c r="O63" i="9"/>
  <c r="X11" i="9"/>
  <c r="S11" i="9"/>
  <c r="O11" i="9"/>
  <c r="X19" i="9"/>
  <c r="S19" i="9"/>
  <c r="O19" i="9"/>
  <c r="X10" i="9"/>
  <c r="S10" i="9"/>
  <c r="O10" i="9"/>
  <c r="X39" i="9"/>
  <c r="S39" i="9"/>
  <c r="O39" i="9"/>
  <c r="X56" i="9"/>
  <c r="S56" i="9"/>
  <c r="O56" i="9"/>
  <c r="X17" i="9"/>
  <c r="S17" i="9"/>
  <c r="O17" i="9"/>
  <c r="X12" i="9"/>
  <c r="S12" i="9"/>
  <c r="O12" i="9"/>
  <c r="X9" i="9"/>
  <c r="S9" i="9"/>
  <c r="O9" i="9"/>
  <c r="X35" i="9"/>
  <c r="S35" i="9"/>
  <c r="O35" i="9"/>
  <c r="X49" i="9"/>
  <c r="S49" i="9"/>
  <c r="O49" i="9"/>
  <c r="X65" i="9"/>
  <c r="S65" i="9"/>
  <c r="O65" i="9"/>
  <c r="X46" i="9"/>
  <c r="S46" i="9"/>
  <c r="O46" i="9"/>
  <c r="X34" i="9"/>
  <c r="S34" i="9"/>
  <c r="O34" i="9"/>
  <c r="X28" i="9"/>
  <c r="S28" i="9"/>
  <c r="O28" i="9"/>
  <c r="X51" i="9"/>
  <c r="S51" i="9"/>
  <c r="O51" i="9"/>
  <c r="X23" i="9"/>
  <c r="S23" i="9"/>
  <c r="O23" i="9"/>
  <c r="X20" i="9"/>
  <c r="S20" i="9"/>
  <c r="O20" i="9"/>
  <c r="X16" i="9"/>
  <c r="S16" i="9"/>
  <c r="O16" i="9"/>
  <c r="X14" i="9"/>
  <c r="S14" i="9"/>
  <c r="O14" i="9"/>
  <c r="X60" i="9"/>
  <c r="S60" i="9"/>
  <c r="O60" i="9"/>
  <c r="X7" i="9"/>
  <c r="S7" i="9"/>
  <c r="O7" i="9"/>
  <c r="X43" i="9"/>
  <c r="S43" i="9"/>
  <c r="O43" i="9"/>
  <c r="X3" i="9"/>
  <c r="S3" i="9"/>
  <c r="O3" i="9"/>
  <c r="X29" i="9"/>
  <c r="S29" i="9"/>
  <c r="O29" i="9"/>
  <c r="T40" i="9" l="1"/>
  <c r="Y40" i="9" s="1"/>
  <c r="T63" i="9"/>
  <c r="Y63" i="9" s="1"/>
  <c r="T22" i="9"/>
  <c r="Y22" i="9" s="1"/>
  <c r="T41" i="9"/>
  <c r="Y41" i="9" s="1"/>
  <c r="T58" i="6"/>
  <c r="Y58" i="6" s="1"/>
  <c r="T125" i="6"/>
  <c r="Y125" i="6" s="1"/>
  <c r="T29" i="6"/>
  <c r="Y29" i="6" s="1"/>
  <c r="T36" i="6"/>
  <c r="Y36" i="6" s="1"/>
  <c r="T8" i="8"/>
  <c r="Y8" i="8" s="1"/>
  <c r="T42" i="9"/>
  <c r="Y42" i="9" s="1"/>
  <c r="T50" i="9"/>
  <c r="Y50" i="9" s="1"/>
  <c r="T30" i="9"/>
  <c r="U30" i="9" s="1"/>
  <c r="T34" i="9"/>
  <c r="AH34" i="9" s="1"/>
  <c r="T39" i="9"/>
  <c r="Y39" i="9" s="1"/>
  <c r="T16" i="9"/>
  <c r="U16" i="9" s="1"/>
  <c r="T33" i="9"/>
  <c r="Y33" i="9" s="1"/>
  <c r="T31" i="9"/>
  <c r="Y31" i="9" s="1"/>
  <c r="T24" i="9"/>
  <c r="AJ24" i="9" s="1"/>
  <c r="T59" i="9"/>
  <c r="Y59" i="9" s="1"/>
  <c r="T32" i="9"/>
  <c r="Y32" i="9" s="1"/>
  <c r="T10" i="9"/>
  <c r="Y10" i="9" s="1"/>
  <c r="T17" i="9"/>
  <c r="Y17" i="9" s="1"/>
  <c r="T56" i="9"/>
  <c r="Y56" i="9" s="1"/>
  <c r="T11" i="9"/>
  <c r="U11" i="9" s="1"/>
  <c r="T19" i="9"/>
  <c r="Y19" i="9" s="1"/>
  <c r="T60" i="6"/>
  <c r="Y60" i="6" s="1"/>
  <c r="T3" i="9"/>
  <c r="Y3" i="9" s="1"/>
  <c r="T7" i="9"/>
  <c r="U7" i="9" s="1"/>
  <c r="T12" i="9"/>
  <c r="Y12" i="9" s="1"/>
  <c r="T134" i="6"/>
  <c r="Y134" i="6" s="1"/>
  <c r="T43" i="6"/>
  <c r="Y43" i="6" s="1"/>
  <c r="T46" i="9"/>
  <c r="Y46" i="9" s="1"/>
  <c r="T95" i="7"/>
  <c r="Y95" i="7" s="1"/>
  <c r="T29" i="9"/>
  <c r="Y29" i="9" s="1"/>
  <c r="T23" i="9"/>
  <c r="U23" i="9" s="1"/>
  <c r="T61" i="8"/>
  <c r="AG61" i="8" s="1"/>
  <c r="T60" i="9"/>
  <c r="Y60" i="9" s="1"/>
  <c r="T28" i="9"/>
  <c r="Y28" i="9" s="1"/>
  <c r="T9" i="9"/>
  <c r="Y9" i="9" s="1"/>
  <c r="T35" i="9"/>
  <c r="Y35" i="9" s="1"/>
  <c r="T49" i="9"/>
  <c r="Y49" i="9" s="1"/>
  <c r="T14" i="9"/>
  <c r="Y14" i="9" s="1"/>
  <c r="T20" i="9"/>
  <c r="AI20" i="9" s="1"/>
  <c r="T65" i="9"/>
  <c r="Y65" i="9" s="1"/>
  <c r="T51" i="9"/>
  <c r="Y51" i="9" s="1"/>
  <c r="T41" i="8"/>
  <c r="AG41" i="8" s="1"/>
  <c r="T27" i="8"/>
  <c r="AG27" i="8" s="1"/>
  <c r="T3" i="8"/>
  <c r="Y3" i="8" s="1"/>
  <c r="T8" i="7"/>
  <c r="AG8" i="7" s="1"/>
  <c r="AG40" i="9"/>
  <c r="T43" i="9"/>
  <c r="Y43" i="9" s="1"/>
  <c r="AH40" i="9"/>
  <c r="U40" i="9"/>
  <c r="AE40" i="9"/>
  <c r="AI40" i="9"/>
  <c r="AB40" i="9"/>
  <c r="AF40" i="9"/>
  <c r="AJ40" i="9"/>
  <c r="AD40" i="9"/>
  <c r="AC40" i="9"/>
  <c r="AI66" i="9"/>
  <c r="AE66" i="9"/>
  <c r="AB66" i="9"/>
  <c r="AG66" i="9"/>
  <c r="AC31" i="9"/>
  <c r="AF66" i="9"/>
  <c r="AC66" i="9"/>
  <c r="AH66" i="9"/>
  <c r="AD63" i="9"/>
  <c r="AD66" i="9"/>
  <c r="AJ66" i="9"/>
  <c r="AJ19" i="9"/>
  <c r="AE63" i="9"/>
  <c r="AF63" i="9"/>
  <c r="AF31" i="9"/>
  <c r="X62" i="8"/>
  <c r="S62" i="8"/>
  <c r="O62" i="8"/>
  <c r="X19" i="8"/>
  <c r="S19" i="8"/>
  <c r="O19" i="8"/>
  <c r="X86" i="8"/>
  <c r="S86" i="8"/>
  <c r="O86" i="8"/>
  <c r="X93" i="8"/>
  <c r="S93" i="8"/>
  <c r="O93" i="8"/>
  <c r="X82" i="8"/>
  <c r="S82" i="8"/>
  <c r="O82" i="8"/>
  <c r="X79" i="8"/>
  <c r="S79" i="8"/>
  <c r="O79" i="8"/>
  <c r="X77" i="8"/>
  <c r="S77" i="8"/>
  <c r="O77" i="8"/>
  <c r="X59" i="8"/>
  <c r="S59" i="8"/>
  <c r="O59" i="8"/>
  <c r="X56" i="8"/>
  <c r="S56" i="8"/>
  <c r="O56" i="8"/>
  <c r="X38" i="8"/>
  <c r="S38" i="8"/>
  <c r="O38" i="8"/>
  <c r="X37" i="8"/>
  <c r="S37" i="8"/>
  <c r="O37" i="8"/>
  <c r="X92" i="8"/>
  <c r="S92" i="8"/>
  <c r="O92" i="8"/>
  <c r="X59" i="7"/>
  <c r="S59" i="7"/>
  <c r="O59" i="7"/>
  <c r="X101" i="7"/>
  <c r="S101" i="7"/>
  <c r="O101" i="7"/>
  <c r="X94" i="7"/>
  <c r="S94" i="7"/>
  <c r="O94" i="7"/>
  <c r="X93" i="7"/>
  <c r="S93" i="7"/>
  <c r="O93" i="7"/>
  <c r="X82" i="7"/>
  <c r="S82" i="7"/>
  <c r="O82" i="7"/>
  <c r="X81" i="7"/>
  <c r="S81" i="7"/>
  <c r="O81" i="7"/>
  <c r="X78" i="7"/>
  <c r="S78" i="7"/>
  <c r="O78" i="7"/>
  <c r="X46" i="7"/>
  <c r="S46" i="7"/>
  <c r="O46" i="7"/>
  <c r="X62" i="7"/>
  <c r="S62" i="7"/>
  <c r="O62" i="7"/>
  <c r="X26" i="7"/>
  <c r="S26" i="7"/>
  <c r="O26" i="7"/>
  <c r="X281" i="6"/>
  <c r="S281" i="6"/>
  <c r="O281" i="6"/>
  <c r="X280" i="6"/>
  <c r="S280" i="6"/>
  <c r="O280" i="6"/>
  <c r="X257" i="6"/>
  <c r="S257" i="6"/>
  <c r="O257" i="6"/>
  <c r="X256" i="6"/>
  <c r="S256" i="6"/>
  <c r="O256" i="6"/>
  <c r="X249" i="6"/>
  <c r="S249" i="6"/>
  <c r="O249" i="6"/>
  <c r="X248" i="6"/>
  <c r="S248" i="6"/>
  <c r="O248" i="6"/>
  <c r="X241" i="6"/>
  <c r="S241" i="6"/>
  <c r="O241" i="6"/>
  <c r="X240" i="6"/>
  <c r="S240" i="6"/>
  <c r="O240" i="6"/>
  <c r="X237" i="6"/>
  <c r="S237" i="6"/>
  <c r="O237" i="6"/>
  <c r="X234" i="6"/>
  <c r="S234" i="6"/>
  <c r="O234" i="6"/>
  <c r="X224" i="6"/>
  <c r="S224" i="6"/>
  <c r="O224" i="6"/>
  <c r="X202" i="6"/>
  <c r="S202" i="6"/>
  <c r="O202" i="6"/>
  <c r="X200" i="6"/>
  <c r="S200" i="6"/>
  <c r="O200" i="6"/>
  <c r="X193" i="6"/>
  <c r="S193" i="6"/>
  <c r="O193" i="6"/>
  <c r="X170" i="6"/>
  <c r="S170" i="6"/>
  <c r="O170" i="6"/>
  <c r="X146" i="6"/>
  <c r="S146" i="6"/>
  <c r="O146" i="6"/>
  <c r="X137" i="6"/>
  <c r="S137" i="6"/>
  <c r="O137" i="6"/>
  <c r="X131" i="6"/>
  <c r="S131" i="6"/>
  <c r="O131" i="6"/>
  <c r="AG12" i="9" l="1"/>
  <c r="AE12" i="9"/>
  <c r="U95" i="7"/>
  <c r="AH63" i="9"/>
  <c r="AJ63" i="9"/>
  <c r="AI12" i="9"/>
  <c r="AC34" i="9"/>
  <c r="Y34" i="9"/>
  <c r="AE31" i="9"/>
  <c r="AG34" i="9"/>
  <c r="U34" i="9"/>
  <c r="AH31" i="9"/>
  <c r="AE34" i="9"/>
  <c r="AF33" i="9"/>
  <c r="AB33" i="9"/>
  <c r="AD22" i="9"/>
  <c r="U46" i="9"/>
  <c r="U32" i="9"/>
  <c r="AD33" i="9"/>
  <c r="AC30" i="9"/>
  <c r="AG22" i="9"/>
  <c r="AF22" i="9"/>
  <c r="U29" i="6"/>
  <c r="AE36" i="6"/>
  <c r="AC95" i="7"/>
  <c r="AI8" i="8"/>
  <c r="AH8" i="8"/>
  <c r="AC8" i="8"/>
  <c r="AD8" i="8"/>
  <c r="AB8" i="8"/>
  <c r="U63" i="9"/>
  <c r="AG11" i="9"/>
  <c r="AC63" i="9"/>
  <c r="AF32" i="9"/>
  <c r="AJ33" i="9"/>
  <c r="AI63" i="9"/>
  <c r="AB63" i="9"/>
  <c r="AG63" i="9"/>
  <c r="AH24" i="9"/>
  <c r="AH39" i="9"/>
  <c r="AG50" i="9"/>
  <c r="U39" i="9"/>
  <c r="AB60" i="9"/>
  <c r="AC59" i="9"/>
  <c r="AG39" i="9"/>
  <c r="AD29" i="9"/>
  <c r="AG42" i="9"/>
  <c r="AC12" i="9"/>
  <c r="AI22" i="9"/>
  <c r="AF29" i="9"/>
  <c r="AJ42" i="9"/>
  <c r="AJ31" i="9"/>
  <c r="AJ34" i="9"/>
  <c r="AJ12" i="9"/>
  <c r="AI31" i="9"/>
  <c r="AD31" i="9"/>
  <c r="AB10" i="9"/>
  <c r="AF12" i="9"/>
  <c r="U22" i="9"/>
  <c r="AF10" i="9"/>
  <c r="AB42" i="9"/>
  <c r="AH12" i="9"/>
  <c r="AD12" i="9"/>
  <c r="AG31" i="9"/>
  <c r="AB12" i="9"/>
  <c r="AI34" i="9"/>
  <c r="AJ39" i="9"/>
  <c r="AF8" i="8"/>
  <c r="U8" i="8"/>
  <c r="AJ8" i="8"/>
  <c r="AE8" i="8"/>
  <c r="AG8" i="8"/>
  <c r="AF42" i="9"/>
  <c r="AE39" i="9"/>
  <c r="AD50" i="9"/>
  <c r="AF41" i="9"/>
  <c r="AB59" i="9"/>
  <c r="U41" i="9"/>
  <c r="AJ50" i="9"/>
  <c r="AF39" i="9"/>
  <c r="AC41" i="9"/>
  <c r="AI39" i="9"/>
  <c r="AI42" i="9"/>
  <c r="AD42" i="9"/>
  <c r="AD41" i="9"/>
  <c r="AH41" i="9"/>
  <c r="AB41" i="9"/>
  <c r="AC42" i="9"/>
  <c r="AE42" i="9"/>
  <c r="AB50" i="9"/>
  <c r="AI50" i="9"/>
  <c r="U31" i="9"/>
  <c r="AC22" i="9"/>
  <c r="AC39" i="9"/>
  <c r="AG41" i="9"/>
  <c r="AB22" i="9"/>
  <c r="AH56" i="9"/>
  <c r="AD17" i="9"/>
  <c r="AG16" i="9"/>
  <c r="AE41" i="9"/>
  <c r="AE22" i="9"/>
  <c r="AE24" i="9"/>
  <c r="AD39" i="9"/>
  <c r="AD34" i="9"/>
  <c r="AJ22" i="9"/>
  <c r="AH22" i="9"/>
  <c r="AH42" i="9"/>
  <c r="U42" i="9"/>
  <c r="AI41" i="9"/>
  <c r="AB31" i="9"/>
  <c r="AB39" i="9"/>
  <c r="U12" i="9"/>
  <c r="AJ41" i="9"/>
  <c r="AB34" i="9"/>
  <c r="AF34" i="9"/>
  <c r="AG17" i="9"/>
  <c r="AF36" i="6"/>
  <c r="AB58" i="6"/>
  <c r="AF58" i="6"/>
  <c r="AH58" i="6"/>
  <c r="AC36" i="6"/>
  <c r="AH36" i="6"/>
  <c r="AC134" i="6"/>
  <c r="U58" i="6"/>
  <c r="AJ58" i="6"/>
  <c r="AE58" i="6"/>
  <c r="AG58" i="6"/>
  <c r="AC58" i="6"/>
  <c r="AI58" i="6"/>
  <c r="AD58" i="6"/>
  <c r="AI60" i="6"/>
  <c r="AG125" i="6"/>
  <c r="AC60" i="6"/>
  <c r="AH125" i="6"/>
  <c r="AB43" i="6"/>
  <c r="AD134" i="6"/>
  <c r="AF29" i="6"/>
  <c r="AJ125" i="6"/>
  <c r="AF134" i="6"/>
  <c r="AH60" i="6"/>
  <c r="U134" i="6"/>
  <c r="AF60" i="6"/>
  <c r="AJ29" i="6"/>
  <c r="AE29" i="6"/>
  <c r="AC43" i="6"/>
  <c r="AH43" i="6"/>
  <c r="AE125" i="6"/>
  <c r="AB29" i="6"/>
  <c r="AH29" i="6"/>
  <c r="AG29" i="6"/>
  <c r="AI134" i="6"/>
  <c r="AD60" i="6"/>
  <c r="AC29" i="6"/>
  <c r="AI29" i="6"/>
  <c r="AD29" i="6"/>
  <c r="U43" i="6"/>
  <c r="AB125" i="6"/>
  <c r="AJ134" i="6"/>
  <c r="AE134" i="6"/>
  <c r="AG134" i="6"/>
  <c r="AJ60" i="6"/>
  <c r="U60" i="6"/>
  <c r="AF125" i="6"/>
  <c r="U125" i="6"/>
  <c r="AJ36" i="6"/>
  <c r="AI36" i="6"/>
  <c r="AD36" i="6"/>
  <c r="AB134" i="6"/>
  <c r="AH134" i="6"/>
  <c r="AE60" i="6"/>
  <c r="AB60" i="6"/>
  <c r="AG60" i="6"/>
  <c r="AC125" i="6"/>
  <c r="AI125" i="6"/>
  <c r="AD125" i="6"/>
  <c r="AB36" i="6"/>
  <c r="U36" i="6"/>
  <c r="AG36" i="6"/>
  <c r="Y61" i="8"/>
  <c r="AC33" i="9"/>
  <c r="U59" i="9"/>
  <c r="AF50" i="9"/>
  <c r="AH50" i="9"/>
  <c r="AE50" i="9"/>
  <c r="AD30" i="9"/>
  <c r="AF59" i="9"/>
  <c r="AI17" i="9"/>
  <c r="AD3" i="9"/>
  <c r="AI33" i="9"/>
  <c r="AE59" i="9"/>
  <c r="AF30" i="9"/>
  <c r="AH33" i="9"/>
  <c r="AH17" i="9"/>
  <c r="AB23" i="9"/>
  <c r="AE30" i="9"/>
  <c r="AF56" i="9"/>
  <c r="AE3" i="9"/>
  <c r="AE23" i="9"/>
  <c r="AI30" i="9"/>
  <c r="AE33" i="9"/>
  <c r="AJ56" i="9"/>
  <c r="AH30" i="9"/>
  <c r="AG30" i="9"/>
  <c r="U33" i="9"/>
  <c r="AC50" i="9"/>
  <c r="U50" i="9"/>
  <c r="AE17" i="9"/>
  <c r="AB30" i="9"/>
  <c r="AC24" i="9"/>
  <c r="AI59" i="9"/>
  <c r="AJ30" i="9"/>
  <c r="AG33" i="9"/>
  <c r="AH59" i="9"/>
  <c r="AJ17" i="9"/>
  <c r="Y30" i="9"/>
  <c r="AG24" i="9"/>
  <c r="AE11" i="9"/>
  <c r="AC16" i="9"/>
  <c r="AJ16" i="9"/>
  <c r="AD24" i="9"/>
  <c r="AB24" i="9"/>
  <c r="AE32" i="9"/>
  <c r="AJ32" i="9"/>
  <c r="AH16" i="9"/>
  <c r="AB11" i="9"/>
  <c r="Y16" i="9"/>
  <c r="Y24" i="9"/>
  <c r="AF11" i="9"/>
  <c r="AI11" i="9"/>
  <c r="AF16" i="9"/>
  <c r="AI24" i="9"/>
  <c r="AI32" i="9"/>
  <c r="AC32" i="9"/>
  <c r="AE16" i="9"/>
  <c r="U24" i="9"/>
  <c r="AC11" i="9"/>
  <c r="AD16" i="9"/>
  <c r="AF24" i="9"/>
  <c r="AD11" i="9"/>
  <c r="AB16" i="9"/>
  <c r="AH11" i="9"/>
  <c r="AH32" i="9"/>
  <c r="AD32" i="9"/>
  <c r="AB32" i="9"/>
  <c r="AG32" i="9"/>
  <c r="AI7" i="9"/>
  <c r="AB7" i="9"/>
  <c r="AJ11" i="9"/>
  <c r="AI16" i="9"/>
  <c r="AG59" i="9"/>
  <c r="AD59" i="9"/>
  <c r="AJ59" i="9"/>
  <c r="AI19" i="9"/>
  <c r="AE10" i="9"/>
  <c r="AB3" i="9"/>
  <c r="AJ10" i="9"/>
  <c r="AI3" i="9"/>
  <c r="AH23" i="9"/>
  <c r="AH10" i="9"/>
  <c r="Y11" i="9"/>
  <c r="AG10" i="9"/>
  <c r="AB19" i="9"/>
  <c r="AI10" i="9"/>
  <c r="AF23" i="9"/>
  <c r="AD10" i="9"/>
  <c r="AC10" i="9"/>
  <c r="U10" i="9"/>
  <c r="AF3" i="9"/>
  <c r="AC19" i="9"/>
  <c r="AH3" i="9"/>
  <c r="AI23" i="9"/>
  <c r="AC56" i="9"/>
  <c r="AH46" i="9"/>
  <c r="U17" i="9"/>
  <c r="AC23" i="9"/>
  <c r="AC3" i="9"/>
  <c r="AB56" i="9"/>
  <c r="AJ23" i="9"/>
  <c r="AJ3" i="9"/>
  <c r="AI56" i="9"/>
  <c r="AE46" i="9"/>
  <c r="AE7" i="9"/>
  <c r="Y7" i="9"/>
  <c r="Y23" i="9"/>
  <c r="AD56" i="9"/>
  <c r="AD46" i="9"/>
  <c r="AF46" i="9"/>
  <c r="U56" i="9"/>
  <c r="AH7" i="9"/>
  <c r="AF17" i="9"/>
  <c r="AD23" i="9"/>
  <c r="AG23" i="9"/>
  <c r="AG3" i="9"/>
  <c r="AG56" i="9"/>
  <c r="AC17" i="9"/>
  <c r="AD7" i="9"/>
  <c r="AE56" i="9"/>
  <c r="AB17" i="9"/>
  <c r="AJ7" i="9"/>
  <c r="AC7" i="9"/>
  <c r="AG7" i="9"/>
  <c r="AF7" i="9"/>
  <c r="U3" i="9"/>
  <c r="AE19" i="9"/>
  <c r="AD19" i="9"/>
  <c r="U19" i="9"/>
  <c r="AG19" i="9"/>
  <c r="AH19" i="9"/>
  <c r="AF19" i="9"/>
  <c r="AF43" i="6"/>
  <c r="AE43" i="6"/>
  <c r="AG43" i="6"/>
  <c r="AJ43" i="6"/>
  <c r="AI43" i="6"/>
  <c r="AD43" i="6"/>
  <c r="AB29" i="9"/>
  <c r="AE29" i="9"/>
  <c r="AH29" i="9"/>
  <c r="AG29" i="9"/>
  <c r="AI29" i="9"/>
  <c r="U29" i="9"/>
  <c r="AC29" i="9"/>
  <c r="AJ29" i="9"/>
  <c r="T37" i="8"/>
  <c r="Y37" i="8" s="1"/>
  <c r="AB41" i="8"/>
  <c r="AF95" i="7"/>
  <c r="AH95" i="7"/>
  <c r="AB95" i="7"/>
  <c r="AG95" i="7"/>
  <c r="AE95" i="7"/>
  <c r="T46" i="7"/>
  <c r="Y46" i="7" s="1"/>
  <c r="T94" i="7"/>
  <c r="AI94" i="7" s="1"/>
  <c r="T59" i="7"/>
  <c r="U59" i="7" s="1"/>
  <c r="T237" i="6"/>
  <c r="Y237" i="6" s="1"/>
  <c r="T256" i="6"/>
  <c r="Y256" i="6" s="1"/>
  <c r="AB46" i="9"/>
  <c r="AC46" i="9"/>
  <c r="AI46" i="9"/>
  <c r="AJ46" i="9"/>
  <c r="AG46" i="9"/>
  <c r="T281" i="6"/>
  <c r="Y281" i="6" s="1"/>
  <c r="AJ95" i="7"/>
  <c r="AI95" i="7"/>
  <c r="AD95" i="7"/>
  <c r="T59" i="8"/>
  <c r="Y59" i="8" s="1"/>
  <c r="AJ61" i="8"/>
  <c r="AH61" i="8"/>
  <c r="AF61" i="8"/>
  <c r="AD61" i="8"/>
  <c r="AI61" i="8"/>
  <c r="AC28" i="9"/>
  <c r="AJ28" i="9"/>
  <c r="U65" i="9"/>
  <c r="AH9" i="9"/>
  <c r="T62" i="8"/>
  <c r="Y62" i="8" s="1"/>
  <c r="AE35" i="9"/>
  <c r="AH65" i="9"/>
  <c r="AI9" i="9"/>
  <c r="AD60" i="9"/>
  <c r="AG65" i="9"/>
  <c r="AE60" i="9"/>
  <c r="U60" i="9"/>
  <c r="AF9" i="9"/>
  <c r="AD9" i="9"/>
  <c r="AC9" i="9"/>
  <c r="U9" i="9"/>
  <c r="AF49" i="9"/>
  <c r="AD49" i="9"/>
  <c r="AF28" i="9"/>
  <c r="AB9" i="9"/>
  <c r="AI28" i="9"/>
  <c r="AG9" i="9"/>
  <c r="AE28" i="9"/>
  <c r="AH49" i="9"/>
  <c r="AE9" i="9"/>
  <c r="AD28" i="9"/>
  <c r="AG28" i="9"/>
  <c r="AB28" i="9"/>
  <c r="U28" i="9"/>
  <c r="AJ9" i="9"/>
  <c r="AH28" i="9"/>
  <c r="AE61" i="8"/>
  <c r="U41" i="8"/>
  <c r="T79" i="8"/>
  <c r="Y79" i="8" s="1"/>
  <c r="AH3" i="8"/>
  <c r="AH41" i="8"/>
  <c r="AI41" i="8"/>
  <c r="AF3" i="8"/>
  <c r="AC41" i="8"/>
  <c r="AJ41" i="8"/>
  <c r="Y41" i="8"/>
  <c r="AC61" i="8"/>
  <c r="AB61" i="8"/>
  <c r="U61" i="8"/>
  <c r="AC27" i="8"/>
  <c r="AE3" i="8"/>
  <c r="AE41" i="8"/>
  <c r="AF41" i="8"/>
  <c r="AD41" i="8"/>
  <c r="T86" i="8"/>
  <c r="Y86" i="8" s="1"/>
  <c r="T38" i="8"/>
  <c r="Y38" i="8" s="1"/>
  <c r="T77" i="8"/>
  <c r="Y77" i="8" s="1"/>
  <c r="T82" i="8"/>
  <c r="Y82" i="8" s="1"/>
  <c r="T137" i="6"/>
  <c r="Y137" i="6" s="1"/>
  <c r="T249" i="6"/>
  <c r="Y249" i="6" s="1"/>
  <c r="AD35" i="9"/>
  <c r="AB35" i="9"/>
  <c r="AB65" i="9"/>
  <c r="AG35" i="9"/>
  <c r="AJ35" i="9"/>
  <c r="AF20" i="9"/>
  <c r="AG60" i="9"/>
  <c r="AE65" i="9"/>
  <c r="AD20" i="9"/>
  <c r="AJ60" i="9"/>
  <c r="AG20" i="9"/>
  <c r="AF35" i="9"/>
  <c r="AC60" i="9"/>
  <c r="AF60" i="9"/>
  <c r="AC20" i="9"/>
  <c r="AH60" i="9"/>
  <c r="AI60" i="9"/>
  <c r="AC49" i="9"/>
  <c r="U35" i="9"/>
  <c r="AH35" i="9"/>
  <c r="AC35" i="9"/>
  <c r="Y20" i="9"/>
  <c r="U49" i="9"/>
  <c r="AI35" i="9"/>
  <c r="AI49" i="9"/>
  <c r="T93" i="7"/>
  <c r="Y93" i="7" s="1"/>
  <c r="T26" i="7"/>
  <c r="Y26" i="7" s="1"/>
  <c r="T81" i="7"/>
  <c r="U81" i="7" s="1"/>
  <c r="AG49" i="9"/>
  <c r="AF65" i="9"/>
  <c r="AJ20" i="9"/>
  <c r="AI65" i="9"/>
  <c r="AB20" i="9"/>
  <c r="AH20" i="9"/>
  <c r="AJ49" i="9"/>
  <c r="AB49" i="9"/>
  <c r="AD65" i="9"/>
  <c r="U20" i="9"/>
  <c r="U14" i="9"/>
  <c r="AE49" i="9"/>
  <c r="AC65" i="9"/>
  <c r="AE20" i="9"/>
  <c r="AJ65" i="9"/>
  <c r="U51" i="9"/>
  <c r="AI51" i="9"/>
  <c r="AJ51" i="9"/>
  <c r="AG51" i="9"/>
  <c r="AC51" i="9"/>
  <c r="AE51" i="9"/>
  <c r="AH51" i="9"/>
  <c r="AD14" i="9"/>
  <c r="AC14" i="9"/>
  <c r="AB14" i="9"/>
  <c r="AJ14" i="9"/>
  <c r="AF14" i="9"/>
  <c r="AE14" i="9"/>
  <c r="AI14" i="9"/>
  <c r="AH14" i="9"/>
  <c r="AG14" i="9"/>
  <c r="AD51" i="9"/>
  <c r="AB51" i="9"/>
  <c r="AF51" i="9"/>
  <c r="T131" i="6"/>
  <c r="Y131" i="6" s="1"/>
  <c r="T202" i="6"/>
  <c r="Y202" i="6" s="1"/>
  <c r="AD8" i="7"/>
  <c r="T193" i="6"/>
  <c r="Y193" i="6" s="1"/>
  <c r="T241" i="6"/>
  <c r="Y241" i="6" s="1"/>
  <c r="T257" i="6"/>
  <c r="Y257" i="6" s="1"/>
  <c r="T280" i="6"/>
  <c r="Y280" i="6" s="1"/>
  <c r="T170" i="6"/>
  <c r="Y170" i="6" s="1"/>
  <c r="T234" i="6"/>
  <c r="AJ234" i="6" s="1"/>
  <c r="T248" i="6"/>
  <c r="Y248" i="6" s="1"/>
  <c r="AC8" i="7"/>
  <c r="T78" i="7"/>
  <c r="U78" i="7" s="1"/>
  <c r="AE8" i="7"/>
  <c r="T101" i="7"/>
  <c r="Y101" i="7" s="1"/>
  <c r="T146" i="6"/>
  <c r="Y146" i="6" s="1"/>
  <c r="T200" i="6"/>
  <c r="Y200" i="6" s="1"/>
  <c r="T224" i="6"/>
  <c r="Y224" i="6" s="1"/>
  <c r="T240" i="6"/>
  <c r="Y240" i="6" s="1"/>
  <c r="T82" i="7"/>
  <c r="Y82" i="7" s="1"/>
  <c r="T56" i="8"/>
  <c r="Y56" i="8" s="1"/>
  <c r="T93" i="8"/>
  <c r="Y93" i="8" s="1"/>
  <c r="T19" i="8"/>
  <c r="Y19" i="8" s="1"/>
  <c r="AD27" i="8"/>
  <c r="U27" i="8"/>
  <c r="AF8" i="7"/>
  <c r="Y8" i="7"/>
  <c r="AB8" i="7"/>
  <c r="U8" i="7"/>
  <c r="AF27" i="8"/>
  <c r="AE27" i="8"/>
  <c r="AJ27" i="8"/>
  <c r="AI27" i="8"/>
  <c r="AH27" i="8"/>
  <c r="AB27" i="8"/>
  <c r="Y27" i="8"/>
  <c r="AC3" i="8"/>
  <c r="AD3" i="8"/>
  <c r="U3" i="8"/>
  <c r="AG3" i="8"/>
  <c r="AJ3" i="8"/>
  <c r="AI3" i="8"/>
  <c r="AB3" i="8"/>
  <c r="AB43" i="9"/>
  <c r="AE43" i="9"/>
  <c r="AG43" i="9"/>
  <c r="U43" i="9"/>
  <c r="AH43" i="9"/>
  <c r="AJ8" i="7"/>
  <c r="AI8" i="7"/>
  <c r="AH8" i="7"/>
  <c r="T62" i="7"/>
  <c r="U62" i="7" s="1"/>
  <c r="AC43" i="9"/>
  <c r="AJ43" i="9"/>
  <c r="AI43" i="9"/>
  <c r="AD43" i="9"/>
  <c r="AF43" i="9"/>
  <c r="AQ40" i="9"/>
  <c r="V40" i="9" s="1"/>
  <c r="W40" i="9"/>
  <c r="AQ66" i="9"/>
  <c r="T92" i="8"/>
  <c r="Y92" i="8" s="1"/>
  <c r="X299" i="6"/>
  <c r="S299" i="6"/>
  <c r="O299" i="6"/>
  <c r="X290" i="6"/>
  <c r="S290" i="6"/>
  <c r="O290" i="6"/>
  <c r="X289" i="6"/>
  <c r="S289" i="6"/>
  <c r="O289" i="6"/>
  <c r="X284" i="6"/>
  <c r="S284" i="6"/>
  <c r="O284" i="6"/>
  <c r="X32" i="6"/>
  <c r="S32" i="6"/>
  <c r="O32" i="6"/>
  <c r="X108" i="6"/>
  <c r="S108" i="6"/>
  <c r="O108" i="6"/>
  <c r="X102" i="6"/>
  <c r="S102" i="6"/>
  <c r="O102" i="6"/>
  <c r="X66" i="6"/>
  <c r="S66" i="6"/>
  <c r="O66" i="6"/>
  <c r="X205" i="6"/>
  <c r="S205" i="6"/>
  <c r="O205" i="6"/>
  <c r="X19" i="6"/>
  <c r="S19" i="6"/>
  <c r="O19" i="6"/>
  <c r="X235" i="6"/>
  <c r="S235" i="6"/>
  <c r="O235" i="6"/>
  <c r="X91" i="6"/>
  <c r="S91" i="6"/>
  <c r="O91" i="6"/>
  <c r="X295" i="6"/>
  <c r="S295" i="6"/>
  <c r="O295" i="6"/>
  <c r="X80" i="6"/>
  <c r="S80" i="6"/>
  <c r="O80" i="6"/>
  <c r="X26" i="6"/>
  <c r="S26" i="6"/>
  <c r="O26" i="6"/>
  <c r="X124" i="6"/>
  <c r="S124" i="6"/>
  <c r="O124" i="6"/>
  <c r="X34" i="6"/>
  <c r="S34" i="6"/>
  <c r="O34" i="6"/>
  <c r="X236" i="6"/>
  <c r="S236" i="6"/>
  <c r="O236" i="6"/>
  <c r="X162" i="6"/>
  <c r="S162" i="6"/>
  <c r="O162" i="6"/>
  <c r="X161" i="6"/>
  <c r="S161" i="6"/>
  <c r="O161" i="6"/>
  <c r="X163" i="6"/>
  <c r="S163" i="6"/>
  <c r="O163" i="6"/>
  <c r="X312" i="6"/>
  <c r="S312" i="6"/>
  <c r="O312" i="6"/>
  <c r="X311" i="6"/>
  <c r="S311" i="6"/>
  <c r="O311" i="6"/>
  <c r="X335" i="6"/>
  <c r="S335" i="6"/>
  <c r="O335" i="6"/>
  <c r="X329" i="6"/>
  <c r="S329" i="6"/>
  <c r="O329" i="6"/>
  <c r="X327" i="6"/>
  <c r="S327" i="6"/>
  <c r="O327" i="6"/>
  <c r="X319" i="6"/>
  <c r="S319" i="6"/>
  <c r="O319" i="6"/>
  <c r="X317" i="6"/>
  <c r="S317" i="6"/>
  <c r="O317" i="6"/>
  <c r="X316" i="6"/>
  <c r="S316" i="6"/>
  <c r="O316" i="6"/>
  <c r="X313" i="6"/>
  <c r="S313" i="6"/>
  <c r="O313" i="6"/>
  <c r="X27" i="7"/>
  <c r="S27" i="7"/>
  <c r="O27" i="7"/>
  <c r="X22" i="7"/>
  <c r="S22" i="7"/>
  <c r="O22" i="7"/>
  <c r="X7" i="7"/>
  <c r="S7" i="7"/>
  <c r="O7" i="7"/>
  <c r="X77" i="7"/>
  <c r="S77" i="7"/>
  <c r="O77" i="7"/>
  <c r="X45" i="7"/>
  <c r="S45" i="7"/>
  <c r="O45" i="7"/>
  <c r="X13" i="7"/>
  <c r="S13" i="7"/>
  <c r="O13" i="7"/>
  <c r="X4" i="7"/>
  <c r="S4" i="7"/>
  <c r="O4" i="7"/>
  <c r="X45" i="8"/>
  <c r="S45" i="8"/>
  <c r="O45" i="8"/>
  <c r="X24" i="8"/>
  <c r="S24" i="8"/>
  <c r="O24" i="8"/>
  <c r="X60" i="8"/>
  <c r="S60" i="8"/>
  <c r="O60" i="8"/>
  <c r="X40" i="8"/>
  <c r="S40" i="8"/>
  <c r="O40" i="8"/>
  <c r="X15" i="8"/>
  <c r="S15" i="8"/>
  <c r="O15" i="8"/>
  <c r="X17" i="8"/>
  <c r="S17" i="8"/>
  <c r="O17" i="8"/>
  <c r="X43" i="8"/>
  <c r="S43" i="8"/>
  <c r="O43" i="8"/>
  <c r="X64" i="8"/>
  <c r="S64" i="8"/>
  <c r="O64" i="8"/>
  <c r="X42" i="8"/>
  <c r="S42" i="8"/>
  <c r="O42" i="8"/>
  <c r="X94" i="8"/>
  <c r="S94" i="8"/>
  <c r="O94" i="8"/>
  <c r="X91" i="8"/>
  <c r="S91" i="8"/>
  <c r="O91" i="8"/>
  <c r="X5" i="8"/>
  <c r="S5" i="8"/>
  <c r="O5" i="8"/>
  <c r="X81" i="8"/>
  <c r="S81" i="8"/>
  <c r="O81" i="8"/>
  <c r="W11" i="9" l="1"/>
  <c r="W7" i="9"/>
  <c r="AQ63" i="9"/>
  <c r="V63" i="9" s="1"/>
  <c r="AQ8" i="8"/>
  <c r="V8" i="8" s="1"/>
  <c r="W8" i="8"/>
  <c r="AF37" i="8"/>
  <c r="AE37" i="8"/>
  <c r="AC59" i="8"/>
  <c r="AG37" i="8"/>
  <c r="W63" i="9"/>
  <c r="AQ41" i="9"/>
  <c r="V41" i="9" s="1"/>
  <c r="AQ11" i="9"/>
  <c r="V11" i="9" s="1"/>
  <c r="AQ31" i="9"/>
  <c r="V31" i="9" s="1"/>
  <c r="W60" i="9"/>
  <c r="AQ39" i="9"/>
  <c r="V39" i="9" s="1"/>
  <c r="W31" i="9"/>
  <c r="W39" i="9"/>
  <c r="AQ22" i="9"/>
  <c r="V22" i="9" s="1"/>
  <c r="W41" i="9"/>
  <c r="W42" i="9"/>
  <c r="AQ12" i="9"/>
  <c r="V12" i="9" s="1"/>
  <c r="W33" i="9"/>
  <c r="AQ50" i="9"/>
  <c r="V50" i="9" s="1"/>
  <c r="W12" i="9"/>
  <c r="W22" i="9"/>
  <c r="AQ33" i="9"/>
  <c r="V33" i="9" s="1"/>
  <c r="W30" i="9"/>
  <c r="AQ34" i="9"/>
  <c r="V34" i="9" s="1"/>
  <c r="AQ42" i="9"/>
  <c r="V42" i="9" s="1"/>
  <c r="AF59" i="8"/>
  <c r="T43" i="8"/>
  <c r="Y43" i="8" s="1"/>
  <c r="AH37" i="8"/>
  <c r="U37" i="8"/>
  <c r="AJ59" i="8"/>
  <c r="W17" i="9"/>
  <c r="AQ30" i="9"/>
  <c r="V30" i="9" s="1"/>
  <c r="W50" i="9"/>
  <c r="W34" i="9"/>
  <c r="AQ7" i="9"/>
  <c r="V7" i="9" s="1"/>
  <c r="W10" i="9"/>
  <c r="U256" i="6"/>
  <c r="AQ58" i="6"/>
  <c r="V58" i="6" s="1"/>
  <c r="W58" i="6"/>
  <c r="AD237" i="6"/>
  <c r="W134" i="6"/>
  <c r="AJ256" i="6"/>
  <c r="W36" i="6"/>
  <c r="W29" i="6"/>
  <c r="W125" i="6"/>
  <c r="AQ29" i="6"/>
  <c r="V29" i="6" s="1"/>
  <c r="U237" i="6"/>
  <c r="W60" i="6"/>
  <c r="AI237" i="6"/>
  <c r="AB237" i="6"/>
  <c r="AH237" i="6"/>
  <c r="T162" i="6"/>
  <c r="Y162" i="6" s="1"/>
  <c r="AI256" i="6"/>
  <c r="AH256" i="6"/>
  <c r="AG256" i="6"/>
  <c r="AQ43" i="6"/>
  <c r="V43" i="6" s="1"/>
  <c r="AQ125" i="6"/>
  <c r="V125" i="6" s="1"/>
  <c r="T34" i="6"/>
  <c r="Y34" i="6" s="1"/>
  <c r="AQ134" i="6"/>
  <c r="V134" i="6" s="1"/>
  <c r="AQ36" i="6"/>
  <c r="V36" i="6" s="1"/>
  <c r="AQ60" i="6"/>
  <c r="V60" i="6" s="1"/>
  <c r="AJ237" i="6"/>
  <c r="AE237" i="6"/>
  <c r="AC237" i="6"/>
  <c r="AG237" i="6"/>
  <c r="T163" i="6"/>
  <c r="Y163" i="6" s="1"/>
  <c r="AF237" i="6"/>
  <c r="W43" i="6"/>
  <c r="AQ95" i="7"/>
  <c r="V95" i="7" s="1"/>
  <c r="AI59" i="8"/>
  <c r="AD59" i="8"/>
  <c r="U59" i="8"/>
  <c r="T15" i="8"/>
  <c r="Y15" i="8" s="1"/>
  <c r="AG59" i="8"/>
  <c r="AH59" i="8"/>
  <c r="AB59" i="8"/>
  <c r="AE59" i="8"/>
  <c r="AQ17" i="9"/>
  <c r="V17" i="9" s="1"/>
  <c r="W59" i="9"/>
  <c r="W24" i="9"/>
  <c r="AQ32" i="9"/>
  <c r="V32" i="9" s="1"/>
  <c r="AQ16" i="9"/>
  <c r="V16" i="9" s="1"/>
  <c r="W56" i="9"/>
  <c r="AQ19" i="9"/>
  <c r="V19" i="9" s="1"/>
  <c r="AQ10" i="9"/>
  <c r="V10" i="9" s="1"/>
  <c r="W32" i="9"/>
  <c r="W16" i="9"/>
  <c r="AQ24" i="9"/>
  <c r="V24" i="9" s="1"/>
  <c r="AQ59" i="9"/>
  <c r="V59" i="9" s="1"/>
  <c r="T45" i="8"/>
  <c r="Y45" i="8" s="1"/>
  <c r="AQ61" i="8"/>
  <c r="V61" i="8" s="1"/>
  <c r="AJ37" i="8"/>
  <c r="AI37" i="8"/>
  <c r="T5" i="8"/>
  <c r="Y5" i="8" s="1"/>
  <c r="T64" i="8"/>
  <c r="Y64" i="8" s="1"/>
  <c r="AB37" i="8"/>
  <c r="AC37" i="8"/>
  <c r="AD37" i="8"/>
  <c r="AQ56" i="9"/>
  <c r="V56" i="9" s="1"/>
  <c r="W29" i="9"/>
  <c r="W23" i="9"/>
  <c r="AQ3" i="9"/>
  <c r="V3" i="9" s="1"/>
  <c r="W19" i="9"/>
  <c r="AQ23" i="9"/>
  <c r="V23" i="9" s="1"/>
  <c r="W3" i="9"/>
  <c r="AQ46" i="9"/>
  <c r="V46" i="9" s="1"/>
  <c r="AQ29" i="9"/>
  <c r="V29" i="9" s="1"/>
  <c r="T42" i="8"/>
  <c r="Y42" i="8" s="1"/>
  <c r="AE257" i="6"/>
  <c r="AD256" i="6"/>
  <c r="AB256" i="6"/>
  <c r="AF256" i="6"/>
  <c r="AC256" i="6"/>
  <c r="AE256" i="6"/>
  <c r="T7" i="7"/>
  <c r="Y7" i="7" s="1"/>
  <c r="AH46" i="7"/>
  <c r="AJ46" i="7"/>
  <c r="AE46" i="7"/>
  <c r="AI46" i="7"/>
  <c r="AD46" i="7"/>
  <c r="U46" i="7"/>
  <c r="AH94" i="7"/>
  <c r="W95" i="7"/>
  <c r="AJ81" i="7"/>
  <c r="T13" i="7"/>
  <c r="Y13" i="7" s="1"/>
  <c r="AG46" i="7"/>
  <c r="AF46" i="7"/>
  <c r="AF94" i="7"/>
  <c r="AH81" i="7"/>
  <c r="AB81" i="7"/>
  <c r="U94" i="7"/>
  <c r="AJ94" i="7"/>
  <c r="AC46" i="7"/>
  <c r="AI82" i="7"/>
  <c r="AB46" i="7"/>
  <c r="AE94" i="7"/>
  <c r="AG59" i="7"/>
  <c r="AI59" i="7"/>
  <c r="AD59" i="7"/>
  <c r="T45" i="7"/>
  <c r="Y45" i="7" s="1"/>
  <c r="AD94" i="7"/>
  <c r="AC94" i="7"/>
  <c r="AE59" i="7"/>
  <c r="AB94" i="7"/>
  <c r="Y94" i="7"/>
  <c r="T77" i="7"/>
  <c r="Y77" i="7" s="1"/>
  <c r="AF59" i="7"/>
  <c r="AC59" i="7"/>
  <c r="AH59" i="7"/>
  <c r="AJ59" i="7"/>
  <c r="AG94" i="7"/>
  <c r="AB59" i="7"/>
  <c r="Y59" i="7"/>
  <c r="AJ281" i="6"/>
  <c r="U281" i="6"/>
  <c r="AH281" i="6"/>
  <c r="T319" i="6"/>
  <c r="Y319" i="6" s="1"/>
  <c r="T329" i="6"/>
  <c r="Y329" i="6" s="1"/>
  <c r="T108" i="6"/>
  <c r="Y108" i="6" s="1"/>
  <c r="AF281" i="6"/>
  <c r="AD281" i="6"/>
  <c r="AI281" i="6"/>
  <c r="AC281" i="6"/>
  <c r="AB281" i="6"/>
  <c r="AG281" i="6"/>
  <c r="AE281" i="6"/>
  <c r="T312" i="6"/>
  <c r="Y312" i="6" s="1"/>
  <c r="W46" i="9"/>
  <c r="T80" i="6"/>
  <c r="Y80" i="6" s="1"/>
  <c r="T124" i="6"/>
  <c r="Y124" i="6" s="1"/>
  <c r="AF137" i="6"/>
  <c r="AI81" i="7"/>
  <c r="Y81" i="7"/>
  <c r="AD81" i="7"/>
  <c r="AC81" i="7"/>
  <c r="AF81" i="7"/>
  <c r="AG81" i="7"/>
  <c r="AI93" i="7"/>
  <c r="AE81" i="7"/>
  <c r="T81" i="8"/>
  <c r="Y81" i="8" s="1"/>
  <c r="AG93" i="7"/>
  <c r="AD93" i="7"/>
  <c r="AG101" i="7"/>
  <c r="AJ82" i="8"/>
  <c r="AQ28" i="9"/>
  <c r="V28" i="9" s="1"/>
  <c r="AE202" i="6"/>
  <c r="AC202" i="6"/>
  <c r="AB93" i="7"/>
  <c r="AH93" i="7"/>
  <c r="AC93" i="7"/>
  <c r="U26" i="7"/>
  <c r="AC26" i="7"/>
  <c r="U93" i="7"/>
  <c r="AF93" i="7"/>
  <c r="AE93" i="7"/>
  <c r="AJ93" i="7"/>
  <c r="AF82" i="8"/>
  <c r="AG56" i="8"/>
  <c r="AH38" i="8"/>
  <c r="T311" i="6"/>
  <c r="Y311" i="6" s="1"/>
  <c r="T236" i="6"/>
  <c r="Y236" i="6" s="1"/>
  <c r="AB62" i="8"/>
  <c r="AE93" i="8"/>
  <c r="AI62" i="8"/>
  <c r="U86" i="8"/>
  <c r="AC62" i="8"/>
  <c r="U82" i="8"/>
  <c r="AE86" i="8"/>
  <c r="AH62" i="8"/>
  <c r="W61" i="8"/>
  <c r="AB82" i="8"/>
  <c r="AE62" i="8"/>
  <c r="AE82" i="8"/>
  <c r="AG86" i="8"/>
  <c r="AD62" i="8"/>
  <c r="AE79" i="8"/>
  <c r="AG62" i="8"/>
  <c r="AB93" i="8"/>
  <c r="AF79" i="8"/>
  <c r="AF62" i="8"/>
  <c r="W41" i="8"/>
  <c r="AI93" i="8"/>
  <c r="T40" i="8"/>
  <c r="Y40" i="8" s="1"/>
  <c r="AJ62" i="8"/>
  <c r="U62" i="8"/>
  <c r="AD56" i="8"/>
  <c r="AC93" i="8"/>
  <c r="AF26" i="7"/>
  <c r="AI26" i="7"/>
  <c r="AH26" i="7"/>
  <c r="AG26" i="7"/>
  <c r="AJ26" i="7"/>
  <c r="AD26" i="7"/>
  <c r="AE26" i="7"/>
  <c r="AB26" i="7"/>
  <c r="AQ60" i="9"/>
  <c r="V60" i="9" s="1"/>
  <c r="AQ9" i="9"/>
  <c r="V9" i="9" s="1"/>
  <c r="W9" i="9"/>
  <c r="T60" i="8"/>
  <c r="Y60" i="8" s="1"/>
  <c r="AC79" i="8"/>
  <c r="AB79" i="8"/>
  <c r="AF77" i="8"/>
  <c r="U77" i="8"/>
  <c r="AH79" i="8"/>
  <c r="AJ79" i="8"/>
  <c r="AI79" i="8"/>
  <c r="AC38" i="8"/>
  <c r="AC77" i="8"/>
  <c r="AH93" i="8"/>
  <c r="AD79" i="8"/>
  <c r="U79" i="8"/>
  <c r="AG79" i="8"/>
  <c r="AJ77" i="8"/>
  <c r="T24" i="8"/>
  <c r="Y24" i="8" s="1"/>
  <c r="AJ202" i="6"/>
  <c r="AI202" i="6"/>
  <c r="AJ137" i="6"/>
  <c r="AB137" i="6"/>
  <c r="AG202" i="6"/>
  <c r="T161" i="6"/>
  <c r="Y161" i="6" s="1"/>
  <c r="W28" i="9"/>
  <c r="AQ35" i="9"/>
  <c r="V35" i="9" s="1"/>
  <c r="W35" i="9"/>
  <c r="AQ49" i="9"/>
  <c r="V49" i="9" s="1"/>
  <c r="AB19" i="8"/>
  <c r="T94" i="8"/>
  <c r="Y94" i="8" s="1"/>
  <c r="AF86" i="8"/>
  <c r="AC82" i="8"/>
  <c r="AI82" i="8"/>
  <c r="AI38" i="8"/>
  <c r="AJ86" i="8"/>
  <c r="AI86" i="8"/>
  <c r="AC19" i="8"/>
  <c r="AJ93" i="8"/>
  <c r="AD93" i="8"/>
  <c r="AG93" i="8"/>
  <c r="AH82" i="8"/>
  <c r="AH86" i="8"/>
  <c r="U38" i="8"/>
  <c r="AD86" i="8"/>
  <c r="AG82" i="8"/>
  <c r="AJ38" i="8"/>
  <c r="AB86" i="8"/>
  <c r="AC86" i="8"/>
  <c r="AI19" i="8"/>
  <c r="AF93" i="8"/>
  <c r="U93" i="8"/>
  <c r="AD82" i="8"/>
  <c r="AF38" i="8"/>
  <c r="AQ41" i="8"/>
  <c r="V41" i="8" s="1"/>
  <c r="AH249" i="6"/>
  <c r="AD77" i="8"/>
  <c r="AG38" i="8"/>
  <c r="AI77" i="8"/>
  <c r="AH56" i="8"/>
  <c r="AD38" i="8"/>
  <c r="U19" i="8"/>
  <c r="AB38" i="8"/>
  <c r="AE38" i="8"/>
  <c r="AB77" i="8"/>
  <c r="AG77" i="8"/>
  <c r="AE56" i="8"/>
  <c r="AF19" i="8"/>
  <c r="AB202" i="6"/>
  <c r="AE137" i="6"/>
  <c r="AD202" i="6"/>
  <c r="AI137" i="6"/>
  <c r="U202" i="6"/>
  <c r="AD137" i="6"/>
  <c r="AC137" i="6"/>
  <c r="AF249" i="6"/>
  <c r="AI249" i="6"/>
  <c r="AJ249" i="6"/>
  <c r="U280" i="6"/>
  <c r="AB249" i="6"/>
  <c r="AE249" i="6"/>
  <c r="AD249" i="6"/>
  <c r="AC249" i="6"/>
  <c r="AG78" i="7"/>
  <c r="T27" i="7"/>
  <c r="Y27" i="7" s="1"/>
  <c r="T17" i="8"/>
  <c r="Y17" i="8" s="1"/>
  <c r="AE77" i="8"/>
  <c r="W27" i="8"/>
  <c r="AH77" i="8"/>
  <c r="AC241" i="6"/>
  <c r="AC131" i="6"/>
  <c r="AI241" i="6"/>
  <c r="AD241" i="6"/>
  <c r="AJ200" i="6"/>
  <c r="U137" i="6"/>
  <c r="U193" i="6"/>
  <c r="U249" i="6"/>
  <c r="AF202" i="6"/>
  <c r="AD200" i="6"/>
  <c r="AB200" i="6"/>
  <c r="AG137" i="6"/>
  <c r="AG249" i="6"/>
  <c r="AH137" i="6"/>
  <c r="AB131" i="6"/>
  <c r="AH240" i="6"/>
  <c r="AH202" i="6"/>
  <c r="AG131" i="6"/>
  <c r="AI131" i="6"/>
  <c r="T316" i="6"/>
  <c r="Y316" i="6" s="1"/>
  <c r="T327" i="6"/>
  <c r="Y327" i="6" s="1"/>
  <c r="AG240" i="6"/>
  <c r="AD131" i="6"/>
  <c r="AE131" i="6"/>
  <c r="AG241" i="6"/>
  <c r="U131" i="6"/>
  <c r="AF131" i="6"/>
  <c r="AJ131" i="6"/>
  <c r="AH131" i="6"/>
  <c r="AE234" i="6"/>
  <c r="AB241" i="6"/>
  <c r="AH234" i="6"/>
  <c r="AE241" i="6"/>
  <c r="W20" i="9"/>
  <c r="W65" i="9"/>
  <c r="AQ20" i="9"/>
  <c r="V20" i="9" s="1"/>
  <c r="W49" i="9"/>
  <c r="AQ14" i="9"/>
  <c r="V14" i="9" s="1"/>
  <c r="AQ65" i="9"/>
  <c r="V65" i="9" s="1"/>
  <c r="T22" i="7"/>
  <c r="Y22" i="7" s="1"/>
  <c r="AQ51" i="9"/>
  <c r="V51" i="9" s="1"/>
  <c r="W14" i="9"/>
  <c r="W51" i="9"/>
  <c r="T91" i="8"/>
  <c r="Y91" i="8" s="1"/>
  <c r="AB193" i="6"/>
  <c r="AH280" i="6"/>
  <c r="AC193" i="6"/>
  <c r="U200" i="6"/>
  <c r="AI193" i="6"/>
  <c r="AC200" i="6"/>
  <c r="AG280" i="6"/>
  <c r="AB280" i="6"/>
  <c r="AF280" i="6"/>
  <c r="AG193" i="6"/>
  <c r="T317" i="6"/>
  <c r="Y317" i="6" s="1"/>
  <c r="T102" i="6"/>
  <c r="U102" i="6" s="1"/>
  <c r="AH193" i="6"/>
  <c r="AH200" i="6"/>
  <c r="AE193" i="6"/>
  <c r="AC280" i="6"/>
  <c r="U146" i="6"/>
  <c r="AE280" i="6"/>
  <c r="AD280" i="6"/>
  <c r="AF193" i="6"/>
  <c r="AI200" i="6"/>
  <c r="AD193" i="6"/>
  <c r="AI280" i="6"/>
  <c r="AJ193" i="6"/>
  <c r="AJ280" i="6"/>
  <c r="AF82" i="7"/>
  <c r="AJ78" i="7"/>
  <c r="AC82" i="7"/>
  <c r="AJ101" i="7"/>
  <c r="U82" i="7"/>
  <c r="AH82" i="7"/>
  <c r="AF78" i="7"/>
  <c r="U248" i="6"/>
  <c r="AI248" i="6"/>
  <c r="AF241" i="6"/>
  <c r="AB240" i="6"/>
  <c r="AI257" i="6"/>
  <c r="AH257" i="6"/>
  <c r="AH241" i="6"/>
  <c r="AF234" i="6"/>
  <c r="U241" i="6"/>
  <c r="AJ241" i="6"/>
  <c r="AD234" i="6"/>
  <c r="AC257" i="6"/>
  <c r="Y234" i="6"/>
  <c r="U170" i="6"/>
  <c r="AF170" i="6"/>
  <c r="AD170" i="6"/>
  <c r="AG170" i="6"/>
  <c r="T284" i="6"/>
  <c r="U284" i="6" s="1"/>
  <c r="AC170" i="6"/>
  <c r="AH224" i="6"/>
  <c r="AE170" i="6"/>
  <c r="AF257" i="6"/>
  <c r="AI170" i="6"/>
  <c r="AB257" i="6"/>
  <c r="U257" i="6"/>
  <c r="AD257" i="6"/>
  <c r="AD248" i="6"/>
  <c r="AC146" i="6"/>
  <c r="AE224" i="6"/>
  <c r="AH170" i="6"/>
  <c r="AG257" i="6"/>
  <c r="AB170" i="6"/>
  <c r="AJ170" i="6"/>
  <c r="AJ257" i="6"/>
  <c r="AB146" i="6"/>
  <c r="T313" i="6"/>
  <c r="Y313" i="6" s="1"/>
  <c r="T335" i="6"/>
  <c r="Y335" i="6" s="1"/>
  <c r="T290" i="6"/>
  <c r="U290" i="6" s="1"/>
  <c r="AJ248" i="6"/>
  <c r="AF240" i="6"/>
  <c r="AJ146" i="6"/>
  <c r="AC248" i="6"/>
  <c r="AC234" i="6"/>
  <c r="AH248" i="6"/>
  <c r="AI146" i="6"/>
  <c r="AD240" i="6"/>
  <c r="AI234" i="6"/>
  <c r="AD146" i="6"/>
  <c r="U234" i="6"/>
  <c r="AG146" i="6"/>
  <c r="AE248" i="6"/>
  <c r="AC240" i="6"/>
  <c r="AB234" i="6"/>
  <c r="AE146" i="6"/>
  <c r="AG248" i="6"/>
  <c r="AE240" i="6"/>
  <c r="AG234" i="6"/>
  <c r="AF146" i="6"/>
  <c r="AB248" i="6"/>
  <c r="AF248" i="6"/>
  <c r="AJ240" i="6"/>
  <c r="AH146" i="6"/>
  <c r="AF101" i="7"/>
  <c r="AE101" i="7"/>
  <c r="U101" i="7"/>
  <c r="AH78" i="7"/>
  <c r="AE78" i="7"/>
  <c r="AD101" i="7"/>
  <c r="AD78" i="7"/>
  <c r="AC101" i="7"/>
  <c r="AC78" i="7"/>
  <c r="AH101" i="7"/>
  <c r="AI78" i="7"/>
  <c r="AI101" i="7"/>
  <c r="AB78" i="7"/>
  <c r="AB101" i="7"/>
  <c r="Y78" i="7"/>
  <c r="T299" i="6"/>
  <c r="U299" i="6" s="1"/>
  <c r="T289" i="6"/>
  <c r="Y289" i="6" s="1"/>
  <c r="T91" i="6"/>
  <c r="AI91" i="6" s="1"/>
  <c r="AD224" i="6"/>
  <c r="AB224" i="6"/>
  <c r="AC224" i="6"/>
  <c r="AI224" i="6"/>
  <c r="AE200" i="6"/>
  <c r="AF224" i="6"/>
  <c r="AF200" i="6"/>
  <c r="U224" i="6"/>
  <c r="AG224" i="6"/>
  <c r="AG200" i="6"/>
  <c r="U240" i="6"/>
  <c r="AJ224" i="6"/>
  <c r="AI240" i="6"/>
  <c r="AE82" i="7"/>
  <c r="AJ82" i="7"/>
  <c r="AD82" i="7"/>
  <c r="AB82" i="7"/>
  <c r="AG82" i="7"/>
  <c r="AB56" i="8"/>
  <c r="AC56" i="8"/>
  <c r="AI56" i="8"/>
  <c r="AD19" i="8"/>
  <c r="AG19" i="8"/>
  <c r="AJ56" i="8"/>
  <c r="AF56" i="8"/>
  <c r="U56" i="8"/>
  <c r="AH19" i="8"/>
  <c r="AE19" i="8"/>
  <c r="AJ19" i="8"/>
  <c r="AQ27" i="8"/>
  <c r="V27" i="8" s="1"/>
  <c r="AD62" i="7"/>
  <c r="AE62" i="7"/>
  <c r="W3" i="8"/>
  <c r="AQ3" i="8"/>
  <c r="V3" i="8" s="1"/>
  <c r="T66" i="6"/>
  <c r="AG66" i="6" s="1"/>
  <c r="T32" i="6"/>
  <c r="Y32" i="6" s="1"/>
  <c r="T19" i="6"/>
  <c r="AB19" i="6" s="1"/>
  <c r="T205" i="6"/>
  <c r="AI205" i="6" s="1"/>
  <c r="W8" i="7"/>
  <c r="AQ8" i="7"/>
  <c r="V8" i="7" s="1"/>
  <c r="AF62" i="7"/>
  <c r="T4" i="7"/>
  <c r="AH4" i="7" s="1"/>
  <c r="AH62" i="7"/>
  <c r="Y62" i="7"/>
  <c r="AC62" i="7"/>
  <c r="AJ62" i="7"/>
  <c r="AG62" i="7"/>
  <c r="AI62" i="7"/>
  <c r="AB62" i="7"/>
  <c r="AC92" i="8"/>
  <c r="AH92" i="8"/>
  <c r="AD92" i="8"/>
  <c r="AI92" i="8"/>
  <c r="AE92" i="8"/>
  <c r="AB92" i="8"/>
  <c r="AQ43" i="9"/>
  <c r="V43" i="9" s="1"/>
  <c r="W43" i="9"/>
  <c r="T26" i="6"/>
  <c r="U26" i="6" s="1"/>
  <c r="T295" i="6"/>
  <c r="Y295" i="6" s="1"/>
  <c r="T235" i="6"/>
  <c r="AD235" i="6" s="1"/>
  <c r="AG92" i="8"/>
  <c r="AJ92" i="8"/>
  <c r="U92" i="8"/>
  <c r="AF92" i="8"/>
  <c r="X148" i="6"/>
  <c r="X212" i="6"/>
  <c r="X6" i="6"/>
  <c r="X35" i="6"/>
  <c r="X218" i="6"/>
  <c r="X222" i="6"/>
  <c r="X322" i="6"/>
  <c r="X52" i="6"/>
  <c r="X238" i="6"/>
  <c r="X310" i="6"/>
  <c r="X262" i="6"/>
  <c r="X185" i="6"/>
  <c r="X160" i="6"/>
  <c r="X158" i="6"/>
  <c r="X149" i="6"/>
  <c r="X142" i="6"/>
  <c r="X126" i="6"/>
  <c r="X62" i="6"/>
  <c r="X45" i="6"/>
  <c r="X25" i="6"/>
  <c r="X18" i="6"/>
  <c r="X3" i="6"/>
  <c r="X302" i="6"/>
  <c r="X275" i="6"/>
  <c r="X255" i="6"/>
  <c r="X247" i="6"/>
  <c r="X233" i="6"/>
  <c r="X214" i="6"/>
  <c r="X184" i="6"/>
  <c r="X164" i="6"/>
  <c r="X153" i="6"/>
  <c r="X145" i="6"/>
  <c r="X122" i="6"/>
  <c r="X9" i="6"/>
  <c r="X112" i="6"/>
  <c r="X95" i="6"/>
  <c r="X83" i="6"/>
  <c r="X231" i="6"/>
  <c r="X174" i="6"/>
  <c r="X33" i="6"/>
  <c r="X332" i="6"/>
  <c r="X328" i="6"/>
  <c r="X244" i="6"/>
  <c r="X197" i="6"/>
  <c r="X191" i="6"/>
  <c r="X55" i="6"/>
  <c r="X63" i="6"/>
  <c r="X282" i="6"/>
  <c r="X110" i="6"/>
  <c r="X64" i="6"/>
  <c r="X53" i="6"/>
  <c r="X298" i="6"/>
  <c r="X5" i="6"/>
  <c r="X70" i="6"/>
  <c r="X99" i="6"/>
  <c r="X31" i="6"/>
  <c r="X315" i="6"/>
  <c r="X22" i="6"/>
  <c r="X17" i="6"/>
  <c r="X156" i="6"/>
  <c r="X10" i="6"/>
  <c r="X306" i="6"/>
  <c r="X226" i="6"/>
  <c r="X150" i="6"/>
  <c r="X71" i="6"/>
  <c r="X304" i="6"/>
  <c r="X143" i="6"/>
  <c r="X139" i="6"/>
  <c r="X215" i="6"/>
  <c r="X217" i="6"/>
  <c r="X67" i="6"/>
  <c r="X324" i="6"/>
  <c r="X258" i="6"/>
  <c r="X254" i="6"/>
  <c r="X292" i="6"/>
  <c r="X117" i="6"/>
  <c r="X106" i="6"/>
  <c r="X94" i="6"/>
  <c r="X37" i="6"/>
  <c r="X86" i="6"/>
  <c r="X87" i="7"/>
  <c r="X70" i="7"/>
  <c r="X52" i="7"/>
  <c r="X76" i="7"/>
  <c r="X11" i="7"/>
  <c r="X75" i="7"/>
  <c r="X25" i="7"/>
  <c r="X74" i="7"/>
  <c r="X98" i="7"/>
  <c r="X92" i="7"/>
  <c r="X91" i="7"/>
  <c r="X80" i="7"/>
  <c r="X73" i="7"/>
  <c r="X28" i="7"/>
  <c r="X69" i="7"/>
  <c r="X16" i="7"/>
  <c r="X34" i="7"/>
  <c r="X14" i="7"/>
  <c r="X65" i="7"/>
  <c r="X38" i="7"/>
  <c r="X55" i="7"/>
  <c r="X24" i="7"/>
  <c r="X47" i="7"/>
  <c r="X58" i="7"/>
  <c r="X33" i="7"/>
  <c r="X31" i="7"/>
  <c r="X88" i="8"/>
  <c r="X75" i="8"/>
  <c r="X65" i="8"/>
  <c r="X54" i="8"/>
  <c r="X47" i="8"/>
  <c r="X31" i="8"/>
  <c r="X29" i="8"/>
  <c r="X26" i="8"/>
  <c r="X48" i="8"/>
  <c r="X70" i="8"/>
  <c r="X23" i="8"/>
  <c r="X96" i="8"/>
  <c r="X73" i="8"/>
  <c r="X53" i="8"/>
  <c r="X35" i="8"/>
  <c r="X67" i="8"/>
  <c r="X36" i="8"/>
  <c r="X33" i="8"/>
  <c r="X11" i="8"/>
  <c r="X21" i="8"/>
  <c r="X49" i="8"/>
  <c r="X83" i="8"/>
  <c r="X80" i="8"/>
  <c r="X10" i="8"/>
  <c r="X22" i="8"/>
  <c r="X12" i="8"/>
  <c r="X84" i="8"/>
  <c r="X68" i="8"/>
  <c r="X44" i="8"/>
  <c r="X63" i="8"/>
  <c r="X13" i="8"/>
  <c r="X9" i="8"/>
  <c r="X4" i="8"/>
  <c r="X7" i="8"/>
  <c r="X50" i="8"/>
  <c r="X46" i="8"/>
  <c r="X30" i="8"/>
  <c r="X25" i="8"/>
  <c r="X20" i="8"/>
  <c r="X90" i="8"/>
  <c r="X57" i="8"/>
  <c r="X95" i="8"/>
  <c r="X16" i="8"/>
  <c r="X87" i="8"/>
  <c r="X74" i="8"/>
  <c r="X72" i="8"/>
  <c r="X51" i="8"/>
  <c r="X28" i="8"/>
  <c r="X69" i="8"/>
  <c r="X66" i="8"/>
  <c r="X76" i="8"/>
  <c r="X55" i="8"/>
  <c r="X32" i="8"/>
  <c r="X14" i="8"/>
  <c r="X85" i="8"/>
  <c r="X71" i="8"/>
  <c r="X52" i="8"/>
  <c r="X34" i="8"/>
  <c r="AB329" i="6" l="1"/>
  <c r="AG162" i="6"/>
  <c r="AG7" i="7"/>
  <c r="AB162" i="6"/>
  <c r="AC124" i="6"/>
  <c r="AF45" i="8"/>
  <c r="AG45" i="8"/>
  <c r="U40" i="8"/>
  <c r="AJ5" i="8"/>
  <c r="AE45" i="8"/>
  <c r="U5" i="8"/>
  <c r="AD45" i="8"/>
  <c r="AI5" i="8"/>
  <c r="AD5" i="8"/>
  <c r="AI45" i="8"/>
  <c r="AF5" i="8"/>
  <c r="W59" i="8"/>
  <c r="AE5" i="8"/>
  <c r="AH45" i="8"/>
  <c r="AJ45" i="8"/>
  <c r="AC45" i="8"/>
  <c r="AG5" i="8"/>
  <c r="AG43" i="8"/>
  <c r="AQ59" i="8"/>
  <c r="V59" i="8" s="1"/>
  <c r="AH5" i="8"/>
  <c r="AB45" i="8"/>
  <c r="U45" i="8"/>
  <c r="AG40" i="8"/>
  <c r="AB5" i="8"/>
  <c r="AC5" i="8"/>
  <c r="U15" i="8"/>
  <c r="AJ15" i="8"/>
  <c r="AF15" i="8"/>
  <c r="AE43" i="8"/>
  <c r="AD43" i="8"/>
  <c r="AB15" i="8"/>
  <c r="AH15" i="8"/>
  <c r="AH64" i="8"/>
  <c r="AB43" i="8"/>
  <c r="AC43" i="8"/>
  <c r="AJ43" i="8"/>
  <c r="AE162" i="6"/>
  <c r="AD162" i="6"/>
  <c r="AE15" i="8"/>
  <c r="AH43" i="8"/>
  <c r="AC81" i="8"/>
  <c r="AB42" i="8"/>
  <c r="AF43" i="8"/>
  <c r="AG15" i="8"/>
  <c r="AI43" i="8"/>
  <c r="W37" i="8"/>
  <c r="U43" i="8"/>
  <c r="AD15" i="8"/>
  <c r="AJ81" i="8"/>
  <c r="AI15" i="8"/>
  <c r="AC15" i="8"/>
  <c r="AH162" i="6"/>
  <c r="AJ162" i="6"/>
  <c r="AI162" i="6"/>
  <c r="AB163" i="6"/>
  <c r="U124" i="6"/>
  <c r="AD34" i="6"/>
  <c r="W237" i="6"/>
  <c r="AC162" i="6"/>
  <c r="AJ329" i="6"/>
  <c r="AF124" i="6"/>
  <c r="AH80" i="6"/>
  <c r="AF162" i="6"/>
  <c r="U329" i="6"/>
  <c r="U162" i="6"/>
  <c r="AH329" i="6"/>
  <c r="AE329" i="6"/>
  <c r="AI124" i="6"/>
  <c r="U34" i="6"/>
  <c r="AI163" i="6"/>
  <c r="AD163" i="6"/>
  <c r="AQ237" i="6"/>
  <c r="V237" i="6" s="1"/>
  <c r="AB7" i="7"/>
  <c r="AC163" i="6"/>
  <c r="AB34" i="6"/>
  <c r="AC34" i="6"/>
  <c r="AE34" i="6"/>
  <c r="AH34" i="6"/>
  <c r="AH163" i="6"/>
  <c r="AD329" i="6"/>
  <c r="AG329" i="6"/>
  <c r="AE124" i="6"/>
  <c r="AD124" i="6"/>
  <c r="AJ34" i="6"/>
  <c r="AJ312" i="6"/>
  <c r="AG312" i="6"/>
  <c r="AE163" i="6"/>
  <c r="AG163" i="6"/>
  <c r="AI34" i="6"/>
  <c r="U163" i="6"/>
  <c r="AF329" i="6"/>
  <c r="AC329" i="6"/>
  <c r="AI329" i="6"/>
  <c r="AG34" i="6"/>
  <c r="AI108" i="6"/>
  <c r="AF34" i="6"/>
  <c r="AF163" i="6"/>
  <c r="AJ163" i="6"/>
  <c r="AQ256" i="6"/>
  <c r="V256" i="6" s="1"/>
  <c r="AH319" i="6"/>
  <c r="U319" i="6"/>
  <c r="AC80" i="6"/>
  <c r="AH311" i="6"/>
  <c r="AJ80" i="6"/>
  <c r="AJ319" i="6"/>
  <c r="W256" i="6"/>
  <c r="AH77" i="7"/>
  <c r="U13" i="7"/>
  <c r="AF7" i="7"/>
  <c r="U7" i="7"/>
  <c r="U27" i="7"/>
  <c r="AD7" i="7"/>
  <c r="AC7" i="7"/>
  <c r="AI7" i="7"/>
  <c r="AH13" i="7"/>
  <c r="AD13" i="7"/>
  <c r="AJ7" i="7"/>
  <c r="AE7" i="7"/>
  <c r="AH7" i="7"/>
  <c r="AE64" i="8"/>
  <c r="AC64" i="8"/>
  <c r="AF64" i="8"/>
  <c r="U64" i="8"/>
  <c r="AI64" i="8"/>
  <c r="AI42" i="8"/>
  <c r="AJ64" i="8"/>
  <c r="AD40" i="8"/>
  <c r="AF40" i="8"/>
  <c r="AH42" i="8"/>
  <c r="AC42" i="8"/>
  <c r="U42" i="8"/>
  <c r="AE42" i="8"/>
  <c r="AG24" i="8"/>
  <c r="AF42" i="8"/>
  <c r="AD42" i="8"/>
  <c r="AJ42" i="8"/>
  <c r="AG42" i="8"/>
  <c r="AQ37" i="8"/>
  <c r="V37" i="8" s="1"/>
  <c r="AD64" i="8"/>
  <c r="AB64" i="8"/>
  <c r="AG64" i="8"/>
  <c r="Y284" i="6"/>
  <c r="AD108" i="6"/>
  <c r="AF311" i="6"/>
  <c r="AG108" i="6"/>
  <c r="U108" i="6"/>
  <c r="AB312" i="6"/>
  <c r="AQ281" i="6"/>
  <c r="V281" i="6" s="1"/>
  <c r="AI77" i="7"/>
  <c r="AF77" i="7"/>
  <c r="AE77" i="7"/>
  <c r="AB77" i="7"/>
  <c r="AD77" i="7"/>
  <c r="AD27" i="7"/>
  <c r="W46" i="7"/>
  <c r="AJ45" i="7"/>
  <c r="AI45" i="7"/>
  <c r="AB13" i="7"/>
  <c r="AQ46" i="7"/>
  <c r="V46" i="7" s="1"/>
  <c r="AG77" i="7"/>
  <c r="W59" i="7"/>
  <c r="AQ94" i="7"/>
  <c r="V94" i="7" s="1"/>
  <c r="AE13" i="7"/>
  <c r="AC77" i="7"/>
  <c r="U77" i="7"/>
  <c r="AJ13" i="7"/>
  <c r="AJ77" i="7"/>
  <c r="AD81" i="8"/>
  <c r="AE81" i="8"/>
  <c r="AG81" i="8"/>
  <c r="AH81" i="8"/>
  <c r="U81" i="8"/>
  <c r="AI81" i="8"/>
  <c r="AJ60" i="8"/>
  <c r="AB81" i="8"/>
  <c r="AF81" i="8"/>
  <c r="AB27" i="7"/>
  <c r="AH45" i="7"/>
  <c r="AG13" i="7"/>
  <c r="AE45" i="7"/>
  <c r="AD45" i="7"/>
  <c r="W94" i="7"/>
  <c r="AC13" i="7"/>
  <c r="AI13" i="7"/>
  <c r="AC45" i="7"/>
  <c r="AF13" i="7"/>
  <c r="AQ59" i="7"/>
  <c r="V59" i="7" s="1"/>
  <c r="AF45" i="7"/>
  <c r="U45" i="7"/>
  <c r="AB45" i="7"/>
  <c r="AG45" i="7"/>
  <c r="AF319" i="6"/>
  <c r="AB319" i="6"/>
  <c r="AE319" i="6"/>
  <c r="AE80" i="6"/>
  <c r="U80" i="6"/>
  <c r="W281" i="6"/>
  <c r="AC319" i="6"/>
  <c r="AI319" i="6"/>
  <c r="AB80" i="6"/>
  <c r="AG80" i="6"/>
  <c r="AD319" i="6"/>
  <c r="AG319" i="6"/>
  <c r="AF80" i="6"/>
  <c r="AI80" i="6"/>
  <c r="AD80" i="6"/>
  <c r="U311" i="6"/>
  <c r="AC108" i="6"/>
  <c r="AB108" i="6"/>
  <c r="AJ108" i="6"/>
  <c r="AH108" i="6"/>
  <c r="AI312" i="6"/>
  <c r="AF108" i="6"/>
  <c r="AE108" i="6"/>
  <c r="AE312" i="6"/>
  <c r="AH312" i="6"/>
  <c r="AC312" i="6"/>
  <c r="U312" i="6"/>
  <c r="AD312" i="6"/>
  <c r="AB311" i="6"/>
  <c r="AF312" i="6"/>
  <c r="AQ81" i="7"/>
  <c r="V81" i="7" s="1"/>
  <c r="W81" i="7"/>
  <c r="AJ124" i="6"/>
  <c r="AB124" i="6"/>
  <c r="AH124" i="6"/>
  <c r="AG124" i="6"/>
  <c r="AQ26" i="7"/>
  <c r="V26" i="7" s="1"/>
  <c r="AQ93" i="7"/>
  <c r="V93" i="7" s="1"/>
  <c r="W92" i="8"/>
  <c r="AG311" i="6"/>
  <c r="U236" i="6"/>
  <c r="AB236" i="6"/>
  <c r="AH236" i="6"/>
  <c r="AJ311" i="6"/>
  <c r="AE311" i="6"/>
  <c r="AJ236" i="6"/>
  <c r="AF236" i="6"/>
  <c r="AE236" i="6"/>
  <c r="AD311" i="6"/>
  <c r="AC311" i="6"/>
  <c r="AI311" i="6"/>
  <c r="AG236" i="6"/>
  <c r="W26" i="7"/>
  <c r="AC27" i="7"/>
  <c r="AJ27" i="7"/>
  <c r="AI27" i="7"/>
  <c r="W93" i="7"/>
  <c r="AF27" i="7"/>
  <c r="AE27" i="7"/>
  <c r="AH27" i="7"/>
  <c r="AG27" i="7"/>
  <c r="AI60" i="8"/>
  <c r="AI24" i="8"/>
  <c r="AJ40" i="8"/>
  <c r="AE24" i="8"/>
  <c r="AD24" i="8"/>
  <c r="AD60" i="8"/>
  <c r="AG60" i="8"/>
  <c r="AC40" i="8"/>
  <c r="AB40" i="8"/>
  <c r="AI40" i="8"/>
  <c r="AE40" i="8"/>
  <c r="AH40" i="8"/>
  <c r="AH60" i="8"/>
  <c r="AB60" i="8"/>
  <c r="AF24" i="8"/>
  <c r="AC24" i="8"/>
  <c r="AJ24" i="8"/>
  <c r="U161" i="6"/>
  <c r="U316" i="6"/>
  <c r="AG316" i="6"/>
  <c r="AE161" i="6"/>
  <c r="AJ161" i="6"/>
  <c r="AD236" i="6"/>
  <c r="AC236" i="6"/>
  <c r="AI236" i="6"/>
  <c r="AF161" i="6"/>
  <c r="AI17" i="8"/>
  <c r="AQ62" i="8"/>
  <c r="V62" i="8" s="1"/>
  <c r="AQ38" i="8"/>
  <c r="V38" i="8" s="1"/>
  <c r="AC17" i="8"/>
  <c r="U60" i="8"/>
  <c r="AE60" i="8"/>
  <c r="AB24" i="8"/>
  <c r="U24" i="8"/>
  <c r="AH24" i="8"/>
  <c r="AC91" i="8"/>
  <c r="AF60" i="8"/>
  <c r="AC60" i="8"/>
  <c r="AQ79" i="8"/>
  <c r="V79" i="8" s="1"/>
  <c r="W62" i="8"/>
  <c r="AF17" i="8"/>
  <c r="AJ17" i="8"/>
  <c r="AG22" i="7"/>
  <c r="AF22" i="7"/>
  <c r="AQ82" i="8"/>
  <c r="V82" i="8" s="1"/>
  <c r="AJ94" i="8"/>
  <c r="W79" i="8"/>
  <c r="AG94" i="8"/>
  <c r="AH94" i="8"/>
  <c r="AB94" i="8"/>
  <c r="AE94" i="8"/>
  <c r="AD94" i="8"/>
  <c r="AD17" i="8"/>
  <c r="U17" i="8"/>
  <c r="AG17" i="8"/>
  <c r="AI94" i="8"/>
  <c r="AH17" i="8"/>
  <c r="AF94" i="8"/>
  <c r="W38" i="8"/>
  <c r="W93" i="8"/>
  <c r="U94" i="8"/>
  <c r="AB17" i="8"/>
  <c r="AE17" i="8"/>
  <c r="AC94" i="8"/>
  <c r="W82" i="8"/>
  <c r="AQ86" i="8"/>
  <c r="V86" i="8" s="1"/>
  <c r="AH161" i="6"/>
  <c r="AD161" i="6"/>
  <c r="AC161" i="6"/>
  <c r="AI161" i="6"/>
  <c r="U335" i="6"/>
  <c r="AB161" i="6"/>
  <c r="AG161" i="6"/>
  <c r="AQ202" i="6"/>
  <c r="V202" i="6" s="1"/>
  <c r="W86" i="8"/>
  <c r="AQ93" i="8"/>
  <c r="V93" i="8" s="1"/>
  <c r="AI91" i="8"/>
  <c r="AQ249" i="6"/>
  <c r="V249" i="6" s="1"/>
  <c r="W56" i="8"/>
  <c r="AQ77" i="8"/>
  <c r="V77" i="8" s="1"/>
  <c r="AB91" i="6"/>
  <c r="W249" i="6"/>
  <c r="AD316" i="6"/>
  <c r="AJ316" i="6"/>
  <c r="AD335" i="6"/>
  <c r="AQ137" i="6"/>
  <c r="V137" i="6" s="1"/>
  <c r="AI335" i="6"/>
  <c r="AH289" i="6"/>
  <c r="AC289" i="6"/>
  <c r="AI316" i="6"/>
  <c r="AH22" i="7"/>
  <c r="AC22" i="7"/>
  <c r="AB22" i="7"/>
  <c r="AE22" i="7"/>
  <c r="U22" i="7"/>
  <c r="AD22" i="7"/>
  <c r="AJ22" i="7"/>
  <c r="AI22" i="7"/>
  <c r="W78" i="7"/>
  <c r="AD91" i="8"/>
  <c r="AB91" i="8"/>
  <c r="AG91" i="8"/>
  <c r="U91" i="8"/>
  <c r="AF91" i="8"/>
  <c r="W77" i="8"/>
  <c r="AQ56" i="8"/>
  <c r="V56" i="8" s="1"/>
  <c r="AH91" i="8"/>
  <c r="AE91" i="8"/>
  <c r="AJ91" i="8"/>
  <c r="W19" i="8"/>
  <c r="Y102" i="6"/>
  <c r="AI284" i="6"/>
  <c r="AJ317" i="6"/>
  <c r="AC290" i="6"/>
  <c r="W137" i="6"/>
  <c r="AE327" i="6"/>
  <c r="AH327" i="6"/>
  <c r="AD102" i="6"/>
  <c r="W202" i="6"/>
  <c r="AG102" i="6"/>
  <c r="AF26" i="6"/>
  <c r="AC91" i="6"/>
  <c r="W131" i="6"/>
  <c r="AB317" i="6"/>
  <c r="AJ327" i="6"/>
  <c r="AI327" i="6"/>
  <c r="AF317" i="6"/>
  <c r="AG335" i="6"/>
  <c r="AI317" i="6"/>
  <c r="AD327" i="6"/>
  <c r="AH316" i="6"/>
  <c r="AB327" i="6"/>
  <c r="AC327" i="6"/>
  <c r="AF316" i="6"/>
  <c r="AE316" i="6"/>
  <c r="AI289" i="6"/>
  <c r="AH317" i="6"/>
  <c r="AG284" i="6"/>
  <c r="AH284" i="6"/>
  <c r="AQ131" i="6"/>
  <c r="V131" i="6" s="1"/>
  <c r="AE290" i="6"/>
  <c r="AF327" i="6"/>
  <c r="AB335" i="6"/>
  <c r="AC317" i="6"/>
  <c r="AB316" i="6"/>
  <c r="U327" i="6"/>
  <c r="AG327" i="6"/>
  <c r="AC316" i="6"/>
  <c r="AJ289" i="6"/>
  <c r="AB284" i="6"/>
  <c r="AJ335" i="6"/>
  <c r="AF91" i="6"/>
  <c r="AD91" i="6"/>
  <c r="AH91" i="6"/>
  <c r="Y91" i="6"/>
  <c r="AQ234" i="6"/>
  <c r="V234" i="6" s="1"/>
  <c r="W193" i="6"/>
  <c r="AJ91" i="6"/>
  <c r="AG91" i="6"/>
  <c r="U91" i="6"/>
  <c r="AQ200" i="6"/>
  <c r="V200" i="6" s="1"/>
  <c r="AQ280" i="6"/>
  <c r="V280" i="6" s="1"/>
  <c r="AE91" i="6"/>
  <c r="W280" i="6"/>
  <c r="AB102" i="6"/>
  <c r="AQ193" i="6"/>
  <c r="V193" i="6" s="1"/>
  <c r="U317" i="6"/>
  <c r="AG317" i="6"/>
  <c r="AD284" i="6"/>
  <c r="AB289" i="6"/>
  <c r="AG289" i="6"/>
  <c r="AD289" i="6"/>
  <c r="AE289" i="6"/>
  <c r="AH290" i="6"/>
  <c r="AF102" i="6"/>
  <c r="AJ284" i="6"/>
  <c r="AJ102" i="6"/>
  <c r="AI102" i="6"/>
  <c r="Y290" i="6"/>
  <c r="AC102" i="6"/>
  <c r="AH102" i="6"/>
  <c r="AQ257" i="6"/>
  <c r="V257" i="6" s="1"/>
  <c r="AE317" i="6"/>
  <c r="AF289" i="6"/>
  <c r="U289" i="6"/>
  <c r="AC284" i="6"/>
  <c r="AB290" i="6"/>
  <c r="AF284" i="6"/>
  <c r="AE284" i="6"/>
  <c r="AE102" i="6"/>
  <c r="AD317" i="6"/>
  <c r="W101" i="7"/>
  <c r="AQ101" i="7"/>
  <c r="V101" i="7" s="1"/>
  <c r="W257" i="6"/>
  <c r="W170" i="6"/>
  <c r="W241" i="6"/>
  <c r="AD313" i="6"/>
  <c r="AJ313" i="6"/>
  <c r="W234" i="6"/>
  <c r="AQ241" i="6"/>
  <c r="V241" i="6" s="1"/>
  <c r="AQ248" i="6"/>
  <c r="V248" i="6" s="1"/>
  <c r="AG299" i="6"/>
  <c r="AC313" i="6"/>
  <c r="AG313" i="6"/>
  <c r="AB313" i="6"/>
  <c r="AQ170" i="6"/>
  <c r="V170" i="6" s="1"/>
  <c r="AI313" i="6"/>
  <c r="AJ299" i="6"/>
  <c r="AJ235" i="6"/>
  <c r="AQ146" i="6"/>
  <c r="V146" i="6" s="1"/>
  <c r="U313" i="6"/>
  <c r="AB299" i="6"/>
  <c r="AH299" i="6"/>
  <c r="AH335" i="6"/>
  <c r="AC335" i="6"/>
  <c r="AF335" i="6"/>
  <c r="AG235" i="6"/>
  <c r="W248" i="6"/>
  <c r="AE335" i="6"/>
  <c r="W146" i="6"/>
  <c r="AF313" i="6"/>
  <c r="AD290" i="6"/>
  <c r="AI299" i="6"/>
  <c r="AC299" i="6"/>
  <c r="AE235" i="6"/>
  <c r="AG290" i="6"/>
  <c r="AI290" i="6"/>
  <c r="W240" i="6"/>
  <c r="Y299" i="6"/>
  <c r="AE313" i="6"/>
  <c r="AF299" i="6"/>
  <c r="AH313" i="6"/>
  <c r="AG32" i="6"/>
  <c r="AF290" i="6"/>
  <c r="AJ290" i="6"/>
  <c r="AE299" i="6"/>
  <c r="W82" i="7"/>
  <c r="AC4" i="7"/>
  <c r="AI4" i="7"/>
  <c r="AF4" i="7"/>
  <c r="AB4" i="7"/>
  <c r="AQ78" i="7"/>
  <c r="V78" i="7" s="1"/>
  <c r="W200" i="6"/>
  <c r="W224" i="6"/>
  <c r="AQ82" i="7"/>
  <c r="V82" i="7" s="1"/>
  <c r="AD299" i="6"/>
  <c r="AQ240" i="6"/>
  <c r="V240" i="6" s="1"/>
  <c r="AQ224" i="6"/>
  <c r="V224" i="6" s="1"/>
  <c r="AQ19" i="8"/>
  <c r="V19" i="8" s="1"/>
  <c r="AC19" i="6"/>
  <c r="AH205" i="6"/>
  <c r="AD19" i="6"/>
  <c r="AF19" i="6"/>
  <c r="U205" i="6"/>
  <c r="AE205" i="6"/>
  <c r="AC205" i="6"/>
  <c r="Y19" i="6"/>
  <c r="AJ205" i="6"/>
  <c r="AG19" i="6"/>
  <c r="AB32" i="6"/>
  <c r="AG295" i="6"/>
  <c r="AE32" i="6"/>
  <c r="AC32" i="6"/>
  <c r="AH32" i="6"/>
  <c r="AI32" i="6"/>
  <c r="AD32" i="6"/>
  <c r="AF32" i="6"/>
  <c r="AE66" i="6"/>
  <c r="AB66" i="6"/>
  <c r="AD66" i="6"/>
  <c r="Y66" i="6"/>
  <c r="AD295" i="6"/>
  <c r="U32" i="6"/>
  <c r="AJ32" i="6"/>
  <c r="AC26" i="6"/>
  <c r="AJ26" i="6"/>
  <c r="AI66" i="6"/>
  <c r="AH26" i="6"/>
  <c r="U4" i="7"/>
  <c r="Y4" i="7"/>
  <c r="AB205" i="6"/>
  <c r="AH19" i="6"/>
  <c r="AJ19" i="6"/>
  <c r="AG26" i="6"/>
  <c r="AF295" i="6"/>
  <c r="Y205" i="6"/>
  <c r="AD205" i="6"/>
  <c r="U19" i="6"/>
  <c r="AD26" i="6"/>
  <c r="AF205" i="6"/>
  <c r="AE19" i="6"/>
  <c r="AI19" i="6"/>
  <c r="AC295" i="6"/>
  <c r="AG205" i="6"/>
  <c r="AJ295" i="6"/>
  <c r="AB26" i="6"/>
  <c r="AC66" i="6"/>
  <c r="AI235" i="6"/>
  <c r="U295" i="6"/>
  <c r="U66" i="6"/>
  <c r="AB295" i="6"/>
  <c r="Y26" i="6"/>
  <c r="AH66" i="6"/>
  <c r="AJ66" i="6"/>
  <c r="AI295" i="6"/>
  <c r="AE26" i="6"/>
  <c r="AI26" i="6"/>
  <c r="AF66" i="6"/>
  <c r="W62" i="7"/>
  <c r="AJ4" i="7"/>
  <c r="AG4" i="7"/>
  <c r="AD4" i="7"/>
  <c r="AE4" i="7"/>
  <c r="AQ62" i="7"/>
  <c r="V62" i="7" s="1"/>
  <c r="U235" i="6"/>
  <c r="AH235" i="6"/>
  <c r="AB235" i="6"/>
  <c r="AC235" i="6"/>
  <c r="AF235" i="6"/>
  <c r="AH295" i="6"/>
  <c r="AE295" i="6"/>
  <c r="Y235" i="6"/>
  <c r="AQ92" i="8"/>
  <c r="V92" i="8" s="1"/>
  <c r="S148" i="6"/>
  <c r="O148" i="6"/>
  <c r="S212" i="6"/>
  <c r="O212" i="6"/>
  <c r="S6" i="6"/>
  <c r="O6" i="6"/>
  <c r="T212" i="6" l="1"/>
  <c r="Y212" i="6" s="1"/>
  <c r="W43" i="8"/>
  <c r="AQ45" i="8"/>
  <c r="V45" i="8" s="1"/>
  <c r="AQ15" i="8"/>
  <c r="V15" i="8" s="1"/>
  <c r="AQ5" i="8"/>
  <c r="V5" i="8" s="1"/>
  <c r="W45" i="8"/>
  <c r="W5" i="8"/>
  <c r="W15" i="8"/>
  <c r="AQ43" i="8"/>
  <c r="V43" i="8" s="1"/>
  <c r="W42" i="8"/>
  <c r="AQ64" i="8"/>
  <c r="V64" i="8" s="1"/>
  <c r="T6" i="6"/>
  <c r="AC6" i="6" s="1"/>
  <c r="T148" i="6"/>
  <c r="AJ148" i="6" s="1"/>
  <c r="W162" i="6"/>
  <c r="W64" i="8"/>
  <c r="AQ162" i="6"/>
  <c r="V162" i="6" s="1"/>
  <c r="AQ163" i="6"/>
  <c r="V163" i="6" s="1"/>
  <c r="W34" i="6"/>
  <c r="W329" i="6"/>
  <c r="W163" i="6"/>
  <c r="AQ34" i="6"/>
  <c r="V34" i="6" s="1"/>
  <c r="AQ329" i="6"/>
  <c r="V329" i="6" s="1"/>
  <c r="AQ80" i="6"/>
  <c r="V80" i="6" s="1"/>
  <c r="W7" i="7"/>
  <c r="AQ7" i="7"/>
  <c r="V7" i="7" s="1"/>
  <c r="AQ77" i="7"/>
  <c r="V77" i="7" s="1"/>
  <c r="AQ81" i="8"/>
  <c r="V81" i="8" s="1"/>
  <c r="AQ42" i="8"/>
  <c r="V42" i="8" s="1"/>
  <c r="AQ24" i="8"/>
  <c r="V24" i="8" s="1"/>
  <c r="W40" i="8"/>
  <c r="W60" i="8"/>
  <c r="W81" i="8"/>
  <c r="AQ17" i="8"/>
  <c r="V17" i="8" s="1"/>
  <c r="W80" i="6"/>
  <c r="AQ108" i="6"/>
  <c r="V108" i="6" s="1"/>
  <c r="AQ319" i="6"/>
  <c r="V319" i="6" s="1"/>
  <c r="W319" i="6"/>
  <c r="W236" i="6"/>
  <c r="W13" i="7"/>
  <c r="W77" i="7"/>
  <c r="AQ13" i="7"/>
  <c r="V13" i="7" s="1"/>
  <c r="W45" i="7"/>
  <c r="W27" i="7"/>
  <c r="AQ60" i="8"/>
  <c r="V60" i="8" s="1"/>
  <c r="AQ45" i="7"/>
  <c r="V45" i="7" s="1"/>
  <c r="W124" i="6"/>
  <c r="W108" i="6"/>
  <c r="AQ312" i="6"/>
  <c r="V312" i="6" s="1"/>
  <c r="W312" i="6"/>
  <c r="AQ124" i="6"/>
  <c r="V124" i="6" s="1"/>
  <c r="AQ27" i="7"/>
  <c r="V27" i="7" s="1"/>
  <c r="AQ311" i="6"/>
  <c r="V311" i="6" s="1"/>
  <c r="AQ91" i="6"/>
  <c r="V91" i="6" s="1"/>
  <c r="W311" i="6"/>
  <c r="W22" i="7"/>
  <c r="W24" i="8"/>
  <c r="AQ40" i="8"/>
  <c r="V40" i="8" s="1"/>
  <c r="AQ236" i="6"/>
  <c r="V236" i="6" s="1"/>
  <c r="AQ161" i="6"/>
  <c r="V161" i="6" s="1"/>
  <c r="AQ94" i="8"/>
  <c r="V94" i="8" s="1"/>
  <c r="W17" i="8"/>
  <c r="W94" i="8"/>
  <c r="AQ22" i="7"/>
  <c r="V22" i="7" s="1"/>
  <c r="AQ91" i="8"/>
  <c r="V91" i="8" s="1"/>
  <c r="W161" i="6"/>
  <c r="W91" i="8"/>
  <c r="AQ327" i="6"/>
  <c r="V327" i="6" s="1"/>
  <c r="W316" i="6"/>
  <c r="W327" i="6"/>
  <c r="AQ317" i="6"/>
  <c r="V317" i="6" s="1"/>
  <c r="W317" i="6"/>
  <c r="AQ316" i="6"/>
  <c r="V316" i="6" s="1"/>
  <c r="W91" i="6"/>
  <c r="AQ284" i="6"/>
  <c r="V284" i="6" s="1"/>
  <c r="W102" i="6"/>
  <c r="AQ289" i="6"/>
  <c r="V289" i="6" s="1"/>
  <c r="W289" i="6"/>
  <c r="AQ102" i="6"/>
  <c r="V102" i="6" s="1"/>
  <c r="W284" i="6"/>
  <c r="AQ290" i="6"/>
  <c r="V290" i="6" s="1"/>
  <c r="AQ335" i="6"/>
  <c r="V335" i="6" s="1"/>
  <c r="W313" i="6"/>
  <c r="AQ313" i="6"/>
  <c r="V313" i="6" s="1"/>
  <c r="AQ299" i="6"/>
  <c r="V299" i="6" s="1"/>
  <c r="W335" i="6"/>
  <c r="W299" i="6"/>
  <c r="W290" i="6"/>
  <c r="AQ32" i="6"/>
  <c r="V32" i="6" s="1"/>
  <c r="W26" i="6"/>
  <c r="W32" i="6"/>
  <c r="W66" i="6"/>
  <c r="AQ4" i="7"/>
  <c r="V4" i="7" s="1"/>
  <c r="W205" i="6"/>
  <c r="W19" i="6"/>
  <c r="AQ66" i="6"/>
  <c r="V66" i="6" s="1"/>
  <c r="AQ205" i="6"/>
  <c r="V205" i="6" s="1"/>
  <c r="AQ19" i="6"/>
  <c r="V19" i="6" s="1"/>
  <c r="AQ26" i="6"/>
  <c r="V26" i="6" s="1"/>
  <c r="W235" i="6"/>
  <c r="W295" i="6"/>
  <c r="W4" i="7"/>
  <c r="AQ235" i="6"/>
  <c r="V235" i="6" s="1"/>
  <c r="AQ295" i="6"/>
  <c r="V295" i="6" s="1"/>
  <c r="AB6" i="6"/>
  <c r="AJ212" i="6"/>
  <c r="AI148" i="6"/>
  <c r="AG148" i="6" l="1"/>
  <c r="AD148" i="6"/>
  <c r="U148" i="6"/>
  <c r="AC148" i="6"/>
  <c r="AH6" i="6"/>
  <c r="AE6" i="6"/>
  <c r="Y6" i="6"/>
  <c r="U6" i="6"/>
  <c r="AG6" i="6"/>
  <c r="AD212" i="6"/>
  <c r="AB212" i="6"/>
  <c r="U212" i="6"/>
  <c r="AF212" i="6"/>
  <c r="AJ6" i="6"/>
  <c r="AH212" i="6"/>
  <c r="AC212" i="6"/>
  <c r="AG212" i="6"/>
  <c r="AE212" i="6"/>
  <c r="AI212" i="6"/>
  <c r="AB148" i="6"/>
  <c r="AF148" i="6"/>
  <c r="AI6" i="6"/>
  <c r="AD6" i="6"/>
  <c r="AH148" i="6"/>
  <c r="AF6" i="6"/>
  <c r="AE148" i="6"/>
  <c r="Y148" i="6"/>
  <c r="S88" i="8"/>
  <c r="O88" i="8"/>
  <c r="S75" i="8"/>
  <c r="O75" i="8"/>
  <c r="S65" i="8"/>
  <c r="O65" i="8"/>
  <c r="S54" i="8"/>
  <c r="O54" i="8"/>
  <c r="S47" i="8"/>
  <c r="O47" i="8"/>
  <c r="S31" i="8"/>
  <c r="O31" i="8"/>
  <c r="S29" i="8"/>
  <c r="O29" i="8"/>
  <c r="S26" i="8"/>
  <c r="O26" i="8"/>
  <c r="S48" i="8"/>
  <c r="O48" i="8"/>
  <c r="S70" i="8"/>
  <c r="O70" i="8"/>
  <c r="S23" i="8"/>
  <c r="O23" i="8"/>
  <c r="S96" i="8"/>
  <c r="O96" i="8"/>
  <c r="S73" i="8"/>
  <c r="O73" i="8"/>
  <c r="S53" i="8"/>
  <c r="O53" i="8"/>
  <c r="S35" i="8"/>
  <c r="O35" i="8"/>
  <c r="S67" i="8"/>
  <c r="O67" i="8"/>
  <c r="S36" i="8"/>
  <c r="O36" i="8"/>
  <c r="S33" i="8"/>
  <c r="O33" i="8"/>
  <c r="S11" i="8"/>
  <c r="O11" i="8"/>
  <c r="S21" i="8"/>
  <c r="O21" i="8"/>
  <c r="S49" i="8"/>
  <c r="O49" i="8"/>
  <c r="S83" i="8"/>
  <c r="O83" i="8"/>
  <c r="S80" i="8"/>
  <c r="O80" i="8"/>
  <c r="S10" i="8"/>
  <c r="O10" i="8"/>
  <c r="S22" i="8"/>
  <c r="O22" i="8"/>
  <c r="S12" i="8"/>
  <c r="O12" i="8"/>
  <c r="S84" i="8"/>
  <c r="O84" i="8"/>
  <c r="S68" i="8"/>
  <c r="O68" i="8"/>
  <c r="S44" i="8"/>
  <c r="O44" i="8"/>
  <c r="S63" i="8"/>
  <c r="O63" i="8"/>
  <c r="S13" i="8"/>
  <c r="O13" i="8"/>
  <c r="S9" i="8"/>
  <c r="O9" i="8"/>
  <c r="S4" i="8"/>
  <c r="O4" i="8"/>
  <c r="S7" i="8"/>
  <c r="O7" i="8"/>
  <c r="S50" i="8"/>
  <c r="O50" i="8"/>
  <c r="S46" i="8"/>
  <c r="O46" i="8"/>
  <c r="S30" i="8"/>
  <c r="O30" i="8"/>
  <c r="S25" i="8"/>
  <c r="O25" i="8"/>
  <c r="S20" i="8"/>
  <c r="O20" i="8"/>
  <c r="S90" i="8"/>
  <c r="O90" i="8"/>
  <c r="S57" i="8"/>
  <c r="O57" i="8"/>
  <c r="S95" i="8"/>
  <c r="O95" i="8"/>
  <c r="S16" i="8"/>
  <c r="O16" i="8"/>
  <c r="S87" i="8"/>
  <c r="O87" i="8"/>
  <c r="S74" i="8"/>
  <c r="O74" i="8"/>
  <c r="S72" i="8"/>
  <c r="O72" i="8"/>
  <c r="S51" i="8"/>
  <c r="O51" i="8"/>
  <c r="S28" i="8"/>
  <c r="O28" i="8"/>
  <c r="S69" i="8"/>
  <c r="O69" i="8"/>
  <c r="S66" i="8"/>
  <c r="O66" i="8"/>
  <c r="S76" i="8"/>
  <c r="O76" i="8"/>
  <c r="S55" i="8"/>
  <c r="O55" i="8"/>
  <c r="S32" i="8"/>
  <c r="O32" i="8"/>
  <c r="S14" i="8"/>
  <c r="O14" i="8"/>
  <c r="S85" i="8"/>
  <c r="O85" i="8"/>
  <c r="S71" i="8"/>
  <c r="O71" i="8"/>
  <c r="S52" i="8"/>
  <c r="O52" i="8"/>
  <c r="S34" i="8"/>
  <c r="O34" i="8"/>
  <c r="S87" i="7"/>
  <c r="O87" i="7"/>
  <c r="S70" i="7"/>
  <c r="O70" i="7"/>
  <c r="S52" i="7"/>
  <c r="O52" i="7"/>
  <c r="S76" i="7"/>
  <c r="O76" i="7"/>
  <c r="S11" i="7"/>
  <c r="O11" i="7"/>
  <c r="S75" i="7"/>
  <c r="O75" i="7"/>
  <c r="S25" i="7"/>
  <c r="O25" i="7"/>
  <c r="S74" i="7"/>
  <c r="O74" i="7"/>
  <c r="S98" i="7"/>
  <c r="O98" i="7"/>
  <c r="S92" i="7"/>
  <c r="O92" i="7"/>
  <c r="S91" i="7"/>
  <c r="O91" i="7"/>
  <c r="S80" i="7"/>
  <c r="O80" i="7"/>
  <c r="S73" i="7"/>
  <c r="O73" i="7"/>
  <c r="S28" i="7"/>
  <c r="O28" i="7"/>
  <c r="S69" i="7"/>
  <c r="O69" i="7"/>
  <c r="S16" i="7"/>
  <c r="O16" i="7"/>
  <c r="S34" i="7"/>
  <c r="O34" i="7"/>
  <c r="S14" i="7"/>
  <c r="O14" i="7"/>
  <c r="S65" i="7"/>
  <c r="O65" i="7"/>
  <c r="S38" i="7"/>
  <c r="O38" i="7"/>
  <c r="S55" i="7"/>
  <c r="O55" i="7"/>
  <c r="S24" i="7"/>
  <c r="O24" i="7"/>
  <c r="S47" i="7"/>
  <c r="O47" i="7"/>
  <c r="S58" i="7"/>
  <c r="O58" i="7"/>
  <c r="S33" i="7"/>
  <c r="O33" i="7"/>
  <c r="S31" i="7"/>
  <c r="O31" i="7"/>
  <c r="S35" i="6"/>
  <c r="O35" i="6"/>
  <c r="S218" i="6"/>
  <c r="O218" i="6"/>
  <c r="S222" i="6"/>
  <c r="O222" i="6"/>
  <c r="S322" i="6"/>
  <c r="O322" i="6"/>
  <c r="S52" i="6"/>
  <c r="O52" i="6"/>
  <c r="S238" i="6"/>
  <c r="O238" i="6"/>
  <c r="S310" i="6"/>
  <c r="O310" i="6"/>
  <c r="S262" i="6"/>
  <c r="O262" i="6"/>
  <c r="S185" i="6"/>
  <c r="O185" i="6"/>
  <c r="S160" i="6"/>
  <c r="O160" i="6"/>
  <c r="S158" i="6"/>
  <c r="O158" i="6"/>
  <c r="S149" i="6"/>
  <c r="O149" i="6"/>
  <c r="S142" i="6"/>
  <c r="O142" i="6"/>
  <c r="S126" i="6"/>
  <c r="O126" i="6"/>
  <c r="S62" i="6"/>
  <c r="O62" i="6"/>
  <c r="S45" i="6"/>
  <c r="O45" i="6"/>
  <c r="S25" i="6"/>
  <c r="O25" i="6"/>
  <c r="S18" i="6"/>
  <c r="O18" i="6"/>
  <c r="S3" i="6"/>
  <c r="O3" i="6"/>
  <c r="S302" i="6"/>
  <c r="O302" i="6"/>
  <c r="S275" i="6"/>
  <c r="O275" i="6"/>
  <c r="S255" i="6"/>
  <c r="O255" i="6"/>
  <c r="S247" i="6"/>
  <c r="O247" i="6"/>
  <c r="S233" i="6"/>
  <c r="O233" i="6"/>
  <c r="S214" i="6"/>
  <c r="O214" i="6"/>
  <c r="S184" i="6"/>
  <c r="O184" i="6"/>
  <c r="S164" i="6"/>
  <c r="O164" i="6"/>
  <c r="S153" i="6"/>
  <c r="O153" i="6"/>
  <c r="S145" i="6"/>
  <c r="O145" i="6"/>
  <c r="S122" i="6"/>
  <c r="O122" i="6"/>
  <c r="S9" i="6"/>
  <c r="O9" i="6"/>
  <c r="S112" i="6"/>
  <c r="O112" i="6"/>
  <c r="S95" i="6"/>
  <c r="O95" i="6"/>
  <c r="S83" i="6"/>
  <c r="O83" i="6"/>
  <c r="S231" i="6"/>
  <c r="O231" i="6"/>
  <c r="S174" i="6"/>
  <c r="O174" i="6"/>
  <c r="S33" i="6"/>
  <c r="O33" i="6"/>
  <c r="S332" i="6"/>
  <c r="O332" i="6"/>
  <c r="S328" i="6"/>
  <c r="O328" i="6"/>
  <c r="S244" i="6"/>
  <c r="O244" i="6"/>
  <c r="S197" i="6"/>
  <c r="O197" i="6"/>
  <c r="S191" i="6"/>
  <c r="O191" i="6"/>
  <c r="S55" i="6"/>
  <c r="O55" i="6"/>
  <c r="S63" i="6"/>
  <c r="O63" i="6"/>
  <c r="S282" i="6"/>
  <c r="O282" i="6"/>
  <c r="S110" i="6"/>
  <c r="O110" i="6"/>
  <c r="S64" i="6"/>
  <c r="O64" i="6"/>
  <c r="S53" i="6"/>
  <c r="O53" i="6"/>
  <c r="S298" i="6"/>
  <c r="O298" i="6"/>
  <c r="S5" i="6"/>
  <c r="O5" i="6"/>
  <c r="S70" i="6"/>
  <c r="O70" i="6"/>
  <c r="S99" i="6"/>
  <c r="O99" i="6"/>
  <c r="S31" i="6"/>
  <c r="O31" i="6"/>
  <c r="S315" i="6"/>
  <c r="O315" i="6"/>
  <c r="S22" i="6"/>
  <c r="O22" i="6"/>
  <c r="S17" i="6"/>
  <c r="O17" i="6"/>
  <c r="S156" i="6"/>
  <c r="O156" i="6"/>
  <c r="S10" i="6"/>
  <c r="O10" i="6"/>
  <c r="S306" i="6"/>
  <c r="O306" i="6"/>
  <c r="S226" i="6"/>
  <c r="O226" i="6"/>
  <c r="S150" i="6"/>
  <c r="O150" i="6"/>
  <c r="S71" i="6"/>
  <c r="O71" i="6"/>
  <c r="S304" i="6"/>
  <c r="O304" i="6"/>
  <c r="S143" i="6"/>
  <c r="O143" i="6"/>
  <c r="S139" i="6"/>
  <c r="O139" i="6"/>
  <c r="S215" i="6"/>
  <c r="O215" i="6"/>
  <c r="S217" i="6"/>
  <c r="O217" i="6"/>
  <c r="S67" i="6"/>
  <c r="O67" i="6"/>
  <c r="S324" i="6"/>
  <c r="O324" i="6"/>
  <c r="S258" i="6"/>
  <c r="O258" i="6"/>
  <c r="S254" i="6"/>
  <c r="O254" i="6"/>
  <c r="S292" i="6"/>
  <c r="O292" i="6"/>
  <c r="S117" i="6"/>
  <c r="O117" i="6"/>
  <c r="S106" i="6"/>
  <c r="O106" i="6"/>
  <c r="S94" i="6"/>
  <c r="O94" i="6"/>
  <c r="S37" i="6"/>
  <c r="O37" i="6"/>
  <c r="S86" i="6"/>
  <c r="O86" i="6"/>
  <c r="AQ6" i="6" l="1"/>
  <c r="V6" i="6" s="1"/>
  <c r="W6" i="6"/>
  <c r="W212" i="6"/>
  <c r="AQ212" i="6"/>
  <c r="V212" i="6" s="1"/>
  <c r="T76" i="7"/>
  <c r="AB76" i="7" s="1"/>
  <c r="T75" i="7"/>
  <c r="AC75" i="7" s="1"/>
  <c r="T29" i="8"/>
  <c r="AE29" i="8" s="1"/>
  <c r="T54" i="8"/>
  <c r="U54" i="8" s="1"/>
  <c r="T14" i="8"/>
  <c r="AD14" i="8" s="1"/>
  <c r="T72" i="8"/>
  <c r="AC72" i="8" s="1"/>
  <c r="T87" i="8"/>
  <c r="U87" i="8" s="1"/>
  <c r="AQ148" i="6"/>
  <c r="V148" i="6" s="1"/>
  <c r="W148" i="6"/>
  <c r="T11" i="7"/>
  <c r="AB11" i="7" s="1"/>
  <c r="T87" i="7"/>
  <c r="Y87" i="7" s="1"/>
  <c r="T70" i="7"/>
  <c r="AH70" i="7" s="1"/>
  <c r="T25" i="7"/>
  <c r="Y25" i="7" s="1"/>
  <c r="T10" i="6"/>
  <c r="Y10" i="6" s="1"/>
  <c r="T322" i="6"/>
  <c r="Y322" i="6" s="1"/>
  <c r="T74" i="7"/>
  <c r="AJ74" i="7" s="1"/>
  <c r="T11" i="8"/>
  <c r="AH11" i="8" s="1"/>
  <c r="T22" i="8"/>
  <c r="U22" i="8" s="1"/>
  <c r="T44" i="8"/>
  <c r="U44" i="8" s="1"/>
  <c r="T226" i="6"/>
  <c r="Y226" i="6" s="1"/>
  <c r="T18" i="6"/>
  <c r="Y18" i="6" s="1"/>
  <c r="T25" i="6"/>
  <c r="Y25" i="6" s="1"/>
  <c r="T86" i="6"/>
  <c r="Y86" i="6" s="1"/>
  <c r="T117" i="6"/>
  <c r="Y117" i="6" s="1"/>
  <c r="T184" i="6"/>
  <c r="Y184" i="6" s="1"/>
  <c r="T38" i="7"/>
  <c r="Y38" i="7" s="1"/>
  <c r="T73" i="7"/>
  <c r="Y73" i="7" s="1"/>
  <c r="T16" i="7"/>
  <c r="Y16" i="7" s="1"/>
  <c r="T69" i="7"/>
  <c r="Y69" i="7" s="1"/>
  <c r="T28" i="7"/>
  <c r="Y28" i="7" s="1"/>
  <c r="T69" i="8"/>
  <c r="U69" i="8" s="1"/>
  <c r="T51" i="8"/>
  <c r="AH51" i="8" s="1"/>
  <c r="T94" i="6"/>
  <c r="Y94" i="6" s="1"/>
  <c r="T139" i="6"/>
  <c r="Y139" i="6" s="1"/>
  <c r="T304" i="6"/>
  <c r="Y304" i="6" s="1"/>
  <c r="T74" i="8"/>
  <c r="AI74" i="8" s="1"/>
  <c r="T16" i="8"/>
  <c r="AG16" i="8" s="1"/>
  <c r="T71" i="8"/>
  <c r="AE71" i="8" s="1"/>
  <c r="T32" i="8"/>
  <c r="AG32" i="8" s="1"/>
  <c r="T55" i="8"/>
  <c r="AF55" i="8" s="1"/>
  <c r="T24" i="7"/>
  <c r="Y24" i="7" s="1"/>
  <c r="T106" i="6"/>
  <c r="Y106" i="6" s="1"/>
  <c r="T215" i="6"/>
  <c r="Y215" i="6" s="1"/>
  <c r="T85" i="8"/>
  <c r="AG85" i="8" s="1"/>
  <c r="T34" i="8"/>
  <c r="AH34" i="8" s="1"/>
  <c r="T34" i="7"/>
  <c r="Y34" i="7" s="1"/>
  <c r="T65" i="7"/>
  <c r="Y65" i="7" s="1"/>
  <c r="T47" i="7"/>
  <c r="Y47" i="7" s="1"/>
  <c r="T55" i="7"/>
  <c r="Y55" i="7" s="1"/>
  <c r="T58" i="7"/>
  <c r="Y58" i="7" s="1"/>
  <c r="T83" i="8"/>
  <c r="AH83" i="8" s="1"/>
  <c r="T75" i="8"/>
  <c r="AJ75" i="8" s="1"/>
  <c r="T31" i="8"/>
  <c r="U31" i="8" s="1"/>
  <c r="T33" i="7"/>
  <c r="Y33" i="7" s="1"/>
  <c r="T48" i="8"/>
  <c r="AH48" i="8" s="1"/>
  <c r="T26" i="8"/>
  <c r="AF26" i="8" s="1"/>
  <c r="T21" i="8"/>
  <c r="AE21" i="8" s="1"/>
  <c r="T247" i="6"/>
  <c r="Y247" i="6" s="1"/>
  <c r="T164" i="6"/>
  <c r="Y164" i="6" s="1"/>
  <c r="T262" i="6"/>
  <c r="Y262" i="6" s="1"/>
  <c r="T310" i="6"/>
  <c r="Y310" i="6" s="1"/>
  <c r="T17" i="6"/>
  <c r="Y17" i="6" s="1"/>
  <c r="T83" i="6"/>
  <c r="Y83" i="6" s="1"/>
  <c r="T145" i="6"/>
  <c r="Y145" i="6" s="1"/>
  <c r="T302" i="6"/>
  <c r="Y302" i="6" s="1"/>
  <c r="T3" i="6"/>
  <c r="Y3" i="6" s="1"/>
  <c r="T62" i="6"/>
  <c r="Y62" i="6" s="1"/>
  <c r="T142" i="6"/>
  <c r="Y142" i="6" s="1"/>
  <c r="T31" i="6"/>
  <c r="Y31" i="6" s="1"/>
  <c r="T153" i="6"/>
  <c r="Y153" i="6" s="1"/>
  <c r="T233" i="6"/>
  <c r="Y233" i="6" s="1"/>
  <c r="T126" i="6"/>
  <c r="Y126" i="6" s="1"/>
  <c r="T9" i="8"/>
  <c r="AE9" i="8" s="1"/>
  <c r="T63" i="8"/>
  <c r="AJ63" i="8" s="1"/>
  <c r="T68" i="8"/>
  <c r="AC68" i="8" s="1"/>
  <c r="T4" i="8"/>
  <c r="AG4" i="8" s="1"/>
  <c r="T156" i="6"/>
  <c r="Y156" i="6" s="1"/>
  <c r="T315" i="6"/>
  <c r="Y315" i="6" s="1"/>
  <c r="T231" i="6"/>
  <c r="Y231" i="6" s="1"/>
  <c r="T9" i="6"/>
  <c r="Y9" i="6" s="1"/>
  <c r="T7" i="8"/>
  <c r="AF7" i="8" s="1"/>
  <c r="T46" i="8"/>
  <c r="U46" i="8" s="1"/>
  <c r="T50" i="8"/>
  <c r="AD50" i="8" s="1"/>
  <c r="T95" i="8"/>
  <c r="AI95" i="8" s="1"/>
  <c r="T57" i="8"/>
  <c r="AC57" i="8" s="1"/>
  <c r="T298" i="6"/>
  <c r="Y298" i="6" s="1"/>
  <c r="T64" i="6"/>
  <c r="Y64" i="6" s="1"/>
  <c r="T110" i="6"/>
  <c r="Y110" i="6" s="1"/>
  <c r="T332" i="6"/>
  <c r="Y332" i="6" s="1"/>
  <c r="T70" i="6"/>
  <c r="Y70" i="6" s="1"/>
  <c r="T191" i="6"/>
  <c r="Y191" i="6" s="1"/>
  <c r="T244" i="6"/>
  <c r="Y244" i="6" s="1"/>
  <c r="T197" i="6"/>
  <c r="Y197" i="6" s="1"/>
  <c r="T328" i="6"/>
  <c r="Y328" i="6" s="1"/>
  <c r="T174" i="6"/>
  <c r="Y174" i="6" s="1"/>
  <c r="T20" i="8"/>
  <c r="AF20" i="8" s="1"/>
  <c r="AB74" i="7"/>
  <c r="AC76" i="7"/>
  <c r="T92" i="7"/>
  <c r="T52" i="7"/>
  <c r="T80" i="7"/>
  <c r="AF25" i="7"/>
  <c r="AB25" i="7"/>
  <c r="AJ25" i="7"/>
  <c r="T98" i="7"/>
  <c r="T49" i="8"/>
  <c r="Y49" i="8" s="1"/>
  <c r="T28" i="8"/>
  <c r="Y28" i="8" s="1"/>
  <c r="T25" i="8"/>
  <c r="Y25" i="8" s="1"/>
  <c r="T33" i="8"/>
  <c r="T65" i="8"/>
  <c r="Y65" i="8" s="1"/>
  <c r="T96" i="8"/>
  <c r="Y96" i="8" s="1"/>
  <c r="T52" i="8"/>
  <c r="T66" i="8"/>
  <c r="Y66" i="8" s="1"/>
  <c r="T30" i="8"/>
  <c r="T12" i="8"/>
  <c r="Y12" i="8" s="1"/>
  <c r="T36" i="8"/>
  <c r="Y36" i="8" s="1"/>
  <c r="T67" i="8"/>
  <c r="Y67" i="8" s="1"/>
  <c r="T73" i="8"/>
  <c r="T23" i="8"/>
  <c r="Y23" i="8" s="1"/>
  <c r="T10" i="8"/>
  <c r="T35" i="8"/>
  <c r="Y35" i="8" s="1"/>
  <c r="T47" i="8"/>
  <c r="T31" i="7"/>
  <c r="Y31" i="7" s="1"/>
  <c r="T76" i="8"/>
  <c r="T90" i="8"/>
  <c r="T13" i="8"/>
  <c r="T84" i="8"/>
  <c r="T53" i="8"/>
  <c r="T88" i="8"/>
  <c r="T80" i="8"/>
  <c r="T70" i="8"/>
  <c r="T14" i="7"/>
  <c r="Y14" i="7" s="1"/>
  <c r="T91" i="7"/>
  <c r="T55" i="6"/>
  <c r="Y55" i="6" s="1"/>
  <c r="T112" i="6"/>
  <c r="Y112" i="6" s="1"/>
  <c r="T275" i="6"/>
  <c r="Y275" i="6" s="1"/>
  <c r="T45" i="6"/>
  <c r="Y45" i="6" s="1"/>
  <c r="T149" i="6"/>
  <c r="Y149" i="6" s="1"/>
  <c r="T158" i="6"/>
  <c r="Y158" i="6" s="1"/>
  <c r="T185" i="6"/>
  <c r="Y185" i="6" s="1"/>
  <c r="T222" i="6"/>
  <c r="Y222" i="6" s="1"/>
  <c r="T306" i="6"/>
  <c r="Y306" i="6" s="1"/>
  <c r="T22" i="6"/>
  <c r="Y22" i="6" s="1"/>
  <c r="T282" i="6"/>
  <c r="Y282" i="6" s="1"/>
  <c r="T63" i="6"/>
  <c r="Y63" i="6" s="1"/>
  <c r="T52" i="6"/>
  <c r="Y52" i="6" s="1"/>
  <c r="T53" i="6"/>
  <c r="Y53" i="6" s="1"/>
  <c r="T150" i="6"/>
  <c r="Y150" i="6" s="1"/>
  <c r="T71" i="6"/>
  <c r="Y71" i="6" s="1"/>
  <c r="T67" i="6"/>
  <c r="Y67" i="6" s="1"/>
  <c r="T254" i="6"/>
  <c r="Y254" i="6" s="1"/>
  <c r="T292" i="6"/>
  <c r="Y292" i="6" s="1"/>
  <c r="T37" i="6"/>
  <c r="Y37" i="6" s="1"/>
  <c r="T143" i="6"/>
  <c r="Y143" i="6" s="1"/>
  <c r="T324" i="6"/>
  <c r="Y324" i="6" s="1"/>
  <c r="T217" i="6"/>
  <c r="Y217" i="6" s="1"/>
  <c r="T258" i="6"/>
  <c r="Y258" i="6" s="1"/>
  <c r="T5" i="6"/>
  <c r="Y5" i="6" s="1"/>
  <c r="T99" i="6"/>
  <c r="Y99" i="6" s="1"/>
  <c r="T255" i="6"/>
  <c r="Y255" i="6" s="1"/>
  <c r="T238" i="6"/>
  <c r="Y238" i="6" s="1"/>
  <c r="T218" i="6"/>
  <c r="Y218" i="6" s="1"/>
  <c r="T33" i="6"/>
  <c r="Y33" i="6" s="1"/>
  <c r="T122" i="6"/>
  <c r="Y122" i="6" s="1"/>
  <c r="T35" i="6"/>
  <c r="Y35" i="6" s="1"/>
  <c r="T95" i="6"/>
  <c r="Y95" i="6" s="1"/>
  <c r="T214" i="6"/>
  <c r="Y214" i="6" s="1"/>
  <c r="T160" i="6"/>
  <c r="Y160" i="6" s="1"/>
  <c r="AJ54" i="8" l="1"/>
  <c r="AB70" i="7"/>
  <c r="Y70" i="7"/>
  <c r="AC87" i="8"/>
  <c r="AG70" i="7"/>
  <c r="AH76" i="7"/>
  <c r="AC74" i="7"/>
  <c r="AG76" i="7"/>
  <c r="AE11" i="7"/>
  <c r="AH11" i="7"/>
  <c r="AI70" i="7"/>
  <c r="AE70" i="7"/>
  <c r="AE76" i="7"/>
  <c r="U74" i="7"/>
  <c r="AF74" i="7"/>
  <c r="AI74" i="7"/>
  <c r="AF70" i="7"/>
  <c r="AD70" i="7"/>
  <c r="U76" i="7"/>
  <c r="AI76" i="7"/>
  <c r="AF76" i="7"/>
  <c r="AD74" i="7"/>
  <c r="AG74" i="7"/>
  <c r="AE74" i="7"/>
  <c r="AC70" i="7"/>
  <c r="Y76" i="7"/>
  <c r="U70" i="7"/>
  <c r="AJ70" i="7"/>
  <c r="AD76" i="7"/>
  <c r="AJ76" i="7"/>
  <c r="AH74" i="7"/>
  <c r="Y74" i="7"/>
  <c r="AG87" i="7"/>
  <c r="AD11" i="7"/>
  <c r="AG11" i="7"/>
  <c r="AF87" i="7"/>
  <c r="AI11" i="7"/>
  <c r="AH54" i="8"/>
  <c r="AF72" i="8"/>
  <c r="AG14" i="8"/>
  <c r="AG54" i="8"/>
  <c r="AD54" i="8"/>
  <c r="AB54" i="8"/>
  <c r="AC54" i="8"/>
  <c r="AF54" i="8"/>
  <c r="Y54" i="8"/>
  <c r="AI54" i="8"/>
  <c r="AE54" i="8"/>
  <c r="AJ86" i="6"/>
  <c r="AC10" i="6"/>
  <c r="AD10" i="6"/>
  <c r="AJ10" i="6"/>
  <c r="AB10" i="6"/>
  <c r="AG10" i="6"/>
  <c r="U10" i="6"/>
  <c r="AE10" i="6"/>
  <c r="AI10" i="6"/>
  <c r="AH10" i="6"/>
  <c r="AF10" i="6"/>
  <c r="U322" i="6"/>
  <c r="U87" i="7"/>
  <c r="AC11" i="7"/>
  <c r="U11" i="7"/>
  <c r="Y11" i="7"/>
  <c r="AB87" i="7"/>
  <c r="AC87" i="7"/>
  <c r="AE87" i="7"/>
  <c r="AD87" i="7"/>
  <c r="AF11" i="7"/>
  <c r="AJ11" i="7"/>
  <c r="AH87" i="7"/>
  <c r="AJ87" i="7"/>
  <c r="AI87" i="7"/>
  <c r="U25" i="7"/>
  <c r="AG25" i="7"/>
  <c r="AB75" i="7"/>
  <c r="AG75" i="7"/>
  <c r="AH75" i="7"/>
  <c r="AJ75" i="7"/>
  <c r="AI75" i="7"/>
  <c r="AD25" i="7"/>
  <c r="AH25" i="7"/>
  <c r="U75" i="7"/>
  <c r="AE75" i="7"/>
  <c r="Y75" i="7"/>
  <c r="AF69" i="7"/>
  <c r="AI25" i="7"/>
  <c r="AC25" i="7"/>
  <c r="AF75" i="7"/>
  <c r="AD75" i="7"/>
  <c r="AI69" i="7"/>
  <c r="AH14" i="8"/>
  <c r="AF32" i="8"/>
  <c r="AJ14" i="8"/>
  <c r="AH74" i="8"/>
  <c r="AE11" i="8"/>
  <c r="AG72" i="8"/>
  <c r="U11" i="8"/>
  <c r="AD72" i="8"/>
  <c r="Y14" i="8"/>
  <c r="AJ22" i="8"/>
  <c r="AE14" i="8"/>
  <c r="U14" i="8"/>
  <c r="AC14" i="8"/>
  <c r="AB29" i="8"/>
  <c r="Y22" i="8"/>
  <c r="AC29" i="8"/>
  <c r="AI29" i="8"/>
  <c r="AB87" i="8"/>
  <c r="Y72" i="8"/>
  <c r="AC11" i="8"/>
  <c r="AG11" i="8"/>
  <c r="AG51" i="8"/>
  <c r="AI72" i="8"/>
  <c r="AH72" i="8"/>
  <c r="AC55" i="8"/>
  <c r="AF14" i="8"/>
  <c r="AI14" i="8"/>
  <c r="AE69" i="8"/>
  <c r="Y11" i="8"/>
  <c r="AB11" i="8"/>
  <c r="AD74" i="8"/>
  <c r="AE72" i="8"/>
  <c r="AB72" i="8"/>
  <c r="U72" i="8"/>
  <c r="AF11" i="8"/>
  <c r="AD11" i="8"/>
  <c r="AI51" i="8"/>
  <c r="AJ72" i="8"/>
  <c r="AD55" i="8"/>
  <c r="AB14" i="8"/>
  <c r="AB69" i="8"/>
  <c r="Y26" i="8"/>
  <c r="AG29" i="8"/>
  <c r="AH29" i="8"/>
  <c r="U29" i="8"/>
  <c r="AD29" i="8"/>
  <c r="AF29" i="8"/>
  <c r="Y29" i="8"/>
  <c r="AJ29" i="8"/>
  <c r="AF22" i="8"/>
  <c r="AF87" i="8"/>
  <c r="AD71" i="8"/>
  <c r="AG22" i="8"/>
  <c r="AG44" i="8"/>
  <c r="AE87" i="8"/>
  <c r="AE44" i="8"/>
  <c r="Y63" i="8"/>
  <c r="Y44" i="8"/>
  <c r="AF71" i="8"/>
  <c r="AC22" i="8"/>
  <c r="AD22" i="8"/>
  <c r="AF44" i="8"/>
  <c r="AG87" i="8"/>
  <c r="AD87" i="8"/>
  <c r="AI87" i="8"/>
  <c r="AB71" i="8"/>
  <c r="Y87" i="8"/>
  <c r="AC71" i="8"/>
  <c r="AB22" i="8"/>
  <c r="AH22" i="8"/>
  <c r="AD44" i="8"/>
  <c r="AH87" i="8"/>
  <c r="AJ87" i="8"/>
  <c r="AE25" i="7"/>
  <c r="AD117" i="6"/>
  <c r="AJ322" i="6"/>
  <c r="AE226" i="6"/>
  <c r="AG322" i="6"/>
  <c r="AG226" i="6"/>
  <c r="AB322" i="6"/>
  <c r="AD226" i="6"/>
  <c r="AC226" i="6"/>
  <c r="AI226" i="6"/>
  <c r="AJ226" i="6"/>
  <c r="AF226" i="6"/>
  <c r="AH226" i="6"/>
  <c r="AI322" i="6"/>
  <c r="AF322" i="6"/>
  <c r="U226" i="6"/>
  <c r="AB226" i="6"/>
  <c r="AD322" i="6"/>
  <c r="AH322" i="6"/>
  <c r="AG94" i="6"/>
  <c r="AB18" i="6"/>
  <c r="AE25" i="6"/>
  <c r="AE322" i="6"/>
  <c r="AC322" i="6"/>
  <c r="U38" i="7"/>
  <c r="AE73" i="7"/>
  <c r="AG28" i="7"/>
  <c r="AH38" i="7"/>
  <c r="AJ38" i="7"/>
  <c r="AG16" i="7"/>
  <c r="AE58" i="7"/>
  <c r="AE32" i="8"/>
  <c r="AG69" i="8"/>
  <c r="Y71" i="8"/>
  <c r="AG71" i="8"/>
  <c r="AI71" i="8"/>
  <c r="AJ71" i="8"/>
  <c r="AH44" i="8"/>
  <c r="AJ44" i="8"/>
  <c r="AI44" i="8"/>
  <c r="AI69" i="8"/>
  <c r="AC69" i="8"/>
  <c r="AJ69" i="8"/>
  <c r="AF69" i="8"/>
  <c r="Y69" i="8"/>
  <c r="U71" i="8"/>
  <c r="AH71" i="8"/>
  <c r="AC44" i="8"/>
  <c r="AB44" i="8"/>
  <c r="AD69" i="8"/>
  <c r="AH69" i="8"/>
  <c r="AI11" i="8"/>
  <c r="AJ11" i="8"/>
  <c r="AI22" i="8"/>
  <c r="AE22" i="8"/>
  <c r="AH25" i="6"/>
  <c r="AC94" i="6"/>
  <c r="AG106" i="6"/>
  <c r="AD86" i="6"/>
  <c r="AG18" i="6"/>
  <c r="AI94" i="6"/>
  <c r="AJ94" i="6"/>
  <c r="AH18" i="6"/>
  <c r="AC25" i="6"/>
  <c r="AB25" i="6"/>
  <c r="AE94" i="6"/>
  <c r="AD94" i="6"/>
  <c r="AG25" i="6"/>
  <c r="U18" i="6"/>
  <c r="AC18" i="6"/>
  <c r="AJ25" i="6"/>
  <c r="AI25" i="6"/>
  <c r="AF94" i="6"/>
  <c r="AH94" i="6"/>
  <c r="AD18" i="6"/>
  <c r="AF18" i="6"/>
  <c r="AI18" i="6"/>
  <c r="AI86" i="6"/>
  <c r="AJ139" i="6"/>
  <c r="AC106" i="6"/>
  <c r="AJ18" i="6"/>
  <c r="AE18" i="6"/>
  <c r="U86" i="6"/>
  <c r="AB86" i="6"/>
  <c r="AB106" i="6"/>
  <c r="AC86" i="6"/>
  <c r="AF86" i="6"/>
  <c r="AI139" i="6"/>
  <c r="AH86" i="6"/>
  <c r="AE86" i="6"/>
  <c r="AG86" i="6"/>
  <c r="U25" i="6"/>
  <c r="AD25" i="6"/>
  <c r="AF25" i="6"/>
  <c r="AG117" i="6"/>
  <c r="AH304" i="6"/>
  <c r="AJ117" i="6"/>
  <c r="AF304" i="6"/>
  <c r="AF28" i="7"/>
  <c r="AC38" i="7"/>
  <c r="AI38" i="7"/>
  <c r="AD38" i="7"/>
  <c r="AF38" i="7"/>
  <c r="AG38" i="7"/>
  <c r="AE38" i="7"/>
  <c r="AB38" i="7"/>
  <c r="AE117" i="6"/>
  <c r="AH184" i="6"/>
  <c r="AH117" i="6"/>
  <c r="AF184" i="6"/>
  <c r="U304" i="6"/>
  <c r="AB304" i="6"/>
  <c r="AD304" i="6"/>
  <c r="AI215" i="6"/>
  <c r="AD106" i="6"/>
  <c r="U117" i="6"/>
  <c r="AI117" i="6"/>
  <c r="AB117" i="6"/>
  <c r="AE304" i="6"/>
  <c r="AJ304" i="6"/>
  <c r="U139" i="6"/>
  <c r="AG139" i="6"/>
  <c r="U184" i="6"/>
  <c r="AC184" i="6"/>
  <c r="AJ184" i="6"/>
  <c r="AH106" i="6"/>
  <c r="AC117" i="6"/>
  <c r="AF117" i="6"/>
  <c r="AC304" i="6"/>
  <c r="AG304" i="6"/>
  <c r="AI304" i="6"/>
  <c r="AF139" i="6"/>
  <c r="AI184" i="6"/>
  <c r="AE184" i="6"/>
  <c r="AD184" i="6"/>
  <c r="AG184" i="6"/>
  <c r="AB184" i="6"/>
  <c r="U73" i="7"/>
  <c r="AI73" i="7"/>
  <c r="AB73" i="7"/>
  <c r="AD16" i="7"/>
  <c r="AF73" i="7"/>
  <c r="AJ73" i="7"/>
  <c r="AG69" i="7"/>
  <c r="AH69" i="7"/>
  <c r="AH73" i="7"/>
  <c r="AG73" i="7"/>
  <c r="AB69" i="7"/>
  <c r="AD24" i="7"/>
  <c r="AH24" i="7"/>
  <c r="U16" i="7"/>
  <c r="AF16" i="7"/>
  <c r="AH16" i="7"/>
  <c r="AC24" i="7"/>
  <c r="AJ16" i="7"/>
  <c r="AE16" i="7"/>
  <c r="AC73" i="7"/>
  <c r="AD73" i="7"/>
  <c r="AB24" i="7"/>
  <c r="AI16" i="7"/>
  <c r="AB16" i="7"/>
  <c r="AC16" i="7"/>
  <c r="AE28" i="7"/>
  <c r="AE34" i="7"/>
  <c r="U28" i="7"/>
  <c r="AD28" i="7"/>
  <c r="AJ28" i="7"/>
  <c r="AB28" i="7"/>
  <c r="AC28" i="7"/>
  <c r="U69" i="7"/>
  <c r="AE69" i="7"/>
  <c r="AD69" i="7"/>
  <c r="U24" i="7"/>
  <c r="AG24" i="7"/>
  <c r="AH28" i="7"/>
  <c r="AI28" i="7"/>
  <c r="AJ69" i="7"/>
  <c r="AC69" i="7"/>
  <c r="AI24" i="7"/>
  <c r="AE24" i="7"/>
  <c r="Y51" i="8"/>
  <c r="U51" i="8"/>
  <c r="U74" i="8"/>
  <c r="AE74" i="8"/>
  <c r="AJ74" i="8"/>
  <c r="AD51" i="8"/>
  <c r="AB55" i="8"/>
  <c r="Y85" i="8"/>
  <c r="Y74" i="8"/>
  <c r="U16" i="8"/>
  <c r="AF74" i="8"/>
  <c r="AF51" i="8"/>
  <c r="AG55" i="8"/>
  <c r="U55" i="8"/>
  <c r="Y55" i="8"/>
  <c r="AB16" i="8"/>
  <c r="AC74" i="8"/>
  <c r="AB74" i="8"/>
  <c r="AC51" i="8"/>
  <c r="AJ51" i="8"/>
  <c r="AH55" i="8"/>
  <c r="AE55" i="8"/>
  <c r="AJ55" i="8"/>
  <c r="AJ16" i="8"/>
  <c r="AG74" i="8"/>
  <c r="AB51" i="8"/>
  <c r="AE51" i="8"/>
  <c r="AI55" i="8"/>
  <c r="AI106" i="6"/>
  <c r="AJ106" i="6"/>
  <c r="AH139" i="6"/>
  <c r="AE139" i="6"/>
  <c r="U106" i="6"/>
  <c r="AE106" i="6"/>
  <c r="AF106" i="6"/>
  <c r="AD139" i="6"/>
  <c r="AC139" i="6"/>
  <c r="AB139" i="6"/>
  <c r="U94" i="6"/>
  <c r="AB94" i="6"/>
  <c r="Y16" i="8"/>
  <c r="AI16" i="8"/>
  <c r="AH16" i="8"/>
  <c r="AF16" i="8"/>
  <c r="AE16" i="8"/>
  <c r="AD16" i="8"/>
  <c r="AC16" i="8"/>
  <c r="AD32" i="8"/>
  <c r="AC32" i="8"/>
  <c r="AH32" i="8"/>
  <c r="AJ32" i="8"/>
  <c r="Y32" i="8"/>
  <c r="U32" i="8"/>
  <c r="AB32" i="8"/>
  <c r="AI32" i="8"/>
  <c r="AF24" i="7"/>
  <c r="AJ24" i="7"/>
  <c r="AF63" i="8"/>
  <c r="AG47" i="7"/>
  <c r="U65" i="7"/>
  <c r="AJ33" i="7"/>
  <c r="AG33" i="7"/>
  <c r="AJ83" i="8"/>
  <c r="U47" i="7"/>
  <c r="AE47" i="7"/>
  <c r="AB47" i="7"/>
  <c r="AH47" i="7"/>
  <c r="AE215" i="6"/>
  <c r="U215" i="6"/>
  <c r="AG58" i="7"/>
  <c r="AF58" i="7"/>
  <c r="AC58" i="7"/>
  <c r="AE85" i="8"/>
  <c r="AD55" i="7"/>
  <c r="AE33" i="7"/>
  <c r="AI47" i="7"/>
  <c r="AC47" i="7"/>
  <c r="AH58" i="7"/>
  <c r="U58" i="7"/>
  <c r="AI58" i="7"/>
  <c r="AH55" i="7"/>
  <c r="AD47" i="7"/>
  <c r="AJ47" i="7"/>
  <c r="AF47" i="7"/>
  <c r="U34" i="7"/>
  <c r="AI55" i="7"/>
  <c r="AJ58" i="7"/>
  <c r="AB58" i="7"/>
  <c r="AD58" i="7"/>
  <c r="AJ26" i="8"/>
  <c r="AJ68" i="8"/>
  <c r="AD85" i="8"/>
  <c r="AF31" i="6"/>
  <c r="AE68" i="8"/>
  <c r="AH68" i="8"/>
  <c r="AF21" i="8"/>
  <c r="Y68" i="8"/>
  <c r="Y34" i="8"/>
  <c r="AB34" i="8"/>
  <c r="AF68" i="8"/>
  <c r="AI68" i="8"/>
  <c r="U68" i="8"/>
  <c r="AG68" i="8"/>
  <c r="AD68" i="8"/>
  <c r="AB68" i="8"/>
  <c r="AC26" i="8"/>
  <c r="AD215" i="6"/>
  <c r="AF215" i="6"/>
  <c r="AJ215" i="6"/>
  <c r="AG215" i="6"/>
  <c r="AH215" i="6"/>
  <c r="AC215" i="6"/>
  <c r="AB215" i="6"/>
  <c r="AH85" i="8"/>
  <c r="AF85" i="8"/>
  <c r="AI85" i="8"/>
  <c r="AJ85" i="8"/>
  <c r="AB85" i="8"/>
  <c r="U85" i="8"/>
  <c r="AC85" i="8"/>
  <c r="AE34" i="8"/>
  <c r="AI34" i="8"/>
  <c r="AG34" i="8"/>
  <c r="U34" i="8"/>
  <c r="AJ34" i="8"/>
  <c r="AD34" i="8"/>
  <c r="AC34" i="8"/>
  <c r="AF34" i="8"/>
  <c r="AB34" i="7"/>
  <c r="AG34" i="7"/>
  <c r="AF34" i="7"/>
  <c r="AJ34" i="7"/>
  <c r="AH34" i="7"/>
  <c r="AC34" i="7"/>
  <c r="AD34" i="7"/>
  <c r="AI34" i="7"/>
  <c r="AB55" i="7"/>
  <c r="AG55" i="7"/>
  <c r="AE55" i="7"/>
  <c r="AG65" i="7"/>
  <c r="AC55" i="7"/>
  <c r="AJ55" i="7"/>
  <c r="AH65" i="7"/>
  <c r="AF55" i="7"/>
  <c r="U55" i="7"/>
  <c r="AF65" i="7"/>
  <c r="AD65" i="7"/>
  <c r="AH9" i="8"/>
  <c r="AD48" i="8"/>
  <c r="AE48" i="8"/>
  <c r="U48" i="8"/>
  <c r="AD83" i="8"/>
  <c r="AB75" i="8"/>
  <c r="AC63" i="8"/>
  <c r="AB21" i="8"/>
  <c r="AJ65" i="7"/>
  <c r="AC65" i="7"/>
  <c r="AB65" i="7"/>
  <c r="AE65" i="7"/>
  <c r="AI65" i="7"/>
  <c r="Y21" i="8"/>
  <c r="AE83" i="8"/>
  <c r="U83" i="8"/>
  <c r="AI63" i="8"/>
  <c r="U63" i="8"/>
  <c r="AI48" i="8"/>
  <c r="AC21" i="8"/>
  <c r="U9" i="8"/>
  <c r="AI83" i="8"/>
  <c r="AE63" i="8"/>
  <c r="AB48" i="8"/>
  <c r="AG21" i="8"/>
  <c r="AI21" i="8"/>
  <c r="AD9" i="8"/>
  <c r="Y83" i="8"/>
  <c r="AG83" i="8"/>
  <c r="AF83" i="8"/>
  <c r="AH46" i="8"/>
  <c r="AD63" i="8"/>
  <c r="AB63" i="8"/>
  <c r="AJ48" i="8"/>
  <c r="AF48" i="8"/>
  <c r="AJ21" i="8"/>
  <c r="AH21" i="8"/>
  <c r="U21" i="8"/>
  <c r="AB9" i="8"/>
  <c r="AI9" i="8"/>
  <c r="Y48" i="8"/>
  <c r="AB83" i="8"/>
  <c r="AC83" i="8"/>
  <c r="AC75" i="8"/>
  <c r="AG63" i="8"/>
  <c r="AH63" i="8"/>
  <c r="AG48" i="8"/>
  <c r="AC48" i="8"/>
  <c r="AD21" i="8"/>
  <c r="AD26" i="8"/>
  <c r="AC9" i="8"/>
  <c r="AJ83" i="6"/>
  <c r="AC164" i="6"/>
  <c r="AJ126" i="6"/>
  <c r="AI31" i="6"/>
  <c r="AD33" i="7"/>
  <c r="AF33" i="7"/>
  <c r="AB33" i="7"/>
  <c r="AH33" i="7"/>
  <c r="AI33" i="7"/>
  <c r="U33" i="7"/>
  <c r="AC33" i="7"/>
  <c r="AE26" i="8"/>
  <c r="AI26" i="8"/>
  <c r="U26" i="8"/>
  <c r="AH26" i="8"/>
  <c r="AB26" i="8"/>
  <c r="AD4" i="8"/>
  <c r="AB95" i="8"/>
  <c r="AG26" i="8"/>
  <c r="AE247" i="6"/>
  <c r="AC247" i="6"/>
  <c r="AB247" i="6"/>
  <c r="U247" i="6"/>
  <c r="AJ247" i="6"/>
  <c r="AB17" i="6"/>
  <c r="AJ17" i="6"/>
  <c r="AI83" i="6"/>
  <c r="AE164" i="6"/>
  <c r="AJ145" i="6"/>
  <c r="AE126" i="6"/>
  <c r="AG83" i="6"/>
  <c r="U31" i="6"/>
  <c r="AE310" i="6"/>
  <c r="AG153" i="6"/>
  <c r="AD315" i="6"/>
  <c r="AD62" i="6"/>
  <c r="Y75" i="8"/>
  <c r="AF75" i="8"/>
  <c r="AH75" i="8"/>
  <c r="AG75" i="8"/>
  <c r="AD75" i="8"/>
  <c r="AE75" i="8"/>
  <c r="U75" i="8"/>
  <c r="AI75" i="8"/>
  <c r="AI31" i="8"/>
  <c r="AG31" i="8"/>
  <c r="AD31" i="8"/>
  <c r="Y31" i="8"/>
  <c r="AC31" i="8"/>
  <c r="AJ31" i="8"/>
  <c r="AH31" i="8"/>
  <c r="AE31" i="8"/>
  <c r="AF31" i="8"/>
  <c r="AB31" i="8"/>
  <c r="AC262" i="6"/>
  <c r="AH247" i="6"/>
  <c r="AI247" i="6"/>
  <c r="AF247" i="6"/>
  <c r="AH262" i="6"/>
  <c r="AD247" i="6"/>
  <c r="AG247" i="6"/>
  <c r="U244" i="6"/>
  <c r="AH302" i="6"/>
  <c r="AE153" i="6"/>
  <c r="AF310" i="6"/>
  <c r="AB153" i="6"/>
  <c r="AJ310" i="6"/>
  <c r="AI62" i="6"/>
  <c r="AE145" i="6"/>
  <c r="AH126" i="6"/>
  <c r="AC126" i="6"/>
  <c r="AH83" i="6"/>
  <c r="AE83" i="6"/>
  <c r="AH164" i="6"/>
  <c r="AI164" i="6"/>
  <c r="AD31" i="6"/>
  <c r="AB31" i="6"/>
  <c r="AE31" i="6"/>
  <c r="AD164" i="6"/>
  <c r="AF164" i="6"/>
  <c r="AB164" i="6"/>
  <c r="AH31" i="6"/>
  <c r="AC31" i="6"/>
  <c r="U126" i="6"/>
  <c r="AI126" i="6"/>
  <c r="AG126" i="6"/>
  <c r="U83" i="6"/>
  <c r="AB83" i="6"/>
  <c r="AD83" i="6"/>
  <c r="AD126" i="6"/>
  <c r="AB126" i="6"/>
  <c r="AF126" i="6"/>
  <c r="AF83" i="6"/>
  <c r="AC83" i="6"/>
  <c r="U164" i="6"/>
  <c r="AJ164" i="6"/>
  <c r="AG164" i="6"/>
  <c r="AG31" i="6"/>
  <c r="AJ31" i="6"/>
  <c r="U262" i="6"/>
  <c r="AG262" i="6"/>
  <c r="AJ64" i="6"/>
  <c r="AG17" i="6"/>
  <c r="AF262" i="6"/>
  <c r="AF64" i="6"/>
  <c r="AB262" i="6"/>
  <c r="AD262" i="6"/>
  <c r="AE233" i="6"/>
  <c r="AD244" i="6"/>
  <c r="AC17" i="6"/>
  <c r="AJ302" i="6"/>
  <c r="AE197" i="6"/>
  <c r="AE262" i="6"/>
  <c r="AJ262" i="6"/>
  <c r="AI262" i="6"/>
  <c r="AB233" i="6"/>
  <c r="AD17" i="6"/>
  <c r="AC302" i="6"/>
  <c r="AG310" i="6"/>
  <c r="AH310" i="6"/>
  <c r="AG62" i="6"/>
  <c r="AE62" i="6"/>
  <c r="AC62" i="6"/>
  <c r="AF145" i="6"/>
  <c r="AD153" i="6"/>
  <c r="AJ153" i="6"/>
  <c r="U153" i="6"/>
  <c r="AI153" i="6"/>
  <c r="AC153" i="6"/>
  <c r="AH153" i="6"/>
  <c r="AF153" i="6"/>
  <c r="AI310" i="6"/>
  <c r="AB310" i="6"/>
  <c r="AC310" i="6"/>
  <c r="U62" i="6"/>
  <c r="AB62" i="6"/>
  <c r="AH62" i="6"/>
  <c r="AB145" i="6"/>
  <c r="AI145" i="6"/>
  <c r="U310" i="6"/>
  <c r="AD310" i="6"/>
  <c r="AF62" i="6"/>
  <c r="AJ62" i="6"/>
  <c r="AC145" i="6"/>
  <c r="U142" i="6"/>
  <c r="AD3" i="6"/>
  <c r="AC233" i="6"/>
  <c r="AI233" i="6"/>
  <c r="AF17" i="6"/>
  <c r="AH17" i="6"/>
  <c r="AG142" i="6"/>
  <c r="AH3" i="6"/>
  <c r="AG302" i="6"/>
  <c r="U233" i="6"/>
  <c r="AF233" i="6"/>
  <c r="U17" i="6"/>
  <c r="AE17" i="6"/>
  <c r="AI17" i="6"/>
  <c r="AJ142" i="6"/>
  <c r="AF3" i="6"/>
  <c r="AD302" i="6"/>
  <c r="U145" i="6"/>
  <c r="AD145" i="6"/>
  <c r="AC142" i="6"/>
  <c r="AH142" i="6"/>
  <c r="AC3" i="6"/>
  <c r="AG3" i="6"/>
  <c r="AG233" i="6"/>
  <c r="AD233" i="6"/>
  <c r="AE142" i="6"/>
  <c r="AI142" i="6"/>
  <c r="AD142" i="6"/>
  <c r="AE3" i="6"/>
  <c r="AB3" i="6"/>
  <c r="AI3" i="6"/>
  <c r="AE302" i="6"/>
  <c r="AF302" i="6"/>
  <c r="AG145" i="6"/>
  <c r="AH145" i="6"/>
  <c r="AJ233" i="6"/>
  <c r="AH233" i="6"/>
  <c r="AF142" i="6"/>
  <c r="AB142" i="6"/>
  <c r="U3" i="6"/>
  <c r="AJ3" i="6"/>
  <c r="U302" i="6"/>
  <c r="AB302" i="6"/>
  <c r="AI302" i="6"/>
  <c r="U4" i="8"/>
  <c r="AE4" i="8"/>
  <c r="Y9" i="8"/>
  <c r="AB4" i="8"/>
  <c r="AG9" i="8"/>
  <c r="AF9" i="8"/>
  <c r="AC4" i="8"/>
  <c r="AJ9" i="8"/>
  <c r="Y4" i="8"/>
  <c r="AF4" i="8"/>
  <c r="AH4" i="8"/>
  <c r="AI4" i="8"/>
  <c r="AJ4" i="8"/>
  <c r="AC315" i="6"/>
  <c r="AH95" i="8"/>
  <c r="AJ46" i="8"/>
  <c r="AC95" i="8"/>
  <c r="AE46" i="8"/>
  <c r="AD46" i="8"/>
  <c r="AJ95" i="8"/>
  <c r="AG95" i="8"/>
  <c r="AB244" i="6"/>
  <c r="AD328" i="6"/>
  <c r="AB315" i="6"/>
  <c r="AH110" i="6"/>
  <c r="AC231" i="6"/>
  <c r="AI64" i="6"/>
  <c r="AB64" i="6"/>
  <c r="AD64" i="6"/>
  <c r="AD156" i="6"/>
  <c r="AF9" i="6"/>
  <c r="AB231" i="6"/>
  <c r="AI156" i="6"/>
  <c r="U231" i="6"/>
  <c r="AH156" i="6"/>
  <c r="AF231" i="6"/>
  <c r="AE231" i="6"/>
  <c r="AI328" i="6"/>
  <c r="AJ156" i="6"/>
  <c r="AB156" i="6"/>
  <c r="AF70" i="6"/>
  <c r="AJ191" i="6"/>
  <c r="AC298" i="6"/>
  <c r="AE191" i="6"/>
  <c r="AD191" i="6"/>
  <c r="AI191" i="6"/>
  <c r="AG70" i="6"/>
  <c r="AG298" i="6"/>
  <c r="AJ298" i="6"/>
  <c r="AJ315" i="6"/>
  <c r="AI315" i="6"/>
  <c r="AB70" i="6"/>
  <c r="AD70" i="6"/>
  <c r="AF298" i="6"/>
  <c r="U191" i="6"/>
  <c r="AC70" i="6"/>
  <c r="AH298" i="6"/>
  <c r="AE315" i="6"/>
  <c r="AF315" i="6"/>
  <c r="AH20" i="8"/>
  <c r="AJ7" i="8"/>
  <c r="AJ50" i="8"/>
  <c r="AD20" i="8"/>
  <c r="AE7" i="8"/>
  <c r="AE20" i="8"/>
  <c r="U20" i="8"/>
  <c r="AI7" i="8"/>
  <c r="AJ20" i="8"/>
  <c r="U50" i="8"/>
  <c r="AI50" i="8"/>
  <c r="AC20" i="8"/>
  <c r="AD7" i="8"/>
  <c r="AC110" i="6"/>
  <c r="AJ110" i="6"/>
  <c r="AE332" i="6"/>
  <c r="AH9" i="6"/>
  <c r="U328" i="6"/>
  <c r="AG191" i="6"/>
  <c r="AC191" i="6"/>
  <c r="U110" i="6"/>
  <c r="U70" i="6"/>
  <c r="AE70" i="6"/>
  <c r="AI70" i="6"/>
  <c r="AI231" i="6"/>
  <c r="AG231" i="6"/>
  <c r="U298" i="6"/>
  <c r="AE298" i="6"/>
  <c r="AB298" i="6"/>
  <c r="AB328" i="6"/>
  <c r="AG197" i="6"/>
  <c r="U315" i="6"/>
  <c r="AG315" i="6"/>
  <c r="AH315" i="6"/>
  <c r="AE156" i="6"/>
  <c r="AG156" i="6"/>
  <c r="AH191" i="6"/>
  <c r="AB191" i="6"/>
  <c r="AF191" i="6"/>
  <c r="AF110" i="6"/>
  <c r="AJ70" i="6"/>
  <c r="AH70" i="6"/>
  <c r="AD231" i="6"/>
  <c r="AH231" i="6"/>
  <c r="AJ231" i="6"/>
  <c r="AD298" i="6"/>
  <c r="AI298" i="6"/>
  <c r="AH328" i="6"/>
  <c r="AE328" i="6"/>
  <c r="U156" i="6"/>
  <c r="AF156" i="6"/>
  <c r="AC156" i="6"/>
  <c r="AF332" i="6"/>
  <c r="AC9" i="6"/>
  <c r="AB110" i="6"/>
  <c r="AG110" i="6"/>
  <c r="AH332" i="6"/>
  <c r="AI332" i="6"/>
  <c r="U9" i="6"/>
  <c r="AI9" i="6"/>
  <c r="AJ9" i="6"/>
  <c r="AG174" i="6"/>
  <c r="AF328" i="6"/>
  <c r="AG328" i="6"/>
  <c r="AE9" i="6"/>
  <c r="U174" i="6"/>
  <c r="AD110" i="6"/>
  <c r="AI110" i="6"/>
  <c r="AE110" i="6"/>
  <c r="AJ332" i="6"/>
  <c r="AD9" i="6"/>
  <c r="AB9" i="6"/>
  <c r="AG9" i="6"/>
  <c r="AD174" i="6"/>
  <c r="AC328" i="6"/>
  <c r="AJ328" i="6"/>
  <c r="U7" i="8"/>
  <c r="AG50" i="8"/>
  <c r="AG7" i="8"/>
  <c r="AC7" i="8"/>
  <c r="AH7" i="8"/>
  <c r="Y7" i="8"/>
  <c r="AC50" i="8"/>
  <c r="AH50" i="8"/>
  <c r="AB7" i="8"/>
  <c r="AG57" i="8"/>
  <c r="Y46" i="8"/>
  <c r="Y95" i="8"/>
  <c r="AB46" i="8"/>
  <c r="AG46" i="8"/>
  <c r="AI46" i="8"/>
  <c r="AG20" i="8"/>
  <c r="AB20" i="8"/>
  <c r="AE95" i="8"/>
  <c r="AD95" i="8"/>
  <c r="U95" i="8"/>
  <c r="Y57" i="8"/>
  <c r="Y20" i="8"/>
  <c r="AC46" i="8"/>
  <c r="AF46" i="8"/>
  <c r="AI20" i="8"/>
  <c r="AF57" i="8"/>
  <c r="AF95" i="8"/>
  <c r="Y50" i="8"/>
  <c r="AF50" i="8"/>
  <c r="AE50" i="8"/>
  <c r="AI57" i="8"/>
  <c r="AB50" i="8"/>
  <c r="AH57" i="8"/>
  <c r="AE57" i="8"/>
  <c r="U57" i="8"/>
  <c r="AB57" i="8"/>
  <c r="AJ57" i="8"/>
  <c r="AD57" i="8"/>
  <c r="AI244" i="6"/>
  <c r="U332" i="6"/>
  <c r="AG332" i="6"/>
  <c r="U64" i="6"/>
  <c r="AE64" i="6"/>
  <c r="AH64" i="6"/>
  <c r="AI174" i="6"/>
  <c r="AI197" i="6"/>
  <c r="AJ244" i="6"/>
  <c r="AD332" i="6"/>
  <c r="AB332" i="6"/>
  <c r="AC332" i="6"/>
  <c r="AG64" i="6"/>
  <c r="AC64" i="6"/>
  <c r="AC174" i="6"/>
  <c r="AD197" i="6"/>
  <c r="AJ197" i="6"/>
  <c r="AG244" i="6"/>
  <c r="AE244" i="6"/>
  <c r="AJ174" i="6"/>
  <c r="AF174" i="6"/>
  <c r="AH197" i="6"/>
  <c r="AB197" i="6"/>
  <c r="AF244" i="6"/>
  <c r="AC244" i="6"/>
  <c r="AH244" i="6"/>
  <c r="AB174" i="6"/>
  <c r="AH174" i="6"/>
  <c r="AE174" i="6"/>
  <c r="U197" i="6"/>
  <c r="AC197" i="6"/>
  <c r="AF197" i="6"/>
  <c r="AD214" i="6"/>
  <c r="AG214" i="6"/>
  <c r="AI214" i="6"/>
  <c r="AH214" i="6"/>
  <c r="AC214" i="6"/>
  <c r="AB214" i="6"/>
  <c r="AJ214" i="6"/>
  <c r="AE214" i="6"/>
  <c r="AF214" i="6"/>
  <c r="U214" i="6"/>
  <c r="AH238" i="6"/>
  <c r="AD238" i="6"/>
  <c r="AJ238" i="6"/>
  <c r="AG238" i="6"/>
  <c r="AI238" i="6"/>
  <c r="AF238" i="6"/>
  <c r="AB238" i="6"/>
  <c r="U238" i="6"/>
  <c r="AC238" i="6"/>
  <c r="AE238" i="6"/>
  <c r="AI258" i="6"/>
  <c r="AB258" i="6"/>
  <c r="AH258" i="6"/>
  <c r="AF258" i="6"/>
  <c r="AD258" i="6"/>
  <c r="AC258" i="6"/>
  <c r="AJ258" i="6"/>
  <c r="AG258" i="6"/>
  <c r="AE258" i="6"/>
  <c r="U258" i="6"/>
  <c r="AI71" i="6"/>
  <c r="AD71" i="6"/>
  <c r="AE71" i="6"/>
  <c r="AG71" i="6"/>
  <c r="AB71" i="6"/>
  <c r="AJ71" i="6"/>
  <c r="AC71" i="6"/>
  <c r="AF71" i="6"/>
  <c r="AH71" i="6"/>
  <c r="U71" i="6"/>
  <c r="AI52" i="6"/>
  <c r="AE52" i="6"/>
  <c r="AJ52" i="6"/>
  <c r="AC52" i="6"/>
  <c r="AB52" i="6"/>
  <c r="AF52" i="6"/>
  <c r="AG52" i="6"/>
  <c r="AD52" i="6"/>
  <c r="U52" i="6"/>
  <c r="AH52" i="6"/>
  <c r="AB55" i="6"/>
  <c r="AJ55" i="6"/>
  <c r="AD55" i="6"/>
  <c r="AC55" i="6"/>
  <c r="AE55" i="6"/>
  <c r="U55" i="6"/>
  <c r="AF55" i="6"/>
  <c r="AI55" i="6"/>
  <c r="AH55" i="6"/>
  <c r="AG55" i="6"/>
  <c r="AD95" i="6"/>
  <c r="AE95" i="6"/>
  <c r="AC95" i="6"/>
  <c r="AH95" i="6"/>
  <c r="AF95" i="6"/>
  <c r="AJ95" i="6"/>
  <c r="AB95" i="6"/>
  <c r="AG95" i="6"/>
  <c r="AI95" i="6"/>
  <c r="U95" i="6"/>
  <c r="AJ255" i="6"/>
  <c r="AD255" i="6"/>
  <c r="AC255" i="6"/>
  <c r="AG255" i="6"/>
  <c r="AI255" i="6"/>
  <c r="AF255" i="6"/>
  <c r="AB255" i="6"/>
  <c r="AH255" i="6"/>
  <c r="U255" i="6"/>
  <c r="AE255" i="6"/>
  <c r="AC217" i="6"/>
  <c r="AD217" i="6"/>
  <c r="AI217" i="6"/>
  <c r="AH217" i="6"/>
  <c r="AJ217" i="6"/>
  <c r="AB217" i="6"/>
  <c r="AG217" i="6"/>
  <c r="AF217" i="6"/>
  <c r="U217" i="6"/>
  <c r="AE217" i="6"/>
  <c r="AI150" i="6"/>
  <c r="AC150" i="6"/>
  <c r="AG150" i="6"/>
  <c r="AF150" i="6"/>
  <c r="AE150" i="6"/>
  <c r="AJ150" i="6"/>
  <c r="AB150" i="6"/>
  <c r="AD150" i="6"/>
  <c r="U150" i="6"/>
  <c r="AH150" i="6"/>
  <c r="AF63" i="6"/>
  <c r="AH63" i="6"/>
  <c r="AG63" i="6"/>
  <c r="AC63" i="6"/>
  <c r="AB63" i="6"/>
  <c r="AD63" i="6"/>
  <c r="AI63" i="6"/>
  <c r="AE63" i="6"/>
  <c r="AJ63" i="6"/>
  <c r="U63" i="6"/>
  <c r="AC222" i="6"/>
  <c r="AE222" i="6"/>
  <c r="AH222" i="6"/>
  <c r="AI222" i="6"/>
  <c r="AF222" i="6"/>
  <c r="AG222" i="6"/>
  <c r="AJ222" i="6"/>
  <c r="AD222" i="6"/>
  <c r="AB222" i="6"/>
  <c r="U222" i="6"/>
  <c r="AJ35" i="6"/>
  <c r="AE35" i="6"/>
  <c r="AG35" i="6"/>
  <c r="AB35" i="6"/>
  <c r="AF35" i="6"/>
  <c r="AC35" i="6"/>
  <c r="AI35" i="6"/>
  <c r="AH35" i="6"/>
  <c r="AD35" i="6"/>
  <c r="U35" i="6"/>
  <c r="AB33" i="6"/>
  <c r="AC33" i="6"/>
  <c r="AJ33" i="6"/>
  <c r="AE33" i="6"/>
  <c r="AD33" i="6"/>
  <c r="AH33" i="6"/>
  <c r="AF33" i="6"/>
  <c r="AI33" i="6"/>
  <c r="U33" i="6"/>
  <c r="AG33" i="6"/>
  <c r="AG5" i="6"/>
  <c r="AH5" i="6"/>
  <c r="AF5" i="6"/>
  <c r="AC5" i="6"/>
  <c r="AB5" i="6"/>
  <c r="AJ5" i="6"/>
  <c r="AE5" i="6"/>
  <c r="AI5" i="6"/>
  <c r="AD5" i="6"/>
  <c r="U5" i="6"/>
  <c r="AI324" i="6"/>
  <c r="AC324" i="6"/>
  <c r="AF324" i="6"/>
  <c r="AE324" i="6"/>
  <c r="AJ324" i="6"/>
  <c r="AB324" i="6"/>
  <c r="AG324" i="6"/>
  <c r="AH324" i="6"/>
  <c r="AD324" i="6"/>
  <c r="U324" i="6"/>
  <c r="AH254" i="6"/>
  <c r="AD254" i="6"/>
  <c r="AC254" i="6"/>
  <c r="AI254" i="6"/>
  <c r="AG254" i="6"/>
  <c r="AF254" i="6"/>
  <c r="AE254" i="6"/>
  <c r="AB254" i="6"/>
  <c r="U254" i="6"/>
  <c r="AJ254" i="6"/>
  <c r="AI282" i="6"/>
  <c r="AD282" i="6"/>
  <c r="AE282" i="6"/>
  <c r="AH282" i="6"/>
  <c r="AJ282" i="6"/>
  <c r="AB282" i="6"/>
  <c r="AF282" i="6"/>
  <c r="U282" i="6"/>
  <c r="AG282" i="6"/>
  <c r="AC282" i="6"/>
  <c r="AF185" i="6"/>
  <c r="AD185" i="6"/>
  <c r="AB185" i="6"/>
  <c r="AC185" i="6"/>
  <c r="AE185" i="6"/>
  <c r="AG185" i="6"/>
  <c r="U185" i="6"/>
  <c r="AH185" i="6"/>
  <c r="AI185" i="6"/>
  <c r="AJ185" i="6"/>
  <c r="AH275" i="6"/>
  <c r="AD275" i="6"/>
  <c r="AI275" i="6"/>
  <c r="AC275" i="6"/>
  <c r="AF275" i="6"/>
  <c r="AE275" i="6"/>
  <c r="AG275" i="6"/>
  <c r="AB275" i="6"/>
  <c r="AJ275" i="6"/>
  <c r="U275" i="6"/>
  <c r="AG37" i="6"/>
  <c r="AF37" i="6"/>
  <c r="AC37" i="6"/>
  <c r="AH37" i="6"/>
  <c r="AB37" i="6"/>
  <c r="AE37" i="6"/>
  <c r="AJ37" i="6"/>
  <c r="AD37" i="6"/>
  <c r="AI37" i="6"/>
  <c r="U37" i="6"/>
  <c r="AF53" i="6"/>
  <c r="AJ53" i="6"/>
  <c r="AC53" i="6"/>
  <c r="AI53" i="6"/>
  <c r="AB53" i="6"/>
  <c r="AG53" i="6"/>
  <c r="AE53" i="6"/>
  <c r="AH53" i="6"/>
  <c r="AD53" i="6"/>
  <c r="U53" i="6"/>
  <c r="AF306" i="6"/>
  <c r="AC306" i="6"/>
  <c r="AD306" i="6"/>
  <c r="AE306" i="6"/>
  <c r="AG306" i="6"/>
  <c r="AB306" i="6"/>
  <c r="AH306" i="6"/>
  <c r="AI306" i="6"/>
  <c r="U306" i="6"/>
  <c r="AJ306" i="6"/>
  <c r="AE149" i="6"/>
  <c r="AJ149" i="6"/>
  <c r="AC149" i="6"/>
  <c r="AB149" i="6"/>
  <c r="AG149" i="6"/>
  <c r="AD149" i="6"/>
  <c r="AF149" i="6"/>
  <c r="AH149" i="6"/>
  <c r="U149" i="6"/>
  <c r="AI149" i="6"/>
  <c r="AC160" i="6"/>
  <c r="AJ160" i="6"/>
  <c r="AD160" i="6"/>
  <c r="AB160" i="6"/>
  <c r="AH160" i="6"/>
  <c r="AE160" i="6"/>
  <c r="AF160" i="6"/>
  <c r="AG160" i="6"/>
  <c r="AI160" i="6"/>
  <c r="U160" i="6"/>
  <c r="AB122" i="6"/>
  <c r="AD122" i="6"/>
  <c r="AH122" i="6"/>
  <c r="AJ122" i="6"/>
  <c r="AE122" i="6"/>
  <c r="AI122" i="6"/>
  <c r="AC122" i="6"/>
  <c r="AG122" i="6"/>
  <c r="U122" i="6"/>
  <c r="AF122" i="6"/>
  <c r="AD99" i="6"/>
  <c r="AI99" i="6"/>
  <c r="AB99" i="6"/>
  <c r="AH99" i="6"/>
  <c r="AC99" i="6"/>
  <c r="AJ99" i="6"/>
  <c r="AG99" i="6"/>
  <c r="AF99" i="6"/>
  <c r="AE99" i="6"/>
  <c r="U99" i="6"/>
  <c r="AH292" i="6"/>
  <c r="AG292" i="6"/>
  <c r="AC292" i="6"/>
  <c r="AB292" i="6"/>
  <c r="AE292" i="6"/>
  <c r="AJ292" i="6"/>
  <c r="AF292" i="6"/>
  <c r="AD292" i="6"/>
  <c r="AI292" i="6"/>
  <c r="U292" i="6"/>
  <c r="AF45" i="6"/>
  <c r="AI45" i="6"/>
  <c r="AB45" i="6"/>
  <c r="AE45" i="6"/>
  <c r="AJ45" i="6"/>
  <c r="AG45" i="6"/>
  <c r="AC45" i="6"/>
  <c r="AH45" i="6"/>
  <c r="AD45" i="6"/>
  <c r="U45" i="6"/>
  <c r="AG218" i="6"/>
  <c r="AJ218" i="6"/>
  <c r="AI218" i="6"/>
  <c r="AH218" i="6"/>
  <c r="AB218" i="6"/>
  <c r="U218" i="6"/>
  <c r="AE218" i="6"/>
  <c r="AC218" i="6"/>
  <c r="AF218" i="6"/>
  <c r="AD218" i="6"/>
  <c r="AE143" i="6"/>
  <c r="AB143" i="6"/>
  <c r="AH143" i="6"/>
  <c r="AJ143" i="6"/>
  <c r="AI143" i="6"/>
  <c r="AC143" i="6"/>
  <c r="AD143" i="6"/>
  <c r="AF143" i="6"/>
  <c r="AG143" i="6"/>
  <c r="U143" i="6"/>
  <c r="AC67" i="6"/>
  <c r="AH67" i="6"/>
  <c r="AJ67" i="6"/>
  <c r="AG67" i="6"/>
  <c r="AE67" i="6"/>
  <c r="AI67" i="6"/>
  <c r="AD67" i="6"/>
  <c r="AF67" i="6"/>
  <c r="AB67" i="6"/>
  <c r="U67" i="6"/>
  <c r="AG22" i="6"/>
  <c r="AB22" i="6"/>
  <c r="AI22" i="6"/>
  <c r="AF22" i="6"/>
  <c r="AE22" i="6"/>
  <c r="AJ22" i="6"/>
  <c r="AC22" i="6"/>
  <c r="AD22" i="6"/>
  <c r="U22" i="6"/>
  <c r="AH22" i="6"/>
  <c r="AG158" i="6"/>
  <c r="AB158" i="6"/>
  <c r="AF158" i="6"/>
  <c r="AH158" i="6"/>
  <c r="AC158" i="6"/>
  <c r="AI158" i="6"/>
  <c r="AD158" i="6"/>
  <c r="AE158" i="6"/>
  <c r="U158" i="6"/>
  <c r="AJ158" i="6"/>
  <c r="AG112" i="6"/>
  <c r="AB112" i="6"/>
  <c r="AF112" i="6"/>
  <c r="AJ112" i="6"/>
  <c r="AC112" i="6"/>
  <c r="AI112" i="6"/>
  <c r="AE112" i="6"/>
  <c r="U112" i="6"/>
  <c r="AH112" i="6"/>
  <c r="AD112" i="6"/>
  <c r="AF14" i="7"/>
  <c r="AD14" i="7"/>
  <c r="AI14" i="7"/>
  <c r="AB14" i="7"/>
  <c r="AH14" i="7"/>
  <c r="AJ14" i="7"/>
  <c r="U14" i="7"/>
  <c r="AG14" i="7"/>
  <c r="AC14" i="7"/>
  <c r="AE14" i="7"/>
  <c r="AI31" i="7"/>
  <c r="AH31" i="7"/>
  <c r="AD31" i="7"/>
  <c r="AC31" i="7"/>
  <c r="AJ31" i="7"/>
  <c r="AF31" i="7"/>
  <c r="AB31" i="7"/>
  <c r="AE31" i="7"/>
  <c r="AG31" i="7"/>
  <c r="U31" i="7"/>
  <c r="U76" i="8"/>
  <c r="AI76" i="8"/>
  <c r="AE76" i="8"/>
  <c r="AH76" i="8"/>
  <c r="AC76" i="8"/>
  <c r="AG76" i="8"/>
  <c r="AB76" i="8"/>
  <c r="AJ76" i="8"/>
  <c r="AF76" i="8"/>
  <c r="AD76" i="8"/>
  <c r="U35" i="8"/>
  <c r="AJ35" i="8"/>
  <c r="AF35" i="8"/>
  <c r="AB35" i="8"/>
  <c r="AG35" i="8"/>
  <c r="AI35" i="8"/>
  <c r="AD35" i="8"/>
  <c r="AE35" i="8"/>
  <c r="AC35" i="8"/>
  <c r="AH35" i="8"/>
  <c r="U53" i="8"/>
  <c r="AI53" i="8"/>
  <c r="AE53" i="8"/>
  <c r="AH53" i="8"/>
  <c r="AC53" i="8"/>
  <c r="AF53" i="8"/>
  <c r="AG53" i="8"/>
  <c r="AB53" i="8"/>
  <c r="AD53" i="8"/>
  <c r="AJ53" i="8"/>
  <c r="U13" i="8"/>
  <c r="AG13" i="8"/>
  <c r="AC13" i="8"/>
  <c r="AI13" i="8"/>
  <c r="AD13" i="8"/>
  <c r="AF13" i="8"/>
  <c r="AB13" i="8"/>
  <c r="AJ13" i="8"/>
  <c r="AH13" i="8"/>
  <c r="AE13" i="8"/>
  <c r="AH73" i="8"/>
  <c r="AD73" i="8"/>
  <c r="AJ73" i="8"/>
  <c r="AE73" i="8"/>
  <c r="AG73" i="8"/>
  <c r="AB73" i="8"/>
  <c r="AI73" i="8"/>
  <c r="AF73" i="8"/>
  <c r="AC73" i="8"/>
  <c r="U12" i="8"/>
  <c r="AI12" i="8"/>
  <c r="AE12" i="8"/>
  <c r="AH12" i="8"/>
  <c r="AC12" i="8"/>
  <c r="AF12" i="8"/>
  <c r="AB12" i="8"/>
  <c r="AJ12" i="8"/>
  <c r="AG12" i="8"/>
  <c r="AD12" i="8"/>
  <c r="U49" i="8"/>
  <c r="AG49" i="8"/>
  <c r="AC49" i="8"/>
  <c r="AH49" i="8"/>
  <c r="AB49" i="8"/>
  <c r="AJ49" i="8"/>
  <c r="AE49" i="8"/>
  <c r="AI49" i="8"/>
  <c r="AF49" i="8"/>
  <c r="AD49" i="8"/>
  <c r="U70" i="8"/>
  <c r="AI70" i="8"/>
  <c r="AE70" i="8"/>
  <c r="AJ70" i="8"/>
  <c r="AD70" i="8"/>
  <c r="AG70" i="8"/>
  <c r="AB70" i="8"/>
  <c r="AC70" i="8"/>
  <c r="AH70" i="8"/>
  <c r="AF70" i="8"/>
  <c r="U84" i="8"/>
  <c r="AJ84" i="8"/>
  <c r="AF84" i="8"/>
  <c r="AB84" i="8"/>
  <c r="AG84" i="8"/>
  <c r="AI84" i="8"/>
  <c r="AD84" i="8"/>
  <c r="AH84" i="8"/>
  <c r="AE84" i="8"/>
  <c r="AC84" i="8"/>
  <c r="AG47" i="8"/>
  <c r="AC47" i="8"/>
  <c r="AI47" i="8"/>
  <c r="AD47" i="8"/>
  <c r="AF47" i="8"/>
  <c r="AB47" i="8"/>
  <c r="AH47" i="8"/>
  <c r="AJ47" i="8"/>
  <c r="AE47" i="8"/>
  <c r="U67" i="8"/>
  <c r="AG67" i="8"/>
  <c r="AC67" i="8"/>
  <c r="AJ67" i="8"/>
  <c r="AE67" i="8"/>
  <c r="AH67" i="8"/>
  <c r="AB67" i="8"/>
  <c r="AD67" i="8"/>
  <c r="AI67" i="8"/>
  <c r="AF67" i="8"/>
  <c r="AG30" i="8"/>
  <c r="AC30" i="8"/>
  <c r="AH30" i="8"/>
  <c r="AB30" i="8"/>
  <c r="AJ30" i="8"/>
  <c r="AD30" i="8"/>
  <c r="AI30" i="8"/>
  <c r="AF30" i="8"/>
  <c r="AE30" i="8"/>
  <c r="AG52" i="8"/>
  <c r="AC52" i="8"/>
  <c r="AI52" i="8"/>
  <c r="AD52" i="8"/>
  <c r="AH52" i="8"/>
  <c r="AB52" i="8"/>
  <c r="AJ52" i="8"/>
  <c r="AF52" i="8"/>
  <c r="AE52" i="8"/>
  <c r="U33" i="8"/>
  <c r="AJ33" i="8"/>
  <c r="AF33" i="8"/>
  <c r="AB33" i="8"/>
  <c r="AE33" i="8"/>
  <c r="AH33" i="8"/>
  <c r="AC33" i="8"/>
  <c r="AI33" i="8"/>
  <c r="AD33" i="8"/>
  <c r="AG33" i="8"/>
  <c r="U28" i="8"/>
  <c r="AI28" i="8"/>
  <c r="AE28" i="8"/>
  <c r="AJ28" i="8"/>
  <c r="AD28" i="8"/>
  <c r="AH28" i="8"/>
  <c r="AC28" i="8"/>
  <c r="AG28" i="8"/>
  <c r="AF28" i="8"/>
  <c r="AB28" i="8"/>
  <c r="U36" i="8"/>
  <c r="AH36" i="8"/>
  <c r="AD36" i="8"/>
  <c r="AI36" i="8"/>
  <c r="AC36" i="8"/>
  <c r="AF36" i="8"/>
  <c r="AB36" i="8"/>
  <c r="AG36" i="8"/>
  <c r="AJ36" i="8"/>
  <c r="AE36" i="8"/>
  <c r="AG66" i="8"/>
  <c r="AC66" i="8"/>
  <c r="AF66" i="8"/>
  <c r="AJ66" i="8"/>
  <c r="AE66" i="8"/>
  <c r="AD66" i="8"/>
  <c r="AB66" i="8"/>
  <c r="AI66" i="8"/>
  <c r="AH66" i="8"/>
  <c r="U96" i="8"/>
  <c r="AG96" i="8"/>
  <c r="AC96" i="8"/>
  <c r="AF96" i="8"/>
  <c r="AI96" i="8"/>
  <c r="AD96" i="8"/>
  <c r="AJ96" i="8"/>
  <c r="AE96" i="8"/>
  <c r="AH96" i="8"/>
  <c r="AB96" i="8"/>
  <c r="AH65" i="8"/>
  <c r="AD65" i="8"/>
  <c r="AI65" i="8"/>
  <c r="AC65" i="8"/>
  <c r="AF65" i="8"/>
  <c r="AG65" i="8"/>
  <c r="AE65" i="8"/>
  <c r="AB65" i="8"/>
  <c r="AJ65" i="8"/>
  <c r="U80" i="8"/>
  <c r="AI80" i="8"/>
  <c r="AE80" i="8"/>
  <c r="AJ80" i="8"/>
  <c r="AD80" i="8"/>
  <c r="AG80" i="8"/>
  <c r="AB80" i="8"/>
  <c r="AH80" i="8"/>
  <c r="AF80" i="8"/>
  <c r="AC80" i="8"/>
  <c r="U88" i="8"/>
  <c r="AI88" i="8"/>
  <c r="AE88" i="8"/>
  <c r="AH88" i="8"/>
  <c r="AC88" i="8"/>
  <c r="AF88" i="8"/>
  <c r="AB88" i="8"/>
  <c r="AG88" i="8"/>
  <c r="AJ88" i="8"/>
  <c r="AD88" i="8"/>
  <c r="U90" i="8"/>
  <c r="AG90" i="8"/>
  <c r="AC90" i="8"/>
  <c r="AF90" i="8"/>
  <c r="AJ90" i="8"/>
  <c r="AD90" i="8"/>
  <c r="AI90" i="8"/>
  <c r="AB90" i="8"/>
  <c r="AH90" i="8"/>
  <c r="AE90" i="8"/>
  <c r="AG10" i="8"/>
  <c r="AC10" i="8"/>
  <c r="AF10" i="8"/>
  <c r="AI10" i="8"/>
  <c r="AD10" i="8"/>
  <c r="AE10" i="8"/>
  <c r="AB10" i="8"/>
  <c r="AJ10" i="8"/>
  <c r="AH10" i="8"/>
  <c r="AJ23" i="8"/>
  <c r="AF23" i="8"/>
  <c r="AB23" i="8"/>
  <c r="AH23" i="8"/>
  <c r="AC23" i="8"/>
  <c r="AE23" i="8"/>
  <c r="AI23" i="8"/>
  <c r="AG23" i="8"/>
  <c r="AD23" i="8"/>
  <c r="U25" i="8"/>
  <c r="AH25" i="8"/>
  <c r="AD25" i="8"/>
  <c r="AF25" i="8"/>
  <c r="AE25" i="8"/>
  <c r="AJ25" i="8"/>
  <c r="AC25" i="8"/>
  <c r="AI25" i="8"/>
  <c r="AG25" i="8"/>
  <c r="AB25" i="8"/>
  <c r="AC92" i="7"/>
  <c r="Y92" i="7"/>
  <c r="AG92" i="7"/>
  <c r="AJ92" i="7"/>
  <c r="AI92" i="7"/>
  <c r="AE92" i="7"/>
  <c r="AF92" i="7"/>
  <c r="AD92" i="7"/>
  <c r="AB92" i="7"/>
  <c r="AH92" i="7"/>
  <c r="U92" i="7"/>
  <c r="AI80" i="7"/>
  <c r="AE80" i="7"/>
  <c r="AJ80" i="7"/>
  <c r="AD80" i="7"/>
  <c r="Y80" i="7"/>
  <c r="AB80" i="7"/>
  <c r="U80" i="7"/>
  <c r="AH80" i="7"/>
  <c r="AG80" i="7"/>
  <c r="AF80" i="7"/>
  <c r="AC80" i="7"/>
  <c r="AI98" i="7"/>
  <c r="AC98" i="7"/>
  <c r="AH98" i="7"/>
  <c r="Y98" i="7"/>
  <c r="AG98" i="7"/>
  <c r="AD98" i="7"/>
  <c r="AJ98" i="7"/>
  <c r="AF98" i="7"/>
  <c r="AB98" i="7"/>
  <c r="AE98" i="7"/>
  <c r="U98" i="7"/>
  <c r="AG91" i="7"/>
  <c r="Y91" i="7"/>
  <c r="AF91" i="7"/>
  <c r="AH91" i="7"/>
  <c r="AC91" i="7"/>
  <c r="AB91" i="7"/>
  <c r="AI91" i="7"/>
  <c r="AE91" i="7"/>
  <c r="AD91" i="7"/>
  <c r="U91" i="7"/>
  <c r="AJ91" i="7"/>
  <c r="AG52" i="7"/>
  <c r="Y52" i="7"/>
  <c r="AF52" i="7"/>
  <c r="AJ52" i="7"/>
  <c r="AC52" i="7"/>
  <c r="AB52" i="7"/>
  <c r="AH52" i="7"/>
  <c r="AD52" i="7"/>
  <c r="AE52" i="7"/>
  <c r="U52" i="7"/>
  <c r="AI52" i="7"/>
  <c r="U73" i="8"/>
  <c r="U52" i="8"/>
  <c r="Y52" i="8"/>
  <c r="Y73" i="8"/>
  <c r="Y33" i="8"/>
  <c r="U23" i="8"/>
  <c r="U66" i="8"/>
  <c r="U47" i="8"/>
  <c r="Y47" i="8"/>
  <c r="U10" i="8"/>
  <c r="Y10" i="8"/>
  <c r="U30" i="8"/>
  <c r="Y30" i="8"/>
  <c r="U65" i="8"/>
  <c r="Y53" i="8"/>
  <c r="Y90" i="8"/>
  <c r="Y84" i="8"/>
  <c r="Y70" i="8"/>
  <c r="Y88" i="8"/>
  <c r="Y80" i="8"/>
  <c r="Y13" i="8"/>
  <c r="Y76" i="8"/>
  <c r="W74" i="7" l="1"/>
  <c r="W70" i="7"/>
  <c r="W76" i="7"/>
  <c r="AQ74" i="7"/>
  <c r="V74" i="7" s="1"/>
  <c r="AQ70" i="7"/>
  <c r="V70" i="7" s="1"/>
  <c r="AQ76" i="7"/>
  <c r="V76" i="7" s="1"/>
  <c r="AQ87" i="7"/>
  <c r="V87" i="7" s="1"/>
  <c r="W75" i="7"/>
  <c r="W25" i="7"/>
  <c r="W87" i="7"/>
  <c r="AQ11" i="7"/>
  <c r="V11" i="7" s="1"/>
  <c r="AQ25" i="7"/>
  <c r="V25" i="7" s="1"/>
  <c r="W11" i="7"/>
  <c r="AQ72" i="8"/>
  <c r="V72" i="8" s="1"/>
  <c r="AQ14" i="8"/>
  <c r="V14" i="8" s="1"/>
  <c r="AQ54" i="8"/>
  <c r="V54" i="8" s="1"/>
  <c r="W54" i="8"/>
  <c r="AQ10" i="6"/>
  <c r="V10" i="6" s="1"/>
  <c r="W10" i="6"/>
  <c r="AQ75" i="7"/>
  <c r="V75" i="7" s="1"/>
  <c r="AQ87" i="8"/>
  <c r="V87" i="8" s="1"/>
  <c r="W14" i="8"/>
  <c r="AQ11" i="8"/>
  <c r="V11" i="8" s="1"/>
  <c r="W71" i="8"/>
  <c r="W72" i="8"/>
  <c r="AQ29" i="8"/>
  <c r="V29" i="8" s="1"/>
  <c r="AQ44" i="8"/>
  <c r="V44" i="8" s="1"/>
  <c r="W29" i="8"/>
  <c r="W11" i="8"/>
  <c r="W69" i="8"/>
  <c r="AQ71" i="8"/>
  <c r="V71" i="8" s="1"/>
  <c r="W87" i="8"/>
  <c r="AQ22" i="8"/>
  <c r="V22" i="8" s="1"/>
  <c r="AQ69" i="8"/>
  <c r="V69" i="8" s="1"/>
  <c r="AQ16" i="8"/>
  <c r="V16" i="8" s="1"/>
  <c r="W22" i="8"/>
  <c r="W44" i="8"/>
  <c r="W52" i="7"/>
  <c r="AQ226" i="6"/>
  <c r="V226" i="6" s="1"/>
  <c r="W226" i="6"/>
  <c r="W322" i="6"/>
  <c r="W94" i="6"/>
  <c r="W25" i="6"/>
  <c r="AQ322" i="6"/>
  <c r="V322" i="6" s="1"/>
  <c r="AQ52" i="6"/>
  <c r="V52" i="6" s="1"/>
  <c r="W98" i="7"/>
  <c r="AQ38" i="7"/>
  <c r="V38" i="7" s="1"/>
  <c r="W38" i="7"/>
  <c r="AQ55" i="8"/>
  <c r="V55" i="8" s="1"/>
  <c r="W74" i="8"/>
  <c r="AQ86" i="6"/>
  <c r="V86" i="6" s="1"/>
  <c r="AQ18" i="6"/>
  <c r="V18" i="6" s="1"/>
  <c r="W86" i="6"/>
  <c r="AQ94" i="6"/>
  <c r="V94" i="6" s="1"/>
  <c r="W106" i="6"/>
  <c r="W18" i="6"/>
  <c r="AQ25" i="6"/>
  <c r="V25" i="6" s="1"/>
  <c r="AQ149" i="6"/>
  <c r="V149" i="6" s="1"/>
  <c r="AQ117" i="6"/>
  <c r="V117" i="6" s="1"/>
  <c r="AQ304" i="6"/>
  <c r="V304" i="6" s="1"/>
  <c r="AQ139" i="6"/>
  <c r="V139" i="6" s="1"/>
  <c r="W117" i="6"/>
  <c r="W304" i="6"/>
  <c r="W184" i="6"/>
  <c r="AQ184" i="6"/>
  <c r="V184" i="6" s="1"/>
  <c r="W139" i="6"/>
  <c r="AQ106" i="6"/>
  <c r="V106" i="6" s="1"/>
  <c r="AQ69" i="7"/>
  <c r="V69" i="7" s="1"/>
  <c r="W73" i="7"/>
  <c r="AQ73" i="7"/>
  <c r="V73" i="7" s="1"/>
  <c r="AQ24" i="7"/>
  <c r="V24" i="7" s="1"/>
  <c r="AQ16" i="7"/>
  <c r="V16" i="7" s="1"/>
  <c r="W16" i="7"/>
  <c r="W69" i="7"/>
  <c r="W28" i="7"/>
  <c r="AQ28" i="7"/>
  <c r="V28" i="7" s="1"/>
  <c r="W24" i="7"/>
  <c r="W80" i="7"/>
  <c r="AQ92" i="7"/>
  <c r="V92" i="7" s="1"/>
  <c r="AQ74" i="8"/>
  <c r="V74" i="8" s="1"/>
  <c r="W51" i="8"/>
  <c r="W55" i="8"/>
  <c r="AQ51" i="8"/>
  <c r="V51" i="8" s="1"/>
  <c r="W16" i="8"/>
  <c r="W150" i="6"/>
  <c r="AQ71" i="6"/>
  <c r="V71" i="6" s="1"/>
  <c r="W324" i="6"/>
  <c r="W254" i="6"/>
  <c r="AQ66" i="8"/>
  <c r="V66" i="8" s="1"/>
  <c r="W65" i="7"/>
  <c r="W34" i="7"/>
  <c r="AQ32" i="8"/>
  <c r="V32" i="8" s="1"/>
  <c r="W32" i="8"/>
  <c r="W47" i="7"/>
  <c r="AQ55" i="7"/>
  <c r="V55" i="7" s="1"/>
  <c r="AQ47" i="7"/>
  <c r="V47" i="7" s="1"/>
  <c r="W33" i="7"/>
  <c r="W58" i="7"/>
  <c r="AQ33" i="7"/>
  <c r="V33" i="7" s="1"/>
  <c r="AQ58" i="7"/>
  <c r="V58" i="7" s="1"/>
  <c r="AQ34" i="7"/>
  <c r="V34" i="7" s="1"/>
  <c r="W55" i="7"/>
  <c r="AQ65" i="7"/>
  <c r="V65" i="7" s="1"/>
  <c r="W68" i="8"/>
  <c r="AQ68" i="8"/>
  <c r="V68" i="8" s="1"/>
  <c r="AQ215" i="6"/>
  <c r="V215" i="6" s="1"/>
  <c r="AQ31" i="8"/>
  <c r="V31" i="8" s="1"/>
  <c r="AQ34" i="8"/>
  <c r="V34" i="8" s="1"/>
  <c r="AQ85" i="8"/>
  <c r="V85" i="8" s="1"/>
  <c r="AQ48" i="8"/>
  <c r="V48" i="8" s="1"/>
  <c r="W258" i="6"/>
  <c r="W215" i="6"/>
  <c r="W67" i="6"/>
  <c r="AQ37" i="6"/>
  <c r="V37" i="6" s="1"/>
  <c r="W292" i="6"/>
  <c r="W85" i="8"/>
  <c r="W34" i="8"/>
  <c r="AQ9" i="8"/>
  <c r="V9" i="8" s="1"/>
  <c r="AQ83" i="8"/>
  <c r="V83" i="8" s="1"/>
  <c r="AQ63" i="8"/>
  <c r="V63" i="8" s="1"/>
  <c r="W26" i="8"/>
  <c r="AQ21" i="8"/>
  <c r="V21" i="8" s="1"/>
  <c r="W48" i="8"/>
  <c r="W83" i="8"/>
  <c r="W63" i="8"/>
  <c r="W9" i="8"/>
  <c r="W21" i="8"/>
  <c r="W75" i="8"/>
  <c r="AQ26" i="8"/>
  <c r="V26" i="8" s="1"/>
  <c r="AQ75" i="8"/>
  <c r="V75" i="8" s="1"/>
  <c r="AQ258" i="6"/>
  <c r="V258" i="6" s="1"/>
  <c r="W164" i="6"/>
  <c r="AQ247" i="6"/>
  <c r="V247" i="6" s="1"/>
  <c r="AQ164" i="6"/>
  <c r="V164" i="6" s="1"/>
  <c r="W65" i="8"/>
  <c r="W247" i="6"/>
  <c r="AQ126" i="6"/>
  <c r="V126" i="6" s="1"/>
  <c r="W31" i="8"/>
  <c r="AQ47" i="8"/>
  <c r="V47" i="8" s="1"/>
  <c r="W31" i="6"/>
  <c r="W126" i="6"/>
  <c r="AQ83" i="6"/>
  <c r="V83" i="6" s="1"/>
  <c r="AQ23" i="8"/>
  <c r="V23" i="8" s="1"/>
  <c r="AQ35" i="8"/>
  <c r="V35" i="8" s="1"/>
  <c r="W36" i="8"/>
  <c r="AQ67" i="8"/>
  <c r="V67" i="8" s="1"/>
  <c r="AQ31" i="7"/>
  <c r="V31" i="7" s="1"/>
  <c r="W49" i="8"/>
  <c r="AQ145" i="6"/>
  <c r="V145" i="6" s="1"/>
  <c r="AQ153" i="6"/>
  <c r="V153" i="6" s="1"/>
  <c r="AQ31" i="6"/>
  <c r="V31" i="6" s="1"/>
  <c r="AQ62" i="6"/>
  <c r="V62" i="6" s="1"/>
  <c r="W62" i="6"/>
  <c r="W145" i="6"/>
  <c r="W83" i="6"/>
  <c r="W17" i="6"/>
  <c r="W153" i="6"/>
  <c r="AQ262" i="6"/>
  <c r="V262" i="6" s="1"/>
  <c r="W262" i="6"/>
  <c r="AQ3" i="6"/>
  <c r="V3" i="6" s="1"/>
  <c r="AQ310" i="6"/>
  <c r="V310" i="6" s="1"/>
  <c r="W310" i="6"/>
  <c r="AQ112" i="6"/>
  <c r="V112" i="6" s="1"/>
  <c r="W3" i="6"/>
  <c r="W233" i="6"/>
  <c r="W142" i="6"/>
  <c r="AQ17" i="6"/>
  <c r="V17" i="6" s="1"/>
  <c r="AQ222" i="6"/>
  <c r="V222" i="6" s="1"/>
  <c r="AQ302" i="6"/>
  <c r="V302" i="6" s="1"/>
  <c r="W45" i="6"/>
  <c r="AQ233" i="6"/>
  <c r="V233" i="6" s="1"/>
  <c r="AQ275" i="6"/>
  <c r="V275" i="6" s="1"/>
  <c r="W53" i="6"/>
  <c r="W302" i="6"/>
  <c r="AQ142" i="6"/>
  <c r="V142" i="6" s="1"/>
  <c r="W4" i="8"/>
  <c r="AQ4" i="8"/>
  <c r="V4" i="8" s="1"/>
  <c r="W12" i="8"/>
  <c r="W37" i="6"/>
  <c r="W70" i="6"/>
  <c r="W156" i="6"/>
  <c r="AQ52" i="7"/>
  <c r="V52" i="7" s="1"/>
  <c r="AQ20" i="8"/>
  <c r="V20" i="8" s="1"/>
  <c r="W20" i="8"/>
  <c r="W7" i="8"/>
  <c r="AQ298" i="6"/>
  <c r="V298" i="6" s="1"/>
  <c r="W231" i="6"/>
  <c r="AQ156" i="6"/>
  <c r="V156" i="6" s="1"/>
  <c r="AQ70" i="6"/>
  <c r="V70" i="6" s="1"/>
  <c r="W52" i="6"/>
  <c r="AQ328" i="6"/>
  <c r="V328" i="6" s="1"/>
  <c r="W315" i="6"/>
  <c r="AQ231" i="6"/>
  <c r="V231" i="6" s="1"/>
  <c r="W191" i="6"/>
  <c r="W298" i="6"/>
  <c r="AQ191" i="6"/>
  <c r="V191" i="6" s="1"/>
  <c r="AQ315" i="6"/>
  <c r="V315" i="6" s="1"/>
  <c r="AQ110" i="6"/>
  <c r="V110" i="6" s="1"/>
  <c r="AQ332" i="6"/>
  <c r="V332" i="6" s="1"/>
  <c r="AQ244" i="6"/>
  <c r="V244" i="6" s="1"/>
  <c r="AQ64" i="6"/>
  <c r="V64" i="6" s="1"/>
  <c r="AQ197" i="6"/>
  <c r="V197" i="6" s="1"/>
  <c r="AQ9" i="6"/>
  <c r="V9" i="6" s="1"/>
  <c r="W197" i="6"/>
  <c r="W332" i="6"/>
  <c r="W110" i="6"/>
  <c r="W9" i="6"/>
  <c r="W64" i="6"/>
  <c r="W328" i="6"/>
  <c r="W149" i="6"/>
  <c r="W275" i="6"/>
  <c r="AQ150" i="6"/>
  <c r="V150" i="6" s="1"/>
  <c r="AQ45" i="6"/>
  <c r="V45" i="6" s="1"/>
  <c r="AQ98" i="7"/>
  <c r="V98" i="7" s="1"/>
  <c r="AQ50" i="8"/>
  <c r="V50" i="8" s="1"/>
  <c r="AQ7" i="8"/>
  <c r="V7" i="8" s="1"/>
  <c r="W50" i="8"/>
  <c r="W57" i="8"/>
  <c r="AQ95" i="8"/>
  <c r="V95" i="8" s="1"/>
  <c r="W46" i="8"/>
  <c r="AQ49" i="8"/>
  <c r="V49" i="8" s="1"/>
  <c r="W95" i="8"/>
  <c r="AQ46" i="8"/>
  <c r="V46" i="8" s="1"/>
  <c r="AQ57" i="8"/>
  <c r="V57" i="8" s="1"/>
  <c r="W35" i="8"/>
  <c r="W66" i="8"/>
  <c r="AQ174" i="6"/>
  <c r="V174" i="6" s="1"/>
  <c r="AQ282" i="6"/>
  <c r="V282" i="6" s="1"/>
  <c r="W244" i="6"/>
  <c r="W174" i="6"/>
  <c r="AQ25" i="8"/>
  <c r="V25" i="8" s="1"/>
  <c r="W25" i="8"/>
  <c r="W222" i="6"/>
  <c r="AQ36" i="8"/>
  <c r="V36" i="8" s="1"/>
  <c r="W67" i="8"/>
  <c r="W31" i="7"/>
  <c r="AQ292" i="6"/>
  <c r="V292" i="6" s="1"/>
  <c r="AQ67" i="6"/>
  <c r="V67" i="6" s="1"/>
  <c r="AQ53" i="6"/>
  <c r="V53" i="6" s="1"/>
  <c r="AQ324" i="6"/>
  <c r="V324" i="6" s="1"/>
  <c r="W71" i="6"/>
  <c r="W92" i="7"/>
  <c r="AQ80" i="7"/>
  <c r="V80" i="7" s="1"/>
  <c r="AQ12" i="8"/>
  <c r="V12" i="8" s="1"/>
  <c r="W23" i="8"/>
  <c r="W47" i="8"/>
  <c r="W282" i="6"/>
  <c r="W306" i="6"/>
  <c r="AQ28" i="8"/>
  <c r="V28" i="8" s="1"/>
  <c r="AQ73" i="8"/>
  <c r="V73" i="8" s="1"/>
  <c r="AQ10" i="8"/>
  <c r="V10" i="8" s="1"/>
  <c r="AQ96" i="8"/>
  <c r="V96" i="8" s="1"/>
  <c r="AQ52" i="8"/>
  <c r="V52" i="8" s="1"/>
  <c r="W158" i="6"/>
  <c r="AQ65" i="8"/>
  <c r="V65" i="8" s="1"/>
  <c r="AQ306" i="6"/>
  <c r="V306" i="6" s="1"/>
  <c r="AQ143" i="6"/>
  <c r="V143" i="6" s="1"/>
  <c r="W112" i="6"/>
  <c r="AQ158" i="6"/>
  <c r="V158" i="6" s="1"/>
  <c r="W73" i="8"/>
  <c r="AQ30" i="8"/>
  <c r="V30" i="8" s="1"/>
  <c r="AQ33" i="8"/>
  <c r="V33" i="8" s="1"/>
  <c r="W33" i="8"/>
  <c r="W96" i="8"/>
  <c r="W10" i="8"/>
  <c r="W28" i="8"/>
  <c r="W30" i="8"/>
  <c r="W52" i="8"/>
  <c r="W22" i="6"/>
  <c r="AQ63" i="6"/>
  <c r="V63" i="6" s="1"/>
  <c r="AQ185" i="6"/>
  <c r="V185" i="6" s="1"/>
  <c r="W55" i="6"/>
  <c r="W84" i="8"/>
  <c r="AQ84" i="8"/>
  <c r="V84" i="8" s="1"/>
  <c r="W90" i="8"/>
  <c r="AQ90" i="8"/>
  <c r="V90" i="8" s="1"/>
  <c r="AQ13" i="8"/>
  <c r="V13" i="8" s="1"/>
  <c r="W13" i="8"/>
  <c r="W53" i="8"/>
  <c r="AQ53" i="8"/>
  <c r="V53" i="8" s="1"/>
  <c r="W88" i="8"/>
  <c r="AQ88" i="8"/>
  <c r="V88" i="8" s="1"/>
  <c r="AQ70" i="8"/>
  <c r="V70" i="8" s="1"/>
  <c r="W70" i="8"/>
  <c r="W76" i="8"/>
  <c r="AQ76" i="8"/>
  <c r="V76" i="8" s="1"/>
  <c r="AQ80" i="8"/>
  <c r="V80" i="8" s="1"/>
  <c r="W80" i="8"/>
  <c r="AQ14" i="7"/>
  <c r="V14" i="7" s="1"/>
  <c r="W14" i="7"/>
  <c r="AQ91" i="7"/>
  <c r="V91" i="7" s="1"/>
  <c r="W91" i="7"/>
  <c r="W63" i="6"/>
  <c r="W185" i="6"/>
  <c r="AQ22" i="6"/>
  <c r="V22" i="6" s="1"/>
  <c r="AQ55" i="6"/>
  <c r="V55" i="6" s="1"/>
  <c r="W143" i="6"/>
  <c r="W217" i="6"/>
  <c r="AQ254" i="6"/>
  <c r="V254" i="6" s="1"/>
  <c r="AQ217" i="6"/>
  <c r="V217" i="6" s="1"/>
  <c r="W218" i="6"/>
  <c r="AQ218" i="6"/>
  <c r="V218" i="6" s="1"/>
  <c r="W255" i="6"/>
  <c r="AQ255" i="6"/>
  <c r="V255" i="6" s="1"/>
  <c r="AQ214" i="6"/>
  <c r="V214" i="6" s="1"/>
  <c r="W214" i="6"/>
  <c r="AQ99" i="6"/>
  <c r="V99" i="6" s="1"/>
  <c r="W99" i="6"/>
  <c r="W122" i="6"/>
  <c r="AQ122" i="6"/>
  <c r="V122" i="6" s="1"/>
  <c r="AQ160" i="6"/>
  <c r="V160" i="6" s="1"/>
  <c r="W160" i="6"/>
  <c r="W5" i="6"/>
  <c r="AQ5" i="6"/>
  <c r="V5" i="6" s="1"/>
  <c r="W33" i="6"/>
  <c r="AQ33" i="6"/>
  <c r="V33" i="6" s="1"/>
  <c r="W238" i="6"/>
  <c r="AQ238" i="6"/>
  <c r="V238" i="6" s="1"/>
  <c r="AQ35" i="6"/>
  <c r="V35" i="6" s="1"/>
  <c r="W35" i="6"/>
  <c r="AQ95" i="6"/>
  <c r="V95" i="6" s="1"/>
  <c r="W95" i="6"/>
</calcChain>
</file>

<file path=xl/sharedStrings.xml><?xml version="1.0" encoding="utf-8"?>
<sst xmlns="http://schemas.openxmlformats.org/spreadsheetml/2006/main" count="5711" uniqueCount="1012">
  <si>
    <t>REG.</t>
  </si>
  <si>
    <t>LICENCE</t>
  </si>
  <si>
    <t>NAT</t>
  </si>
  <si>
    <t>NOMS</t>
  </si>
  <si>
    <t>Prénoms</t>
  </si>
  <si>
    <t>CLUB</t>
  </si>
  <si>
    <t>POIDS</t>
  </si>
  <si>
    <t>ARR</t>
  </si>
  <si>
    <t>EP-J</t>
  </si>
  <si>
    <t>Total</t>
  </si>
  <si>
    <t>IWF</t>
  </si>
  <si>
    <t>Catég</t>
  </si>
  <si>
    <t xml:space="preserve"> </t>
  </si>
  <si>
    <t>FJ48</t>
  </si>
  <si>
    <t>FJ53</t>
  </si>
  <si>
    <t>FJ58</t>
  </si>
  <si>
    <t>FJ63</t>
  </si>
  <si>
    <t>FJ69</t>
  </si>
  <si>
    <t>FJ75</t>
  </si>
  <si>
    <t>FJ+75</t>
  </si>
  <si>
    <t>FS48</t>
  </si>
  <si>
    <t>FS53</t>
  </si>
  <si>
    <t>FS58</t>
  </si>
  <si>
    <t>FS63</t>
  </si>
  <si>
    <t>FS69</t>
  </si>
  <si>
    <t>FS75</t>
  </si>
  <si>
    <t>FS+75</t>
  </si>
  <si>
    <t>J56</t>
  </si>
  <si>
    <t>J62</t>
  </si>
  <si>
    <t>J69</t>
  </si>
  <si>
    <t>J77</t>
  </si>
  <si>
    <t>J85</t>
  </si>
  <si>
    <t>J94</t>
  </si>
  <si>
    <t>J105</t>
  </si>
  <si>
    <t>J+105</t>
  </si>
  <si>
    <t>S56</t>
  </si>
  <si>
    <t>S62</t>
  </si>
  <si>
    <t>S69</t>
  </si>
  <si>
    <t>S77</t>
  </si>
  <si>
    <t>S85</t>
  </si>
  <si>
    <t>S94</t>
  </si>
  <si>
    <t>S105</t>
  </si>
  <si>
    <t>S+105</t>
  </si>
  <si>
    <t>DEPARTEMENTAL</t>
  </si>
  <si>
    <t>REGIONAL</t>
  </si>
  <si>
    <t>INTERREGIONAL</t>
  </si>
  <si>
    <t>FEDERAL</t>
  </si>
  <si>
    <t>NATIONAL</t>
  </si>
  <si>
    <t>OLYMPIQUE</t>
  </si>
  <si>
    <t>MINIME</t>
  </si>
  <si>
    <t>CADET</t>
  </si>
  <si>
    <t>JUNIOR</t>
  </si>
  <si>
    <t>SENIOR</t>
  </si>
  <si>
    <t>CADETTE</t>
  </si>
  <si>
    <t>SEXE</t>
  </si>
  <si>
    <t>DEP +</t>
  </si>
  <si>
    <t>REG +</t>
  </si>
  <si>
    <t>IRG +</t>
  </si>
  <si>
    <t>FED +</t>
  </si>
  <si>
    <t>NAT +</t>
  </si>
  <si>
    <t>INTB +</t>
  </si>
  <si>
    <t>INTA +</t>
  </si>
  <si>
    <t>OLY +</t>
  </si>
  <si>
    <t>INTERNATIONAL B</t>
  </si>
  <si>
    <t>INTERNATIONAL A</t>
  </si>
  <si>
    <t>NON</t>
  </si>
  <si>
    <t>SERIE</t>
  </si>
  <si>
    <t>AN</t>
  </si>
  <si>
    <t>CL.</t>
  </si>
  <si>
    <t>F</t>
  </si>
  <si>
    <t>ZONE</t>
  </si>
  <si>
    <t>SEST</t>
  </si>
  <si>
    <t>RAL</t>
  </si>
  <si>
    <t>FC1 44</t>
  </si>
  <si>
    <t>FC1 48</t>
  </si>
  <si>
    <t>FC1 53</t>
  </si>
  <si>
    <t>FC1 58</t>
  </si>
  <si>
    <t>FC1 63</t>
  </si>
  <si>
    <t>FC1 69</t>
  </si>
  <si>
    <t>FC1 +69</t>
  </si>
  <si>
    <t>FC2 44</t>
  </si>
  <si>
    <t>FC2 48</t>
  </si>
  <si>
    <t>FC2 53</t>
  </si>
  <si>
    <t>FC2 58</t>
  </si>
  <si>
    <t>FC2 63</t>
  </si>
  <si>
    <t>FC2 69</t>
  </si>
  <si>
    <t>FC2 +69</t>
  </si>
  <si>
    <t>C1 50</t>
  </si>
  <si>
    <t>C1 56</t>
  </si>
  <si>
    <t>C1 62</t>
  </si>
  <si>
    <t>C1 69</t>
  </si>
  <si>
    <t>C1 77</t>
  </si>
  <si>
    <t>C1 85</t>
  </si>
  <si>
    <t>C1 94</t>
  </si>
  <si>
    <t>C1 +94</t>
  </si>
  <si>
    <t>C2 50</t>
  </si>
  <si>
    <t>C2 56</t>
  </si>
  <si>
    <t>C2 62</t>
  </si>
  <si>
    <t>C2 69</t>
  </si>
  <si>
    <t>C2 77</t>
  </si>
  <si>
    <t>C2 85</t>
  </si>
  <si>
    <t>C2 94</t>
  </si>
  <si>
    <t>C2 +94</t>
  </si>
  <si>
    <t>DEBUTANT</t>
  </si>
  <si>
    <t xml:space="preserve">DEB </t>
  </si>
  <si>
    <t>KP-2PC</t>
  </si>
  <si>
    <t>FC1 40</t>
  </si>
  <si>
    <t>C1 45</t>
  </si>
  <si>
    <t>NE</t>
  </si>
  <si>
    <t>CHA</t>
  </si>
  <si>
    <t>ROEHRIG</t>
  </si>
  <si>
    <t>Ludivine</t>
  </si>
  <si>
    <t>Langres HM</t>
  </si>
  <si>
    <t>MECHIAKH</t>
  </si>
  <si>
    <t>Chloé</t>
  </si>
  <si>
    <t>LOR</t>
  </si>
  <si>
    <t>DUCHAUFFOUR</t>
  </si>
  <si>
    <t>Mélanie</t>
  </si>
  <si>
    <t>H.VALLEROY-AUBOUÉ</t>
  </si>
  <si>
    <t>ALS</t>
  </si>
  <si>
    <t>CHRISTOPHEL</t>
  </si>
  <si>
    <t>MARIE</t>
  </si>
  <si>
    <t>ASPTT Strasbourg</t>
  </si>
  <si>
    <t>IMBS</t>
  </si>
  <si>
    <t>HONORINE</t>
  </si>
  <si>
    <t>Dorlisheim FH</t>
  </si>
  <si>
    <t>MIGUEL</t>
  </si>
  <si>
    <t>LEA</t>
  </si>
  <si>
    <t>BURCKEL</t>
  </si>
  <si>
    <t>MELISSA</t>
  </si>
  <si>
    <t>FERON-GRIMM</t>
  </si>
  <si>
    <t>LILOU</t>
  </si>
  <si>
    <t>MAILLOT</t>
  </si>
  <si>
    <t>OCEANE</t>
  </si>
  <si>
    <t>-</t>
  </si>
  <si>
    <t>VAUTARD</t>
  </si>
  <si>
    <t>Priscillia</t>
  </si>
  <si>
    <t>FEILLARD</t>
  </si>
  <si>
    <t>SR Obernai HM</t>
  </si>
  <si>
    <t>NEBOIT</t>
  </si>
  <si>
    <t>BALLANB SCHMIDT</t>
  </si>
  <si>
    <t>PIERRE</t>
  </si>
  <si>
    <t>OTT</t>
  </si>
  <si>
    <t>JUSTINE</t>
  </si>
  <si>
    <t>SHC Haguenau</t>
  </si>
  <si>
    <t>BURST</t>
  </si>
  <si>
    <t>FCO</t>
  </si>
  <si>
    <t>PERRAUT</t>
  </si>
  <si>
    <t>Fanny</t>
  </si>
  <si>
    <t>CH Luxeuil</t>
  </si>
  <si>
    <t>PRUVOT</t>
  </si>
  <si>
    <t>Samantha</t>
  </si>
  <si>
    <t>LF Besançon</t>
  </si>
  <si>
    <t xml:space="preserve">POIRET </t>
  </si>
  <si>
    <t>Kimberley</t>
  </si>
  <si>
    <t>Reims HM</t>
  </si>
  <si>
    <t>GROSJEAN</t>
  </si>
  <si>
    <t>Loriane</t>
  </si>
  <si>
    <t xml:space="preserve">LECUREUIL </t>
  </si>
  <si>
    <t>Adeline</t>
  </si>
  <si>
    <t>TSCHAEN</t>
  </si>
  <si>
    <t>US Wittenheim</t>
  </si>
  <si>
    <t>HELL</t>
  </si>
  <si>
    <t>MARINE</t>
  </si>
  <si>
    <t>JEANNINGROS</t>
  </si>
  <si>
    <t>HELENE</t>
  </si>
  <si>
    <t>CERDAN</t>
  </si>
  <si>
    <t>MARGOT</t>
  </si>
  <si>
    <t>LEIBUNDGUTH</t>
  </si>
  <si>
    <t>LISA</t>
  </si>
  <si>
    <t>ASI Avenir HM</t>
  </si>
  <si>
    <t>RUOLT</t>
  </si>
  <si>
    <t>CELINE</t>
  </si>
  <si>
    <t>MJC Ungersheim</t>
  </si>
  <si>
    <t>BOIGEOL</t>
  </si>
  <si>
    <t>DURIN</t>
  </si>
  <si>
    <t>Zoé</t>
  </si>
  <si>
    <t>MICHOT</t>
  </si>
  <si>
    <t>Cécile</t>
  </si>
  <si>
    <t>LABOURIER</t>
  </si>
  <si>
    <t>Céline</t>
  </si>
  <si>
    <t xml:space="preserve">ANAEV </t>
  </si>
  <si>
    <t>Sophie</t>
  </si>
  <si>
    <t>034517</t>
  </si>
  <si>
    <t xml:space="preserve">CRISTOFOLI </t>
  </si>
  <si>
    <t xml:space="preserve"> 376658</t>
  </si>
  <si>
    <t>GUYOT</t>
  </si>
  <si>
    <t>Alice</t>
  </si>
  <si>
    <t xml:space="preserve">GERIN </t>
  </si>
  <si>
    <t>Larissa</t>
  </si>
  <si>
    <t>BANKA</t>
  </si>
  <si>
    <t>Karéne</t>
  </si>
  <si>
    <t>ANCEL</t>
  </si>
  <si>
    <t>Alizé</t>
  </si>
  <si>
    <t>E.S.LANEUVEVILLOISE</t>
  </si>
  <si>
    <t>LORENTZ</t>
  </si>
  <si>
    <t>BONNAMANT</t>
  </si>
  <si>
    <t>MELANIE</t>
  </si>
  <si>
    <t>HERRMANN</t>
  </si>
  <si>
    <t>WITKOWSKI</t>
  </si>
  <si>
    <t>DAGMAR</t>
  </si>
  <si>
    <t>GLUCK</t>
  </si>
  <si>
    <t>CLEMENCE</t>
  </si>
  <si>
    <t>ESTNER</t>
  </si>
  <si>
    <t>DREYFUS</t>
  </si>
  <si>
    <t>ANNE CLAIRE</t>
  </si>
  <si>
    <t>GORDANA</t>
  </si>
  <si>
    <t>DEBIEN</t>
  </si>
  <si>
    <t>LUCIE</t>
  </si>
  <si>
    <t>PREDY</t>
  </si>
  <si>
    <t>ANAIS</t>
  </si>
  <si>
    <t>BAECHTEL</t>
  </si>
  <si>
    <t>ANNAELLE</t>
  </si>
  <si>
    <t>LICHTLE</t>
  </si>
  <si>
    <t>CORINNE</t>
  </si>
  <si>
    <t>MANNY</t>
  </si>
  <si>
    <t>SYLVIE</t>
  </si>
  <si>
    <t>FENRICH</t>
  </si>
  <si>
    <t>TIFFANY</t>
  </si>
  <si>
    <t>ZAHNER</t>
  </si>
  <si>
    <t>SALOME</t>
  </si>
  <si>
    <t>SAS Colmarienne</t>
  </si>
  <si>
    <t>TITTEL MOSSER</t>
  </si>
  <si>
    <t>LINDSAY</t>
  </si>
  <si>
    <t>THOMAS</t>
  </si>
  <si>
    <t>EVELYNE</t>
  </si>
  <si>
    <t>GERONDI</t>
  </si>
  <si>
    <t>ELODIE</t>
  </si>
  <si>
    <t>LEBROUSSA</t>
  </si>
  <si>
    <t>SHIRLEY</t>
  </si>
  <si>
    <t>HUBERTY</t>
  </si>
  <si>
    <t>LAETITIA</t>
  </si>
  <si>
    <t>MERTZ</t>
  </si>
  <si>
    <t>DEBORAH</t>
  </si>
  <si>
    <t>PLASSARD</t>
  </si>
  <si>
    <t>CHRISTNACHER</t>
  </si>
  <si>
    <t>ADELINE</t>
  </si>
  <si>
    <t>FARNY</t>
  </si>
  <si>
    <t>ROBERT</t>
  </si>
  <si>
    <t>GRIMM FERON</t>
  </si>
  <si>
    <t>PASCALE</t>
  </si>
  <si>
    <t>MEYER</t>
  </si>
  <si>
    <t>AUDREY</t>
  </si>
  <si>
    <t>VALERA</t>
  </si>
  <si>
    <t>RAMDANI</t>
  </si>
  <si>
    <t>Cindy</t>
  </si>
  <si>
    <t>PATTE</t>
  </si>
  <si>
    <t>Mélisande</t>
  </si>
  <si>
    <t>CREVOISIER</t>
  </si>
  <si>
    <t>Lucie</t>
  </si>
  <si>
    <t>SANTI</t>
  </si>
  <si>
    <t>Léonie</t>
  </si>
  <si>
    <t>LOISEAU</t>
  </si>
  <si>
    <t>Corinne</t>
  </si>
  <si>
    <t>CHIQUET</t>
  </si>
  <si>
    <t>Agnès</t>
  </si>
  <si>
    <t>DARQUE</t>
  </si>
  <si>
    <t>Gabrielle</t>
  </si>
  <si>
    <t xml:space="preserve">COUSIN </t>
  </si>
  <si>
    <t>Emilie</t>
  </si>
  <si>
    <t>BERTHELIN</t>
  </si>
  <si>
    <t>Edith</t>
  </si>
  <si>
    <t>VIALA</t>
  </si>
  <si>
    <t>Caroline</t>
  </si>
  <si>
    <t>BOU</t>
  </si>
  <si>
    <t>GRAILLOT</t>
  </si>
  <si>
    <t>Vicky</t>
  </si>
  <si>
    <t>HMDB21</t>
  </si>
  <si>
    <t>COMTE</t>
  </si>
  <si>
    <t>Pauline</t>
  </si>
  <si>
    <t>HC Avallon</t>
  </si>
  <si>
    <t>BALACE</t>
  </si>
  <si>
    <t>Julie</t>
  </si>
  <si>
    <t>LAMBERT</t>
  </si>
  <si>
    <t>Saint honoré les bains</t>
  </si>
  <si>
    <t>COSTA</t>
  </si>
  <si>
    <t>Charlène</t>
  </si>
  <si>
    <t>Olympique Mâcon</t>
  </si>
  <si>
    <t>BARDIS</t>
  </si>
  <si>
    <t>EYANGO</t>
  </si>
  <si>
    <t>Delphine</t>
  </si>
  <si>
    <t>SENELAS</t>
  </si>
  <si>
    <t>Celine</t>
  </si>
  <si>
    <t xml:space="preserve">BONNET </t>
  </si>
  <si>
    <t>Aline</t>
  </si>
  <si>
    <t xml:space="preserve">GANDON </t>
  </si>
  <si>
    <t>Carole</t>
  </si>
  <si>
    <t>FEGUE</t>
  </si>
  <si>
    <t>Marie Josephe</t>
  </si>
  <si>
    <t>CAM</t>
  </si>
  <si>
    <t>MONNIAUD</t>
  </si>
  <si>
    <t>Elise</t>
  </si>
  <si>
    <t>MIYENGA</t>
  </si>
  <si>
    <t>Helène</t>
  </si>
  <si>
    <t>ELUARD</t>
  </si>
  <si>
    <t>Judith</t>
  </si>
  <si>
    <t>LARGE</t>
  </si>
  <si>
    <t>Margaux</t>
  </si>
  <si>
    <t>N</t>
  </si>
  <si>
    <t>IDF</t>
  </si>
  <si>
    <t>MACE</t>
  </si>
  <si>
    <t>DORIANE</t>
  </si>
  <si>
    <t>US METRO</t>
  </si>
  <si>
    <t>LE PESSOT</t>
  </si>
  <si>
    <t>ILLONA</t>
  </si>
  <si>
    <t>RICHARD</t>
  </si>
  <si>
    <t>IRENE</t>
  </si>
  <si>
    <t>BLANC-MESNIL</t>
  </si>
  <si>
    <t>HERVET</t>
  </si>
  <si>
    <t>MANTES</t>
  </si>
  <si>
    <t>GWENAELLE</t>
  </si>
  <si>
    <t>TCHAKOUNTE</t>
  </si>
  <si>
    <t>DORA</t>
  </si>
  <si>
    <t>GRAVIL</t>
  </si>
  <si>
    <t>LOU</t>
  </si>
  <si>
    <t>SAINT-MAUR</t>
  </si>
  <si>
    <t>MARKHUS</t>
  </si>
  <si>
    <t>Nor</t>
  </si>
  <si>
    <t>BIFANO</t>
  </si>
  <si>
    <t>ELENA</t>
  </si>
  <si>
    <t>HERVE</t>
  </si>
  <si>
    <t>SANDRINE</t>
  </si>
  <si>
    <t>FRANCONVILLE</t>
  </si>
  <si>
    <t>FERAUD</t>
  </si>
  <si>
    <t>NATHALIE</t>
  </si>
  <si>
    <t>VELIZY</t>
  </si>
  <si>
    <t>DRAPEAU</t>
  </si>
  <si>
    <t>FLORIANE</t>
  </si>
  <si>
    <t>POLLASTRI</t>
  </si>
  <si>
    <t>VICTORIA</t>
  </si>
  <si>
    <t>DJEBARI-LEBOUC</t>
  </si>
  <si>
    <t>NADEGE</t>
  </si>
  <si>
    <t>SA MONTMARTRE</t>
  </si>
  <si>
    <t>MAROUBI</t>
  </si>
  <si>
    <t>SALIMA</t>
  </si>
  <si>
    <t>AURELIE</t>
  </si>
  <si>
    <t>CARRE</t>
  </si>
  <si>
    <t>ZIARH</t>
  </si>
  <si>
    <t>SHERYNE</t>
  </si>
  <si>
    <t>NEUILLY</t>
  </si>
  <si>
    <t>IVANOVA</t>
  </si>
  <si>
    <t>MAYA</t>
  </si>
  <si>
    <t>BLANC MESNIL</t>
  </si>
  <si>
    <t>Bul</t>
  </si>
  <si>
    <t>GHERARDI</t>
  </si>
  <si>
    <t>ANNE SOPHIE</t>
  </si>
  <si>
    <t>FOSSE</t>
  </si>
  <si>
    <t>AMELIE</t>
  </si>
  <si>
    <t>NEZONDET</t>
  </si>
  <si>
    <t>MELUN</t>
  </si>
  <si>
    <t>BLANCHARD</t>
  </si>
  <si>
    <t>ISABELLE</t>
  </si>
  <si>
    <t>MASSY</t>
  </si>
  <si>
    <t>CALMES</t>
  </si>
  <si>
    <t>VALERIE</t>
  </si>
  <si>
    <t>COCHET</t>
  </si>
  <si>
    <t>ANNE</t>
  </si>
  <si>
    <t>PEREIRA DA SILVA</t>
  </si>
  <si>
    <t>LYDIE</t>
  </si>
  <si>
    <t>HURTAULT</t>
  </si>
  <si>
    <t>LEVI</t>
  </si>
  <si>
    <t>JUDITH</t>
  </si>
  <si>
    <t>CHAVILLE</t>
  </si>
  <si>
    <t>BENACEUR</t>
  </si>
  <si>
    <t>MERIEM</t>
  </si>
  <si>
    <t>GRZESIAK</t>
  </si>
  <si>
    <t>SOREL</t>
  </si>
  <si>
    <t>VIRGINIE</t>
  </si>
  <si>
    <t>GUIBERT</t>
  </si>
  <si>
    <t>PAULINE</t>
  </si>
  <si>
    <t>ANDRE</t>
  </si>
  <si>
    <t>PIHOUE</t>
  </si>
  <si>
    <t>SANDRA</t>
  </si>
  <si>
    <t>SOLOME</t>
  </si>
  <si>
    <t>OPHELIE</t>
  </si>
  <si>
    <t>RAMON</t>
  </si>
  <si>
    <t>FLORENCE</t>
  </si>
  <si>
    <t>TERMOLLE</t>
  </si>
  <si>
    <t>SOPHIE</t>
  </si>
  <si>
    <t>WALI</t>
  </si>
  <si>
    <t>RUEIL</t>
  </si>
  <si>
    <t>WONG</t>
  </si>
  <si>
    <t>AMY</t>
  </si>
  <si>
    <t>USA</t>
  </si>
  <si>
    <t>DEKEISTER</t>
  </si>
  <si>
    <t>SAINT MAUR</t>
  </si>
  <si>
    <t>SITHIMOLADA</t>
  </si>
  <si>
    <t>HAUSTANT</t>
  </si>
  <si>
    <t>NEGRE</t>
  </si>
  <si>
    <t>SOPHIA</t>
  </si>
  <si>
    <t>NIGON</t>
  </si>
  <si>
    <t>ARMELLE</t>
  </si>
  <si>
    <t>NTEP</t>
  </si>
  <si>
    <t>ALICE</t>
  </si>
  <si>
    <t>FLAMAIN</t>
  </si>
  <si>
    <t>PERRINE</t>
  </si>
  <si>
    <t>DELAFOSSE</t>
  </si>
  <si>
    <t>DRENO</t>
  </si>
  <si>
    <t>EVA</t>
  </si>
  <si>
    <t>ARNOULD</t>
  </si>
  <si>
    <t>ZANON</t>
  </si>
  <si>
    <t>CAROLINE</t>
  </si>
  <si>
    <t>BARKATI</t>
  </si>
  <si>
    <t>HEGER</t>
  </si>
  <si>
    <t>NPC</t>
  </si>
  <si>
    <t>GUILLEMIN</t>
  </si>
  <si>
    <t>C.A.ROSENDAEL</t>
  </si>
  <si>
    <t>PARANTHOEN</t>
  </si>
  <si>
    <t>PIETERS</t>
  </si>
  <si>
    <t>Justine</t>
  </si>
  <si>
    <t>CNOCKAERT</t>
  </si>
  <si>
    <t>Kelly-Ann</t>
  </si>
  <si>
    <t>CHCD COMINES</t>
  </si>
  <si>
    <t>BEL</t>
  </si>
  <si>
    <t>GODEFROIDT</t>
  </si>
  <si>
    <t>Charline</t>
  </si>
  <si>
    <t>GONZALES</t>
  </si>
  <si>
    <t>Naomi</t>
  </si>
  <si>
    <t>HOUZE</t>
  </si>
  <si>
    <t>Océne</t>
  </si>
  <si>
    <t>RIQUIER</t>
  </si>
  <si>
    <t>Angélique</t>
  </si>
  <si>
    <t>BOUDRAHEM</t>
  </si>
  <si>
    <t>Inès</t>
  </si>
  <si>
    <t>ST POL SUR MER</t>
  </si>
  <si>
    <t>DEFONTAINE</t>
  </si>
  <si>
    <t>Elodie</t>
  </si>
  <si>
    <t>IMPINES</t>
  </si>
  <si>
    <t>Alicia</t>
  </si>
  <si>
    <t>HENIN</t>
  </si>
  <si>
    <t>Manon</t>
  </si>
  <si>
    <t>CAHC BERCK/MER</t>
  </si>
  <si>
    <t>DEZERABLE</t>
  </si>
  <si>
    <t>Khaty</t>
  </si>
  <si>
    <t>A.O.SALLAUMINES</t>
  </si>
  <si>
    <t>VAMBESIEN</t>
  </si>
  <si>
    <t>Estelle</t>
  </si>
  <si>
    <t>BAERT</t>
  </si>
  <si>
    <t>Blandine</t>
  </si>
  <si>
    <t>FREMAUX</t>
  </si>
  <si>
    <t>GILLIERS</t>
  </si>
  <si>
    <t>Océane</t>
  </si>
  <si>
    <t>BAUQUEL</t>
  </si>
  <si>
    <t>Bénédicte</t>
  </si>
  <si>
    <t>CRET</t>
  </si>
  <si>
    <t>Crinuta</t>
  </si>
  <si>
    <t>ROU</t>
  </si>
  <si>
    <t>DEPUYDT</t>
  </si>
  <si>
    <t>Catherine</t>
  </si>
  <si>
    <t>PLANCQ</t>
  </si>
  <si>
    <t>Déborah</t>
  </si>
  <si>
    <t>THIRY</t>
  </si>
  <si>
    <t>Maïte</t>
  </si>
  <si>
    <t>VERSCHELDE</t>
  </si>
  <si>
    <t>Amelle</t>
  </si>
  <si>
    <t>FLOUR</t>
  </si>
  <si>
    <t>Marjorie</t>
  </si>
  <si>
    <t>LAPOSTOLLE</t>
  </si>
  <si>
    <t>MALIAR</t>
  </si>
  <si>
    <t>Mandy</t>
  </si>
  <si>
    <t>COEVOET</t>
  </si>
  <si>
    <t>Aude</t>
  </si>
  <si>
    <t>DEMARCQ</t>
  </si>
  <si>
    <t>REYNDERS</t>
  </si>
  <si>
    <t>Jessica</t>
  </si>
  <si>
    <t>CAPIOMONT</t>
  </si>
  <si>
    <t>Laetitia</t>
  </si>
  <si>
    <t>LOMME</t>
  </si>
  <si>
    <t>JERUZALSKI</t>
  </si>
  <si>
    <t>KICHOU</t>
  </si>
  <si>
    <t>Nasséra</t>
  </si>
  <si>
    <t>MARTEAU</t>
  </si>
  <si>
    <t>Dorothée</t>
  </si>
  <si>
    <t>FELGUEIRAS</t>
  </si>
  <si>
    <t>Victoria</t>
  </si>
  <si>
    <t>WINGLES FORME</t>
  </si>
  <si>
    <t>PIC</t>
  </si>
  <si>
    <t>ALLAL BEN MAATI</t>
  </si>
  <si>
    <t>Péronne AAEEP</t>
  </si>
  <si>
    <t>CHAUVIN</t>
  </si>
  <si>
    <t>Appoline</t>
  </si>
  <si>
    <t>Villers-Bretonneux KC</t>
  </si>
  <si>
    <t>FOUCART</t>
  </si>
  <si>
    <t>Noémie</t>
  </si>
  <si>
    <t>La Ferté Milon CMHM</t>
  </si>
  <si>
    <t>LEMORT</t>
  </si>
  <si>
    <t>Marine</t>
  </si>
  <si>
    <t>MONTOYA</t>
  </si>
  <si>
    <t>Lutricia</t>
  </si>
  <si>
    <t>BONNIERE</t>
  </si>
  <si>
    <t>CHARRAUD</t>
  </si>
  <si>
    <t>DENAND</t>
  </si>
  <si>
    <t>Gwendoline</t>
  </si>
  <si>
    <t>LHERBIEZ</t>
  </si>
  <si>
    <t>Amandine</t>
  </si>
  <si>
    <t>MICHEL PINGUERBE</t>
  </si>
  <si>
    <t>ARANJO</t>
  </si>
  <si>
    <t>CABON</t>
  </si>
  <si>
    <t>Ophélie</t>
  </si>
  <si>
    <t>CARON</t>
  </si>
  <si>
    <t>Amélie</t>
  </si>
  <si>
    <t>Saleux CHM</t>
  </si>
  <si>
    <t>GAUTIER</t>
  </si>
  <si>
    <t>La Vaillante Saint Quentin</t>
  </si>
  <si>
    <t>HUGUET</t>
  </si>
  <si>
    <t>Lauriane</t>
  </si>
  <si>
    <t>LEBON</t>
  </si>
  <si>
    <t>Vanessa</t>
  </si>
  <si>
    <t>Hirson CEHT</t>
  </si>
  <si>
    <t>MERLIER</t>
  </si>
  <si>
    <t>Marie</t>
  </si>
  <si>
    <t>PADIEU</t>
  </si>
  <si>
    <t>Eléonore</t>
  </si>
  <si>
    <t>SEIGNEUR</t>
  </si>
  <si>
    <t>ANCRI</t>
  </si>
  <si>
    <t>Cynthia</t>
  </si>
  <si>
    <t>ANDRIEUX KOHUEINUI</t>
  </si>
  <si>
    <t>ANDRIEUX</t>
  </si>
  <si>
    <t>Virginie</t>
  </si>
  <si>
    <t>BEY</t>
  </si>
  <si>
    <t>Louise</t>
  </si>
  <si>
    <t>BROUETTE</t>
  </si>
  <si>
    <t>Valérie</t>
  </si>
  <si>
    <t>DE COSTER</t>
  </si>
  <si>
    <t>Sarah</t>
  </si>
  <si>
    <t>Belge</t>
  </si>
  <si>
    <t>DELACOURT</t>
  </si>
  <si>
    <t>DI PAOLA</t>
  </si>
  <si>
    <t>PETIT</t>
  </si>
  <si>
    <t>Juliette</t>
  </si>
  <si>
    <t>CHEVALLIER ROY</t>
  </si>
  <si>
    <t>Célia</t>
  </si>
  <si>
    <t>SAUGOUT</t>
  </si>
  <si>
    <t>Noelle</t>
  </si>
  <si>
    <t>VAN BELLINGHEN</t>
  </si>
  <si>
    <t>Anna</t>
  </si>
  <si>
    <t>SO</t>
  </si>
  <si>
    <t>LIM</t>
  </si>
  <si>
    <t>LOPEZ</t>
  </si>
  <si>
    <t>LIMOGES AVA</t>
  </si>
  <si>
    <t xml:space="preserve">LAMARGUE </t>
  </si>
  <si>
    <t>AQU</t>
  </si>
  <si>
    <t>GIRAUD</t>
  </si>
  <si>
    <t>Hectorine</t>
  </si>
  <si>
    <t>ASOA Aquitaine</t>
  </si>
  <si>
    <t>MPY</t>
  </si>
  <si>
    <t>JENNISKEN</t>
  </si>
  <si>
    <t>Laura</t>
  </si>
  <si>
    <t>TOULOUSE HC</t>
  </si>
  <si>
    <t>GUILLOT</t>
  </si>
  <si>
    <t>Léa</t>
  </si>
  <si>
    <t>FIGEAC HC</t>
  </si>
  <si>
    <t>CAUSSE</t>
  </si>
  <si>
    <t>PAMIERS HC</t>
  </si>
  <si>
    <t>AUNAY</t>
  </si>
  <si>
    <t>COLOMIERS US</t>
  </si>
  <si>
    <t>MEUNIER</t>
  </si>
  <si>
    <t>MONTAUBAN HC</t>
  </si>
  <si>
    <t>SYRIEIX</t>
  </si>
  <si>
    <t>Anne</t>
  </si>
  <si>
    <t>DECAZEVILLE HC</t>
  </si>
  <si>
    <t>BRANCO</t>
  </si>
  <si>
    <t>GRIMAL</t>
  </si>
  <si>
    <t>Claire</t>
  </si>
  <si>
    <t>DELPECH</t>
  </si>
  <si>
    <t>MOCAER</t>
  </si>
  <si>
    <t>ST MEDARD</t>
  </si>
  <si>
    <t>RIGAUD</t>
  </si>
  <si>
    <t>GARANCE</t>
  </si>
  <si>
    <t>JOURNET</t>
  </si>
  <si>
    <t>Mégane</t>
  </si>
  <si>
    <t>Anaïs</t>
  </si>
  <si>
    <t>BEN KHELIFA</t>
  </si>
  <si>
    <t>GARET</t>
  </si>
  <si>
    <t>Clara</t>
  </si>
  <si>
    <t>SUBE</t>
  </si>
  <si>
    <t>DARMON</t>
  </si>
  <si>
    <t>MELODIE</t>
  </si>
  <si>
    <t>BORDEAUX ASPOM</t>
  </si>
  <si>
    <t>LABRUNIE</t>
  </si>
  <si>
    <t>CRETON</t>
  </si>
  <si>
    <t>Sandy</t>
  </si>
  <si>
    <t>BRIDIER</t>
  </si>
  <si>
    <t>Stéphanie</t>
  </si>
  <si>
    <t xml:space="preserve">PERROUAULT </t>
  </si>
  <si>
    <t>Marion</t>
  </si>
  <si>
    <t>GARGAGLI</t>
  </si>
  <si>
    <t>ROUGEMONT</t>
  </si>
  <si>
    <t>Mathilde</t>
  </si>
  <si>
    <t>ASPE</t>
  </si>
  <si>
    <t>Camille</t>
  </si>
  <si>
    <t>TARBES CUTPH</t>
  </si>
  <si>
    <t>VALENCIA</t>
  </si>
  <si>
    <t>Anne-Marie</t>
  </si>
  <si>
    <t>RIVIERE</t>
  </si>
  <si>
    <t>Sabine</t>
  </si>
  <si>
    <t>MELENDEZ</t>
  </si>
  <si>
    <t>Belinda</t>
  </si>
  <si>
    <t>ALBERTELLI</t>
  </si>
  <si>
    <t>Anne - Camille</t>
  </si>
  <si>
    <t>CHAILLET</t>
  </si>
  <si>
    <t>Perrine</t>
  </si>
  <si>
    <t>NEBOT-MOLNAR</t>
  </si>
  <si>
    <t>Séverine</t>
  </si>
  <si>
    <t>DEBEVE</t>
  </si>
  <si>
    <t>Sandrine</t>
  </si>
  <si>
    <t>GAUTREAU</t>
  </si>
  <si>
    <t>MARCOS</t>
  </si>
  <si>
    <t>Audrey</t>
  </si>
  <si>
    <t>Frédérique</t>
  </si>
  <si>
    <t>REBELO</t>
  </si>
  <si>
    <t>Marie-Pierre</t>
  </si>
  <si>
    <t>Geneviève</t>
  </si>
  <si>
    <t>LETERRIER</t>
  </si>
  <si>
    <t>Kathleen</t>
  </si>
  <si>
    <t>X</t>
  </si>
  <si>
    <t>PREUVOT</t>
  </si>
  <si>
    <t>SEVERINE</t>
  </si>
  <si>
    <t>LIMOGES ASPTT</t>
  </si>
  <si>
    <t>FARGETAS</t>
  </si>
  <si>
    <t>MARIE PIERRE</t>
  </si>
  <si>
    <t>POI</t>
  </si>
  <si>
    <t>SABOURIN</t>
  </si>
  <si>
    <t>Poitiers</t>
  </si>
  <si>
    <t>MARTIN</t>
  </si>
  <si>
    <t>Anaëlle</t>
  </si>
  <si>
    <t>Aytré</t>
  </si>
  <si>
    <t>SAIB</t>
  </si>
  <si>
    <t>LINDA</t>
  </si>
  <si>
    <t>EA St Médard</t>
  </si>
  <si>
    <t>GHEKAP WAFO</t>
  </si>
  <si>
    <t>MYRIAM</t>
  </si>
  <si>
    <t>SAVIN</t>
  </si>
  <si>
    <t>VASSEUR</t>
  </si>
  <si>
    <t>Stade Montaois</t>
  </si>
  <si>
    <t>Clarisse</t>
  </si>
  <si>
    <t>GALONNIER</t>
  </si>
  <si>
    <t>EFSL Le Bouscat</t>
  </si>
  <si>
    <t>PASZAK</t>
  </si>
  <si>
    <t>PEREIRA</t>
  </si>
  <si>
    <t>Marlène</t>
  </si>
  <si>
    <t>VIRAMA</t>
  </si>
  <si>
    <t>CH LA PLAINE</t>
  </si>
  <si>
    <t>ROGER</t>
  </si>
  <si>
    <t>CH TAMPON</t>
  </si>
  <si>
    <t>MARKA</t>
  </si>
  <si>
    <t>SEVELTANA</t>
  </si>
  <si>
    <t>CSPJ St Denis</t>
  </si>
  <si>
    <t>REU</t>
  </si>
  <si>
    <t>DOM</t>
  </si>
  <si>
    <t>EDMOND</t>
  </si>
  <si>
    <t>NEIGE LINE</t>
  </si>
  <si>
    <t>CH LAPLAINE</t>
  </si>
  <si>
    <t>LAURET</t>
  </si>
  <si>
    <t>OULOUMENI</t>
  </si>
  <si>
    <t>AURELIA</t>
  </si>
  <si>
    <t>SAINT JACQUES</t>
  </si>
  <si>
    <t>LARISSA</t>
  </si>
  <si>
    <t>LEBRETON</t>
  </si>
  <si>
    <t>MALOTO</t>
  </si>
  <si>
    <t>MIKAELLA</t>
  </si>
  <si>
    <t>GUY</t>
  </si>
  <si>
    <t>VEDDIE</t>
  </si>
  <si>
    <t>Tessa</t>
  </si>
  <si>
    <t>ASCPG/Rémire Montjoly</t>
  </si>
  <si>
    <t>MAR</t>
  </si>
  <si>
    <t>BOISFER</t>
  </si>
  <si>
    <t>Priscilla</t>
  </si>
  <si>
    <t>ABBC/Foyal Didier</t>
  </si>
  <si>
    <t>GUA</t>
  </si>
  <si>
    <t>BOUDINE</t>
  </si>
  <si>
    <t>Rémyka</t>
  </si>
  <si>
    <t>AHCS/Pointois</t>
  </si>
  <si>
    <t>KICHENAMA</t>
  </si>
  <si>
    <t>UFREN</t>
  </si>
  <si>
    <t>Aurore</t>
  </si>
  <si>
    <t>CHALDER</t>
  </si>
  <si>
    <t>Lou Ann</t>
  </si>
  <si>
    <t>NUIRO</t>
  </si>
  <si>
    <t>BONNET</t>
  </si>
  <si>
    <t>Mélissa</t>
  </si>
  <si>
    <t>BRIN</t>
  </si>
  <si>
    <t>GRAVA</t>
  </si>
  <si>
    <t>ROSAN</t>
  </si>
  <si>
    <t>Kysia</t>
  </si>
  <si>
    <t>BOROT</t>
  </si>
  <si>
    <t>Lenaïc</t>
  </si>
  <si>
    <t>ASCPG/Guyane</t>
  </si>
  <si>
    <t>ZCO</t>
  </si>
  <si>
    <t>BRE</t>
  </si>
  <si>
    <t>PIRIS</t>
  </si>
  <si>
    <t>Océanne</t>
  </si>
  <si>
    <t>ES Saint Avé</t>
  </si>
  <si>
    <t>VAN KERKHOVE</t>
  </si>
  <si>
    <t>AL Quimper</t>
  </si>
  <si>
    <t>JAFFRY</t>
  </si>
  <si>
    <t>Lauréline</t>
  </si>
  <si>
    <t>CHM Plouhinec PR</t>
  </si>
  <si>
    <t>RUMEN</t>
  </si>
  <si>
    <t>Laureline</t>
  </si>
  <si>
    <t>BACCEI</t>
  </si>
  <si>
    <t>Marilou</t>
  </si>
  <si>
    <t>DEBIAIS</t>
  </si>
  <si>
    <t>Joanna</t>
  </si>
  <si>
    <t>RAHARISOA</t>
  </si>
  <si>
    <t>Karen</t>
  </si>
  <si>
    <t>GERNIER</t>
  </si>
  <si>
    <t>Gaelle</t>
  </si>
  <si>
    <t>LE GUENNEC</t>
  </si>
  <si>
    <t>Isabelle</t>
  </si>
  <si>
    <t>Vannes AC</t>
  </si>
  <si>
    <t>PERVIER</t>
  </si>
  <si>
    <t>Raphaelle</t>
  </si>
  <si>
    <t>TROUDET</t>
  </si>
  <si>
    <t>Annabelle</t>
  </si>
  <si>
    <t xml:space="preserve">OSOUNGU </t>
  </si>
  <si>
    <t>Joyce Epie</t>
  </si>
  <si>
    <t>Cam</t>
  </si>
  <si>
    <t>PALMER</t>
  </si>
  <si>
    <t>Soline</t>
  </si>
  <si>
    <t>POUSSART</t>
  </si>
  <si>
    <t>CO</t>
  </si>
  <si>
    <t>PDL</t>
  </si>
  <si>
    <t>HEUZE</t>
  </si>
  <si>
    <t>Emma</t>
  </si>
  <si>
    <t>CA Evron 53</t>
  </si>
  <si>
    <t>COGNON</t>
  </si>
  <si>
    <t>Alexia</t>
  </si>
  <si>
    <t>CJF Laval-Voutré</t>
  </si>
  <si>
    <t>L'HERMIER</t>
  </si>
  <si>
    <t>Nolwen</t>
  </si>
  <si>
    <t>HAMMOUDI</t>
  </si>
  <si>
    <t>Nassira</t>
  </si>
  <si>
    <t>BBFC ALLONNES</t>
  </si>
  <si>
    <t>CALVEZ</t>
  </si>
  <si>
    <t>Saint Herblain</t>
  </si>
  <si>
    <t>MADEC</t>
  </si>
  <si>
    <t>Cecile</t>
  </si>
  <si>
    <t>AUDRAIN</t>
  </si>
  <si>
    <t>Mélina</t>
  </si>
  <si>
    <t>BODARD</t>
  </si>
  <si>
    <t>Suzanne</t>
  </si>
  <si>
    <t>DERUGNY</t>
  </si>
  <si>
    <t>Violette</t>
  </si>
  <si>
    <t>saint herblain</t>
  </si>
  <si>
    <t>BNO</t>
  </si>
  <si>
    <t>VILLENEUVE</t>
  </si>
  <si>
    <t>Irys</t>
  </si>
  <si>
    <t>Caen CHM</t>
  </si>
  <si>
    <t>HELIE</t>
  </si>
  <si>
    <t>Stade St Lois</t>
  </si>
  <si>
    <t>Gaultier</t>
  </si>
  <si>
    <t>Esther</t>
  </si>
  <si>
    <t>Saint-Lô</t>
  </si>
  <si>
    <t>BOURRIEN</t>
  </si>
  <si>
    <t>KADJAIEV</t>
  </si>
  <si>
    <t>LARA</t>
  </si>
  <si>
    <t>SAYAH</t>
  </si>
  <si>
    <t>Nadia</t>
  </si>
  <si>
    <t>Loubar</t>
  </si>
  <si>
    <t>FLEURY</t>
  </si>
  <si>
    <t>CAEN CHM</t>
  </si>
  <si>
    <t>ROUSSEAU</t>
  </si>
  <si>
    <t>LOUDIERE</t>
  </si>
  <si>
    <t>Nathalie</t>
  </si>
  <si>
    <t>LEMOINE</t>
  </si>
  <si>
    <t>BEAUGRAND</t>
  </si>
  <si>
    <t>DUMARAIS</t>
  </si>
  <si>
    <t>Berhaut</t>
  </si>
  <si>
    <t>Muriel</t>
  </si>
  <si>
    <t>TURMO</t>
  </si>
  <si>
    <t>GWENDOLINE</t>
  </si>
  <si>
    <t>LEGARDINIER</t>
  </si>
  <si>
    <t>Drezet</t>
  </si>
  <si>
    <t>Christel</t>
  </si>
  <si>
    <t>CEN</t>
  </si>
  <si>
    <t>DAUMAS</t>
  </si>
  <si>
    <t>Solène</t>
  </si>
  <si>
    <t>AAJ Blois</t>
  </si>
  <si>
    <t>Emeline</t>
  </si>
  <si>
    <t>CM Orléans</t>
  </si>
  <si>
    <t>MICHEL</t>
  </si>
  <si>
    <t>Anais</t>
  </si>
  <si>
    <t>BOURGE</t>
  </si>
  <si>
    <t>Christine</t>
  </si>
  <si>
    <t>JOLIVEAU</t>
  </si>
  <si>
    <t>CAUMON</t>
  </si>
  <si>
    <t>Mylène</t>
  </si>
  <si>
    <t>ROBIN</t>
  </si>
  <si>
    <t>LAUHOSNE</t>
  </si>
  <si>
    <t>TABORDET</t>
  </si>
  <si>
    <t>Nelly</t>
  </si>
  <si>
    <t>BAKAM TRUCHE</t>
  </si>
  <si>
    <t>Pilar</t>
  </si>
  <si>
    <t>MAMONE</t>
  </si>
  <si>
    <t>SOUCHU</t>
  </si>
  <si>
    <t>US Tours</t>
  </si>
  <si>
    <t>CARTON</t>
  </si>
  <si>
    <t>Alexandrine</t>
  </si>
  <si>
    <t>YAMECHI</t>
  </si>
  <si>
    <t>Madeleine</t>
  </si>
  <si>
    <t>CAZ</t>
  </si>
  <si>
    <t>POIRSON</t>
  </si>
  <si>
    <t>ASLDD TOULON</t>
  </si>
  <si>
    <t>GIANETTI</t>
  </si>
  <si>
    <t>Margot</t>
  </si>
  <si>
    <t>ES VILLE LOUBET</t>
  </si>
  <si>
    <t xml:space="preserve"> ASLDD TOULON</t>
  </si>
  <si>
    <t>GIANNETTI</t>
  </si>
  <si>
    <t xml:space="preserve">CUDIA </t>
  </si>
  <si>
    <t>Charlotte</t>
  </si>
  <si>
    <t>DULIO</t>
  </si>
  <si>
    <t>Ambre</t>
  </si>
  <si>
    <t>ES VILL LOUBET</t>
  </si>
  <si>
    <t>GAUJARD</t>
  </si>
  <si>
    <t>GOUDE</t>
  </si>
  <si>
    <t>Asia</t>
  </si>
  <si>
    <t>MAZOUZ</t>
  </si>
  <si>
    <t>PEUGNIEZ</t>
  </si>
  <si>
    <t>Clea</t>
  </si>
  <si>
    <t>RICHET</t>
  </si>
  <si>
    <t>DOLET</t>
  </si>
  <si>
    <t>Oceane</t>
  </si>
  <si>
    <t>DUPEYROUX</t>
  </si>
  <si>
    <t>ELHAMDANI</t>
  </si>
  <si>
    <t>Ouiam</t>
  </si>
  <si>
    <t>RONCO</t>
  </si>
  <si>
    <t>Emmanuelle</t>
  </si>
  <si>
    <t>SENE</t>
  </si>
  <si>
    <t>Lobe</t>
  </si>
  <si>
    <t>THEOBALD</t>
  </si>
  <si>
    <t>Coralie</t>
  </si>
  <si>
    <t>ATTIA</t>
  </si>
  <si>
    <t>Severine</t>
  </si>
  <si>
    <t>Axelle</t>
  </si>
  <si>
    <t>CLAPIER</t>
  </si>
  <si>
    <t>Helene</t>
  </si>
  <si>
    <t>AS MONACO</t>
  </si>
  <si>
    <t>DISPERATI DALLE</t>
  </si>
  <si>
    <t>Amelie</t>
  </si>
  <si>
    <t>DISTEPHANO</t>
  </si>
  <si>
    <t>HC HYERES</t>
  </si>
  <si>
    <t>DRAGO</t>
  </si>
  <si>
    <t>Sylvie</t>
  </si>
  <si>
    <t>DURAN</t>
  </si>
  <si>
    <t>Sandra</t>
  </si>
  <si>
    <t>ASPTT DRAGUIGNAN</t>
  </si>
  <si>
    <t>FERRARI</t>
  </si>
  <si>
    <t>GABBIANI</t>
  </si>
  <si>
    <t>Celia</t>
  </si>
  <si>
    <t>GUEGAN</t>
  </si>
  <si>
    <t>ICARDI</t>
  </si>
  <si>
    <t>JOINEAU</t>
  </si>
  <si>
    <t>JOLY</t>
  </si>
  <si>
    <t>KASIRYE</t>
  </si>
  <si>
    <t>Ruth</t>
  </si>
  <si>
    <t>NOR</t>
  </si>
  <si>
    <t>POCAS</t>
  </si>
  <si>
    <t>Anne cathe</t>
  </si>
  <si>
    <t>RADEAU</t>
  </si>
  <si>
    <t>SALIOT</t>
  </si>
  <si>
    <t>SAURIAC</t>
  </si>
  <si>
    <t>Stephanie</t>
  </si>
  <si>
    <t>SOULET</t>
  </si>
  <si>
    <t>Frederique</t>
  </si>
  <si>
    <t>TORZUOLI AUDAX</t>
  </si>
  <si>
    <t>MONTESSINOS</t>
  </si>
  <si>
    <t>Lucile</t>
  </si>
  <si>
    <t>Frontignan AC</t>
  </si>
  <si>
    <t>ROMERO</t>
  </si>
  <si>
    <t>Héloïse</t>
  </si>
  <si>
    <t>Narbonne Haltéro</t>
  </si>
  <si>
    <t>LAN</t>
  </si>
  <si>
    <t>MAUSSIERE</t>
  </si>
  <si>
    <t>Clermont Sports</t>
  </si>
  <si>
    <t>RIBEIRO</t>
  </si>
  <si>
    <t>HC Grand Combe</t>
  </si>
  <si>
    <t>CAVIN</t>
  </si>
  <si>
    <t>Marie Odile</t>
  </si>
  <si>
    <t xml:space="preserve">SUNE </t>
  </si>
  <si>
    <t>MGC Fabreguois</t>
  </si>
  <si>
    <t>NAYO KETCHANKE</t>
  </si>
  <si>
    <t>Gaëlle</t>
  </si>
  <si>
    <t>PRO</t>
  </si>
  <si>
    <t>PEREIRA MARTIN</t>
  </si>
  <si>
    <t>TATIANA</t>
  </si>
  <si>
    <t>EEAR MONTEUX</t>
  </si>
  <si>
    <t>BENJABEUR</t>
  </si>
  <si>
    <t>Rim</t>
  </si>
  <si>
    <t>DELEUIL</t>
  </si>
  <si>
    <t>GIRARD</t>
  </si>
  <si>
    <t>ISTRES SPORTS</t>
  </si>
  <si>
    <t>ICARD</t>
  </si>
  <si>
    <t>LAURE</t>
  </si>
  <si>
    <t>HM STE TULLE</t>
  </si>
  <si>
    <t>SIMEONOV</t>
  </si>
  <si>
    <t>Sevginar</t>
  </si>
  <si>
    <t>GAMONDES</t>
  </si>
  <si>
    <t>Cendrine</t>
  </si>
  <si>
    <t xml:space="preserve">CONDE </t>
  </si>
  <si>
    <t>Fabienne</t>
  </si>
  <si>
    <t>MOEGLIN</t>
  </si>
  <si>
    <t>TINA</t>
  </si>
  <si>
    <t>SABRINA</t>
  </si>
  <si>
    <t>AP AIX</t>
  </si>
  <si>
    <t>AUZEREAU-BONILLA</t>
  </si>
  <si>
    <t>CAMILLE</t>
  </si>
  <si>
    <t>GOURRIER</t>
  </si>
  <si>
    <t>Martine</t>
  </si>
  <si>
    <t>DEBARROS</t>
  </si>
  <si>
    <t>CONDE</t>
  </si>
  <si>
    <t>BOIRON</t>
  </si>
  <si>
    <t>BOYER</t>
  </si>
  <si>
    <t>NOEMIE</t>
  </si>
  <si>
    <t>CHC MONDRAGON</t>
  </si>
  <si>
    <t>ZERGAOUI</t>
  </si>
  <si>
    <t>SCHILD</t>
  </si>
  <si>
    <t>ARQUIER</t>
  </si>
  <si>
    <t>BEATRICE</t>
  </si>
  <si>
    <t>HC PELISSANNE</t>
  </si>
  <si>
    <t>BARBIER</t>
  </si>
  <si>
    <t xml:space="preserve">VAULX EN VELIN </t>
  </si>
  <si>
    <t>GIRMA</t>
  </si>
  <si>
    <t>CH Arbresle</t>
  </si>
  <si>
    <t>LAFAURIE</t>
  </si>
  <si>
    <t>Lise</t>
  </si>
  <si>
    <t>FLASSEUR</t>
  </si>
  <si>
    <t>SAINT MARCELLIN</t>
  </si>
  <si>
    <t>BERTRAND</t>
  </si>
  <si>
    <t>Morgane</t>
  </si>
  <si>
    <t>BRUNET</t>
  </si>
  <si>
    <t>Charlie</t>
  </si>
  <si>
    <t>TESTE</t>
  </si>
  <si>
    <t>Flavie</t>
  </si>
  <si>
    <t>RAILLON</t>
  </si>
  <si>
    <t>VALENCE</t>
  </si>
  <si>
    <t>HOSTALIER</t>
  </si>
  <si>
    <t>Melinda</t>
  </si>
  <si>
    <t>SAINT BALDOPH</t>
  </si>
  <si>
    <t>MONTORIER</t>
  </si>
  <si>
    <t>ST QUENTIN FALLAVIER</t>
  </si>
  <si>
    <t>BERRUYER</t>
  </si>
  <si>
    <t>BLAIN</t>
  </si>
  <si>
    <t>Laurine</t>
  </si>
  <si>
    <t>MARESCAUX</t>
  </si>
  <si>
    <t>TARAKU</t>
  </si>
  <si>
    <t>Rachel</t>
  </si>
  <si>
    <t>DOMINGUEZ</t>
  </si>
  <si>
    <t>GAULOISE DE VAISE</t>
  </si>
  <si>
    <t>PARENTI</t>
  </si>
  <si>
    <t>Elora</t>
  </si>
  <si>
    <t xml:space="preserve">BAILLET </t>
  </si>
  <si>
    <t>MENONI</t>
  </si>
  <si>
    <t>NICOUD</t>
  </si>
  <si>
    <t>Clémence</t>
  </si>
  <si>
    <t>MENDEZ PACHECO</t>
  </si>
  <si>
    <t>Belkis</t>
  </si>
  <si>
    <t>_</t>
  </si>
  <si>
    <t>GAILLOT</t>
  </si>
  <si>
    <t>ENTENTE VIRIAT</t>
  </si>
  <si>
    <t>BOULANGER</t>
  </si>
  <si>
    <t>Gervaise</t>
  </si>
  <si>
    <t>SCHIPPER</t>
  </si>
  <si>
    <t>Claudia</t>
  </si>
  <si>
    <t>BOURG DE PEAGE</t>
  </si>
  <si>
    <t>LAROIX</t>
  </si>
  <si>
    <t>CHARLIEU</t>
  </si>
  <si>
    <t>SAINT AIME</t>
  </si>
  <si>
    <t>Florence</t>
  </si>
  <si>
    <t>BUFFA</t>
  </si>
  <si>
    <t>MELODY</t>
  </si>
  <si>
    <t>MORLIERE</t>
  </si>
  <si>
    <t>BERLAND</t>
  </si>
  <si>
    <t>TERRASSE</t>
  </si>
  <si>
    <t>EMILIE</t>
  </si>
  <si>
    <t>RAMADAROSKI</t>
  </si>
  <si>
    <t>BIGOT-DOLL</t>
  </si>
  <si>
    <t>Eglantine</t>
  </si>
  <si>
    <t>SLAVOVA</t>
  </si>
  <si>
    <t>Mariya</t>
  </si>
  <si>
    <t>BUL</t>
  </si>
  <si>
    <t>FROMENTIN</t>
  </si>
  <si>
    <t>FARGIER</t>
  </si>
  <si>
    <t>Sabrina</t>
  </si>
  <si>
    <t xml:space="preserve">MARTIN </t>
  </si>
  <si>
    <t>DANDRIMONT</t>
  </si>
  <si>
    <t>LAGRANGE</t>
  </si>
  <si>
    <t>GEAIX</t>
  </si>
  <si>
    <t>LYAUDET</t>
  </si>
  <si>
    <t>Chrystel</t>
  </si>
  <si>
    <t>H.C. OYONNAX</t>
  </si>
  <si>
    <t>LAKHDE</t>
  </si>
  <si>
    <t>Najatte</t>
  </si>
  <si>
    <t>FOREST</t>
  </si>
  <si>
    <t>FAUBLADIER</t>
  </si>
  <si>
    <t>Anaîs</t>
  </si>
  <si>
    <t>CHM AURILLAC</t>
  </si>
  <si>
    <t>AUV</t>
  </si>
  <si>
    <t>FILIQUIER</t>
  </si>
  <si>
    <t>léa</t>
  </si>
  <si>
    <t>BILLET</t>
  </si>
  <si>
    <t>STADE CLERMONTOIS</t>
  </si>
  <si>
    <t>SZALA</t>
  </si>
  <si>
    <t>CROSSWOD TEAM</t>
  </si>
  <si>
    <t>POL</t>
  </si>
  <si>
    <t>SEMANA</t>
  </si>
  <si>
    <t>Aurélie</t>
  </si>
  <si>
    <t>Nolwenn</t>
  </si>
  <si>
    <t>Place</t>
  </si>
  <si>
    <t>AGE</t>
  </si>
  <si>
    <t>VS SERIE</t>
  </si>
  <si>
    <t>NomNaissance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</si>
</sst>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_)"/>
    <numFmt numFmtId="165" formatCode="0.0_)"/>
    <numFmt numFmtId="166" formatCode="0.00_)"/>
    <numFmt numFmtId="167" formatCode="0_ ;[Red]\-0\ "/>
    <numFmt numFmtId="169" formatCode="0.000_ ;[Red]\-0.000\ "/>
  </numFmts>
  <fonts count="18" x14ac:knownFonts="1">
    <font>
      <sz val="10"/>
      <name val="Arial"/>
    </font>
    <font>
      <sz val="8"/>
      <name val="Arial"/>
      <family val="2"/>
    </font>
    <font>
      <sz val="10"/>
      <name val="Calibri"/>
      <family val="2"/>
    </font>
    <font>
      <b/>
      <sz val="12"/>
      <color indexed="9"/>
      <name val="Calibri"/>
      <family val="2"/>
    </font>
    <font>
      <b/>
      <sz val="10"/>
      <color indexed="9"/>
      <name val="Calibri"/>
      <family val="2"/>
    </font>
    <font>
      <sz val="12"/>
      <color indexed="9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2"/>
      <name val="Calibri"/>
      <family val="2"/>
    </font>
    <font>
      <b/>
      <sz val="14"/>
      <name val="Calibri"/>
      <family val="2"/>
    </font>
    <font>
      <sz val="10"/>
      <name val="Arial"/>
      <family val="2"/>
    </font>
    <font>
      <sz val="11"/>
      <color indexed="10"/>
      <name val="Calibri"/>
      <family val="2"/>
    </font>
    <font>
      <b/>
      <sz val="12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6"/>
      <color rgb="FF00B050"/>
      <name val="Calibri"/>
      <family val="2"/>
    </font>
    <font>
      <b/>
      <sz val="16"/>
      <color rgb="FF0070C0"/>
      <name val="Calibri"/>
      <family val="2"/>
    </font>
    <font>
      <sz val="10"/>
      <color theme="0"/>
      <name val="Arial"/>
      <family val="2"/>
    </font>
    <font>
      <sz val="12"/>
      <color rgb="FF0070C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/>
  </cellStyleXfs>
  <cellXfs count="113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65" fontId="0" fillId="0" borderId="0" xfId="0" applyNumberFormat="1"/>
    <xf numFmtId="0" fontId="2" fillId="0" borderId="0" xfId="0" applyFont="1" applyAlignment="1">
      <alignment horizontal="center" vertical="center"/>
    </xf>
    <xf numFmtId="0" fontId="2" fillId="0" borderId="0" xfId="0" applyFont="1"/>
    <xf numFmtId="164" fontId="3" fillId="2" borderId="0" xfId="0" applyNumberFormat="1" applyFont="1" applyFill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64" fontId="3" fillId="2" borderId="2" xfId="0" applyNumberFormat="1" applyFont="1" applyFill="1" applyBorder="1" applyAlignment="1">
      <alignment horizontal="center" vertical="center"/>
    </xf>
    <xf numFmtId="164" fontId="4" fillId="2" borderId="2" xfId="0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165" fontId="2" fillId="0" borderId="0" xfId="0" applyNumberFormat="1" applyFont="1"/>
    <xf numFmtId="0" fontId="8" fillId="0" borderId="0" xfId="0" applyFont="1" applyAlignment="1">
      <alignment vertical="center"/>
    </xf>
    <xf numFmtId="0" fontId="7" fillId="0" borderId="3" xfId="0" applyFont="1" applyBorder="1" applyAlignment="1" applyProtection="1">
      <alignment horizontal="center" vertical="center"/>
      <protection locked="0"/>
    </xf>
    <xf numFmtId="0" fontId="7" fillId="0" borderId="4" xfId="0" applyFont="1" applyBorder="1" applyAlignment="1" applyProtection="1">
      <alignment horizontal="center" vertical="center"/>
      <protection locked="0"/>
    </xf>
    <xf numFmtId="0" fontId="9" fillId="0" borderId="4" xfId="0" applyFont="1" applyBorder="1" applyAlignment="1" applyProtection="1">
      <alignment horizontal="left" vertical="center"/>
      <protection locked="0"/>
    </xf>
    <xf numFmtId="0" fontId="9" fillId="0" borderId="5" xfId="0" applyFont="1" applyBorder="1" applyAlignment="1" applyProtection="1">
      <alignment horizontal="left" vertical="center"/>
      <protection locked="0"/>
    </xf>
    <xf numFmtId="0" fontId="7" fillId="0" borderId="3" xfId="0" quotePrefix="1" applyFont="1" applyBorder="1" applyAlignment="1" applyProtection="1">
      <alignment horizontal="center" vertical="center"/>
      <protection locked="0"/>
    </xf>
    <xf numFmtId="4" fontId="7" fillId="0" borderId="4" xfId="0" applyNumberFormat="1" applyFont="1" applyBorder="1" applyAlignment="1" applyProtection="1">
      <alignment horizontal="center"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12" fillId="0" borderId="6" xfId="0" applyFont="1" applyBorder="1" applyAlignment="1">
      <alignment horizontal="center" vertical="center"/>
    </xf>
    <xf numFmtId="165" fontId="12" fillId="0" borderId="6" xfId="0" applyNumberFormat="1" applyFont="1" applyBorder="1" applyAlignment="1" applyProtection="1">
      <alignment horizontal="center" vertical="center"/>
      <protection locked="0"/>
    </xf>
    <xf numFmtId="0" fontId="12" fillId="0" borderId="6" xfId="0" applyFont="1" applyBorder="1" applyAlignment="1" applyProtection="1">
      <alignment horizontal="center" vertical="center"/>
      <protection locked="0"/>
    </xf>
    <xf numFmtId="166" fontId="13" fillId="0" borderId="6" xfId="0" applyNumberFormat="1" applyFont="1" applyBorder="1" applyAlignment="1" applyProtection="1">
      <alignment horizontal="center" vertical="center"/>
      <protection locked="0"/>
    </xf>
    <xf numFmtId="167" fontId="13" fillId="0" borderId="6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 applyProtection="1">
      <alignment horizontal="center" vertical="center"/>
      <protection locked="0"/>
    </xf>
    <xf numFmtId="167" fontId="9" fillId="0" borderId="7" xfId="0" applyNumberFormat="1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>
      <alignment horizontal="right" vertical="center"/>
    </xf>
    <xf numFmtId="1" fontId="8" fillId="0" borderId="9" xfId="0" applyNumberFormat="1" applyFont="1" applyBorder="1" applyAlignment="1">
      <alignment horizontal="left" vertical="center"/>
    </xf>
    <xf numFmtId="165" fontId="7" fillId="0" borderId="7" xfId="0" applyNumberFormat="1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right" vertical="center"/>
      <protection locked="0"/>
    </xf>
    <xf numFmtId="167" fontId="14" fillId="0" borderId="7" xfId="0" applyNumberFormat="1" applyFont="1" applyBorder="1" applyAlignment="1">
      <alignment horizontal="center" vertical="center"/>
    </xf>
    <xf numFmtId="167" fontId="15" fillId="0" borderId="7" xfId="0" applyNumberFormat="1" applyFont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169" fontId="11" fillId="0" borderId="11" xfId="0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1" fontId="8" fillId="0" borderId="8" xfId="0" applyNumberFormat="1" applyFont="1" applyBorder="1" applyAlignment="1">
      <alignment horizontal="right" vertical="center"/>
    </xf>
    <xf numFmtId="0" fontId="12" fillId="0" borderId="0" xfId="0" applyFont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69" fontId="11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/>
    </xf>
    <xf numFmtId="0" fontId="10" fillId="0" borderId="0" xfId="0" applyFont="1"/>
    <xf numFmtId="0" fontId="0" fillId="5" borderId="0" xfId="0" applyFill="1"/>
    <xf numFmtId="165" fontId="10" fillId="0" borderId="0" xfId="0" applyNumberFormat="1" applyFont="1"/>
    <xf numFmtId="1" fontId="0" fillId="5" borderId="0" xfId="0" applyNumberFormat="1" applyFill="1"/>
    <xf numFmtId="0" fontId="9" fillId="0" borderId="7" xfId="0" applyFont="1" applyBorder="1" applyAlignment="1" applyProtection="1">
      <alignment horizontal="center" vertical="center"/>
      <protection locked="0"/>
    </xf>
    <xf numFmtId="167" fontId="14" fillId="0" borderId="15" xfId="0" applyNumberFormat="1" applyFont="1" applyBorder="1" applyAlignment="1">
      <alignment horizontal="center" vertical="center"/>
    </xf>
    <xf numFmtId="167" fontId="9" fillId="0" borderId="15" xfId="0" applyNumberFormat="1" applyFont="1" applyBorder="1" applyAlignment="1" applyProtection="1">
      <alignment horizontal="center" vertical="center"/>
      <protection locked="0"/>
    </xf>
    <xf numFmtId="167" fontId="15" fillId="0" borderId="15" xfId="0" applyNumberFormat="1" applyFont="1" applyBorder="1" applyAlignment="1">
      <alignment horizontal="center" vertical="center"/>
    </xf>
    <xf numFmtId="1" fontId="8" fillId="0" borderId="16" xfId="0" applyNumberFormat="1" applyFont="1" applyBorder="1" applyAlignment="1">
      <alignment horizontal="right" vertical="center"/>
    </xf>
    <xf numFmtId="1" fontId="8" fillId="0" borderId="17" xfId="0" applyNumberFormat="1" applyFont="1" applyBorder="1" applyAlignment="1">
      <alignment horizontal="left" vertical="center"/>
    </xf>
    <xf numFmtId="0" fontId="9" fillId="0" borderId="19" xfId="0" applyFont="1" applyBorder="1" applyAlignment="1" applyProtection="1">
      <alignment horizontal="center" vertical="center"/>
      <protection locked="0"/>
    </xf>
    <xf numFmtId="0" fontId="9" fillId="0" borderId="18" xfId="0" applyFont="1" applyBorder="1" applyAlignment="1" applyProtection="1">
      <alignment horizontal="center" vertical="center"/>
      <protection locked="0"/>
    </xf>
    <xf numFmtId="1" fontId="2" fillId="0" borderId="0" xfId="0" applyNumberFormat="1" applyFont="1" applyAlignment="1">
      <alignment horizontal="center" vertical="center"/>
    </xf>
    <xf numFmtId="1" fontId="3" fillId="2" borderId="2" xfId="0" applyNumberFormat="1" applyFont="1" applyFill="1" applyBorder="1" applyAlignment="1">
      <alignment horizontal="center" vertical="center"/>
    </xf>
    <xf numFmtId="1" fontId="7" fillId="0" borderId="4" xfId="0" applyNumberFormat="1" applyFont="1" applyBorder="1" applyAlignment="1" applyProtection="1">
      <alignment horizontal="center" vertical="center"/>
      <protection locked="0"/>
    </xf>
    <xf numFmtId="1" fontId="12" fillId="0" borderId="6" xfId="0" applyNumberFormat="1" applyFont="1" applyBorder="1" applyAlignment="1">
      <alignment horizontal="center" vertical="center"/>
    </xf>
    <xf numFmtId="0" fontId="16" fillId="6" borderId="0" xfId="0" applyFont="1" applyFill="1"/>
    <xf numFmtId="167" fontId="17" fillId="0" borderId="16" xfId="0" applyNumberFormat="1" applyFont="1" applyBorder="1" applyAlignment="1">
      <alignment horizontal="center" vertical="center"/>
    </xf>
    <xf numFmtId="167" fontId="17" fillId="0" borderId="8" xfId="0" applyNumberFormat="1" applyFont="1" applyBorder="1" applyAlignment="1">
      <alignment horizontal="center" vertical="center"/>
    </xf>
    <xf numFmtId="167" fontId="9" fillId="7" borderId="7" xfId="0" applyNumberFormat="1" applyFont="1" applyFill="1" applyBorder="1" applyAlignment="1" applyProtection="1">
      <alignment horizontal="center" vertical="center"/>
      <protection locked="0"/>
    </xf>
    <xf numFmtId="0" fontId="7" fillId="4" borderId="3" xfId="0" applyFont="1" applyFill="1" applyBorder="1" applyAlignment="1" applyProtection="1">
      <alignment horizontal="center" vertical="center"/>
      <protection locked="0"/>
    </xf>
    <xf numFmtId="0" fontId="7" fillId="4" borderId="4" xfId="0" applyFont="1" applyFill="1" applyBorder="1" applyAlignment="1" applyProtection="1">
      <alignment horizontal="center" vertical="center"/>
      <protection locked="0"/>
    </xf>
    <xf numFmtId="1" fontId="7" fillId="4" borderId="4" xfId="0" applyNumberFormat="1" applyFont="1" applyFill="1" applyBorder="1" applyAlignment="1" applyProtection="1">
      <alignment horizontal="center" vertical="center"/>
      <protection locked="0"/>
    </xf>
    <xf numFmtId="0" fontId="8" fillId="4" borderId="7" xfId="0" applyFont="1" applyFill="1" applyBorder="1" applyAlignment="1" applyProtection="1">
      <alignment horizontal="right" vertical="center"/>
      <protection locked="0"/>
    </xf>
    <xf numFmtId="0" fontId="9" fillId="4" borderId="4" xfId="0" applyFont="1" applyFill="1" applyBorder="1" applyAlignment="1" applyProtection="1">
      <alignment horizontal="left" vertical="center"/>
      <protection locked="0"/>
    </xf>
    <xf numFmtId="0" fontId="9" fillId="4" borderId="7" xfId="0" applyFont="1" applyFill="1" applyBorder="1" applyAlignment="1" applyProtection="1">
      <alignment horizontal="center" vertical="center"/>
      <protection locked="0"/>
    </xf>
    <xf numFmtId="2" fontId="7" fillId="4" borderId="7" xfId="0" applyNumberFormat="1" applyFont="1" applyFill="1" applyBorder="1" applyAlignment="1" applyProtection="1">
      <alignment horizontal="center" vertical="center"/>
      <protection locked="0"/>
    </xf>
    <xf numFmtId="165" fontId="7" fillId="4" borderId="7" xfId="0" applyNumberFormat="1" applyFont="1" applyFill="1" applyBorder="1" applyAlignment="1" applyProtection="1">
      <alignment horizontal="center" vertical="center"/>
      <protection locked="0"/>
    </xf>
    <xf numFmtId="167" fontId="9" fillId="4" borderId="7" xfId="0" applyNumberFormat="1" applyFont="1" applyFill="1" applyBorder="1" applyAlignment="1" applyProtection="1">
      <alignment horizontal="center" vertical="center"/>
      <protection locked="0"/>
    </xf>
    <xf numFmtId="167" fontId="14" fillId="4" borderId="7" xfId="0" applyNumberFormat="1" applyFont="1" applyFill="1" applyBorder="1" applyAlignment="1">
      <alignment horizontal="center" vertical="center"/>
    </xf>
    <xf numFmtId="167" fontId="15" fillId="4" borderId="7" xfId="0" applyNumberFormat="1" applyFont="1" applyFill="1" applyBorder="1" applyAlignment="1">
      <alignment horizontal="center" vertical="center"/>
    </xf>
    <xf numFmtId="167" fontId="17" fillId="4" borderId="8" xfId="0" applyNumberFormat="1" applyFont="1" applyFill="1" applyBorder="1" applyAlignment="1">
      <alignment horizontal="center" vertical="center"/>
    </xf>
    <xf numFmtId="1" fontId="8" fillId="4" borderId="8" xfId="0" applyNumberFormat="1" applyFont="1" applyFill="1" applyBorder="1" applyAlignment="1">
      <alignment horizontal="right" vertical="center"/>
    </xf>
    <xf numFmtId="1" fontId="8" fillId="4" borderId="9" xfId="0" applyNumberFormat="1" applyFont="1" applyFill="1" applyBorder="1" applyAlignment="1">
      <alignment horizontal="left" vertical="center"/>
    </xf>
    <xf numFmtId="0" fontId="8" fillId="4" borderId="7" xfId="0" applyFont="1" applyFill="1" applyBorder="1" applyAlignment="1">
      <alignment horizontal="center" vertical="center"/>
    </xf>
    <xf numFmtId="0" fontId="9" fillId="4" borderId="18" xfId="0" applyFont="1" applyFill="1" applyBorder="1" applyAlignment="1" applyProtection="1">
      <alignment horizontal="center" vertical="center"/>
      <protection locked="0"/>
    </xf>
    <xf numFmtId="167" fontId="17" fillId="4" borderId="16" xfId="0" applyNumberFormat="1" applyFont="1" applyFill="1" applyBorder="1" applyAlignment="1">
      <alignment horizontal="center" vertical="center"/>
    </xf>
    <xf numFmtId="0" fontId="9" fillId="4" borderId="5" xfId="0" applyFont="1" applyFill="1" applyBorder="1" applyAlignment="1" applyProtection="1">
      <alignment horizontal="left" vertical="center"/>
      <protection locked="0"/>
    </xf>
    <xf numFmtId="0" fontId="9" fillId="4" borderId="19" xfId="0" applyFont="1" applyFill="1" applyBorder="1" applyAlignment="1" applyProtection="1">
      <alignment horizontal="center" vertical="center"/>
      <protection locked="0"/>
    </xf>
    <xf numFmtId="0" fontId="9" fillId="4" borderId="4" xfId="0" applyFont="1" applyFill="1" applyBorder="1" applyAlignment="1" applyProtection="1">
      <alignment vertical="center"/>
      <protection locked="0"/>
    </xf>
    <xf numFmtId="0" fontId="8" fillId="4" borderId="8" xfId="0" applyFont="1" applyFill="1" applyBorder="1" applyAlignment="1">
      <alignment horizontal="right" vertical="center"/>
    </xf>
    <xf numFmtId="4" fontId="6" fillId="4" borderId="0" xfId="0" applyNumberFormat="1" applyFont="1" applyFill="1" applyAlignment="1" applyProtection="1">
      <alignment horizontal="center" vertical="center"/>
      <protection locked="0"/>
    </xf>
    <xf numFmtId="4" fontId="6" fillId="3" borderId="20" xfId="0" applyNumberFormat="1" applyFont="1" applyFill="1" applyBorder="1" applyAlignment="1" applyProtection="1">
      <alignment horizontal="center" vertical="center"/>
      <protection locked="0"/>
    </xf>
    <xf numFmtId="0" fontId="7" fillId="3" borderId="21" xfId="0" applyFont="1" applyFill="1" applyBorder="1" applyAlignment="1" applyProtection="1">
      <alignment horizontal="center" vertical="center"/>
      <protection locked="0"/>
    </xf>
    <xf numFmtId="0" fontId="7" fillId="3" borderId="22" xfId="0" applyFont="1" applyFill="1" applyBorder="1" applyAlignment="1" applyProtection="1">
      <alignment horizontal="center" vertical="center"/>
      <protection locked="0"/>
    </xf>
    <xf numFmtId="1" fontId="7" fillId="3" borderId="22" xfId="0" applyNumberFormat="1" applyFont="1" applyFill="1" applyBorder="1" applyAlignment="1" applyProtection="1">
      <alignment horizontal="center" vertical="center"/>
      <protection locked="0"/>
    </xf>
    <xf numFmtId="0" fontId="8" fillId="3" borderId="22" xfId="0" applyFont="1" applyFill="1" applyBorder="1" applyAlignment="1" applyProtection="1">
      <alignment horizontal="right" vertical="center"/>
      <protection locked="0"/>
    </xf>
    <xf numFmtId="0" fontId="9" fillId="3" borderId="22" xfId="0" applyFont="1" applyFill="1" applyBorder="1" applyAlignment="1" applyProtection="1">
      <alignment horizontal="left" vertical="center"/>
      <protection locked="0"/>
    </xf>
    <xf numFmtId="0" fontId="9" fillId="3" borderId="22" xfId="0" applyFont="1" applyFill="1" applyBorder="1" applyAlignment="1" applyProtection="1">
      <alignment horizontal="center" vertical="center"/>
      <protection locked="0"/>
    </xf>
    <xf numFmtId="2" fontId="7" fillId="3" borderId="22" xfId="0" applyNumberFormat="1" applyFont="1" applyFill="1" applyBorder="1" applyAlignment="1" applyProtection="1">
      <alignment horizontal="center" vertical="center"/>
      <protection locked="0"/>
    </xf>
    <xf numFmtId="165" fontId="7" fillId="3" borderId="22" xfId="0" applyNumberFormat="1" applyFont="1" applyFill="1" applyBorder="1" applyAlignment="1" applyProtection="1">
      <alignment horizontal="center" vertical="center"/>
      <protection locked="0"/>
    </xf>
    <xf numFmtId="167" fontId="9" fillId="3" borderId="22" xfId="0" applyNumberFormat="1" applyFont="1" applyFill="1" applyBorder="1" applyAlignment="1" applyProtection="1">
      <alignment horizontal="center" vertical="center"/>
      <protection locked="0"/>
    </xf>
    <xf numFmtId="167" fontId="14" fillId="3" borderId="22" xfId="0" applyNumberFormat="1" applyFont="1" applyFill="1" applyBorder="1" applyAlignment="1">
      <alignment horizontal="center" vertical="center"/>
    </xf>
    <xf numFmtId="167" fontId="15" fillId="3" borderId="22" xfId="0" applyNumberFormat="1" applyFont="1" applyFill="1" applyBorder="1" applyAlignment="1">
      <alignment horizontal="center" vertical="center"/>
    </xf>
    <xf numFmtId="167" fontId="17" fillId="3" borderId="23" xfId="0" applyNumberFormat="1" applyFont="1" applyFill="1" applyBorder="1" applyAlignment="1">
      <alignment horizontal="center" vertical="center"/>
    </xf>
    <xf numFmtId="1" fontId="8" fillId="3" borderId="23" xfId="0" applyNumberFormat="1" applyFont="1" applyFill="1" applyBorder="1" applyAlignment="1">
      <alignment horizontal="right" vertical="center"/>
    </xf>
    <xf numFmtId="1" fontId="8" fillId="3" borderId="24" xfId="0" applyNumberFormat="1" applyFont="1" applyFill="1" applyBorder="1" applyAlignment="1">
      <alignment horizontal="left" vertical="center"/>
    </xf>
    <xf numFmtId="0" fontId="8" fillId="3" borderId="22" xfId="0" applyFont="1" applyFill="1" applyBorder="1" applyAlignment="1">
      <alignment horizontal="center" vertical="center"/>
    </xf>
    <xf numFmtId="169" fontId="11" fillId="3" borderId="25" xfId="0" applyNumberFormat="1" applyFont="1" applyFill="1" applyBorder="1" applyAlignment="1">
      <alignment horizontal="center" vertical="center"/>
    </xf>
    <xf numFmtId="0" fontId="9" fillId="4" borderId="5" xfId="0" applyFont="1" applyFill="1" applyBorder="1" applyAlignment="1" applyProtection="1">
      <alignment vertical="center"/>
      <protection locked="0"/>
    </xf>
    <xf numFmtId="0" fontId="3" fillId="2" borderId="10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vertical="center"/>
    </xf>
    <xf numFmtId="0" fontId="3" fillId="2" borderId="14" xfId="0" applyFont="1" applyFill="1" applyBorder="1" applyAlignment="1">
      <alignment vertical="center"/>
    </xf>
  </cellXfs>
  <cellStyles count="2">
    <cellStyle name="Normal" xfId="0" builtinId="0"/>
    <cellStyle name="Normal 2" xfId="1" xr:uid="{00000000-0005-0000-0000-000001000000}"/>
  </cellStyles>
  <dxfs count="1432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2" tint="-9.9948118533890809E-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auto="1"/>
      </font>
      <fill>
        <patternFill>
          <bgColor theme="2" tint="-9.9948118533890809E-2"/>
        </patternFill>
      </fill>
    </dxf>
    <dxf>
      <font>
        <color auto="1"/>
      </font>
      <fill>
        <patternFill>
          <bgColor theme="2" tint="-9.9948118533890809E-2"/>
        </patternFill>
      </fill>
    </dxf>
    <dxf>
      <font>
        <color auto="1"/>
      </font>
      <fill>
        <patternFill>
          <bgColor theme="2" tint="-9.9948118533890809E-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2" tint="-9.9948118533890809E-2"/>
        </patternFill>
      </fill>
    </dxf>
    <dxf>
      <font>
        <color auto="1"/>
      </font>
      <fill>
        <patternFill>
          <bgColor theme="2" tint="-9.9948118533890809E-2"/>
        </patternFill>
      </fill>
    </dxf>
    <dxf>
      <font>
        <color auto="1"/>
      </font>
      <fill>
        <patternFill>
          <bgColor theme="2" tint="-9.9948118533890809E-2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Light16"/>
  <colors>
    <mruColors>
      <color rgb="FF00FFFF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BL29"/>
  <sheetViews>
    <sheetView workbookViewId="0">
      <selection activeCell="A10" sqref="A10"/>
    </sheetView>
  </sheetViews>
  <sheetFormatPr baseColWidth="10" defaultColWidth="11.42578125" defaultRowHeight="12.75" x14ac:dyDescent="0.2"/>
  <cols>
    <col min="2" max="2" width="17.28515625" bestFit="1" customWidth="1"/>
  </cols>
  <sheetData>
    <row r="1" spans="1:64" x14ac:dyDescent="0.2">
      <c r="C1" s="47" t="s">
        <v>106</v>
      </c>
      <c r="D1" s="47" t="s">
        <v>73</v>
      </c>
      <c r="E1" s="47" t="s">
        <v>74</v>
      </c>
      <c r="F1" s="47" t="s">
        <v>75</v>
      </c>
      <c r="G1" s="47" t="s">
        <v>76</v>
      </c>
      <c r="H1" s="47" t="s">
        <v>77</v>
      </c>
      <c r="I1" s="47" t="s">
        <v>78</v>
      </c>
      <c r="J1" s="47" t="s">
        <v>79</v>
      </c>
      <c r="K1" s="47" t="s">
        <v>80</v>
      </c>
      <c r="L1" s="47" t="s">
        <v>81</v>
      </c>
      <c r="M1" s="47" t="s">
        <v>82</v>
      </c>
      <c r="N1" s="47" t="s">
        <v>83</v>
      </c>
      <c r="O1" s="47" t="s">
        <v>84</v>
      </c>
      <c r="P1" s="47" t="s">
        <v>85</v>
      </c>
      <c r="Q1" s="47" t="s">
        <v>86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s="47" t="s">
        <v>107</v>
      </c>
      <c r="AG1" s="47" t="s">
        <v>87</v>
      </c>
      <c r="AH1" s="47" t="s">
        <v>88</v>
      </c>
      <c r="AI1" s="47" t="s">
        <v>89</v>
      </c>
      <c r="AJ1" s="47" t="s">
        <v>90</v>
      </c>
      <c r="AK1" s="47" t="s">
        <v>91</v>
      </c>
      <c r="AL1" s="47" t="s">
        <v>92</v>
      </c>
      <c r="AM1" s="47" t="s">
        <v>93</v>
      </c>
      <c r="AN1" s="47" t="s">
        <v>94</v>
      </c>
      <c r="AO1" s="47" t="s">
        <v>95</v>
      </c>
      <c r="AP1" s="47" t="s">
        <v>96</v>
      </c>
      <c r="AQ1" s="47" t="s">
        <v>97</v>
      </c>
      <c r="AR1" s="47" t="s">
        <v>98</v>
      </c>
      <c r="AS1" s="47" t="s">
        <v>99</v>
      </c>
      <c r="AT1" s="47" t="s">
        <v>100</v>
      </c>
      <c r="AU1" s="47" t="s">
        <v>101</v>
      </c>
      <c r="AV1" s="47" t="s">
        <v>102</v>
      </c>
      <c r="AW1" t="s">
        <v>27</v>
      </c>
      <c r="AX1" t="s">
        <v>28</v>
      </c>
      <c r="AY1" t="s">
        <v>29</v>
      </c>
      <c r="AZ1" t="s">
        <v>30</v>
      </c>
      <c r="BA1" t="s">
        <v>31</v>
      </c>
      <c r="BB1" t="s">
        <v>32</v>
      </c>
      <c r="BC1" t="s">
        <v>33</v>
      </c>
      <c r="BD1" t="s">
        <v>34</v>
      </c>
      <c r="BE1" t="s">
        <v>35</v>
      </c>
      <c r="BF1" t="s">
        <v>36</v>
      </c>
      <c r="BG1" t="s">
        <v>37</v>
      </c>
      <c r="BH1" t="s">
        <v>38</v>
      </c>
      <c r="BI1" t="s">
        <v>39</v>
      </c>
      <c r="BJ1" t="s">
        <v>40</v>
      </c>
      <c r="BK1" t="s">
        <v>41</v>
      </c>
      <c r="BL1" t="s">
        <v>42</v>
      </c>
    </row>
    <row r="2" spans="1:64" x14ac:dyDescent="0.2">
      <c r="B2" s="47" t="s">
        <v>103</v>
      </c>
      <c r="C2" s="48">
        <v>20</v>
      </c>
      <c r="D2" s="48">
        <v>25</v>
      </c>
      <c r="E2" s="48">
        <v>25</v>
      </c>
      <c r="F2" s="48">
        <v>35</v>
      </c>
      <c r="G2" s="48">
        <v>40</v>
      </c>
      <c r="H2" s="48">
        <v>45</v>
      </c>
      <c r="I2" s="48">
        <v>50</v>
      </c>
      <c r="J2" s="48">
        <v>60</v>
      </c>
      <c r="K2" s="48">
        <v>30</v>
      </c>
      <c r="L2" s="48">
        <v>35</v>
      </c>
      <c r="M2" s="48">
        <v>45</v>
      </c>
      <c r="N2" s="48">
        <v>50</v>
      </c>
      <c r="O2" s="48">
        <v>55</v>
      </c>
      <c r="P2" s="48">
        <v>60</v>
      </c>
      <c r="Q2" s="48">
        <v>70</v>
      </c>
      <c r="R2" s="48">
        <v>45</v>
      </c>
      <c r="S2" s="48">
        <v>55</v>
      </c>
      <c r="T2" s="48">
        <v>60</v>
      </c>
      <c r="U2" s="48">
        <v>65</v>
      </c>
      <c r="V2" s="48">
        <v>70</v>
      </c>
      <c r="W2" s="48">
        <v>80</v>
      </c>
      <c r="X2" s="48">
        <v>90</v>
      </c>
      <c r="Y2" s="48">
        <v>55</v>
      </c>
      <c r="Z2" s="48">
        <v>65</v>
      </c>
      <c r="AA2" s="48">
        <v>70</v>
      </c>
      <c r="AB2" s="48">
        <v>75</v>
      </c>
      <c r="AC2" s="48">
        <v>80</v>
      </c>
      <c r="AD2" s="48">
        <v>95</v>
      </c>
      <c r="AE2" s="48">
        <v>100</v>
      </c>
      <c r="AF2" s="48">
        <v>35</v>
      </c>
      <c r="AG2" s="48">
        <v>40</v>
      </c>
      <c r="AH2" s="48">
        <v>50</v>
      </c>
      <c r="AI2" s="48">
        <v>75</v>
      </c>
      <c r="AJ2" s="48">
        <v>85</v>
      </c>
      <c r="AK2" s="48">
        <v>90</v>
      </c>
      <c r="AL2" s="48">
        <v>100</v>
      </c>
      <c r="AM2" s="48">
        <v>110</v>
      </c>
      <c r="AN2" s="48">
        <v>120</v>
      </c>
      <c r="AO2" s="48">
        <v>45</v>
      </c>
      <c r="AP2" s="48">
        <v>65</v>
      </c>
      <c r="AQ2" s="48">
        <v>85</v>
      </c>
      <c r="AR2" s="48">
        <v>95</v>
      </c>
      <c r="AS2" s="48">
        <v>110</v>
      </c>
      <c r="AT2" s="48">
        <v>120</v>
      </c>
      <c r="AU2" s="48">
        <v>125</v>
      </c>
      <c r="AV2" s="48">
        <v>135</v>
      </c>
      <c r="AW2" s="48">
        <v>80</v>
      </c>
      <c r="AX2" s="48">
        <v>90</v>
      </c>
      <c r="AY2" s="48">
        <v>110</v>
      </c>
      <c r="AZ2" s="48">
        <v>130</v>
      </c>
      <c r="BA2" s="48">
        <v>145</v>
      </c>
      <c r="BB2" s="48">
        <v>150</v>
      </c>
      <c r="BC2" s="48">
        <v>155</v>
      </c>
      <c r="BD2" s="48">
        <v>165</v>
      </c>
      <c r="BE2" s="48">
        <v>95</v>
      </c>
      <c r="BF2" s="48">
        <v>120</v>
      </c>
      <c r="BG2" s="48">
        <v>130</v>
      </c>
      <c r="BH2" s="48">
        <v>150</v>
      </c>
      <c r="BI2" s="48">
        <v>165</v>
      </c>
      <c r="BJ2" s="48">
        <v>170</v>
      </c>
      <c r="BK2" s="48">
        <v>175</v>
      </c>
      <c r="BL2" s="48">
        <v>185</v>
      </c>
    </row>
    <row r="3" spans="1:64" x14ac:dyDescent="0.2">
      <c r="B3" t="s">
        <v>43</v>
      </c>
      <c r="C3" s="48">
        <v>25</v>
      </c>
      <c r="D3" s="48">
        <v>35</v>
      </c>
      <c r="E3" s="48">
        <v>35</v>
      </c>
      <c r="F3" s="48">
        <v>45</v>
      </c>
      <c r="G3" s="48">
        <v>50</v>
      </c>
      <c r="H3" s="48">
        <v>55</v>
      </c>
      <c r="I3" s="48">
        <v>60</v>
      </c>
      <c r="J3" s="48">
        <v>70</v>
      </c>
      <c r="K3" s="48">
        <v>40</v>
      </c>
      <c r="L3" s="48">
        <v>45</v>
      </c>
      <c r="M3" s="48">
        <v>55</v>
      </c>
      <c r="N3" s="48">
        <v>60</v>
      </c>
      <c r="O3" s="48">
        <v>65</v>
      </c>
      <c r="P3" s="48">
        <v>70</v>
      </c>
      <c r="Q3" s="48">
        <v>80</v>
      </c>
      <c r="R3" s="48">
        <v>55</v>
      </c>
      <c r="S3" s="48">
        <v>65</v>
      </c>
      <c r="T3" s="48">
        <v>70</v>
      </c>
      <c r="U3" s="48">
        <v>75</v>
      </c>
      <c r="V3" s="48">
        <v>80</v>
      </c>
      <c r="W3" s="48">
        <v>95</v>
      </c>
      <c r="X3" s="48">
        <v>100</v>
      </c>
      <c r="Y3" s="48">
        <v>65</v>
      </c>
      <c r="Z3" s="48">
        <v>75</v>
      </c>
      <c r="AA3" s="48">
        <v>80</v>
      </c>
      <c r="AB3" s="48">
        <v>85</v>
      </c>
      <c r="AC3" s="48">
        <v>90</v>
      </c>
      <c r="AD3" s="48">
        <v>105</v>
      </c>
      <c r="AE3" s="48">
        <v>110</v>
      </c>
      <c r="AF3" s="50">
        <v>50</v>
      </c>
      <c r="AG3" s="50">
        <v>55</v>
      </c>
      <c r="AH3" s="50">
        <v>70</v>
      </c>
      <c r="AI3" s="50">
        <v>95</v>
      </c>
      <c r="AJ3" s="50">
        <v>105</v>
      </c>
      <c r="AK3" s="50">
        <v>110</v>
      </c>
      <c r="AL3" s="50">
        <v>120</v>
      </c>
      <c r="AM3" s="50">
        <v>130</v>
      </c>
      <c r="AN3" s="50">
        <v>140</v>
      </c>
      <c r="AO3" s="50">
        <v>65</v>
      </c>
      <c r="AP3" s="50">
        <v>85</v>
      </c>
      <c r="AQ3" s="50">
        <v>105</v>
      </c>
      <c r="AR3" s="50">
        <v>115</v>
      </c>
      <c r="AS3" s="50">
        <v>130</v>
      </c>
      <c r="AT3" s="50">
        <v>140</v>
      </c>
      <c r="AU3" s="50">
        <v>145</v>
      </c>
      <c r="AV3" s="50">
        <v>155</v>
      </c>
      <c r="AW3" s="50">
        <v>100</v>
      </c>
      <c r="AX3" s="50">
        <v>120</v>
      </c>
      <c r="AY3" s="50">
        <v>130</v>
      </c>
      <c r="AZ3" s="50">
        <v>150</v>
      </c>
      <c r="BA3" s="50">
        <v>165</v>
      </c>
      <c r="BB3" s="50">
        <v>170</v>
      </c>
      <c r="BC3" s="50">
        <v>175</v>
      </c>
      <c r="BD3" s="50">
        <v>185</v>
      </c>
      <c r="BE3" s="50">
        <v>115</v>
      </c>
      <c r="BF3" s="50">
        <v>135</v>
      </c>
      <c r="BG3" s="50">
        <v>150</v>
      </c>
      <c r="BH3" s="50">
        <v>170</v>
      </c>
      <c r="BI3" s="50">
        <v>185</v>
      </c>
      <c r="BJ3" s="50">
        <v>190</v>
      </c>
      <c r="BK3" s="50">
        <v>195</v>
      </c>
      <c r="BL3" s="50">
        <v>205</v>
      </c>
    </row>
    <row r="4" spans="1:64" x14ac:dyDescent="0.2">
      <c r="B4" t="s">
        <v>44</v>
      </c>
      <c r="C4" s="48">
        <v>35</v>
      </c>
      <c r="D4" s="48">
        <v>40</v>
      </c>
      <c r="E4" s="48">
        <v>45</v>
      </c>
      <c r="F4" s="48">
        <v>55</v>
      </c>
      <c r="G4" s="48">
        <v>60</v>
      </c>
      <c r="H4" s="48">
        <v>65</v>
      </c>
      <c r="I4" s="48">
        <v>70</v>
      </c>
      <c r="J4" s="48">
        <v>80</v>
      </c>
      <c r="K4" s="48">
        <v>50</v>
      </c>
      <c r="L4" s="48">
        <v>55</v>
      </c>
      <c r="M4" s="48">
        <v>65</v>
      </c>
      <c r="N4" s="48">
        <v>70</v>
      </c>
      <c r="O4" s="48">
        <v>75</v>
      </c>
      <c r="P4" s="48">
        <v>80</v>
      </c>
      <c r="Q4" s="48">
        <v>95</v>
      </c>
      <c r="R4" s="48">
        <v>65</v>
      </c>
      <c r="S4" s="48">
        <v>75</v>
      </c>
      <c r="T4" s="48">
        <v>80</v>
      </c>
      <c r="U4" s="48">
        <v>85</v>
      </c>
      <c r="V4" s="48">
        <v>90</v>
      </c>
      <c r="W4" s="48">
        <v>105</v>
      </c>
      <c r="X4" s="48">
        <v>110</v>
      </c>
      <c r="Y4" s="48">
        <v>75</v>
      </c>
      <c r="Z4" s="48">
        <v>85</v>
      </c>
      <c r="AA4" s="48">
        <v>90</v>
      </c>
      <c r="AB4" s="48">
        <v>95</v>
      </c>
      <c r="AC4" s="48">
        <v>105</v>
      </c>
      <c r="AD4" s="48">
        <v>115</v>
      </c>
      <c r="AE4" s="48">
        <v>125</v>
      </c>
      <c r="AF4" s="50">
        <v>60</v>
      </c>
      <c r="AG4" s="50">
        <v>65</v>
      </c>
      <c r="AH4" s="50">
        <v>85</v>
      </c>
      <c r="AI4" s="50">
        <v>105</v>
      </c>
      <c r="AJ4" s="50">
        <v>115</v>
      </c>
      <c r="AK4" s="50">
        <v>130</v>
      </c>
      <c r="AL4" s="50">
        <v>140</v>
      </c>
      <c r="AM4" s="50">
        <v>145</v>
      </c>
      <c r="AN4" s="50">
        <v>155</v>
      </c>
      <c r="AO4" s="50">
        <v>80</v>
      </c>
      <c r="AP4" s="50">
        <v>100</v>
      </c>
      <c r="AQ4" s="50">
        <v>120</v>
      </c>
      <c r="AR4" s="50">
        <v>130</v>
      </c>
      <c r="AS4" s="50">
        <v>150</v>
      </c>
      <c r="AT4" s="50">
        <v>160</v>
      </c>
      <c r="AU4" s="50">
        <v>165</v>
      </c>
      <c r="AV4" s="50">
        <v>175</v>
      </c>
      <c r="AW4" s="50">
        <v>115</v>
      </c>
      <c r="AX4" s="50">
        <v>135</v>
      </c>
      <c r="AY4" s="50">
        <v>150</v>
      </c>
      <c r="AZ4" s="50">
        <v>170</v>
      </c>
      <c r="BA4" s="50">
        <v>185</v>
      </c>
      <c r="BB4" s="50">
        <v>190</v>
      </c>
      <c r="BC4" s="50">
        <v>195</v>
      </c>
      <c r="BD4" s="50">
        <v>205</v>
      </c>
      <c r="BE4" s="50">
        <v>130</v>
      </c>
      <c r="BF4" s="50">
        <v>150</v>
      </c>
      <c r="BG4" s="50">
        <v>170</v>
      </c>
      <c r="BH4" s="50">
        <v>190</v>
      </c>
      <c r="BI4" s="50">
        <v>205</v>
      </c>
      <c r="BJ4" s="50">
        <v>215</v>
      </c>
      <c r="BK4" s="50">
        <v>220</v>
      </c>
      <c r="BL4" s="50">
        <v>225</v>
      </c>
    </row>
    <row r="5" spans="1:64" x14ac:dyDescent="0.2">
      <c r="B5" t="s">
        <v>45</v>
      </c>
      <c r="C5" s="48">
        <v>45</v>
      </c>
      <c r="D5" s="48">
        <v>50</v>
      </c>
      <c r="E5" s="48">
        <v>55</v>
      </c>
      <c r="F5" s="48">
        <v>65</v>
      </c>
      <c r="G5" s="48">
        <v>70</v>
      </c>
      <c r="H5" s="48">
        <v>75</v>
      </c>
      <c r="I5" s="48">
        <v>80</v>
      </c>
      <c r="J5" s="48">
        <v>95</v>
      </c>
      <c r="K5" s="48">
        <v>60</v>
      </c>
      <c r="L5" s="48">
        <v>65</v>
      </c>
      <c r="M5" s="48">
        <v>75</v>
      </c>
      <c r="N5" s="48">
        <v>80</v>
      </c>
      <c r="O5" s="48">
        <v>85</v>
      </c>
      <c r="P5" s="48">
        <v>90</v>
      </c>
      <c r="Q5" s="48">
        <v>105</v>
      </c>
      <c r="R5" s="48">
        <v>75</v>
      </c>
      <c r="S5" s="48">
        <v>85</v>
      </c>
      <c r="T5" s="48">
        <v>90</v>
      </c>
      <c r="U5" s="48">
        <v>95</v>
      </c>
      <c r="V5" s="48">
        <v>105</v>
      </c>
      <c r="W5" s="48">
        <v>115</v>
      </c>
      <c r="X5" s="48">
        <v>125</v>
      </c>
      <c r="Y5" s="48">
        <v>85</v>
      </c>
      <c r="Z5" s="48">
        <v>95</v>
      </c>
      <c r="AA5" s="48">
        <v>100</v>
      </c>
      <c r="AB5" s="48">
        <v>110</v>
      </c>
      <c r="AC5" s="48">
        <v>120</v>
      </c>
      <c r="AD5" s="48">
        <v>130</v>
      </c>
      <c r="AE5" s="48">
        <v>140</v>
      </c>
      <c r="AF5" s="50">
        <v>75</v>
      </c>
      <c r="AG5" s="50">
        <v>80</v>
      </c>
      <c r="AH5" s="50">
        <v>100</v>
      </c>
      <c r="AI5" s="50">
        <v>120</v>
      </c>
      <c r="AJ5" s="50">
        <v>130</v>
      </c>
      <c r="AK5" s="50">
        <v>150</v>
      </c>
      <c r="AL5" s="50">
        <v>160</v>
      </c>
      <c r="AM5" s="50">
        <v>165</v>
      </c>
      <c r="AN5" s="50">
        <v>175</v>
      </c>
      <c r="AO5" s="50">
        <v>95</v>
      </c>
      <c r="AP5" s="50">
        <v>115</v>
      </c>
      <c r="AQ5" s="50">
        <v>135</v>
      </c>
      <c r="AR5" s="50">
        <v>150</v>
      </c>
      <c r="AS5" s="50">
        <v>170</v>
      </c>
      <c r="AT5" s="50">
        <v>180</v>
      </c>
      <c r="AU5" s="50">
        <v>185</v>
      </c>
      <c r="AV5" s="50">
        <v>195</v>
      </c>
      <c r="AW5" s="50">
        <v>130</v>
      </c>
      <c r="AX5" s="50">
        <v>150</v>
      </c>
      <c r="AY5" s="50">
        <v>170</v>
      </c>
      <c r="AZ5" s="50">
        <v>190</v>
      </c>
      <c r="BA5" s="50">
        <v>205</v>
      </c>
      <c r="BB5" s="50">
        <v>215</v>
      </c>
      <c r="BC5" s="50">
        <v>220</v>
      </c>
      <c r="BD5" s="50">
        <v>225</v>
      </c>
      <c r="BE5" s="50">
        <v>145</v>
      </c>
      <c r="BF5" s="50">
        <v>170</v>
      </c>
      <c r="BG5" s="50">
        <v>190</v>
      </c>
      <c r="BH5" s="50">
        <v>210</v>
      </c>
      <c r="BI5" s="50">
        <v>225</v>
      </c>
      <c r="BJ5" s="50">
        <v>235</v>
      </c>
      <c r="BK5" s="50">
        <v>245</v>
      </c>
      <c r="BL5" s="50">
        <v>250</v>
      </c>
    </row>
    <row r="6" spans="1:64" x14ac:dyDescent="0.2">
      <c r="B6" t="s">
        <v>46</v>
      </c>
      <c r="C6" s="48">
        <v>50</v>
      </c>
      <c r="D6" s="48">
        <v>60</v>
      </c>
      <c r="E6" s="48">
        <v>65</v>
      </c>
      <c r="F6" s="48">
        <v>75</v>
      </c>
      <c r="G6" s="48">
        <v>80</v>
      </c>
      <c r="H6" s="48">
        <v>85</v>
      </c>
      <c r="I6" s="48">
        <v>90</v>
      </c>
      <c r="J6" s="48">
        <v>105</v>
      </c>
      <c r="K6" s="48">
        <v>70</v>
      </c>
      <c r="L6" s="48">
        <v>75</v>
      </c>
      <c r="M6" s="48">
        <v>85</v>
      </c>
      <c r="N6" s="48">
        <v>90</v>
      </c>
      <c r="O6" s="48">
        <v>95</v>
      </c>
      <c r="P6" s="48">
        <v>105</v>
      </c>
      <c r="Q6" s="48">
        <v>115</v>
      </c>
      <c r="R6" s="48">
        <v>85</v>
      </c>
      <c r="S6" s="48">
        <v>95</v>
      </c>
      <c r="T6" s="48">
        <v>100</v>
      </c>
      <c r="U6" s="48">
        <v>110</v>
      </c>
      <c r="V6" s="48">
        <v>120</v>
      </c>
      <c r="W6" s="48">
        <v>130</v>
      </c>
      <c r="X6" s="48">
        <v>140</v>
      </c>
      <c r="Y6" s="48">
        <v>95</v>
      </c>
      <c r="Z6" s="48">
        <v>105</v>
      </c>
      <c r="AA6" s="48">
        <v>115</v>
      </c>
      <c r="AB6" s="48">
        <v>125</v>
      </c>
      <c r="AC6" s="48">
        <v>135</v>
      </c>
      <c r="AD6" s="48">
        <v>145</v>
      </c>
      <c r="AE6" s="48">
        <v>150</v>
      </c>
      <c r="AF6" s="50">
        <v>90</v>
      </c>
      <c r="AG6" s="50">
        <v>95</v>
      </c>
      <c r="AH6" s="50">
        <v>115</v>
      </c>
      <c r="AI6" s="50">
        <v>135</v>
      </c>
      <c r="AJ6" s="50">
        <v>150</v>
      </c>
      <c r="AK6" s="50">
        <v>170</v>
      </c>
      <c r="AL6" s="50">
        <v>180</v>
      </c>
      <c r="AM6" s="50">
        <v>185</v>
      </c>
      <c r="AN6" s="50">
        <v>195</v>
      </c>
      <c r="AO6" s="50">
        <v>110</v>
      </c>
      <c r="AP6" s="50">
        <v>130</v>
      </c>
      <c r="AQ6" s="50">
        <v>150</v>
      </c>
      <c r="AR6" s="50">
        <v>170</v>
      </c>
      <c r="AS6" s="50">
        <v>185</v>
      </c>
      <c r="AT6" s="50">
        <v>200</v>
      </c>
      <c r="AU6" s="50">
        <v>210</v>
      </c>
      <c r="AV6" s="50">
        <v>220</v>
      </c>
      <c r="AW6" s="50">
        <v>145</v>
      </c>
      <c r="AX6" s="50">
        <v>170</v>
      </c>
      <c r="AY6" s="50">
        <v>190</v>
      </c>
      <c r="AZ6" s="50">
        <v>210</v>
      </c>
      <c r="BA6" s="50">
        <v>225</v>
      </c>
      <c r="BB6" s="50">
        <v>235</v>
      </c>
      <c r="BC6" s="50">
        <v>245</v>
      </c>
      <c r="BD6" s="50">
        <v>250</v>
      </c>
      <c r="BE6" s="50">
        <v>170</v>
      </c>
      <c r="BF6" s="50">
        <v>190</v>
      </c>
      <c r="BG6" s="50">
        <v>220</v>
      </c>
      <c r="BH6" s="50">
        <v>240</v>
      </c>
      <c r="BI6" s="50">
        <v>250</v>
      </c>
      <c r="BJ6" s="50">
        <v>260</v>
      </c>
      <c r="BK6" s="50">
        <v>270</v>
      </c>
      <c r="BL6" s="50">
        <v>280</v>
      </c>
    </row>
    <row r="7" spans="1:64" x14ac:dyDescent="0.2">
      <c r="B7" t="s">
        <v>47</v>
      </c>
      <c r="C7" s="48">
        <v>60</v>
      </c>
      <c r="D7" s="48">
        <v>70</v>
      </c>
      <c r="E7" s="48">
        <v>75</v>
      </c>
      <c r="F7" s="48">
        <v>85</v>
      </c>
      <c r="G7" s="48">
        <v>90</v>
      </c>
      <c r="H7" s="48">
        <v>95</v>
      </c>
      <c r="I7" s="48">
        <v>105</v>
      </c>
      <c r="J7" s="48">
        <v>115</v>
      </c>
      <c r="K7" s="48">
        <v>80</v>
      </c>
      <c r="L7" s="48">
        <v>85</v>
      </c>
      <c r="M7" s="48">
        <v>95</v>
      </c>
      <c r="N7" s="48">
        <v>100</v>
      </c>
      <c r="O7" s="48">
        <v>110</v>
      </c>
      <c r="P7" s="48">
        <v>120</v>
      </c>
      <c r="Q7" s="48">
        <v>130</v>
      </c>
      <c r="R7" s="48">
        <v>95</v>
      </c>
      <c r="S7" s="48">
        <v>105</v>
      </c>
      <c r="T7" s="48">
        <v>115</v>
      </c>
      <c r="U7" s="48">
        <v>125</v>
      </c>
      <c r="V7" s="48">
        <v>135</v>
      </c>
      <c r="W7" s="48">
        <v>145</v>
      </c>
      <c r="X7" s="48">
        <v>150</v>
      </c>
      <c r="Y7" s="48">
        <v>110</v>
      </c>
      <c r="Z7" s="48">
        <v>120</v>
      </c>
      <c r="AA7" s="48">
        <v>130</v>
      </c>
      <c r="AB7" s="48">
        <v>140</v>
      </c>
      <c r="AC7" s="48">
        <v>150</v>
      </c>
      <c r="AD7" s="48">
        <v>160</v>
      </c>
      <c r="AE7" s="48">
        <v>170</v>
      </c>
      <c r="AF7" s="50">
        <v>105</v>
      </c>
      <c r="AG7" s="50">
        <v>110</v>
      </c>
      <c r="AH7" s="50">
        <v>130</v>
      </c>
      <c r="AI7" s="50">
        <v>150</v>
      </c>
      <c r="AJ7" s="50">
        <v>170</v>
      </c>
      <c r="AK7" s="50">
        <v>185</v>
      </c>
      <c r="AL7" s="50">
        <v>200</v>
      </c>
      <c r="AM7" s="50">
        <v>210</v>
      </c>
      <c r="AN7" s="50">
        <v>220</v>
      </c>
      <c r="AO7" s="50">
        <v>120</v>
      </c>
      <c r="AP7" s="50">
        <v>145</v>
      </c>
      <c r="AQ7" s="50">
        <v>170</v>
      </c>
      <c r="AR7" s="50">
        <v>190</v>
      </c>
      <c r="AS7" s="50">
        <v>200</v>
      </c>
      <c r="AT7" s="50">
        <v>220</v>
      </c>
      <c r="AU7" s="50">
        <v>225</v>
      </c>
      <c r="AV7" s="50">
        <v>235</v>
      </c>
      <c r="AW7" s="50">
        <v>170</v>
      </c>
      <c r="AX7" s="50">
        <v>190</v>
      </c>
      <c r="AY7" s="50">
        <v>220</v>
      </c>
      <c r="AZ7" s="50">
        <v>240</v>
      </c>
      <c r="BA7" s="50">
        <v>250</v>
      </c>
      <c r="BB7" s="50">
        <v>260</v>
      </c>
      <c r="BC7" s="50">
        <v>270</v>
      </c>
      <c r="BD7" s="50">
        <v>280</v>
      </c>
      <c r="BE7" s="50">
        <v>190</v>
      </c>
      <c r="BF7" s="50">
        <v>210</v>
      </c>
      <c r="BG7" s="50">
        <v>240</v>
      </c>
      <c r="BH7" s="50">
        <v>265</v>
      </c>
      <c r="BI7" s="50">
        <v>280</v>
      </c>
      <c r="BJ7" s="50">
        <v>290</v>
      </c>
      <c r="BK7" s="50">
        <v>300</v>
      </c>
      <c r="BL7" s="50">
        <v>310</v>
      </c>
    </row>
    <row r="8" spans="1:64" x14ac:dyDescent="0.2">
      <c r="B8" t="s">
        <v>63</v>
      </c>
      <c r="C8" s="48">
        <v>70</v>
      </c>
      <c r="D8" s="48">
        <v>80</v>
      </c>
      <c r="E8" s="48">
        <v>85</v>
      </c>
      <c r="F8" s="48">
        <v>95</v>
      </c>
      <c r="G8" s="48">
        <v>100</v>
      </c>
      <c r="H8" s="48">
        <v>110</v>
      </c>
      <c r="I8" s="48">
        <v>120</v>
      </c>
      <c r="J8" s="48">
        <v>130</v>
      </c>
      <c r="K8" s="48">
        <v>90</v>
      </c>
      <c r="L8" s="48">
        <v>95</v>
      </c>
      <c r="M8" s="48">
        <v>105</v>
      </c>
      <c r="N8" s="48">
        <v>115</v>
      </c>
      <c r="O8" s="48">
        <v>125</v>
      </c>
      <c r="P8" s="48">
        <v>135</v>
      </c>
      <c r="Q8" s="48">
        <v>145</v>
      </c>
      <c r="R8" s="48">
        <v>110</v>
      </c>
      <c r="S8" s="48">
        <v>120</v>
      </c>
      <c r="T8" s="48">
        <v>130</v>
      </c>
      <c r="U8" s="48">
        <v>140</v>
      </c>
      <c r="V8" s="48">
        <v>150</v>
      </c>
      <c r="W8" s="48">
        <v>160</v>
      </c>
      <c r="X8" s="48">
        <v>170</v>
      </c>
      <c r="Y8" s="48">
        <v>125</v>
      </c>
      <c r="Z8" s="48">
        <v>140</v>
      </c>
      <c r="AA8" s="48">
        <v>150</v>
      </c>
      <c r="AB8" s="48">
        <v>160</v>
      </c>
      <c r="AC8" s="48">
        <v>170</v>
      </c>
      <c r="AD8" s="48">
        <v>180</v>
      </c>
      <c r="AE8" s="48">
        <v>190</v>
      </c>
      <c r="AF8" s="50">
        <v>115</v>
      </c>
      <c r="AG8" s="50">
        <v>120</v>
      </c>
      <c r="AH8" s="50">
        <v>145</v>
      </c>
      <c r="AI8" s="50">
        <v>170</v>
      </c>
      <c r="AJ8" s="50">
        <v>190</v>
      </c>
      <c r="AK8" s="50">
        <v>200</v>
      </c>
      <c r="AL8" s="50">
        <v>220</v>
      </c>
      <c r="AM8" s="50">
        <v>225</v>
      </c>
      <c r="AN8" s="50">
        <v>235</v>
      </c>
      <c r="AO8" s="50">
        <v>135</v>
      </c>
      <c r="AP8" s="50">
        <v>170</v>
      </c>
      <c r="AQ8" s="50">
        <v>190</v>
      </c>
      <c r="AR8" s="50">
        <v>210</v>
      </c>
      <c r="AS8" s="50">
        <v>220</v>
      </c>
      <c r="AT8" s="50">
        <v>240</v>
      </c>
      <c r="AU8" s="50">
        <v>250</v>
      </c>
      <c r="AV8" s="50">
        <v>260</v>
      </c>
      <c r="AW8" s="50">
        <v>190</v>
      </c>
      <c r="AX8" s="50">
        <v>210</v>
      </c>
      <c r="AY8" s="50">
        <v>240</v>
      </c>
      <c r="AZ8" s="50">
        <v>260</v>
      </c>
      <c r="BA8" s="50">
        <v>280</v>
      </c>
      <c r="BB8" s="50">
        <v>290</v>
      </c>
      <c r="BC8" s="50">
        <v>300</v>
      </c>
      <c r="BD8" s="50">
        <v>310</v>
      </c>
      <c r="BE8" s="50">
        <v>210</v>
      </c>
      <c r="BF8" s="50">
        <v>230</v>
      </c>
      <c r="BG8" s="50">
        <v>260</v>
      </c>
      <c r="BH8" s="50">
        <v>285</v>
      </c>
      <c r="BI8" s="50">
        <v>300</v>
      </c>
      <c r="BJ8" s="50">
        <v>310</v>
      </c>
      <c r="BK8" s="50">
        <v>325</v>
      </c>
      <c r="BL8" s="50">
        <v>330</v>
      </c>
    </row>
    <row r="9" spans="1:64" x14ac:dyDescent="0.2">
      <c r="B9" t="s">
        <v>64</v>
      </c>
      <c r="C9" s="48">
        <v>80</v>
      </c>
      <c r="D9" s="48">
        <v>90</v>
      </c>
      <c r="E9" s="48">
        <v>95</v>
      </c>
      <c r="F9" s="48">
        <v>105</v>
      </c>
      <c r="G9" s="48">
        <v>115</v>
      </c>
      <c r="H9" s="48">
        <v>125</v>
      </c>
      <c r="I9" s="48">
        <v>135</v>
      </c>
      <c r="J9" s="48">
        <v>145</v>
      </c>
      <c r="K9" s="48">
        <v>100</v>
      </c>
      <c r="L9" s="48">
        <v>110</v>
      </c>
      <c r="M9" s="48">
        <v>120</v>
      </c>
      <c r="N9" s="48">
        <v>130</v>
      </c>
      <c r="O9" s="48">
        <v>140</v>
      </c>
      <c r="P9" s="48">
        <v>150</v>
      </c>
      <c r="Q9" s="48">
        <v>160</v>
      </c>
      <c r="R9" s="48">
        <v>125</v>
      </c>
      <c r="S9" s="48">
        <v>135</v>
      </c>
      <c r="T9" s="48">
        <v>150</v>
      </c>
      <c r="U9" s="48">
        <v>160</v>
      </c>
      <c r="V9" s="48">
        <v>170</v>
      </c>
      <c r="W9" s="48">
        <v>180</v>
      </c>
      <c r="X9" s="48">
        <v>190</v>
      </c>
      <c r="Y9" s="48">
        <v>140</v>
      </c>
      <c r="Z9" s="48">
        <v>160</v>
      </c>
      <c r="AA9" s="48">
        <v>170</v>
      </c>
      <c r="AB9" s="48">
        <v>180</v>
      </c>
      <c r="AC9" s="48">
        <v>190</v>
      </c>
      <c r="AD9" s="48">
        <v>195</v>
      </c>
      <c r="AE9" s="48">
        <v>210</v>
      </c>
      <c r="AF9" s="50">
        <v>130</v>
      </c>
      <c r="AG9" s="50">
        <v>135</v>
      </c>
      <c r="AH9" s="50">
        <v>170</v>
      </c>
      <c r="AI9" s="50">
        <v>190</v>
      </c>
      <c r="AJ9" s="50">
        <v>210</v>
      </c>
      <c r="AK9" s="50">
        <v>220</v>
      </c>
      <c r="AL9" s="50">
        <v>240</v>
      </c>
      <c r="AM9" s="50">
        <v>250</v>
      </c>
      <c r="AN9" s="50">
        <v>260</v>
      </c>
      <c r="AO9" s="50">
        <v>150</v>
      </c>
      <c r="AP9" s="50">
        <v>190</v>
      </c>
      <c r="AQ9" s="50">
        <v>210</v>
      </c>
      <c r="AR9" s="50">
        <v>230</v>
      </c>
      <c r="AS9" s="50">
        <v>250</v>
      </c>
      <c r="AT9" s="50">
        <v>260</v>
      </c>
      <c r="AU9" s="50">
        <v>280</v>
      </c>
      <c r="AV9" s="50">
        <v>280</v>
      </c>
      <c r="AW9" s="50">
        <v>210</v>
      </c>
      <c r="AX9" s="50">
        <v>230</v>
      </c>
      <c r="AY9" s="50">
        <v>250</v>
      </c>
      <c r="AZ9" s="50">
        <v>285</v>
      </c>
      <c r="BA9" s="50">
        <v>300</v>
      </c>
      <c r="BB9" s="50">
        <v>310</v>
      </c>
      <c r="BC9" s="50">
        <v>325</v>
      </c>
      <c r="BD9" s="50">
        <v>330</v>
      </c>
      <c r="BE9" s="50">
        <v>225</v>
      </c>
      <c r="BF9" s="50">
        <v>255</v>
      </c>
      <c r="BG9" s="50">
        <v>275</v>
      </c>
      <c r="BH9" s="50">
        <v>305</v>
      </c>
      <c r="BI9" s="50">
        <v>325</v>
      </c>
      <c r="BJ9" s="50">
        <v>330</v>
      </c>
      <c r="BK9" s="50">
        <v>345</v>
      </c>
      <c r="BL9" s="50">
        <v>355</v>
      </c>
    </row>
    <row r="10" spans="1:64" x14ac:dyDescent="0.2">
      <c r="B10" t="s">
        <v>48</v>
      </c>
      <c r="C10" s="48">
        <v>1000</v>
      </c>
      <c r="D10" s="48">
        <v>1000</v>
      </c>
      <c r="E10" s="48">
        <v>1000</v>
      </c>
      <c r="F10" s="48">
        <v>1000</v>
      </c>
      <c r="G10" s="48">
        <v>1000</v>
      </c>
      <c r="H10" s="48">
        <v>1000</v>
      </c>
      <c r="I10" s="48">
        <v>1000</v>
      </c>
      <c r="J10" s="48">
        <v>1000</v>
      </c>
      <c r="K10" s="48">
        <v>1000</v>
      </c>
      <c r="L10" s="48">
        <v>1000</v>
      </c>
      <c r="M10" s="48">
        <v>1000</v>
      </c>
      <c r="N10" s="48">
        <v>1000</v>
      </c>
      <c r="O10" s="48">
        <v>1000</v>
      </c>
      <c r="P10" s="48">
        <v>1000</v>
      </c>
      <c r="Q10" s="48">
        <v>1000</v>
      </c>
      <c r="R10" s="48">
        <v>1000</v>
      </c>
      <c r="S10" s="48">
        <v>1000</v>
      </c>
      <c r="T10" s="48">
        <v>1000</v>
      </c>
      <c r="U10" s="48">
        <v>1000</v>
      </c>
      <c r="V10" s="48">
        <v>1000</v>
      </c>
      <c r="W10" s="48">
        <v>1000</v>
      </c>
      <c r="X10" s="48">
        <v>1000</v>
      </c>
      <c r="Y10" s="48">
        <v>155</v>
      </c>
      <c r="Z10" s="48">
        <v>175</v>
      </c>
      <c r="AA10" s="48">
        <v>190</v>
      </c>
      <c r="AB10" s="48">
        <v>200</v>
      </c>
      <c r="AC10" s="48">
        <v>205</v>
      </c>
      <c r="AD10" s="48">
        <v>210</v>
      </c>
      <c r="AE10" s="48">
        <v>225</v>
      </c>
      <c r="AF10" s="48">
        <v>1000</v>
      </c>
      <c r="AG10" s="48">
        <v>1000</v>
      </c>
      <c r="AH10" s="48">
        <v>1000</v>
      </c>
      <c r="AI10" s="48">
        <v>1000</v>
      </c>
      <c r="AJ10" s="48">
        <v>1000</v>
      </c>
      <c r="AK10" s="48">
        <v>1000</v>
      </c>
      <c r="AL10" s="48">
        <v>10000</v>
      </c>
      <c r="AM10" s="48">
        <v>1000</v>
      </c>
      <c r="AN10" s="48">
        <v>1000</v>
      </c>
      <c r="AO10" s="48">
        <v>1000</v>
      </c>
      <c r="AP10" s="48">
        <v>1000</v>
      </c>
      <c r="AQ10" s="48">
        <v>1000</v>
      </c>
      <c r="AR10" s="48">
        <v>1000</v>
      </c>
      <c r="AS10" s="48">
        <v>1000</v>
      </c>
      <c r="AT10" s="48">
        <v>10000</v>
      </c>
      <c r="AU10" s="48">
        <v>1000</v>
      </c>
      <c r="AV10" s="48">
        <v>1000</v>
      </c>
      <c r="AW10" s="48">
        <v>1000</v>
      </c>
      <c r="AX10" s="48">
        <v>1000</v>
      </c>
      <c r="AY10" s="48">
        <v>1000</v>
      </c>
      <c r="AZ10" s="48">
        <v>10000</v>
      </c>
      <c r="BA10" s="48">
        <v>1000</v>
      </c>
      <c r="BB10" s="48">
        <v>1000</v>
      </c>
      <c r="BC10" s="48">
        <v>1000</v>
      </c>
      <c r="BD10" s="48">
        <v>10000</v>
      </c>
      <c r="BE10" s="50">
        <v>240</v>
      </c>
      <c r="BF10" s="50">
        <v>270</v>
      </c>
      <c r="BG10" s="50">
        <v>290</v>
      </c>
      <c r="BH10" s="50">
        <v>320</v>
      </c>
      <c r="BI10" s="50">
        <v>345</v>
      </c>
      <c r="BJ10" s="50">
        <v>355</v>
      </c>
      <c r="BK10" s="50">
        <v>365</v>
      </c>
      <c r="BL10" s="50">
        <v>375</v>
      </c>
    </row>
    <row r="11" spans="1:64" x14ac:dyDescent="0.2">
      <c r="B11" t="s">
        <v>49</v>
      </c>
      <c r="C11" t="s">
        <v>50</v>
      </c>
      <c r="D11" t="s">
        <v>50</v>
      </c>
      <c r="E11" t="s">
        <v>51</v>
      </c>
      <c r="F11" t="s">
        <v>52</v>
      </c>
      <c r="H11" s="1" t="s">
        <v>49</v>
      </c>
      <c r="I11" s="1" t="s">
        <v>53</v>
      </c>
      <c r="J11" s="1" t="s">
        <v>53</v>
      </c>
      <c r="K11" s="1" t="s">
        <v>51</v>
      </c>
      <c r="L11" s="1" t="s">
        <v>52</v>
      </c>
      <c r="M11" s="1"/>
      <c r="N11" s="1"/>
      <c r="O11" s="1"/>
      <c r="P11" s="1"/>
      <c r="Q11" s="1"/>
      <c r="R11" s="1"/>
      <c r="S11" s="1"/>
      <c r="T11" s="1"/>
    </row>
    <row r="12" spans="1:64" x14ac:dyDescent="0.2">
      <c r="A12">
        <v>20.010000000000002</v>
      </c>
      <c r="B12" s="63" t="s">
        <v>65</v>
      </c>
      <c r="C12" s="47" t="s">
        <v>107</v>
      </c>
      <c r="D12" s="47" t="s">
        <v>95</v>
      </c>
      <c r="E12" t="s">
        <v>27</v>
      </c>
      <c r="F12" t="s">
        <v>35</v>
      </c>
      <c r="G12">
        <v>20.010000000000002</v>
      </c>
      <c r="H12" s="63" t="s">
        <v>65</v>
      </c>
      <c r="I12" s="46" t="s">
        <v>106</v>
      </c>
      <c r="J12" s="46" t="s">
        <v>80</v>
      </c>
      <c r="K12" s="1" t="s">
        <v>13</v>
      </c>
      <c r="L12" s="1" t="s">
        <v>20</v>
      </c>
      <c r="M12" s="1"/>
      <c r="N12" s="46"/>
      <c r="O12" s="46"/>
      <c r="P12" s="46"/>
      <c r="Q12" s="46"/>
      <c r="R12" s="46"/>
      <c r="S12" s="1"/>
      <c r="T12" s="1"/>
    </row>
    <row r="13" spans="1:64" x14ac:dyDescent="0.2">
      <c r="A13">
        <v>34.01</v>
      </c>
      <c r="B13" s="63" t="s">
        <v>65</v>
      </c>
      <c r="C13" s="47" t="s">
        <v>107</v>
      </c>
      <c r="D13" s="47" t="s">
        <v>95</v>
      </c>
      <c r="E13" t="s">
        <v>27</v>
      </c>
      <c r="F13" t="s">
        <v>35</v>
      </c>
      <c r="G13">
        <v>30.01</v>
      </c>
      <c r="H13" s="63" t="s">
        <v>65</v>
      </c>
      <c r="I13" s="46" t="s">
        <v>106</v>
      </c>
      <c r="J13" s="46" t="s">
        <v>80</v>
      </c>
      <c r="K13" s="1" t="s">
        <v>13</v>
      </c>
      <c r="L13" s="1" t="s">
        <v>20</v>
      </c>
      <c r="M13" s="1"/>
      <c r="N13" s="46"/>
      <c r="O13" s="46"/>
      <c r="P13" s="46"/>
      <c r="Q13" s="46"/>
      <c r="R13" s="46"/>
      <c r="S13" s="1"/>
      <c r="T13" s="1"/>
    </row>
    <row r="14" spans="1:64" x14ac:dyDescent="0.2">
      <c r="A14">
        <v>38.01</v>
      </c>
      <c r="B14" s="63" t="s">
        <v>65</v>
      </c>
      <c r="C14" s="47" t="s">
        <v>107</v>
      </c>
      <c r="D14" s="47" t="s">
        <v>95</v>
      </c>
      <c r="E14" t="s">
        <v>27</v>
      </c>
      <c r="F14" t="s">
        <v>35</v>
      </c>
      <c r="G14" s="2">
        <v>35.01</v>
      </c>
      <c r="H14" s="63" t="s">
        <v>65</v>
      </c>
      <c r="I14" s="46" t="s">
        <v>106</v>
      </c>
      <c r="J14" s="46" t="s">
        <v>80</v>
      </c>
      <c r="K14" s="1" t="s">
        <v>13</v>
      </c>
      <c r="L14" s="1" t="s">
        <v>20</v>
      </c>
      <c r="M14" s="1"/>
      <c r="N14" s="46"/>
      <c r="O14" s="46"/>
      <c r="P14" s="46"/>
      <c r="Q14" s="46"/>
      <c r="R14" s="46"/>
      <c r="S14" s="1"/>
      <c r="T14" s="1"/>
    </row>
    <row r="15" spans="1:64" x14ac:dyDescent="0.2">
      <c r="A15">
        <v>40.01</v>
      </c>
      <c r="B15" s="63" t="s">
        <v>65</v>
      </c>
      <c r="C15" s="47" t="s">
        <v>107</v>
      </c>
      <c r="D15" s="47" t="s">
        <v>95</v>
      </c>
      <c r="E15" t="s">
        <v>27</v>
      </c>
      <c r="F15" t="s">
        <v>35</v>
      </c>
      <c r="G15">
        <v>36.01</v>
      </c>
      <c r="H15" s="63" t="s">
        <v>65</v>
      </c>
      <c r="I15" s="46" t="s">
        <v>106</v>
      </c>
      <c r="J15" s="46" t="s">
        <v>80</v>
      </c>
      <c r="K15" s="1" t="s">
        <v>13</v>
      </c>
      <c r="L15" s="1" t="s">
        <v>20</v>
      </c>
      <c r="M15" s="1"/>
      <c r="N15" s="46"/>
      <c r="O15" s="46"/>
      <c r="P15" s="46"/>
      <c r="Q15" s="46"/>
      <c r="R15" s="46"/>
      <c r="S15" s="1"/>
      <c r="T15" s="1"/>
    </row>
    <row r="16" spans="1:64" x14ac:dyDescent="0.2">
      <c r="A16">
        <v>45.01</v>
      </c>
      <c r="B16" s="63" t="s">
        <v>65</v>
      </c>
      <c r="C16" s="47" t="s">
        <v>87</v>
      </c>
      <c r="D16" s="47" t="s">
        <v>95</v>
      </c>
      <c r="E16" t="s">
        <v>27</v>
      </c>
      <c r="F16" t="s">
        <v>35</v>
      </c>
      <c r="G16">
        <v>40.01</v>
      </c>
      <c r="H16" s="63" t="s">
        <v>65</v>
      </c>
      <c r="I16" s="46" t="s">
        <v>73</v>
      </c>
      <c r="J16" s="46" t="s">
        <v>80</v>
      </c>
      <c r="K16" s="1" t="s">
        <v>13</v>
      </c>
      <c r="L16" s="1" t="s">
        <v>20</v>
      </c>
      <c r="M16" s="1"/>
      <c r="N16" s="46"/>
      <c r="O16" s="46"/>
      <c r="P16" s="46"/>
      <c r="Q16" s="46"/>
      <c r="R16" s="46"/>
      <c r="S16" s="1"/>
      <c r="T16" s="1"/>
    </row>
    <row r="17" spans="1:34" x14ac:dyDescent="0.2">
      <c r="A17">
        <v>50.01</v>
      </c>
      <c r="B17" s="63" t="s">
        <v>65</v>
      </c>
      <c r="C17" s="47" t="s">
        <v>88</v>
      </c>
      <c r="D17" s="47" t="s">
        <v>96</v>
      </c>
      <c r="E17" t="s">
        <v>27</v>
      </c>
      <c r="F17" t="s">
        <v>35</v>
      </c>
      <c r="G17">
        <v>44.01</v>
      </c>
      <c r="H17" s="63" t="s">
        <v>65</v>
      </c>
      <c r="I17" s="46" t="s">
        <v>74</v>
      </c>
      <c r="J17" s="46" t="s">
        <v>81</v>
      </c>
      <c r="K17" s="1" t="s">
        <v>13</v>
      </c>
      <c r="L17" s="1" t="s">
        <v>20</v>
      </c>
      <c r="M17" s="1"/>
      <c r="N17" s="46"/>
      <c r="O17" s="46"/>
      <c r="P17" s="46"/>
      <c r="Q17" s="46"/>
      <c r="R17" s="46"/>
      <c r="S17" s="1"/>
      <c r="T17" s="1"/>
    </row>
    <row r="18" spans="1:34" x14ac:dyDescent="0.2">
      <c r="A18">
        <v>52.05</v>
      </c>
      <c r="B18" s="63" t="s">
        <v>65</v>
      </c>
      <c r="C18" s="47" t="s">
        <v>88</v>
      </c>
      <c r="D18" s="47" t="s">
        <v>96</v>
      </c>
      <c r="E18" t="s">
        <v>27</v>
      </c>
      <c r="F18" t="s">
        <v>35</v>
      </c>
      <c r="G18">
        <v>48.01</v>
      </c>
      <c r="H18" s="63" t="s">
        <v>65</v>
      </c>
      <c r="I18" s="46" t="s">
        <v>75</v>
      </c>
      <c r="J18" s="46" t="s">
        <v>82</v>
      </c>
      <c r="K18" s="1" t="s">
        <v>14</v>
      </c>
      <c r="L18" s="1" t="s">
        <v>21</v>
      </c>
      <c r="M18" s="1"/>
      <c r="N18" s="46"/>
      <c r="O18" s="46"/>
      <c r="P18" s="46"/>
      <c r="Q18" s="46"/>
      <c r="R18" s="46"/>
      <c r="S18" s="1"/>
      <c r="T18" s="1"/>
    </row>
    <row r="19" spans="1:34" x14ac:dyDescent="0.2">
      <c r="A19">
        <v>56.01</v>
      </c>
      <c r="B19" s="63" t="s">
        <v>65</v>
      </c>
      <c r="C19" s="47" t="s">
        <v>89</v>
      </c>
      <c r="D19" s="47" t="s">
        <v>97</v>
      </c>
      <c r="E19" t="s">
        <v>28</v>
      </c>
      <c r="F19" t="s">
        <v>36</v>
      </c>
      <c r="G19">
        <v>53.01</v>
      </c>
      <c r="H19" s="63" t="s">
        <v>65</v>
      </c>
      <c r="I19" s="46" t="s">
        <v>76</v>
      </c>
      <c r="J19" s="46" t="s">
        <v>83</v>
      </c>
      <c r="K19" s="1" t="s">
        <v>15</v>
      </c>
      <c r="L19" s="1" t="s">
        <v>22</v>
      </c>
      <c r="M19" s="1"/>
      <c r="N19" s="46"/>
      <c r="O19" s="46"/>
      <c r="P19" s="46"/>
      <c r="Q19" s="46"/>
      <c r="R19" s="46"/>
      <c r="S19" s="1"/>
      <c r="T19" s="1"/>
    </row>
    <row r="20" spans="1:34" x14ac:dyDescent="0.2">
      <c r="A20">
        <v>62.01</v>
      </c>
      <c r="B20" s="63" t="s">
        <v>65</v>
      </c>
      <c r="C20" s="47" t="s">
        <v>90</v>
      </c>
      <c r="D20" s="47" t="s">
        <v>98</v>
      </c>
      <c r="E20" t="s">
        <v>29</v>
      </c>
      <c r="F20" t="s">
        <v>37</v>
      </c>
      <c r="G20">
        <v>58.01</v>
      </c>
      <c r="H20" s="63" t="s">
        <v>65</v>
      </c>
      <c r="I20" s="46" t="s">
        <v>77</v>
      </c>
      <c r="J20" s="46" t="s">
        <v>84</v>
      </c>
      <c r="K20" s="1" t="s">
        <v>16</v>
      </c>
      <c r="L20" s="1" t="s">
        <v>23</v>
      </c>
      <c r="M20" s="1"/>
      <c r="N20" s="46"/>
      <c r="O20" s="46"/>
      <c r="P20" s="46"/>
      <c r="Q20" s="46"/>
      <c r="R20" s="46"/>
      <c r="S20" s="1"/>
      <c r="T20" s="1"/>
    </row>
    <row r="21" spans="1:34" x14ac:dyDescent="0.2">
      <c r="A21">
        <v>69.010000000000005</v>
      </c>
      <c r="B21" s="63" t="s">
        <v>65</v>
      </c>
      <c r="C21" s="47" t="s">
        <v>91</v>
      </c>
      <c r="D21" s="47" t="s">
        <v>99</v>
      </c>
      <c r="E21" t="s">
        <v>30</v>
      </c>
      <c r="F21" t="s">
        <v>38</v>
      </c>
      <c r="G21">
        <v>63.01</v>
      </c>
      <c r="H21" s="63" t="s">
        <v>65</v>
      </c>
      <c r="I21" s="46" t="s">
        <v>78</v>
      </c>
      <c r="J21" s="46" t="s">
        <v>85</v>
      </c>
      <c r="K21" s="1" t="s">
        <v>17</v>
      </c>
      <c r="L21" s="1" t="s">
        <v>24</v>
      </c>
      <c r="M21" s="1"/>
      <c r="N21" s="46"/>
      <c r="O21" s="46"/>
      <c r="P21" s="46"/>
      <c r="Q21" s="46"/>
      <c r="R21" s="46"/>
      <c r="S21" s="1"/>
      <c r="T21" s="1"/>
    </row>
    <row r="22" spans="1:34" x14ac:dyDescent="0.2">
      <c r="A22">
        <v>77.010000000000005</v>
      </c>
      <c r="B22" s="63" t="s">
        <v>65</v>
      </c>
      <c r="C22" s="47" t="s">
        <v>92</v>
      </c>
      <c r="D22" s="47" t="s">
        <v>100</v>
      </c>
      <c r="E22" t="s">
        <v>31</v>
      </c>
      <c r="F22" t="s">
        <v>39</v>
      </c>
      <c r="G22">
        <v>69.010000000000005</v>
      </c>
      <c r="H22" s="63" t="s">
        <v>65</v>
      </c>
      <c r="I22" s="46" t="s">
        <v>79</v>
      </c>
      <c r="J22" s="46" t="s">
        <v>86</v>
      </c>
      <c r="K22" s="1" t="s">
        <v>18</v>
      </c>
      <c r="L22" s="1" t="s">
        <v>25</v>
      </c>
      <c r="M22" s="1"/>
      <c r="N22" s="46"/>
      <c r="O22" s="46"/>
      <c r="P22" s="46"/>
      <c r="Q22" s="46"/>
      <c r="R22" s="46"/>
      <c r="S22" s="1"/>
      <c r="T22" s="1"/>
    </row>
    <row r="23" spans="1:34" x14ac:dyDescent="0.2">
      <c r="A23">
        <v>85.01</v>
      </c>
      <c r="B23" s="63" t="s">
        <v>65</v>
      </c>
      <c r="C23" s="47" t="s">
        <v>93</v>
      </c>
      <c r="D23" s="47" t="s">
        <v>101</v>
      </c>
      <c r="E23" t="s">
        <v>32</v>
      </c>
      <c r="F23" t="s">
        <v>40</v>
      </c>
      <c r="G23">
        <v>75.010000000000005</v>
      </c>
      <c r="H23" s="63" t="s">
        <v>65</v>
      </c>
      <c r="I23" s="46" t="s">
        <v>79</v>
      </c>
      <c r="J23" s="46" t="s">
        <v>86</v>
      </c>
      <c r="K23" s="1" t="s">
        <v>19</v>
      </c>
      <c r="L23" s="1" t="s">
        <v>26</v>
      </c>
      <c r="M23" s="1"/>
      <c r="N23" s="46"/>
      <c r="O23" s="46"/>
      <c r="P23" s="46"/>
      <c r="Q23" s="46"/>
      <c r="R23" s="46"/>
      <c r="S23" s="1"/>
      <c r="T23" s="1"/>
    </row>
    <row r="24" spans="1:34" x14ac:dyDescent="0.2">
      <c r="A24">
        <v>94.01</v>
      </c>
      <c r="B24" s="63" t="s">
        <v>65</v>
      </c>
      <c r="C24" s="47" t="s">
        <v>94</v>
      </c>
      <c r="D24" s="47" t="s">
        <v>102</v>
      </c>
      <c r="E24" t="s">
        <v>33</v>
      </c>
      <c r="F24" t="s">
        <v>41</v>
      </c>
      <c r="G24">
        <v>110</v>
      </c>
      <c r="H24" s="63" t="s">
        <v>65</v>
      </c>
      <c r="I24" s="46" t="s">
        <v>79</v>
      </c>
      <c r="J24" s="46" t="s">
        <v>86</v>
      </c>
      <c r="K24" s="1" t="s">
        <v>19</v>
      </c>
      <c r="L24" s="1" t="s">
        <v>26</v>
      </c>
      <c r="M24" s="1"/>
      <c r="N24" s="46"/>
      <c r="O24" s="46"/>
      <c r="P24" s="46"/>
      <c r="Q24" s="46"/>
      <c r="R24" s="46"/>
      <c r="S24" s="1"/>
      <c r="T24" s="1"/>
    </row>
    <row r="25" spans="1:34" x14ac:dyDescent="0.2">
      <c r="A25">
        <v>105.01</v>
      </c>
      <c r="B25" s="63" t="s">
        <v>65</v>
      </c>
      <c r="C25" s="47" t="s">
        <v>94</v>
      </c>
      <c r="D25" s="47" t="s">
        <v>102</v>
      </c>
      <c r="E25" t="s">
        <v>34</v>
      </c>
      <c r="F25" t="s">
        <v>42</v>
      </c>
      <c r="G25">
        <v>140</v>
      </c>
      <c r="H25" s="63" t="s">
        <v>65</v>
      </c>
      <c r="I25" s="46" t="s">
        <v>79</v>
      </c>
      <c r="J25" s="46" t="s">
        <v>86</v>
      </c>
      <c r="K25" s="1" t="s">
        <v>19</v>
      </c>
      <c r="L25" s="1" t="s">
        <v>26</v>
      </c>
      <c r="M25" s="1"/>
      <c r="N25" s="46"/>
      <c r="O25" s="46"/>
      <c r="P25" s="46"/>
      <c r="Q25" s="46"/>
      <c r="R25" s="46"/>
      <c r="S25" s="1"/>
      <c r="T25" s="1"/>
    </row>
    <row r="26" spans="1:34" x14ac:dyDescent="0.2">
      <c r="A26">
        <v>110</v>
      </c>
      <c r="B26" s="63" t="s">
        <v>65</v>
      </c>
      <c r="C26" s="47" t="s">
        <v>94</v>
      </c>
      <c r="D26" s="47" t="s">
        <v>102</v>
      </c>
      <c r="E26" t="s">
        <v>34</v>
      </c>
      <c r="F26" t="s">
        <v>42</v>
      </c>
    </row>
    <row r="27" spans="1:34" x14ac:dyDescent="0.2">
      <c r="A27">
        <v>120</v>
      </c>
      <c r="B27" s="63" t="s">
        <v>65</v>
      </c>
      <c r="C27" s="47" t="s">
        <v>94</v>
      </c>
      <c r="D27" s="47" t="s">
        <v>102</v>
      </c>
      <c r="E27" t="s">
        <v>34</v>
      </c>
      <c r="F27" t="s">
        <v>42</v>
      </c>
    </row>
    <row r="28" spans="1:34" x14ac:dyDescent="0.2">
      <c r="A28">
        <v>130</v>
      </c>
      <c r="B28" s="63" t="s">
        <v>65</v>
      </c>
      <c r="C28" s="47" t="s">
        <v>94</v>
      </c>
      <c r="D28" s="47" t="s">
        <v>102</v>
      </c>
      <c r="E28" t="s">
        <v>34</v>
      </c>
      <c r="F28" t="s">
        <v>42</v>
      </c>
    </row>
    <row r="29" spans="1:34" x14ac:dyDescent="0.2">
      <c r="A29">
        <v>140</v>
      </c>
      <c r="B29" s="63" t="s">
        <v>65</v>
      </c>
      <c r="C29" s="47" t="s">
        <v>94</v>
      </c>
      <c r="D29" s="47" t="s">
        <v>102</v>
      </c>
      <c r="E29" t="s">
        <v>34</v>
      </c>
      <c r="F29" t="s">
        <v>42</v>
      </c>
      <c r="AH29" s="47" t="s">
        <v>12</v>
      </c>
    </row>
  </sheetData>
  <sheetProtection formatCells="0" formatColumns="0"/>
  <phoneticPr fontId="1" type="noConversion"/>
  <pageMargins left="0.78740157499999996" right="0.78740157499999996" top="0.984251969" bottom="0.984251969" header="0.4921259845" footer="0.492125984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7" filterMode="1">
    <tabColor theme="5" tint="0.39997558519241921"/>
  </sheetPr>
  <dimension ref="A1:BC1787"/>
  <sheetViews>
    <sheetView zoomScale="75" zoomScaleNormal="75" zoomScaleSheetLayoutView="80" workbookViewId="0">
      <selection activeCell="Y49" sqref="A7:Y49"/>
    </sheetView>
  </sheetViews>
  <sheetFormatPr baseColWidth="10" defaultRowHeight="12.75" x14ac:dyDescent="0.2"/>
  <cols>
    <col min="1" max="1" width="7.5703125" style="4" bestFit="1" customWidth="1"/>
    <col min="2" max="2" width="6.5703125" style="4" bestFit="1" customWidth="1"/>
    <col min="3" max="3" width="6.28515625" style="4" customWidth="1"/>
    <col min="4" max="4" width="6.28515625" style="59" customWidth="1"/>
    <col min="5" max="5" width="10.140625" style="4" customWidth="1"/>
    <col min="6" max="6" width="25" style="5" customWidth="1"/>
    <col min="7" max="7" width="16.140625" style="5" customWidth="1"/>
    <col min="8" max="8" width="7" style="5" bestFit="1" customWidth="1"/>
    <col min="9" max="9" width="9.42578125" style="5" customWidth="1"/>
    <col min="10" max="10" width="27.28515625" style="14" customWidth="1"/>
    <col min="11" max="11" width="5.7109375" style="5" customWidth="1"/>
    <col min="12" max="14" width="6.7109375" style="5" customWidth="1"/>
    <col min="15" max="15" width="8.140625" style="5" customWidth="1"/>
    <col min="16" max="19" width="6.7109375" style="5" customWidth="1"/>
    <col min="20" max="20" width="8.85546875" style="5" customWidth="1"/>
    <col min="21" max="22" width="7.85546875" style="5" customWidth="1"/>
    <col min="23" max="23" width="6.28515625" style="15" bestFit="1" customWidth="1"/>
    <col min="24" max="24" width="8.85546875" style="14" customWidth="1"/>
    <col min="25" max="25" width="8.85546875" style="5" customWidth="1"/>
    <col min="26" max="27" width="8.85546875" style="5" hidden="1" customWidth="1"/>
    <col min="28" max="44" width="18.28515625" style="5" hidden="1" customWidth="1"/>
    <col min="45" max="52" width="11.42578125" style="5" hidden="1" customWidth="1"/>
    <col min="53" max="55" width="11.42578125" style="5" customWidth="1"/>
    <col min="56" max="16384" width="11.42578125" style="5"/>
  </cols>
  <sheetData>
    <row r="1" spans="1:55" s="11" customFormat="1" ht="13.5" customHeight="1" thickTop="1" thickBot="1" x14ac:dyDescent="0.25">
      <c r="A1" s="6" t="s">
        <v>54</v>
      </c>
      <c r="B1" s="7" t="s">
        <v>70</v>
      </c>
      <c r="C1" s="8" t="s">
        <v>0</v>
      </c>
      <c r="D1" s="60" t="s">
        <v>68</v>
      </c>
      <c r="E1" s="9" t="s">
        <v>1</v>
      </c>
      <c r="F1" s="10" t="s">
        <v>3</v>
      </c>
      <c r="G1" s="10" t="s">
        <v>4</v>
      </c>
      <c r="H1" s="10" t="s">
        <v>67</v>
      </c>
      <c r="I1" s="10" t="s">
        <v>6</v>
      </c>
      <c r="J1" s="10" t="s">
        <v>5</v>
      </c>
      <c r="K1" s="10" t="s">
        <v>2</v>
      </c>
      <c r="L1" s="10">
        <v>1</v>
      </c>
      <c r="M1" s="10">
        <v>2</v>
      </c>
      <c r="N1" s="10">
        <v>3</v>
      </c>
      <c r="O1" s="10" t="s">
        <v>7</v>
      </c>
      <c r="P1" s="10">
        <v>1</v>
      </c>
      <c r="Q1" s="10">
        <v>2</v>
      </c>
      <c r="R1" s="10">
        <v>3</v>
      </c>
      <c r="S1" s="10" t="s">
        <v>8</v>
      </c>
      <c r="T1" s="10" t="s">
        <v>9</v>
      </c>
      <c r="U1" s="38" t="s">
        <v>105</v>
      </c>
      <c r="V1" s="107" t="s">
        <v>66</v>
      </c>
      <c r="W1" s="108"/>
      <c r="X1" s="10" t="s">
        <v>11</v>
      </c>
      <c r="Y1" s="43" t="s">
        <v>10</v>
      </c>
      <c r="Z1" s="44"/>
      <c r="AA1" s="17" t="s">
        <v>12</v>
      </c>
      <c r="AB1" s="17" t="s">
        <v>104</v>
      </c>
      <c r="AC1" s="17" t="s">
        <v>55</v>
      </c>
      <c r="AD1" s="17" t="s">
        <v>56</v>
      </c>
      <c r="AE1" s="17" t="s">
        <v>57</v>
      </c>
      <c r="AF1" s="17" t="s">
        <v>58</v>
      </c>
      <c r="AG1" s="17" t="s">
        <v>59</v>
      </c>
      <c r="AH1" s="17" t="s">
        <v>60</v>
      </c>
      <c r="AI1" s="17" t="s">
        <v>61</v>
      </c>
      <c r="AJ1" s="17" t="s">
        <v>62</v>
      </c>
    </row>
    <row r="2" spans="1:55" s="13" customFormat="1" ht="15" hidden="1" customHeight="1" thickBot="1" x14ac:dyDescent="0.25">
      <c r="A2" s="89"/>
      <c r="B2" s="90"/>
      <c r="C2" s="91"/>
      <c r="D2" s="92"/>
      <c r="E2" s="93"/>
      <c r="F2" s="94"/>
      <c r="G2" s="94"/>
      <c r="H2" s="95"/>
      <c r="I2" s="96"/>
      <c r="J2" s="91"/>
      <c r="K2" s="97"/>
      <c r="L2" s="98"/>
      <c r="M2" s="98"/>
      <c r="N2" s="98"/>
      <c r="O2" s="99"/>
      <c r="P2" s="98"/>
      <c r="Q2" s="98"/>
      <c r="R2" s="98"/>
      <c r="S2" s="99"/>
      <c r="T2" s="100"/>
      <c r="U2" s="101"/>
      <c r="V2" s="102"/>
      <c r="W2" s="103"/>
      <c r="X2" s="104"/>
      <c r="Y2" s="105"/>
      <c r="Z2" s="45"/>
      <c r="AA2" s="45" t="s">
        <v>12</v>
      </c>
      <c r="AB2" s="3" t="e">
        <f>T2-HLOOKUP(X2,Feuil1!$C$1:$BL$10,2,FALSE)</f>
        <v>#N/A</v>
      </c>
      <c r="AC2" s="3" t="e">
        <f>T2-HLOOKUP(X2,Feuil1!$C$1:$BL$10,3,FALSE)</f>
        <v>#N/A</v>
      </c>
      <c r="AD2" s="3" t="e">
        <f>T2-HLOOKUP(X2,Feuil1!$C$1:$BL$10,4,FALSE)</f>
        <v>#N/A</v>
      </c>
      <c r="AE2" s="3" t="e">
        <f>T2-HLOOKUP(X2,Feuil1!$C$1:$BL$10,5,FALSE)</f>
        <v>#N/A</v>
      </c>
      <c r="AF2" s="3" t="e">
        <f>T2-HLOOKUP(X2,Feuil1!$C$1:$BL$10,6,FALSE)</f>
        <v>#N/A</v>
      </c>
      <c r="AG2" s="3" t="e">
        <f>T2-HLOOKUP(X2,Feuil1!$C$1:$BL$10,7,FALSE)</f>
        <v>#N/A</v>
      </c>
      <c r="AH2" s="3" t="e">
        <f>T2-HLOOKUP(X2,Feuil1!$C$1:$BL$10,8,FALSE)</f>
        <v>#N/A</v>
      </c>
      <c r="AI2" s="3" t="e">
        <f>T2-HLOOKUP(X2,Feuil1!$C$1:$BL$10,9,FALSE)</f>
        <v>#N/A</v>
      </c>
      <c r="AJ2" s="3" t="e">
        <f>T2-HLOOKUP(X2,Feuil1!$C$1:$BL$10,10,FALSE)</f>
        <v>#N/A</v>
      </c>
      <c r="AK2" s="5"/>
      <c r="AL2" s="5"/>
      <c r="AM2" s="5"/>
      <c r="AN2" s="5"/>
      <c r="AO2" s="5"/>
      <c r="AP2" s="5"/>
      <c r="AQ2" s="5" t="e">
        <f t="shared" ref="AQ2" si="0">IF(AJ2&gt;=0,$AJ$1,IF(AI2&gt;=0,$AI$1,IF(AH2&gt;=0,$AH$1,IF(AG2&gt;=0,$AG$1,IF(AF2&gt;=0,$AF$1,IF(AE2&gt;=0,$AE$1,IF(AD2&gt;=0,$AD$1,IF(AC2&gt;=0,$AC$1,$AB$1))))))))</f>
        <v>#N/A</v>
      </c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</row>
    <row r="3" spans="1:55" s="13" customFormat="1" ht="21" hidden="1" x14ac:dyDescent="0.2">
      <c r="A3" s="12" t="s">
        <v>69</v>
      </c>
      <c r="B3" s="18" t="s">
        <v>108</v>
      </c>
      <c r="C3" s="19" t="s">
        <v>115</v>
      </c>
      <c r="D3" s="61">
        <v>1</v>
      </c>
      <c r="E3" s="35">
        <v>191333</v>
      </c>
      <c r="F3" s="20" t="s">
        <v>116</v>
      </c>
      <c r="G3" s="20" t="s">
        <v>117</v>
      </c>
      <c r="H3" s="51">
        <v>2001</v>
      </c>
      <c r="I3" s="30">
        <v>33.1</v>
      </c>
      <c r="J3" s="19" t="s">
        <v>118</v>
      </c>
      <c r="K3" s="34" t="s">
        <v>69</v>
      </c>
      <c r="L3" s="31">
        <v>21</v>
      </c>
      <c r="M3" s="31">
        <v>22</v>
      </c>
      <c r="N3" s="31">
        <v>23</v>
      </c>
      <c r="O3" s="36">
        <f>IF(H3="","",IF(MAXA(L3:N3)&lt;=0,0,MAXA(L3:N3)))</f>
        <v>23</v>
      </c>
      <c r="P3" s="31">
        <v>30</v>
      </c>
      <c r="Q3" s="31">
        <v>31</v>
      </c>
      <c r="R3" s="31">
        <v>32</v>
      </c>
      <c r="S3" s="36">
        <f>IF(H3="","",IF(MAXA(P3:R3)&lt;=0,0,MAXA(P3:R3)))</f>
        <v>32</v>
      </c>
      <c r="T3" s="37">
        <f>IF(H3="","",IF(OR(O3=0,S3=0),0,O3+S3))</f>
        <v>55</v>
      </c>
      <c r="U3" s="65">
        <f>T3-I3*2</f>
        <v>-11.200000000000003</v>
      </c>
      <c r="V3" s="41" t="str">
        <f>IF(H3="","",AQ3)</f>
        <v>FED +</v>
      </c>
      <c r="W3" s="33">
        <f>IF(AJ3&gt;=0,AJ3,IF(AI3&gt;=0,AI3,IF(AH3&gt;=0,AH3,IF(AG3&gt;=0,AG3,IF(AF3&gt;=0,AF3,IF(AE3&gt;=0,AE3,IF(AD3&gt;=0,AD3,IF(AC3&gt;=0,AC3,AB3))))))))</f>
        <v>5</v>
      </c>
      <c r="X3" s="40" t="str">
        <f>IF(I3="","",IF(A3="H",IF(OR(H3="SEN",H3&lt;1995),VLOOKUP(I3,Feuil1!$A$11:$G$29,6),IF(AND(H3&gt;1994,H3&lt;1998),VLOOKUP(I3,Feuil1!$A$11:$G$29,5),IF(AND(H3&gt;1997,H3&lt;2000),VLOOKUP(I3,Feuil1!$A$11:$G$29,4),IF(AND(H3&gt;1999,H3&lt;2002),VLOOKUP(I3,Feuil1!$A$11:$G$29,3),VLOOKUP(I3,Feuil1!$A$11:$G$29,2))))),IF(OR(H3="SEN",H3&lt;1995),VLOOKUP(I3,Feuil1!$G$11:$L$25,6),IF(AND(H3&gt;1994,H3&lt;1998),VLOOKUP(I3,Feuil1!$G$11:$L$25,5),IF(AND(H3&gt;1997,H3&lt;2000),VLOOKUP(I3,Feuil1!$G$11:$L$25,4),IF(AND(H3&gt;1999,H3&lt;2002),VLOOKUP(I3,Feuil1!$G$11:$L$25,3),VLOOKUP(I3,Feuil1!$G$11:$L$25,2)))))))</f>
        <v>FC1 40</v>
      </c>
      <c r="Y3" s="39">
        <f>IF(I3="","",IF(A3="H",10^(0.794358141*LOG(I3/174.393)^2)*T3,IF(A3="F",10^(0.89726074*LOG(I3/148.026)^2)*T3,"")))</f>
        <v>131.84099772325561</v>
      </c>
      <c r="Z3" s="45"/>
      <c r="AA3" s="45" t="s">
        <v>12</v>
      </c>
      <c r="AB3" s="3">
        <f>T3-HLOOKUP(X3,Feuil1!$C$1:$BL$10,2,FALSE)</f>
        <v>35</v>
      </c>
      <c r="AC3" s="3">
        <f>T3-HLOOKUP(X3,Feuil1!$C$1:$BL$10,3,FALSE)</f>
        <v>30</v>
      </c>
      <c r="AD3" s="3">
        <f>T3-HLOOKUP(X3,Feuil1!$C$1:$BL$10,4,FALSE)</f>
        <v>20</v>
      </c>
      <c r="AE3" s="3">
        <f>T3-HLOOKUP(X3,Feuil1!$C$1:$BL$10,5,FALSE)</f>
        <v>10</v>
      </c>
      <c r="AF3" s="3">
        <f>T3-HLOOKUP(X3,Feuil1!$C$1:$BL$10,6,FALSE)</f>
        <v>5</v>
      </c>
      <c r="AG3" s="3">
        <f>T3-HLOOKUP(X3,Feuil1!$C$1:$BL$10,7,FALSE)</f>
        <v>-5</v>
      </c>
      <c r="AH3" s="3">
        <f>T3-HLOOKUP(X3,Feuil1!$C$1:$BL$10,8,FALSE)</f>
        <v>-15</v>
      </c>
      <c r="AI3" s="3">
        <f>T3-HLOOKUP(X3,Feuil1!$C$1:$BL$10,9,FALSE)</f>
        <v>-25</v>
      </c>
      <c r="AJ3" s="3">
        <f>T3-HLOOKUP(X3,Feuil1!$C$1:$BL$10,10,FALSE)</f>
        <v>-945</v>
      </c>
      <c r="AK3" s="5"/>
      <c r="AL3" s="5"/>
      <c r="AM3" s="5"/>
      <c r="AN3" s="5"/>
      <c r="AO3" s="5"/>
      <c r="AP3" s="5"/>
      <c r="AQ3" s="5" t="str">
        <f>IF(AJ3&gt;=0,$AJ$1,IF(AI3&gt;=0,$AI$1,IF(AH3&gt;=0,$AH$1,IF(AG3&gt;=0,$AG$1,IF(AF3&gt;=0,$AF$1,IF(AE3&gt;=0,$AE$1,IF(AD3&gt;=0,$AD$1,IF(AC3&gt;=0,$AC$1,$AB$1))))))))</f>
        <v>FED +</v>
      </c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</row>
    <row r="4" spans="1:55" ht="21" hidden="1" x14ac:dyDescent="0.2">
      <c r="A4" s="12" t="s">
        <v>69</v>
      </c>
      <c r="B4" s="18" t="s">
        <v>298</v>
      </c>
      <c r="C4" s="19" t="s">
        <v>476</v>
      </c>
      <c r="D4" s="61">
        <v>2</v>
      </c>
      <c r="E4" s="35">
        <v>332467</v>
      </c>
      <c r="F4" s="20" t="s">
        <v>482</v>
      </c>
      <c r="G4" s="20" t="s">
        <v>483</v>
      </c>
      <c r="H4" s="51">
        <v>2000</v>
      </c>
      <c r="I4" s="30">
        <v>37.61</v>
      </c>
      <c r="J4" s="19" t="s">
        <v>484</v>
      </c>
      <c r="K4" s="34" t="s">
        <v>69</v>
      </c>
      <c r="L4" s="31">
        <v>15</v>
      </c>
      <c r="M4" s="31">
        <v>18</v>
      </c>
      <c r="N4" s="31">
        <v>-20</v>
      </c>
      <c r="O4" s="36">
        <f>IF(H4="","",IF(MAXA(L4:N4)&lt;=0,0,MAXA(L4:N4)))</f>
        <v>18</v>
      </c>
      <c r="P4" s="31">
        <v>25</v>
      </c>
      <c r="Q4" s="31">
        <v>27</v>
      </c>
      <c r="R4" s="31">
        <v>-29</v>
      </c>
      <c r="S4" s="36">
        <f>IF(H4="","",IF(MAXA(P4:R4)&lt;=0,0,MAXA(P4:R4)))</f>
        <v>27</v>
      </c>
      <c r="T4" s="37">
        <f>IF(H4="","",IF(OR(O4=0,S4=0),0,O4+S4))</f>
        <v>45</v>
      </c>
      <c r="U4" s="65">
        <f>T4-I4*2</f>
        <v>-30.22</v>
      </c>
      <c r="V4" s="41" t="str">
        <f>IF(H4="","",AQ4)</f>
        <v>IRG +</v>
      </c>
      <c r="W4" s="33">
        <f>IF(AJ4&gt;=0,AJ4,IF(AI4&gt;=0,AI4,IF(AH4&gt;=0,AH4,IF(AG4&gt;=0,AG4,IF(AF4&gt;=0,AF4,IF(AE4&gt;=0,AE4,IF(AD4&gt;=0,AD4,IF(AC4&gt;=0,AC4,AB4))))))))</f>
        <v>0</v>
      </c>
      <c r="X4" s="40" t="str">
        <f>IF(I4="","",IF(A4="H",IF(OR(H4="SEN",H4&lt;1995),VLOOKUP(I4,Feuil1!$A$11:$G$29,6),IF(AND(H4&gt;1994,H4&lt;1998),VLOOKUP(I4,Feuil1!$A$11:$G$29,5),IF(AND(H4&gt;1997,H4&lt;2000),VLOOKUP(I4,Feuil1!$A$11:$G$29,4),IF(AND(H4&gt;1999,H4&lt;2002),VLOOKUP(I4,Feuil1!$A$11:$G$29,3),VLOOKUP(I4,Feuil1!$A$11:$G$29,2))))),IF(OR(H4="SEN",H4&lt;1995),VLOOKUP(I4,Feuil1!$G$11:$L$25,6),IF(AND(H4&gt;1994,H4&lt;1998),VLOOKUP(I4,Feuil1!$G$11:$L$25,5),IF(AND(H4&gt;1997,H4&lt;2000),VLOOKUP(I4,Feuil1!$G$11:$L$25,4),IF(AND(H4&gt;1999,H4&lt;2002),VLOOKUP(I4,Feuil1!$G$11:$L$25,3),VLOOKUP(I4,Feuil1!$G$11:$L$25,2)))))))</f>
        <v>FC1 40</v>
      </c>
      <c r="Y4" s="39">
        <f>IF(I4="","",IF(A4="H",10^(0.794358141*LOG(I4/174.393)^2)*T4,IF(A4="F",10^(0.89726074*LOG(I4/148.026)^2)*T4,"")))</f>
        <v>93.519519582534087</v>
      </c>
      <c r="Z4" s="45"/>
      <c r="AA4" s="45" t="s">
        <v>12</v>
      </c>
      <c r="AB4" s="3">
        <f>T4-HLOOKUP(X4,Feuil1!$C$1:$BL$10,2,FALSE)</f>
        <v>25</v>
      </c>
      <c r="AC4" s="3">
        <f>T4-HLOOKUP(X4,Feuil1!$C$1:$BL$10,3,FALSE)</f>
        <v>20</v>
      </c>
      <c r="AD4" s="3">
        <f>T4-HLOOKUP(X4,Feuil1!$C$1:$BL$10,4,FALSE)</f>
        <v>10</v>
      </c>
      <c r="AE4" s="3">
        <f>T4-HLOOKUP(X4,Feuil1!$C$1:$BL$10,5,FALSE)</f>
        <v>0</v>
      </c>
      <c r="AF4" s="3">
        <f>T4-HLOOKUP(X4,Feuil1!$C$1:$BL$10,6,FALSE)</f>
        <v>-5</v>
      </c>
      <c r="AG4" s="3">
        <f>T4-HLOOKUP(X4,Feuil1!$C$1:$BL$10,7,FALSE)</f>
        <v>-15</v>
      </c>
      <c r="AH4" s="3">
        <f>T4-HLOOKUP(X4,Feuil1!$C$1:$BL$10,8,FALSE)</f>
        <v>-25</v>
      </c>
      <c r="AI4" s="3">
        <f>T4-HLOOKUP(X4,Feuil1!$C$1:$BL$10,9,FALSE)</f>
        <v>-35</v>
      </c>
      <c r="AJ4" s="3">
        <f>T4-HLOOKUP(X4,Feuil1!$C$1:$BL$10,10,FALSE)</f>
        <v>-955</v>
      </c>
      <c r="AQ4" s="5" t="str">
        <f>IF(AJ4&gt;=0,$AJ$1,IF(AI4&gt;=0,$AI$1,IF(AH4&gt;=0,$AH$1,IF(AG4&gt;=0,$AG$1,IF(AF4&gt;=0,$AF$1,IF(AE4&gt;=0,$AE$1,IF(AD4&gt;=0,$AD$1,IF(AC4&gt;=0,$AC$1,$AB$1))))))))</f>
        <v>IRG +</v>
      </c>
    </row>
    <row r="5" spans="1:55" ht="21" hidden="1" x14ac:dyDescent="0.2">
      <c r="A5" s="12" t="s">
        <v>69</v>
      </c>
      <c r="B5" s="18" t="s">
        <v>71</v>
      </c>
      <c r="C5" s="19" t="s">
        <v>872</v>
      </c>
      <c r="D5" s="61">
        <v>3</v>
      </c>
      <c r="E5" s="35">
        <v>378497</v>
      </c>
      <c r="F5" s="20" t="s">
        <v>866</v>
      </c>
      <c r="G5" s="20" t="s">
        <v>867</v>
      </c>
      <c r="H5" s="51">
        <v>2001</v>
      </c>
      <c r="I5" s="30">
        <v>35.200000000000003</v>
      </c>
      <c r="J5" s="19" t="s">
        <v>868</v>
      </c>
      <c r="K5" s="34" t="s">
        <v>69</v>
      </c>
      <c r="L5" s="31">
        <v>14</v>
      </c>
      <c r="M5" s="31">
        <v>17</v>
      </c>
      <c r="N5" s="31">
        <v>19</v>
      </c>
      <c r="O5" s="36">
        <f>IF(H5="","",IF(MAXA(L5:N5)&lt;=0,0,MAXA(L5:N5)))</f>
        <v>19</v>
      </c>
      <c r="P5" s="31">
        <v>-20</v>
      </c>
      <c r="Q5" s="31">
        <v>21</v>
      </c>
      <c r="R5" s="31">
        <v>23</v>
      </c>
      <c r="S5" s="36">
        <f>IF(H5="","",IF(MAXA(P5:R5)&lt;=0,0,MAXA(P5:R5)))</f>
        <v>23</v>
      </c>
      <c r="T5" s="37">
        <f>IF(H5="","",IF(OR(O5=0,S5=0),0,O5+S5))</f>
        <v>42</v>
      </c>
      <c r="U5" s="65">
        <f>T5-I5*2</f>
        <v>-28.400000000000006</v>
      </c>
      <c r="V5" s="41" t="str">
        <f>IF(H5="","",AQ5)</f>
        <v>REG +</v>
      </c>
      <c r="W5" s="33">
        <f>IF(AJ5&gt;=0,AJ5,IF(AI5&gt;=0,AI5,IF(AH5&gt;=0,AH5,IF(AG5&gt;=0,AG5,IF(AF5&gt;=0,AF5,IF(AE5&gt;=0,AE5,IF(AD5&gt;=0,AD5,IF(AC5&gt;=0,AC5,AB5))))))))</f>
        <v>7</v>
      </c>
      <c r="X5" s="40" t="str">
        <f>IF(I5="","",IF(A5="H",IF(OR(H5="SEN",H5&lt;1995),VLOOKUP(I5,Feuil1!$A$11:$G$29,6),IF(AND(H5&gt;1994,H5&lt;1998),VLOOKUP(I5,Feuil1!$A$11:$G$29,5),IF(AND(H5&gt;1997,H5&lt;2000),VLOOKUP(I5,Feuil1!$A$11:$G$29,4),IF(AND(H5&gt;1999,H5&lt;2002),VLOOKUP(I5,Feuil1!$A$11:$G$29,3),VLOOKUP(I5,Feuil1!$A$11:$G$29,2))))),IF(OR(H5="SEN",H5&lt;1995),VLOOKUP(I5,Feuil1!$G$11:$L$25,6),IF(AND(H5&gt;1994,H5&lt;1998),VLOOKUP(I5,Feuil1!$G$11:$L$25,5),IF(AND(H5&gt;1997,H5&lt;2000),VLOOKUP(I5,Feuil1!$G$11:$L$25,4),IF(AND(H5&gt;1999,H5&lt;2002),VLOOKUP(I5,Feuil1!$G$11:$L$25,3),VLOOKUP(I5,Feuil1!$G$11:$L$25,2)))))))</f>
        <v>FC1 40</v>
      </c>
      <c r="Y5" s="39">
        <f>IF(I5="","",IF(A5="H",10^(0.794358141*LOG(I5/174.393)^2)*T5,IF(A5="F",10^(0.89726074*LOG(I5/148.026)^2)*T5,"")))</f>
        <v>93.840854044000253</v>
      </c>
      <c r="Z5" s="45"/>
      <c r="AA5" s="45" t="s">
        <v>12</v>
      </c>
      <c r="AB5" s="3">
        <f>T5-HLOOKUP(X5,Feuil1!$C$1:$BL$10,2,FALSE)</f>
        <v>22</v>
      </c>
      <c r="AC5" s="3">
        <f>T5-HLOOKUP(X5,Feuil1!$C$1:$BL$10,3,FALSE)</f>
        <v>17</v>
      </c>
      <c r="AD5" s="3">
        <f>T5-HLOOKUP(X5,Feuil1!$C$1:$BL$10,4,FALSE)</f>
        <v>7</v>
      </c>
      <c r="AE5" s="3">
        <f>T5-HLOOKUP(X5,Feuil1!$C$1:$BL$10,5,FALSE)</f>
        <v>-3</v>
      </c>
      <c r="AF5" s="3">
        <f>T5-HLOOKUP(X5,Feuil1!$C$1:$BL$10,6,FALSE)</f>
        <v>-8</v>
      </c>
      <c r="AG5" s="3">
        <f>T5-HLOOKUP(X5,Feuil1!$C$1:$BL$10,7,FALSE)</f>
        <v>-18</v>
      </c>
      <c r="AH5" s="3">
        <f>T5-HLOOKUP(X5,Feuil1!$C$1:$BL$10,8,FALSE)</f>
        <v>-28</v>
      </c>
      <c r="AI5" s="3">
        <f>T5-HLOOKUP(X5,Feuil1!$C$1:$BL$10,9,FALSE)</f>
        <v>-38</v>
      </c>
      <c r="AJ5" s="3">
        <f>T5-HLOOKUP(X5,Feuil1!$C$1:$BL$10,10,FALSE)</f>
        <v>-958</v>
      </c>
      <c r="AQ5" s="5" t="str">
        <f>IF(AJ5&gt;=0,$AJ$1,IF(AI5&gt;=0,$AI$1,IF(AH5&gt;=0,$AH$1,IF(AG5&gt;=0,$AG$1,IF(AF5&gt;=0,$AF$1,IF(AE5&gt;=0,$AE$1,IF(AD5&gt;=0,$AD$1,IF(AC5&gt;=0,$AC$1,$AB$1))))))))</f>
        <v>REG +</v>
      </c>
      <c r="BC5" s="13"/>
    </row>
    <row r="6" spans="1:55" s="13" customFormat="1" ht="15" hidden="1" customHeight="1" thickBot="1" x14ac:dyDescent="0.25">
      <c r="A6" s="89"/>
      <c r="B6" s="90"/>
      <c r="C6" s="91"/>
      <c r="D6" s="92"/>
      <c r="E6" s="93"/>
      <c r="F6" s="94"/>
      <c r="G6" s="94"/>
      <c r="H6" s="95"/>
      <c r="I6" s="96"/>
      <c r="J6" s="91"/>
      <c r="K6" s="97"/>
      <c r="L6" s="98"/>
      <c r="M6" s="98"/>
      <c r="N6" s="98"/>
      <c r="O6" s="99"/>
      <c r="P6" s="98"/>
      <c r="Q6" s="98"/>
      <c r="R6" s="98"/>
      <c r="S6" s="99"/>
      <c r="T6" s="100"/>
      <c r="U6" s="101"/>
      <c r="V6" s="102"/>
      <c r="W6" s="103"/>
      <c r="X6" s="104"/>
      <c r="Y6" s="105"/>
      <c r="Z6" s="45"/>
      <c r="AA6" s="45" t="s">
        <v>12</v>
      </c>
      <c r="AB6" s="3" t="e">
        <f>T6-HLOOKUP(X6,Feuil1!$C$1:$BL$10,2,FALSE)</f>
        <v>#N/A</v>
      </c>
      <c r="AC6" s="3" t="e">
        <f>T6-HLOOKUP(X6,Feuil1!$C$1:$BL$10,3,FALSE)</f>
        <v>#N/A</v>
      </c>
      <c r="AD6" s="3" t="e">
        <f>T6-HLOOKUP(X6,Feuil1!$C$1:$BL$10,4,FALSE)</f>
        <v>#N/A</v>
      </c>
      <c r="AE6" s="3" t="e">
        <f>T6-HLOOKUP(X6,Feuil1!$C$1:$BL$10,5,FALSE)</f>
        <v>#N/A</v>
      </c>
      <c r="AF6" s="3" t="e">
        <f>T6-HLOOKUP(X6,Feuil1!$C$1:$BL$10,6,FALSE)</f>
        <v>#N/A</v>
      </c>
      <c r="AG6" s="3" t="e">
        <f>T6-HLOOKUP(X6,Feuil1!$C$1:$BL$10,7,FALSE)</f>
        <v>#N/A</v>
      </c>
      <c r="AH6" s="3" t="e">
        <f>T6-HLOOKUP(X6,Feuil1!$C$1:$BL$10,8,FALSE)</f>
        <v>#N/A</v>
      </c>
      <c r="AI6" s="3" t="e">
        <f>T6-HLOOKUP(X6,Feuil1!$C$1:$BL$10,9,FALSE)</f>
        <v>#N/A</v>
      </c>
      <c r="AJ6" s="3" t="e">
        <f>T6-HLOOKUP(X6,Feuil1!$C$1:$BL$10,10,FALSE)</f>
        <v>#N/A</v>
      </c>
      <c r="AK6" s="5"/>
      <c r="AL6" s="5"/>
      <c r="AM6" s="5"/>
      <c r="AN6" s="5"/>
      <c r="AO6" s="5"/>
      <c r="AP6" s="5"/>
      <c r="AQ6" s="5" t="e">
        <f t="shared" ref="AQ6" si="1">IF(AJ6&gt;=0,$AJ$1,IF(AI6&gt;=0,$AI$1,IF(AH6&gt;=0,$AH$1,IF(AG6&gt;=0,$AG$1,IF(AF6&gt;=0,$AF$1,IF(AE6&gt;=0,$AE$1,IF(AD6&gt;=0,$AD$1,IF(AC6&gt;=0,$AC$1,$AB$1))))))))</f>
        <v>#N/A</v>
      </c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</row>
    <row r="7" spans="1:55" ht="21" x14ac:dyDescent="0.2">
      <c r="A7" s="12" t="s">
        <v>69</v>
      </c>
      <c r="B7" s="18" t="s">
        <v>108</v>
      </c>
      <c r="C7" s="19" t="s">
        <v>119</v>
      </c>
      <c r="D7" s="61">
        <v>1</v>
      </c>
      <c r="E7" s="35">
        <v>244336</v>
      </c>
      <c r="F7" s="20" t="s">
        <v>120</v>
      </c>
      <c r="G7" s="20" t="s">
        <v>510</v>
      </c>
      <c r="H7" s="51">
        <v>2000</v>
      </c>
      <c r="I7" s="30">
        <v>43.5</v>
      </c>
      <c r="J7" s="19" t="s">
        <v>122</v>
      </c>
      <c r="K7" s="34" t="s">
        <v>69</v>
      </c>
      <c r="L7" s="31">
        <v>37</v>
      </c>
      <c r="M7" s="31">
        <v>40</v>
      </c>
      <c r="N7" s="31">
        <v>42</v>
      </c>
      <c r="O7" s="36">
        <f t="shared" ref="O7:O12" si="2">IF(H7="","",IF(MAXA(L7:N7)&lt;=0,0,MAXA(L7:N7)))</f>
        <v>42</v>
      </c>
      <c r="P7" s="31">
        <v>46</v>
      </c>
      <c r="Q7" s="31">
        <v>49</v>
      </c>
      <c r="R7" s="31">
        <v>52</v>
      </c>
      <c r="S7" s="36">
        <f t="shared" ref="S7:S12" si="3">IF(H7="","",IF(MAXA(P7:R7)&lt;=0,0,MAXA(P7:R7)))</f>
        <v>52</v>
      </c>
      <c r="T7" s="37">
        <f t="shared" ref="T7:T12" si="4">IF(H7="","",IF(OR(O7=0,S7=0),0,O7+S7))</f>
        <v>94</v>
      </c>
      <c r="U7" s="65">
        <f t="shared" ref="U7:U12" si="5">T7-I7*2</f>
        <v>7</v>
      </c>
      <c r="V7" s="41" t="str">
        <f t="shared" ref="V7:V12" si="6">IF(H7="","",AQ7)</f>
        <v>INTA +</v>
      </c>
      <c r="W7" s="33">
        <f t="shared" ref="W7:W12" si="7">IF(AJ7&gt;=0,AJ7,IF(AI7&gt;=0,AI7,IF(AH7&gt;=0,AH7,IF(AG7&gt;=0,AG7,IF(AF7&gt;=0,AF7,IF(AE7&gt;=0,AE7,IF(AD7&gt;=0,AD7,IF(AC7&gt;=0,AC7,AB7))))))))</f>
        <v>4</v>
      </c>
      <c r="X7" s="40" t="str">
        <f>IF(I7="","",IF(A7="H",IF(OR(H7="SEN",H7&lt;1995),VLOOKUP(I7,Feuil1!$A$11:$G$29,6),IF(AND(H7&gt;1994,H7&lt;1998),VLOOKUP(I7,Feuil1!$A$11:$G$29,5),IF(AND(H7&gt;1997,H7&lt;2000),VLOOKUP(I7,Feuil1!$A$11:$G$29,4),IF(AND(H7&gt;1999,H7&lt;2002),VLOOKUP(I7,Feuil1!$A$11:$G$29,3),VLOOKUP(I7,Feuil1!$A$11:$G$29,2))))),IF(OR(H7="SEN",H7&lt;1995),VLOOKUP(I7,Feuil1!$G$11:$L$25,6),IF(AND(H7&gt;1994,H7&lt;1998),VLOOKUP(I7,Feuil1!$G$11:$L$25,5),IF(AND(H7&gt;1997,H7&lt;2000),VLOOKUP(I7,Feuil1!$G$11:$L$25,4),IF(AND(H7&gt;1999,H7&lt;2002),VLOOKUP(I7,Feuil1!$G$11:$L$25,3),VLOOKUP(I7,Feuil1!$G$11:$L$25,2)))))))</f>
        <v>FC1 44</v>
      </c>
      <c r="Y7" s="39">
        <f t="shared" ref="Y7:Y12" si="8">IF(I7="","",IF(A7="H",10^(0.794358141*LOG(I7/174.393)^2)*T7,IF(A7="F",10^(0.89726074*LOG(I7/148.026)^2)*T7,"")))</f>
        <v>168.62804246747376</v>
      </c>
      <c r="Z7" s="45"/>
      <c r="AA7" s="45" t="s">
        <v>12</v>
      </c>
      <c r="AB7" s="3">
        <f>T7-HLOOKUP(X7,Feuil1!$C$1:$BL$10,2,FALSE)</f>
        <v>69</v>
      </c>
      <c r="AC7" s="3">
        <f>T7-HLOOKUP(X7,Feuil1!$C$1:$BL$10,3,FALSE)</f>
        <v>59</v>
      </c>
      <c r="AD7" s="3">
        <f>T7-HLOOKUP(X7,Feuil1!$C$1:$BL$10,4,FALSE)</f>
        <v>54</v>
      </c>
      <c r="AE7" s="3">
        <f>T7-HLOOKUP(X7,Feuil1!$C$1:$BL$10,5,FALSE)</f>
        <v>44</v>
      </c>
      <c r="AF7" s="3">
        <f>T7-HLOOKUP(X7,Feuil1!$C$1:$BL$10,6,FALSE)</f>
        <v>34</v>
      </c>
      <c r="AG7" s="3">
        <f>T7-HLOOKUP(X7,Feuil1!$C$1:$BL$10,7,FALSE)</f>
        <v>24</v>
      </c>
      <c r="AH7" s="3">
        <f>T7-HLOOKUP(X7,Feuil1!$C$1:$BL$10,8,FALSE)</f>
        <v>14</v>
      </c>
      <c r="AI7" s="3">
        <f>T7-HLOOKUP(X7,Feuil1!$C$1:$BL$10,9,FALSE)</f>
        <v>4</v>
      </c>
      <c r="AJ7" s="3">
        <f>T7-HLOOKUP(X7,Feuil1!$C$1:$BL$10,10,FALSE)</f>
        <v>-906</v>
      </c>
      <c r="AQ7" s="5" t="str">
        <f t="shared" ref="AQ7:AQ12" si="9">IF(AJ7&gt;=0,$AJ$1,IF(AI7&gt;=0,$AI$1,IF(AH7&gt;=0,$AH$1,IF(AG7&gt;=0,$AG$1,IF(AF7&gt;=0,$AF$1,IF(AE7&gt;=0,$AE$1,IF(AD7&gt;=0,$AD$1,IF(AC7&gt;=0,$AC$1,$AB$1))))))))</f>
        <v>INTA +</v>
      </c>
    </row>
    <row r="8" spans="1:55" ht="21" x14ac:dyDescent="0.2">
      <c r="A8" s="12" t="s">
        <v>69</v>
      </c>
      <c r="B8" s="18" t="s">
        <v>721</v>
      </c>
      <c r="C8" s="19" t="s">
        <v>722</v>
      </c>
      <c r="D8" s="61">
        <v>2</v>
      </c>
      <c r="E8" s="35">
        <v>379232</v>
      </c>
      <c r="F8" s="20" t="s">
        <v>723</v>
      </c>
      <c r="G8" s="20" t="s">
        <v>724</v>
      </c>
      <c r="H8" s="51">
        <v>2000</v>
      </c>
      <c r="I8" s="30">
        <v>43.96</v>
      </c>
      <c r="J8" s="19" t="s">
        <v>725</v>
      </c>
      <c r="K8" s="34" t="s">
        <v>69</v>
      </c>
      <c r="L8" s="31">
        <v>30</v>
      </c>
      <c r="M8" s="31">
        <v>33</v>
      </c>
      <c r="N8" s="31">
        <v>35</v>
      </c>
      <c r="O8" s="36">
        <f t="shared" si="2"/>
        <v>35</v>
      </c>
      <c r="P8" s="31">
        <v>40</v>
      </c>
      <c r="Q8" s="31">
        <v>43</v>
      </c>
      <c r="R8" s="31">
        <v>45</v>
      </c>
      <c r="S8" s="36">
        <f t="shared" si="3"/>
        <v>45</v>
      </c>
      <c r="T8" s="37">
        <f t="shared" si="4"/>
        <v>80</v>
      </c>
      <c r="U8" s="65">
        <f t="shared" si="5"/>
        <v>-7.9200000000000017</v>
      </c>
      <c r="V8" s="41" t="str">
        <f t="shared" si="6"/>
        <v>INTB +</v>
      </c>
      <c r="W8" s="33">
        <f t="shared" si="7"/>
        <v>0</v>
      </c>
      <c r="X8" s="40" t="str">
        <f>IF(I8="","",IF(A8="H",IF(OR(H8="SEN",H8&lt;1995),VLOOKUP(I8,Feuil1!$A$11:$G$29,6),IF(AND(H8&gt;1994,H8&lt;1998),VLOOKUP(I8,Feuil1!$A$11:$G$29,5),IF(AND(H8&gt;1997,H8&lt;2000),VLOOKUP(I8,Feuil1!$A$11:$G$29,4),IF(AND(H8&gt;1999,H8&lt;2002),VLOOKUP(I8,Feuil1!$A$11:$G$29,3),VLOOKUP(I8,Feuil1!$A$11:$G$29,2))))),IF(OR(H8="SEN",H8&lt;1995),VLOOKUP(I8,Feuil1!$G$11:$L$25,6),IF(AND(H8&gt;1994,H8&lt;1998),VLOOKUP(I8,Feuil1!$G$11:$L$25,5),IF(AND(H8&gt;1997,H8&lt;2000),VLOOKUP(I8,Feuil1!$G$11:$L$25,4),IF(AND(H8&gt;1999,H8&lt;2002),VLOOKUP(I8,Feuil1!$G$11:$L$25,3),VLOOKUP(I8,Feuil1!$G$11:$L$25,2)))))))</f>
        <v>FC1 44</v>
      </c>
      <c r="Y8" s="39">
        <f t="shared" si="8"/>
        <v>142.08573810880586</v>
      </c>
      <c r="Z8" s="45"/>
      <c r="AA8" s="45" t="s">
        <v>12</v>
      </c>
      <c r="AB8" s="3">
        <f>T8-HLOOKUP(X8,Feuil1!$C$1:$BL$10,2,FALSE)</f>
        <v>55</v>
      </c>
      <c r="AC8" s="3">
        <f>T8-HLOOKUP(X8,Feuil1!$C$1:$BL$10,3,FALSE)</f>
        <v>45</v>
      </c>
      <c r="AD8" s="3">
        <f>T8-HLOOKUP(X8,Feuil1!$C$1:$BL$10,4,FALSE)</f>
        <v>40</v>
      </c>
      <c r="AE8" s="3">
        <f>T8-HLOOKUP(X8,Feuil1!$C$1:$BL$10,5,FALSE)</f>
        <v>30</v>
      </c>
      <c r="AF8" s="3">
        <f>T8-HLOOKUP(X8,Feuil1!$C$1:$BL$10,6,FALSE)</f>
        <v>20</v>
      </c>
      <c r="AG8" s="3">
        <f>T8-HLOOKUP(X8,Feuil1!$C$1:$BL$10,7,FALSE)</f>
        <v>10</v>
      </c>
      <c r="AH8" s="3">
        <f>T8-HLOOKUP(X8,Feuil1!$C$1:$BL$10,8,FALSE)</f>
        <v>0</v>
      </c>
      <c r="AI8" s="3">
        <f>T8-HLOOKUP(X8,Feuil1!$C$1:$BL$10,9,FALSE)</f>
        <v>-10</v>
      </c>
      <c r="AJ8" s="3">
        <f>T8-HLOOKUP(X8,Feuil1!$C$1:$BL$10,10,FALSE)</f>
        <v>-920</v>
      </c>
      <c r="AQ8" s="5" t="str">
        <f t="shared" si="9"/>
        <v>INTB +</v>
      </c>
      <c r="BC8" s="13"/>
    </row>
    <row r="9" spans="1:55" ht="21" x14ac:dyDescent="0.2">
      <c r="A9" s="12" t="s">
        <v>69</v>
      </c>
      <c r="B9" s="18" t="s">
        <v>298</v>
      </c>
      <c r="C9" s="19" t="s">
        <v>299</v>
      </c>
      <c r="D9" s="61">
        <v>3</v>
      </c>
      <c r="E9" s="35">
        <v>357786</v>
      </c>
      <c r="F9" s="20" t="s">
        <v>300</v>
      </c>
      <c r="G9" s="20" t="s">
        <v>301</v>
      </c>
      <c r="H9" s="51">
        <v>2000</v>
      </c>
      <c r="I9" s="30">
        <v>43.8</v>
      </c>
      <c r="J9" s="19" t="s">
        <v>302</v>
      </c>
      <c r="K9" s="34" t="s">
        <v>69</v>
      </c>
      <c r="L9" s="31">
        <v>30</v>
      </c>
      <c r="M9" s="31">
        <v>-34</v>
      </c>
      <c r="N9" s="31">
        <v>34</v>
      </c>
      <c r="O9" s="36">
        <f t="shared" si="2"/>
        <v>34</v>
      </c>
      <c r="P9" s="31">
        <v>40</v>
      </c>
      <c r="Q9" s="31">
        <v>45</v>
      </c>
      <c r="R9" s="31">
        <v>-50</v>
      </c>
      <c r="S9" s="36">
        <f t="shared" si="3"/>
        <v>45</v>
      </c>
      <c r="T9" s="37">
        <f t="shared" si="4"/>
        <v>79</v>
      </c>
      <c r="U9" s="65">
        <f t="shared" si="5"/>
        <v>-8.5999999999999943</v>
      </c>
      <c r="V9" s="41" t="str">
        <f t="shared" si="6"/>
        <v>NAT +</v>
      </c>
      <c r="W9" s="33">
        <f t="shared" si="7"/>
        <v>9</v>
      </c>
      <c r="X9" s="40" t="str">
        <f>IF(I9="","",IF(A9="H",IF(OR(H9="SEN",H9&lt;1995),VLOOKUP(I9,Feuil1!$A$11:$G$29,6),IF(AND(H9&gt;1994,H9&lt;1998),VLOOKUP(I9,Feuil1!$A$11:$G$29,5),IF(AND(H9&gt;1997,H9&lt;2000),VLOOKUP(I9,Feuil1!$A$11:$G$29,4),IF(AND(H9&gt;1999,H9&lt;2002),VLOOKUP(I9,Feuil1!$A$11:$G$29,3),VLOOKUP(I9,Feuil1!$A$11:$G$29,2))))),IF(OR(H9="SEN",H9&lt;1995),VLOOKUP(I9,Feuil1!$G$11:$L$25,6),IF(AND(H9&gt;1994,H9&lt;1998),VLOOKUP(I9,Feuil1!$G$11:$L$25,5),IF(AND(H9&gt;1997,H9&lt;2000),VLOOKUP(I9,Feuil1!$G$11:$L$25,4),IF(AND(H9&gt;1999,H9&lt;2002),VLOOKUP(I9,Feuil1!$G$11:$L$25,3),VLOOKUP(I9,Feuil1!$G$11:$L$25,2)))))))</f>
        <v>FC1 44</v>
      </c>
      <c r="Y9" s="39">
        <f t="shared" si="8"/>
        <v>140.79532809649223</v>
      </c>
      <c r="Z9" s="45"/>
      <c r="AA9" s="45" t="s">
        <v>12</v>
      </c>
      <c r="AB9" s="3">
        <f>T9-HLOOKUP(X9,Feuil1!$C$1:$BL$10,2,FALSE)</f>
        <v>54</v>
      </c>
      <c r="AC9" s="3">
        <f>T9-HLOOKUP(X9,Feuil1!$C$1:$BL$10,3,FALSE)</f>
        <v>44</v>
      </c>
      <c r="AD9" s="3">
        <f>T9-HLOOKUP(X9,Feuil1!$C$1:$BL$10,4,FALSE)</f>
        <v>39</v>
      </c>
      <c r="AE9" s="3">
        <f>T9-HLOOKUP(X9,Feuil1!$C$1:$BL$10,5,FALSE)</f>
        <v>29</v>
      </c>
      <c r="AF9" s="3">
        <f>T9-HLOOKUP(X9,Feuil1!$C$1:$BL$10,6,FALSE)</f>
        <v>19</v>
      </c>
      <c r="AG9" s="3">
        <f>T9-HLOOKUP(X9,Feuil1!$C$1:$BL$10,7,FALSE)</f>
        <v>9</v>
      </c>
      <c r="AH9" s="3">
        <f>T9-HLOOKUP(X9,Feuil1!$C$1:$BL$10,8,FALSE)</f>
        <v>-1</v>
      </c>
      <c r="AI9" s="3">
        <f>T9-HLOOKUP(X9,Feuil1!$C$1:$BL$10,9,FALSE)</f>
        <v>-11</v>
      </c>
      <c r="AJ9" s="3">
        <f>T9-HLOOKUP(X9,Feuil1!$C$1:$BL$10,10,FALSE)</f>
        <v>-921</v>
      </c>
      <c r="AQ9" s="5" t="str">
        <f t="shared" si="9"/>
        <v>NAT +</v>
      </c>
    </row>
    <row r="10" spans="1:55" ht="21" x14ac:dyDescent="0.2">
      <c r="A10" s="12" t="s">
        <v>69</v>
      </c>
      <c r="B10" s="18" t="s">
        <v>298</v>
      </c>
      <c r="C10" s="19" t="s">
        <v>404</v>
      </c>
      <c r="D10" s="61">
        <v>4</v>
      </c>
      <c r="E10" s="35">
        <v>367010</v>
      </c>
      <c r="F10" s="20" t="s">
        <v>408</v>
      </c>
      <c r="G10" s="20" t="s">
        <v>409</v>
      </c>
      <c r="H10" s="51">
        <v>2000</v>
      </c>
      <c r="I10" s="30">
        <v>43.9</v>
      </c>
      <c r="J10" s="19" t="s">
        <v>406</v>
      </c>
      <c r="K10" s="34" t="s">
        <v>69</v>
      </c>
      <c r="L10" s="31">
        <v>28</v>
      </c>
      <c r="M10" s="31">
        <v>30</v>
      </c>
      <c r="N10" s="31">
        <v>-32</v>
      </c>
      <c r="O10" s="36">
        <f t="shared" si="2"/>
        <v>30</v>
      </c>
      <c r="P10" s="31">
        <v>40</v>
      </c>
      <c r="Q10" s="31">
        <v>43</v>
      </c>
      <c r="R10" s="31">
        <v>45</v>
      </c>
      <c r="S10" s="36">
        <f t="shared" si="3"/>
        <v>45</v>
      </c>
      <c r="T10" s="37">
        <f t="shared" si="4"/>
        <v>75</v>
      </c>
      <c r="U10" s="65">
        <f t="shared" si="5"/>
        <v>-12.799999999999997</v>
      </c>
      <c r="V10" s="41" t="str">
        <f t="shared" si="6"/>
        <v>NAT +</v>
      </c>
      <c r="W10" s="33">
        <f t="shared" si="7"/>
        <v>5</v>
      </c>
      <c r="X10" s="40" t="str">
        <f>IF(I10="","",IF(A10="H",IF(OR(H10="SEN",H10&lt;1995),VLOOKUP(I10,Feuil1!$A$11:$G$29,6),IF(AND(H10&gt;1994,H10&lt;1998),VLOOKUP(I10,Feuil1!$A$11:$G$29,5),IF(AND(H10&gt;1997,H10&lt;2000),VLOOKUP(I10,Feuil1!$A$11:$G$29,4),IF(AND(H10&gt;1999,H10&lt;2002),VLOOKUP(I10,Feuil1!$A$11:$G$29,3),VLOOKUP(I10,Feuil1!$A$11:$G$29,2))))),IF(OR(H10="SEN",H10&lt;1995),VLOOKUP(I10,Feuil1!$G$11:$L$25,6),IF(AND(H10&gt;1994,H10&lt;1998),VLOOKUP(I10,Feuil1!$G$11:$L$25,5),IF(AND(H10&gt;1997,H10&lt;2000),VLOOKUP(I10,Feuil1!$G$11:$L$25,4),IF(AND(H10&gt;1999,H10&lt;2002),VLOOKUP(I10,Feuil1!$G$11:$L$25,3),VLOOKUP(I10,Feuil1!$G$11:$L$25,2)))))))</f>
        <v>FC1 44</v>
      </c>
      <c r="Y10" s="39">
        <f t="shared" si="8"/>
        <v>133.37773576466134</v>
      </c>
      <c r="Z10" s="45"/>
      <c r="AA10" s="45" t="s">
        <v>12</v>
      </c>
      <c r="AB10" s="3">
        <f>T10-HLOOKUP(X10,Feuil1!$C$1:$BL$10,2,FALSE)</f>
        <v>50</v>
      </c>
      <c r="AC10" s="3">
        <f>T10-HLOOKUP(X10,Feuil1!$C$1:$BL$10,3,FALSE)</f>
        <v>40</v>
      </c>
      <c r="AD10" s="3">
        <f>T10-HLOOKUP(X10,Feuil1!$C$1:$BL$10,4,FALSE)</f>
        <v>35</v>
      </c>
      <c r="AE10" s="3">
        <f>T10-HLOOKUP(X10,Feuil1!$C$1:$BL$10,5,FALSE)</f>
        <v>25</v>
      </c>
      <c r="AF10" s="3">
        <f>T10-HLOOKUP(X10,Feuil1!$C$1:$BL$10,6,FALSE)</f>
        <v>15</v>
      </c>
      <c r="AG10" s="3">
        <f>T10-HLOOKUP(X10,Feuil1!$C$1:$BL$10,7,FALSE)</f>
        <v>5</v>
      </c>
      <c r="AH10" s="3">
        <f>T10-HLOOKUP(X10,Feuil1!$C$1:$BL$10,8,FALSE)</f>
        <v>-5</v>
      </c>
      <c r="AI10" s="3">
        <f>T10-HLOOKUP(X10,Feuil1!$C$1:$BL$10,9,FALSE)</f>
        <v>-15</v>
      </c>
      <c r="AJ10" s="3">
        <f>T10-HLOOKUP(X10,Feuil1!$C$1:$BL$10,10,FALSE)</f>
        <v>-925</v>
      </c>
      <c r="AQ10" s="5" t="str">
        <f t="shared" si="9"/>
        <v>NAT +</v>
      </c>
    </row>
    <row r="11" spans="1:55" ht="21" hidden="1" x14ac:dyDescent="0.2">
      <c r="A11" s="12" t="s">
        <v>69</v>
      </c>
      <c r="B11" s="18" t="s">
        <v>298</v>
      </c>
      <c r="C11" s="19" t="s">
        <v>404</v>
      </c>
      <c r="D11" s="61">
        <v>5</v>
      </c>
      <c r="E11" s="35">
        <v>298339</v>
      </c>
      <c r="F11" s="20" t="s">
        <v>420</v>
      </c>
      <c r="G11" s="20" t="s">
        <v>421</v>
      </c>
      <c r="H11" s="57">
        <v>2001</v>
      </c>
      <c r="I11" s="30">
        <v>42.6</v>
      </c>
      <c r="J11" s="19" t="s">
        <v>412</v>
      </c>
      <c r="K11" s="34" t="s">
        <v>69</v>
      </c>
      <c r="L11" s="31">
        <v>22</v>
      </c>
      <c r="M11" s="31">
        <v>25</v>
      </c>
      <c r="N11" s="31">
        <v>-27</v>
      </c>
      <c r="O11" s="36">
        <f t="shared" si="2"/>
        <v>25</v>
      </c>
      <c r="P11" s="31">
        <v>32</v>
      </c>
      <c r="Q11" s="31">
        <v>35</v>
      </c>
      <c r="R11" s="31">
        <v>37</v>
      </c>
      <c r="S11" s="36">
        <f t="shared" si="3"/>
        <v>37</v>
      </c>
      <c r="T11" s="37">
        <f t="shared" si="4"/>
        <v>62</v>
      </c>
      <c r="U11" s="65">
        <f t="shared" si="5"/>
        <v>-23.200000000000003</v>
      </c>
      <c r="V11" s="41" t="str">
        <f t="shared" si="6"/>
        <v>FED +</v>
      </c>
      <c r="W11" s="33">
        <f t="shared" si="7"/>
        <v>2</v>
      </c>
      <c r="X11" s="40" t="str">
        <f>IF(I11="","",IF(A11="H",IF(OR(H11="SEN",H11&lt;1995),VLOOKUP(I11,Feuil1!$A$11:$G$29,6),IF(AND(H11&gt;1994,H11&lt;1998),VLOOKUP(I11,Feuil1!$A$11:$G$29,5),IF(AND(H11&gt;1997,H11&lt;2000),VLOOKUP(I11,Feuil1!$A$11:$G$29,4),IF(AND(H11&gt;1999,H11&lt;2002),VLOOKUP(I11,Feuil1!$A$11:$G$29,3),VLOOKUP(I11,Feuil1!$A$11:$G$29,2))))),IF(OR(H11="SEN",H11&lt;1995),VLOOKUP(I11,Feuil1!$G$11:$L$25,6),IF(AND(H11&gt;1994,H11&lt;1998),VLOOKUP(I11,Feuil1!$G$11:$L$25,5),IF(AND(H11&gt;1997,H11&lt;2000),VLOOKUP(I11,Feuil1!$G$11:$L$25,4),IF(AND(H11&gt;1999,H11&lt;2002),VLOOKUP(I11,Feuil1!$G$11:$L$25,3),VLOOKUP(I11,Feuil1!$G$11:$L$25,2)))))))</f>
        <v>FC1 44</v>
      </c>
      <c r="Y11" s="39">
        <f t="shared" si="8"/>
        <v>113.48366610977588</v>
      </c>
      <c r="Z11" s="45"/>
      <c r="AA11" s="49" t="s">
        <v>12</v>
      </c>
      <c r="AB11" s="3">
        <f>T11-HLOOKUP(X11,Feuil1!$C$1:$BL$10,2,FALSE)</f>
        <v>37</v>
      </c>
      <c r="AC11" s="3">
        <f>T11-HLOOKUP(X11,Feuil1!$C$1:$BL$10,3,FALSE)</f>
        <v>27</v>
      </c>
      <c r="AD11" s="3">
        <f>T11-HLOOKUP(X11,Feuil1!$C$1:$BL$10,4,FALSE)</f>
        <v>22</v>
      </c>
      <c r="AE11" s="3">
        <f>T11-HLOOKUP(X11,Feuil1!$C$1:$BL$10,5,FALSE)</f>
        <v>12</v>
      </c>
      <c r="AF11" s="3">
        <f>T11-HLOOKUP(X11,Feuil1!$C$1:$BL$10,6,FALSE)</f>
        <v>2</v>
      </c>
      <c r="AG11" s="3">
        <f>T11-HLOOKUP(X11,Feuil1!$C$1:$BL$10,7,FALSE)</f>
        <v>-8</v>
      </c>
      <c r="AH11" s="3">
        <f>T11-HLOOKUP(X11,Feuil1!$C$1:$BL$10,8,FALSE)</f>
        <v>-18</v>
      </c>
      <c r="AI11" s="3">
        <f>T11-HLOOKUP(X11,Feuil1!$C$1:$BL$10,9,FALSE)</f>
        <v>-28</v>
      </c>
      <c r="AJ11" s="3">
        <f>T11-HLOOKUP(X11,Feuil1!$C$1:$BL$10,10,FALSE)</f>
        <v>-938</v>
      </c>
      <c r="AQ11" s="5" t="str">
        <f t="shared" si="9"/>
        <v>FED +</v>
      </c>
    </row>
    <row r="12" spans="1:55" ht="21" hidden="1" x14ac:dyDescent="0.2">
      <c r="A12" s="12" t="s">
        <v>69</v>
      </c>
      <c r="B12" s="18" t="s">
        <v>298</v>
      </c>
      <c r="C12" s="19" t="s">
        <v>299</v>
      </c>
      <c r="D12" s="61">
        <v>6</v>
      </c>
      <c r="E12" s="35">
        <v>390302</v>
      </c>
      <c r="F12" s="20" t="s">
        <v>303</v>
      </c>
      <c r="G12" s="20" t="s">
        <v>304</v>
      </c>
      <c r="H12" s="51">
        <v>2000</v>
      </c>
      <c r="I12" s="30">
        <v>43</v>
      </c>
      <c r="J12" s="19" t="s">
        <v>302</v>
      </c>
      <c r="K12" s="34" t="s">
        <v>69</v>
      </c>
      <c r="L12" s="31">
        <v>10</v>
      </c>
      <c r="M12" s="31">
        <v>13</v>
      </c>
      <c r="N12" s="31">
        <v>15</v>
      </c>
      <c r="O12" s="36">
        <f t="shared" si="2"/>
        <v>15</v>
      </c>
      <c r="P12" s="31">
        <v>15</v>
      </c>
      <c r="Q12" s="31">
        <v>-18</v>
      </c>
      <c r="R12" s="31">
        <v>18</v>
      </c>
      <c r="S12" s="36">
        <f t="shared" si="3"/>
        <v>18</v>
      </c>
      <c r="T12" s="37">
        <f t="shared" si="4"/>
        <v>33</v>
      </c>
      <c r="U12" s="65">
        <f t="shared" si="5"/>
        <v>-53</v>
      </c>
      <c r="V12" s="41" t="str">
        <f t="shared" si="6"/>
        <v xml:space="preserve">DEB </v>
      </c>
      <c r="W12" s="33">
        <f t="shared" si="7"/>
        <v>8</v>
      </c>
      <c r="X12" s="40" t="str">
        <f>IF(I12="","",IF(A12="H",IF(OR(H12="SEN",H12&lt;1995),VLOOKUP(I12,Feuil1!$A$11:$G$29,6),IF(AND(H12&gt;1994,H12&lt;1998),VLOOKUP(I12,Feuil1!$A$11:$G$29,5),IF(AND(H12&gt;1997,H12&lt;2000),VLOOKUP(I12,Feuil1!$A$11:$G$29,4),IF(AND(H12&gt;1999,H12&lt;2002),VLOOKUP(I12,Feuil1!$A$11:$G$29,3),VLOOKUP(I12,Feuil1!$A$11:$G$29,2))))),IF(OR(H12="SEN",H12&lt;1995),VLOOKUP(I12,Feuil1!$G$11:$L$25,6),IF(AND(H12&gt;1994,H12&lt;1998),VLOOKUP(I12,Feuil1!$G$11:$L$25,5),IF(AND(H12&gt;1997,H12&lt;2000),VLOOKUP(I12,Feuil1!$G$11:$L$25,4),IF(AND(H12&gt;1999,H12&lt;2002),VLOOKUP(I12,Feuil1!$G$11:$L$25,3),VLOOKUP(I12,Feuil1!$G$11:$L$25,2)))))))</f>
        <v>FC1 44</v>
      </c>
      <c r="Y12" s="39">
        <f t="shared" si="8"/>
        <v>59.859133582193522</v>
      </c>
      <c r="Z12" s="45"/>
      <c r="AA12" s="45" t="s">
        <v>12</v>
      </c>
      <c r="AB12" s="3">
        <f>T12-HLOOKUP(X12,Feuil1!$C$1:$BL$10,2,FALSE)</f>
        <v>8</v>
      </c>
      <c r="AC12" s="3">
        <f>T12-HLOOKUP(X12,Feuil1!$C$1:$BL$10,3,FALSE)</f>
        <v>-2</v>
      </c>
      <c r="AD12" s="3">
        <f>T12-HLOOKUP(X12,Feuil1!$C$1:$BL$10,4,FALSE)</f>
        <v>-7</v>
      </c>
      <c r="AE12" s="3">
        <f>T12-HLOOKUP(X12,Feuil1!$C$1:$BL$10,5,FALSE)</f>
        <v>-17</v>
      </c>
      <c r="AF12" s="3">
        <f>T12-HLOOKUP(X12,Feuil1!$C$1:$BL$10,6,FALSE)</f>
        <v>-27</v>
      </c>
      <c r="AG12" s="3">
        <f>T12-HLOOKUP(X12,Feuil1!$C$1:$BL$10,7,FALSE)</f>
        <v>-37</v>
      </c>
      <c r="AH12" s="3">
        <f>T12-HLOOKUP(X12,Feuil1!$C$1:$BL$10,8,FALSE)</f>
        <v>-47</v>
      </c>
      <c r="AI12" s="3">
        <f>T12-HLOOKUP(X12,Feuil1!$C$1:$BL$10,9,FALSE)</f>
        <v>-57</v>
      </c>
      <c r="AJ12" s="3">
        <f>T12-HLOOKUP(X12,Feuil1!$C$1:$BL$10,10,FALSE)</f>
        <v>-967</v>
      </c>
      <c r="AQ12" s="5" t="str">
        <f t="shared" si="9"/>
        <v xml:space="preserve">DEB </v>
      </c>
    </row>
    <row r="13" spans="1:55" s="13" customFormat="1" ht="15" hidden="1" customHeight="1" thickBot="1" x14ac:dyDescent="0.25">
      <c r="A13" s="89"/>
      <c r="B13" s="90"/>
      <c r="C13" s="91"/>
      <c r="D13" s="92"/>
      <c r="E13" s="93"/>
      <c r="F13" s="94"/>
      <c r="G13" s="94"/>
      <c r="H13" s="95"/>
      <c r="I13" s="96"/>
      <c r="J13" s="91"/>
      <c r="K13" s="97"/>
      <c r="L13" s="98"/>
      <c r="M13" s="98"/>
      <c r="N13" s="98"/>
      <c r="O13" s="99"/>
      <c r="P13" s="98"/>
      <c r="Q13" s="98"/>
      <c r="R13" s="98"/>
      <c r="S13" s="99"/>
      <c r="T13" s="100"/>
      <c r="U13" s="101"/>
      <c r="V13" s="102"/>
      <c r="W13" s="103"/>
      <c r="X13" s="104"/>
      <c r="Y13" s="105"/>
      <c r="Z13" s="45"/>
      <c r="AA13" s="45" t="s">
        <v>12</v>
      </c>
      <c r="AB13" s="3" t="e">
        <f>T13-HLOOKUP(X13,Feuil1!$C$1:$BL$10,2,FALSE)</f>
        <v>#N/A</v>
      </c>
      <c r="AC13" s="3" t="e">
        <f>T13-HLOOKUP(X13,Feuil1!$C$1:$BL$10,3,FALSE)</f>
        <v>#N/A</v>
      </c>
      <c r="AD13" s="3" t="e">
        <f>T13-HLOOKUP(X13,Feuil1!$C$1:$BL$10,4,FALSE)</f>
        <v>#N/A</v>
      </c>
      <c r="AE13" s="3" t="e">
        <f>T13-HLOOKUP(X13,Feuil1!$C$1:$BL$10,5,FALSE)</f>
        <v>#N/A</v>
      </c>
      <c r="AF13" s="3" t="e">
        <f>T13-HLOOKUP(X13,Feuil1!$C$1:$BL$10,6,FALSE)</f>
        <v>#N/A</v>
      </c>
      <c r="AG13" s="3" t="e">
        <f>T13-HLOOKUP(X13,Feuil1!$C$1:$BL$10,7,FALSE)</f>
        <v>#N/A</v>
      </c>
      <c r="AH13" s="3" t="e">
        <f>T13-HLOOKUP(X13,Feuil1!$C$1:$BL$10,8,FALSE)</f>
        <v>#N/A</v>
      </c>
      <c r="AI13" s="3" t="e">
        <f>T13-HLOOKUP(X13,Feuil1!$C$1:$BL$10,9,FALSE)</f>
        <v>#N/A</v>
      </c>
      <c r="AJ13" s="3" t="e">
        <f>T13-HLOOKUP(X13,Feuil1!$C$1:$BL$10,10,FALSE)</f>
        <v>#N/A</v>
      </c>
      <c r="AK13" s="5"/>
      <c r="AL13" s="5"/>
      <c r="AM13" s="5"/>
      <c r="AN13" s="5"/>
      <c r="AO13" s="5"/>
      <c r="AP13" s="5"/>
      <c r="AQ13" s="5" t="e">
        <f t="shared" ref="AQ13" si="10">IF(AJ13&gt;=0,$AJ$1,IF(AI13&gt;=0,$AI$1,IF(AH13&gt;=0,$AH$1,IF(AG13&gt;=0,$AG$1,IF(AF13&gt;=0,$AF$1,IF(AE13&gt;=0,$AE$1,IF(AD13&gt;=0,$AD$1,IF(AC13&gt;=0,$AC$1,$AB$1))))))))</f>
        <v>#N/A</v>
      </c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</row>
    <row r="14" spans="1:55" ht="21" x14ac:dyDescent="0.2">
      <c r="A14" s="12" t="s">
        <v>69</v>
      </c>
      <c r="B14" s="67" t="s">
        <v>108</v>
      </c>
      <c r="C14" s="68" t="s">
        <v>119</v>
      </c>
      <c r="D14" s="69">
        <v>1</v>
      </c>
      <c r="E14" s="70">
        <v>244336</v>
      </c>
      <c r="F14" s="71" t="s">
        <v>120</v>
      </c>
      <c r="G14" s="71" t="s">
        <v>510</v>
      </c>
      <c r="H14" s="72">
        <v>2000</v>
      </c>
      <c r="I14" s="73">
        <v>45.5</v>
      </c>
      <c r="J14" s="68" t="s">
        <v>122</v>
      </c>
      <c r="K14" s="74" t="s">
        <v>69</v>
      </c>
      <c r="L14" s="75">
        <v>41</v>
      </c>
      <c r="M14" s="75">
        <v>43</v>
      </c>
      <c r="N14" s="75">
        <v>45</v>
      </c>
      <c r="O14" s="76">
        <f t="shared" ref="O14:O24" si="11">IF(H14="","",IF(MAXA(L14:N14)&lt;=0,0,MAXA(L14:N14)))</f>
        <v>45</v>
      </c>
      <c r="P14" s="75">
        <v>55</v>
      </c>
      <c r="Q14" s="75">
        <v>58</v>
      </c>
      <c r="R14" s="75">
        <v>60</v>
      </c>
      <c r="S14" s="76">
        <f t="shared" ref="S14:S24" si="12">IF(H14="","",IF(MAXA(P14:R14)&lt;=0,0,MAXA(P14:R14)))</f>
        <v>60</v>
      </c>
      <c r="T14" s="77">
        <f t="shared" ref="T14:T24" si="13">IF(H14="","",IF(OR(O14=0,S14=0),0,O14+S14))</f>
        <v>105</v>
      </c>
      <c r="U14" s="78">
        <f t="shared" ref="U14:U24" si="14">T14-I14*2</f>
        <v>14</v>
      </c>
      <c r="V14" s="79" t="str">
        <f t="shared" ref="V14:V24" si="15">IF(H14="","",AQ14)</f>
        <v>INTA +</v>
      </c>
      <c r="W14" s="80">
        <f t="shared" ref="W14:W24" si="16">IF(AJ14&gt;=0,AJ14,IF(AI14&gt;=0,AI14,IF(AH14&gt;=0,AH14,IF(AG14&gt;=0,AG14,IF(AF14&gt;=0,AF14,IF(AE14&gt;=0,AE14,IF(AD14&gt;=0,AD14,IF(AC14&gt;=0,AC14,AB14))))))))</f>
        <v>10</v>
      </c>
      <c r="X14" s="81" t="str">
        <f>IF(I14="","",IF(A14="H",IF(OR(H14="SEN",H14&lt;1995),VLOOKUP(I14,Feuil1!$A$11:$G$29,6),IF(AND(H14&gt;1994,H14&lt;1998),VLOOKUP(I14,Feuil1!$A$11:$G$29,5),IF(AND(H14&gt;1997,H14&lt;2000),VLOOKUP(I14,Feuil1!$A$11:$G$29,4),IF(AND(H14&gt;1999,H14&lt;2002),VLOOKUP(I14,Feuil1!$A$11:$G$29,3),VLOOKUP(I14,Feuil1!$A$11:$G$29,2))))),IF(OR(H14="SEN",H14&lt;1995),VLOOKUP(I14,Feuil1!$G$11:$L$25,6),IF(AND(H14&gt;1994,H14&lt;1998),VLOOKUP(I14,Feuil1!$G$11:$L$25,5),IF(AND(H14&gt;1997,H14&lt;2000),VLOOKUP(I14,Feuil1!$G$11:$L$25,4),IF(AND(H14&gt;1999,H14&lt;2002),VLOOKUP(I14,Feuil1!$G$11:$L$25,3),VLOOKUP(I14,Feuil1!$G$11:$L$25,2)))))))</f>
        <v>FC1 48</v>
      </c>
      <c r="Y14" s="39">
        <f t="shared" ref="Y14:Y24" si="17">IF(I14="","",IF(A14="H",10^(0.794358141*LOG(I14/174.393)^2)*T14,IF(A14="F",10^(0.89726074*LOG(I14/148.026)^2)*T14,"")))</f>
        <v>180.59303599753383</v>
      </c>
      <c r="Z14" s="45"/>
      <c r="AA14" s="45" t="s">
        <v>12</v>
      </c>
      <c r="AB14" s="3">
        <f>T14-HLOOKUP(X14,Feuil1!$C$1:$BL$10,2,FALSE)</f>
        <v>80</v>
      </c>
      <c r="AC14" s="3">
        <f>T14-HLOOKUP(X14,Feuil1!$C$1:$BL$10,3,FALSE)</f>
        <v>70</v>
      </c>
      <c r="AD14" s="3">
        <f>T14-HLOOKUP(X14,Feuil1!$C$1:$BL$10,4,FALSE)</f>
        <v>60</v>
      </c>
      <c r="AE14" s="3">
        <f>T14-HLOOKUP(X14,Feuil1!$C$1:$BL$10,5,FALSE)</f>
        <v>50</v>
      </c>
      <c r="AF14" s="3">
        <f>T14-HLOOKUP(X14,Feuil1!$C$1:$BL$10,6,FALSE)</f>
        <v>40</v>
      </c>
      <c r="AG14" s="3">
        <f>T14-HLOOKUP(X14,Feuil1!$C$1:$BL$10,7,FALSE)</f>
        <v>30</v>
      </c>
      <c r="AH14" s="3">
        <f>T14-HLOOKUP(X14,Feuil1!$C$1:$BL$10,8,FALSE)</f>
        <v>20</v>
      </c>
      <c r="AI14" s="3">
        <f>T14-HLOOKUP(X14,Feuil1!$C$1:$BL$10,9,FALSE)</f>
        <v>10</v>
      </c>
      <c r="AJ14" s="3">
        <f>T14-HLOOKUP(X14,Feuil1!$C$1:$BL$10,10,FALSE)</f>
        <v>-895</v>
      </c>
      <c r="AQ14" s="5" t="str">
        <f t="shared" ref="AQ14:AQ24" si="18">IF(AJ14&gt;=0,$AJ$1,IF(AI14&gt;=0,$AI$1,IF(AH14&gt;=0,$AH$1,IF(AG14&gt;=0,$AG$1,IF(AF14&gt;=0,$AF$1,IF(AE14&gt;=0,$AE$1,IF(AD14&gt;=0,$AD$1,IF(AC14&gt;=0,$AC$1,$AB$1))))))))</f>
        <v>INTA +</v>
      </c>
    </row>
    <row r="15" spans="1:55" ht="21" x14ac:dyDescent="0.2">
      <c r="A15" s="12" t="s">
        <v>69</v>
      </c>
      <c r="B15" s="18" t="s">
        <v>71</v>
      </c>
      <c r="C15" s="19" t="s">
        <v>872</v>
      </c>
      <c r="D15" s="61">
        <v>2</v>
      </c>
      <c r="E15" s="35">
        <v>290105</v>
      </c>
      <c r="F15" s="20" t="s">
        <v>869</v>
      </c>
      <c r="G15" s="20" t="s">
        <v>870</v>
      </c>
      <c r="H15" s="51">
        <v>2000</v>
      </c>
      <c r="I15" s="30">
        <v>47</v>
      </c>
      <c r="J15" s="19" t="s">
        <v>871</v>
      </c>
      <c r="K15" s="34" t="s">
        <v>69</v>
      </c>
      <c r="L15" s="31">
        <v>32</v>
      </c>
      <c r="M15" s="31">
        <v>35</v>
      </c>
      <c r="N15" s="31">
        <v>37</v>
      </c>
      <c r="O15" s="36">
        <f t="shared" si="11"/>
        <v>37</v>
      </c>
      <c r="P15" s="31">
        <v>46</v>
      </c>
      <c r="Q15" s="31">
        <v>49</v>
      </c>
      <c r="R15" s="31">
        <v>-53</v>
      </c>
      <c r="S15" s="36">
        <f t="shared" si="12"/>
        <v>49</v>
      </c>
      <c r="T15" s="37">
        <f t="shared" si="13"/>
        <v>86</v>
      </c>
      <c r="U15" s="65">
        <f t="shared" si="14"/>
        <v>-8</v>
      </c>
      <c r="V15" s="41" t="str">
        <f t="shared" si="15"/>
        <v>INTB +</v>
      </c>
      <c r="W15" s="33">
        <f t="shared" si="16"/>
        <v>1</v>
      </c>
      <c r="X15" s="40" t="str">
        <f>IF(I15="","",IF(A15="H",IF(OR(H15="SEN",H15&lt;1995),VLOOKUP(I15,Feuil1!$A$11:$G$29,6),IF(AND(H15&gt;1994,H15&lt;1998),VLOOKUP(I15,Feuil1!$A$11:$G$29,5),IF(AND(H15&gt;1997,H15&lt;2000),VLOOKUP(I15,Feuil1!$A$11:$G$29,4),IF(AND(H15&gt;1999,H15&lt;2002),VLOOKUP(I15,Feuil1!$A$11:$G$29,3),VLOOKUP(I15,Feuil1!$A$11:$G$29,2))))),IF(OR(H15="SEN",H15&lt;1995),VLOOKUP(I15,Feuil1!$G$11:$L$25,6),IF(AND(H15&gt;1994,H15&lt;1998),VLOOKUP(I15,Feuil1!$G$11:$L$25,5),IF(AND(H15&gt;1997,H15&lt;2000),VLOOKUP(I15,Feuil1!$G$11:$L$25,4),IF(AND(H15&gt;1999,H15&lt;2002),VLOOKUP(I15,Feuil1!$G$11:$L$25,3),VLOOKUP(I15,Feuil1!$G$11:$L$25,2)))))))</f>
        <v>FC1 48</v>
      </c>
      <c r="Y15" s="39">
        <f t="shared" si="17"/>
        <v>143.62742256205317</v>
      </c>
      <c r="Z15" s="45"/>
      <c r="AA15" s="45" t="s">
        <v>12</v>
      </c>
      <c r="AB15" s="3">
        <f>T15-HLOOKUP(X15,Feuil1!$C$1:$BL$10,2,FALSE)</f>
        <v>61</v>
      </c>
      <c r="AC15" s="3">
        <f>T15-HLOOKUP(X15,Feuil1!$C$1:$BL$10,3,FALSE)</f>
        <v>51</v>
      </c>
      <c r="AD15" s="3">
        <f>T15-HLOOKUP(X15,Feuil1!$C$1:$BL$10,4,FALSE)</f>
        <v>41</v>
      </c>
      <c r="AE15" s="3">
        <f>T15-HLOOKUP(X15,Feuil1!$C$1:$BL$10,5,FALSE)</f>
        <v>31</v>
      </c>
      <c r="AF15" s="3">
        <f>T15-HLOOKUP(X15,Feuil1!$C$1:$BL$10,6,FALSE)</f>
        <v>21</v>
      </c>
      <c r="AG15" s="3">
        <f>T15-HLOOKUP(X15,Feuil1!$C$1:$BL$10,7,FALSE)</f>
        <v>11</v>
      </c>
      <c r="AH15" s="3">
        <f>T15-HLOOKUP(X15,Feuil1!$C$1:$BL$10,8,FALSE)</f>
        <v>1</v>
      </c>
      <c r="AI15" s="3">
        <f>T15-HLOOKUP(X15,Feuil1!$C$1:$BL$10,9,FALSE)</f>
        <v>-9</v>
      </c>
      <c r="AJ15" s="3">
        <f>T15-HLOOKUP(X15,Feuil1!$C$1:$BL$10,10,FALSE)</f>
        <v>-914</v>
      </c>
      <c r="AQ15" s="5" t="str">
        <f t="shared" si="18"/>
        <v>INTB +</v>
      </c>
      <c r="BC15" s="13"/>
    </row>
    <row r="16" spans="1:55" ht="21" x14ac:dyDescent="0.2">
      <c r="A16" s="12" t="s">
        <v>69</v>
      </c>
      <c r="B16" s="18" t="s">
        <v>108</v>
      </c>
      <c r="C16" s="19" t="s">
        <v>119</v>
      </c>
      <c r="D16" s="61">
        <v>3</v>
      </c>
      <c r="E16" s="35">
        <v>300315</v>
      </c>
      <c r="F16" s="20" t="s">
        <v>123</v>
      </c>
      <c r="G16" s="20" t="s">
        <v>124</v>
      </c>
      <c r="H16" s="51">
        <v>2001</v>
      </c>
      <c r="I16" s="30">
        <v>47.5</v>
      </c>
      <c r="J16" s="19" t="s">
        <v>125</v>
      </c>
      <c r="K16" s="34" t="s">
        <v>69</v>
      </c>
      <c r="L16" s="31">
        <v>30</v>
      </c>
      <c r="M16" s="31">
        <v>34</v>
      </c>
      <c r="N16" s="31">
        <v>36</v>
      </c>
      <c r="O16" s="36">
        <f t="shared" si="11"/>
        <v>36</v>
      </c>
      <c r="P16" s="31">
        <v>40</v>
      </c>
      <c r="Q16" s="31">
        <v>45</v>
      </c>
      <c r="R16" s="31">
        <v>48</v>
      </c>
      <c r="S16" s="36">
        <f t="shared" si="12"/>
        <v>48</v>
      </c>
      <c r="T16" s="37">
        <f t="shared" si="13"/>
        <v>84</v>
      </c>
      <c r="U16" s="65">
        <f t="shared" si="14"/>
        <v>-11</v>
      </c>
      <c r="V16" s="41" t="str">
        <f t="shared" si="15"/>
        <v>NAT +</v>
      </c>
      <c r="W16" s="33">
        <f t="shared" si="16"/>
        <v>9</v>
      </c>
      <c r="X16" s="40" t="str">
        <f>IF(I16="","",IF(A16="H",IF(OR(H16="SEN",H16&lt;1995),VLOOKUP(I16,Feuil1!$A$11:$G$29,6),IF(AND(H16&gt;1994,H16&lt;1998),VLOOKUP(I16,Feuil1!$A$11:$G$29,5),IF(AND(H16&gt;1997,H16&lt;2000),VLOOKUP(I16,Feuil1!$A$11:$G$29,4),IF(AND(H16&gt;1999,H16&lt;2002),VLOOKUP(I16,Feuil1!$A$11:$G$29,3),VLOOKUP(I16,Feuil1!$A$11:$G$29,2))))),IF(OR(H16="SEN",H16&lt;1995),VLOOKUP(I16,Feuil1!$G$11:$L$25,6),IF(AND(H16&gt;1994,H16&lt;1998),VLOOKUP(I16,Feuil1!$G$11:$L$25,5),IF(AND(H16&gt;1997,H16&lt;2000),VLOOKUP(I16,Feuil1!$G$11:$L$25,4),IF(AND(H16&gt;1999,H16&lt;2002),VLOOKUP(I16,Feuil1!$G$11:$L$25,3),VLOOKUP(I16,Feuil1!$G$11:$L$25,2)))))))</f>
        <v>FC1 48</v>
      </c>
      <c r="Y16" s="39">
        <f t="shared" si="17"/>
        <v>138.97224684574039</v>
      </c>
      <c r="Z16" s="45"/>
      <c r="AA16" s="45" t="s">
        <v>12</v>
      </c>
      <c r="AB16" s="3">
        <f>T16-HLOOKUP(X16,Feuil1!$C$1:$BL$10,2,FALSE)</f>
        <v>59</v>
      </c>
      <c r="AC16" s="3">
        <f>T16-HLOOKUP(X16,Feuil1!$C$1:$BL$10,3,FALSE)</f>
        <v>49</v>
      </c>
      <c r="AD16" s="3">
        <f>T16-HLOOKUP(X16,Feuil1!$C$1:$BL$10,4,FALSE)</f>
        <v>39</v>
      </c>
      <c r="AE16" s="3">
        <f>T16-HLOOKUP(X16,Feuil1!$C$1:$BL$10,5,FALSE)</f>
        <v>29</v>
      </c>
      <c r="AF16" s="3">
        <f>T16-HLOOKUP(X16,Feuil1!$C$1:$BL$10,6,FALSE)</f>
        <v>19</v>
      </c>
      <c r="AG16" s="3">
        <f>T16-HLOOKUP(X16,Feuil1!$C$1:$BL$10,7,FALSE)</f>
        <v>9</v>
      </c>
      <c r="AH16" s="3">
        <f>T16-HLOOKUP(X16,Feuil1!$C$1:$BL$10,8,FALSE)</f>
        <v>-1</v>
      </c>
      <c r="AI16" s="3">
        <f>T16-HLOOKUP(X16,Feuil1!$C$1:$BL$10,9,FALSE)</f>
        <v>-11</v>
      </c>
      <c r="AJ16" s="3">
        <f>T16-HLOOKUP(X16,Feuil1!$C$1:$BL$10,10,FALSE)</f>
        <v>-916</v>
      </c>
      <c r="AQ16" s="5" t="str">
        <f t="shared" si="18"/>
        <v>NAT +</v>
      </c>
    </row>
    <row r="17" spans="1:55" ht="21" x14ac:dyDescent="0.2">
      <c r="A17" s="12" t="s">
        <v>69</v>
      </c>
      <c r="B17" s="67" t="s">
        <v>298</v>
      </c>
      <c r="C17" s="68" t="s">
        <v>299</v>
      </c>
      <c r="D17" s="69">
        <v>4</v>
      </c>
      <c r="E17" s="70">
        <v>357786</v>
      </c>
      <c r="F17" s="71" t="s">
        <v>300</v>
      </c>
      <c r="G17" s="71" t="s">
        <v>301</v>
      </c>
      <c r="H17" s="72">
        <v>2000</v>
      </c>
      <c r="I17" s="73">
        <v>45.05</v>
      </c>
      <c r="J17" s="68" t="s">
        <v>302</v>
      </c>
      <c r="K17" s="74" t="s">
        <v>69</v>
      </c>
      <c r="L17" s="75">
        <v>33</v>
      </c>
      <c r="M17" s="75">
        <v>-36</v>
      </c>
      <c r="N17" s="75">
        <v>-36</v>
      </c>
      <c r="O17" s="76">
        <f t="shared" si="11"/>
        <v>33</v>
      </c>
      <c r="P17" s="75">
        <v>42</v>
      </c>
      <c r="Q17" s="75">
        <v>-46</v>
      </c>
      <c r="R17" s="75">
        <v>46</v>
      </c>
      <c r="S17" s="76">
        <f t="shared" si="12"/>
        <v>46</v>
      </c>
      <c r="T17" s="77">
        <f t="shared" si="13"/>
        <v>79</v>
      </c>
      <c r="U17" s="78">
        <f t="shared" si="14"/>
        <v>-11.099999999999994</v>
      </c>
      <c r="V17" s="79" t="str">
        <f t="shared" si="15"/>
        <v>NAT +</v>
      </c>
      <c r="W17" s="80">
        <f t="shared" si="16"/>
        <v>4</v>
      </c>
      <c r="X17" s="81" t="str">
        <f>IF(I17="","",IF(A17="H",IF(OR(H17="SEN",H17&lt;1995),VLOOKUP(I17,Feuil1!$A$11:$G$29,6),IF(AND(H17&gt;1994,H17&lt;1998),VLOOKUP(I17,Feuil1!$A$11:$G$29,5),IF(AND(H17&gt;1997,H17&lt;2000),VLOOKUP(I17,Feuil1!$A$11:$G$29,4),IF(AND(H17&gt;1999,H17&lt;2002),VLOOKUP(I17,Feuil1!$A$11:$G$29,3),VLOOKUP(I17,Feuil1!$A$11:$G$29,2))))),IF(OR(H17="SEN",H17&lt;1995),VLOOKUP(I17,Feuil1!$G$11:$L$25,6),IF(AND(H17&gt;1994,H17&lt;1998),VLOOKUP(I17,Feuil1!$G$11:$L$25,5),IF(AND(H17&gt;1997,H17&lt;2000),VLOOKUP(I17,Feuil1!$G$11:$L$25,4),IF(AND(H17&gt;1999,H17&lt;2002),VLOOKUP(I17,Feuil1!$G$11:$L$25,3),VLOOKUP(I17,Feuil1!$G$11:$L$25,2)))))))</f>
        <v>FC1 48</v>
      </c>
      <c r="Y17" s="39">
        <f t="shared" si="17"/>
        <v>137.12735897082305</v>
      </c>
      <c r="Z17" s="45"/>
      <c r="AA17" s="45" t="s">
        <v>12</v>
      </c>
      <c r="AB17" s="3">
        <f>T17-HLOOKUP(X17,Feuil1!$C$1:$BL$10,2,FALSE)</f>
        <v>54</v>
      </c>
      <c r="AC17" s="3">
        <f>T17-HLOOKUP(X17,Feuil1!$C$1:$BL$10,3,FALSE)</f>
        <v>44</v>
      </c>
      <c r="AD17" s="3">
        <f>T17-HLOOKUP(X17,Feuil1!$C$1:$BL$10,4,FALSE)</f>
        <v>34</v>
      </c>
      <c r="AE17" s="3">
        <f>T17-HLOOKUP(X17,Feuil1!$C$1:$BL$10,5,FALSE)</f>
        <v>24</v>
      </c>
      <c r="AF17" s="3">
        <f>T17-HLOOKUP(X17,Feuil1!$C$1:$BL$10,6,FALSE)</f>
        <v>14</v>
      </c>
      <c r="AG17" s="3">
        <f>T17-HLOOKUP(X17,Feuil1!$C$1:$BL$10,7,FALSE)</f>
        <v>4</v>
      </c>
      <c r="AH17" s="3">
        <f>T17-HLOOKUP(X17,Feuil1!$C$1:$BL$10,8,FALSE)</f>
        <v>-6</v>
      </c>
      <c r="AI17" s="3">
        <f>T17-HLOOKUP(X17,Feuil1!$C$1:$BL$10,9,FALSE)</f>
        <v>-16</v>
      </c>
      <c r="AJ17" s="3">
        <f>T17-HLOOKUP(X17,Feuil1!$C$1:$BL$10,10,FALSE)</f>
        <v>-921</v>
      </c>
      <c r="AQ17" s="5" t="str">
        <f t="shared" si="18"/>
        <v>NAT +</v>
      </c>
    </row>
    <row r="18" spans="1:55" ht="21" x14ac:dyDescent="0.2">
      <c r="A18" s="12" t="s">
        <v>69</v>
      </c>
      <c r="B18" s="67" t="s">
        <v>721</v>
      </c>
      <c r="C18" s="68" t="s">
        <v>722</v>
      </c>
      <c r="D18" s="69">
        <v>5</v>
      </c>
      <c r="E18" s="70">
        <v>379232</v>
      </c>
      <c r="F18" s="71" t="s">
        <v>723</v>
      </c>
      <c r="G18" s="71" t="s">
        <v>724</v>
      </c>
      <c r="H18" s="72">
        <v>2000</v>
      </c>
      <c r="I18" s="73">
        <v>44.5</v>
      </c>
      <c r="J18" s="68" t="s">
        <v>725</v>
      </c>
      <c r="K18" s="74" t="s">
        <v>69</v>
      </c>
      <c r="L18" s="75">
        <v>31</v>
      </c>
      <c r="M18" s="75">
        <v>33</v>
      </c>
      <c r="N18" s="75">
        <v>-35</v>
      </c>
      <c r="O18" s="76">
        <f t="shared" si="11"/>
        <v>33</v>
      </c>
      <c r="P18" s="75">
        <v>40</v>
      </c>
      <c r="Q18" s="75">
        <v>43</v>
      </c>
      <c r="R18" s="75">
        <v>-44</v>
      </c>
      <c r="S18" s="76">
        <f t="shared" si="12"/>
        <v>43</v>
      </c>
      <c r="T18" s="77">
        <f t="shared" si="13"/>
        <v>76</v>
      </c>
      <c r="U18" s="78">
        <f t="shared" si="14"/>
        <v>-13</v>
      </c>
      <c r="V18" s="79" t="str">
        <f t="shared" si="15"/>
        <v>NAT +</v>
      </c>
      <c r="W18" s="80">
        <f t="shared" si="16"/>
        <v>1</v>
      </c>
      <c r="X18" s="81" t="str">
        <f>IF(I18="","",IF(A18="H",IF(OR(H18="SEN",H18&lt;1995),VLOOKUP(I18,Feuil1!$A$11:$G$29,6),IF(AND(H18&gt;1994,H18&lt;1998),VLOOKUP(I18,Feuil1!$A$11:$G$29,5),IF(AND(H18&gt;1997,H18&lt;2000),VLOOKUP(I18,Feuil1!$A$11:$G$29,4),IF(AND(H18&gt;1999,H18&lt;2002),VLOOKUP(I18,Feuil1!$A$11:$G$29,3),VLOOKUP(I18,Feuil1!$A$11:$G$29,2))))),IF(OR(H18="SEN",H18&lt;1995),VLOOKUP(I18,Feuil1!$G$11:$L$25,6),IF(AND(H18&gt;1994,H18&lt;1998),VLOOKUP(I18,Feuil1!$G$11:$L$25,5),IF(AND(H18&gt;1997,H18&lt;2000),VLOOKUP(I18,Feuil1!$G$11:$L$25,4),IF(AND(H18&gt;1999,H18&lt;2002),VLOOKUP(I18,Feuil1!$G$11:$L$25,3),VLOOKUP(I18,Feuil1!$G$11:$L$25,2)))))))</f>
        <v>FC1 48</v>
      </c>
      <c r="Y18" s="39">
        <f t="shared" si="17"/>
        <v>133.43881392195559</v>
      </c>
      <c r="Z18" s="45"/>
      <c r="AA18" s="45" t="s">
        <v>12</v>
      </c>
      <c r="AB18" s="3">
        <f>T18-HLOOKUP(X18,Feuil1!$C$1:$BL$10,2,FALSE)</f>
        <v>51</v>
      </c>
      <c r="AC18" s="3">
        <f>T18-HLOOKUP(X18,Feuil1!$C$1:$BL$10,3,FALSE)</f>
        <v>41</v>
      </c>
      <c r="AD18" s="3">
        <f>T18-HLOOKUP(X18,Feuil1!$C$1:$BL$10,4,FALSE)</f>
        <v>31</v>
      </c>
      <c r="AE18" s="3">
        <f>T18-HLOOKUP(X18,Feuil1!$C$1:$BL$10,5,FALSE)</f>
        <v>21</v>
      </c>
      <c r="AF18" s="3">
        <f>T18-HLOOKUP(X18,Feuil1!$C$1:$BL$10,6,FALSE)</f>
        <v>11</v>
      </c>
      <c r="AG18" s="3">
        <f>T18-HLOOKUP(X18,Feuil1!$C$1:$BL$10,7,FALSE)</f>
        <v>1</v>
      </c>
      <c r="AH18" s="3">
        <f>T18-HLOOKUP(X18,Feuil1!$C$1:$BL$10,8,FALSE)</f>
        <v>-9</v>
      </c>
      <c r="AI18" s="3">
        <f>T18-HLOOKUP(X18,Feuil1!$C$1:$BL$10,9,FALSE)</f>
        <v>-19</v>
      </c>
      <c r="AJ18" s="3">
        <f>T18-HLOOKUP(X18,Feuil1!$C$1:$BL$10,10,FALSE)</f>
        <v>-924</v>
      </c>
      <c r="AQ18" s="5" t="str">
        <f t="shared" si="18"/>
        <v>NAT +</v>
      </c>
      <c r="BC18" s="13"/>
    </row>
    <row r="19" spans="1:55" ht="21" hidden="1" x14ac:dyDescent="0.2">
      <c r="A19" s="12" t="s">
        <v>69</v>
      </c>
      <c r="B19" s="67" t="s">
        <v>298</v>
      </c>
      <c r="C19" s="68" t="s">
        <v>404</v>
      </c>
      <c r="D19" s="69">
        <v>6</v>
      </c>
      <c r="E19" s="70">
        <v>367010</v>
      </c>
      <c r="F19" s="71" t="s">
        <v>408</v>
      </c>
      <c r="G19" s="71" t="s">
        <v>409</v>
      </c>
      <c r="H19" s="72">
        <v>2000</v>
      </c>
      <c r="I19" s="73">
        <v>44.7</v>
      </c>
      <c r="J19" s="68" t="s">
        <v>406</v>
      </c>
      <c r="K19" s="74" t="s">
        <v>69</v>
      </c>
      <c r="L19" s="75">
        <v>27</v>
      </c>
      <c r="M19" s="75">
        <v>29</v>
      </c>
      <c r="N19" s="75">
        <v>-32</v>
      </c>
      <c r="O19" s="76">
        <f t="shared" si="11"/>
        <v>29</v>
      </c>
      <c r="P19" s="75">
        <v>39</v>
      </c>
      <c r="Q19" s="75">
        <v>42</v>
      </c>
      <c r="R19" s="75">
        <v>44</v>
      </c>
      <c r="S19" s="76">
        <f t="shared" si="12"/>
        <v>44</v>
      </c>
      <c r="T19" s="77">
        <f t="shared" si="13"/>
        <v>73</v>
      </c>
      <c r="U19" s="78">
        <f t="shared" si="14"/>
        <v>-16.400000000000006</v>
      </c>
      <c r="V19" s="79" t="str">
        <f t="shared" si="15"/>
        <v>FED +</v>
      </c>
      <c r="W19" s="80">
        <f t="shared" si="16"/>
        <v>8</v>
      </c>
      <c r="X19" s="81" t="str">
        <f>IF(I19="","",IF(A19="H",IF(OR(H19="SEN",H19&lt;1995),VLOOKUP(I19,Feuil1!$A$11:$G$29,6),IF(AND(H19&gt;1994,H19&lt;1998),VLOOKUP(I19,Feuil1!$A$11:$G$29,5),IF(AND(H19&gt;1997,H19&lt;2000),VLOOKUP(I19,Feuil1!$A$11:$G$29,4),IF(AND(H19&gt;1999,H19&lt;2002),VLOOKUP(I19,Feuil1!$A$11:$G$29,3),VLOOKUP(I19,Feuil1!$A$11:$G$29,2))))),IF(OR(H19="SEN",H19&lt;1995),VLOOKUP(I19,Feuil1!$G$11:$L$25,6),IF(AND(H19&gt;1994,H19&lt;1998),VLOOKUP(I19,Feuil1!$G$11:$L$25,5),IF(AND(H19&gt;1997,H19&lt;2000),VLOOKUP(I19,Feuil1!$G$11:$L$25,4),IF(AND(H19&gt;1999,H19&lt;2002),VLOOKUP(I19,Feuil1!$G$11:$L$25,3),VLOOKUP(I19,Feuil1!$G$11:$L$25,2)))))))</f>
        <v>FC1 48</v>
      </c>
      <c r="Y19" s="39">
        <f t="shared" si="17"/>
        <v>127.63524254449288</v>
      </c>
      <c r="Z19" s="45"/>
      <c r="AA19" s="45" t="s">
        <v>12</v>
      </c>
      <c r="AB19" s="3">
        <f>T19-HLOOKUP(X19,Feuil1!$C$1:$BL$10,2,FALSE)</f>
        <v>48</v>
      </c>
      <c r="AC19" s="3">
        <f>T19-HLOOKUP(X19,Feuil1!$C$1:$BL$10,3,FALSE)</f>
        <v>38</v>
      </c>
      <c r="AD19" s="3">
        <f>T19-HLOOKUP(X19,Feuil1!$C$1:$BL$10,4,FALSE)</f>
        <v>28</v>
      </c>
      <c r="AE19" s="3">
        <f>T19-HLOOKUP(X19,Feuil1!$C$1:$BL$10,5,FALSE)</f>
        <v>18</v>
      </c>
      <c r="AF19" s="3">
        <f>T19-HLOOKUP(X19,Feuil1!$C$1:$BL$10,6,FALSE)</f>
        <v>8</v>
      </c>
      <c r="AG19" s="3">
        <f>T19-HLOOKUP(X19,Feuil1!$C$1:$BL$10,7,FALSE)</f>
        <v>-2</v>
      </c>
      <c r="AH19" s="3">
        <f>T19-HLOOKUP(X19,Feuil1!$C$1:$BL$10,8,FALSE)</f>
        <v>-12</v>
      </c>
      <c r="AI19" s="3">
        <f>T19-HLOOKUP(X19,Feuil1!$C$1:$BL$10,9,FALSE)</f>
        <v>-22</v>
      </c>
      <c r="AJ19" s="3">
        <f>T19-HLOOKUP(X19,Feuil1!$C$1:$BL$10,10,FALSE)</f>
        <v>-927</v>
      </c>
      <c r="AQ19" s="5" t="str">
        <f t="shared" si="18"/>
        <v>FED +</v>
      </c>
    </row>
    <row r="20" spans="1:55" ht="21" hidden="1" x14ac:dyDescent="0.2">
      <c r="A20" s="12" t="s">
        <v>69</v>
      </c>
      <c r="B20" s="18" t="s">
        <v>108</v>
      </c>
      <c r="C20" s="19" t="s">
        <v>119</v>
      </c>
      <c r="D20" s="61">
        <v>7</v>
      </c>
      <c r="E20" s="35">
        <v>340255</v>
      </c>
      <c r="F20" s="20" t="s">
        <v>126</v>
      </c>
      <c r="G20" s="20" t="s">
        <v>127</v>
      </c>
      <c r="H20" s="51">
        <v>2001</v>
      </c>
      <c r="I20" s="30">
        <v>47.4</v>
      </c>
      <c r="J20" s="19" t="s">
        <v>125</v>
      </c>
      <c r="K20" s="34" t="s">
        <v>69</v>
      </c>
      <c r="L20" s="31">
        <v>26</v>
      </c>
      <c r="M20" s="31">
        <v>28</v>
      </c>
      <c r="N20" s="31">
        <v>29</v>
      </c>
      <c r="O20" s="36">
        <f t="shared" si="11"/>
        <v>29</v>
      </c>
      <c r="P20" s="31">
        <v>36</v>
      </c>
      <c r="Q20" s="31">
        <v>38</v>
      </c>
      <c r="R20" s="31">
        <v>40</v>
      </c>
      <c r="S20" s="36">
        <f t="shared" si="12"/>
        <v>40</v>
      </c>
      <c r="T20" s="37">
        <f t="shared" si="13"/>
        <v>69</v>
      </c>
      <c r="U20" s="65">
        <f t="shared" si="14"/>
        <v>-25.799999999999997</v>
      </c>
      <c r="V20" s="41" t="str">
        <f t="shared" si="15"/>
        <v>FED +</v>
      </c>
      <c r="W20" s="33">
        <f t="shared" si="16"/>
        <v>4</v>
      </c>
      <c r="X20" s="40" t="str">
        <f>IF(I20="","",IF(A20="H",IF(OR(H20="SEN",H20&lt;1995),VLOOKUP(I20,Feuil1!$A$11:$G$29,6),IF(AND(H20&gt;1994,H20&lt;1998),VLOOKUP(I20,Feuil1!$A$11:$G$29,5),IF(AND(H20&gt;1997,H20&lt;2000),VLOOKUP(I20,Feuil1!$A$11:$G$29,4),IF(AND(H20&gt;1999,H20&lt;2002),VLOOKUP(I20,Feuil1!$A$11:$G$29,3),VLOOKUP(I20,Feuil1!$A$11:$G$29,2))))),IF(OR(H20="SEN",H20&lt;1995),VLOOKUP(I20,Feuil1!$G$11:$L$25,6),IF(AND(H20&gt;1994,H20&lt;1998),VLOOKUP(I20,Feuil1!$G$11:$L$25,5),IF(AND(H20&gt;1997,H20&lt;2000),VLOOKUP(I20,Feuil1!$G$11:$L$25,4),IF(AND(H20&gt;1999,H20&lt;2002),VLOOKUP(I20,Feuil1!$G$11:$L$25,3),VLOOKUP(I20,Feuil1!$G$11:$L$25,2)))))))</f>
        <v>FC1 48</v>
      </c>
      <c r="Y20" s="39">
        <f t="shared" si="17"/>
        <v>114.36929144202198</v>
      </c>
      <c r="Z20" s="45"/>
      <c r="AA20" s="45" t="s">
        <v>12</v>
      </c>
      <c r="AB20" s="3">
        <f>T20-HLOOKUP(X20,Feuil1!$C$1:$BL$10,2,FALSE)</f>
        <v>44</v>
      </c>
      <c r="AC20" s="3">
        <f>T20-HLOOKUP(X20,Feuil1!$C$1:$BL$10,3,FALSE)</f>
        <v>34</v>
      </c>
      <c r="AD20" s="3">
        <f>T20-HLOOKUP(X20,Feuil1!$C$1:$BL$10,4,FALSE)</f>
        <v>24</v>
      </c>
      <c r="AE20" s="3">
        <f>T20-HLOOKUP(X20,Feuil1!$C$1:$BL$10,5,FALSE)</f>
        <v>14</v>
      </c>
      <c r="AF20" s="3">
        <f>T20-HLOOKUP(X20,Feuil1!$C$1:$BL$10,6,FALSE)</f>
        <v>4</v>
      </c>
      <c r="AG20" s="3">
        <f>T20-HLOOKUP(X20,Feuil1!$C$1:$BL$10,7,FALSE)</f>
        <v>-6</v>
      </c>
      <c r="AH20" s="3">
        <f>T20-HLOOKUP(X20,Feuil1!$C$1:$BL$10,8,FALSE)</f>
        <v>-16</v>
      </c>
      <c r="AI20" s="3">
        <f>T20-HLOOKUP(X20,Feuil1!$C$1:$BL$10,9,FALSE)</f>
        <v>-26</v>
      </c>
      <c r="AJ20" s="3">
        <f>T20-HLOOKUP(X20,Feuil1!$C$1:$BL$10,10,FALSE)</f>
        <v>-931</v>
      </c>
      <c r="AQ20" s="5" t="str">
        <f t="shared" si="18"/>
        <v>FED +</v>
      </c>
    </row>
    <row r="21" spans="1:55" s="13" customFormat="1" ht="21" hidden="1" x14ac:dyDescent="0.2">
      <c r="A21" s="12" t="s">
        <v>69</v>
      </c>
      <c r="B21" s="18" t="s">
        <v>721</v>
      </c>
      <c r="C21" s="19" t="s">
        <v>689</v>
      </c>
      <c r="D21" s="61">
        <v>8</v>
      </c>
      <c r="E21" s="35">
        <v>339426</v>
      </c>
      <c r="F21" s="20" t="s">
        <v>690</v>
      </c>
      <c r="G21" s="20" t="s">
        <v>691</v>
      </c>
      <c r="H21" s="51">
        <v>2000</v>
      </c>
      <c r="I21" s="30">
        <v>45.6</v>
      </c>
      <c r="J21" s="19" t="s">
        <v>692</v>
      </c>
      <c r="K21" s="34" t="s">
        <v>69</v>
      </c>
      <c r="L21" s="31">
        <v>25</v>
      </c>
      <c r="M21" s="31">
        <v>29</v>
      </c>
      <c r="N21" s="31">
        <v>-31</v>
      </c>
      <c r="O21" s="36">
        <f t="shared" si="11"/>
        <v>29</v>
      </c>
      <c r="P21" s="31">
        <v>30</v>
      </c>
      <c r="Q21" s="31">
        <v>34</v>
      </c>
      <c r="R21" s="31">
        <v>37</v>
      </c>
      <c r="S21" s="36">
        <f t="shared" si="12"/>
        <v>37</v>
      </c>
      <c r="T21" s="37">
        <f t="shared" si="13"/>
        <v>66</v>
      </c>
      <c r="U21" s="65">
        <f t="shared" si="14"/>
        <v>-25.200000000000003</v>
      </c>
      <c r="V21" s="41" t="str">
        <f t="shared" si="15"/>
        <v>FED +</v>
      </c>
      <c r="W21" s="33">
        <f t="shared" si="16"/>
        <v>1</v>
      </c>
      <c r="X21" s="40" t="str">
        <f>IF(I21="","",IF(A21="H",IF(OR(H21="SEN",H21&lt;1995),VLOOKUP(I21,Feuil1!$A$11:$G$29,6),IF(AND(H21&gt;1994,H21&lt;1998),VLOOKUP(I21,Feuil1!$A$11:$G$29,5),IF(AND(H21&gt;1997,H21&lt;2000),VLOOKUP(I21,Feuil1!$A$11:$G$29,4),IF(AND(H21&gt;1999,H21&lt;2002),VLOOKUP(I21,Feuil1!$A$11:$G$29,3),VLOOKUP(I21,Feuil1!$A$11:$G$29,2))))),IF(OR(H21="SEN",H21&lt;1995),VLOOKUP(I21,Feuil1!$G$11:$L$25,6),IF(AND(H21&gt;1994,H21&lt;1998),VLOOKUP(I21,Feuil1!$G$11:$L$25,5),IF(AND(H21&gt;1997,H21&lt;2000),VLOOKUP(I21,Feuil1!$G$11:$L$25,4),IF(AND(H21&gt;1999,H21&lt;2002),VLOOKUP(I21,Feuil1!$G$11:$L$25,3),VLOOKUP(I21,Feuil1!$G$11:$L$25,2)))))))</f>
        <v>FC1 48</v>
      </c>
      <c r="Y21" s="39">
        <f t="shared" si="17"/>
        <v>113.28694646728327</v>
      </c>
      <c r="Z21" s="45"/>
      <c r="AA21" s="45" t="s">
        <v>12</v>
      </c>
      <c r="AB21" s="3">
        <f>T21-HLOOKUP(X21,Feuil1!$C$1:$BL$10,2,FALSE)</f>
        <v>41</v>
      </c>
      <c r="AC21" s="3">
        <f>T21-HLOOKUP(X21,Feuil1!$C$1:$BL$10,3,FALSE)</f>
        <v>31</v>
      </c>
      <c r="AD21" s="3">
        <f>T21-HLOOKUP(X21,Feuil1!$C$1:$BL$10,4,FALSE)</f>
        <v>21</v>
      </c>
      <c r="AE21" s="3">
        <f>T21-HLOOKUP(X21,Feuil1!$C$1:$BL$10,5,FALSE)</f>
        <v>11</v>
      </c>
      <c r="AF21" s="3">
        <f>T21-HLOOKUP(X21,Feuil1!$C$1:$BL$10,6,FALSE)</f>
        <v>1</v>
      </c>
      <c r="AG21" s="3">
        <f>T21-HLOOKUP(X21,Feuil1!$C$1:$BL$10,7,FALSE)</f>
        <v>-9</v>
      </c>
      <c r="AH21" s="3">
        <f>T21-HLOOKUP(X21,Feuil1!$C$1:$BL$10,8,FALSE)</f>
        <v>-19</v>
      </c>
      <c r="AI21" s="3">
        <f>T21-HLOOKUP(X21,Feuil1!$C$1:$BL$10,9,FALSE)</f>
        <v>-29</v>
      </c>
      <c r="AJ21" s="3">
        <f>T21-HLOOKUP(X21,Feuil1!$C$1:$BL$10,10,FALSE)</f>
        <v>-934</v>
      </c>
      <c r="AK21" s="5"/>
      <c r="AL21" s="5"/>
      <c r="AM21" s="5"/>
      <c r="AN21" s="5"/>
      <c r="AO21" s="5"/>
      <c r="AP21" s="5"/>
      <c r="AQ21" s="5" t="str">
        <f t="shared" si="18"/>
        <v>FED +</v>
      </c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</row>
    <row r="22" spans="1:55" ht="21" hidden="1" x14ac:dyDescent="0.2">
      <c r="A22" s="12" t="s">
        <v>69</v>
      </c>
      <c r="B22" s="18" t="s">
        <v>298</v>
      </c>
      <c r="C22" s="19" t="s">
        <v>476</v>
      </c>
      <c r="D22" s="61">
        <v>9</v>
      </c>
      <c r="E22" s="35">
        <v>378365</v>
      </c>
      <c r="F22" s="20" t="s">
        <v>487</v>
      </c>
      <c r="G22" s="20" t="s">
        <v>114</v>
      </c>
      <c r="H22" s="51">
        <v>2000</v>
      </c>
      <c r="I22" s="30">
        <v>47.47</v>
      </c>
      <c r="J22" s="19" t="s">
        <v>481</v>
      </c>
      <c r="K22" s="34" t="s">
        <v>69</v>
      </c>
      <c r="L22" s="31">
        <v>20</v>
      </c>
      <c r="M22" s="31">
        <v>23</v>
      </c>
      <c r="N22" s="31">
        <v>-26</v>
      </c>
      <c r="O22" s="36">
        <f t="shared" si="11"/>
        <v>23</v>
      </c>
      <c r="P22" s="31">
        <v>30</v>
      </c>
      <c r="Q22" s="31">
        <v>-33</v>
      </c>
      <c r="R22" s="31">
        <v>33</v>
      </c>
      <c r="S22" s="36">
        <f t="shared" si="12"/>
        <v>33</v>
      </c>
      <c r="T22" s="37">
        <f t="shared" si="13"/>
        <v>56</v>
      </c>
      <c r="U22" s="65">
        <f t="shared" si="14"/>
        <v>-38.94</v>
      </c>
      <c r="V22" s="41" t="str">
        <f t="shared" si="15"/>
        <v>IRG +</v>
      </c>
      <c r="W22" s="33">
        <f t="shared" si="16"/>
        <v>1</v>
      </c>
      <c r="X22" s="40" t="str">
        <f>IF(I22="","",IF(A22="H",IF(OR(H22="SEN",H22&lt;1995),VLOOKUP(I22,Feuil1!$A$11:$G$29,6),IF(AND(H22&gt;1994,H22&lt;1998),VLOOKUP(I22,Feuil1!$A$11:$G$29,5),IF(AND(H22&gt;1997,H22&lt;2000),VLOOKUP(I22,Feuil1!$A$11:$G$29,4),IF(AND(H22&gt;1999,H22&lt;2002),VLOOKUP(I22,Feuil1!$A$11:$G$29,3),VLOOKUP(I22,Feuil1!$A$11:$G$29,2))))),IF(OR(H22="SEN",H22&lt;1995),VLOOKUP(I22,Feuil1!$G$11:$L$25,6),IF(AND(H22&gt;1994,H22&lt;1998),VLOOKUP(I22,Feuil1!$G$11:$L$25,5),IF(AND(H22&gt;1997,H22&lt;2000),VLOOKUP(I22,Feuil1!$G$11:$L$25,4),IF(AND(H22&gt;1999,H22&lt;2002),VLOOKUP(I22,Feuil1!$G$11:$L$25,3),VLOOKUP(I22,Feuil1!$G$11:$L$25,2)))))))</f>
        <v>FC1 48</v>
      </c>
      <c r="Y22" s="39">
        <f t="shared" si="17"/>
        <v>92.70004537581346</v>
      </c>
      <c r="Z22" s="45"/>
      <c r="AA22" s="45" t="s">
        <v>12</v>
      </c>
      <c r="AB22" s="3">
        <f>T22-HLOOKUP(X22,Feuil1!$C$1:$BL$10,2,FALSE)</f>
        <v>31</v>
      </c>
      <c r="AC22" s="3">
        <f>T22-HLOOKUP(X22,Feuil1!$C$1:$BL$10,3,FALSE)</f>
        <v>21</v>
      </c>
      <c r="AD22" s="3">
        <f>T22-HLOOKUP(X22,Feuil1!$C$1:$BL$10,4,FALSE)</f>
        <v>11</v>
      </c>
      <c r="AE22" s="3">
        <f>T22-HLOOKUP(X22,Feuil1!$C$1:$BL$10,5,FALSE)</f>
        <v>1</v>
      </c>
      <c r="AF22" s="3">
        <f>T22-HLOOKUP(X22,Feuil1!$C$1:$BL$10,6,FALSE)</f>
        <v>-9</v>
      </c>
      <c r="AG22" s="3">
        <f>T22-HLOOKUP(X22,Feuil1!$C$1:$BL$10,7,FALSE)</f>
        <v>-19</v>
      </c>
      <c r="AH22" s="3">
        <f>T22-HLOOKUP(X22,Feuil1!$C$1:$BL$10,8,FALSE)</f>
        <v>-29</v>
      </c>
      <c r="AI22" s="3">
        <f>T22-HLOOKUP(X22,Feuil1!$C$1:$BL$10,9,FALSE)</f>
        <v>-39</v>
      </c>
      <c r="AJ22" s="3">
        <f>T22-HLOOKUP(X22,Feuil1!$C$1:$BL$10,10,FALSE)</f>
        <v>-944</v>
      </c>
      <c r="AQ22" s="5" t="str">
        <f t="shared" si="18"/>
        <v>IRG +</v>
      </c>
    </row>
    <row r="23" spans="1:55" ht="21" hidden="1" x14ac:dyDescent="0.2">
      <c r="A23" s="12" t="s">
        <v>69</v>
      </c>
      <c r="B23" s="18" t="s">
        <v>108</v>
      </c>
      <c r="C23" s="19" t="s">
        <v>119</v>
      </c>
      <c r="D23" s="61">
        <v>10</v>
      </c>
      <c r="E23" s="35">
        <v>366668</v>
      </c>
      <c r="F23" s="21" t="s">
        <v>128</v>
      </c>
      <c r="G23" s="20" t="s">
        <v>680</v>
      </c>
      <c r="H23" s="51">
        <v>2001</v>
      </c>
      <c r="I23" s="30">
        <v>47.8</v>
      </c>
      <c r="J23" s="19" t="s">
        <v>125</v>
      </c>
      <c r="K23" s="34" t="s">
        <v>69</v>
      </c>
      <c r="L23" s="31">
        <v>20</v>
      </c>
      <c r="M23" s="31">
        <v>22</v>
      </c>
      <c r="N23" s="31">
        <v>25</v>
      </c>
      <c r="O23" s="36">
        <f t="shared" si="11"/>
        <v>25</v>
      </c>
      <c r="P23" s="31">
        <v>23</v>
      </c>
      <c r="Q23" s="31">
        <v>25</v>
      </c>
      <c r="R23" s="31">
        <v>27</v>
      </c>
      <c r="S23" s="36">
        <f t="shared" si="12"/>
        <v>27</v>
      </c>
      <c r="T23" s="37">
        <f t="shared" si="13"/>
        <v>52</v>
      </c>
      <c r="U23" s="65">
        <f t="shared" si="14"/>
        <v>-43.599999999999994</v>
      </c>
      <c r="V23" s="41" t="str">
        <f t="shared" si="15"/>
        <v>REG +</v>
      </c>
      <c r="W23" s="33">
        <f t="shared" si="16"/>
        <v>7</v>
      </c>
      <c r="X23" s="40" t="str">
        <f>IF(I23="","",IF(A23="H",IF(OR(H23="SEN",H23&lt;1995),VLOOKUP(I23,Feuil1!$A$11:$G$29,6),IF(AND(H23&gt;1994,H23&lt;1998),VLOOKUP(I23,Feuil1!$A$11:$G$29,5),IF(AND(H23&gt;1997,H23&lt;2000),VLOOKUP(I23,Feuil1!$A$11:$G$29,4),IF(AND(H23&gt;1999,H23&lt;2002),VLOOKUP(I23,Feuil1!$A$11:$G$29,3),VLOOKUP(I23,Feuil1!$A$11:$G$29,2))))),IF(OR(H23="SEN",H23&lt;1995),VLOOKUP(I23,Feuil1!$G$11:$L$25,6),IF(AND(H23&gt;1994,H23&lt;1998),VLOOKUP(I23,Feuil1!$G$11:$L$25,5),IF(AND(H23&gt;1997,H23&lt;2000),VLOOKUP(I23,Feuil1!$G$11:$L$25,4),IF(AND(H23&gt;1999,H23&lt;2002),VLOOKUP(I23,Feuil1!$G$11:$L$25,3),VLOOKUP(I23,Feuil1!$G$11:$L$25,2)))))))</f>
        <v>FC1 48</v>
      </c>
      <c r="Y23" s="39">
        <f t="shared" si="17"/>
        <v>85.553279467547384</v>
      </c>
      <c r="Z23" s="45"/>
      <c r="AA23" s="45" t="s">
        <v>12</v>
      </c>
      <c r="AB23" s="3">
        <f>T23-HLOOKUP(X23,Feuil1!$C$1:$BL$10,2,FALSE)</f>
        <v>27</v>
      </c>
      <c r="AC23" s="3">
        <f>T23-HLOOKUP(X23,Feuil1!$C$1:$BL$10,3,FALSE)</f>
        <v>17</v>
      </c>
      <c r="AD23" s="3">
        <f>T23-HLOOKUP(X23,Feuil1!$C$1:$BL$10,4,FALSE)</f>
        <v>7</v>
      </c>
      <c r="AE23" s="3">
        <f>T23-HLOOKUP(X23,Feuil1!$C$1:$BL$10,5,FALSE)</f>
        <v>-3</v>
      </c>
      <c r="AF23" s="3">
        <f>T23-HLOOKUP(X23,Feuil1!$C$1:$BL$10,6,FALSE)</f>
        <v>-13</v>
      </c>
      <c r="AG23" s="3">
        <f>T23-HLOOKUP(X23,Feuil1!$C$1:$BL$10,7,FALSE)</f>
        <v>-23</v>
      </c>
      <c r="AH23" s="3">
        <f>T23-HLOOKUP(X23,Feuil1!$C$1:$BL$10,8,FALSE)</f>
        <v>-33</v>
      </c>
      <c r="AI23" s="3">
        <f>T23-HLOOKUP(X23,Feuil1!$C$1:$BL$10,9,FALSE)</f>
        <v>-43</v>
      </c>
      <c r="AJ23" s="3">
        <f>T23-HLOOKUP(X23,Feuil1!$C$1:$BL$10,10,FALSE)</f>
        <v>-948</v>
      </c>
      <c r="AQ23" s="5" t="str">
        <f t="shared" si="18"/>
        <v>REG +</v>
      </c>
    </row>
    <row r="24" spans="1:55" ht="21" hidden="1" x14ac:dyDescent="0.2">
      <c r="A24" s="12" t="s">
        <v>69</v>
      </c>
      <c r="B24" s="18" t="s">
        <v>298</v>
      </c>
      <c r="C24" s="19" t="s">
        <v>476</v>
      </c>
      <c r="D24" s="61">
        <v>11</v>
      </c>
      <c r="E24" s="35">
        <v>378362</v>
      </c>
      <c r="F24" s="20" t="s">
        <v>479</v>
      </c>
      <c r="G24" s="20" t="s">
        <v>480</v>
      </c>
      <c r="H24" s="51">
        <v>2001</v>
      </c>
      <c r="I24" s="30">
        <v>46</v>
      </c>
      <c r="J24" s="19" t="s">
        <v>481</v>
      </c>
      <c r="K24" s="34" t="s">
        <v>69</v>
      </c>
      <c r="L24" s="31">
        <v>17</v>
      </c>
      <c r="M24" s="31">
        <v>-19</v>
      </c>
      <c r="N24" s="31">
        <v>19</v>
      </c>
      <c r="O24" s="36">
        <f t="shared" si="11"/>
        <v>19</v>
      </c>
      <c r="P24" s="31">
        <v>20</v>
      </c>
      <c r="Q24" s="31">
        <v>24</v>
      </c>
      <c r="R24" s="31">
        <v>26</v>
      </c>
      <c r="S24" s="36">
        <f t="shared" si="12"/>
        <v>26</v>
      </c>
      <c r="T24" s="37">
        <f t="shared" si="13"/>
        <v>45</v>
      </c>
      <c r="U24" s="65">
        <f t="shared" si="14"/>
        <v>-47</v>
      </c>
      <c r="V24" s="41" t="str">
        <f t="shared" si="15"/>
        <v>REG +</v>
      </c>
      <c r="W24" s="33">
        <f t="shared" si="16"/>
        <v>0</v>
      </c>
      <c r="X24" s="40" t="str">
        <f>IF(I24="","",IF(A24="H",IF(OR(H24="SEN",H24&lt;1995),VLOOKUP(I24,Feuil1!$A$11:$G$29,6),IF(AND(H24&gt;1994,H24&lt;1998),VLOOKUP(I24,Feuil1!$A$11:$G$29,5),IF(AND(H24&gt;1997,H24&lt;2000),VLOOKUP(I24,Feuil1!$A$11:$G$29,4),IF(AND(H24&gt;1999,H24&lt;2002),VLOOKUP(I24,Feuil1!$A$11:$G$29,3),VLOOKUP(I24,Feuil1!$A$11:$G$29,2))))),IF(OR(H24="SEN",H24&lt;1995),VLOOKUP(I24,Feuil1!$G$11:$L$25,6),IF(AND(H24&gt;1994,H24&lt;1998),VLOOKUP(I24,Feuil1!$G$11:$L$25,5),IF(AND(H24&gt;1997,H24&lt;2000),VLOOKUP(I24,Feuil1!$G$11:$L$25,4),IF(AND(H24&gt;1999,H24&lt;2002),VLOOKUP(I24,Feuil1!$G$11:$L$25,3),VLOOKUP(I24,Feuil1!$G$11:$L$25,2)))))))</f>
        <v>FC1 48</v>
      </c>
      <c r="Y24" s="39">
        <f t="shared" si="17"/>
        <v>76.626792198675929</v>
      </c>
      <c r="Z24" s="45"/>
      <c r="AA24" s="45" t="s">
        <v>12</v>
      </c>
      <c r="AB24" s="3">
        <f>T24-HLOOKUP(X24,Feuil1!$C$1:$BL$10,2,FALSE)</f>
        <v>20</v>
      </c>
      <c r="AC24" s="3">
        <f>T24-HLOOKUP(X24,Feuil1!$C$1:$BL$10,3,FALSE)</f>
        <v>10</v>
      </c>
      <c r="AD24" s="3">
        <f>T24-HLOOKUP(X24,Feuil1!$C$1:$BL$10,4,FALSE)</f>
        <v>0</v>
      </c>
      <c r="AE24" s="3">
        <f>T24-HLOOKUP(X24,Feuil1!$C$1:$BL$10,5,FALSE)</f>
        <v>-10</v>
      </c>
      <c r="AF24" s="3">
        <f>T24-HLOOKUP(X24,Feuil1!$C$1:$BL$10,6,FALSE)</f>
        <v>-20</v>
      </c>
      <c r="AG24" s="3">
        <f>T24-HLOOKUP(X24,Feuil1!$C$1:$BL$10,7,FALSE)</f>
        <v>-30</v>
      </c>
      <c r="AH24" s="3">
        <f>T24-HLOOKUP(X24,Feuil1!$C$1:$BL$10,8,FALSE)</f>
        <v>-40</v>
      </c>
      <c r="AI24" s="3">
        <f>T24-HLOOKUP(X24,Feuil1!$C$1:$BL$10,9,FALSE)</f>
        <v>-50</v>
      </c>
      <c r="AJ24" s="3">
        <f>T24-HLOOKUP(X24,Feuil1!$C$1:$BL$10,10,FALSE)</f>
        <v>-955</v>
      </c>
      <c r="AQ24" s="5" t="str">
        <f t="shared" si="18"/>
        <v>REG +</v>
      </c>
    </row>
    <row r="25" spans="1:55" s="13" customFormat="1" ht="15" hidden="1" customHeight="1" thickBot="1" x14ac:dyDescent="0.25">
      <c r="A25" s="89"/>
      <c r="B25" s="90"/>
      <c r="C25" s="91"/>
      <c r="D25" s="92"/>
      <c r="E25" s="93"/>
      <c r="F25" s="94"/>
      <c r="G25" s="94"/>
      <c r="H25" s="95"/>
      <c r="I25" s="96"/>
      <c r="J25" s="91"/>
      <c r="K25" s="97"/>
      <c r="L25" s="98"/>
      <c r="M25" s="98"/>
      <c r="N25" s="98"/>
      <c r="O25" s="99"/>
      <c r="P25" s="98"/>
      <c r="Q25" s="98"/>
      <c r="R25" s="98"/>
      <c r="S25" s="99"/>
      <c r="T25" s="100"/>
      <c r="U25" s="101"/>
      <c r="V25" s="102"/>
      <c r="W25" s="103"/>
      <c r="X25" s="104"/>
      <c r="Y25" s="105"/>
      <c r="Z25" s="45"/>
      <c r="AA25" s="45" t="s">
        <v>12</v>
      </c>
      <c r="AB25" s="3" t="e">
        <f>T25-HLOOKUP(X25,Feuil1!$C$1:$BL$10,2,FALSE)</f>
        <v>#N/A</v>
      </c>
      <c r="AC25" s="3" t="e">
        <f>T25-HLOOKUP(X25,Feuil1!$C$1:$BL$10,3,FALSE)</f>
        <v>#N/A</v>
      </c>
      <c r="AD25" s="3" t="e">
        <f>T25-HLOOKUP(X25,Feuil1!$C$1:$BL$10,4,FALSE)</f>
        <v>#N/A</v>
      </c>
      <c r="AE25" s="3" t="e">
        <f>T25-HLOOKUP(X25,Feuil1!$C$1:$BL$10,5,FALSE)</f>
        <v>#N/A</v>
      </c>
      <c r="AF25" s="3" t="e">
        <f>T25-HLOOKUP(X25,Feuil1!$C$1:$BL$10,6,FALSE)</f>
        <v>#N/A</v>
      </c>
      <c r="AG25" s="3" t="e">
        <f>T25-HLOOKUP(X25,Feuil1!$C$1:$BL$10,7,FALSE)</f>
        <v>#N/A</v>
      </c>
      <c r="AH25" s="3" t="e">
        <f>T25-HLOOKUP(X25,Feuil1!$C$1:$BL$10,8,FALSE)</f>
        <v>#N/A</v>
      </c>
      <c r="AI25" s="3" t="e">
        <f>T25-HLOOKUP(X25,Feuil1!$C$1:$BL$10,9,FALSE)</f>
        <v>#N/A</v>
      </c>
      <c r="AJ25" s="3" t="e">
        <f>T25-HLOOKUP(X25,Feuil1!$C$1:$BL$10,10,FALSE)</f>
        <v>#N/A</v>
      </c>
      <c r="AK25" s="5"/>
      <c r="AL25" s="5"/>
      <c r="AM25" s="5"/>
      <c r="AN25" s="5"/>
      <c r="AO25" s="5"/>
      <c r="AP25" s="5"/>
      <c r="AQ25" s="5" t="e">
        <f t="shared" ref="AQ25" si="19">IF(AJ25&gt;=0,$AJ$1,IF(AI25&gt;=0,$AI$1,IF(AH25&gt;=0,$AH$1,IF(AG25&gt;=0,$AG$1,IF(AF25&gt;=0,$AF$1,IF(AE25&gt;=0,$AE$1,IF(AD25&gt;=0,$AD$1,IF(AC25&gt;=0,$AC$1,$AB$1))))))))</f>
        <v>#N/A</v>
      </c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1:55" ht="21" x14ac:dyDescent="0.2">
      <c r="A26" s="12" t="s">
        <v>69</v>
      </c>
      <c r="B26" s="18" t="s">
        <v>71</v>
      </c>
      <c r="C26" s="19" t="s">
        <v>72</v>
      </c>
      <c r="D26" s="61">
        <v>1</v>
      </c>
      <c r="E26" s="35">
        <v>280309</v>
      </c>
      <c r="F26" s="20" t="s">
        <v>920</v>
      </c>
      <c r="G26" s="20" t="s">
        <v>635</v>
      </c>
      <c r="H26" s="51">
        <v>2000</v>
      </c>
      <c r="I26" s="30">
        <v>51.4</v>
      </c>
      <c r="J26" s="19" t="s">
        <v>921</v>
      </c>
      <c r="K26" s="34" t="s">
        <v>69</v>
      </c>
      <c r="L26" s="31">
        <v>40</v>
      </c>
      <c r="M26" s="31">
        <v>43</v>
      </c>
      <c r="N26" s="31">
        <v>45</v>
      </c>
      <c r="O26" s="36">
        <f t="shared" ref="O26:O37" si="20">IF(H26="","",IF(MAXA(L26:N26)&lt;=0,0,MAXA(L26:N26)))</f>
        <v>45</v>
      </c>
      <c r="P26" s="31">
        <v>55</v>
      </c>
      <c r="Q26" s="31">
        <v>60</v>
      </c>
      <c r="R26" s="31">
        <v>-64</v>
      </c>
      <c r="S26" s="36">
        <f t="shared" ref="S26:S37" si="21">IF(H26="","",IF(MAXA(P26:R26)&lt;=0,0,MAXA(P26:R26)))</f>
        <v>60</v>
      </c>
      <c r="T26" s="37">
        <f t="shared" ref="T26:T37" si="22">IF(H26="","",IF(OR(O26=0,S26=0),0,O26+S26))</f>
        <v>105</v>
      </c>
      <c r="U26" s="65">
        <f t="shared" ref="U26:U37" si="23">T26-I26*2</f>
        <v>2.2000000000000028</v>
      </c>
      <c r="V26" s="41" t="str">
        <f t="shared" ref="V26:V37" si="24">IF(H26="","",AQ26)</f>
        <v>INTA +</v>
      </c>
      <c r="W26" s="33">
        <f t="shared" ref="W26:W37" si="25">IF(AJ26&gt;=0,AJ26,IF(AI26&gt;=0,AI26,IF(AH26&gt;=0,AH26,IF(AG26&gt;=0,AG26,IF(AF26&gt;=0,AF26,IF(AE26&gt;=0,AE26,IF(AD26&gt;=0,AD26,IF(AC26&gt;=0,AC26,AB26))))))))</f>
        <v>0</v>
      </c>
      <c r="X26" s="40" t="str">
        <f>IF(I26="","",IF(A26="H",IF(OR(H26="SEN",H26&lt;1995),VLOOKUP(I26,Feuil1!$A$11:$G$29,6),IF(AND(H26&gt;1994,H26&lt;1998),VLOOKUP(I26,Feuil1!$A$11:$G$29,5),IF(AND(H26&gt;1997,H26&lt;2000),VLOOKUP(I26,Feuil1!$A$11:$G$29,4),IF(AND(H26&gt;1999,H26&lt;2002),VLOOKUP(I26,Feuil1!$A$11:$G$29,3),VLOOKUP(I26,Feuil1!$A$11:$G$29,2))))),IF(OR(H26="SEN",H26&lt;1995),VLOOKUP(I26,Feuil1!$G$11:$L$25,6),IF(AND(H26&gt;1994,H26&lt;1998),VLOOKUP(I26,Feuil1!$G$11:$L$25,5),IF(AND(H26&gt;1997,H26&lt;2000),VLOOKUP(I26,Feuil1!$G$11:$L$25,4),IF(AND(H26&gt;1999,H26&lt;2002),VLOOKUP(I26,Feuil1!$G$11:$L$25,3),VLOOKUP(I26,Feuil1!$G$11:$L$25,2)))))))</f>
        <v>FC1 53</v>
      </c>
      <c r="Y26" s="39">
        <f t="shared" ref="Y26:Y37" si="26">IF(I26="","",IF(A26="H",10^(0.794358141*LOG(I26/174.393)^2)*T26,IF(A26="F",10^(0.89726074*LOG(I26/148.026)^2)*T26,"")))</f>
        <v>162.38054778623814</v>
      </c>
      <c r="Z26" s="45"/>
      <c r="AA26" s="45" t="s">
        <v>12</v>
      </c>
      <c r="AB26" s="3">
        <f>T26-HLOOKUP(X26,Feuil1!$C$1:$BL$10,2,FALSE)</f>
        <v>70</v>
      </c>
      <c r="AC26" s="3">
        <f>T26-HLOOKUP(X26,Feuil1!$C$1:$BL$10,3,FALSE)</f>
        <v>60</v>
      </c>
      <c r="AD26" s="3">
        <f>T26-HLOOKUP(X26,Feuil1!$C$1:$BL$10,4,FALSE)</f>
        <v>50</v>
      </c>
      <c r="AE26" s="3">
        <f>T26-HLOOKUP(X26,Feuil1!$C$1:$BL$10,5,FALSE)</f>
        <v>40</v>
      </c>
      <c r="AF26" s="3">
        <f>T26-HLOOKUP(X26,Feuil1!$C$1:$BL$10,6,FALSE)</f>
        <v>30</v>
      </c>
      <c r="AG26" s="3">
        <f>T26-HLOOKUP(X26,Feuil1!$C$1:$BL$10,7,FALSE)</f>
        <v>20</v>
      </c>
      <c r="AH26" s="3">
        <f>T26-HLOOKUP(X26,Feuil1!$C$1:$BL$10,8,FALSE)</f>
        <v>10</v>
      </c>
      <c r="AI26" s="3">
        <f>T26-HLOOKUP(X26,Feuil1!$C$1:$BL$10,9,FALSE)</f>
        <v>0</v>
      </c>
      <c r="AJ26" s="3">
        <f>T26-HLOOKUP(X26,Feuil1!$C$1:$BL$10,10,FALSE)</f>
        <v>-895</v>
      </c>
      <c r="AQ26" s="5" t="str">
        <f t="shared" ref="AQ26:AQ37" si="27">IF(AJ26&gt;=0,$AJ$1,IF(AI26&gt;=0,$AI$1,IF(AH26&gt;=0,$AH$1,IF(AG26&gt;=0,$AG$1,IF(AF26&gt;=0,$AF$1,IF(AE26&gt;=0,$AE$1,IF(AD26&gt;=0,$AD$1,IF(AC26&gt;=0,$AC$1,$AB$1))))))))</f>
        <v>INTA +</v>
      </c>
      <c r="BC26" s="13"/>
    </row>
    <row r="27" spans="1:55" ht="21" x14ac:dyDescent="0.2">
      <c r="A27" s="12" t="s">
        <v>69</v>
      </c>
      <c r="B27" s="67" t="s">
        <v>71</v>
      </c>
      <c r="C27" s="68" t="s">
        <v>872</v>
      </c>
      <c r="D27" s="69">
        <v>2</v>
      </c>
      <c r="E27" s="70">
        <v>290105</v>
      </c>
      <c r="F27" s="71" t="s">
        <v>869</v>
      </c>
      <c r="G27" s="71" t="s">
        <v>870</v>
      </c>
      <c r="H27" s="72">
        <v>2000</v>
      </c>
      <c r="I27" s="73">
        <v>48.6</v>
      </c>
      <c r="J27" s="68" t="s">
        <v>871</v>
      </c>
      <c r="K27" s="74" t="s">
        <v>69</v>
      </c>
      <c r="L27" s="75">
        <v>35</v>
      </c>
      <c r="M27" s="75">
        <v>38</v>
      </c>
      <c r="N27" s="75">
        <v>40</v>
      </c>
      <c r="O27" s="76">
        <f t="shared" si="20"/>
        <v>40</v>
      </c>
      <c r="P27" s="75">
        <v>46</v>
      </c>
      <c r="Q27" s="75">
        <v>48</v>
      </c>
      <c r="R27" s="75">
        <v>51</v>
      </c>
      <c r="S27" s="76">
        <f t="shared" si="21"/>
        <v>51</v>
      </c>
      <c r="T27" s="77">
        <f t="shared" si="22"/>
        <v>91</v>
      </c>
      <c r="U27" s="78">
        <f t="shared" si="23"/>
        <v>-6.2000000000000028</v>
      </c>
      <c r="V27" s="79" t="str">
        <f t="shared" si="24"/>
        <v>NAT +</v>
      </c>
      <c r="W27" s="80">
        <f t="shared" si="25"/>
        <v>6</v>
      </c>
      <c r="X27" s="81" t="str">
        <f>IF(I27="","",IF(A27="H",IF(OR(H27="SEN",H27&lt;1995),VLOOKUP(I27,Feuil1!$A$11:$G$29,6),IF(AND(H27&gt;1994,H27&lt;1998),VLOOKUP(I27,Feuil1!$A$11:$G$29,5),IF(AND(H27&gt;1997,H27&lt;2000),VLOOKUP(I27,Feuil1!$A$11:$G$29,4),IF(AND(H27&gt;1999,H27&lt;2002),VLOOKUP(I27,Feuil1!$A$11:$G$29,3),VLOOKUP(I27,Feuil1!$A$11:$G$29,2))))),IF(OR(H27="SEN",H27&lt;1995),VLOOKUP(I27,Feuil1!$G$11:$L$25,6),IF(AND(H27&gt;1994,H27&lt;1998),VLOOKUP(I27,Feuil1!$G$11:$L$25,5),IF(AND(H27&gt;1997,H27&lt;2000),VLOOKUP(I27,Feuil1!$G$11:$L$25,4),IF(AND(H27&gt;1999,H27&lt;2002),VLOOKUP(I27,Feuil1!$G$11:$L$25,3),VLOOKUP(I27,Feuil1!$G$11:$L$25,2)))))))</f>
        <v>FC1 53</v>
      </c>
      <c r="Y27" s="39">
        <f t="shared" si="26"/>
        <v>147.56084242575969</v>
      </c>
      <c r="Z27" s="45"/>
      <c r="AA27" s="45" t="s">
        <v>12</v>
      </c>
      <c r="AB27" s="3">
        <f>T27-HLOOKUP(X27,Feuil1!$C$1:$BL$10,2,FALSE)</f>
        <v>56</v>
      </c>
      <c r="AC27" s="3">
        <f>T27-HLOOKUP(X27,Feuil1!$C$1:$BL$10,3,FALSE)</f>
        <v>46</v>
      </c>
      <c r="AD27" s="3">
        <f>T27-HLOOKUP(X27,Feuil1!$C$1:$BL$10,4,FALSE)</f>
        <v>36</v>
      </c>
      <c r="AE27" s="3">
        <f>T27-HLOOKUP(X27,Feuil1!$C$1:$BL$10,5,FALSE)</f>
        <v>26</v>
      </c>
      <c r="AF27" s="3">
        <f>T27-HLOOKUP(X27,Feuil1!$C$1:$BL$10,6,FALSE)</f>
        <v>16</v>
      </c>
      <c r="AG27" s="3">
        <f>T27-HLOOKUP(X27,Feuil1!$C$1:$BL$10,7,FALSE)</f>
        <v>6</v>
      </c>
      <c r="AH27" s="3">
        <f>T27-HLOOKUP(X27,Feuil1!$C$1:$BL$10,8,FALSE)</f>
        <v>-4</v>
      </c>
      <c r="AI27" s="3">
        <f>T27-HLOOKUP(X27,Feuil1!$C$1:$BL$10,9,FALSE)</f>
        <v>-14</v>
      </c>
      <c r="AJ27" s="3">
        <f>T27-HLOOKUP(X27,Feuil1!$C$1:$BL$10,10,FALSE)</f>
        <v>-909</v>
      </c>
      <c r="AQ27" s="5" t="str">
        <f t="shared" si="27"/>
        <v>NAT +</v>
      </c>
      <c r="BC27" s="13"/>
    </row>
    <row r="28" spans="1:55" ht="21" x14ac:dyDescent="0.2">
      <c r="A28" s="12" t="s">
        <v>69</v>
      </c>
      <c r="B28" s="67" t="s">
        <v>108</v>
      </c>
      <c r="C28" s="68" t="s">
        <v>119</v>
      </c>
      <c r="D28" s="69">
        <v>3</v>
      </c>
      <c r="E28" s="70">
        <v>300315</v>
      </c>
      <c r="F28" s="71" t="s">
        <v>123</v>
      </c>
      <c r="G28" s="71" t="s">
        <v>124</v>
      </c>
      <c r="H28" s="72">
        <v>2001</v>
      </c>
      <c r="I28" s="73">
        <v>48.9</v>
      </c>
      <c r="J28" s="68" t="s">
        <v>125</v>
      </c>
      <c r="K28" s="74" t="s">
        <v>69</v>
      </c>
      <c r="L28" s="75">
        <v>36</v>
      </c>
      <c r="M28" s="75">
        <v>38</v>
      </c>
      <c r="N28" s="75">
        <v>40</v>
      </c>
      <c r="O28" s="76">
        <f t="shared" si="20"/>
        <v>40</v>
      </c>
      <c r="P28" s="75">
        <v>46</v>
      </c>
      <c r="Q28" s="75">
        <v>50</v>
      </c>
      <c r="R28" s="75">
        <v>-52</v>
      </c>
      <c r="S28" s="76">
        <f t="shared" si="21"/>
        <v>50</v>
      </c>
      <c r="T28" s="77">
        <f t="shared" si="22"/>
        <v>90</v>
      </c>
      <c r="U28" s="78">
        <f t="shared" si="23"/>
        <v>-7.7999999999999972</v>
      </c>
      <c r="V28" s="79" t="str">
        <f t="shared" si="24"/>
        <v>NAT +</v>
      </c>
      <c r="W28" s="80">
        <f t="shared" si="25"/>
        <v>5</v>
      </c>
      <c r="X28" s="81" t="str">
        <f>IF(I28="","",IF(A28="H",IF(OR(H28="SEN",H28&lt;1995),VLOOKUP(I28,Feuil1!$A$11:$G$29,6),IF(AND(H28&gt;1994,H28&lt;1998),VLOOKUP(I28,Feuil1!$A$11:$G$29,5),IF(AND(H28&gt;1997,H28&lt;2000),VLOOKUP(I28,Feuil1!$A$11:$G$29,4),IF(AND(H28&gt;1999,H28&lt;2002),VLOOKUP(I28,Feuil1!$A$11:$G$29,3),VLOOKUP(I28,Feuil1!$A$11:$G$29,2))))),IF(OR(H28="SEN",H28&lt;1995),VLOOKUP(I28,Feuil1!$G$11:$L$25,6),IF(AND(H28&gt;1994,H28&lt;1998),VLOOKUP(I28,Feuil1!$G$11:$L$25,5),IF(AND(H28&gt;1997,H28&lt;2000),VLOOKUP(I28,Feuil1!$G$11:$L$25,4),IF(AND(H28&gt;1999,H28&lt;2002),VLOOKUP(I28,Feuil1!$G$11:$L$25,3),VLOOKUP(I28,Feuil1!$G$11:$L$25,2)))))))</f>
        <v>FC1 53</v>
      </c>
      <c r="Y28" s="39">
        <f t="shared" si="26"/>
        <v>145.16396059864314</v>
      </c>
      <c r="Z28" s="45"/>
      <c r="AA28" s="45" t="s">
        <v>12</v>
      </c>
      <c r="AB28" s="3">
        <f>T28-HLOOKUP(X28,Feuil1!$C$1:$BL$10,2,FALSE)</f>
        <v>55</v>
      </c>
      <c r="AC28" s="3">
        <f>T28-HLOOKUP(X28,Feuil1!$C$1:$BL$10,3,FALSE)</f>
        <v>45</v>
      </c>
      <c r="AD28" s="3">
        <f>T28-HLOOKUP(X28,Feuil1!$C$1:$BL$10,4,FALSE)</f>
        <v>35</v>
      </c>
      <c r="AE28" s="3">
        <f>T28-HLOOKUP(X28,Feuil1!$C$1:$BL$10,5,FALSE)</f>
        <v>25</v>
      </c>
      <c r="AF28" s="3">
        <f>T28-HLOOKUP(X28,Feuil1!$C$1:$BL$10,6,FALSE)</f>
        <v>15</v>
      </c>
      <c r="AG28" s="3">
        <f>T28-HLOOKUP(X28,Feuil1!$C$1:$BL$10,7,FALSE)</f>
        <v>5</v>
      </c>
      <c r="AH28" s="3">
        <f>T28-HLOOKUP(X28,Feuil1!$C$1:$BL$10,8,FALSE)</f>
        <v>-5</v>
      </c>
      <c r="AI28" s="3">
        <f>T28-HLOOKUP(X28,Feuil1!$C$1:$BL$10,9,FALSE)</f>
        <v>-15</v>
      </c>
      <c r="AJ28" s="3">
        <f>T28-HLOOKUP(X28,Feuil1!$C$1:$BL$10,10,FALSE)</f>
        <v>-910</v>
      </c>
      <c r="AQ28" s="5" t="str">
        <f t="shared" si="27"/>
        <v>NAT +</v>
      </c>
    </row>
    <row r="29" spans="1:55" ht="21" x14ac:dyDescent="0.2">
      <c r="A29" s="12" t="s">
        <v>69</v>
      </c>
      <c r="B29" s="18" t="s">
        <v>108</v>
      </c>
      <c r="C29" s="19" t="s">
        <v>109</v>
      </c>
      <c r="D29" s="61">
        <v>4</v>
      </c>
      <c r="E29" s="35">
        <v>320210</v>
      </c>
      <c r="F29" s="20" t="s">
        <v>110</v>
      </c>
      <c r="G29" s="20" t="s">
        <v>111</v>
      </c>
      <c r="H29" s="57">
        <v>2000</v>
      </c>
      <c r="I29" s="30">
        <v>52.6</v>
      </c>
      <c r="J29" s="19" t="s">
        <v>112</v>
      </c>
      <c r="K29" s="34" t="s">
        <v>69</v>
      </c>
      <c r="L29" s="31">
        <v>32</v>
      </c>
      <c r="M29" s="31">
        <v>34</v>
      </c>
      <c r="N29" s="31">
        <v>38</v>
      </c>
      <c r="O29" s="36">
        <f t="shared" si="20"/>
        <v>38</v>
      </c>
      <c r="P29" s="31">
        <v>44</v>
      </c>
      <c r="Q29" s="31">
        <v>48</v>
      </c>
      <c r="R29" s="31">
        <v>52</v>
      </c>
      <c r="S29" s="36">
        <f t="shared" si="21"/>
        <v>52</v>
      </c>
      <c r="T29" s="37">
        <f t="shared" si="22"/>
        <v>90</v>
      </c>
      <c r="U29" s="65">
        <f t="shared" si="23"/>
        <v>-15.200000000000003</v>
      </c>
      <c r="V29" s="41" t="str">
        <f t="shared" si="24"/>
        <v>NAT +</v>
      </c>
      <c r="W29" s="33">
        <f t="shared" si="25"/>
        <v>5</v>
      </c>
      <c r="X29" s="40" t="str">
        <f>IF(I29="","",IF(A29="H",IF(OR(H29="SEN",H29&lt;1995),VLOOKUP(I29,Feuil1!$A$11:$G$29,6),IF(AND(H29&gt;1994,H29&lt;1998),VLOOKUP(I29,Feuil1!$A$11:$G$29,5),IF(AND(H29&gt;1997,H29&lt;2000),VLOOKUP(I29,Feuil1!$A$11:$G$29,4),IF(AND(H29&gt;1999,H29&lt;2002),VLOOKUP(I29,Feuil1!$A$11:$G$29,3),VLOOKUP(I29,Feuil1!$A$11:$G$29,2))))),IF(OR(H29="SEN",H29&lt;1995),VLOOKUP(I29,Feuil1!$G$11:$L$25,6),IF(AND(H29&gt;1994,H29&lt;1998),VLOOKUP(I29,Feuil1!$G$11:$L$25,5),IF(AND(H29&gt;1997,H29&lt;2000),VLOOKUP(I29,Feuil1!$G$11:$L$25,4),IF(AND(H29&gt;1999,H29&lt;2002),VLOOKUP(I29,Feuil1!$G$11:$L$25,3),VLOOKUP(I29,Feuil1!$G$11:$L$25,2)))))))</f>
        <v>FC1 53</v>
      </c>
      <c r="Y29" s="39">
        <f t="shared" si="26"/>
        <v>136.58880732897993</v>
      </c>
      <c r="Z29" s="45"/>
      <c r="AA29" s="45" t="s">
        <v>12</v>
      </c>
      <c r="AB29" s="3">
        <f>T29-HLOOKUP(X29,Feuil1!$C$1:$BL$10,2,FALSE)</f>
        <v>55</v>
      </c>
      <c r="AC29" s="3">
        <f>T29-HLOOKUP(X29,Feuil1!$C$1:$BL$10,3,FALSE)</f>
        <v>45</v>
      </c>
      <c r="AD29" s="3">
        <f>T29-HLOOKUP(X29,Feuil1!$C$1:$BL$10,4,FALSE)</f>
        <v>35</v>
      </c>
      <c r="AE29" s="3">
        <f>T29-HLOOKUP(X29,Feuil1!$C$1:$BL$10,5,FALSE)</f>
        <v>25</v>
      </c>
      <c r="AF29" s="3">
        <f>T29-HLOOKUP(X29,Feuil1!$C$1:$BL$10,6,FALSE)</f>
        <v>15</v>
      </c>
      <c r="AG29" s="3">
        <f>T29-HLOOKUP(X29,Feuil1!$C$1:$BL$10,7,FALSE)</f>
        <v>5</v>
      </c>
      <c r="AH29" s="3">
        <f>T29-HLOOKUP(X29,Feuil1!$C$1:$BL$10,8,FALSE)</f>
        <v>-5</v>
      </c>
      <c r="AI29" s="3">
        <f>T29-HLOOKUP(X29,Feuil1!$C$1:$BL$10,9,FALSE)</f>
        <v>-15</v>
      </c>
      <c r="AJ29" s="3">
        <f>T29-HLOOKUP(X29,Feuil1!$C$1:$BL$10,10,FALSE)</f>
        <v>-910</v>
      </c>
      <c r="AQ29" s="5" t="str">
        <f t="shared" si="27"/>
        <v>NAT +</v>
      </c>
      <c r="BC29" s="13"/>
    </row>
    <row r="30" spans="1:55" ht="21" hidden="1" x14ac:dyDescent="0.2">
      <c r="A30" s="12" t="s">
        <v>69</v>
      </c>
      <c r="B30" s="18" t="s">
        <v>536</v>
      </c>
      <c r="C30" s="19" t="s">
        <v>537</v>
      </c>
      <c r="D30" s="61">
        <v>5</v>
      </c>
      <c r="E30" s="35">
        <v>326705</v>
      </c>
      <c r="F30" s="20" t="s">
        <v>538</v>
      </c>
      <c r="G30" s="20" t="s">
        <v>129</v>
      </c>
      <c r="H30" s="51">
        <v>2001</v>
      </c>
      <c r="I30" s="30">
        <v>50.7</v>
      </c>
      <c r="J30" s="19" t="s">
        <v>539</v>
      </c>
      <c r="K30" s="34" t="s">
        <v>69</v>
      </c>
      <c r="L30" s="31">
        <v>31</v>
      </c>
      <c r="M30" s="31">
        <v>-34</v>
      </c>
      <c r="N30" s="31">
        <v>34</v>
      </c>
      <c r="O30" s="36">
        <f t="shared" si="20"/>
        <v>34</v>
      </c>
      <c r="P30" s="31">
        <v>42</v>
      </c>
      <c r="Q30" s="31">
        <v>45</v>
      </c>
      <c r="R30" s="31">
        <v>46</v>
      </c>
      <c r="S30" s="36">
        <f t="shared" si="21"/>
        <v>46</v>
      </c>
      <c r="T30" s="37">
        <f t="shared" si="22"/>
        <v>80</v>
      </c>
      <c r="U30" s="65">
        <f t="shared" si="23"/>
        <v>-21.400000000000006</v>
      </c>
      <c r="V30" s="41" t="str">
        <f t="shared" si="24"/>
        <v>FED +</v>
      </c>
      <c r="W30" s="33">
        <f t="shared" si="25"/>
        <v>5</v>
      </c>
      <c r="X30" s="40" t="str">
        <f>IF(I30="","",IF(A30="H",IF(OR(H30="SEN",H30&lt;1995),VLOOKUP(I30,Feuil1!$A$11:$G$29,6),IF(AND(H30&gt;1994,H30&lt;1998),VLOOKUP(I30,Feuil1!$A$11:$G$29,5),IF(AND(H30&gt;1997,H30&lt;2000),VLOOKUP(I30,Feuil1!$A$11:$G$29,4),IF(AND(H30&gt;1999,H30&lt;2002),VLOOKUP(I30,Feuil1!$A$11:$G$29,3),VLOOKUP(I30,Feuil1!$A$11:$G$29,2))))),IF(OR(H30="SEN",H30&lt;1995),VLOOKUP(I30,Feuil1!$G$11:$L$25,6),IF(AND(H30&gt;1994,H30&lt;1998),VLOOKUP(I30,Feuil1!$G$11:$L$25,5),IF(AND(H30&gt;1997,H30&lt;2000),VLOOKUP(I30,Feuil1!$G$11:$L$25,4),IF(AND(H30&gt;1999,H30&lt;2002),VLOOKUP(I30,Feuil1!$G$11:$L$25,3),VLOOKUP(I30,Feuil1!$G$11:$L$25,2)))))))</f>
        <v>FC1 53</v>
      </c>
      <c r="Y30" s="39">
        <f t="shared" si="26"/>
        <v>125.13410580955176</v>
      </c>
      <c r="Z30" s="45"/>
      <c r="AA30" s="45" t="s">
        <v>12</v>
      </c>
      <c r="AB30" s="3">
        <f>T30-HLOOKUP(X30,Feuil1!$C$1:$BL$10,2,FALSE)</f>
        <v>45</v>
      </c>
      <c r="AC30" s="3">
        <f>T30-HLOOKUP(X30,Feuil1!$C$1:$BL$10,3,FALSE)</f>
        <v>35</v>
      </c>
      <c r="AD30" s="3">
        <f>T30-HLOOKUP(X30,Feuil1!$C$1:$BL$10,4,FALSE)</f>
        <v>25</v>
      </c>
      <c r="AE30" s="3">
        <f>T30-HLOOKUP(X30,Feuil1!$C$1:$BL$10,5,FALSE)</f>
        <v>15</v>
      </c>
      <c r="AF30" s="3">
        <f>T30-HLOOKUP(X30,Feuil1!$C$1:$BL$10,6,FALSE)</f>
        <v>5</v>
      </c>
      <c r="AG30" s="3">
        <f>T30-HLOOKUP(X30,Feuil1!$C$1:$BL$10,7,FALSE)</f>
        <v>-5</v>
      </c>
      <c r="AH30" s="3">
        <f>T30-HLOOKUP(X30,Feuil1!$C$1:$BL$10,8,FALSE)</f>
        <v>-15</v>
      </c>
      <c r="AI30" s="3">
        <f>T30-HLOOKUP(X30,Feuil1!$C$1:$BL$10,9,FALSE)</f>
        <v>-25</v>
      </c>
      <c r="AJ30" s="3">
        <f>T30-HLOOKUP(X30,Feuil1!$C$1:$BL$10,10,FALSE)</f>
        <v>-920</v>
      </c>
      <c r="AQ30" s="5" t="str">
        <f t="shared" si="27"/>
        <v>FED +</v>
      </c>
    </row>
    <row r="31" spans="1:55" ht="21" hidden="1" x14ac:dyDescent="0.2">
      <c r="A31" s="12" t="s">
        <v>69</v>
      </c>
      <c r="B31" s="18" t="s">
        <v>536</v>
      </c>
      <c r="C31" s="19" t="s">
        <v>537</v>
      </c>
      <c r="D31" s="61">
        <v>6</v>
      </c>
      <c r="E31" s="35">
        <v>326707</v>
      </c>
      <c r="F31" s="20" t="s">
        <v>540</v>
      </c>
      <c r="G31" s="20" t="s">
        <v>157</v>
      </c>
      <c r="H31" s="51">
        <v>2000</v>
      </c>
      <c r="I31" s="30">
        <v>52.5</v>
      </c>
      <c r="J31" s="19" t="s">
        <v>539</v>
      </c>
      <c r="K31" s="34" t="s">
        <v>69</v>
      </c>
      <c r="L31" s="31">
        <v>28</v>
      </c>
      <c r="M31" s="31">
        <v>31</v>
      </c>
      <c r="N31" s="31">
        <v>32</v>
      </c>
      <c r="O31" s="36">
        <f t="shared" si="20"/>
        <v>32</v>
      </c>
      <c r="P31" s="31">
        <v>39</v>
      </c>
      <c r="Q31" s="31">
        <v>43</v>
      </c>
      <c r="R31" s="31">
        <v>-45</v>
      </c>
      <c r="S31" s="36">
        <f t="shared" si="21"/>
        <v>43</v>
      </c>
      <c r="T31" s="37">
        <f t="shared" si="22"/>
        <v>75</v>
      </c>
      <c r="U31" s="65">
        <f t="shared" si="23"/>
        <v>-30</v>
      </c>
      <c r="V31" s="41" t="str">
        <f t="shared" si="24"/>
        <v>FED +</v>
      </c>
      <c r="W31" s="33">
        <f t="shared" si="25"/>
        <v>0</v>
      </c>
      <c r="X31" s="40" t="str">
        <f>IF(I31="","",IF(A31="H",IF(OR(H31="SEN",H31&lt;1995),VLOOKUP(I31,Feuil1!$A$11:$G$29,6),IF(AND(H31&gt;1994,H31&lt;1998),VLOOKUP(I31,Feuil1!$A$11:$G$29,5),IF(AND(H31&gt;1997,H31&lt;2000),VLOOKUP(I31,Feuil1!$A$11:$G$29,4),IF(AND(H31&gt;1999,H31&lt;2002),VLOOKUP(I31,Feuil1!$A$11:$G$29,3),VLOOKUP(I31,Feuil1!$A$11:$G$29,2))))),IF(OR(H31="SEN",H31&lt;1995),VLOOKUP(I31,Feuil1!$G$11:$L$25,6),IF(AND(H31&gt;1994,H31&lt;1998),VLOOKUP(I31,Feuil1!$G$11:$L$25,5),IF(AND(H31&gt;1997,H31&lt;2000),VLOOKUP(I31,Feuil1!$G$11:$L$25,4),IF(AND(H31&gt;1999,H31&lt;2002),VLOOKUP(I31,Feuil1!$G$11:$L$25,3),VLOOKUP(I31,Feuil1!$G$11:$L$25,2)))))))</f>
        <v>FC1 53</v>
      </c>
      <c r="Y31" s="39">
        <f t="shared" si="26"/>
        <v>113.99896242007074</v>
      </c>
      <c r="Z31" s="45"/>
      <c r="AA31" s="45" t="s">
        <v>12</v>
      </c>
      <c r="AB31" s="3">
        <f>T31-HLOOKUP(X31,Feuil1!$C$1:$BL$10,2,FALSE)</f>
        <v>40</v>
      </c>
      <c r="AC31" s="3">
        <f>T31-HLOOKUP(X31,Feuil1!$C$1:$BL$10,3,FALSE)</f>
        <v>30</v>
      </c>
      <c r="AD31" s="3">
        <f>T31-HLOOKUP(X31,Feuil1!$C$1:$BL$10,4,FALSE)</f>
        <v>20</v>
      </c>
      <c r="AE31" s="3">
        <f>T31-HLOOKUP(X31,Feuil1!$C$1:$BL$10,5,FALSE)</f>
        <v>10</v>
      </c>
      <c r="AF31" s="3">
        <f>T31-HLOOKUP(X31,Feuil1!$C$1:$BL$10,6,FALSE)</f>
        <v>0</v>
      </c>
      <c r="AG31" s="3">
        <f>T31-HLOOKUP(X31,Feuil1!$C$1:$BL$10,7,FALSE)</f>
        <v>-10</v>
      </c>
      <c r="AH31" s="3">
        <f>T31-HLOOKUP(X31,Feuil1!$C$1:$BL$10,8,FALSE)</f>
        <v>-20</v>
      </c>
      <c r="AI31" s="3">
        <f>T31-HLOOKUP(X31,Feuil1!$C$1:$BL$10,9,FALSE)</f>
        <v>-30</v>
      </c>
      <c r="AJ31" s="3">
        <f>T31-HLOOKUP(X31,Feuil1!$C$1:$BL$10,10,FALSE)</f>
        <v>-925</v>
      </c>
      <c r="AQ31" s="5" t="str">
        <f t="shared" si="27"/>
        <v>FED +</v>
      </c>
    </row>
    <row r="32" spans="1:55" ht="21" hidden="1" x14ac:dyDescent="0.2">
      <c r="A32" s="12" t="s">
        <v>69</v>
      </c>
      <c r="B32" s="18" t="s">
        <v>108</v>
      </c>
      <c r="C32" s="19" t="s">
        <v>109</v>
      </c>
      <c r="D32" s="61">
        <v>7</v>
      </c>
      <c r="E32" s="35">
        <v>355066</v>
      </c>
      <c r="F32" s="20" t="s">
        <v>113</v>
      </c>
      <c r="G32" s="20" t="s">
        <v>114</v>
      </c>
      <c r="H32" s="51">
        <v>2001</v>
      </c>
      <c r="I32" s="30">
        <v>52.4</v>
      </c>
      <c r="J32" s="19" t="s">
        <v>112</v>
      </c>
      <c r="K32" s="34" t="s">
        <v>69</v>
      </c>
      <c r="L32" s="31">
        <v>22</v>
      </c>
      <c r="M32" s="31">
        <v>25</v>
      </c>
      <c r="N32" s="31">
        <v>27</v>
      </c>
      <c r="O32" s="36">
        <f t="shared" si="20"/>
        <v>27</v>
      </c>
      <c r="P32" s="31">
        <v>30</v>
      </c>
      <c r="Q32" s="31">
        <v>35</v>
      </c>
      <c r="R32" s="31">
        <v>38</v>
      </c>
      <c r="S32" s="36">
        <f t="shared" si="21"/>
        <v>38</v>
      </c>
      <c r="T32" s="37">
        <f t="shared" si="22"/>
        <v>65</v>
      </c>
      <c r="U32" s="65">
        <f t="shared" si="23"/>
        <v>-39.799999999999997</v>
      </c>
      <c r="V32" s="41" t="str">
        <f t="shared" si="24"/>
        <v>IRG +</v>
      </c>
      <c r="W32" s="33">
        <f t="shared" si="25"/>
        <v>0</v>
      </c>
      <c r="X32" s="40" t="str">
        <f>IF(I32="","",IF(A32="H",IF(OR(H32="SEN",H32&lt;1995),VLOOKUP(I32,Feuil1!$A$11:$G$29,6),IF(AND(H32&gt;1994,H32&lt;1998),VLOOKUP(I32,Feuil1!$A$11:$G$29,5),IF(AND(H32&gt;1997,H32&lt;2000),VLOOKUP(I32,Feuil1!$A$11:$G$29,4),IF(AND(H32&gt;1999,H32&lt;2002),VLOOKUP(I32,Feuil1!$A$11:$G$29,3),VLOOKUP(I32,Feuil1!$A$11:$G$29,2))))),IF(OR(H32="SEN",H32&lt;1995),VLOOKUP(I32,Feuil1!$G$11:$L$25,6),IF(AND(H32&gt;1994,H32&lt;1998),VLOOKUP(I32,Feuil1!$G$11:$L$25,5),IF(AND(H32&gt;1997,H32&lt;2000),VLOOKUP(I32,Feuil1!$G$11:$L$25,4),IF(AND(H32&gt;1999,H32&lt;2002),VLOOKUP(I32,Feuil1!$G$11:$L$25,3),VLOOKUP(I32,Feuil1!$G$11:$L$25,2)))))))</f>
        <v>FC1 53</v>
      </c>
      <c r="Y32" s="39">
        <f t="shared" si="26"/>
        <v>98.951532452757249</v>
      </c>
      <c r="Z32" s="45"/>
      <c r="AA32" s="45" t="s">
        <v>12</v>
      </c>
      <c r="AB32" s="3">
        <f>T32-HLOOKUP(X32,Feuil1!$C$1:$BL$10,2,FALSE)</f>
        <v>30</v>
      </c>
      <c r="AC32" s="3">
        <f>T32-HLOOKUP(X32,Feuil1!$C$1:$BL$10,3,FALSE)</f>
        <v>20</v>
      </c>
      <c r="AD32" s="3">
        <f>T32-HLOOKUP(X32,Feuil1!$C$1:$BL$10,4,FALSE)</f>
        <v>10</v>
      </c>
      <c r="AE32" s="3">
        <f>T32-HLOOKUP(X32,Feuil1!$C$1:$BL$10,5,FALSE)</f>
        <v>0</v>
      </c>
      <c r="AF32" s="3">
        <f>T32-HLOOKUP(X32,Feuil1!$C$1:$BL$10,6,FALSE)</f>
        <v>-10</v>
      </c>
      <c r="AG32" s="3">
        <f>T32-HLOOKUP(X32,Feuil1!$C$1:$BL$10,7,FALSE)</f>
        <v>-20</v>
      </c>
      <c r="AH32" s="3">
        <f>T32-HLOOKUP(X32,Feuil1!$C$1:$BL$10,8,FALSE)</f>
        <v>-30</v>
      </c>
      <c r="AI32" s="3">
        <f>T32-HLOOKUP(X32,Feuil1!$C$1:$BL$10,9,FALSE)</f>
        <v>-40</v>
      </c>
      <c r="AJ32" s="3">
        <f>T32-HLOOKUP(X32,Feuil1!$C$1:$BL$10,10,FALSE)</f>
        <v>-935</v>
      </c>
      <c r="AQ32" s="5" t="str">
        <f t="shared" si="27"/>
        <v>IRG +</v>
      </c>
    </row>
    <row r="33" spans="1:55" ht="21" hidden="1" x14ac:dyDescent="0.2">
      <c r="A33" s="12" t="s">
        <v>69</v>
      </c>
      <c r="B33" s="67" t="s">
        <v>298</v>
      </c>
      <c r="C33" s="68" t="s">
        <v>476</v>
      </c>
      <c r="D33" s="69">
        <v>8</v>
      </c>
      <c r="E33" s="70">
        <v>378365</v>
      </c>
      <c r="F33" s="71" t="s">
        <v>487</v>
      </c>
      <c r="G33" s="71" t="s">
        <v>114</v>
      </c>
      <c r="H33" s="72">
        <v>2000</v>
      </c>
      <c r="I33" s="73">
        <v>48.4</v>
      </c>
      <c r="J33" s="68" t="s">
        <v>481</v>
      </c>
      <c r="K33" s="74" t="s">
        <v>69</v>
      </c>
      <c r="L33" s="75">
        <v>20</v>
      </c>
      <c r="M33" s="75">
        <v>23</v>
      </c>
      <c r="N33" s="75">
        <v>-25</v>
      </c>
      <c r="O33" s="76">
        <f t="shared" si="20"/>
        <v>23</v>
      </c>
      <c r="P33" s="75">
        <v>27</v>
      </c>
      <c r="Q33" s="75">
        <v>-31</v>
      </c>
      <c r="R33" s="75">
        <v>31</v>
      </c>
      <c r="S33" s="76">
        <f t="shared" si="21"/>
        <v>31</v>
      </c>
      <c r="T33" s="77">
        <f t="shared" si="22"/>
        <v>54</v>
      </c>
      <c r="U33" s="78">
        <f t="shared" si="23"/>
        <v>-42.8</v>
      </c>
      <c r="V33" s="79" t="str">
        <f t="shared" si="24"/>
        <v>DEP +</v>
      </c>
      <c r="W33" s="80">
        <f t="shared" si="25"/>
        <v>9</v>
      </c>
      <c r="X33" s="81" t="str">
        <f>IF(I33="","",IF(A33="H",IF(OR(H33="SEN",H33&lt;1995),VLOOKUP(I33,Feuil1!$A$11:$G$29,6),IF(AND(H33&gt;1994,H33&lt;1998),VLOOKUP(I33,Feuil1!$A$11:$G$29,5),IF(AND(H33&gt;1997,H33&lt;2000),VLOOKUP(I33,Feuil1!$A$11:$G$29,4),IF(AND(H33&gt;1999,H33&lt;2002),VLOOKUP(I33,Feuil1!$A$11:$G$29,3),VLOOKUP(I33,Feuil1!$A$11:$G$29,2))))),IF(OR(H33="SEN",H33&lt;1995),VLOOKUP(I33,Feuil1!$G$11:$L$25,6),IF(AND(H33&gt;1994,H33&lt;1998),VLOOKUP(I33,Feuil1!$G$11:$L$25,5),IF(AND(H33&gt;1997,H33&lt;2000),VLOOKUP(I33,Feuil1!$G$11:$L$25,4),IF(AND(H33&gt;1999,H33&lt;2002),VLOOKUP(I33,Feuil1!$G$11:$L$25,3),VLOOKUP(I33,Feuil1!$G$11:$L$25,2)))))))</f>
        <v>FC1 53</v>
      </c>
      <c r="Y33" s="39">
        <f t="shared" si="26"/>
        <v>87.87814939682211</v>
      </c>
      <c r="Z33" s="45"/>
      <c r="AA33" s="45" t="s">
        <v>12</v>
      </c>
      <c r="AB33" s="3">
        <f>T33-HLOOKUP(X33,Feuil1!$C$1:$BL$10,2,FALSE)</f>
        <v>19</v>
      </c>
      <c r="AC33" s="3">
        <f>T33-HLOOKUP(X33,Feuil1!$C$1:$BL$10,3,FALSE)</f>
        <v>9</v>
      </c>
      <c r="AD33" s="3">
        <f>T33-HLOOKUP(X33,Feuil1!$C$1:$BL$10,4,FALSE)</f>
        <v>-1</v>
      </c>
      <c r="AE33" s="3">
        <f>T33-HLOOKUP(X33,Feuil1!$C$1:$BL$10,5,FALSE)</f>
        <v>-11</v>
      </c>
      <c r="AF33" s="3">
        <f>T33-HLOOKUP(X33,Feuil1!$C$1:$BL$10,6,FALSE)</f>
        <v>-21</v>
      </c>
      <c r="AG33" s="3">
        <f>T33-HLOOKUP(X33,Feuil1!$C$1:$BL$10,7,FALSE)</f>
        <v>-31</v>
      </c>
      <c r="AH33" s="3">
        <f>T33-HLOOKUP(X33,Feuil1!$C$1:$BL$10,8,FALSE)</f>
        <v>-41</v>
      </c>
      <c r="AI33" s="3">
        <f>T33-HLOOKUP(X33,Feuil1!$C$1:$BL$10,9,FALSE)</f>
        <v>-51</v>
      </c>
      <c r="AJ33" s="3">
        <f>T33-HLOOKUP(X33,Feuil1!$C$1:$BL$10,10,FALSE)</f>
        <v>-946</v>
      </c>
      <c r="AQ33" s="5" t="str">
        <f t="shared" si="27"/>
        <v>DEP +</v>
      </c>
    </row>
    <row r="34" spans="1:55" ht="21" hidden="1" x14ac:dyDescent="0.2">
      <c r="A34" s="12" t="s">
        <v>69</v>
      </c>
      <c r="B34" s="67" t="s">
        <v>108</v>
      </c>
      <c r="C34" s="68" t="s">
        <v>119</v>
      </c>
      <c r="D34" s="69">
        <v>9</v>
      </c>
      <c r="E34" s="70">
        <v>366668</v>
      </c>
      <c r="F34" s="71" t="s">
        <v>128</v>
      </c>
      <c r="G34" s="71" t="s">
        <v>680</v>
      </c>
      <c r="H34" s="85">
        <v>2001</v>
      </c>
      <c r="I34" s="73">
        <v>49.6</v>
      </c>
      <c r="J34" s="68" t="s">
        <v>125</v>
      </c>
      <c r="K34" s="74" t="s">
        <v>69</v>
      </c>
      <c r="L34" s="75">
        <v>18</v>
      </c>
      <c r="M34" s="75">
        <v>21</v>
      </c>
      <c r="N34" s="75">
        <v>24</v>
      </c>
      <c r="O34" s="76">
        <f t="shared" si="20"/>
        <v>24</v>
      </c>
      <c r="P34" s="75">
        <v>24</v>
      </c>
      <c r="Q34" s="75">
        <v>26</v>
      </c>
      <c r="R34" s="75">
        <v>28</v>
      </c>
      <c r="S34" s="76">
        <f t="shared" si="21"/>
        <v>28</v>
      </c>
      <c r="T34" s="77">
        <f t="shared" si="22"/>
        <v>52</v>
      </c>
      <c r="U34" s="78">
        <f t="shared" si="23"/>
        <v>-47.2</v>
      </c>
      <c r="V34" s="79" t="str">
        <f t="shared" si="24"/>
        <v>DEP +</v>
      </c>
      <c r="W34" s="80">
        <f t="shared" si="25"/>
        <v>7</v>
      </c>
      <c r="X34" s="81" t="str">
        <f>IF(I34="","",IF(A34="H",IF(OR(H34="SEN",H34&lt;1995),VLOOKUP(I34,Feuil1!$A$11:$G$29,6),IF(AND(H34&gt;1994,H34&lt;1998),VLOOKUP(I34,Feuil1!$A$11:$G$29,5),IF(AND(H34&gt;1997,H34&lt;2000),VLOOKUP(I34,Feuil1!$A$11:$G$29,4),IF(AND(H34&gt;1999,H34&lt;2002),VLOOKUP(I34,Feuil1!$A$11:$G$29,3),VLOOKUP(I34,Feuil1!$A$11:$G$29,2))))),IF(OR(H34="SEN",H34&lt;1995),VLOOKUP(I34,Feuil1!$G$11:$L$25,6),IF(AND(H34&gt;1994,H34&lt;1998),VLOOKUP(I34,Feuil1!$G$11:$L$25,5),IF(AND(H34&gt;1997,H34&lt;2000),VLOOKUP(I34,Feuil1!$G$11:$L$25,4),IF(AND(H34&gt;1999,H34&lt;2002),VLOOKUP(I34,Feuil1!$G$11:$L$25,3),VLOOKUP(I34,Feuil1!$G$11:$L$25,2)))))))</f>
        <v>FC1 53</v>
      </c>
      <c r="Y34" s="39">
        <f t="shared" si="26"/>
        <v>82.856264616139896</v>
      </c>
      <c r="Z34" s="45"/>
      <c r="AA34" s="45" t="s">
        <v>12</v>
      </c>
      <c r="AB34" s="3">
        <f>T34-HLOOKUP(X34,Feuil1!$C$1:$BL$10,2,FALSE)</f>
        <v>17</v>
      </c>
      <c r="AC34" s="3">
        <f>T34-HLOOKUP(X34,Feuil1!$C$1:$BL$10,3,FALSE)</f>
        <v>7</v>
      </c>
      <c r="AD34" s="3">
        <f>T34-HLOOKUP(X34,Feuil1!$C$1:$BL$10,4,FALSE)</f>
        <v>-3</v>
      </c>
      <c r="AE34" s="3">
        <f>T34-HLOOKUP(X34,Feuil1!$C$1:$BL$10,5,FALSE)</f>
        <v>-13</v>
      </c>
      <c r="AF34" s="3">
        <f>T34-HLOOKUP(X34,Feuil1!$C$1:$BL$10,6,FALSE)</f>
        <v>-23</v>
      </c>
      <c r="AG34" s="3">
        <f>T34-HLOOKUP(X34,Feuil1!$C$1:$BL$10,7,FALSE)</f>
        <v>-33</v>
      </c>
      <c r="AH34" s="3">
        <f>T34-HLOOKUP(X34,Feuil1!$C$1:$BL$10,8,FALSE)</f>
        <v>-43</v>
      </c>
      <c r="AI34" s="3">
        <f>T34-HLOOKUP(X34,Feuil1!$C$1:$BL$10,9,FALSE)</f>
        <v>-53</v>
      </c>
      <c r="AJ34" s="3">
        <f>T34-HLOOKUP(X34,Feuil1!$C$1:$BL$10,10,FALSE)</f>
        <v>-948</v>
      </c>
      <c r="AQ34" s="5" t="str">
        <f t="shared" si="27"/>
        <v>DEP +</v>
      </c>
      <c r="BC34" s="13"/>
    </row>
    <row r="35" spans="1:55" ht="21" hidden="1" x14ac:dyDescent="0.2">
      <c r="A35" s="12" t="s">
        <v>69</v>
      </c>
      <c r="B35" s="18" t="s">
        <v>108</v>
      </c>
      <c r="C35" s="19" t="s">
        <v>264</v>
      </c>
      <c r="D35" s="61">
        <v>10</v>
      </c>
      <c r="E35" s="35">
        <v>390850</v>
      </c>
      <c r="F35" s="20" t="s">
        <v>296</v>
      </c>
      <c r="G35" s="20" t="s">
        <v>297</v>
      </c>
      <c r="H35" s="58">
        <v>2000</v>
      </c>
      <c r="I35" s="30">
        <v>50.1</v>
      </c>
      <c r="J35" s="19" t="s">
        <v>267</v>
      </c>
      <c r="K35" s="34" t="s">
        <v>69</v>
      </c>
      <c r="L35" s="31">
        <v>15</v>
      </c>
      <c r="M35" s="31">
        <v>19</v>
      </c>
      <c r="N35" s="31">
        <v>20</v>
      </c>
      <c r="O35" s="36">
        <f t="shared" si="20"/>
        <v>20</v>
      </c>
      <c r="P35" s="31">
        <v>25</v>
      </c>
      <c r="Q35" s="31">
        <v>28</v>
      </c>
      <c r="R35" s="31">
        <v>30</v>
      </c>
      <c r="S35" s="36">
        <f t="shared" si="21"/>
        <v>30</v>
      </c>
      <c r="T35" s="37">
        <f t="shared" si="22"/>
        <v>50</v>
      </c>
      <c r="U35" s="65">
        <f t="shared" si="23"/>
        <v>-50.2</v>
      </c>
      <c r="V35" s="41" t="str">
        <f t="shared" si="24"/>
        <v>DEP +</v>
      </c>
      <c r="W35" s="33">
        <f t="shared" si="25"/>
        <v>5</v>
      </c>
      <c r="X35" s="40" t="str">
        <f>IF(I35="","",IF(A35="H",IF(OR(H35="SEN",H35&lt;1995),VLOOKUP(I35,Feuil1!$A$11:$G$29,6),IF(AND(H35&gt;1994,H35&lt;1998),VLOOKUP(I35,Feuil1!$A$11:$G$29,5),IF(AND(H35&gt;1997,H35&lt;2000),VLOOKUP(I35,Feuil1!$A$11:$G$29,4),IF(AND(H35&gt;1999,H35&lt;2002),VLOOKUP(I35,Feuil1!$A$11:$G$29,3),VLOOKUP(I35,Feuil1!$A$11:$G$29,2))))),IF(OR(H35="SEN",H35&lt;1995),VLOOKUP(I35,Feuil1!$G$11:$L$25,6),IF(AND(H35&gt;1994,H35&lt;1998),VLOOKUP(I35,Feuil1!$G$11:$L$25,5),IF(AND(H35&gt;1997,H35&lt;2000),VLOOKUP(I35,Feuil1!$G$11:$L$25,4),IF(AND(H35&gt;1999,H35&lt;2002),VLOOKUP(I35,Feuil1!$G$11:$L$25,3),VLOOKUP(I35,Feuil1!$G$11:$L$25,2)))))))</f>
        <v>FC1 53</v>
      </c>
      <c r="Y35" s="39">
        <f t="shared" si="26"/>
        <v>78.99453977508098</v>
      </c>
      <c r="Z35" s="45"/>
      <c r="AA35" s="45" t="s">
        <v>12</v>
      </c>
      <c r="AB35" s="3">
        <f>T35-HLOOKUP(X35,Feuil1!$C$1:$BL$10,2,FALSE)</f>
        <v>15</v>
      </c>
      <c r="AC35" s="3">
        <f>T35-HLOOKUP(X35,Feuil1!$C$1:$BL$10,3,FALSE)</f>
        <v>5</v>
      </c>
      <c r="AD35" s="3">
        <f>T35-HLOOKUP(X35,Feuil1!$C$1:$BL$10,4,FALSE)</f>
        <v>-5</v>
      </c>
      <c r="AE35" s="3">
        <f>T35-HLOOKUP(X35,Feuil1!$C$1:$BL$10,5,FALSE)</f>
        <v>-15</v>
      </c>
      <c r="AF35" s="3">
        <f>T35-HLOOKUP(X35,Feuil1!$C$1:$BL$10,6,FALSE)</f>
        <v>-25</v>
      </c>
      <c r="AG35" s="3">
        <f>T35-HLOOKUP(X35,Feuil1!$C$1:$BL$10,7,FALSE)</f>
        <v>-35</v>
      </c>
      <c r="AH35" s="3">
        <f>T35-HLOOKUP(X35,Feuil1!$C$1:$BL$10,8,FALSE)</f>
        <v>-45</v>
      </c>
      <c r="AI35" s="3">
        <f>T35-HLOOKUP(X35,Feuil1!$C$1:$BL$10,9,FALSE)</f>
        <v>-55</v>
      </c>
      <c r="AJ35" s="3">
        <f>T35-HLOOKUP(X35,Feuil1!$C$1:$BL$10,10,FALSE)</f>
        <v>-950</v>
      </c>
      <c r="AQ35" s="5" t="str">
        <f t="shared" si="27"/>
        <v>DEP +</v>
      </c>
    </row>
    <row r="36" spans="1:55" ht="21" hidden="1" x14ac:dyDescent="0.2">
      <c r="A36" s="12" t="s">
        <v>69</v>
      </c>
      <c r="B36" s="18" t="s">
        <v>71</v>
      </c>
      <c r="C36" s="19" t="s">
        <v>801</v>
      </c>
      <c r="D36" s="61">
        <v>11</v>
      </c>
      <c r="E36" s="35">
        <v>385819</v>
      </c>
      <c r="F36" s="20" t="s">
        <v>802</v>
      </c>
      <c r="G36" s="20" t="s">
        <v>428</v>
      </c>
      <c r="H36" s="51">
        <v>2000</v>
      </c>
      <c r="I36" s="30">
        <v>53</v>
      </c>
      <c r="J36" s="19" t="s">
        <v>803</v>
      </c>
      <c r="K36" s="34" t="s">
        <v>69</v>
      </c>
      <c r="L36" s="31">
        <v>10</v>
      </c>
      <c r="M36" s="31">
        <v>15</v>
      </c>
      <c r="N36" s="31">
        <v>20</v>
      </c>
      <c r="O36" s="36">
        <f t="shared" si="20"/>
        <v>20</v>
      </c>
      <c r="P36" s="31">
        <v>25</v>
      </c>
      <c r="Q36" s="31">
        <v>27</v>
      </c>
      <c r="R36" s="31">
        <v>-28</v>
      </c>
      <c r="S36" s="36">
        <f t="shared" si="21"/>
        <v>27</v>
      </c>
      <c r="T36" s="37">
        <f t="shared" si="22"/>
        <v>47</v>
      </c>
      <c r="U36" s="65">
        <f t="shared" si="23"/>
        <v>-59</v>
      </c>
      <c r="V36" s="41" t="str">
        <f t="shared" si="24"/>
        <v>DEP +</v>
      </c>
      <c r="W36" s="33">
        <f t="shared" si="25"/>
        <v>2</v>
      </c>
      <c r="X36" s="40" t="str">
        <f>IF(I36="","",IF(A36="H",IF(OR(H36="SEN",H36&lt;1995),VLOOKUP(I36,Feuil1!$A$11:$G$29,6),IF(AND(H36&gt;1994,H36&lt;1998),VLOOKUP(I36,Feuil1!$A$11:$G$29,5),IF(AND(H36&gt;1997,H36&lt;2000),VLOOKUP(I36,Feuil1!$A$11:$G$29,4),IF(AND(H36&gt;1999,H36&lt;2002),VLOOKUP(I36,Feuil1!$A$11:$G$29,3),VLOOKUP(I36,Feuil1!$A$11:$G$29,2))))),IF(OR(H36="SEN",H36&lt;1995),VLOOKUP(I36,Feuil1!$G$11:$L$25,6),IF(AND(H36&gt;1994,H36&lt;1998),VLOOKUP(I36,Feuil1!$G$11:$L$25,5),IF(AND(H36&gt;1997,H36&lt;2000),VLOOKUP(I36,Feuil1!$G$11:$L$25,4),IF(AND(H36&gt;1999,H36&lt;2002),VLOOKUP(I36,Feuil1!$G$11:$L$25,3),VLOOKUP(I36,Feuil1!$G$11:$L$25,2)))))))</f>
        <v>FC1 53</v>
      </c>
      <c r="Y36" s="39">
        <f t="shared" si="26"/>
        <v>70.896877520961326</v>
      </c>
      <c r="Z36" s="45"/>
      <c r="AA36" s="45" t="s">
        <v>12</v>
      </c>
      <c r="AB36" s="3">
        <f>T36-HLOOKUP(X36,Feuil1!$C$1:$BL$10,2,FALSE)</f>
        <v>12</v>
      </c>
      <c r="AC36" s="3">
        <f>T36-HLOOKUP(X36,Feuil1!$C$1:$BL$10,3,FALSE)</f>
        <v>2</v>
      </c>
      <c r="AD36" s="3">
        <f>T36-HLOOKUP(X36,Feuil1!$C$1:$BL$10,4,FALSE)</f>
        <v>-8</v>
      </c>
      <c r="AE36" s="3">
        <f>T36-HLOOKUP(X36,Feuil1!$C$1:$BL$10,5,FALSE)</f>
        <v>-18</v>
      </c>
      <c r="AF36" s="3">
        <f>T36-HLOOKUP(X36,Feuil1!$C$1:$BL$10,6,FALSE)</f>
        <v>-28</v>
      </c>
      <c r="AG36" s="3">
        <f>T36-HLOOKUP(X36,Feuil1!$C$1:$BL$10,7,FALSE)</f>
        <v>-38</v>
      </c>
      <c r="AH36" s="3">
        <f>T36-HLOOKUP(X36,Feuil1!$C$1:$BL$10,8,FALSE)</f>
        <v>-48</v>
      </c>
      <c r="AI36" s="3">
        <f>T36-HLOOKUP(X36,Feuil1!$C$1:$BL$10,9,FALSE)</f>
        <v>-58</v>
      </c>
      <c r="AJ36" s="3">
        <f>T36-HLOOKUP(X36,Feuil1!$C$1:$BL$10,10,FALSE)</f>
        <v>-953</v>
      </c>
      <c r="AQ36" s="5" t="str">
        <f t="shared" si="27"/>
        <v>DEP +</v>
      </c>
      <c r="BC36" s="13"/>
    </row>
    <row r="37" spans="1:55" ht="21" hidden="1" x14ac:dyDescent="0.2">
      <c r="A37" s="12" t="s">
        <v>69</v>
      </c>
      <c r="B37" s="18" t="s">
        <v>649</v>
      </c>
      <c r="C37" s="19" t="s">
        <v>661</v>
      </c>
      <c r="D37" s="61">
        <v>12</v>
      </c>
      <c r="E37" s="35">
        <v>382075</v>
      </c>
      <c r="F37" s="20" t="s">
        <v>662</v>
      </c>
      <c r="G37" s="20" t="s">
        <v>663</v>
      </c>
      <c r="H37" s="51">
        <v>2001</v>
      </c>
      <c r="I37" s="30">
        <v>50</v>
      </c>
      <c r="J37" s="19" t="s">
        <v>664</v>
      </c>
      <c r="K37" s="34" t="s">
        <v>69</v>
      </c>
      <c r="L37" s="31">
        <v>15</v>
      </c>
      <c r="M37" s="31">
        <v>-20</v>
      </c>
      <c r="N37" s="31">
        <v>-20</v>
      </c>
      <c r="O37" s="36">
        <f t="shared" si="20"/>
        <v>15</v>
      </c>
      <c r="P37" s="31">
        <v>20</v>
      </c>
      <c r="Q37" s="31">
        <v>-25</v>
      </c>
      <c r="R37" s="31">
        <v>25</v>
      </c>
      <c r="S37" s="36">
        <f t="shared" si="21"/>
        <v>25</v>
      </c>
      <c r="T37" s="37">
        <f t="shared" si="22"/>
        <v>40</v>
      </c>
      <c r="U37" s="65">
        <f t="shared" si="23"/>
        <v>-60</v>
      </c>
      <c r="V37" s="41" t="str">
        <f t="shared" si="24"/>
        <v xml:space="preserve">DEB </v>
      </c>
      <c r="W37" s="33">
        <f t="shared" si="25"/>
        <v>5</v>
      </c>
      <c r="X37" s="40" t="str">
        <f>IF(I37="","",IF(A37="H",IF(OR(H37="SEN",H37&lt;1995),VLOOKUP(I37,Feuil1!$A$11:$G$29,6),IF(AND(H37&gt;1994,H37&lt;1998),VLOOKUP(I37,Feuil1!$A$11:$G$29,5),IF(AND(H37&gt;1997,H37&lt;2000),VLOOKUP(I37,Feuil1!$A$11:$G$29,4),IF(AND(H37&gt;1999,H37&lt;2002),VLOOKUP(I37,Feuil1!$A$11:$G$29,3),VLOOKUP(I37,Feuil1!$A$11:$G$29,2))))),IF(OR(H37="SEN",H37&lt;1995),VLOOKUP(I37,Feuil1!$G$11:$L$25,6),IF(AND(H37&gt;1994,H37&lt;1998),VLOOKUP(I37,Feuil1!$G$11:$L$25,5),IF(AND(H37&gt;1997,H37&lt;2000),VLOOKUP(I37,Feuil1!$G$11:$L$25,4),IF(AND(H37&gt;1999,H37&lt;2002),VLOOKUP(I37,Feuil1!$G$11:$L$25,3),VLOOKUP(I37,Feuil1!$G$11:$L$25,2)))))))</f>
        <v>FC1 53</v>
      </c>
      <c r="Y37" s="39">
        <f t="shared" si="26"/>
        <v>63.302428724844816</v>
      </c>
      <c r="Z37" s="45"/>
      <c r="AA37" s="45" t="s">
        <v>12</v>
      </c>
      <c r="AB37" s="3">
        <f>T37-HLOOKUP(X37,Feuil1!$C$1:$BL$10,2,FALSE)</f>
        <v>5</v>
      </c>
      <c r="AC37" s="3">
        <f>T37-HLOOKUP(X37,Feuil1!$C$1:$BL$10,3,FALSE)</f>
        <v>-5</v>
      </c>
      <c r="AD37" s="3">
        <f>T37-HLOOKUP(X37,Feuil1!$C$1:$BL$10,4,FALSE)</f>
        <v>-15</v>
      </c>
      <c r="AE37" s="3">
        <f>T37-HLOOKUP(X37,Feuil1!$C$1:$BL$10,5,FALSE)</f>
        <v>-25</v>
      </c>
      <c r="AF37" s="3">
        <f>T37-HLOOKUP(X37,Feuil1!$C$1:$BL$10,6,FALSE)</f>
        <v>-35</v>
      </c>
      <c r="AG37" s="3">
        <f>T37-HLOOKUP(X37,Feuil1!$C$1:$BL$10,7,FALSE)</f>
        <v>-45</v>
      </c>
      <c r="AH37" s="3">
        <f>T37-HLOOKUP(X37,Feuil1!$C$1:$BL$10,8,FALSE)</f>
        <v>-55</v>
      </c>
      <c r="AI37" s="3">
        <f>T37-HLOOKUP(X37,Feuil1!$C$1:$BL$10,9,FALSE)</f>
        <v>-65</v>
      </c>
      <c r="AJ37" s="3">
        <f>T37-HLOOKUP(X37,Feuil1!$C$1:$BL$10,10,FALSE)</f>
        <v>-960</v>
      </c>
      <c r="AQ37" s="5" t="str">
        <f t="shared" si="27"/>
        <v xml:space="preserve">DEB </v>
      </c>
      <c r="BC37" s="13"/>
    </row>
    <row r="38" spans="1:55" s="13" customFormat="1" ht="15" hidden="1" customHeight="1" thickBot="1" x14ac:dyDescent="0.25">
      <c r="A38" s="89"/>
      <c r="B38" s="90"/>
      <c r="C38" s="91"/>
      <c r="D38" s="92"/>
      <c r="E38" s="93"/>
      <c r="F38" s="94"/>
      <c r="G38" s="94"/>
      <c r="H38" s="95"/>
      <c r="I38" s="96"/>
      <c r="J38" s="91"/>
      <c r="K38" s="97"/>
      <c r="L38" s="98"/>
      <c r="M38" s="98"/>
      <c r="N38" s="98"/>
      <c r="O38" s="99"/>
      <c r="P38" s="98"/>
      <c r="Q38" s="98"/>
      <c r="R38" s="98"/>
      <c r="S38" s="99"/>
      <c r="T38" s="100"/>
      <c r="U38" s="101"/>
      <c r="V38" s="102"/>
      <c r="W38" s="103"/>
      <c r="X38" s="104"/>
      <c r="Y38" s="105"/>
      <c r="Z38" s="45"/>
      <c r="AA38" s="45" t="s">
        <v>12</v>
      </c>
      <c r="AB38" s="3" t="e">
        <f>T38-HLOOKUP(X38,Feuil1!$C$1:$BL$10,2,FALSE)</f>
        <v>#N/A</v>
      </c>
      <c r="AC38" s="3" t="e">
        <f>T38-HLOOKUP(X38,Feuil1!$C$1:$BL$10,3,FALSE)</f>
        <v>#N/A</v>
      </c>
      <c r="AD38" s="3" t="e">
        <f>T38-HLOOKUP(X38,Feuil1!$C$1:$BL$10,4,FALSE)</f>
        <v>#N/A</v>
      </c>
      <c r="AE38" s="3" t="e">
        <f>T38-HLOOKUP(X38,Feuil1!$C$1:$BL$10,5,FALSE)</f>
        <v>#N/A</v>
      </c>
      <c r="AF38" s="3" t="e">
        <f>T38-HLOOKUP(X38,Feuil1!$C$1:$BL$10,6,FALSE)</f>
        <v>#N/A</v>
      </c>
      <c r="AG38" s="3" t="e">
        <f>T38-HLOOKUP(X38,Feuil1!$C$1:$BL$10,7,FALSE)</f>
        <v>#N/A</v>
      </c>
      <c r="AH38" s="3" t="e">
        <f>T38-HLOOKUP(X38,Feuil1!$C$1:$BL$10,8,FALSE)</f>
        <v>#N/A</v>
      </c>
      <c r="AI38" s="3" t="e">
        <f>T38-HLOOKUP(X38,Feuil1!$C$1:$BL$10,9,FALSE)</f>
        <v>#N/A</v>
      </c>
      <c r="AJ38" s="3" t="e">
        <f>T38-HLOOKUP(X38,Feuil1!$C$1:$BL$10,10,FALSE)</f>
        <v>#N/A</v>
      </c>
      <c r="AK38" s="5"/>
      <c r="AL38" s="5"/>
      <c r="AM38" s="5"/>
      <c r="AN38" s="5"/>
      <c r="AO38" s="5"/>
      <c r="AP38" s="5"/>
      <c r="AQ38" s="5" t="e">
        <f t="shared" ref="AQ38" si="28">IF(AJ38&gt;=0,$AJ$1,IF(AI38&gt;=0,$AI$1,IF(AH38&gt;=0,$AH$1,IF(AG38&gt;=0,$AG$1,IF(AF38&gt;=0,$AF$1,IF(AE38&gt;=0,$AE$1,IF(AD38&gt;=0,$AD$1,IF(AC38&gt;=0,$AC$1,$AB$1))))))))</f>
        <v>#N/A</v>
      </c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</row>
    <row r="39" spans="1:55" ht="21" x14ac:dyDescent="0.2">
      <c r="A39" s="12" t="s">
        <v>69</v>
      </c>
      <c r="B39" s="18" t="s">
        <v>298</v>
      </c>
      <c r="C39" s="19" t="s">
        <v>404</v>
      </c>
      <c r="D39" s="61">
        <v>1</v>
      </c>
      <c r="E39" s="35">
        <v>359845</v>
      </c>
      <c r="F39" s="20" t="s">
        <v>407</v>
      </c>
      <c r="G39" s="20" t="s">
        <v>154</v>
      </c>
      <c r="H39" s="51">
        <v>2000</v>
      </c>
      <c r="I39" s="30">
        <v>57.27</v>
      </c>
      <c r="J39" s="19" t="s">
        <v>406</v>
      </c>
      <c r="K39" s="34" t="s">
        <v>69</v>
      </c>
      <c r="L39" s="31">
        <v>35</v>
      </c>
      <c r="M39" s="31">
        <v>38</v>
      </c>
      <c r="N39" s="31">
        <v>-40</v>
      </c>
      <c r="O39" s="36">
        <f t="shared" ref="O39:O47" si="29">IF(H39="","",IF(MAXA(L39:N39)&lt;=0,0,MAXA(L39:N39)))</f>
        <v>38</v>
      </c>
      <c r="P39" s="31">
        <v>48</v>
      </c>
      <c r="Q39" s="31">
        <v>-52</v>
      </c>
      <c r="R39" s="31">
        <v>52</v>
      </c>
      <c r="S39" s="36">
        <f t="shared" ref="S39:S47" si="30">IF(H39="","",IF(MAXA(P39:R39)&lt;=0,0,MAXA(P39:R39)))</f>
        <v>52</v>
      </c>
      <c r="T39" s="37">
        <f t="shared" ref="T39:T47" si="31">IF(H39="","",IF(OR(O39=0,S39=0),0,O39+S39))</f>
        <v>90</v>
      </c>
      <c r="U39" s="65">
        <f t="shared" ref="U39:U47" si="32">T39-I39*2</f>
        <v>-24.540000000000006</v>
      </c>
      <c r="V39" s="41" t="str">
        <f t="shared" ref="V39:V47" si="33">IF(H39="","",AQ39)</f>
        <v>NAT +</v>
      </c>
      <c r="W39" s="33">
        <f t="shared" ref="W39:W47" si="34">IF(AJ39&gt;=0,AJ39,IF(AI39&gt;=0,AI39,IF(AH39&gt;=0,AH39,IF(AG39&gt;=0,AG39,IF(AF39&gt;=0,AF39,IF(AE39&gt;=0,AE39,IF(AD39&gt;=0,AD39,IF(AC39&gt;=0,AC39,AB39))))))))</f>
        <v>0</v>
      </c>
      <c r="X39" s="40" t="str">
        <f>IF(I39="","",IF(A39="H",IF(OR(H39="SEN",H39&lt;1995),VLOOKUP(I39,Feuil1!$A$11:$G$29,6),IF(AND(H39&gt;1994,H39&lt;1998),VLOOKUP(I39,Feuil1!$A$11:$G$29,5),IF(AND(H39&gt;1997,H39&lt;2000),VLOOKUP(I39,Feuil1!$A$11:$G$29,4),IF(AND(H39&gt;1999,H39&lt;2002),VLOOKUP(I39,Feuil1!$A$11:$G$29,3),VLOOKUP(I39,Feuil1!$A$11:$G$29,2))))),IF(OR(H39="SEN",H39&lt;1995),VLOOKUP(I39,Feuil1!$G$11:$L$25,6),IF(AND(H39&gt;1994,H39&lt;1998),VLOOKUP(I39,Feuil1!$G$11:$L$25,5),IF(AND(H39&gt;1997,H39&lt;2000),VLOOKUP(I39,Feuil1!$G$11:$L$25,4),IF(AND(H39&gt;1999,H39&lt;2002),VLOOKUP(I39,Feuil1!$G$11:$L$25,3),VLOOKUP(I39,Feuil1!$G$11:$L$25,2)))))))</f>
        <v>FC1 58</v>
      </c>
      <c r="Y39" s="39">
        <f t="shared" ref="Y39:Y47" si="35">IF(I39="","",IF(A39="H",10^(0.794358141*LOG(I39/174.393)^2)*T39,IF(A39="F",10^(0.89726074*LOG(I39/148.026)^2)*T39,"")))</f>
        <v>127.89425167905696</v>
      </c>
      <c r="Z39" s="45"/>
      <c r="AA39" s="45" t="s">
        <v>12</v>
      </c>
      <c r="AB39" s="3">
        <f>T39-HLOOKUP(X39,Feuil1!$C$1:$BL$10,2,FALSE)</f>
        <v>50</v>
      </c>
      <c r="AC39" s="3">
        <f>T39-HLOOKUP(X39,Feuil1!$C$1:$BL$10,3,FALSE)</f>
        <v>40</v>
      </c>
      <c r="AD39" s="3">
        <f>T39-HLOOKUP(X39,Feuil1!$C$1:$BL$10,4,FALSE)</f>
        <v>30</v>
      </c>
      <c r="AE39" s="3">
        <f>T39-HLOOKUP(X39,Feuil1!$C$1:$BL$10,5,FALSE)</f>
        <v>20</v>
      </c>
      <c r="AF39" s="3">
        <f>T39-HLOOKUP(X39,Feuil1!$C$1:$BL$10,6,FALSE)</f>
        <v>10</v>
      </c>
      <c r="AG39" s="3">
        <f>T39-HLOOKUP(X39,Feuil1!$C$1:$BL$10,7,FALSE)</f>
        <v>0</v>
      </c>
      <c r="AH39" s="3">
        <f>T39-HLOOKUP(X39,Feuil1!$C$1:$BL$10,8,FALSE)</f>
        <v>-10</v>
      </c>
      <c r="AI39" s="3">
        <f>T39-HLOOKUP(X39,Feuil1!$C$1:$BL$10,9,FALSE)</f>
        <v>-25</v>
      </c>
      <c r="AJ39" s="3">
        <f>T39-HLOOKUP(X39,Feuil1!$C$1:$BL$10,10,FALSE)</f>
        <v>-910</v>
      </c>
      <c r="AQ39" s="5" t="str">
        <f t="shared" ref="AQ39:AQ47" si="36">IF(AJ39&gt;=0,$AJ$1,IF(AI39&gt;=0,$AI$1,IF(AH39&gt;=0,$AH$1,IF(AG39&gt;=0,$AG$1,IF(AF39&gt;=0,$AF$1,IF(AE39&gt;=0,$AE$1,IF(AD39&gt;=0,$AD$1,IF(AC39&gt;=0,$AC$1,$AB$1))))))))</f>
        <v>NAT +</v>
      </c>
    </row>
    <row r="40" spans="1:55" ht="21" hidden="1" x14ac:dyDescent="0.2">
      <c r="A40" s="12" t="s">
        <v>69</v>
      </c>
      <c r="B40" s="67" t="s">
        <v>108</v>
      </c>
      <c r="C40" s="68" t="s">
        <v>109</v>
      </c>
      <c r="D40" s="69">
        <v>2</v>
      </c>
      <c r="E40" s="70">
        <v>320210</v>
      </c>
      <c r="F40" s="71" t="s">
        <v>110</v>
      </c>
      <c r="G40" s="71" t="s">
        <v>111</v>
      </c>
      <c r="H40" s="72">
        <v>2000</v>
      </c>
      <c r="I40" s="73">
        <v>54.9</v>
      </c>
      <c r="J40" s="68" t="s">
        <v>112</v>
      </c>
      <c r="K40" s="74" t="s">
        <v>69</v>
      </c>
      <c r="L40" s="75">
        <v>35</v>
      </c>
      <c r="M40" s="75">
        <v>38</v>
      </c>
      <c r="N40" s="75">
        <v>40</v>
      </c>
      <c r="O40" s="76">
        <f t="shared" si="29"/>
        <v>40</v>
      </c>
      <c r="P40" s="75">
        <v>45</v>
      </c>
      <c r="Q40" s="75" t="s">
        <v>134</v>
      </c>
      <c r="R40" s="75" t="s">
        <v>134</v>
      </c>
      <c r="S40" s="76">
        <f t="shared" si="30"/>
        <v>45</v>
      </c>
      <c r="T40" s="77">
        <f t="shared" si="31"/>
        <v>85</v>
      </c>
      <c r="U40" s="78">
        <f t="shared" si="32"/>
        <v>-24.799999999999997</v>
      </c>
      <c r="V40" s="79" t="str">
        <f t="shared" si="33"/>
        <v>FED +</v>
      </c>
      <c r="W40" s="80">
        <f t="shared" si="34"/>
        <v>5</v>
      </c>
      <c r="X40" s="81" t="str">
        <f>IF(I40="","",IF(A40="H",IF(OR(H40="SEN",H40&lt;1995),VLOOKUP(I40,Feuil1!$A$11:$G$29,6),IF(AND(H40&gt;1994,H40&lt;1998),VLOOKUP(I40,Feuil1!$A$11:$G$29,5),IF(AND(H40&gt;1997,H40&lt;2000),VLOOKUP(I40,Feuil1!$A$11:$G$29,4),IF(AND(H40&gt;1999,H40&lt;2002),VLOOKUP(I40,Feuil1!$A$11:$G$29,3),VLOOKUP(I40,Feuil1!$A$11:$G$29,2))))),IF(OR(H40="SEN",H40&lt;1995),VLOOKUP(I40,Feuil1!$G$11:$L$25,6),IF(AND(H40&gt;1994,H40&lt;1998),VLOOKUP(I40,Feuil1!$G$11:$L$25,5),IF(AND(H40&gt;1997,H40&lt;2000),VLOOKUP(I40,Feuil1!$G$11:$L$25,4),IF(AND(H40&gt;1999,H40&lt;2002),VLOOKUP(I40,Feuil1!$G$11:$L$25,3),VLOOKUP(I40,Feuil1!$G$11:$L$25,2)))))))</f>
        <v>FC1 58</v>
      </c>
      <c r="Y40" s="39">
        <f t="shared" si="35"/>
        <v>124.71358944915011</v>
      </c>
      <c r="Z40" s="45"/>
      <c r="AA40" s="45" t="s">
        <v>12</v>
      </c>
      <c r="AB40" s="3">
        <f>T40-HLOOKUP(X40,Feuil1!$C$1:$BL$10,2,FALSE)</f>
        <v>45</v>
      </c>
      <c r="AC40" s="3">
        <f>T40-HLOOKUP(X40,Feuil1!$C$1:$BL$10,3,FALSE)</f>
        <v>35</v>
      </c>
      <c r="AD40" s="3">
        <f>T40-HLOOKUP(X40,Feuil1!$C$1:$BL$10,4,FALSE)</f>
        <v>25</v>
      </c>
      <c r="AE40" s="3">
        <f>T40-HLOOKUP(X40,Feuil1!$C$1:$BL$10,5,FALSE)</f>
        <v>15</v>
      </c>
      <c r="AF40" s="3">
        <f>T40-HLOOKUP(X40,Feuil1!$C$1:$BL$10,6,FALSE)</f>
        <v>5</v>
      </c>
      <c r="AG40" s="3">
        <f>T40-HLOOKUP(X40,Feuil1!$C$1:$BL$10,7,FALSE)</f>
        <v>-5</v>
      </c>
      <c r="AH40" s="3">
        <f>T40-HLOOKUP(X40,Feuil1!$C$1:$BL$10,8,FALSE)</f>
        <v>-15</v>
      </c>
      <c r="AI40" s="3">
        <f>T40-HLOOKUP(X40,Feuil1!$C$1:$BL$10,9,FALSE)</f>
        <v>-30</v>
      </c>
      <c r="AJ40" s="3">
        <f>T40-HLOOKUP(X40,Feuil1!$C$1:$BL$10,10,FALSE)</f>
        <v>-915</v>
      </c>
      <c r="AQ40" s="5" t="str">
        <f t="shared" si="36"/>
        <v>FED +</v>
      </c>
    </row>
    <row r="41" spans="1:55" ht="21" hidden="1" x14ac:dyDescent="0.2">
      <c r="A41" s="12" t="s">
        <v>69</v>
      </c>
      <c r="B41" s="67" t="s">
        <v>536</v>
      </c>
      <c r="C41" s="68" t="s">
        <v>537</v>
      </c>
      <c r="D41" s="69">
        <v>3</v>
      </c>
      <c r="E41" s="70">
        <v>326707</v>
      </c>
      <c r="F41" s="71" t="s">
        <v>540</v>
      </c>
      <c r="G41" s="71" t="s">
        <v>157</v>
      </c>
      <c r="H41" s="72">
        <v>2000</v>
      </c>
      <c r="I41" s="73">
        <v>53.1</v>
      </c>
      <c r="J41" s="68" t="s">
        <v>539</v>
      </c>
      <c r="K41" s="74" t="s">
        <v>69</v>
      </c>
      <c r="L41" s="75">
        <v>30</v>
      </c>
      <c r="M41" s="75">
        <v>33</v>
      </c>
      <c r="N41" s="75">
        <v>-34</v>
      </c>
      <c r="O41" s="76">
        <f t="shared" si="29"/>
        <v>33</v>
      </c>
      <c r="P41" s="75">
        <v>42</v>
      </c>
      <c r="Q41" s="75">
        <v>45</v>
      </c>
      <c r="R41" s="75">
        <v>47</v>
      </c>
      <c r="S41" s="76">
        <f t="shared" si="30"/>
        <v>47</v>
      </c>
      <c r="T41" s="77">
        <f t="shared" si="31"/>
        <v>80</v>
      </c>
      <c r="U41" s="78">
        <f t="shared" si="32"/>
        <v>-26.200000000000003</v>
      </c>
      <c r="V41" s="79" t="str">
        <f t="shared" si="33"/>
        <v>FED +</v>
      </c>
      <c r="W41" s="80">
        <f t="shared" si="34"/>
        <v>0</v>
      </c>
      <c r="X41" s="81" t="str">
        <f>IF(I41="","",IF(A41="H",IF(OR(H41="SEN",H41&lt;1995),VLOOKUP(I41,Feuil1!$A$11:$G$29,6),IF(AND(H41&gt;1994,H41&lt;1998),VLOOKUP(I41,Feuil1!$A$11:$G$29,5),IF(AND(H41&gt;1997,H41&lt;2000),VLOOKUP(I41,Feuil1!$A$11:$G$29,4),IF(AND(H41&gt;1999,H41&lt;2002),VLOOKUP(I41,Feuil1!$A$11:$G$29,3),VLOOKUP(I41,Feuil1!$A$11:$G$29,2))))),IF(OR(H41="SEN",H41&lt;1995),VLOOKUP(I41,Feuil1!$G$11:$L$25,6),IF(AND(H41&gt;1994,H41&lt;1998),VLOOKUP(I41,Feuil1!$G$11:$L$25,5),IF(AND(H41&gt;1997,H41&lt;2000),VLOOKUP(I41,Feuil1!$G$11:$L$25,4),IF(AND(H41&gt;1999,H41&lt;2002),VLOOKUP(I41,Feuil1!$G$11:$L$25,3),VLOOKUP(I41,Feuil1!$G$11:$L$25,2)))))))</f>
        <v>FC1 58</v>
      </c>
      <c r="Y41" s="39">
        <f t="shared" si="35"/>
        <v>120.493753746048</v>
      </c>
      <c r="Z41" s="45"/>
      <c r="AA41" s="45" t="s">
        <v>12</v>
      </c>
      <c r="AB41" s="3">
        <f>T41-HLOOKUP(X41,Feuil1!$C$1:$BL$10,2,FALSE)</f>
        <v>40</v>
      </c>
      <c r="AC41" s="3">
        <f>T41-HLOOKUP(X41,Feuil1!$C$1:$BL$10,3,FALSE)</f>
        <v>30</v>
      </c>
      <c r="AD41" s="3">
        <f>T41-HLOOKUP(X41,Feuil1!$C$1:$BL$10,4,FALSE)</f>
        <v>20</v>
      </c>
      <c r="AE41" s="3">
        <f>T41-HLOOKUP(X41,Feuil1!$C$1:$BL$10,5,FALSE)</f>
        <v>10</v>
      </c>
      <c r="AF41" s="3">
        <f>T41-HLOOKUP(X41,Feuil1!$C$1:$BL$10,6,FALSE)</f>
        <v>0</v>
      </c>
      <c r="AG41" s="3">
        <f>T41-HLOOKUP(X41,Feuil1!$C$1:$BL$10,7,FALSE)</f>
        <v>-10</v>
      </c>
      <c r="AH41" s="3">
        <f>T41-HLOOKUP(X41,Feuil1!$C$1:$BL$10,8,FALSE)</f>
        <v>-20</v>
      </c>
      <c r="AI41" s="3">
        <f>T41-HLOOKUP(X41,Feuil1!$C$1:$BL$10,9,FALSE)</f>
        <v>-35</v>
      </c>
      <c r="AJ41" s="3">
        <f>T41-HLOOKUP(X41,Feuil1!$C$1:$BL$10,10,FALSE)</f>
        <v>-920</v>
      </c>
      <c r="AQ41" s="5" t="str">
        <f t="shared" si="36"/>
        <v>FED +</v>
      </c>
    </row>
    <row r="42" spans="1:55" ht="21" hidden="1" x14ac:dyDescent="0.2">
      <c r="A42" s="12" t="s">
        <v>69</v>
      </c>
      <c r="B42" s="18" t="s">
        <v>536</v>
      </c>
      <c r="C42" s="19" t="s">
        <v>541</v>
      </c>
      <c r="D42" s="61">
        <v>4</v>
      </c>
      <c r="E42" s="35">
        <v>277040</v>
      </c>
      <c r="F42" s="20" t="s">
        <v>542</v>
      </c>
      <c r="G42" s="20" t="s">
        <v>543</v>
      </c>
      <c r="H42" s="51">
        <v>2000</v>
      </c>
      <c r="I42" s="30">
        <v>57.9</v>
      </c>
      <c r="J42" s="19" t="s">
        <v>544</v>
      </c>
      <c r="K42" s="34" t="s">
        <v>69</v>
      </c>
      <c r="L42" s="31">
        <v>33</v>
      </c>
      <c r="M42" s="31">
        <v>35</v>
      </c>
      <c r="N42" s="31">
        <v>-36</v>
      </c>
      <c r="O42" s="36">
        <f t="shared" si="29"/>
        <v>35</v>
      </c>
      <c r="P42" s="31">
        <v>43</v>
      </c>
      <c r="Q42" s="31">
        <v>45</v>
      </c>
      <c r="R42" s="31">
        <v>-47</v>
      </c>
      <c r="S42" s="36">
        <f t="shared" si="30"/>
        <v>45</v>
      </c>
      <c r="T42" s="37">
        <f t="shared" si="31"/>
        <v>80</v>
      </c>
      <c r="U42" s="65">
        <f t="shared" si="32"/>
        <v>-35.799999999999997</v>
      </c>
      <c r="V42" s="41" t="str">
        <f t="shared" si="33"/>
        <v>FED +</v>
      </c>
      <c r="W42" s="33">
        <f t="shared" si="34"/>
        <v>0</v>
      </c>
      <c r="X42" s="40" t="str">
        <f>IF(I42="","",IF(A42="H",IF(OR(H42="SEN",H42&lt;1995),VLOOKUP(I42,Feuil1!$A$11:$G$29,6),IF(AND(H42&gt;1994,H42&lt;1998),VLOOKUP(I42,Feuil1!$A$11:$G$29,5),IF(AND(H42&gt;1997,H42&lt;2000),VLOOKUP(I42,Feuil1!$A$11:$G$29,4),IF(AND(H42&gt;1999,H42&lt;2002),VLOOKUP(I42,Feuil1!$A$11:$G$29,3),VLOOKUP(I42,Feuil1!$A$11:$G$29,2))))),IF(OR(H42="SEN",H42&lt;1995),VLOOKUP(I42,Feuil1!$G$11:$L$25,6),IF(AND(H42&gt;1994,H42&lt;1998),VLOOKUP(I42,Feuil1!$G$11:$L$25,5),IF(AND(H42&gt;1997,H42&lt;2000),VLOOKUP(I42,Feuil1!$G$11:$L$25,4),IF(AND(H42&gt;1999,H42&lt;2002),VLOOKUP(I42,Feuil1!$G$11:$L$25,3),VLOOKUP(I42,Feuil1!$G$11:$L$25,2)))))))</f>
        <v>FC1 58</v>
      </c>
      <c r="Y42" s="39">
        <f t="shared" si="35"/>
        <v>112.77227891833439</v>
      </c>
      <c r="Z42" s="45"/>
      <c r="AA42" s="45" t="s">
        <v>12</v>
      </c>
      <c r="AB42" s="3">
        <f>T42-HLOOKUP(X42,Feuil1!$C$1:$BL$10,2,FALSE)</f>
        <v>40</v>
      </c>
      <c r="AC42" s="3">
        <f>T42-HLOOKUP(X42,Feuil1!$C$1:$BL$10,3,FALSE)</f>
        <v>30</v>
      </c>
      <c r="AD42" s="3">
        <f>T42-HLOOKUP(X42,Feuil1!$C$1:$BL$10,4,FALSE)</f>
        <v>20</v>
      </c>
      <c r="AE42" s="3">
        <f>T42-HLOOKUP(X42,Feuil1!$C$1:$BL$10,5,FALSE)</f>
        <v>10</v>
      </c>
      <c r="AF42" s="3">
        <f>T42-HLOOKUP(X42,Feuil1!$C$1:$BL$10,6,FALSE)</f>
        <v>0</v>
      </c>
      <c r="AG42" s="3">
        <f>T42-HLOOKUP(X42,Feuil1!$C$1:$BL$10,7,FALSE)</f>
        <v>-10</v>
      </c>
      <c r="AH42" s="3">
        <f>T42-HLOOKUP(X42,Feuil1!$C$1:$BL$10,8,FALSE)</f>
        <v>-20</v>
      </c>
      <c r="AI42" s="3">
        <f>T42-HLOOKUP(X42,Feuil1!$C$1:$BL$10,9,FALSE)</f>
        <v>-35</v>
      </c>
      <c r="AJ42" s="3">
        <f>T42-HLOOKUP(X42,Feuil1!$C$1:$BL$10,10,FALSE)</f>
        <v>-920</v>
      </c>
      <c r="AQ42" s="5" t="str">
        <f t="shared" si="36"/>
        <v>FED +</v>
      </c>
      <c r="BC42" s="13"/>
    </row>
    <row r="43" spans="1:55" ht="21" hidden="1" x14ac:dyDescent="0.2">
      <c r="A43" s="12" t="s">
        <v>69</v>
      </c>
      <c r="B43" s="67" t="s">
        <v>108</v>
      </c>
      <c r="C43" s="68" t="s">
        <v>109</v>
      </c>
      <c r="D43" s="69">
        <v>5</v>
      </c>
      <c r="E43" s="70">
        <v>355066</v>
      </c>
      <c r="F43" s="71" t="s">
        <v>113</v>
      </c>
      <c r="G43" s="71" t="s">
        <v>114</v>
      </c>
      <c r="H43" s="72">
        <v>2001</v>
      </c>
      <c r="I43" s="73">
        <v>54.1</v>
      </c>
      <c r="J43" s="68" t="s">
        <v>112</v>
      </c>
      <c r="K43" s="74" t="s">
        <v>69</v>
      </c>
      <c r="L43" s="75">
        <v>26</v>
      </c>
      <c r="M43" s="75">
        <v>29</v>
      </c>
      <c r="N43" s="75">
        <v>-31</v>
      </c>
      <c r="O43" s="76">
        <f t="shared" si="29"/>
        <v>29</v>
      </c>
      <c r="P43" s="75">
        <v>35</v>
      </c>
      <c r="Q43" s="75">
        <v>38</v>
      </c>
      <c r="R43" s="75">
        <v>41</v>
      </c>
      <c r="S43" s="76">
        <f t="shared" si="30"/>
        <v>41</v>
      </c>
      <c r="T43" s="77">
        <f t="shared" si="31"/>
        <v>70</v>
      </c>
      <c r="U43" s="78">
        <f t="shared" si="32"/>
        <v>-38.200000000000003</v>
      </c>
      <c r="V43" s="79" t="str">
        <f t="shared" si="33"/>
        <v>IRG +</v>
      </c>
      <c r="W43" s="80">
        <f t="shared" si="34"/>
        <v>0</v>
      </c>
      <c r="X43" s="81" t="str">
        <f>IF(I43="","",IF(A43="H",IF(OR(H43="SEN",H43&lt;1995),VLOOKUP(I43,Feuil1!$A$11:$G$29,6),IF(AND(H43&gt;1994,H43&lt;1998),VLOOKUP(I43,Feuil1!$A$11:$G$29,5),IF(AND(H43&gt;1997,H43&lt;2000),VLOOKUP(I43,Feuil1!$A$11:$G$29,4),IF(AND(H43&gt;1999,H43&lt;2002),VLOOKUP(I43,Feuil1!$A$11:$G$29,3),VLOOKUP(I43,Feuil1!$A$11:$G$29,2))))),IF(OR(H43="SEN",H43&lt;1995),VLOOKUP(I43,Feuil1!$G$11:$L$25,6),IF(AND(H43&gt;1994,H43&lt;1998),VLOOKUP(I43,Feuil1!$G$11:$L$25,5),IF(AND(H43&gt;1997,H43&lt;2000),VLOOKUP(I43,Feuil1!$G$11:$L$25,4),IF(AND(H43&gt;1999,H43&lt;2002),VLOOKUP(I43,Feuil1!$G$11:$L$25,3),VLOOKUP(I43,Feuil1!$G$11:$L$25,2)))))))</f>
        <v>FC1 58</v>
      </c>
      <c r="Y43" s="39">
        <f t="shared" si="35"/>
        <v>103.88609267501297</v>
      </c>
      <c r="Z43" s="45"/>
      <c r="AA43" s="45" t="s">
        <v>12</v>
      </c>
      <c r="AB43" s="3">
        <f>T43-HLOOKUP(X43,Feuil1!$C$1:$BL$10,2,FALSE)</f>
        <v>30</v>
      </c>
      <c r="AC43" s="3">
        <f>T43-HLOOKUP(X43,Feuil1!$C$1:$BL$10,3,FALSE)</f>
        <v>20</v>
      </c>
      <c r="AD43" s="3">
        <f>T43-HLOOKUP(X43,Feuil1!$C$1:$BL$10,4,FALSE)</f>
        <v>10</v>
      </c>
      <c r="AE43" s="3">
        <f>T43-HLOOKUP(X43,Feuil1!$C$1:$BL$10,5,FALSE)</f>
        <v>0</v>
      </c>
      <c r="AF43" s="3">
        <f>T43-HLOOKUP(X43,Feuil1!$C$1:$BL$10,6,FALSE)</f>
        <v>-10</v>
      </c>
      <c r="AG43" s="3">
        <f>T43-HLOOKUP(X43,Feuil1!$C$1:$BL$10,7,FALSE)</f>
        <v>-20</v>
      </c>
      <c r="AH43" s="3">
        <f>T43-HLOOKUP(X43,Feuil1!$C$1:$BL$10,8,FALSE)</f>
        <v>-30</v>
      </c>
      <c r="AI43" s="3">
        <f>T43-HLOOKUP(X43,Feuil1!$C$1:$BL$10,9,FALSE)</f>
        <v>-45</v>
      </c>
      <c r="AJ43" s="3">
        <f>T43-HLOOKUP(X43,Feuil1!$C$1:$BL$10,10,FALSE)</f>
        <v>-930</v>
      </c>
      <c r="AQ43" s="5" t="str">
        <f t="shared" si="36"/>
        <v>IRG +</v>
      </c>
    </row>
    <row r="44" spans="1:55" ht="21" hidden="1" x14ac:dyDescent="0.2">
      <c r="A44" s="12" t="s">
        <v>69</v>
      </c>
      <c r="B44" s="18" t="s">
        <v>71</v>
      </c>
      <c r="C44" s="19" t="s">
        <v>883</v>
      </c>
      <c r="D44" s="61">
        <v>6</v>
      </c>
      <c r="E44" s="35">
        <v>391362</v>
      </c>
      <c r="F44" s="20" t="s">
        <v>884</v>
      </c>
      <c r="G44" s="20" t="s">
        <v>885</v>
      </c>
      <c r="H44" s="57">
        <v>2001</v>
      </c>
      <c r="I44" s="30">
        <v>57.5</v>
      </c>
      <c r="J44" s="19" t="s">
        <v>886</v>
      </c>
      <c r="K44" s="34" t="s">
        <v>69</v>
      </c>
      <c r="L44" s="31">
        <v>18</v>
      </c>
      <c r="M44" s="31">
        <v>-22</v>
      </c>
      <c r="N44" s="31">
        <v>22</v>
      </c>
      <c r="O44" s="36">
        <f t="shared" si="29"/>
        <v>22</v>
      </c>
      <c r="P44" s="31">
        <v>28</v>
      </c>
      <c r="Q44" s="31">
        <v>32</v>
      </c>
      <c r="R44" s="31">
        <v>35</v>
      </c>
      <c r="S44" s="36">
        <f t="shared" si="30"/>
        <v>35</v>
      </c>
      <c r="T44" s="37">
        <f t="shared" si="31"/>
        <v>57</v>
      </c>
      <c r="U44" s="65">
        <f t="shared" si="32"/>
        <v>-58</v>
      </c>
      <c r="V44" s="41" t="str">
        <f t="shared" si="33"/>
        <v>DEP +</v>
      </c>
      <c r="W44" s="33">
        <f t="shared" si="34"/>
        <v>7</v>
      </c>
      <c r="X44" s="40" t="str">
        <f>IF(I44="","",IF(A44="H",IF(OR(H44="SEN",H44&lt;1995),VLOOKUP(I44,Feuil1!$A$11:$G$29,6),IF(AND(H44&gt;1994,H44&lt;1998),VLOOKUP(I44,Feuil1!$A$11:$G$29,5),IF(AND(H44&gt;1997,H44&lt;2000),VLOOKUP(I44,Feuil1!$A$11:$G$29,4),IF(AND(H44&gt;1999,H44&lt;2002),VLOOKUP(I44,Feuil1!$A$11:$G$29,3),VLOOKUP(I44,Feuil1!$A$11:$G$29,2))))),IF(OR(H44="SEN",H44&lt;1995),VLOOKUP(I44,Feuil1!$G$11:$L$25,6),IF(AND(H44&gt;1994,H44&lt;1998),VLOOKUP(I44,Feuil1!$G$11:$L$25,5),IF(AND(H44&gt;1997,H44&lt;2000),VLOOKUP(I44,Feuil1!$G$11:$L$25,4),IF(AND(H44&gt;1999,H44&lt;2002),VLOOKUP(I44,Feuil1!$G$11:$L$25,3),VLOOKUP(I44,Feuil1!$G$11:$L$25,2)))))))</f>
        <v>FC1 58</v>
      </c>
      <c r="Y44" s="39">
        <f t="shared" si="35"/>
        <v>80.760288380025955</v>
      </c>
      <c r="Z44" s="45"/>
      <c r="AA44" s="45" t="s">
        <v>12</v>
      </c>
      <c r="AB44" s="3">
        <f>T44-HLOOKUP(X44,Feuil1!$C$1:$BL$10,2,FALSE)</f>
        <v>17</v>
      </c>
      <c r="AC44" s="3">
        <f>T44-HLOOKUP(X44,Feuil1!$C$1:$BL$10,3,FALSE)</f>
        <v>7</v>
      </c>
      <c r="AD44" s="3">
        <f>T44-HLOOKUP(X44,Feuil1!$C$1:$BL$10,4,FALSE)</f>
        <v>-3</v>
      </c>
      <c r="AE44" s="3">
        <f>T44-HLOOKUP(X44,Feuil1!$C$1:$BL$10,5,FALSE)</f>
        <v>-13</v>
      </c>
      <c r="AF44" s="3">
        <f>T44-HLOOKUP(X44,Feuil1!$C$1:$BL$10,6,FALSE)</f>
        <v>-23</v>
      </c>
      <c r="AG44" s="3">
        <f>T44-HLOOKUP(X44,Feuil1!$C$1:$BL$10,7,FALSE)</f>
        <v>-33</v>
      </c>
      <c r="AH44" s="3">
        <f>T44-HLOOKUP(X44,Feuil1!$C$1:$BL$10,8,FALSE)</f>
        <v>-43</v>
      </c>
      <c r="AI44" s="3">
        <f>T44-HLOOKUP(X44,Feuil1!$C$1:$BL$10,9,FALSE)</f>
        <v>-58</v>
      </c>
      <c r="AJ44" s="3">
        <f>T44-HLOOKUP(X44,Feuil1!$C$1:$BL$10,10,FALSE)</f>
        <v>-943</v>
      </c>
      <c r="AQ44" s="5" t="str">
        <f t="shared" si="36"/>
        <v>DEP +</v>
      </c>
      <c r="BC44" s="13"/>
    </row>
    <row r="45" spans="1:55" ht="21" hidden="1" x14ac:dyDescent="0.2">
      <c r="A45" s="12" t="s">
        <v>69</v>
      </c>
      <c r="B45" s="67" t="s">
        <v>71</v>
      </c>
      <c r="C45" s="68" t="s">
        <v>801</v>
      </c>
      <c r="D45" s="69">
        <v>7</v>
      </c>
      <c r="E45" s="70">
        <v>385819</v>
      </c>
      <c r="F45" s="71" t="s">
        <v>802</v>
      </c>
      <c r="G45" s="71" t="s">
        <v>428</v>
      </c>
      <c r="H45" s="82">
        <v>2000</v>
      </c>
      <c r="I45" s="73">
        <v>57</v>
      </c>
      <c r="J45" s="68" t="s">
        <v>807</v>
      </c>
      <c r="K45" s="74" t="s">
        <v>69</v>
      </c>
      <c r="L45" s="75">
        <v>-17</v>
      </c>
      <c r="M45" s="75">
        <v>17</v>
      </c>
      <c r="N45" s="75">
        <v>19</v>
      </c>
      <c r="O45" s="76">
        <f t="shared" si="29"/>
        <v>19</v>
      </c>
      <c r="P45" s="75">
        <v>-24</v>
      </c>
      <c r="Q45" s="75">
        <v>26</v>
      </c>
      <c r="R45" s="75">
        <v>28</v>
      </c>
      <c r="S45" s="76">
        <f t="shared" si="30"/>
        <v>28</v>
      </c>
      <c r="T45" s="77">
        <f t="shared" si="31"/>
        <v>47</v>
      </c>
      <c r="U45" s="78">
        <f t="shared" si="32"/>
        <v>-67</v>
      </c>
      <c r="V45" s="79" t="str">
        <f t="shared" si="33"/>
        <v xml:space="preserve">DEB </v>
      </c>
      <c r="W45" s="80">
        <f t="shared" si="34"/>
        <v>7</v>
      </c>
      <c r="X45" s="81" t="str">
        <f>IF(I45="","",IF(A45="H",IF(OR(H45="SEN",H45&lt;1995),VLOOKUP(I45,Feuil1!$A$11:$G$29,6),IF(AND(H45&gt;1994,H45&lt;1998),VLOOKUP(I45,Feuil1!$A$11:$G$29,5),IF(AND(H45&gt;1997,H45&lt;2000),VLOOKUP(I45,Feuil1!$A$11:$G$29,4),IF(AND(H45&gt;1999,H45&lt;2002),VLOOKUP(I45,Feuil1!$A$11:$G$29,3),VLOOKUP(I45,Feuil1!$A$11:$G$29,2))))),IF(OR(H45="SEN",H45&lt;1995),VLOOKUP(I45,Feuil1!$G$11:$L$25,6),IF(AND(H45&gt;1994,H45&lt;1998),VLOOKUP(I45,Feuil1!$G$11:$L$25,5),IF(AND(H45&gt;1997,H45&lt;2000),VLOOKUP(I45,Feuil1!$G$11:$L$25,4),IF(AND(H45&gt;1999,H45&lt;2002),VLOOKUP(I45,Feuil1!$G$11:$L$25,3),VLOOKUP(I45,Feuil1!$G$11:$L$25,2)))))))</f>
        <v>FC1 58</v>
      </c>
      <c r="Y45" s="39">
        <f t="shared" si="35"/>
        <v>67.02379884833752</v>
      </c>
      <c r="Z45" s="45"/>
      <c r="AA45" s="45" t="s">
        <v>12</v>
      </c>
      <c r="AB45" s="3">
        <f>T45-HLOOKUP(X45,Feuil1!$C$1:$BL$10,2,FALSE)</f>
        <v>7</v>
      </c>
      <c r="AC45" s="3">
        <f>T45-HLOOKUP(X45,Feuil1!$C$1:$BL$10,3,FALSE)</f>
        <v>-3</v>
      </c>
      <c r="AD45" s="3">
        <f>T45-HLOOKUP(X45,Feuil1!$C$1:$BL$10,4,FALSE)</f>
        <v>-13</v>
      </c>
      <c r="AE45" s="3">
        <f>T45-HLOOKUP(X45,Feuil1!$C$1:$BL$10,5,FALSE)</f>
        <v>-23</v>
      </c>
      <c r="AF45" s="3">
        <f>T45-HLOOKUP(X45,Feuil1!$C$1:$BL$10,6,FALSE)</f>
        <v>-33</v>
      </c>
      <c r="AG45" s="3">
        <f>T45-HLOOKUP(X45,Feuil1!$C$1:$BL$10,7,FALSE)</f>
        <v>-43</v>
      </c>
      <c r="AH45" s="3">
        <f>T45-HLOOKUP(X45,Feuil1!$C$1:$BL$10,8,FALSE)</f>
        <v>-53</v>
      </c>
      <c r="AI45" s="3">
        <f>T45-HLOOKUP(X45,Feuil1!$C$1:$BL$10,9,FALSE)</f>
        <v>-68</v>
      </c>
      <c r="AJ45" s="3">
        <f>T45-HLOOKUP(X45,Feuil1!$C$1:$BL$10,10,FALSE)</f>
        <v>-953</v>
      </c>
      <c r="AQ45" s="5" t="str">
        <f t="shared" si="36"/>
        <v xml:space="preserve">DEB </v>
      </c>
      <c r="BC45" s="13"/>
    </row>
    <row r="46" spans="1:55" ht="21" hidden="1" x14ac:dyDescent="0.2">
      <c r="A46" s="12" t="s">
        <v>69</v>
      </c>
      <c r="B46" s="18" t="s">
        <v>108</v>
      </c>
      <c r="C46" s="19" t="s">
        <v>119</v>
      </c>
      <c r="D46" s="61">
        <v>8</v>
      </c>
      <c r="E46" s="35">
        <v>374732</v>
      </c>
      <c r="F46" s="20" t="s">
        <v>130</v>
      </c>
      <c r="G46" s="20" t="s">
        <v>131</v>
      </c>
      <c r="H46" s="51">
        <v>2001</v>
      </c>
      <c r="I46" s="30">
        <v>56.3</v>
      </c>
      <c r="J46" s="19" t="s">
        <v>122</v>
      </c>
      <c r="K46" s="34" t="s">
        <v>69</v>
      </c>
      <c r="L46" s="31">
        <v>17</v>
      </c>
      <c r="M46" s="31">
        <v>20</v>
      </c>
      <c r="N46" s="31">
        <v>-22</v>
      </c>
      <c r="O46" s="36">
        <f t="shared" si="29"/>
        <v>20</v>
      </c>
      <c r="P46" s="31">
        <v>-21</v>
      </c>
      <c r="Q46" s="31">
        <v>21</v>
      </c>
      <c r="R46" s="31">
        <v>24</v>
      </c>
      <c r="S46" s="36">
        <f t="shared" si="30"/>
        <v>24</v>
      </c>
      <c r="T46" s="37">
        <f t="shared" si="31"/>
        <v>44</v>
      </c>
      <c r="U46" s="65">
        <f t="shared" si="32"/>
        <v>-68.599999999999994</v>
      </c>
      <c r="V46" s="41" t="str">
        <f t="shared" si="33"/>
        <v xml:space="preserve">DEB </v>
      </c>
      <c r="W46" s="33">
        <f t="shared" si="34"/>
        <v>4</v>
      </c>
      <c r="X46" s="40" t="str">
        <f>IF(I46="","",IF(A46="H",IF(OR(H46="SEN",H46&lt;1995),VLOOKUP(I46,Feuil1!$A$11:$G$29,6),IF(AND(H46&gt;1994,H46&lt;1998),VLOOKUP(I46,Feuil1!$A$11:$G$29,5),IF(AND(H46&gt;1997,H46&lt;2000),VLOOKUP(I46,Feuil1!$A$11:$G$29,4),IF(AND(H46&gt;1999,H46&lt;2002),VLOOKUP(I46,Feuil1!$A$11:$G$29,3),VLOOKUP(I46,Feuil1!$A$11:$G$29,2))))),IF(OR(H46="SEN",H46&lt;1995),VLOOKUP(I46,Feuil1!$G$11:$L$25,6),IF(AND(H46&gt;1994,H46&lt;1998),VLOOKUP(I46,Feuil1!$G$11:$L$25,5),IF(AND(H46&gt;1997,H46&lt;2000),VLOOKUP(I46,Feuil1!$G$11:$L$25,4),IF(AND(H46&gt;1999,H46&lt;2002),VLOOKUP(I46,Feuil1!$G$11:$L$25,3),VLOOKUP(I46,Feuil1!$G$11:$L$25,2)))))))</f>
        <v>FC1 58</v>
      </c>
      <c r="Y46" s="39">
        <f t="shared" si="35"/>
        <v>63.328772969022154</v>
      </c>
      <c r="Z46" s="45"/>
      <c r="AA46" s="45" t="s">
        <v>12</v>
      </c>
      <c r="AB46" s="3">
        <f>T46-HLOOKUP(X46,Feuil1!$C$1:$BL$10,2,FALSE)</f>
        <v>4</v>
      </c>
      <c r="AC46" s="3">
        <f>T46-HLOOKUP(X46,Feuil1!$C$1:$BL$10,3,FALSE)</f>
        <v>-6</v>
      </c>
      <c r="AD46" s="3">
        <f>T46-HLOOKUP(X46,Feuil1!$C$1:$BL$10,4,FALSE)</f>
        <v>-16</v>
      </c>
      <c r="AE46" s="3">
        <f>T46-HLOOKUP(X46,Feuil1!$C$1:$BL$10,5,FALSE)</f>
        <v>-26</v>
      </c>
      <c r="AF46" s="3">
        <f>T46-HLOOKUP(X46,Feuil1!$C$1:$BL$10,6,FALSE)</f>
        <v>-36</v>
      </c>
      <c r="AG46" s="3">
        <f>T46-HLOOKUP(X46,Feuil1!$C$1:$BL$10,7,FALSE)</f>
        <v>-46</v>
      </c>
      <c r="AH46" s="3">
        <f>T46-HLOOKUP(X46,Feuil1!$C$1:$BL$10,8,FALSE)</f>
        <v>-56</v>
      </c>
      <c r="AI46" s="3">
        <f>T46-HLOOKUP(X46,Feuil1!$C$1:$BL$10,9,FALSE)</f>
        <v>-71</v>
      </c>
      <c r="AJ46" s="3">
        <f>T46-HLOOKUP(X46,Feuil1!$C$1:$BL$10,10,FALSE)</f>
        <v>-956</v>
      </c>
      <c r="AQ46" s="5" t="str">
        <f t="shared" si="36"/>
        <v xml:space="preserve">DEB </v>
      </c>
    </row>
    <row r="47" spans="1:55" ht="21" hidden="1" x14ac:dyDescent="0.2">
      <c r="A47" s="12" t="s">
        <v>69</v>
      </c>
      <c r="B47" s="18" t="s">
        <v>721</v>
      </c>
      <c r="C47" s="19" t="s">
        <v>689</v>
      </c>
      <c r="D47" s="61">
        <v>9</v>
      </c>
      <c r="E47" s="35">
        <v>381211</v>
      </c>
      <c r="F47" s="20" t="s">
        <v>693</v>
      </c>
      <c r="G47" s="20" t="s">
        <v>415</v>
      </c>
      <c r="H47" s="51">
        <v>2001</v>
      </c>
      <c r="I47" s="30">
        <v>57.8</v>
      </c>
      <c r="J47" s="19" t="s">
        <v>694</v>
      </c>
      <c r="K47" s="34" t="s">
        <v>69</v>
      </c>
      <c r="L47" s="31">
        <v>15</v>
      </c>
      <c r="M47" s="31">
        <v>18</v>
      </c>
      <c r="N47" s="31">
        <v>20</v>
      </c>
      <c r="O47" s="36">
        <f t="shared" si="29"/>
        <v>20</v>
      </c>
      <c r="P47" s="31">
        <v>20</v>
      </c>
      <c r="Q47" s="31">
        <v>-23</v>
      </c>
      <c r="R47" s="31">
        <v>23</v>
      </c>
      <c r="S47" s="36">
        <f t="shared" si="30"/>
        <v>23</v>
      </c>
      <c r="T47" s="37">
        <f t="shared" si="31"/>
        <v>43</v>
      </c>
      <c r="U47" s="65">
        <f t="shared" si="32"/>
        <v>-72.599999999999994</v>
      </c>
      <c r="V47" s="41" t="str">
        <f t="shared" si="33"/>
        <v xml:space="preserve">DEB </v>
      </c>
      <c r="W47" s="33">
        <f t="shared" si="34"/>
        <v>3</v>
      </c>
      <c r="X47" s="40" t="str">
        <f>IF(I47="","",IF(A47="H",IF(OR(H47="SEN",H47&lt;1995),VLOOKUP(I47,Feuil1!$A$11:$G$29,6),IF(AND(H47&gt;1994,H47&lt;1998),VLOOKUP(I47,Feuil1!$A$11:$G$29,5),IF(AND(H47&gt;1997,H47&lt;2000),VLOOKUP(I47,Feuil1!$A$11:$G$29,4),IF(AND(H47&gt;1999,H47&lt;2002),VLOOKUP(I47,Feuil1!$A$11:$G$29,3),VLOOKUP(I47,Feuil1!$A$11:$G$29,2))))),IF(OR(H47="SEN",H47&lt;1995),VLOOKUP(I47,Feuil1!$G$11:$L$25,6),IF(AND(H47&gt;1994,H47&lt;1998),VLOOKUP(I47,Feuil1!$G$11:$L$25,5),IF(AND(H47&gt;1997,H47&lt;2000),VLOOKUP(I47,Feuil1!$G$11:$L$25,4),IF(AND(H47&gt;1999,H47&lt;2002),VLOOKUP(I47,Feuil1!$G$11:$L$25,3),VLOOKUP(I47,Feuil1!$G$11:$L$25,2)))))))</f>
        <v>FC1 58</v>
      </c>
      <c r="Y47" s="39">
        <f t="shared" si="35"/>
        <v>60.691871116673781</v>
      </c>
      <c r="Z47" s="45"/>
      <c r="AA47" s="45" t="s">
        <v>12</v>
      </c>
      <c r="AB47" s="3">
        <f>T47-HLOOKUP(X47,Feuil1!$C$1:$BL$10,2,FALSE)</f>
        <v>3</v>
      </c>
      <c r="AC47" s="3">
        <f>T47-HLOOKUP(X47,Feuil1!$C$1:$BL$10,3,FALSE)</f>
        <v>-7</v>
      </c>
      <c r="AD47" s="3">
        <f>T47-HLOOKUP(X47,Feuil1!$C$1:$BL$10,4,FALSE)</f>
        <v>-17</v>
      </c>
      <c r="AE47" s="3">
        <f>T47-HLOOKUP(X47,Feuil1!$C$1:$BL$10,5,FALSE)</f>
        <v>-27</v>
      </c>
      <c r="AF47" s="3">
        <f>T47-HLOOKUP(X47,Feuil1!$C$1:$BL$10,6,FALSE)</f>
        <v>-37</v>
      </c>
      <c r="AG47" s="3">
        <f>T47-HLOOKUP(X47,Feuil1!$C$1:$BL$10,7,FALSE)</f>
        <v>-47</v>
      </c>
      <c r="AH47" s="3">
        <f>T47-HLOOKUP(X47,Feuil1!$C$1:$BL$10,8,FALSE)</f>
        <v>-57</v>
      </c>
      <c r="AI47" s="3">
        <f>T47-HLOOKUP(X47,Feuil1!$C$1:$BL$10,9,FALSE)</f>
        <v>-72</v>
      </c>
      <c r="AJ47" s="3">
        <f>T47-HLOOKUP(X47,Feuil1!$C$1:$BL$10,10,FALSE)</f>
        <v>-957</v>
      </c>
      <c r="AQ47" s="5" t="str">
        <f t="shared" si="36"/>
        <v xml:space="preserve">DEB </v>
      </c>
      <c r="BC47" s="13"/>
    </row>
    <row r="48" spans="1:55" s="13" customFormat="1" ht="15" hidden="1" customHeight="1" thickBot="1" x14ac:dyDescent="0.25">
      <c r="A48" s="89"/>
      <c r="B48" s="90"/>
      <c r="C48" s="91"/>
      <c r="D48" s="92"/>
      <c r="E48" s="93"/>
      <c r="F48" s="94"/>
      <c r="G48" s="94"/>
      <c r="H48" s="95"/>
      <c r="I48" s="96"/>
      <c r="J48" s="91"/>
      <c r="K48" s="97"/>
      <c r="L48" s="98"/>
      <c r="M48" s="98"/>
      <c r="N48" s="98"/>
      <c r="O48" s="99"/>
      <c r="P48" s="98"/>
      <c r="Q48" s="98"/>
      <c r="R48" s="98"/>
      <c r="S48" s="99"/>
      <c r="T48" s="100"/>
      <c r="U48" s="101"/>
      <c r="V48" s="102"/>
      <c r="W48" s="103"/>
      <c r="X48" s="104"/>
      <c r="Y48" s="105"/>
      <c r="Z48" s="45"/>
      <c r="AA48" s="45" t="s">
        <v>12</v>
      </c>
      <c r="AB48" s="3" t="e">
        <f>T48-HLOOKUP(X48,Feuil1!$C$1:$BL$10,2,FALSE)</f>
        <v>#N/A</v>
      </c>
      <c r="AC48" s="3" t="e">
        <f>T48-HLOOKUP(X48,Feuil1!$C$1:$BL$10,3,FALSE)</f>
        <v>#N/A</v>
      </c>
      <c r="AD48" s="3" t="e">
        <f>T48-HLOOKUP(X48,Feuil1!$C$1:$BL$10,4,FALSE)</f>
        <v>#N/A</v>
      </c>
      <c r="AE48" s="3" t="e">
        <f>T48-HLOOKUP(X48,Feuil1!$C$1:$BL$10,5,FALSE)</f>
        <v>#N/A</v>
      </c>
      <c r="AF48" s="3" t="e">
        <f>T48-HLOOKUP(X48,Feuil1!$C$1:$BL$10,6,FALSE)</f>
        <v>#N/A</v>
      </c>
      <c r="AG48" s="3" t="e">
        <f>T48-HLOOKUP(X48,Feuil1!$C$1:$BL$10,7,FALSE)</f>
        <v>#N/A</v>
      </c>
      <c r="AH48" s="3" t="e">
        <f>T48-HLOOKUP(X48,Feuil1!$C$1:$BL$10,8,FALSE)</f>
        <v>#N/A</v>
      </c>
      <c r="AI48" s="3" t="e">
        <f>T48-HLOOKUP(X48,Feuil1!$C$1:$BL$10,9,FALSE)</f>
        <v>#N/A</v>
      </c>
      <c r="AJ48" s="3" t="e">
        <f>T48-HLOOKUP(X48,Feuil1!$C$1:$BL$10,10,FALSE)</f>
        <v>#N/A</v>
      </c>
      <c r="AK48" s="5"/>
      <c r="AL48" s="5"/>
      <c r="AM48" s="5"/>
      <c r="AN48" s="5"/>
      <c r="AO48" s="5"/>
      <c r="AP48" s="5"/>
      <c r="AQ48" s="5" t="e">
        <f t="shared" ref="AQ48" si="37">IF(AJ48&gt;=0,$AJ$1,IF(AI48&gt;=0,$AI$1,IF(AH48&gt;=0,$AH$1,IF(AG48&gt;=0,$AG$1,IF(AF48&gt;=0,$AF$1,IF(AE48&gt;=0,$AE$1,IF(AD48&gt;=0,$AD$1,IF(AC48&gt;=0,$AC$1,$AB$1))))))))</f>
        <v>#N/A</v>
      </c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</row>
    <row r="49" spans="1:55" ht="21" x14ac:dyDescent="0.2">
      <c r="A49" s="12" t="s">
        <v>69</v>
      </c>
      <c r="B49" s="18" t="s">
        <v>108</v>
      </c>
      <c r="C49" s="19" t="s">
        <v>264</v>
      </c>
      <c r="D49" s="61">
        <v>1</v>
      </c>
      <c r="E49" s="35">
        <v>363267</v>
      </c>
      <c r="F49" s="20" t="s">
        <v>265</v>
      </c>
      <c r="G49" s="20" t="s">
        <v>266</v>
      </c>
      <c r="H49" s="51">
        <v>2000</v>
      </c>
      <c r="I49" s="30">
        <v>60.3</v>
      </c>
      <c r="J49" s="19" t="s">
        <v>267</v>
      </c>
      <c r="K49" s="34" t="s">
        <v>69</v>
      </c>
      <c r="L49" s="31">
        <v>49</v>
      </c>
      <c r="M49" s="31">
        <v>52</v>
      </c>
      <c r="N49" s="31">
        <v>55</v>
      </c>
      <c r="O49" s="36">
        <f t="shared" ref="O49:O54" si="38">IF(H49="","",IF(MAXA(L49:N49)&lt;=0,0,MAXA(L49:N49)))</f>
        <v>55</v>
      </c>
      <c r="P49" s="31">
        <v>62</v>
      </c>
      <c r="Q49" s="31">
        <v>-65</v>
      </c>
      <c r="R49" s="31">
        <v>65</v>
      </c>
      <c r="S49" s="36">
        <f t="shared" ref="S49:S54" si="39">IF(H49="","",IF(MAXA(P49:R49)&lt;=0,0,MAXA(P49:R49)))</f>
        <v>65</v>
      </c>
      <c r="T49" s="37">
        <f t="shared" ref="T49:T54" si="40">IF(H49="","",IF(OR(O49=0,S49=0),0,O49+S49))</f>
        <v>120</v>
      </c>
      <c r="U49" s="65">
        <f t="shared" ref="U49:U54" si="41">T49-I49*2</f>
        <v>-0.59999999999999432</v>
      </c>
      <c r="V49" s="41" t="str">
        <f t="shared" ref="V49:V54" si="42">IF(H49="","",AQ49)</f>
        <v>INTB +</v>
      </c>
      <c r="W49" s="33">
        <f t="shared" ref="W49:W54" si="43">IF(AJ49&gt;=0,AJ49,IF(AI49&gt;=0,AI49,IF(AH49&gt;=0,AH49,IF(AG49&gt;=0,AG49,IF(AF49&gt;=0,AF49,IF(AE49&gt;=0,AE49,IF(AD49&gt;=0,AD49,IF(AC49&gt;=0,AC49,AB49))))))))</f>
        <v>10</v>
      </c>
      <c r="X49" s="40" t="str">
        <f>IF(I49="","",IF(A49="H",IF(OR(H49="SEN",H49&lt;1995),VLOOKUP(I49,Feuil1!$A$11:$G$29,6),IF(AND(H49&gt;1994,H49&lt;1998),VLOOKUP(I49,Feuil1!$A$11:$G$29,5),IF(AND(H49&gt;1997,H49&lt;2000),VLOOKUP(I49,Feuil1!$A$11:$G$29,4),IF(AND(H49&gt;1999,H49&lt;2002),VLOOKUP(I49,Feuil1!$A$11:$G$29,3),VLOOKUP(I49,Feuil1!$A$11:$G$29,2))))),IF(OR(H49="SEN",H49&lt;1995),VLOOKUP(I49,Feuil1!$G$11:$L$25,6),IF(AND(H49&gt;1994,H49&lt;1998),VLOOKUP(I49,Feuil1!$G$11:$L$25,5),IF(AND(H49&gt;1997,H49&lt;2000),VLOOKUP(I49,Feuil1!$G$11:$L$25,4),IF(AND(H49&gt;1999,H49&lt;2002),VLOOKUP(I49,Feuil1!$G$11:$L$25,3),VLOOKUP(I49,Feuil1!$G$11:$L$25,2)))))))</f>
        <v>FC1 63</v>
      </c>
      <c r="Y49" s="39">
        <f t="shared" ref="Y49:Y54" si="44">IF(I49="","",IF(A49="H",10^(0.794358141*LOG(I49/174.393)^2)*T49,IF(A49="F",10^(0.89726074*LOG(I49/148.026)^2)*T49,"")))</f>
        <v>164.31192597057972</v>
      </c>
      <c r="Z49" s="45"/>
      <c r="AA49" s="45" t="s">
        <v>12</v>
      </c>
      <c r="AB49" s="3">
        <f>T49-HLOOKUP(X49,Feuil1!$C$1:$BL$10,2,FALSE)</f>
        <v>75</v>
      </c>
      <c r="AC49" s="3">
        <f>T49-HLOOKUP(X49,Feuil1!$C$1:$BL$10,3,FALSE)</f>
        <v>65</v>
      </c>
      <c r="AD49" s="3">
        <f>T49-HLOOKUP(X49,Feuil1!$C$1:$BL$10,4,FALSE)</f>
        <v>55</v>
      </c>
      <c r="AE49" s="3">
        <f>T49-HLOOKUP(X49,Feuil1!$C$1:$BL$10,5,FALSE)</f>
        <v>45</v>
      </c>
      <c r="AF49" s="3">
        <f>T49-HLOOKUP(X49,Feuil1!$C$1:$BL$10,6,FALSE)</f>
        <v>35</v>
      </c>
      <c r="AG49" s="3">
        <f>T49-HLOOKUP(X49,Feuil1!$C$1:$BL$10,7,FALSE)</f>
        <v>25</v>
      </c>
      <c r="AH49" s="3">
        <f>T49-HLOOKUP(X49,Feuil1!$C$1:$BL$10,8,FALSE)</f>
        <v>10</v>
      </c>
      <c r="AI49" s="3">
        <f>T49-HLOOKUP(X49,Feuil1!$C$1:$BL$10,9,FALSE)</f>
        <v>-5</v>
      </c>
      <c r="AJ49" s="3">
        <f>T49-HLOOKUP(X49,Feuil1!$C$1:$BL$10,10,FALSE)</f>
        <v>-880</v>
      </c>
      <c r="AQ49" s="5" t="str">
        <f t="shared" ref="AQ49:AQ54" si="45">IF(AJ49&gt;=0,$AJ$1,IF(AI49&gt;=0,$AI$1,IF(AH49&gt;=0,$AH$1,IF(AG49&gt;=0,$AG$1,IF(AF49&gt;=0,$AF$1,IF(AE49&gt;=0,$AE$1,IF(AD49&gt;=0,$AD$1,IF(AC49&gt;=0,$AC$1,$AB$1))))))))</f>
        <v>INTB +</v>
      </c>
    </row>
    <row r="50" spans="1:55" ht="21" hidden="1" x14ac:dyDescent="0.2">
      <c r="A50" s="12" t="s">
        <v>69</v>
      </c>
      <c r="B50" s="67" t="s">
        <v>536</v>
      </c>
      <c r="C50" s="68" t="s">
        <v>541</v>
      </c>
      <c r="D50" s="69">
        <v>2</v>
      </c>
      <c r="E50" s="70">
        <v>277040</v>
      </c>
      <c r="F50" s="71" t="s">
        <v>542</v>
      </c>
      <c r="G50" s="71" t="s">
        <v>543</v>
      </c>
      <c r="H50" s="72">
        <v>2000</v>
      </c>
      <c r="I50" s="73">
        <v>58.1</v>
      </c>
      <c r="J50" s="68" t="s">
        <v>544</v>
      </c>
      <c r="K50" s="74" t="s">
        <v>69</v>
      </c>
      <c r="L50" s="75">
        <v>29</v>
      </c>
      <c r="M50" s="75">
        <v>31</v>
      </c>
      <c r="N50" s="75">
        <v>33</v>
      </c>
      <c r="O50" s="76">
        <f t="shared" si="38"/>
        <v>33</v>
      </c>
      <c r="P50" s="75">
        <v>39</v>
      </c>
      <c r="Q50" s="75">
        <v>42</v>
      </c>
      <c r="R50" s="75">
        <v>45</v>
      </c>
      <c r="S50" s="76">
        <f t="shared" si="39"/>
        <v>45</v>
      </c>
      <c r="T50" s="77">
        <f t="shared" si="40"/>
        <v>78</v>
      </c>
      <c r="U50" s="78">
        <f t="shared" si="41"/>
        <v>-38.200000000000003</v>
      </c>
      <c r="V50" s="79" t="str">
        <f t="shared" si="42"/>
        <v>IRG +</v>
      </c>
      <c r="W50" s="80">
        <f t="shared" si="43"/>
        <v>3</v>
      </c>
      <c r="X50" s="81" t="str">
        <f>IF(I50="","",IF(A50="H",IF(OR(H50="SEN",H50&lt;1995),VLOOKUP(I50,Feuil1!$A$11:$G$29,6),IF(AND(H50&gt;1994,H50&lt;1998),VLOOKUP(I50,Feuil1!$A$11:$G$29,5),IF(AND(H50&gt;1997,H50&lt;2000),VLOOKUP(I50,Feuil1!$A$11:$G$29,4),IF(AND(H50&gt;1999,H50&lt;2002),VLOOKUP(I50,Feuil1!$A$11:$G$29,3),VLOOKUP(I50,Feuil1!$A$11:$G$29,2))))),IF(OR(H50="SEN",H50&lt;1995),VLOOKUP(I50,Feuil1!$G$11:$L$25,6),IF(AND(H50&gt;1994,H50&lt;1998),VLOOKUP(I50,Feuil1!$G$11:$L$25,5),IF(AND(H50&gt;1997,H50&lt;2000),VLOOKUP(I50,Feuil1!$G$11:$L$25,4),IF(AND(H50&gt;1999,H50&lt;2002),VLOOKUP(I50,Feuil1!$G$11:$L$25,3),VLOOKUP(I50,Feuil1!$G$11:$L$25,2)))))))</f>
        <v>FC1 63</v>
      </c>
      <c r="Y50" s="39">
        <f t="shared" si="44"/>
        <v>109.67646217997739</v>
      </c>
      <c r="Z50" s="45"/>
      <c r="AA50" s="45" t="s">
        <v>12</v>
      </c>
      <c r="AB50" s="3">
        <f>T50-HLOOKUP(X50,Feuil1!$C$1:$BL$10,2,FALSE)</f>
        <v>33</v>
      </c>
      <c r="AC50" s="3">
        <f>T50-HLOOKUP(X50,Feuil1!$C$1:$BL$10,3,FALSE)</f>
        <v>23</v>
      </c>
      <c r="AD50" s="3">
        <f>T50-HLOOKUP(X50,Feuil1!$C$1:$BL$10,4,FALSE)</f>
        <v>13</v>
      </c>
      <c r="AE50" s="3">
        <f>T50-HLOOKUP(X50,Feuil1!$C$1:$BL$10,5,FALSE)</f>
        <v>3</v>
      </c>
      <c r="AF50" s="3">
        <f>T50-HLOOKUP(X50,Feuil1!$C$1:$BL$10,6,FALSE)</f>
        <v>-7</v>
      </c>
      <c r="AG50" s="3">
        <f>T50-HLOOKUP(X50,Feuil1!$C$1:$BL$10,7,FALSE)</f>
        <v>-17</v>
      </c>
      <c r="AH50" s="3">
        <f>T50-HLOOKUP(X50,Feuil1!$C$1:$BL$10,8,FALSE)</f>
        <v>-32</v>
      </c>
      <c r="AI50" s="3">
        <f>T50-HLOOKUP(X50,Feuil1!$C$1:$BL$10,9,FALSE)</f>
        <v>-47</v>
      </c>
      <c r="AJ50" s="3">
        <f>T50-HLOOKUP(X50,Feuil1!$C$1:$BL$10,10,FALSE)</f>
        <v>-922</v>
      </c>
      <c r="AQ50" s="5" t="str">
        <f t="shared" si="45"/>
        <v>IRG +</v>
      </c>
      <c r="BC50" s="13"/>
    </row>
    <row r="51" spans="1:55" ht="21" hidden="1" x14ac:dyDescent="0.2">
      <c r="A51" s="12" t="s">
        <v>69</v>
      </c>
      <c r="B51" s="18" t="s">
        <v>71</v>
      </c>
      <c r="C51" s="19" t="s">
        <v>997</v>
      </c>
      <c r="D51" s="61">
        <v>3</v>
      </c>
      <c r="E51" s="35">
        <v>332457</v>
      </c>
      <c r="F51" s="20" t="s">
        <v>998</v>
      </c>
      <c r="G51" s="20" t="s">
        <v>999</v>
      </c>
      <c r="H51" s="51">
        <v>2001</v>
      </c>
      <c r="I51" s="30">
        <v>59.7</v>
      </c>
      <c r="J51" s="19" t="s">
        <v>996</v>
      </c>
      <c r="K51" s="34" t="s">
        <v>69</v>
      </c>
      <c r="L51" s="31">
        <v>25</v>
      </c>
      <c r="M51" s="31">
        <v>27</v>
      </c>
      <c r="N51" s="31">
        <v>-30</v>
      </c>
      <c r="O51" s="36">
        <f t="shared" si="38"/>
        <v>27</v>
      </c>
      <c r="P51" s="66">
        <v>35</v>
      </c>
      <c r="Q51" s="31">
        <v>40</v>
      </c>
      <c r="R51" s="66">
        <v>42</v>
      </c>
      <c r="S51" s="36">
        <f t="shared" si="39"/>
        <v>42</v>
      </c>
      <c r="T51" s="37">
        <f t="shared" si="40"/>
        <v>69</v>
      </c>
      <c r="U51" s="65">
        <f t="shared" si="41"/>
        <v>-50.400000000000006</v>
      </c>
      <c r="V51" s="41" t="str">
        <f t="shared" si="42"/>
        <v>REG +</v>
      </c>
      <c r="W51" s="33">
        <f t="shared" si="43"/>
        <v>4</v>
      </c>
      <c r="X51" s="40" t="str">
        <f>IF(I51="","",IF(A51="H",IF(OR(H51="SEN",H51&lt;1995),VLOOKUP(I51,Feuil1!$A$11:$G$29,6),IF(AND(H51&gt;1994,H51&lt;1998),VLOOKUP(I51,Feuil1!$A$11:$G$29,5),IF(AND(H51&gt;1997,H51&lt;2000),VLOOKUP(I51,Feuil1!$A$11:$G$29,4),IF(AND(H51&gt;1999,H51&lt;2002),VLOOKUP(I51,Feuil1!$A$11:$G$29,3),VLOOKUP(I51,Feuil1!$A$11:$G$29,2))))),IF(OR(H51="SEN",H51&lt;1995),VLOOKUP(I51,Feuil1!$G$11:$L$25,6),IF(AND(H51&gt;1994,H51&lt;1998),VLOOKUP(I51,Feuil1!$G$11:$L$25,5),IF(AND(H51&gt;1997,H51&lt;2000),VLOOKUP(I51,Feuil1!$G$11:$L$25,4),IF(AND(H51&gt;1999,H51&lt;2002),VLOOKUP(I51,Feuil1!$G$11:$L$25,3),VLOOKUP(I51,Feuil1!$G$11:$L$25,2)))))))</f>
        <v>FC1 63</v>
      </c>
      <c r="Y51" s="39">
        <f t="shared" si="44"/>
        <v>95.146651600508974</v>
      </c>
      <c r="Z51" s="45"/>
      <c r="AA51" s="45" t="s">
        <v>12</v>
      </c>
      <c r="AB51" s="3">
        <f>T51-HLOOKUP(X51,Feuil1!$C$1:$BL$10,2,FALSE)</f>
        <v>24</v>
      </c>
      <c r="AC51" s="3">
        <f>T51-HLOOKUP(X51,Feuil1!$C$1:$BL$10,3,FALSE)</f>
        <v>14</v>
      </c>
      <c r="AD51" s="3">
        <f>T51-HLOOKUP(X51,Feuil1!$C$1:$BL$10,4,FALSE)</f>
        <v>4</v>
      </c>
      <c r="AE51" s="3">
        <f>T51-HLOOKUP(X51,Feuil1!$C$1:$BL$10,5,FALSE)</f>
        <v>-6</v>
      </c>
      <c r="AF51" s="3">
        <f>T51-HLOOKUP(X51,Feuil1!$C$1:$BL$10,6,FALSE)</f>
        <v>-16</v>
      </c>
      <c r="AG51" s="3">
        <f>T51-HLOOKUP(X51,Feuil1!$C$1:$BL$10,7,FALSE)</f>
        <v>-26</v>
      </c>
      <c r="AH51" s="3">
        <f>T51-HLOOKUP(X51,Feuil1!$C$1:$BL$10,8,FALSE)</f>
        <v>-41</v>
      </c>
      <c r="AI51" s="3">
        <f>T51-HLOOKUP(X51,Feuil1!$C$1:$BL$10,9,FALSE)</f>
        <v>-56</v>
      </c>
      <c r="AJ51" s="3">
        <f>T51-HLOOKUP(X51,Feuil1!$C$1:$BL$10,10,FALSE)</f>
        <v>-931</v>
      </c>
      <c r="AQ51" s="5" t="str">
        <f t="shared" si="45"/>
        <v>REG +</v>
      </c>
    </row>
    <row r="52" spans="1:55" ht="21" hidden="1" x14ac:dyDescent="0.2">
      <c r="A52" s="12" t="s">
        <v>69</v>
      </c>
      <c r="B52" s="67" t="s">
        <v>721</v>
      </c>
      <c r="C52" s="68" t="s">
        <v>689</v>
      </c>
      <c r="D52" s="69">
        <v>4</v>
      </c>
      <c r="E52" s="70">
        <v>381211</v>
      </c>
      <c r="F52" s="71" t="s">
        <v>693</v>
      </c>
      <c r="G52" s="71" t="s">
        <v>415</v>
      </c>
      <c r="H52" s="72">
        <v>2001</v>
      </c>
      <c r="I52" s="73">
        <v>59.9</v>
      </c>
      <c r="J52" s="68" t="s">
        <v>694</v>
      </c>
      <c r="K52" s="74" t="s">
        <v>69</v>
      </c>
      <c r="L52" s="75">
        <v>20</v>
      </c>
      <c r="M52" s="75">
        <v>23</v>
      </c>
      <c r="N52" s="75">
        <v>26</v>
      </c>
      <c r="O52" s="76">
        <f t="shared" si="38"/>
        <v>26</v>
      </c>
      <c r="P52" s="75">
        <v>29</v>
      </c>
      <c r="Q52" s="75">
        <v>32</v>
      </c>
      <c r="R52" s="75">
        <v>-35</v>
      </c>
      <c r="S52" s="76">
        <f t="shared" si="39"/>
        <v>32</v>
      </c>
      <c r="T52" s="77">
        <f t="shared" si="40"/>
        <v>58</v>
      </c>
      <c r="U52" s="78">
        <f t="shared" si="41"/>
        <v>-61.8</v>
      </c>
      <c r="V52" s="79" t="str">
        <f t="shared" si="42"/>
        <v>DEP +</v>
      </c>
      <c r="W52" s="80">
        <f t="shared" si="43"/>
        <v>3</v>
      </c>
      <c r="X52" s="81" t="str">
        <f>IF(I52="","",IF(A52="H",IF(OR(H52="SEN",H52&lt;1995),VLOOKUP(I52,Feuil1!$A$11:$G$29,6),IF(AND(H52&gt;1994,H52&lt;1998),VLOOKUP(I52,Feuil1!$A$11:$G$29,5),IF(AND(H52&gt;1997,H52&lt;2000),VLOOKUP(I52,Feuil1!$A$11:$G$29,4),IF(AND(H52&gt;1999,H52&lt;2002),VLOOKUP(I52,Feuil1!$A$11:$G$29,3),VLOOKUP(I52,Feuil1!$A$11:$G$29,2))))),IF(OR(H52="SEN",H52&lt;1995),VLOOKUP(I52,Feuil1!$G$11:$L$25,6),IF(AND(H52&gt;1994,H52&lt;1998),VLOOKUP(I52,Feuil1!$G$11:$L$25,5),IF(AND(H52&gt;1997,H52&lt;2000),VLOOKUP(I52,Feuil1!$G$11:$L$25,4),IF(AND(H52&gt;1999,H52&lt;2002),VLOOKUP(I52,Feuil1!$G$11:$L$25,3),VLOOKUP(I52,Feuil1!$G$11:$L$25,2)))))))</f>
        <v>FC1 63</v>
      </c>
      <c r="Y52" s="39">
        <f t="shared" si="44"/>
        <v>79.78961794300956</v>
      </c>
      <c r="Z52" s="45"/>
      <c r="AA52" s="45" t="s">
        <v>12</v>
      </c>
      <c r="AB52" s="3">
        <f>T52-HLOOKUP(X52,Feuil1!$C$1:$BL$10,2,FALSE)</f>
        <v>13</v>
      </c>
      <c r="AC52" s="3">
        <f>T52-HLOOKUP(X52,Feuil1!$C$1:$BL$10,3,FALSE)</f>
        <v>3</v>
      </c>
      <c r="AD52" s="3">
        <f>T52-HLOOKUP(X52,Feuil1!$C$1:$BL$10,4,FALSE)</f>
        <v>-7</v>
      </c>
      <c r="AE52" s="3">
        <f>T52-HLOOKUP(X52,Feuil1!$C$1:$BL$10,5,FALSE)</f>
        <v>-17</v>
      </c>
      <c r="AF52" s="3">
        <f>T52-HLOOKUP(X52,Feuil1!$C$1:$BL$10,6,FALSE)</f>
        <v>-27</v>
      </c>
      <c r="AG52" s="3">
        <f>T52-HLOOKUP(X52,Feuil1!$C$1:$BL$10,7,FALSE)</f>
        <v>-37</v>
      </c>
      <c r="AH52" s="3">
        <f>T52-HLOOKUP(X52,Feuil1!$C$1:$BL$10,8,FALSE)</f>
        <v>-52</v>
      </c>
      <c r="AI52" s="3">
        <f>T52-HLOOKUP(X52,Feuil1!$C$1:$BL$10,9,FALSE)</f>
        <v>-67</v>
      </c>
      <c r="AJ52" s="3">
        <f>T52-HLOOKUP(X52,Feuil1!$C$1:$BL$10,10,FALSE)</f>
        <v>-942</v>
      </c>
      <c r="AQ52" s="5" t="str">
        <f t="shared" si="45"/>
        <v>DEP +</v>
      </c>
      <c r="BC52" s="13"/>
    </row>
    <row r="53" spans="1:55" ht="21" hidden="1" x14ac:dyDescent="0.2">
      <c r="A53" s="12" t="s">
        <v>69</v>
      </c>
      <c r="B53" s="18" t="s">
        <v>721</v>
      </c>
      <c r="C53" s="19" t="s">
        <v>689</v>
      </c>
      <c r="D53" s="61">
        <v>5</v>
      </c>
      <c r="E53" s="35">
        <v>378676</v>
      </c>
      <c r="F53" s="20" t="s">
        <v>695</v>
      </c>
      <c r="G53" s="20" t="s">
        <v>696</v>
      </c>
      <c r="H53" s="51">
        <v>2001</v>
      </c>
      <c r="I53" s="30">
        <v>62.8</v>
      </c>
      <c r="J53" s="19" t="s">
        <v>697</v>
      </c>
      <c r="K53" s="34" t="s">
        <v>69</v>
      </c>
      <c r="L53" s="31">
        <v>22</v>
      </c>
      <c r="M53" s="31">
        <v>-25</v>
      </c>
      <c r="N53" s="31">
        <v>-25</v>
      </c>
      <c r="O53" s="36">
        <f t="shared" si="38"/>
        <v>22</v>
      </c>
      <c r="P53" s="31">
        <v>28</v>
      </c>
      <c r="Q53" s="31">
        <v>30</v>
      </c>
      <c r="R53" s="31">
        <v>32</v>
      </c>
      <c r="S53" s="36">
        <f t="shared" si="39"/>
        <v>32</v>
      </c>
      <c r="T53" s="37">
        <f t="shared" si="40"/>
        <v>54</v>
      </c>
      <c r="U53" s="65">
        <f t="shared" si="41"/>
        <v>-71.599999999999994</v>
      </c>
      <c r="V53" s="41" t="str">
        <f t="shared" si="42"/>
        <v xml:space="preserve">DEB </v>
      </c>
      <c r="W53" s="33">
        <f t="shared" si="43"/>
        <v>9</v>
      </c>
      <c r="X53" s="40" t="str">
        <f>IF(I53="","",IF(A53="H",IF(OR(H53="SEN",H53&lt;1995),VLOOKUP(I53,Feuil1!$A$11:$G$29,6),IF(AND(H53&gt;1994,H53&lt;1998),VLOOKUP(I53,Feuil1!$A$11:$G$29,5),IF(AND(H53&gt;1997,H53&lt;2000),VLOOKUP(I53,Feuil1!$A$11:$G$29,4),IF(AND(H53&gt;1999,H53&lt;2002),VLOOKUP(I53,Feuil1!$A$11:$G$29,3),VLOOKUP(I53,Feuil1!$A$11:$G$29,2))))),IF(OR(H53="SEN",H53&lt;1995),VLOOKUP(I53,Feuil1!$G$11:$L$25,6),IF(AND(H53&gt;1994,H53&lt;1998),VLOOKUP(I53,Feuil1!$G$11:$L$25,5),IF(AND(H53&gt;1997,H53&lt;2000),VLOOKUP(I53,Feuil1!$G$11:$L$25,4),IF(AND(H53&gt;1999,H53&lt;2002),VLOOKUP(I53,Feuil1!$G$11:$L$25,3),VLOOKUP(I53,Feuil1!$G$11:$L$25,2)))))))</f>
        <v>FC1 63</v>
      </c>
      <c r="Y53" s="39">
        <f t="shared" si="44"/>
        <v>71.913925729833736</v>
      </c>
      <c r="Z53" s="45"/>
      <c r="AA53" s="45" t="s">
        <v>12</v>
      </c>
      <c r="AB53" s="3">
        <f>T53-HLOOKUP(X53,Feuil1!$C$1:$BL$10,2,FALSE)</f>
        <v>9</v>
      </c>
      <c r="AC53" s="3">
        <f>T53-HLOOKUP(X53,Feuil1!$C$1:$BL$10,3,FALSE)</f>
        <v>-1</v>
      </c>
      <c r="AD53" s="3">
        <f>T53-HLOOKUP(X53,Feuil1!$C$1:$BL$10,4,FALSE)</f>
        <v>-11</v>
      </c>
      <c r="AE53" s="3">
        <f>T53-HLOOKUP(X53,Feuil1!$C$1:$BL$10,5,FALSE)</f>
        <v>-21</v>
      </c>
      <c r="AF53" s="3">
        <f>T53-HLOOKUP(X53,Feuil1!$C$1:$BL$10,6,FALSE)</f>
        <v>-31</v>
      </c>
      <c r="AG53" s="3">
        <f>T53-HLOOKUP(X53,Feuil1!$C$1:$BL$10,7,FALSE)</f>
        <v>-41</v>
      </c>
      <c r="AH53" s="3">
        <f>T53-HLOOKUP(X53,Feuil1!$C$1:$BL$10,8,FALSE)</f>
        <v>-56</v>
      </c>
      <c r="AI53" s="3">
        <f>T53-HLOOKUP(X53,Feuil1!$C$1:$BL$10,9,FALSE)</f>
        <v>-71</v>
      </c>
      <c r="AJ53" s="3">
        <f>T53-HLOOKUP(X53,Feuil1!$C$1:$BL$10,10,FALSE)</f>
        <v>-946</v>
      </c>
      <c r="AQ53" s="5" t="str">
        <f t="shared" si="45"/>
        <v xml:space="preserve">DEB </v>
      </c>
      <c r="BC53" s="13"/>
    </row>
    <row r="54" spans="1:55" ht="21" hidden="1" x14ac:dyDescent="0.2">
      <c r="A54" s="12" t="s">
        <v>69</v>
      </c>
      <c r="B54" s="18" t="s">
        <v>721</v>
      </c>
      <c r="C54" s="19" t="s">
        <v>689</v>
      </c>
      <c r="D54" s="61">
        <v>6</v>
      </c>
      <c r="E54" s="35">
        <v>394300</v>
      </c>
      <c r="F54" s="20" t="s">
        <v>698</v>
      </c>
      <c r="G54" s="20" t="s">
        <v>590</v>
      </c>
      <c r="H54" s="51">
        <v>2001</v>
      </c>
      <c r="I54" s="30">
        <v>61.3</v>
      </c>
      <c r="J54" s="19" t="s">
        <v>694</v>
      </c>
      <c r="K54" s="34" t="s">
        <v>69</v>
      </c>
      <c r="L54" s="31">
        <v>30</v>
      </c>
      <c r="M54" s="31">
        <v>-33</v>
      </c>
      <c r="N54" s="31">
        <v>33</v>
      </c>
      <c r="O54" s="36">
        <f t="shared" si="38"/>
        <v>33</v>
      </c>
      <c r="P54" s="31">
        <v>-38</v>
      </c>
      <c r="Q54" s="31">
        <v>-38</v>
      </c>
      <c r="R54" s="31">
        <v>-42</v>
      </c>
      <c r="S54" s="36">
        <f t="shared" si="39"/>
        <v>0</v>
      </c>
      <c r="T54" s="37">
        <f t="shared" si="40"/>
        <v>0</v>
      </c>
      <c r="U54" s="65">
        <f t="shared" si="41"/>
        <v>-122.6</v>
      </c>
      <c r="V54" s="41" t="str">
        <f t="shared" si="42"/>
        <v xml:space="preserve">DEB </v>
      </c>
      <c r="W54" s="33">
        <f t="shared" si="43"/>
        <v>-45</v>
      </c>
      <c r="X54" s="40" t="str">
        <f>IF(I54="","",IF(A54="H",IF(OR(H54="SEN",H54&lt;1995),VLOOKUP(I54,Feuil1!$A$11:$G$29,6),IF(AND(H54&gt;1994,H54&lt;1998),VLOOKUP(I54,Feuil1!$A$11:$G$29,5),IF(AND(H54&gt;1997,H54&lt;2000),VLOOKUP(I54,Feuil1!$A$11:$G$29,4),IF(AND(H54&gt;1999,H54&lt;2002),VLOOKUP(I54,Feuil1!$A$11:$G$29,3),VLOOKUP(I54,Feuil1!$A$11:$G$29,2))))),IF(OR(H54="SEN",H54&lt;1995),VLOOKUP(I54,Feuil1!$G$11:$L$25,6),IF(AND(H54&gt;1994,H54&lt;1998),VLOOKUP(I54,Feuil1!$G$11:$L$25,5),IF(AND(H54&gt;1997,H54&lt;2000),VLOOKUP(I54,Feuil1!$G$11:$L$25,4),IF(AND(H54&gt;1999,H54&lt;2002),VLOOKUP(I54,Feuil1!$G$11:$L$25,3),VLOOKUP(I54,Feuil1!$G$11:$L$25,2)))))))</f>
        <v>FC1 63</v>
      </c>
      <c r="Y54" s="39">
        <f t="shared" si="44"/>
        <v>0</v>
      </c>
      <c r="Z54" s="45"/>
      <c r="AA54" s="45" t="s">
        <v>12</v>
      </c>
      <c r="AB54" s="3">
        <f>T54-HLOOKUP(X54,Feuil1!$C$1:$BL$10,2,FALSE)</f>
        <v>-45</v>
      </c>
      <c r="AC54" s="3">
        <f>T54-HLOOKUP(X54,Feuil1!$C$1:$BL$10,3,FALSE)</f>
        <v>-55</v>
      </c>
      <c r="AD54" s="3">
        <f>T54-HLOOKUP(X54,Feuil1!$C$1:$BL$10,4,FALSE)</f>
        <v>-65</v>
      </c>
      <c r="AE54" s="3">
        <f>T54-HLOOKUP(X54,Feuil1!$C$1:$BL$10,5,FALSE)</f>
        <v>-75</v>
      </c>
      <c r="AF54" s="3">
        <f>T54-HLOOKUP(X54,Feuil1!$C$1:$BL$10,6,FALSE)</f>
        <v>-85</v>
      </c>
      <c r="AG54" s="3">
        <f>T54-HLOOKUP(X54,Feuil1!$C$1:$BL$10,7,FALSE)</f>
        <v>-95</v>
      </c>
      <c r="AH54" s="3">
        <f>T54-HLOOKUP(X54,Feuil1!$C$1:$BL$10,8,FALSE)</f>
        <v>-110</v>
      </c>
      <c r="AI54" s="3">
        <f>T54-HLOOKUP(X54,Feuil1!$C$1:$BL$10,9,FALSE)</f>
        <v>-125</v>
      </c>
      <c r="AJ54" s="3">
        <f>T54-HLOOKUP(X54,Feuil1!$C$1:$BL$10,10,FALSE)</f>
        <v>-1000</v>
      </c>
      <c r="AQ54" s="5" t="str">
        <f t="shared" si="45"/>
        <v xml:space="preserve">DEB </v>
      </c>
      <c r="BC54" s="13"/>
    </row>
    <row r="55" spans="1:55" s="13" customFormat="1" ht="15" hidden="1" customHeight="1" thickBot="1" x14ac:dyDescent="0.25">
      <c r="A55" s="89"/>
      <c r="B55" s="90"/>
      <c r="C55" s="91"/>
      <c r="D55" s="92"/>
      <c r="E55" s="93"/>
      <c r="F55" s="94"/>
      <c r="G55" s="94"/>
      <c r="H55" s="95"/>
      <c r="I55" s="96"/>
      <c r="J55" s="91"/>
      <c r="K55" s="97"/>
      <c r="L55" s="98"/>
      <c r="M55" s="98"/>
      <c r="N55" s="98"/>
      <c r="O55" s="99"/>
      <c r="P55" s="98"/>
      <c r="Q55" s="98"/>
      <c r="R55" s="98"/>
      <c r="S55" s="99"/>
      <c r="T55" s="100"/>
      <c r="U55" s="101"/>
      <c r="V55" s="102"/>
      <c r="W55" s="103"/>
      <c r="X55" s="104"/>
      <c r="Y55" s="105"/>
      <c r="Z55" s="45"/>
      <c r="AA55" s="45" t="s">
        <v>12</v>
      </c>
      <c r="AB55" s="3" t="e">
        <f>T55-HLOOKUP(X55,Feuil1!$C$1:$BL$10,2,FALSE)</f>
        <v>#N/A</v>
      </c>
      <c r="AC55" s="3" t="e">
        <f>T55-HLOOKUP(X55,Feuil1!$C$1:$BL$10,3,FALSE)</f>
        <v>#N/A</v>
      </c>
      <c r="AD55" s="3" t="e">
        <f>T55-HLOOKUP(X55,Feuil1!$C$1:$BL$10,4,FALSE)</f>
        <v>#N/A</v>
      </c>
      <c r="AE55" s="3" t="e">
        <f>T55-HLOOKUP(X55,Feuil1!$C$1:$BL$10,5,FALSE)</f>
        <v>#N/A</v>
      </c>
      <c r="AF55" s="3" t="e">
        <f>T55-HLOOKUP(X55,Feuil1!$C$1:$BL$10,6,FALSE)</f>
        <v>#N/A</v>
      </c>
      <c r="AG55" s="3" t="e">
        <f>T55-HLOOKUP(X55,Feuil1!$C$1:$BL$10,7,FALSE)</f>
        <v>#N/A</v>
      </c>
      <c r="AH55" s="3" t="e">
        <f>T55-HLOOKUP(X55,Feuil1!$C$1:$BL$10,8,FALSE)</f>
        <v>#N/A</v>
      </c>
      <c r="AI55" s="3" t="e">
        <f>T55-HLOOKUP(X55,Feuil1!$C$1:$BL$10,9,FALSE)</f>
        <v>#N/A</v>
      </c>
      <c r="AJ55" s="3" t="e">
        <f>T55-HLOOKUP(X55,Feuil1!$C$1:$BL$10,10,FALSE)</f>
        <v>#N/A</v>
      </c>
      <c r="AK55" s="5"/>
      <c r="AL55" s="5"/>
      <c r="AM55" s="5"/>
      <c r="AN55" s="5"/>
      <c r="AO55" s="5"/>
      <c r="AP55" s="5"/>
      <c r="AQ55" s="5" t="e">
        <f t="shared" ref="AQ55" si="46">IF(AJ55&gt;=0,$AJ$1,IF(AI55&gt;=0,$AI$1,IF(AH55&gt;=0,$AH$1,IF(AG55&gt;=0,$AG$1,IF(AF55&gt;=0,$AF$1,IF(AE55&gt;=0,$AE$1,IF(AD55&gt;=0,$AD$1,IF(AC55&gt;=0,$AC$1,$AB$1))))))))</f>
        <v>#N/A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</row>
    <row r="56" spans="1:55" s="13" customFormat="1" ht="21" hidden="1" x14ac:dyDescent="0.2">
      <c r="A56" s="12" t="s">
        <v>69</v>
      </c>
      <c r="B56" s="18" t="s">
        <v>298</v>
      </c>
      <c r="C56" s="19" t="s">
        <v>404</v>
      </c>
      <c r="D56" s="61">
        <v>1</v>
      </c>
      <c r="E56" s="35">
        <v>300212</v>
      </c>
      <c r="F56" s="20" t="s">
        <v>405</v>
      </c>
      <c r="G56" s="20" t="s">
        <v>291</v>
      </c>
      <c r="H56" s="51">
        <v>2000</v>
      </c>
      <c r="I56" s="30">
        <v>66.2</v>
      </c>
      <c r="J56" s="19" t="s">
        <v>406</v>
      </c>
      <c r="K56" s="34" t="s">
        <v>69</v>
      </c>
      <c r="L56" s="31">
        <v>37</v>
      </c>
      <c r="M56" s="31">
        <v>39</v>
      </c>
      <c r="N56" s="31">
        <v>-41</v>
      </c>
      <c r="O56" s="36">
        <f>IF(H56="","",IF(MAXA(L56:N56)&lt;=0,0,MAXA(L56:N56)))</f>
        <v>39</v>
      </c>
      <c r="P56" s="31">
        <v>50</v>
      </c>
      <c r="Q56" s="31">
        <v>53</v>
      </c>
      <c r="R56" s="31">
        <v>56</v>
      </c>
      <c r="S56" s="36">
        <f>IF(H56="","",IF(MAXA(P56:R56)&lt;=0,0,MAXA(P56:R56)))</f>
        <v>56</v>
      </c>
      <c r="T56" s="37">
        <f>IF(H56="","",IF(OR(O56=0,S56=0),0,O56+S56))</f>
        <v>95</v>
      </c>
      <c r="U56" s="65">
        <f>T56-I56*2</f>
        <v>-37.400000000000006</v>
      </c>
      <c r="V56" s="41" t="str">
        <f>IF(H56="","",AQ56)</f>
        <v>FED +</v>
      </c>
      <c r="W56" s="33">
        <f>IF(AJ56&gt;=0,AJ56,IF(AI56&gt;=0,AI56,IF(AH56&gt;=0,AH56,IF(AG56&gt;=0,AG56,IF(AF56&gt;=0,AF56,IF(AE56&gt;=0,AE56,IF(AD56&gt;=0,AD56,IF(AC56&gt;=0,AC56,AB56))))))))</f>
        <v>5</v>
      </c>
      <c r="X56" s="40" t="str">
        <f>IF(I56="","",IF(A56="H",IF(OR(H56="SEN",H56&lt;1995),VLOOKUP(I56,Feuil1!$A$11:$G$29,6),IF(AND(H56&gt;1994,H56&lt;1998),VLOOKUP(I56,Feuil1!$A$11:$G$29,5),IF(AND(H56&gt;1997,H56&lt;2000),VLOOKUP(I56,Feuil1!$A$11:$G$29,4),IF(AND(H56&gt;1999,H56&lt;2002),VLOOKUP(I56,Feuil1!$A$11:$G$29,3),VLOOKUP(I56,Feuil1!$A$11:$G$29,2))))),IF(OR(H56="SEN",H56&lt;1995),VLOOKUP(I56,Feuil1!$G$11:$L$25,6),IF(AND(H56&gt;1994,H56&lt;1998),VLOOKUP(I56,Feuil1!$G$11:$L$25,5),IF(AND(H56&gt;1997,H56&lt;2000),VLOOKUP(I56,Feuil1!$G$11:$L$25,4),IF(AND(H56&gt;1999,H56&lt;2002),VLOOKUP(I56,Feuil1!$G$11:$L$25,3),VLOOKUP(I56,Feuil1!$G$11:$L$25,2)))))))</f>
        <v>FC1 69</v>
      </c>
      <c r="Y56" s="39">
        <f>IF(I56="","",IF(A56="H",10^(0.794358141*LOG(I56/174.393)^2)*T56,IF(A56="F",10^(0.89726074*LOG(I56/148.026)^2)*T56,"")))</f>
        <v>122.26768645359543</v>
      </c>
      <c r="Z56" s="45"/>
      <c r="AA56" s="45" t="s">
        <v>12</v>
      </c>
      <c r="AB56" s="3">
        <f>T56-HLOOKUP(X56,Feuil1!$C$1:$BL$10,2,FALSE)</f>
        <v>45</v>
      </c>
      <c r="AC56" s="3">
        <f>T56-HLOOKUP(X56,Feuil1!$C$1:$BL$10,3,FALSE)</f>
        <v>35</v>
      </c>
      <c r="AD56" s="3">
        <f>T56-HLOOKUP(X56,Feuil1!$C$1:$BL$10,4,FALSE)</f>
        <v>25</v>
      </c>
      <c r="AE56" s="3">
        <f>T56-HLOOKUP(X56,Feuil1!$C$1:$BL$10,5,FALSE)</f>
        <v>15</v>
      </c>
      <c r="AF56" s="3">
        <f>T56-HLOOKUP(X56,Feuil1!$C$1:$BL$10,6,FALSE)</f>
        <v>5</v>
      </c>
      <c r="AG56" s="3">
        <f>T56-HLOOKUP(X56,Feuil1!$C$1:$BL$10,7,FALSE)</f>
        <v>-10</v>
      </c>
      <c r="AH56" s="3">
        <f>T56-HLOOKUP(X56,Feuil1!$C$1:$BL$10,8,FALSE)</f>
        <v>-25</v>
      </c>
      <c r="AI56" s="3">
        <f>T56-HLOOKUP(X56,Feuil1!$C$1:$BL$10,9,FALSE)</f>
        <v>-40</v>
      </c>
      <c r="AJ56" s="3">
        <f>T56-HLOOKUP(X56,Feuil1!$C$1:$BL$10,10,FALSE)</f>
        <v>-905</v>
      </c>
      <c r="AK56" s="5"/>
      <c r="AL56" s="5"/>
      <c r="AM56" s="5"/>
      <c r="AN56" s="5"/>
      <c r="AO56" s="5"/>
      <c r="AP56" s="5"/>
      <c r="AQ56" s="5" t="str">
        <f>IF(AJ56&gt;=0,$AJ$1,IF(AI56&gt;=0,$AI$1,IF(AH56&gt;=0,$AH$1,IF(AG56&gt;=0,$AG$1,IF(AF56&gt;=0,$AF$1,IF(AE56&gt;=0,$AE$1,IF(AD56&gt;=0,$AD$1,IF(AC56&gt;=0,$AC$1,$AB$1))))))))</f>
        <v>FED +</v>
      </c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</row>
    <row r="57" spans="1:55" s="13" customFormat="1" ht="21" hidden="1" x14ac:dyDescent="0.2">
      <c r="A57" s="12" t="s">
        <v>69</v>
      </c>
      <c r="B57" s="18" t="s">
        <v>71</v>
      </c>
      <c r="C57" s="19" t="s">
        <v>801</v>
      </c>
      <c r="D57" s="61">
        <v>2</v>
      </c>
      <c r="E57" s="35">
        <v>391830</v>
      </c>
      <c r="F57" s="20" t="s">
        <v>808</v>
      </c>
      <c r="G57" s="20" t="s">
        <v>805</v>
      </c>
      <c r="H57" s="51">
        <v>2000</v>
      </c>
      <c r="I57" s="30">
        <v>68.349999999999994</v>
      </c>
      <c r="J57" s="19" t="s">
        <v>806</v>
      </c>
      <c r="K57" s="34" t="s">
        <v>69</v>
      </c>
      <c r="L57" s="31">
        <v>-32</v>
      </c>
      <c r="M57" s="31">
        <v>32</v>
      </c>
      <c r="N57" s="31">
        <v>35</v>
      </c>
      <c r="O57" s="36">
        <f>IF(H57="","",IF(MAXA(L57:N57)&lt;=0,0,MAXA(L57:N57)))</f>
        <v>35</v>
      </c>
      <c r="P57" s="31">
        <v>40</v>
      </c>
      <c r="Q57" s="31">
        <v>-45</v>
      </c>
      <c r="R57" s="31">
        <v>45</v>
      </c>
      <c r="S57" s="36">
        <f>IF(H57="","",IF(MAXA(P57:R57)&lt;=0,0,MAXA(P57:R57)))</f>
        <v>45</v>
      </c>
      <c r="T57" s="37">
        <f>IF(H57="","",IF(OR(O57=0,S57=0),0,O57+S57))</f>
        <v>80</v>
      </c>
      <c r="U57" s="65">
        <f>T57-I57*2</f>
        <v>-56.699999999999989</v>
      </c>
      <c r="V57" s="41" t="str">
        <f>IF(H57="","",AQ57)</f>
        <v>IRG +</v>
      </c>
      <c r="W57" s="33">
        <f>IF(AJ57&gt;=0,AJ57,IF(AI57&gt;=0,AI57,IF(AH57&gt;=0,AH57,IF(AG57&gt;=0,AG57,IF(AF57&gt;=0,AF57,IF(AE57&gt;=0,AE57,IF(AD57&gt;=0,AD57,IF(AC57&gt;=0,AC57,AB57))))))))</f>
        <v>0</v>
      </c>
      <c r="X57" s="40" t="str">
        <f>IF(I57="","",IF(A57="H",IF(OR(H57="SEN",H57&lt;1995),VLOOKUP(I57,Feuil1!$A$11:$G$29,6),IF(AND(H57&gt;1994,H57&lt;1998),VLOOKUP(I57,Feuil1!$A$11:$G$29,5),IF(AND(H57&gt;1997,H57&lt;2000),VLOOKUP(I57,Feuil1!$A$11:$G$29,4),IF(AND(H57&gt;1999,H57&lt;2002),VLOOKUP(I57,Feuil1!$A$11:$G$29,3),VLOOKUP(I57,Feuil1!$A$11:$G$29,2))))),IF(OR(H57="SEN",H57&lt;1995),VLOOKUP(I57,Feuil1!$G$11:$L$25,6),IF(AND(H57&gt;1994,H57&lt;1998),VLOOKUP(I57,Feuil1!$G$11:$L$25,5),IF(AND(H57&gt;1997,H57&lt;2000),VLOOKUP(I57,Feuil1!$G$11:$L$25,4),IF(AND(H57&gt;1999,H57&lt;2002),VLOOKUP(I57,Feuil1!$G$11:$L$25,3),VLOOKUP(I57,Feuil1!$G$11:$L$25,2)))))))</f>
        <v>FC1 69</v>
      </c>
      <c r="Y57" s="39">
        <f>IF(I57="","",IF(A57="H",10^(0.794358141*LOG(I57/174.393)^2)*T57,IF(A57="F",10^(0.89726074*LOG(I57/148.026)^2)*T57,"")))</f>
        <v>100.95917315192297</v>
      </c>
      <c r="Z57" s="45"/>
      <c r="AA57" s="45" t="s">
        <v>12</v>
      </c>
      <c r="AB57" s="3">
        <f>T57-HLOOKUP(X57,Feuil1!$C$1:$BL$10,2,FALSE)</f>
        <v>30</v>
      </c>
      <c r="AC57" s="3">
        <f>T57-HLOOKUP(X57,Feuil1!$C$1:$BL$10,3,FALSE)</f>
        <v>20</v>
      </c>
      <c r="AD57" s="3">
        <f>T57-HLOOKUP(X57,Feuil1!$C$1:$BL$10,4,FALSE)</f>
        <v>10</v>
      </c>
      <c r="AE57" s="3">
        <f>T57-HLOOKUP(X57,Feuil1!$C$1:$BL$10,5,FALSE)</f>
        <v>0</v>
      </c>
      <c r="AF57" s="3">
        <f>T57-HLOOKUP(X57,Feuil1!$C$1:$BL$10,6,FALSE)</f>
        <v>-10</v>
      </c>
      <c r="AG57" s="3">
        <f>T57-HLOOKUP(X57,Feuil1!$C$1:$BL$10,7,FALSE)</f>
        <v>-25</v>
      </c>
      <c r="AH57" s="3">
        <f>T57-HLOOKUP(X57,Feuil1!$C$1:$BL$10,8,FALSE)</f>
        <v>-40</v>
      </c>
      <c r="AI57" s="3">
        <f>T57-HLOOKUP(X57,Feuil1!$C$1:$BL$10,9,FALSE)</f>
        <v>-55</v>
      </c>
      <c r="AJ57" s="3">
        <f>T57-HLOOKUP(X57,Feuil1!$C$1:$BL$10,10,FALSE)</f>
        <v>-920</v>
      </c>
      <c r="AK57" s="5"/>
      <c r="AL57" s="5"/>
      <c r="AM57" s="5"/>
      <c r="AN57" s="5"/>
      <c r="AO57" s="5"/>
      <c r="AP57" s="5"/>
      <c r="AQ57" s="5" t="str">
        <f>IF(AJ57&gt;=0,$AJ$1,IF(AI57&gt;=0,$AI$1,IF(AH57&gt;=0,$AH$1,IF(AG57&gt;=0,$AG$1,IF(AF57&gt;=0,$AF$1,IF(AE57&gt;=0,$AE$1,IF(AD57&gt;=0,$AD$1,IF(AC57&gt;=0,$AC$1,$AB$1))))))))</f>
        <v>IRG +</v>
      </c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</row>
    <row r="58" spans="1:55" s="13" customFormat="1" ht="21" hidden="1" x14ac:dyDescent="0.2">
      <c r="A58" s="12" t="s">
        <v>69</v>
      </c>
      <c r="B58" s="67" t="s">
        <v>721</v>
      </c>
      <c r="C58" s="68" t="s">
        <v>689</v>
      </c>
      <c r="D58" s="69">
        <v>3</v>
      </c>
      <c r="E58" s="70">
        <v>378876</v>
      </c>
      <c r="F58" s="71" t="s">
        <v>695</v>
      </c>
      <c r="G58" s="71" t="s">
        <v>699</v>
      </c>
      <c r="H58" s="72">
        <v>2001</v>
      </c>
      <c r="I58" s="73">
        <v>64.25</v>
      </c>
      <c r="J58" s="68" t="s">
        <v>697</v>
      </c>
      <c r="K58" s="74" t="s">
        <v>69</v>
      </c>
      <c r="L58" s="75">
        <v>26</v>
      </c>
      <c r="M58" s="75">
        <v>28</v>
      </c>
      <c r="N58" s="75">
        <v>-30</v>
      </c>
      <c r="O58" s="76">
        <f>IF(H58="","",IF(MAXA(L58:N58)&lt;=0,0,MAXA(L58:N58)))</f>
        <v>28</v>
      </c>
      <c r="P58" s="75">
        <v>35</v>
      </c>
      <c r="Q58" s="75">
        <v>38</v>
      </c>
      <c r="R58" s="75">
        <v>-40</v>
      </c>
      <c r="S58" s="76">
        <f>IF(H58="","",IF(MAXA(P58:R58)&lt;=0,0,MAXA(P58:R58)))</f>
        <v>38</v>
      </c>
      <c r="T58" s="77">
        <f>IF(H58="","",IF(OR(O58=0,S58=0),0,O58+S58))</f>
        <v>66</v>
      </c>
      <c r="U58" s="78">
        <f>T58-I58*2</f>
        <v>-62.5</v>
      </c>
      <c r="V58" s="79" t="str">
        <f>IF(H58="","",AQ58)</f>
        <v>DEP +</v>
      </c>
      <c r="W58" s="80">
        <f>IF(AJ58&gt;=0,AJ58,IF(AI58&gt;=0,AI58,IF(AH58&gt;=0,AH58,IF(AG58&gt;=0,AG58,IF(AF58&gt;=0,AF58,IF(AE58&gt;=0,AE58,IF(AD58&gt;=0,AD58,IF(AC58&gt;=0,AC58,AB58))))))))</f>
        <v>6</v>
      </c>
      <c r="X58" s="81" t="str">
        <f>IF(I58="","",IF(A58="H",IF(OR(H58="SEN",H58&lt;1995),VLOOKUP(I58,Feuil1!$A$11:$G$29,6),IF(AND(H58&gt;1994,H58&lt;1998),VLOOKUP(I58,Feuil1!$A$11:$G$29,5),IF(AND(H58&gt;1997,H58&lt;2000),VLOOKUP(I58,Feuil1!$A$11:$G$29,4),IF(AND(H58&gt;1999,H58&lt;2002),VLOOKUP(I58,Feuil1!$A$11:$G$29,3),VLOOKUP(I58,Feuil1!$A$11:$G$29,2))))),IF(OR(H58="SEN",H58&lt;1995),VLOOKUP(I58,Feuil1!$G$11:$L$25,6),IF(AND(H58&gt;1994,H58&lt;1998),VLOOKUP(I58,Feuil1!$G$11:$L$25,5),IF(AND(H58&gt;1997,H58&lt;2000),VLOOKUP(I58,Feuil1!$G$11:$L$25,4),IF(AND(H58&gt;1999,H58&lt;2002),VLOOKUP(I58,Feuil1!$G$11:$L$25,3),VLOOKUP(I58,Feuil1!$G$11:$L$25,2)))))))</f>
        <v>FC1 69</v>
      </c>
      <c r="Y58" s="39">
        <f>IF(I58="","",IF(A58="H",10^(0.794358141*LOG(I58/174.393)^2)*T58,IF(A58="F",10^(0.89726074*LOG(I58/148.026)^2)*T58,"")))</f>
        <v>86.581828691514687</v>
      </c>
      <c r="Z58" s="45"/>
      <c r="AA58" s="45" t="s">
        <v>12</v>
      </c>
      <c r="AB58" s="3">
        <f>T58-HLOOKUP(X58,Feuil1!$C$1:$BL$10,2,FALSE)</f>
        <v>16</v>
      </c>
      <c r="AC58" s="3">
        <f>T58-HLOOKUP(X58,Feuil1!$C$1:$BL$10,3,FALSE)</f>
        <v>6</v>
      </c>
      <c r="AD58" s="3">
        <f>T58-HLOOKUP(X58,Feuil1!$C$1:$BL$10,4,FALSE)</f>
        <v>-4</v>
      </c>
      <c r="AE58" s="3">
        <f>T58-HLOOKUP(X58,Feuil1!$C$1:$BL$10,5,FALSE)</f>
        <v>-14</v>
      </c>
      <c r="AF58" s="3">
        <f>T58-HLOOKUP(X58,Feuil1!$C$1:$BL$10,6,FALSE)</f>
        <v>-24</v>
      </c>
      <c r="AG58" s="3">
        <f>T58-HLOOKUP(X58,Feuil1!$C$1:$BL$10,7,FALSE)</f>
        <v>-39</v>
      </c>
      <c r="AH58" s="3">
        <f>T58-HLOOKUP(X58,Feuil1!$C$1:$BL$10,8,FALSE)</f>
        <v>-54</v>
      </c>
      <c r="AI58" s="3">
        <f>T58-HLOOKUP(X58,Feuil1!$C$1:$BL$10,9,FALSE)</f>
        <v>-69</v>
      </c>
      <c r="AJ58" s="3">
        <f>T58-HLOOKUP(X58,Feuil1!$C$1:$BL$10,10,FALSE)</f>
        <v>-934</v>
      </c>
      <c r="AK58" s="5"/>
      <c r="AL58" s="5"/>
      <c r="AM58" s="5"/>
      <c r="AN58" s="5"/>
      <c r="AO58" s="5"/>
      <c r="AP58" s="5"/>
      <c r="AQ58" s="5" t="str">
        <f>IF(AJ58&gt;=0,$AJ$1,IF(AI58&gt;=0,$AI$1,IF(AH58&gt;=0,$AH$1,IF(AG58&gt;=0,$AG$1,IF(AF58&gt;=0,$AF$1,IF(AE58&gt;=0,$AE$1,IF(AD58&gt;=0,$AD$1,IF(AC58&gt;=0,$AC$1,$AB$1))))))))</f>
        <v>DEP +</v>
      </c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</row>
    <row r="59" spans="1:55" s="13" customFormat="1" ht="21" hidden="1" x14ac:dyDescent="0.2">
      <c r="A59" s="12" t="s">
        <v>69</v>
      </c>
      <c r="B59" s="18" t="s">
        <v>298</v>
      </c>
      <c r="C59" s="19" t="s">
        <v>476</v>
      </c>
      <c r="D59" s="61">
        <v>4</v>
      </c>
      <c r="E59" s="35">
        <v>371430</v>
      </c>
      <c r="F59" s="20" t="s">
        <v>485</v>
      </c>
      <c r="G59" s="20" t="s">
        <v>486</v>
      </c>
      <c r="H59" s="51">
        <v>2000</v>
      </c>
      <c r="I59" s="30">
        <v>68.7</v>
      </c>
      <c r="J59" s="19" t="s">
        <v>484</v>
      </c>
      <c r="K59" s="34" t="s">
        <v>69</v>
      </c>
      <c r="L59" s="31">
        <v>23</v>
      </c>
      <c r="M59" s="31">
        <v>26</v>
      </c>
      <c r="N59" s="31">
        <v>28</v>
      </c>
      <c r="O59" s="36">
        <f>IF(H59="","",IF(MAXA(L59:N59)&lt;=0,0,MAXA(L59:N59)))</f>
        <v>28</v>
      </c>
      <c r="P59" s="31">
        <v>32</v>
      </c>
      <c r="Q59" s="31">
        <v>37</v>
      </c>
      <c r="R59" s="31">
        <v>-40</v>
      </c>
      <c r="S59" s="36">
        <f>IF(H59="","",IF(MAXA(P59:R59)&lt;=0,0,MAXA(P59:R59)))</f>
        <v>37</v>
      </c>
      <c r="T59" s="37">
        <f>IF(H59="","",IF(OR(O59=0,S59=0),0,O59+S59))</f>
        <v>65</v>
      </c>
      <c r="U59" s="65">
        <f>T59-I59*2</f>
        <v>-72.400000000000006</v>
      </c>
      <c r="V59" s="41" t="str">
        <f>IF(H59="","",AQ59)</f>
        <v>DEP +</v>
      </c>
      <c r="W59" s="33">
        <f>IF(AJ59&gt;=0,AJ59,IF(AI59&gt;=0,AI59,IF(AH59&gt;=0,AH59,IF(AG59&gt;=0,AG59,IF(AF59&gt;=0,AF59,IF(AE59&gt;=0,AE59,IF(AD59&gt;=0,AD59,IF(AC59&gt;=0,AC59,AB59))))))))</f>
        <v>5</v>
      </c>
      <c r="X59" s="40" t="str">
        <f>IF(I59="","",IF(A59="H",IF(OR(H59="SEN",H59&lt;1995),VLOOKUP(I59,Feuil1!$A$11:$G$29,6),IF(AND(H59&gt;1994,H59&lt;1998),VLOOKUP(I59,Feuil1!$A$11:$G$29,5),IF(AND(H59&gt;1997,H59&lt;2000),VLOOKUP(I59,Feuil1!$A$11:$G$29,4),IF(AND(H59&gt;1999,H59&lt;2002),VLOOKUP(I59,Feuil1!$A$11:$G$29,3),VLOOKUP(I59,Feuil1!$A$11:$G$29,2))))),IF(OR(H59="SEN",H59&lt;1995),VLOOKUP(I59,Feuil1!$G$11:$L$25,6),IF(AND(H59&gt;1994,H59&lt;1998),VLOOKUP(I59,Feuil1!$G$11:$L$25,5),IF(AND(H59&gt;1997,H59&lt;2000),VLOOKUP(I59,Feuil1!$G$11:$L$25,4),IF(AND(H59&gt;1999,H59&lt;2002),VLOOKUP(I59,Feuil1!$G$11:$L$25,3),VLOOKUP(I59,Feuil1!$G$11:$L$25,2)))))))</f>
        <v>FC1 69</v>
      </c>
      <c r="Y59" s="39">
        <f>IF(I59="","",IF(A59="H",10^(0.794358141*LOG(I59/174.393)^2)*T59,IF(A59="F",10^(0.89726074*LOG(I59/148.026)^2)*T59,"")))</f>
        <v>81.778222923934905</v>
      </c>
      <c r="Z59" s="45"/>
      <c r="AA59" s="45" t="s">
        <v>12</v>
      </c>
      <c r="AB59" s="3">
        <f>T59-HLOOKUP(X59,Feuil1!$C$1:$BL$10,2,FALSE)</f>
        <v>15</v>
      </c>
      <c r="AC59" s="3">
        <f>T59-HLOOKUP(X59,Feuil1!$C$1:$BL$10,3,FALSE)</f>
        <v>5</v>
      </c>
      <c r="AD59" s="3">
        <f>T59-HLOOKUP(X59,Feuil1!$C$1:$BL$10,4,FALSE)</f>
        <v>-5</v>
      </c>
      <c r="AE59" s="3">
        <f>T59-HLOOKUP(X59,Feuil1!$C$1:$BL$10,5,FALSE)</f>
        <v>-15</v>
      </c>
      <c r="AF59" s="3">
        <f>T59-HLOOKUP(X59,Feuil1!$C$1:$BL$10,6,FALSE)</f>
        <v>-25</v>
      </c>
      <c r="AG59" s="3">
        <f>T59-HLOOKUP(X59,Feuil1!$C$1:$BL$10,7,FALSE)</f>
        <v>-40</v>
      </c>
      <c r="AH59" s="3">
        <f>T59-HLOOKUP(X59,Feuil1!$C$1:$BL$10,8,FALSE)</f>
        <v>-55</v>
      </c>
      <c r="AI59" s="3">
        <f>T59-HLOOKUP(X59,Feuil1!$C$1:$BL$10,9,FALSE)</f>
        <v>-70</v>
      </c>
      <c r="AJ59" s="3">
        <f>T59-HLOOKUP(X59,Feuil1!$C$1:$BL$10,10,FALSE)</f>
        <v>-935</v>
      </c>
      <c r="AK59" s="5"/>
      <c r="AL59" s="5"/>
      <c r="AM59" s="5"/>
      <c r="AN59" s="5"/>
      <c r="AO59" s="5"/>
      <c r="AP59" s="5"/>
      <c r="AQ59" s="5" t="str">
        <f>IF(AJ59&gt;=0,$AJ$1,IF(AI59&gt;=0,$AI$1,IF(AH59&gt;=0,$AH$1,IF(AG59&gt;=0,$AG$1,IF(AF59&gt;=0,$AF$1,IF(AE59&gt;=0,$AE$1,IF(AD59&gt;=0,$AD$1,IF(AC59&gt;=0,$AC$1,$AB$1))))))))</f>
        <v>DEP +</v>
      </c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</row>
    <row r="60" spans="1:55" s="13" customFormat="1" ht="21" hidden="1" x14ac:dyDescent="0.2">
      <c r="A60" s="12" t="s">
        <v>69</v>
      </c>
      <c r="B60" s="18" t="s">
        <v>71</v>
      </c>
      <c r="C60" s="19" t="s">
        <v>997</v>
      </c>
      <c r="D60" s="61">
        <v>5</v>
      </c>
      <c r="E60" s="35">
        <v>376754</v>
      </c>
      <c r="F60" s="20" t="s">
        <v>994</v>
      </c>
      <c r="G60" s="20" t="s">
        <v>995</v>
      </c>
      <c r="H60" s="51">
        <v>2000</v>
      </c>
      <c r="I60" s="30">
        <v>68</v>
      </c>
      <c r="J60" s="19" t="s">
        <v>996</v>
      </c>
      <c r="K60" s="34" t="s">
        <v>69</v>
      </c>
      <c r="L60" s="31">
        <v>20</v>
      </c>
      <c r="M60" s="31">
        <v>22</v>
      </c>
      <c r="N60" s="31">
        <v>25</v>
      </c>
      <c r="O60" s="36">
        <f>IF(H60="","",IF(MAXA(L60:N60)&lt;=0,0,MAXA(L60:N60)))</f>
        <v>25</v>
      </c>
      <c r="P60" s="31">
        <v>25</v>
      </c>
      <c r="Q60" s="31">
        <v>27</v>
      </c>
      <c r="R60" s="31">
        <v>30</v>
      </c>
      <c r="S60" s="36">
        <f>IF(H60="","",IF(MAXA(P60:R60)&lt;=0,0,MAXA(P60:R60)))</f>
        <v>30</v>
      </c>
      <c r="T60" s="37">
        <f>IF(H60="","",IF(OR(O60=0,S60=0),0,O60+S60))</f>
        <v>55</v>
      </c>
      <c r="U60" s="65">
        <f>T60-I60*2</f>
        <v>-81</v>
      </c>
      <c r="V60" s="41" t="str">
        <f>IF(H60="","",AQ60)</f>
        <v xml:space="preserve">DEB </v>
      </c>
      <c r="W60" s="33">
        <f>IF(AJ60&gt;=0,AJ60,IF(AI60&gt;=0,AI60,IF(AH60&gt;=0,AH60,IF(AG60&gt;=0,AG60,IF(AF60&gt;=0,AF60,IF(AE60&gt;=0,AE60,IF(AD60&gt;=0,AD60,IF(AC60&gt;=0,AC60,AB60))))))))</f>
        <v>5</v>
      </c>
      <c r="X60" s="40" t="str">
        <f>IF(I60="","",IF(A60="H",IF(OR(H60="SEN",H60&lt;1995),VLOOKUP(I60,Feuil1!$A$11:$G$29,6),IF(AND(H60&gt;1994,H60&lt;1998),VLOOKUP(I60,Feuil1!$A$11:$G$29,5),IF(AND(H60&gt;1997,H60&lt;2000),VLOOKUP(I60,Feuil1!$A$11:$G$29,4),IF(AND(H60&gt;1999,H60&lt;2002),VLOOKUP(I60,Feuil1!$A$11:$G$29,3),VLOOKUP(I60,Feuil1!$A$11:$G$29,2))))),IF(OR(H60="SEN",H60&lt;1995),VLOOKUP(I60,Feuil1!$G$11:$L$25,6),IF(AND(H60&gt;1994,H60&lt;1998),VLOOKUP(I60,Feuil1!$G$11:$L$25,5),IF(AND(H60&gt;1997,H60&lt;2000),VLOOKUP(I60,Feuil1!$G$11:$L$25,4),IF(AND(H60&gt;1999,H60&lt;2002),VLOOKUP(I60,Feuil1!$G$11:$L$25,3),VLOOKUP(I60,Feuil1!$G$11:$L$25,2)))))))</f>
        <v>FC1 69</v>
      </c>
      <c r="Y60" s="39">
        <f>IF(I60="","",IF(A60="H",10^(0.794358141*LOG(I60/174.393)^2)*T60,IF(A60="F",10^(0.89726074*LOG(I60/148.026)^2)*T60,"")))</f>
        <v>69.625079986248451</v>
      </c>
      <c r="Z60" s="45"/>
      <c r="AA60" s="45" t="s">
        <v>12</v>
      </c>
      <c r="AB60" s="3">
        <f>T60-HLOOKUP(X60,Feuil1!$C$1:$BL$10,2,FALSE)</f>
        <v>5</v>
      </c>
      <c r="AC60" s="3">
        <f>T60-HLOOKUP(X60,Feuil1!$C$1:$BL$10,3,FALSE)</f>
        <v>-5</v>
      </c>
      <c r="AD60" s="3">
        <f>T60-HLOOKUP(X60,Feuil1!$C$1:$BL$10,4,FALSE)</f>
        <v>-15</v>
      </c>
      <c r="AE60" s="3">
        <f>T60-HLOOKUP(X60,Feuil1!$C$1:$BL$10,5,FALSE)</f>
        <v>-25</v>
      </c>
      <c r="AF60" s="3">
        <f>T60-HLOOKUP(X60,Feuil1!$C$1:$BL$10,6,FALSE)</f>
        <v>-35</v>
      </c>
      <c r="AG60" s="3">
        <f>T60-HLOOKUP(X60,Feuil1!$C$1:$BL$10,7,FALSE)</f>
        <v>-50</v>
      </c>
      <c r="AH60" s="3">
        <f>T60-HLOOKUP(X60,Feuil1!$C$1:$BL$10,8,FALSE)</f>
        <v>-65</v>
      </c>
      <c r="AI60" s="3">
        <f>T60-HLOOKUP(X60,Feuil1!$C$1:$BL$10,9,FALSE)</f>
        <v>-80</v>
      </c>
      <c r="AJ60" s="3">
        <f>T60-HLOOKUP(X60,Feuil1!$C$1:$BL$10,10,FALSE)</f>
        <v>-945</v>
      </c>
      <c r="AK60" s="5"/>
      <c r="AL60" s="5"/>
      <c r="AM60" s="5"/>
      <c r="AN60" s="5"/>
      <c r="AO60" s="5"/>
      <c r="AP60" s="5"/>
      <c r="AQ60" s="5" t="str">
        <f>IF(AJ60&gt;=0,$AJ$1,IF(AI60&gt;=0,$AI$1,IF(AH60&gt;=0,$AH$1,IF(AG60&gt;=0,$AG$1,IF(AF60&gt;=0,$AF$1,IF(AE60&gt;=0,$AE$1,IF(AD60&gt;=0,$AD$1,IF(AC60&gt;=0,$AC$1,$AB$1))))))))</f>
        <v xml:space="preserve">DEB </v>
      </c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</row>
    <row r="61" spans="1:55" s="13" customFormat="1" ht="15" hidden="1" customHeight="1" thickBot="1" x14ac:dyDescent="0.25">
      <c r="A61" s="89"/>
      <c r="B61" s="90"/>
      <c r="C61" s="91"/>
      <c r="D61" s="92"/>
      <c r="E61" s="93"/>
      <c r="F61" s="94"/>
      <c r="G61" s="94"/>
      <c r="H61" s="95"/>
      <c r="I61" s="96"/>
      <c r="J61" s="91"/>
      <c r="K61" s="97"/>
      <c r="L61" s="98"/>
      <c r="M61" s="98"/>
      <c r="N61" s="98"/>
      <c r="O61" s="99"/>
      <c r="P61" s="98"/>
      <c r="Q61" s="98"/>
      <c r="R61" s="98"/>
      <c r="S61" s="99"/>
      <c r="T61" s="100"/>
      <c r="U61" s="101"/>
      <c r="V61" s="102"/>
      <c r="W61" s="103"/>
      <c r="X61" s="104"/>
      <c r="Y61" s="105"/>
      <c r="Z61" s="45"/>
      <c r="AA61" s="45" t="s">
        <v>12</v>
      </c>
      <c r="AB61" s="3" t="e">
        <f>T61-HLOOKUP(X61,Feuil1!$C$1:$BL$10,2,FALSE)</f>
        <v>#N/A</v>
      </c>
      <c r="AC61" s="3" t="e">
        <f>T61-HLOOKUP(X61,Feuil1!$C$1:$BL$10,3,FALSE)</f>
        <v>#N/A</v>
      </c>
      <c r="AD61" s="3" t="e">
        <f>T61-HLOOKUP(X61,Feuil1!$C$1:$BL$10,4,FALSE)</f>
        <v>#N/A</v>
      </c>
      <c r="AE61" s="3" t="e">
        <f>T61-HLOOKUP(X61,Feuil1!$C$1:$BL$10,5,FALSE)</f>
        <v>#N/A</v>
      </c>
      <c r="AF61" s="3" t="e">
        <f>T61-HLOOKUP(X61,Feuil1!$C$1:$BL$10,6,FALSE)</f>
        <v>#N/A</v>
      </c>
      <c r="AG61" s="3" t="e">
        <f>T61-HLOOKUP(X61,Feuil1!$C$1:$BL$10,7,FALSE)</f>
        <v>#N/A</v>
      </c>
      <c r="AH61" s="3" t="e">
        <f>T61-HLOOKUP(X61,Feuil1!$C$1:$BL$10,8,FALSE)</f>
        <v>#N/A</v>
      </c>
      <c r="AI61" s="3" t="e">
        <f>T61-HLOOKUP(X61,Feuil1!$C$1:$BL$10,9,FALSE)</f>
        <v>#N/A</v>
      </c>
      <c r="AJ61" s="3" t="e">
        <f>T61-HLOOKUP(X61,Feuil1!$C$1:$BL$10,10,FALSE)</f>
        <v>#N/A</v>
      </c>
      <c r="AK61" s="5"/>
      <c r="AL61" s="5"/>
      <c r="AM61" s="5"/>
      <c r="AN61" s="5"/>
      <c r="AO61" s="5"/>
      <c r="AP61" s="5"/>
      <c r="AQ61" s="5" t="e">
        <f t="shared" ref="AQ61" si="47">IF(AJ61&gt;=0,$AJ$1,IF(AI61&gt;=0,$AI$1,IF(AH61&gt;=0,$AH$1,IF(AG61&gt;=0,$AG$1,IF(AF61&gt;=0,$AF$1,IF(AE61&gt;=0,$AE$1,IF(AD61&gt;=0,$AD$1,IF(AC61&gt;=0,$AC$1,$AB$1))))))))</f>
        <v>#N/A</v>
      </c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</row>
    <row r="62" spans="1:55" s="13" customFormat="1" ht="21" hidden="1" x14ac:dyDescent="0.2">
      <c r="A62" s="12" t="s">
        <v>69</v>
      </c>
      <c r="B62" s="18" t="s">
        <v>721</v>
      </c>
      <c r="C62" s="19" t="s">
        <v>722</v>
      </c>
      <c r="D62" s="61">
        <v>1</v>
      </c>
      <c r="E62" s="35">
        <v>36748</v>
      </c>
      <c r="F62" s="20" t="s">
        <v>726</v>
      </c>
      <c r="G62" s="20" t="s">
        <v>727</v>
      </c>
      <c r="H62" s="51">
        <v>2000</v>
      </c>
      <c r="I62" s="30">
        <v>74.400000000000006</v>
      </c>
      <c r="J62" s="19" t="s">
        <v>728</v>
      </c>
      <c r="K62" s="34" t="s">
        <v>69</v>
      </c>
      <c r="L62" s="31">
        <v>44</v>
      </c>
      <c r="M62" s="31">
        <v>47</v>
      </c>
      <c r="N62" s="31">
        <v>48</v>
      </c>
      <c r="O62" s="36">
        <f>IF(H62="","",IF(MAXA(L62:N62)&lt;=0,0,MAXA(L62:N62)))</f>
        <v>48</v>
      </c>
      <c r="P62" s="31">
        <v>55</v>
      </c>
      <c r="Q62" s="31">
        <v>57</v>
      </c>
      <c r="R62" s="31">
        <v>-59</v>
      </c>
      <c r="S62" s="36">
        <f>IF(H62="","",IF(MAXA(P62:R62)&lt;=0,0,MAXA(P62:R62)))</f>
        <v>57</v>
      </c>
      <c r="T62" s="37">
        <f>IF(H62="","",IF(OR(O62=0,S62=0),0,O62+S62))</f>
        <v>105</v>
      </c>
      <c r="U62" s="65">
        <f>T62-I62*2</f>
        <v>-43.800000000000011</v>
      </c>
      <c r="V62" s="41" t="str">
        <f>IF(H62="","",AQ62)</f>
        <v>FED +</v>
      </c>
      <c r="W62" s="33">
        <f>IF(AJ62&gt;=0,AJ62,IF(AI62&gt;=0,AI62,IF(AH62&gt;=0,AH62,IF(AG62&gt;=0,AG62,IF(AF62&gt;=0,AF62,IF(AE62&gt;=0,AE62,IF(AD62&gt;=0,AD62,IF(AC62&gt;=0,AC62,AB62))))))))</f>
        <v>0</v>
      </c>
      <c r="X62" s="40" t="str">
        <f>IF(I62="","",IF(A62="H",IF(OR(H62="SEN",H62&lt;1995),VLOOKUP(I62,Feuil1!$A$11:$G$29,6),IF(AND(H62&gt;1994,H62&lt;1998),VLOOKUP(I62,Feuil1!$A$11:$G$29,5),IF(AND(H62&gt;1997,H62&lt;2000),VLOOKUP(I62,Feuil1!$A$11:$G$29,4),IF(AND(H62&gt;1999,H62&lt;2002),VLOOKUP(I62,Feuil1!$A$11:$G$29,3),VLOOKUP(I62,Feuil1!$A$11:$G$29,2))))),IF(OR(H62="SEN",H62&lt;1995),VLOOKUP(I62,Feuil1!$G$11:$L$25,6),IF(AND(H62&gt;1994,H62&lt;1998),VLOOKUP(I62,Feuil1!$G$11:$L$25,5),IF(AND(H62&gt;1997,H62&lt;2000),VLOOKUP(I62,Feuil1!$G$11:$L$25,4),IF(AND(H62&gt;1999,H62&lt;2002),VLOOKUP(I62,Feuil1!$G$11:$L$25,3),VLOOKUP(I62,Feuil1!$G$11:$L$25,2)))))))</f>
        <v>FC1 +69</v>
      </c>
      <c r="Y62" s="39">
        <f>IF(I62="","",IF(A62="H",10^(0.794358141*LOG(I62/174.393)^2)*T62,IF(A62="F",10^(0.89726074*LOG(I62/148.026)^2)*T62,"")))</f>
        <v>126.26392935227989</v>
      </c>
      <c r="Z62" s="45"/>
      <c r="AA62" s="45" t="s">
        <v>12</v>
      </c>
      <c r="AB62" s="3">
        <f>T62-HLOOKUP(X62,Feuil1!$C$1:$BL$10,2,FALSE)</f>
        <v>45</v>
      </c>
      <c r="AC62" s="3">
        <f>T62-HLOOKUP(X62,Feuil1!$C$1:$BL$10,3,FALSE)</f>
        <v>35</v>
      </c>
      <c r="AD62" s="3">
        <f>T62-HLOOKUP(X62,Feuil1!$C$1:$BL$10,4,FALSE)</f>
        <v>25</v>
      </c>
      <c r="AE62" s="3">
        <f>T62-HLOOKUP(X62,Feuil1!$C$1:$BL$10,5,FALSE)</f>
        <v>10</v>
      </c>
      <c r="AF62" s="3">
        <f>T62-HLOOKUP(X62,Feuil1!$C$1:$BL$10,6,FALSE)</f>
        <v>0</v>
      </c>
      <c r="AG62" s="3">
        <f>T62-HLOOKUP(X62,Feuil1!$C$1:$BL$10,7,FALSE)</f>
        <v>-10</v>
      </c>
      <c r="AH62" s="3">
        <f>T62-HLOOKUP(X62,Feuil1!$C$1:$BL$10,8,FALSE)</f>
        <v>-25</v>
      </c>
      <c r="AI62" s="3">
        <f>T62-HLOOKUP(X62,Feuil1!$C$1:$BL$10,9,FALSE)</f>
        <v>-40</v>
      </c>
      <c r="AJ62" s="3">
        <f>T62-HLOOKUP(X62,Feuil1!$C$1:$BL$10,10,FALSE)</f>
        <v>-895</v>
      </c>
      <c r="AK62" s="5"/>
      <c r="AL62" s="5"/>
      <c r="AM62" s="5"/>
      <c r="AN62" s="5"/>
      <c r="AO62" s="5"/>
      <c r="AP62" s="5"/>
      <c r="AQ62" s="5" t="str">
        <f>IF(AJ62&gt;=0,$AJ$1,IF(AI62&gt;=0,$AI$1,IF(AH62&gt;=0,$AH$1,IF(AG62&gt;=0,$AG$1,IF(AF62&gt;=0,$AF$1,IF(AE62&gt;=0,$AE$1,IF(AD62&gt;=0,$AD$1,IF(AC62&gt;=0,$AC$1,$AB$1))))))))</f>
        <v>FED +</v>
      </c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</row>
    <row r="63" spans="1:55" s="13" customFormat="1" ht="21" hidden="1" x14ac:dyDescent="0.2">
      <c r="A63" s="12" t="s">
        <v>69</v>
      </c>
      <c r="B63" s="18" t="s">
        <v>298</v>
      </c>
      <c r="C63" s="19" t="s">
        <v>476</v>
      </c>
      <c r="D63" s="61">
        <v>2</v>
      </c>
      <c r="E63" s="35">
        <v>328806</v>
      </c>
      <c r="F63" s="20" t="s">
        <v>477</v>
      </c>
      <c r="G63" s="20" t="s">
        <v>114</v>
      </c>
      <c r="H63" s="51">
        <v>2000</v>
      </c>
      <c r="I63" s="30">
        <v>70.2</v>
      </c>
      <c r="J63" s="19" t="s">
        <v>478</v>
      </c>
      <c r="K63" s="34" t="s">
        <v>69</v>
      </c>
      <c r="L63" s="31">
        <v>30</v>
      </c>
      <c r="M63" s="31">
        <v>32</v>
      </c>
      <c r="N63" s="31">
        <v>-34</v>
      </c>
      <c r="O63" s="36">
        <f>IF(H63="","",IF(MAXA(L63:N63)&lt;=0,0,MAXA(L63:N63)))</f>
        <v>32</v>
      </c>
      <c r="P63" s="31">
        <v>35</v>
      </c>
      <c r="Q63" s="31">
        <v>40</v>
      </c>
      <c r="R63" s="31">
        <v>43</v>
      </c>
      <c r="S63" s="36">
        <f>IF(H63="","",IF(MAXA(P63:R63)&lt;=0,0,MAXA(P63:R63)))</f>
        <v>43</v>
      </c>
      <c r="T63" s="37">
        <f>IF(H63="","",IF(OR(O63=0,S63=0),0,O63+S63))</f>
        <v>75</v>
      </c>
      <c r="U63" s="65">
        <f>T63-I63*2</f>
        <v>-65.400000000000006</v>
      </c>
      <c r="V63" s="41" t="str">
        <f>IF(H63="","",AQ63)</f>
        <v>DEP +</v>
      </c>
      <c r="W63" s="33">
        <f>IF(AJ63&gt;=0,AJ63,IF(AI63&gt;=0,AI63,IF(AH63&gt;=0,AH63,IF(AG63&gt;=0,AG63,IF(AF63&gt;=0,AF63,IF(AE63&gt;=0,AE63,IF(AD63&gt;=0,AD63,IF(AC63&gt;=0,AC63,AB63))))))))</f>
        <v>5</v>
      </c>
      <c r="X63" s="40" t="str">
        <f>IF(I63="","",IF(A63="H",IF(OR(H63="SEN",H63&lt;1995),VLOOKUP(I63,Feuil1!$A$11:$G$29,6),IF(AND(H63&gt;1994,H63&lt;1998),VLOOKUP(I63,Feuil1!$A$11:$G$29,5),IF(AND(H63&gt;1997,H63&lt;2000),VLOOKUP(I63,Feuil1!$A$11:$G$29,4),IF(AND(H63&gt;1999,H63&lt;2002),VLOOKUP(I63,Feuil1!$A$11:$G$29,3),VLOOKUP(I63,Feuil1!$A$11:$G$29,2))))),IF(OR(H63="SEN",H63&lt;1995),VLOOKUP(I63,Feuil1!$G$11:$L$25,6),IF(AND(H63&gt;1994,H63&lt;1998),VLOOKUP(I63,Feuil1!$G$11:$L$25,5),IF(AND(H63&gt;1997,H63&lt;2000),VLOOKUP(I63,Feuil1!$G$11:$L$25,4),IF(AND(H63&gt;1999,H63&lt;2002),VLOOKUP(I63,Feuil1!$G$11:$L$25,3),VLOOKUP(I63,Feuil1!$G$11:$L$25,2)))))))</f>
        <v>FC1 +69</v>
      </c>
      <c r="Y63" s="39">
        <f>IF(I63="","",IF(A63="H",10^(0.794358141*LOG(I63/174.393)^2)*T63,IF(A63="F",10^(0.89726074*LOG(I63/148.026)^2)*T63,"")))</f>
        <v>93.164965011214349</v>
      </c>
      <c r="Z63" s="45"/>
      <c r="AA63" s="45" t="s">
        <v>12</v>
      </c>
      <c r="AB63" s="3">
        <f>T63-HLOOKUP(X63,Feuil1!$C$1:$BL$10,2,FALSE)</f>
        <v>15</v>
      </c>
      <c r="AC63" s="3">
        <f>T63-HLOOKUP(X63,Feuil1!$C$1:$BL$10,3,FALSE)</f>
        <v>5</v>
      </c>
      <c r="AD63" s="3">
        <f>T63-HLOOKUP(X63,Feuil1!$C$1:$BL$10,4,FALSE)</f>
        <v>-5</v>
      </c>
      <c r="AE63" s="3">
        <f>T63-HLOOKUP(X63,Feuil1!$C$1:$BL$10,5,FALSE)</f>
        <v>-20</v>
      </c>
      <c r="AF63" s="3">
        <f>T63-HLOOKUP(X63,Feuil1!$C$1:$BL$10,6,FALSE)</f>
        <v>-30</v>
      </c>
      <c r="AG63" s="3">
        <f>T63-HLOOKUP(X63,Feuil1!$C$1:$BL$10,7,FALSE)</f>
        <v>-40</v>
      </c>
      <c r="AH63" s="3">
        <f>T63-HLOOKUP(X63,Feuil1!$C$1:$BL$10,8,FALSE)</f>
        <v>-55</v>
      </c>
      <c r="AI63" s="3">
        <f>T63-HLOOKUP(X63,Feuil1!$C$1:$BL$10,9,FALSE)</f>
        <v>-70</v>
      </c>
      <c r="AJ63" s="3">
        <f>T63-HLOOKUP(X63,Feuil1!$C$1:$BL$10,10,FALSE)</f>
        <v>-925</v>
      </c>
      <c r="AK63" s="5"/>
      <c r="AL63" s="5"/>
      <c r="AM63" s="5"/>
      <c r="AN63" s="5"/>
      <c r="AO63" s="5"/>
      <c r="AP63" s="5"/>
      <c r="AQ63" s="5" t="str">
        <f>IF(AJ63&gt;=0,$AJ$1,IF(AI63&gt;=0,$AI$1,IF(AH63&gt;=0,$AH$1,IF(AG63&gt;=0,$AG$1,IF(AF63&gt;=0,$AF$1,IF(AE63&gt;=0,$AE$1,IF(AD63&gt;=0,$AD$1,IF(AC63&gt;=0,$AC$1,$AB$1))))))))</f>
        <v>DEP +</v>
      </c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</row>
    <row r="64" spans="1:55" s="13" customFormat="1" ht="21" hidden="1" x14ac:dyDescent="0.2">
      <c r="A64" s="12" t="s">
        <v>69</v>
      </c>
      <c r="B64" s="67" t="s">
        <v>71</v>
      </c>
      <c r="C64" s="68" t="s">
        <v>801</v>
      </c>
      <c r="D64" s="69">
        <v>3</v>
      </c>
      <c r="E64" s="70">
        <v>391830</v>
      </c>
      <c r="F64" s="71" t="s">
        <v>804</v>
      </c>
      <c r="G64" s="71" t="s">
        <v>805</v>
      </c>
      <c r="H64" s="72">
        <v>2000</v>
      </c>
      <c r="I64" s="73">
        <v>69.5</v>
      </c>
      <c r="J64" s="68" t="s">
        <v>806</v>
      </c>
      <c r="K64" s="74" t="s">
        <v>69</v>
      </c>
      <c r="L64" s="75">
        <v>28</v>
      </c>
      <c r="M64" s="75">
        <v>31</v>
      </c>
      <c r="N64" s="75">
        <v>-33</v>
      </c>
      <c r="O64" s="76">
        <f>IF(H64="","",IF(MAXA(L64:N64)&lt;=0,0,MAXA(L64:N64)))</f>
        <v>31</v>
      </c>
      <c r="P64" s="75">
        <v>37</v>
      </c>
      <c r="Q64" s="75">
        <v>-40</v>
      </c>
      <c r="R64" s="75">
        <v>-42</v>
      </c>
      <c r="S64" s="76">
        <f>IF(H64="","",IF(MAXA(P64:R64)&lt;=0,0,MAXA(P64:R64)))</f>
        <v>37</v>
      </c>
      <c r="T64" s="77">
        <f>IF(H64="","",IF(OR(O64=0,S64=0),0,O64+S64))</f>
        <v>68</v>
      </c>
      <c r="U64" s="78">
        <f>T64-I64*2</f>
        <v>-71</v>
      </c>
      <c r="V64" s="79" t="str">
        <f>IF(H64="","",AQ64)</f>
        <v xml:space="preserve">DEB </v>
      </c>
      <c r="W64" s="80">
        <f>IF(AJ64&gt;=0,AJ64,IF(AI64&gt;=0,AI64,IF(AH64&gt;=0,AH64,IF(AG64&gt;=0,AG64,IF(AF64&gt;=0,AF64,IF(AE64&gt;=0,AE64,IF(AD64&gt;=0,AD64,IF(AC64&gt;=0,AC64,AB64))))))))</f>
        <v>8</v>
      </c>
      <c r="X64" s="81" t="str">
        <f>IF(I64="","",IF(A64="H",IF(OR(H64="SEN",H64&lt;1995),VLOOKUP(I64,Feuil1!$A$11:$G$29,6),IF(AND(H64&gt;1994,H64&lt;1998),VLOOKUP(I64,Feuil1!$A$11:$G$29,5),IF(AND(H64&gt;1997,H64&lt;2000),VLOOKUP(I64,Feuil1!$A$11:$G$29,4),IF(AND(H64&gt;1999,H64&lt;2002),VLOOKUP(I64,Feuil1!$A$11:$G$29,3),VLOOKUP(I64,Feuil1!$A$11:$G$29,2))))),IF(OR(H64="SEN",H64&lt;1995),VLOOKUP(I64,Feuil1!$G$11:$L$25,6),IF(AND(H64&gt;1994,H64&lt;1998),VLOOKUP(I64,Feuil1!$G$11:$L$25,5),IF(AND(H64&gt;1997,H64&lt;2000),VLOOKUP(I64,Feuil1!$G$11:$L$25,4),IF(AND(H64&gt;1999,H64&lt;2002),VLOOKUP(I64,Feuil1!$G$11:$L$25,3),VLOOKUP(I64,Feuil1!$G$11:$L$25,2)))))))</f>
        <v>FC1 +69</v>
      </c>
      <c r="Y64" s="39">
        <f>IF(I64="","",IF(A64="H",10^(0.794358141*LOG(I64/174.393)^2)*T64,IF(A64="F",10^(0.89726074*LOG(I64/148.026)^2)*T64,"")))</f>
        <v>84.966517468714656</v>
      </c>
      <c r="Z64" s="45"/>
      <c r="AA64" s="45" t="s">
        <v>12</v>
      </c>
      <c r="AB64" s="3">
        <f>T64-HLOOKUP(X64,Feuil1!$C$1:$BL$10,2,FALSE)</f>
        <v>8</v>
      </c>
      <c r="AC64" s="3">
        <f>T64-HLOOKUP(X64,Feuil1!$C$1:$BL$10,3,FALSE)</f>
        <v>-2</v>
      </c>
      <c r="AD64" s="3">
        <f>T64-HLOOKUP(X64,Feuil1!$C$1:$BL$10,4,FALSE)</f>
        <v>-12</v>
      </c>
      <c r="AE64" s="3">
        <f>T64-HLOOKUP(X64,Feuil1!$C$1:$BL$10,5,FALSE)</f>
        <v>-27</v>
      </c>
      <c r="AF64" s="3">
        <f>T64-HLOOKUP(X64,Feuil1!$C$1:$BL$10,6,FALSE)</f>
        <v>-37</v>
      </c>
      <c r="AG64" s="3">
        <f>T64-HLOOKUP(X64,Feuil1!$C$1:$BL$10,7,FALSE)</f>
        <v>-47</v>
      </c>
      <c r="AH64" s="3">
        <f>T64-HLOOKUP(X64,Feuil1!$C$1:$BL$10,8,FALSE)</f>
        <v>-62</v>
      </c>
      <c r="AI64" s="3">
        <f>T64-HLOOKUP(X64,Feuil1!$C$1:$BL$10,9,FALSE)</f>
        <v>-77</v>
      </c>
      <c r="AJ64" s="3">
        <f>T64-HLOOKUP(X64,Feuil1!$C$1:$BL$10,10,FALSE)</f>
        <v>-932</v>
      </c>
      <c r="AK64" s="5"/>
      <c r="AL64" s="5"/>
      <c r="AM64" s="5"/>
      <c r="AN64" s="5"/>
      <c r="AO64" s="5"/>
      <c r="AP64" s="5"/>
      <c r="AQ64" s="5" t="str">
        <f>IF(AJ64&gt;=0,$AJ$1,IF(AI64&gt;=0,$AI$1,IF(AH64&gt;=0,$AH$1,IF(AG64&gt;=0,$AG$1,IF(AF64&gt;=0,$AF$1,IF(AE64&gt;=0,$AE$1,IF(AD64&gt;=0,$AD$1,IF(AC64&gt;=0,$AC$1,$AB$1))))))))</f>
        <v xml:space="preserve">DEB </v>
      </c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</row>
    <row r="65" spans="1:55" s="13" customFormat="1" ht="21" hidden="1" x14ac:dyDescent="0.2">
      <c r="A65" s="12" t="s">
        <v>69</v>
      </c>
      <c r="B65" s="18" t="s">
        <v>108</v>
      </c>
      <c r="C65" s="19" t="s">
        <v>119</v>
      </c>
      <c r="D65" s="61">
        <v>4</v>
      </c>
      <c r="E65" s="35">
        <v>369106</v>
      </c>
      <c r="F65" s="20" t="s">
        <v>132</v>
      </c>
      <c r="G65" s="20" t="s">
        <v>133</v>
      </c>
      <c r="H65" s="51">
        <v>2000</v>
      </c>
      <c r="I65" s="30">
        <v>78.2</v>
      </c>
      <c r="J65" s="19" t="s">
        <v>122</v>
      </c>
      <c r="K65" s="34" t="s">
        <v>69</v>
      </c>
      <c r="L65" s="31">
        <v>20</v>
      </c>
      <c r="M65" s="31">
        <v>22</v>
      </c>
      <c r="N65" s="31">
        <v>-23</v>
      </c>
      <c r="O65" s="36">
        <f>IF(H65="","",IF(MAXA(L65:N65)&lt;=0,0,MAXA(L65:N65)))</f>
        <v>22</v>
      </c>
      <c r="P65" s="31">
        <v>22</v>
      </c>
      <c r="Q65" s="31">
        <v>25</v>
      </c>
      <c r="R65" s="31">
        <v>27</v>
      </c>
      <c r="S65" s="36">
        <f>IF(H65="","",IF(MAXA(P65:R65)&lt;=0,0,MAXA(P65:R65)))</f>
        <v>27</v>
      </c>
      <c r="T65" s="37">
        <f>IF(H65="","",IF(OR(O65=0,S65=0),0,O65+S65))</f>
        <v>49</v>
      </c>
      <c r="U65" s="65">
        <f>T65-I65*2</f>
        <v>-107.4</v>
      </c>
      <c r="V65" s="41" t="str">
        <f>IF(H65="","",AQ65)</f>
        <v xml:space="preserve">DEB </v>
      </c>
      <c r="W65" s="33">
        <f>IF(AJ65&gt;=0,AJ65,IF(AI65&gt;=0,AI65,IF(AH65&gt;=0,AH65,IF(AG65&gt;=0,AG65,IF(AF65&gt;=0,AF65,IF(AE65&gt;=0,AE65,IF(AD65&gt;=0,AD65,IF(AC65&gt;=0,AC65,AB65))))))))</f>
        <v>-11</v>
      </c>
      <c r="X65" s="40" t="str">
        <f>IF(I65="","",IF(A65="H",IF(OR(H65="SEN",H65&lt;1995),VLOOKUP(I65,Feuil1!$A$11:$G$29,6),IF(AND(H65&gt;1994,H65&lt;1998),VLOOKUP(I65,Feuil1!$A$11:$G$29,5),IF(AND(H65&gt;1997,H65&lt;2000),VLOOKUP(I65,Feuil1!$A$11:$G$29,4),IF(AND(H65&gt;1999,H65&lt;2002),VLOOKUP(I65,Feuil1!$A$11:$G$29,3),VLOOKUP(I65,Feuil1!$A$11:$G$29,2))))),IF(OR(H65="SEN",H65&lt;1995),VLOOKUP(I65,Feuil1!$G$11:$L$25,6),IF(AND(H65&gt;1994,H65&lt;1998),VLOOKUP(I65,Feuil1!$G$11:$L$25,5),IF(AND(H65&gt;1997,H65&lt;2000),VLOOKUP(I65,Feuil1!$G$11:$L$25,4),IF(AND(H65&gt;1999,H65&lt;2002),VLOOKUP(I65,Feuil1!$G$11:$L$25,3),VLOOKUP(I65,Feuil1!$G$11:$L$25,2)))))))</f>
        <v>FC1 +69</v>
      </c>
      <c r="Y65" s="39">
        <f>IF(I65="","",IF(A65="H",10^(0.794358141*LOG(I65/174.393)^2)*T65,IF(A65="F",10^(0.89726074*LOG(I65/148.026)^2)*T65,"")))</f>
        <v>57.425826856195357</v>
      </c>
      <c r="Z65" s="45"/>
      <c r="AA65" s="45" t="s">
        <v>12</v>
      </c>
      <c r="AB65" s="3">
        <f>T65-HLOOKUP(X65,Feuil1!$C$1:$BL$10,2,FALSE)</f>
        <v>-11</v>
      </c>
      <c r="AC65" s="3">
        <f>T65-HLOOKUP(X65,Feuil1!$C$1:$BL$10,3,FALSE)</f>
        <v>-21</v>
      </c>
      <c r="AD65" s="3">
        <f>T65-HLOOKUP(X65,Feuil1!$C$1:$BL$10,4,FALSE)</f>
        <v>-31</v>
      </c>
      <c r="AE65" s="3">
        <f>T65-HLOOKUP(X65,Feuil1!$C$1:$BL$10,5,FALSE)</f>
        <v>-46</v>
      </c>
      <c r="AF65" s="3">
        <f>T65-HLOOKUP(X65,Feuil1!$C$1:$BL$10,6,FALSE)</f>
        <v>-56</v>
      </c>
      <c r="AG65" s="3">
        <f>T65-HLOOKUP(X65,Feuil1!$C$1:$BL$10,7,FALSE)</f>
        <v>-66</v>
      </c>
      <c r="AH65" s="3">
        <f>T65-HLOOKUP(X65,Feuil1!$C$1:$BL$10,8,FALSE)</f>
        <v>-81</v>
      </c>
      <c r="AI65" s="3">
        <f>T65-HLOOKUP(X65,Feuil1!$C$1:$BL$10,9,FALSE)</f>
        <v>-96</v>
      </c>
      <c r="AJ65" s="3">
        <f>T65-HLOOKUP(X65,Feuil1!$C$1:$BL$10,10,FALSE)</f>
        <v>-951</v>
      </c>
      <c r="AK65" s="5"/>
      <c r="AL65" s="5"/>
      <c r="AM65" s="5"/>
      <c r="AN65" s="5"/>
      <c r="AO65" s="5"/>
      <c r="AP65" s="5"/>
      <c r="AQ65" s="5" t="str">
        <f>IF(AJ65&gt;=0,$AJ$1,IF(AI65&gt;=0,$AI$1,IF(AH65&gt;=0,$AH$1,IF(AG65&gt;=0,$AG$1,IF(AF65&gt;=0,$AF$1,IF(AE65&gt;=0,$AE$1,IF(AD65&gt;=0,$AD$1,IF(AC65&gt;=0,$AC$1,$AB$1))))))))</f>
        <v xml:space="preserve">DEB 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</row>
    <row r="66" spans="1:55" s="13" customFormat="1" ht="15" hidden="1" customHeight="1" thickBot="1" x14ac:dyDescent="0.25">
      <c r="A66" s="89"/>
      <c r="B66" s="90"/>
      <c r="C66" s="91"/>
      <c r="D66" s="92"/>
      <c r="E66" s="93"/>
      <c r="F66" s="94"/>
      <c r="G66" s="94"/>
      <c r="H66" s="95"/>
      <c r="I66" s="96"/>
      <c r="J66" s="91"/>
      <c r="K66" s="97"/>
      <c r="L66" s="98"/>
      <c r="M66" s="98"/>
      <c r="N66" s="98"/>
      <c r="O66" s="99"/>
      <c r="P66" s="98"/>
      <c r="Q66" s="98"/>
      <c r="R66" s="98"/>
      <c r="S66" s="99"/>
      <c r="T66" s="100"/>
      <c r="U66" s="101"/>
      <c r="V66" s="102"/>
      <c r="W66" s="103"/>
      <c r="X66" s="104"/>
      <c r="Y66" s="105"/>
      <c r="Z66" s="45"/>
      <c r="AA66" s="45" t="s">
        <v>12</v>
      </c>
      <c r="AB66" s="3" t="e">
        <f>T66-HLOOKUP(X66,Feuil1!$C$1:$BL$10,2,FALSE)</f>
        <v>#N/A</v>
      </c>
      <c r="AC66" s="3" t="e">
        <f>T66-HLOOKUP(X66,Feuil1!$C$1:$BL$10,3,FALSE)</f>
        <v>#N/A</v>
      </c>
      <c r="AD66" s="3" t="e">
        <f>T66-HLOOKUP(X66,Feuil1!$C$1:$BL$10,4,FALSE)</f>
        <v>#N/A</v>
      </c>
      <c r="AE66" s="3" t="e">
        <f>T66-HLOOKUP(X66,Feuil1!$C$1:$BL$10,5,FALSE)</f>
        <v>#N/A</v>
      </c>
      <c r="AF66" s="3" t="e">
        <f>T66-HLOOKUP(X66,Feuil1!$C$1:$BL$10,6,FALSE)</f>
        <v>#N/A</v>
      </c>
      <c r="AG66" s="3" t="e">
        <f>T66-HLOOKUP(X66,Feuil1!$C$1:$BL$10,7,FALSE)</f>
        <v>#N/A</v>
      </c>
      <c r="AH66" s="3" t="e">
        <f>T66-HLOOKUP(X66,Feuil1!$C$1:$BL$10,8,FALSE)</f>
        <v>#N/A</v>
      </c>
      <c r="AI66" s="3" t="e">
        <f>T66-HLOOKUP(X66,Feuil1!$C$1:$BL$10,9,FALSE)</f>
        <v>#N/A</v>
      </c>
      <c r="AJ66" s="3" t="e">
        <f>T66-HLOOKUP(X66,Feuil1!$C$1:$BL$10,10,FALSE)</f>
        <v>#N/A</v>
      </c>
      <c r="AK66" s="5"/>
      <c r="AL66" s="5"/>
      <c r="AM66" s="5"/>
      <c r="AN66" s="5"/>
      <c r="AO66" s="5"/>
      <c r="AP66" s="5"/>
      <c r="AQ66" s="5" t="e">
        <f t="shared" ref="AQ66" si="48">IF(AJ66&gt;=0,$AJ$1,IF(AI66&gt;=0,$AI$1,IF(AH66&gt;=0,$AH$1,IF(AG66&gt;=0,$AG$1,IF(AF66&gt;=0,$AF$1,IF(AE66&gt;=0,$AE$1,IF(AD66&gt;=0,$AD$1,IF(AC66&gt;=0,$AC$1,$AB$1))))))))</f>
        <v>#N/A</v>
      </c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</row>
    <row r="67" spans="1:55" hidden="1" x14ac:dyDescent="0.2"/>
    <row r="68" spans="1:55" hidden="1" x14ac:dyDescent="0.2"/>
    <row r="69" spans="1:55" hidden="1" x14ac:dyDescent="0.2"/>
    <row r="70" spans="1:55" hidden="1" x14ac:dyDescent="0.2"/>
    <row r="71" spans="1:55" hidden="1" x14ac:dyDescent="0.2"/>
    <row r="72" spans="1:55" hidden="1" x14ac:dyDescent="0.2"/>
    <row r="73" spans="1:55" hidden="1" x14ac:dyDescent="0.2"/>
    <row r="74" spans="1:55" hidden="1" x14ac:dyDescent="0.2"/>
    <row r="75" spans="1:55" hidden="1" x14ac:dyDescent="0.2"/>
    <row r="76" spans="1:55" hidden="1" x14ac:dyDescent="0.2"/>
    <row r="77" spans="1:55" hidden="1" x14ac:dyDescent="0.2"/>
    <row r="78" spans="1:55" hidden="1" x14ac:dyDescent="0.2"/>
    <row r="79" spans="1:55" hidden="1" x14ac:dyDescent="0.2"/>
    <row r="80" spans="1:55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spans="28:51" hidden="1" x14ac:dyDescent="0.2"/>
    <row r="498" spans="28:51" hidden="1" x14ac:dyDescent="0.2"/>
    <row r="499" spans="28:51" hidden="1" x14ac:dyDescent="0.2"/>
    <row r="500" spans="28:51" hidden="1" x14ac:dyDescent="0.2"/>
    <row r="501" spans="28:51" hidden="1" x14ac:dyDescent="0.2"/>
    <row r="502" spans="28:51" hidden="1" x14ac:dyDescent="0.2"/>
    <row r="503" spans="28:51" hidden="1" x14ac:dyDescent="0.2">
      <c r="AB503" s="15" t="s">
        <v>30</v>
      </c>
      <c r="AC503" s="15" t="s">
        <v>31</v>
      </c>
      <c r="AD503" s="15" t="s">
        <v>32</v>
      </c>
      <c r="AE503" s="15" t="s">
        <v>33</v>
      </c>
      <c r="AF503" s="15" t="s">
        <v>34</v>
      </c>
      <c r="AG503" s="15"/>
      <c r="AH503" s="15" t="s">
        <v>27</v>
      </c>
      <c r="AI503" s="15" t="s">
        <v>28</v>
      </c>
      <c r="AJ503" s="15" t="s">
        <v>29</v>
      </c>
      <c r="AK503" s="15" t="s">
        <v>30</v>
      </c>
      <c r="AL503" s="15" t="s">
        <v>31</v>
      </c>
      <c r="AM503" s="15" t="s">
        <v>32</v>
      </c>
      <c r="AN503" s="15" t="s">
        <v>33</v>
      </c>
      <c r="AO503" s="15" t="s">
        <v>34</v>
      </c>
      <c r="AP503" s="15"/>
      <c r="AQ503" s="15" t="s">
        <v>35</v>
      </c>
      <c r="AR503" s="15" t="s">
        <v>36</v>
      </c>
      <c r="AS503" s="15" t="s">
        <v>37</v>
      </c>
      <c r="AT503" s="15" t="s">
        <v>38</v>
      </c>
      <c r="AU503" s="15" t="s">
        <v>39</v>
      </c>
      <c r="AV503" s="15" t="s">
        <v>40</v>
      </c>
      <c r="AW503" s="15" t="s">
        <v>41</v>
      </c>
      <c r="AX503" s="15" t="s">
        <v>42</v>
      </c>
      <c r="AY503" s="15"/>
    </row>
    <row r="504" spans="28:51" hidden="1" x14ac:dyDescent="0.2">
      <c r="AB504" s="16">
        <v>145</v>
      </c>
      <c r="AC504" s="16">
        <v>160</v>
      </c>
      <c r="AD504" s="16">
        <v>170</v>
      </c>
      <c r="AE504" s="16">
        <v>180</v>
      </c>
      <c r="AF504" s="16">
        <v>190</v>
      </c>
      <c r="AG504" s="16"/>
      <c r="AH504" s="16">
        <v>100</v>
      </c>
      <c r="AI504" s="16">
        <v>115</v>
      </c>
      <c r="AJ504" s="16">
        <v>130</v>
      </c>
      <c r="AK504" s="16">
        <v>145</v>
      </c>
      <c r="AL504" s="16">
        <v>160</v>
      </c>
      <c r="AM504" s="16">
        <v>170</v>
      </c>
      <c r="AN504" s="16">
        <v>180</v>
      </c>
      <c r="AO504" s="16">
        <v>190</v>
      </c>
      <c r="AP504" s="16"/>
      <c r="AQ504" s="16">
        <v>115</v>
      </c>
      <c r="AR504" s="16">
        <v>135</v>
      </c>
      <c r="AS504" s="16">
        <v>150</v>
      </c>
      <c r="AT504" s="16">
        <v>165</v>
      </c>
      <c r="AU504" s="16">
        <v>180</v>
      </c>
      <c r="AV504" s="16">
        <v>190</v>
      </c>
      <c r="AW504" s="16">
        <v>200</v>
      </c>
      <c r="AX504" s="16">
        <v>210</v>
      </c>
      <c r="AY504" s="16"/>
    </row>
    <row r="505" spans="28:51" hidden="1" x14ac:dyDescent="0.2">
      <c r="AB505" s="16">
        <v>165</v>
      </c>
      <c r="AC505" s="16">
        <v>180</v>
      </c>
      <c r="AD505" s="16">
        <v>190</v>
      </c>
      <c r="AE505" s="16">
        <v>200</v>
      </c>
      <c r="AF505" s="16">
        <v>210</v>
      </c>
      <c r="AG505" s="16"/>
      <c r="AH505" s="16">
        <v>115</v>
      </c>
      <c r="AI505" s="16">
        <v>135</v>
      </c>
      <c r="AJ505" s="16">
        <v>150</v>
      </c>
      <c r="AK505" s="16">
        <v>165</v>
      </c>
      <c r="AL505" s="16">
        <v>180</v>
      </c>
      <c r="AM505" s="16">
        <v>190</v>
      </c>
      <c r="AN505" s="16">
        <v>200</v>
      </c>
      <c r="AO505" s="16">
        <v>210</v>
      </c>
      <c r="AP505" s="16"/>
      <c r="AQ505" s="16">
        <v>130</v>
      </c>
      <c r="AR505" s="16">
        <v>150</v>
      </c>
      <c r="AS505" s="16">
        <v>165</v>
      </c>
      <c r="AT505" s="16">
        <v>185</v>
      </c>
      <c r="AU505" s="16">
        <v>200</v>
      </c>
      <c r="AV505" s="16">
        <v>210</v>
      </c>
      <c r="AW505" s="16">
        <v>220</v>
      </c>
      <c r="AX505" s="16">
        <v>230</v>
      </c>
      <c r="AY505" s="16"/>
    </row>
    <row r="506" spans="28:51" hidden="1" x14ac:dyDescent="0.2">
      <c r="AB506" s="16">
        <v>185</v>
      </c>
      <c r="AC506" s="16">
        <v>200</v>
      </c>
      <c r="AD506" s="16">
        <v>210</v>
      </c>
      <c r="AE506" s="16">
        <v>220</v>
      </c>
      <c r="AF506" s="16">
        <v>230</v>
      </c>
      <c r="AG506" s="16"/>
      <c r="AH506" s="16">
        <v>130</v>
      </c>
      <c r="AI506" s="16">
        <v>150</v>
      </c>
      <c r="AJ506" s="16">
        <v>165</v>
      </c>
      <c r="AK506" s="16">
        <v>185</v>
      </c>
      <c r="AL506" s="16">
        <v>200</v>
      </c>
      <c r="AM506" s="16">
        <v>210</v>
      </c>
      <c r="AN506" s="16">
        <v>220</v>
      </c>
      <c r="AO506" s="16">
        <v>230</v>
      </c>
      <c r="AP506" s="16"/>
      <c r="AQ506" s="16">
        <v>145</v>
      </c>
      <c r="AR506" s="16">
        <v>165</v>
      </c>
      <c r="AS506" s="16">
        <v>180</v>
      </c>
      <c r="AT506" s="16">
        <v>200</v>
      </c>
      <c r="AU506" s="16">
        <v>220</v>
      </c>
      <c r="AV506" s="16">
        <v>230</v>
      </c>
      <c r="AW506" s="16">
        <v>240</v>
      </c>
      <c r="AX506" s="16">
        <v>250</v>
      </c>
      <c r="AY506" s="16"/>
    </row>
    <row r="507" spans="28:51" hidden="1" x14ac:dyDescent="0.2">
      <c r="AB507" s="16">
        <v>200</v>
      </c>
      <c r="AC507" s="16">
        <v>220</v>
      </c>
      <c r="AD507" s="16">
        <v>230</v>
      </c>
      <c r="AE507" s="16">
        <v>240</v>
      </c>
      <c r="AF507" s="16">
        <v>250</v>
      </c>
      <c r="AG507" s="16"/>
      <c r="AH507" s="16">
        <v>145</v>
      </c>
      <c r="AI507" s="16">
        <v>165</v>
      </c>
      <c r="AJ507" s="16">
        <v>180</v>
      </c>
      <c r="AK507" s="16">
        <v>200</v>
      </c>
      <c r="AL507" s="16">
        <v>220</v>
      </c>
      <c r="AM507" s="16">
        <v>230</v>
      </c>
      <c r="AN507" s="16">
        <v>240</v>
      </c>
      <c r="AO507" s="16">
        <v>250</v>
      </c>
      <c r="AP507" s="16"/>
      <c r="AQ507" s="16">
        <v>175</v>
      </c>
      <c r="AR507" s="16">
        <v>195</v>
      </c>
      <c r="AS507" s="16">
        <v>215</v>
      </c>
      <c r="AT507" s="16">
        <v>235</v>
      </c>
      <c r="AU507" s="16">
        <v>250</v>
      </c>
      <c r="AV507" s="16">
        <v>260</v>
      </c>
      <c r="AW507" s="16">
        <v>275</v>
      </c>
      <c r="AX507" s="16">
        <v>280</v>
      </c>
      <c r="AY507" s="16"/>
    </row>
    <row r="508" spans="28:51" hidden="1" x14ac:dyDescent="0.2">
      <c r="AB508" s="16">
        <v>235</v>
      </c>
      <c r="AC508" s="16">
        <v>250</v>
      </c>
      <c r="AD508" s="16">
        <v>260</v>
      </c>
      <c r="AE508" s="16">
        <v>275</v>
      </c>
      <c r="AF508" s="16">
        <v>280</v>
      </c>
      <c r="AG508" s="16"/>
      <c r="AH508" s="16">
        <v>175</v>
      </c>
      <c r="AI508" s="16">
        <v>195</v>
      </c>
      <c r="AJ508" s="16">
        <v>215</v>
      </c>
      <c r="AK508" s="16">
        <v>235</v>
      </c>
      <c r="AL508" s="16">
        <v>250</v>
      </c>
      <c r="AM508" s="16">
        <v>260</v>
      </c>
      <c r="AN508" s="16">
        <v>275</v>
      </c>
      <c r="AO508" s="16">
        <v>280</v>
      </c>
      <c r="AP508" s="16"/>
      <c r="AQ508" s="16">
        <v>210</v>
      </c>
      <c r="AR508" s="16">
        <v>230</v>
      </c>
      <c r="AS508" s="16">
        <v>250</v>
      </c>
      <c r="AT508" s="16">
        <v>270</v>
      </c>
      <c r="AU508" s="16">
        <v>290</v>
      </c>
      <c r="AV508" s="16">
        <v>300</v>
      </c>
      <c r="AW508" s="16">
        <v>310</v>
      </c>
      <c r="AX508" s="16">
        <v>325</v>
      </c>
      <c r="AY508" s="16"/>
    </row>
    <row r="509" spans="28:51" hidden="1" x14ac:dyDescent="0.2">
      <c r="AB509" s="16">
        <v>270</v>
      </c>
      <c r="AC509" s="16">
        <v>290</v>
      </c>
      <c r="AD509" s="16">
        <v>300</v>
      </c>
      <c r="AE509" s="16">
        <v>310</v>
      </c>
      <c r="AF509" s="16">
        <v>325</v>
      </c>
      <c r="AG509" s="16"/>
      <c r="AH509" s="16">
        <v>210</v>
      </c>
      <c r="AI509" s="16">
        <v>230</v>
      </c>
      <c r="AJ509" s="16">
        <v>250</v>
      </c>
      <c r="AK509" s="16">
        <v>270</v>
      </c>
      <c r="AL509" s="16">
        <v>290</v>
      </c>
      <c r="AM509" s="16">
        <v>300</v>
      </c>
      <c r="AN509" s="16">
        <v>310</v>
      </c>
      <c r="AO509" s="16">
        <v>325</v>
      </c>
      <c r="AP509" s="16"/>
      <c r="AQ509" s="16">
        <v>230</v>
      </c>
      <c r="AR509" s="16">
        <v>255</v>
      </c>
      <c r="AS509" s="16">
        <v>275</v>
      </c>
      <c r="AT509" s="16">
        <v>300</v>
      </c>
      <c r="AU509" s="16">
        <v>315</v>
      </c>
      <c r="AV509" s="16">
        <v>335</v>
      </c>
      <c r="AW509" s="16">
        <v>345</v>
      </c>
      <c r="AX509" s="16">
        <v>355</v>
      </c>
      <c r="AY509" s="16"/>
    </row>
    <row r="510" spans="28:51" hidden="1" x14ac:dyDescent="0.2">
      <c r="AB510" s="16">
        <v>320</v>
      </c>
      <c r="AC510" s="16">
        <v>335</v>
      </c>
      <c r="AD510" s="16">
        <v>355</v>
      </c>
      <c r="AE510" s="16">
        <v>370</v>
      </c>
      <c r="AF510" s="16">
        <v>380</v>
      </c>
      <c r="AG510" s="16"/>
      <c r="AH510" s="16">
        <v>245</v>
      </c>
      <c r="AI510" s="16">
        <v>270</v>
      </c>
      <c r="AJ510" s="16">
        <v>295</v>
      </c>
      <c r="AK510" s="16">
        <v>320</v>
      </c>
      <c r="AL510" s="16">
        <v>335</v>
      </c>
      <c r="AM510" s="16">
        <v>355</v>
      </c>
      <c r="AN510" s="16">
        <v>370</v>
      </c>
      <c r="AO510" s="16">
        <v>380</v>
      </c>
      <c r="AP510" s="16"/>
      <c r="AQ510" s="16">
        <v>245</v>
      </c>
      <c r="AR510" s="16">
        <v>270</v>
      </c>
      <c r="AS510" s="16">
        <v>295</v>
      </c>
      <c r="AT510" s="16">
        <v>320</v>
      </c>
      <c r="AU510" s="16">
        <v>335</v>
      </c>
      <c r="AV510" s="16">
        <v>355</v>
      </c>
      <c r="AW510" s="16">
        <v>370</v>
      </c>
      <c r="AX510" s="16">
        <v>380</v>
      </c>
      <c r="AY510" s="16"/>
    </row>
    <row r="511" spans="28:51" hidden="1" x14ac:dyDescent="0.2"/>
    <row r="512" spans="28:51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  <row r="604" hidden="1" x14ac:dyDescent="0.2"/>
    <row r="605" hidden="1" x14ac:dyDescent="0.2"/>
    <row r="606" hidden="1" x14ac:dyDescent="0.2"/>
    <row r="607" hidden="1" x14ac:dyDescent="0.2"/>
    <row r="608" hidden="1" x14ac:dyDescent="0.2"/>
    <row r="609" hidden="1" x14ac:dyDescent="0.2"/>
    <row r="610" hidden="1" x14ac:dyDescent="0.2"/>
    <row r="611" hidden="1" x14ac:dyDescent="0.2"/>
    <row r="612" hidden="1" x14ac:dyDescent="0.2"/>
    <row r="613" hidden="1" x14ac:dyDescent="0.2"/>
    <row r="614" hidden="1" x14ac:dyDescent="0.2"/>
    <row r="615" hidden="1" x14ac:dyDescent="0.2"/>
    <row r="616" hidden="1" x14ac:dyDescent="0.2"/>
    <row r="617" hidden="1" x14ac:dyDescent="0.2"/>
    <row r="618" hidden="1" x14ac:dyDescent="0.2"/>
    <row r="619" hidden="1" x14ac:dyDescent="0.2"/>
    <row r="620" hidden="1" x14ac:dyDescent="0.2"/>
    <row r="621" hidden="1" x14ac:dyDescent="0.2"/>
    <row r="622" hidden="1" x14ac:dyDescent="0.2"/>
    <row r="623" hidden="1" x14ac:dyDescent="0.2"/>
    <row r="624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  <row r="660" hidden="1" x14ac:dyDescent="0.2"/>
    <row r="661" hidden="1" x14ac:dyDescent="0.2"/>
    <row r="662" hidden="1" x14ac:dyDescent="0.2"/>
    <row r="663" hidden="1" x14ac:dyDescent="0.2"/>
    <row r="664" hidden="1" x14ac:dyDescent="0.2"/>
    <row r="665" hidden="1" x14ac:dyDescent="0.2"/>
    <row r="666" hidden="1" x14ac:dyDescent="0.2"/>
    <row r="667" hidden="1" x14ac:dyDescent="0.2"/>
    <row r="668" hidden="1" x14ac:dyDescent="0.2"/>
    <row r="669" hidden="1" x14ac:dyDescent="0.2"/>
    <row r="670" hidden="1" x14ac:dyDescent="0.2"/>
    <row r="671" hidden="1" x14ac:dyDescent="0.2"/>
    <row r="672" hidden="1" x14ac:dyDescent="0.2"/>
    <row r="673" hidden="1" x14ac:dyDescent="0.2"/>
    <row r="674" hidden="1" x14ac:dyDescent="0.2"/>
    <row r="675" hidden="1" x14ac:dyDescent="0.2"/>
    <row r="676" hidden="1" x14ac:dyDescent="0.2"/>
    <row r="677" hidden="1" x14ac:dyDescent="0.2"/>
    <row r="678" hidden="1" x14ac:dyDescent="0.2"/>
    <row r="679" hidden="1" x14ac:dyDescent="0.2"/>
    <row r="680" hidden="1" x14ac:dyDescent="0.2"/>
    <row r="681" hidden="1" x14ac:dyDescent="0.2"/>
    <row r="682" hidden="1" x14ac:dyDescent="0.2"/>
    <row r="683" hidden="1" x14ac:dyDescent="0.2"/>
    <row r="684" hidden="1" x14ac:dyDescent="0.2"/>
    <row r="685" hidden="1" x14ac:dyDescent="0.2"/>
    <row r="686" hidden="1" x14ac:dyDescent="0.2"/>
    <row r="687" hidden="1" x14ac:dyDescent="0.2"/>
    <row r="688" hidden="1" x14ac:dyDescent="0.2"/>
    <row r="689" hidden="1" x14ac:dyDescent="0.2"/>
    <row r="690" hidden="1" x14ac:dyDescent="0.2"/>
    <row r="691" hidden="1" x14ac:dyDescent="0.2"/>
    <row r="692" hidden="1" x14ac:dyDescent="0.2"/>
    <row r="693" hidden="1" x14ac:dyDescent="0.2"/>
    <row r="694" hidden="1" x14ac:dyDescent="0.2"/>
    <row r="695" hidden="1" x14ac:dyDescent="0.2"/>
    <row r="696" hidden="1" x14ac:dyDescent="0.2"/>
    <row r="697" hidden="1" x14ac:dyDescent="0.2"/>
    <row r="698" hidden="1" x14ac:dyDescent="0.2"/>
    <row r="699" hidden="1" x14ac:dyDescent="0.2"/>
    <row r="700" hidden="1" x14ac:dyDescent="0.2"/>
    <row r="701" hidden="1" x14ac:dyDescent="0.2"/>
    <row r="702" hidden="1" x14ac:dyDescent="0.2"/>
    <row r="703" hidden="1" x14ac:dyDescent="0.2"/>
    <row r="704" hidden="1" x14ac:dyDescent="0.2"/>
    <row r="705" hidden="1" x14ac:dyDescent="0.2"/>
    <row r="706" hidden="1" x14ac:dyDescent="0.2"/>
    <row r="707" hidden="1" x14ac:dyDescent="0.2"/>
    <row r="708" hidden="1" x14ac:dyDescent="0.2"/>
    <row r="709" hidden="1" x14ac:dyDescent="0.2"/>
    <row r="710" hidden="1" x14ac:dyDescent="0.2"/>
    <row r="711" hidden="1" x14ac:dyDescent="0.2"/>
    <row r="712" hidden="1" x14ac:dyDescent="0.2"/>
    <row r="713" hidden="1" x14ac:dyDescent="0.2"/>
    <row r="714" hidden="1" x14ac:dyDescent="0.2"/>
    <row r="715" hidden="1" x14ac:dyDescent="0.2"/>
    <row r="716" hidden="1" x14ac:dyDescent="0.2"/>
    <row r="717" hidden="1" x14ac:dyDescent="0.2"/>
    <row r="718" hidden="1" x14ac:dyDescent="0.2"/>
    <row r="719" hidden="1" x14ac:dyDescent="0.2"/>
    <row r="720" hidden="1" x14ac:dyDescent="0.2"/>
    <row r="721" hidden="1" x14ac:dyDescent="0.2"/>
    <row r="722" hidden="1" x14ac:dyDescent="0.2"/>
    <row r="723" hidden="1" x14ac:dyDescent="0.2"/>
    <row r="724" hidden="1" x14ac:dyDescent="0.2"/>
    <row r="725" hidden="1" x14ac:dyDescent="0.2"/>
    <row r="726" hidden="1" x14ac:dyDescent="0.2"/>
    <row r="727" hidden="1" x14ac:dyDescent="0.2"/>
    <row r="728" hidden="1" x14ac:dyDescent="0.2"/>
    <row r="729" hidden="1" x14ac:dyDescent="0.2"/>
    <row r="730" hidden="1" x14ac:dyDescent="0.2"/>
    <row r="731" hidden="1" x14ac:dyDescent="0.2"/>
    <row r="732" hidden="1" x14ac:dyDescent="0.2"/>
    <row r="733" hidden="1" x14ac:dyDescent="0.2"/>
    <row r="734" hidden="1" x14ac:dyDescent="0.2"/>
    <row r="735" hidden="1" x14ac:dyDescent="0.2"/>
    <row r="736" hidden="1" x14ac:dyDescent="0.2"/>
    <row r="737" hidden="1" x14ac:dyDescent="0.2"/>
    <row r="738" hidden="1" x14ac:dyDescent="0.2"/>
    <row r="739" hidden="1" x14ac:dyDescent="0.2"/>
    <row r="740" hidden="1" x14ac:dyDescent="0.2"/>
    <row r="741" hidden="1" x14ac:dyDescent="0.2"/>
    <row r="742" hidden="1" x14ac:dyDescent="0.2"/>
    <row r="743" hidden="1" x14ac:dyDescent="0.2"/>
    <row r="744" hidden="1" x14ac:dyDescent="0.2"/>
    <row r="745" hidden="1" x14ac:dyDescent="0.2"/>
    <row r="746" hidden="1" x14ac:dyDescent="0.2"/>
    <row r="747" hidden="1" x14ac:dyDescent="0.2"/>
    <row r="748" hidden="1" x14ac:dyDescent="0.2"/>
    <row r="749" hidden="1" x14ac:dyDescent="0.2"/>
    <row r="750" hidden="1" x14ac:dyDescent="0.2"/>
    <row r="751" hidden="1" x14ac:dyDescent="0.2"/>
    <row r="752" hidden="1" x14ac:dyDescent="0.2"/>
    <row r="753" hidden="1" x14ac:dyDescent="0.2"/>
    <row r="754" hidden="1" x14ac:dyDescent="0.2"/>
    <row r="755" hidden="1" x14ac:dyDescent="0.2"/>
    <row r="756" hidden="1" x14ac:dyDescent="0.2"/>
    <row r="757" hidden="1" x14ac:dyDescent="0.2"/>
    <row r="758" hidden="1" x14ac:dyDescent="0.2"/>
    <row r="759" hidden="1" x14ac:dyDescent="0.2"/>
    <row r="760" hidden="1" x14ac:dyDescent="0.2"/>
    <row r="761" hidden="1" x14ac:dyDescent="0.2"/>
    <row r="762" hidden="1" x14ac:dyDescent="0.2"/>
    <row r="763" hidden="1" x14ac:dyDescent="0.2"/>
    <row r="764" hidden="1" x14ac:dyDescent="0.2"/>
    <row r="765" hidden="1" x14ac:dyDescent="0.2"/>
    <row r="766" hidden="1" x14ac:dyDescent="0.2"/>
    <row r="767" hidden="1" x14ac:dyDescent="0.2"/>
    <row r="768" hidden="1" x14ac:dyDescent="0.2"/>
    <row r="769" hidden="1" x14ac:dyDescent="0.2"/>
    <row r="770" hidden="1" x14ac:dyDescent="0.2"/>
    <row r="771" hidden="1" x14ac:dyDescent="0.2"/>
    <row r="772" hidden="1" x14ac:dyDescent="0.2"/>
    <row r="773" hidden="1" x14ac:dyDescent="0.2"/>
    <row r="774" hidden="1" x14ac:dyDescent="0.2"/>
    <row r="775" hidden="1" x14ac:dyDescent="0.2"/>
    <row r="776" hidden="1" x14ac:dyDescent="0.2"/>
    <row r="777" hidden="1" x14ac:dyDescent="0.2"/>
    <row r="778" hidden="1" x14ac:dyDescent="0.2"/>
    <row r="779" hidden="1" x14ac:dyDescent="0.2"/>
    <row r="780" hidden="1" x14ac:dyDescent="0.2"/>
    <row r="781" hidden="1" x14ac:dyDescent="0.2"/>
    <row r="782" hidden="1" x14ac:dyDescent="0.2"/>
    <row r="783" hidden="1" x14ac:dyDescent="0.2"/>
    <row r="784" hidden="1" x14ac:dyDescent="0.2"/>
    <row r="785" hidden="1" x14ac:dyDescent="0.2"/>
    <row r="786" hidden="1" x14ac:dyDescent="0.2"/>
    <row r="787" hidden="1" x14ac:dyDescent="0.2"/>
    <row r="788" hidden="1" x14ac:dyDescent="0.2"/>
    <row r="789" hidden="1" x14ac:dyDescent="0.2"/>
    <row r="790" hidden="1" x14ac:dyDescent="0.2"/>
    <row r="791" hidden="1" x14ac:dyDescent="0.2"/>
    <row r="792" hidden="1" x14ac:dyDescent="0.2"/>
    <row r="793" hidden="1" x14ac:dyDescent="0.2"/>
    <row r="794" hidden="1" x14ac:dyDescent="0.2"/>
    <row r="795" hidden="1" x14ac:dyDescent="0.2"/>
    <row r="796" hidden="1" x14ac:dyDescent="0.2"/>
    <row r="797" hidden="1" x14ac:dyDescent="0.2"/>
    <row r="798" hidden="1" x14ac:dyDescent="0.2"/>
    <row r="799" hidden="1" x14ac:dyDescent="0.2"/>
    <row r="800" hidden="1" x14ac:dyDescent="0.2"/>
    <row r="801" hidden="1" x14ac:dyDescent="0.2"/>
    <row r="802" hidden="1" x14ac:dyDescent="0.2"/>
    <row r="803" hidden="1" x14ac:dyDescent="0.2"/>
    <row r="804" hidden="1" x14ac:dyDescent="0.2"/>
    <row r="805" hidden="1" x14ac:dyDescent="0.2"/>
    <row r="806" hidden="1" x14ac:dyDescent="0.2"/>
    <row r="807" hidden="1" x14ac:dyDescent="0.2"/>
    <row r="808" hidden="1" x14ac:dyDescent="0.2"/>
    <row r="809" hidden="1" x14ac:dyDescent="0.2"/>
    <row r="810" hidden="1" x14ac:dyDescent="0.2"/>
    <row r="811" hidden="1" x14ac:dyDescent="0.2"/>
    <row r="812" hidden="1" x14ac:dyDescent="0.2"/>
    <row r="813" hidden="1" x14ac:dyDescent="0.2"/>
    <row r="814" hidden="1" x14ac:dyDescent="0.2"/>
    <row r="815" hidden="1" x14ac:dyDescent="0.2"/>
    <row r="816" hidden="1" x14ac:dyDescent="0.2"/>
    <row r="817" hidden="1" x14ac:dyDescent="0.2"/>
    <row r="818" hidden="1" x14ac:dyDescent="0.2"/>
    <row r="819" hidden="1" x14ac:dyDescent="0.2"/>
    <row r="820" hidden="1" x14ac:dyDescent="0.2"/>
    <row r="821" hidden="1" x14ac:dyDescent="0.2"/>
    <row r="822" hidden="1" x14ac:dyDescent="0.2"/>
    <row r="823" hidden="1" x14ac:dyDescent="0.2"/>
    <row r="824" hidden="1" x14ac:dyDescent="0.2"/>
    <row r="825" hidden="1" x14ac:dyDescent="0.2"/>
    <row r="826" hidden="1" x14ac:dyDescent="0.2"/>
    <row r="827" hidden="1" x14ac:dyDescent="0.2"/>
    <row r="828" hidden="1" x14ac:dyDescent="0.2"/>
    <row r="829" hidden="1" x14ac:dyDescent="0.2"/>
    <row r="830" hidden="1" x14ac:dyDescent="0.2"/>
    <row r="831" hidden="1" x14ac:dyDescent="0.2"/>
    <row r="832" hidden="1" x14ac:dyDescent="0.2"/>
    <row r="833" hidden="1" x14ac:dyDescent="0.2"/>
    <row r="834" hidden="1" x14ac:dyDescent="0.2"/>
    <row r="835" hidden="1" x14ac:dyDescent="0.2"/>
    <row r="836" hidden="1" x14ac:dyDescent="0.2"/>
    <row r="837" hidden="1" x14ac:dyDescent="0.2"/>
    <row r="838" hidden="1" x14ac:dyDescent="0.2"/>
    <row r="839" hidden="1" x14ac:dyDescent="0.2"/>
    <row r="840" hidden="1" x14ac:dyDescent="0.2"/>
    <row r="841" hidden="1" x14ac:dyDescent="0.2"/>
    <row r="842" hidden="1" x14ac:dyDescent="0.2"/>
    <row r="843" hidden="1" x14ac:dyDescent="0.2"/>
    <row r="844" hidden="1" x14ac:dyDescent="0.2"/>
    <row r="845" hidden="1" x14ac:dyDescent="0.2"/>
    <row r="846" hidden="1" x14ac:dyDescent="0.2"/>
    <row r="847" hidden="1" x14ac:dyDescent="0.2"/>
    <row r="848" hidden="1" x14ac:dyDescent="0.2"/>
    <row r="849" hidden="1" x14ac:dyDescent="0.2"/>
    <row r="850" hidden="1" x14ac:dyDescent="0.2"/>
    <row r="851" hidden="1" x14ac:dyDescent="0.2"/>
    <row r="852" hidden="1" x14ac:dyDescent="0.2"/>
    <row r="853" hidden="1" x14ac:dyDescent="0.2"/>
    <row r="854" hidden="1" x14ac:dyDescent="0.2"/>
    <row r="855" hidden="1" x14ac:dyDescent="0.2"/>
    <row r="856" hidden="1" x14ac:dyDescent="0.2"/>
    <row r="857" hidden="1" x14ac:dyDescent="0.2"/>
    <row r="858" hidden="1" x14ac:dyDescent="0.2"/>
    <row r="859" hidden="1" x14ac:dyDescent="0.2"/>
    <row r="860" hidden="1" x14ac:dyDescent="0.2"/>
    <row r="861" hidden="1" x14ac:dyDescent="0.2"/>
    <row r="862" hidden="1" x14ac:dyDescent="0.2"/>
    <row r="863" hidden="1" x14ac:dyDescent="0.2"/>
    <row r="864" hidden="1" x14ac:dyDescent="0.2"/>
    <row r="865" hidden="1" x14ac:dyDescent="0.2"/>
    <row r="866" hidden="1" x14ac:dyDescent="0.2"/>
    <row r="867" hidden="1" x14ac:dyDescent="0.2"/>
    <row r="868" hidden="1" x14ac:dyDescent="0.2"/>
    <row r="869" hidden="1" x14ac:dyDescent="0.2"/>
    <row r="870" hidden="1" x14ac:dyDescent="0.2"/>
    <row r="871" hidden="1" x14ac:dyDescent="0.2"/>
    <row r="872" hidden="1" x14ac:dyDescent="0.2"/>
    <row r="873" hidden="1" x14ac:dyDescent="0.2"/>
    <row r="874" hidden="1" x14ac:dyDescent="0.2"/>
    <row r="875" hidden="1" x14ac:dyDescent="0.2"/>
    <row r="876" hidden="1" x14ac:dyDescent="0.2"/>
    <row r="877" hidden="1" x14ac:dyDescent="0.2"/>
    <row r="878" hidden="1" x14ac:dyDescent="0.2"/>
    <row r="879" hidden="1" x14ac:dyDescent="0.2"/>
    <row r="880" hidden="1" x14ac:dyDescent="0.2"/>
    <row r="881" hidden="1" x14ac:dyDescent="0.2"/>
    <row r="882" hidden="1" x14ac:dyDescent="0.2"/>
    <row r="883" hidden="1" x14ac:dyDescent="0.2"/>
    <row r="884" hidden="1" x14ac:dyDescent="0.2"/>
    <row r="885" hidden="1" x14ac:dyDescent="0.2"/>
    <row r="886" hidden="1" x14ac:dyDescent="0.2"/>
    <row r="887" hidden="1" x14ac:dyDescent="0.2"/>
    <row r="888" hidden="1" x14ac:dyDescent="0.2"/>
    <row r="889" hidden="1" x14ac:dyDescent="0.2"/>
    <row r="890" hidden="1" x14ac:dyDescent="0.2"/>
    <row r="891" hidden="1" x14ac:dyDescent="0.2"/>
    <row r="892" hidden="1" x14ac:dyDescent="0.2"/>
    <row r="893" hidden="1" x14ac:dyDescent="0.2"/>
    <row r="894" hidden="1" x14ac:dyDescent="0.2"/>
    <row r="895" hidden="1" x14ac:dyDescent="0.2"/>
    <row r="896" hidden="1" x14ac:dyDescent="0.2"/>
    <row r="897" hidden="1" x14ac:dyDescent="0.2"/>
    <row r="898" hidden="1" x14ac:dyDescent="0.2"/>
    <row r="899" hidden="1" x14ac:dyDescent="0.2"/>
    <row r="900" hidden="1" x14ac:dyDescent="0.2"/>
    <row r="901" hidden="1" x14ac:dyDescent="0.2"/>
    <row r="902" hidden="1" x14ac:dyDescent="0.2"/>
    <row r="903" hidden="1" x14ac:dyDescent="0.2"/>
    <row r="904" hidden="1" x14ac:dyDescent="0.2"/>
    <row r="905" hidden="1" x14ac:dyDescent="0.2"/>
    <row r="906" hidden="1" x14ac:dyDescent="0.2"/>
    <row r="907" hidden="1" x14ac:dyDescent="0.2"/>
    <row r="908" hidden="1" x14ac:dyDescent="0.2"/>
    <row r="909" hidden="1" x14ac:dyDescent="0.2"/>
    <row r="910" hidden="1" x14ac:dyDescent="0.2"/>
    <row r="911" hidden="1" x14ac:dyDescent="0.2"/>
    <row r="912" hidden="1" x14ac:dyDescent="0.2"/>
    <row r="913" hidden="1" x14ac:dyDescent="0.2"/>
    <row r="914" hidden="1" x14ac:dyDescent="0.2"/>
    <row r="915" hidden="1" x14ac:dyDescent="0.2"/>
    <row r="916" hidden="1" x14ac:dyDescent="0.2"/>
    <row r="917" hidden="1" x14ac:dyDescent="0.2"/>
    <row r="918" hidden="1" x14ac:dyDescent="0.2"/>
    <row r="919" hidden="1" x14ac:dyDescent="0.2"/>
    <row r="920" hidden="1" x14ac:dyDescent="0.2"/>
    <row r="921" hidden="1" x14ac:dyDescent="0.2"/>
    <row r="922" hidden="1" x14ac:dyDescent="0.2"/>
    <row r="923" hidden="1" x14ac:dyDescent="0.2"/>
    <row r="924" hidden="1" x14ac:dyDescent="0.2"/>
    <row r="925" hidden="1" x14ac:dyDescent="0.2"/>
    <row r="926" hidden="1" x14ac:dyDescent="0.2"/>
    <row r="927" hidden="1" x14ac:dyDescent="0.2"/>
    <row r="928" hidden="1" x14ac:dyDescent="0.2"/>
    <row r="929" hidden="1" x14ac:dyDescent="0.2"/>
    <row r="930" hidden="1" x14ac:dyDescent="0.2"/>
    <row r="931" hidden="1" x14ac:dyDescent="0.2"/>
    <row r="932" hidden="1" x14ac:dyDescent="0.2"/>
    <row r="933" hidden="1" x14ac:dyDescent="0.2"/>
    <row r="934" hidden="1" x14ac:dyDescent="0.2"/>
    <row r="935" hidden="1" x14ac:dyDescent="0.2"/>
    <row r="936" hidden="1" x14ac:dyDescent="0.2"/>
    <row r="937" hidden="1" x14ac:dyDescent="0.2"/>
    <row r="938" hidden="1" x14ac:dyDescent="0.2"/>
    <row r="939" hidden="1" x14ac:dyDescent="0.2"/>
    <row r="940" hidden="1" x14ac:dyDescent="0.2"/>
    <row r="941" hidden="1" x14ac:dyDescent="0.2"/>
    <row r="942" hidden="1" x14ac:dyDescent="0.2"/>
    <row r="943" hidden="1" x14ac:dyDescent="0.2"/>
    <row r="944" hidden="1" x14ac:dyDescent="0.2"/>
    <row r="945" hidden="1" x14ac:dyDescent="0.2"/>
    <row r="946" hidden="1" x14ac:dyDescent="0.2"/>
    <row r="947" hidden="1" x14ac:dyDescent="0.2"/>
    <row r="948" hidden="1" x14ac:dyDescent="0.2"/>
    <row r="949" hidden="1" x14ac:dyDescent="0.2"/>
    <row r="950" hidden="1" x14ac:dyDescent="0.2"/>
    <row r="951" hidden="1" x14ac:dyDescent="0.2"/>
    <row r="952" hidden="1" x14ac:dyDescent="0.2"/>
    <row r="953" hidden="1" x14ac:dyDescent="0.2"/>
    <row r="954" hidden="1" x14ac:dyDescent="0.2"/>
    <row r="955" hidden="1" x14ac:dyDescent="0.2"/>
    <row r="956" hidden="1" x14ac:dyDescent="0.2"/>
    <row r="957" hidden="1" x14ac:dyDescent="0.2"/>
    <row r="958" hidden="1" x14ac:dyDescent="0.2"/>
    <row r="959" hidden="1" x14ac:dyDescent="0.2"/>
    <row r="960" hidden="1" x14ac:dyDescent="0.2"/>
    <row r="961" hidden="1" x14ac:dyDescent="0.2"/>
    <row r="962" hidden="1" x14ac:dyDescent="0.2"/>
    <row r="963" hidden="1" x14ac:dyDescent="0.2"/>
    <row r="964" hidden="1" x14ac:dyDescent="0.2"/>
    <row r="965" hidden="1" x14ac:dyDescent="0.2"/>
    <row r="966" hidden="1" x14ac:dyDescent="0.2"/>
    <row r="967" hidden="1" x14ac:dyDescent="0.2"/>
    <row r="968" hidden="1" x14ac:dyDescent="0.2"/>
    <row r="969" hidden="1" x14ac:dyDescent="0.2"/>
    <row r="970" hidden="1" x14ac:dyDescent="0.2"/>
    <row r="971" hidden="1" x14ac:dyDescent="0.2"/>
    <row r="972" hidden="1" x14ac:dyDescent="0.2"/>
    <row r="973" hidden="1" x14ac:dyDescent="0.2"/>
    <row r="974" hidden="1" x14ac:dyDescent="0.2"/>
    <row r="975" hidden="1" x14ac:dyDescent="0.2"/>
    <row r="976" hidden="1" x14ac:dyDescent="0.2"/>
    <row r="977" hidden="1" x14ac:dyDescent="0.2"/>
    <row r="978" hidden="1" x14ac:dyDescent="0.2"/>
    <row r="979" hidden="1" x14ac:dyDescent="0.2"/>
    <row r="980" hidden="1" x14ac:dyDescent="0.2"/>
    <row r="981" hidden="1" x14ac:dyDescent="0.2"/>
    <row r="982" hidden="1" x14ac:dyDescent="0.2"/>
    <row r="983" hidden="1" x14ac:dyDescent="0.2"/>
    <row r="984" hidden="1" x14ac:dyDescent="0.2"/>
    <row r="985" hidden="1" x14ac:dyDescent="0.2"/>
    <row r="986" hidden="1" x14ac:dyDescent="0.2"/>
    <row r="987" hidden="1" x14ac:dyDescent="0.2"/>
    <row r="988" hidden="1" x14ac:dyDescent="0.2"/>
    <row r="989" hidden="1" x14ac:dyDescent="0.2"/>
    <row r="990" hidden="1" x14ac:dyDescent="0.2"/>
    <row r="991" hidden="1" x14ac:dyDescent="0.2"/>
    <row r="992" hidden="1" x14ac:dyDescent="0.2"/>
    <row r="993" hidden="1" x14ac:dyDescent="0.2"/>
    <row r="994" hidden="1" x14ac:dyDescent="0.2"/>
    <row r="995" hidden="1" x14ac:dyDescent="0.2"/>
    <row r="996" hidden="1" x14ac:dyDescent="0.2"/>
    <row r="997" hidden="1" x14ac:dyDescent="0.2"/>
    <row r="998" hidden="1" x14ac:dyDescent="0.2"/>
    <row r="999" hidden="1" x14ac:dyDescent="0.2"/>
    <row r="1000" hidden="1" x14ac:dyDescent="0.2"/>
    <row r="1001" hidden="1" x14ac:dyDescent="0.2"/>
    <row r="1002" hidden="1" x14ac:dyDescent="0.2"/>
    <row r="1003" hidden="1" x14ac:dyDescent="0.2"/>
    <row r="1004" hidden="1" x14ac:dyDescent="0.2"/>
    <row r="1005" hidden="1" x14ac:dyDescent="0.2"/>
    <row r="1006" hidden="1" x14ac:dyDescent="0.2"/>
    <row r="1007" hidden="1" x14ac:dyDescent="0.2"/>
    <row r="1008" hidden="1" x14ac:dyDescent="0.2"/>
    <row r="1009" hidden="1" x14ac:dyDescent="0.2"/>
    <row r="1010" hidden="1" x14ac:dyDescent="0.2"/>
    <row r="1011" hidden="1" x14ac:dyDescent="0.2"/>
    <row r="1012" hidden="1" x14ac:dyDescent="0.2"/>
    <row r="1013" hidden="1" x14ac:dyDescent="0.2"/>
    <row r="1014" hidden="1" x14ac:dyDescent="0.2"/>
    <row r="1015" hidden="1" x14ac:dyDescent="0.2"/>
    <row r="1016" hidden="1" x14ac:dyDescent="0.2"/>
    <row r="1017" hidden="1" x14ac:dyDescent="0.2"/>
    <row r="1018" hidden="1" x14ac:dyDescent="0.2"/>
    <row r="1019" hidden="1" x14ac:dyDescent="0.2"/>
    <row r="1020" hidden="1" x14ac:dyDescent="0.2"/>
    <row r="1021" hidden="1" x14ac:dyDescent="0.2"/>
    <row r="1022" hidden="1" x14ac:dyDescent="0.2"/>
    <row r="1023" hidden="1" x14ac:dyDescent="0.2"/>
    <row r="1024" hidden="1" x14ac:dyDescent="0.2"/>
    <row r="1025" hidden="1" x14ac:dyDescent="0.2"/>
    <row r="1026" hidden="1" x14ac:dyDescent="0.2"/>
    <row r="1027" hidden="1" x14ac:dyDescent="0.2"/>
    <row r="1028" hidden="1" x14ac:dyDescent="0.2"/>
    <row r="1029" hidden="1" x14ac:dyDescent="0.2"/>
    <row r="1030" hidden="1" x14ac:dyDescent="0.2"/>
    <row r="1031" hidden="1" x14ac:dyDescent="0.2"/>
    <row r="1032" hidden="1" x14ac:dyDescent="0.2"/>
    <row r="1033" hidden="1" x14ac:dyDescent="0.2"/>
    <row r="1034" hidden="1" x14ac:dyDescent="0.2"/>
    <row r="1035" hidden="1" x14ac:dyDescent="0.2"/>
    <row r="1036" hidden="1" x14ac:dyDescent="0.2"/>
    <row r="1037" hidden="1" x14ac:dyDescent="0.2"/>
    <row r="1038" hidden="1" x14ac:dyDescent="0.2"/>
    <row r="1039" hidden="1" x14ac:dyDescent="0.2"/>
    <row r="1040" hidden="1" x14ac:dyDescent="0.2"/>
    <row r="1041" hidden="1" x14ac:dyDescent="0.2"/>
    <row r="1042" hidden="1" x14ac:dyDescent="0.2"/>
    <row r="1043" hidden="1" x14ac:dyDescent="0.2"/>
    <row r="1044" hidden="1" x14ac:dyDescent="0.2"/>
    <row r="1045" hidden="1" x14ac:dyDescent="0.2"/>
    <row r="1046" hidden="1" x14ac:dyDescent="0.2"/>
    <row r="1047" hidden="1" x14ac:dyDescent="0.2"/>
    <row r="1048" hidden="1" x14ac:dyDescent="0.2"/>
    <row r="1049" hidden="1" x14ac:dyDescent="0.2"/>
    <row r="1050" hidden="1" x14ac:dyDescent="0.2"/>
    <row r="1051" hidden="1" x14ac:dyDescent="0.2"/>
    <row r="1052" hidden="1" x14ac:dyDescent="0.2"/>
    <row r="1053" hidden="1" x14ac:dyDescent="0.2"/>
    <row r="1054" hidden="1" x14ac:dyDescent="0.2"/>
    <row r="1055" hidden="1" x14ac:dyDescent="0.2"/>
    <row r="1056" hidden="1" x14ac:dyDescent="0.2"/>
    <row r="1057" hidden="1" x14ac:dyDescent="0.2"/>
    <row r="1058" hidden="1" x14ac:dyDescent="0.2"/>
    <row r="1059" hidden="1" x14ac:dyDescent="0.2"/>
    <row r="1060" hidden="1" x14ac:dyDescent="0.2"/>
    <row r="1061" hidden="1" x14ac:dyDescent="0.2"/>
    <row r="1062" hidden="1" x14ac:dyDescent="0.2"/>
    <row r="1063" hidden="1" x14ac:dyDescent="0.2"/>
    <row r="1064" hidden="1" x14ac:dyDescent="0.2"/>
    <row r="1065" hidden="1" x14ac:dyDescent="0.2"/>
    <row r="1066" hidden="1" x14ac:dyDescent="0.2"/>
    <row r="1067" hidden="1" x14ac:dyDescent="0.2"/>
    <row r="1068" hidden="1" x14ac:dyDescent="0.2"/>
    <row r="1069" hidden="1" x14ac:dyDescent="0.2"/>
    <row r="1070" hidden="1" x14ac:dyDescent="0.2"/>
    <row r="1071" hidden="1" x14ac:dyDescent="0.2"/>
    <row r="1072" hidden="1" x14ac:dyDescent="0.2"/>
    <row r="1073" hidden="1" x14ac:dyDescent="0.2"/>
    <row r="1074" hidden="1" x14ac:dyDescent="0.2"/>
    <row r="1075" hidden="1" x14ac:dyDescent="0.2"/>
    <row r="1076" hidden="1" x14ac:dyDescent="0.2"/>
    <row r="1077" hidden="1" x14ac:dyDescent="0.2"/>
    <row r="1078" hidden="1" x14ac:dyDescent="0.2"/>
    <row r="1079" hidden="1" x14ac:dyDescent="0.2"/>
    <row r="1080" hidden="1" x14ac:dyDescent="0.2"/>
    <row r="1081" hidden="1" x14ac:dyDescent="0.2"/>
    <row r="1082" hidden="1" x14ac:dyDescent="0.2"/>
    <row r="1083" hidden="1" x14ac:dyDescent="0.2"/>
    <row r="1084" hidden="1" x14ac:dyDescent="0.2"/>
    <row r="1085" hidden="1" x14ac:dyDescent="0.2"/>
    <row r="1086" hidden="1" x14ac:dyDescent="0.2"/>
    <row r="1087" hidden="1" x14ac:dyDescent="0.2"/>
    <row r="1088" hidden="1" x14ac:dyDescent="0.2"/>
    <row r="1089" hidden="1" x14ac:dyDescent="0.2"/>
    <row r="1090" hidden="1" x14ac:dyDescent="0.2"/>
    <row r="1091" hidden="1" x14ac:dyDescent="0.2"/>
    <row r="1092" hidden="1" x14ac:dyDescent="0.2"/>
    <row r="1093" hidden="1" x14ac:dyDescent="0.2"/>
    <row r="1094" hidden="1" x14ac:dyDescent="0.2"/>
    <row r="1095" hidden="1" x14ac:dyDescent="0.2"/>
    <row r="1096" hidden="1" x14ac:dyDescent="0.2"/>
    <row r="1097" hidden="1" x14ac:dyDescent="0.2"/>
    <row r="1098" hidden="1" x14ac:dyDescent="0.2"/>
    <row r="1099" hidden="1" x14ac:dyDescent="0.2"/>
    <row r="1100" hidden="1" x14ac:dyDescent="0.2"/>
    <row r="1101" hidden="1" x14ac:dyDescent="0.2"/>
    <row r="1102" hidden="1" x14ac:dyDescent="0.2"/>
    <row r="1103" hidden="1" x14ac:dyDescent="0.2"/>
    <row r="1104" hidden="1" x14ac:dyDescent="0.2"/>
    <row r="1105" hidden="1" x14ac:dyDescent="0.2"/>
    <row r="1106" hidden="1" x14ac:dyDescent="0.2"/>
    <row r="1107" hidden="1" x14ac:dyDescent="0.2"/>
    <row r="1108" hidden="1" x14ac:dyDescent="0.2"/>
    <row r="1109" hidden="1" x14ac:dyDescent="0.2"/>
    <row r="1110" hidden="1" x14ac:dyDescent="0.2"/>
    <row r="1111" hidden="1" x14ac:dyDescent="0.2"/>
    <row r="1112" hidden="1" x14ac:dyDescent="0.2"/>
    <row r="1113" hidden="1" x14ac:dyDescent="0.2"/>
    <row r="1114" hidden="1" x14ac:dyDescent="0.2"/>
    <row r="1115" hidden="1" x14ac:dyDescent="0.2"/>
    <row r="1116" hidden="1" x14ac:dyDescent="0.2"/>
    <row r="1117" hidden="1" x14ac:dyDescent="0.2"/>
    <row r="1118" hidden="1" x14ac:dyDescent="0.2"/>
    <row r="1119" hidden="1" x14ac:dyDescent="0.2"/>
    <row r="1120" hidden="1" x14ac:dyDescent="0.2"/>
    <row r="1121" hidden="1" x14ac:dyDescent="0.2"/>
    <row r="1122" hidden="1" x14ac:dyDescent="0.2"/>
    <row r="1123" hidden="1" x14ac:dyDescent="0.2"/>
    <row r="1124" hidden="1" x14ac:dyDescent="0.2"/>
    <row r="1125" hidden="1" x14ac:dyDescent="0.2"/>
    <row r="1126" hidden="1" x14ac:dyDescent="0.2"/>
    <row r="1127" hidden="1" x14ac:dyDescent="0.2"/>
    <row r="1128" hidden="1" x14ac:dyDescent="0.2"/>
    <row r="1129" hidden="1" x14ac:dyDescent="0.2"/>
    <row r="1130" hidden="1" x14ac:dyDescent="0.2"/>
    <row r="1131" hidden="1" x14ac:dyDescent="0.2"/>
    <row r="1132" hidden="1" x14ac:dyDescent="0.2"/>
    <row r="1133" hidden="1" x14ac:dyDescent="0.2"/>
    <row r="1134" hidden="1" x14ac:dyDescent="0.2"/>
    <row r="1135" hidden="1" x14ac:dyDescent="0.2"/>
    <row r="1136" hidden="1" x14ac:dyDescent="0.2"/>
    <row r="1137" hidden="1" x14ac:dyDescent="0.2"/>
    <row r="1138" hidden="1" x14ac:dyDescent="0.2"/>
    <row r="1139" hidden="1" x14ac:dyDescent="0.2"/>
    <row r="1140" hidden="1" x14ac:dyDescent="0.2"/>
    <row r="1141" hidden="1" x14ac:dyDescent="0.2"/>
    <row r="1142" hidden="1" x14ac:dyDescent="0.2"/>
    <row r="1143" hidden="1" x14ac:dyDescent="0.2"/>
    <row r="1144" hidden="1" x14ac:dyDescent="0.2"/>
    <row r="1145" hidden="1" x14ac:dyDescent="0.2"/>
    <row r="1146" hidden="1" x14ac:dyDescent="0.2"/>
    <row r="1147" hidden="1" x14ac:dyDescent="0.2"/>
    <row r="1148" hidden="1" x14ac:dyDescent="0.2"/>
    <row r="1149" hidden="1" x14ac:dyDescent="0.2"/>
    <row r="1150" hidden="1" x14ac:dyDescent="0.2"/>
    <row r="1151" hidden="1" x14ac:dyDescent="0.2"/>
    <row r="1152" hidden="1" x14ac:dyDescent="0.2"/>
    <row r="1153" hidden="1" x14ac:dyDescent="0.2"/>
    <row r="1154" hidden="1" x14ac:dyDescent="0.2"/>
    <row r="1155" hidden="1" x14ac:dyDescent="0.2"/>
    <row r="1156" hidden="1" x14ac:dyDescent="0.2"/>
    <row r="1157" hidden="1" x14ac:dyDescent="0.2"/>
    <row r="1158" hidden="1" x14ac:dyDescent="0.2"/>
    <row r="1159" hidden="1" x14ac:dyDescent="0.2"/>
    <row r="1160" hidden="1" x14ac:dyDescent="0.2"/>
    <row r="1161" hidden="1" x14ac:dyDescent="0.2"/>
    <row r="1162" hidden="1" x14ac:dyDescent="0.2"/>
    <row r="1163" hidden="1" x14ac:dyDescent="0.2"/>
    <row r="1164" hidden="1" x14ac:dyDescent="0.2"/>
    <row r="1165" hidden="1" x14ac:dyDescent="0.2"/>
    <row r="1166" hidden="1" x14ac:dyDescent="0.2"/>
    <row r="1167" hidden="1" x14ac:dyDescent="0.2"/>
    <row r="1168" hidden="1" x14ac:dyDescent="0.2"/>
    <row r="1169" hidden="1" x14ac:dyDescent="0.2"/>
    <row r="1170" hidden="1" x14ac:dyDescent="0.2"/>
    <row r="1171" hidden="1" x14ac:dyDescent="0.2"/>
    <row r="1172" hidden="1" x14ac:dyDescent="0.2"/>
    <row r="1173" hidden="1" x14ac:dyDescent="0.2"/>
    <row r="1174" hidden="1" x14ac:dyDescent="0.2"/>
    <row r="1175" hidden="1" x14ac:dyDescent="0.2"/>
    <row r="1176" hidden="1" x14ac:dyDescent="0.2"/>
    <row r="1177" hidden="1" x14ac:dyDescent="0.2"/>
    <row r="1178" hidden="1" x14ac:dyDescent="0.2"/>
    <row r="1179" hidden="1" x14ac:dyDescent="0.2"/>
    <row r="1180" hidden="1" x14ac:dyDescent="0.2"/>
    <row r="1181" hidden="1" x14ac:dyDescent="0.2"/>
    <row r="1182" hidden="1" x14ac:dyDescent="0.2"/>
    <row r="1183" hidden="1" x14ac:dyDescent="0.2"/>
    <row r="1184" hidden="1" x14ac:dyDescent="0.2"/>
    <row r="1185" hidden="1" x14ac:dyDescent="0.2"/>
    <row r="1186" hidden="1" x14ac:dyDescent="0.2"/>
    <row r="1187" hidden="1" x14ac:dyDescent="0.2"/>
    <row r="1188" hidden="1" x14ac:dyDescent="0.2"/>
    <row r="1189" hidden="1" x14ac:dyDescent="0.2"/>
    <row r="1190" hidden="1" x14ac:dyDescent="0.2"/>
    <row r="1191" hidden="1" x14ac:dyDescent="0.2"/>
    <row r="1192" hidden="1" x14ac:dyDescent="0.2"/>
    <row r="1193" hidden="1" x14ac:dyDescent="0.2"/>
    <row r="1194" hidden="1" x14ac:dyDescent="0.2"/>
    <row r="1195" hidden="1" x14ac:dyDescent="0.2"/>
    <row r="1196" hidden="1" x14ac:dyDescent="0.2"/>
    <row r="1197" hidden="1" x14ac:dyDescent="0.2"/>
    <row r="1198" hidden="1" x14ac:dyDescent="0.2"/>
    <row r="1199" hidden="1" x14ac:dyDescent="0.2"/>
    <row r="1200" hidden="1" x14ac:dyDescent="0.2"/>
    <row r="1201" hidden="1" x14ac:dyDescent="0.2"/>
    <row r="1202" hidden="1" x14ac:dyDescent="0.2"/>
    <row r="1203" hidden="1" x14ac:dyDescent="0.2"/>
    <row r="1204" hidden="1" x14ac:dyDescent="0.2"/>
    <row r="1205" hidden="1" x14ac:dyDescent="0.2"/>
    <row r="1206" hidden="1" x14ac:dyDescent="0.2"/>
    <row r="1207" hidden="1" x14ac:dyDescent="0.2"/>
    <row r="1208" hidden="1" x14ac:dyDescent="0.2"/>
    <row r="1209" hidden="1" x14ac:dyDescent="0.2"/>
    <row r="1210" hidden="1" x14ac:dyDescent="0.2"/>
    <row r="1211" hidden="1" x14ac:dyDescent="0.2"/>
    <row r="1212" hidden="1" x14ac:dyDescent="0.2"/>
    <row r="1213" hidden="1" x14ac:dyDescent="0.2"/>
    <row r="1214" hidden="1" x14ac:dyDescent="0.2"/>
    <row r="1215" hidden="1" x14ac:dyDescent="0.2"/>
    <row r="1216" hidden="1" x14ac:dyDescent="0.2"/>
    <row r="1217" hidden="1" x14ac:dyDescent="0.2"/>
    <row r="1218" hidden="1" x14ac:dyDescent="0.2"/>
    <row r="1219" hidden="1" x14ac:dyDescent="0.2"/>
    <row r="1220" hidden="1" x14ac:dyDescent="0.2"/>
    <row r="1221" hidden="1" x14ac:dyDescent="0.2"/>
    <row r="1222" hidden="1" x14ac:dyDescent="0.2"/>
    <row r="1223" hidden="1" x14ac:dyDescent="0.2"/>
    <row r="1224" hidden="1" x14ac:dyDescent="0.2"/>
    <row r="1225" hidden="1" x14ac:dyDescent="0.2"/>
    <row r="1226" hidden="1" x14ac:dyDescent="0.2"/>
    <row r="1227" hidden="1" x14ac:dyDescent="0.2"/>
    <row r="1228" hidden="1" x14ac:dyDescent="0.2"/>
    <row r="1229" hidden="1" x14ac:dyDescent="0.2"/>
    <row r="1230" hidden="1" x14ac:dyDescent="0.2"/>
    <row r="1231" hidden="1" x14ac:dyDescent="0.2"/>
    <row r="1232" hidden="1" x14ac:dyDescent="0.2"/>
    <row r="1233" hidden="1" x14ac:dyDescent="0.2"/>
    <row r="1234" hidden="1" x14ac:dyDescent="0.2"/>
    <row r="1235" hidden="1" x14ac:dyDescent="0.2"/>
    <row r="1236" hidden="1" x14ac:dyDescent="0.2"/>
    <row r="1237" hidden="1" x14ac:dyDescent="0.2"/>
    <row r="1238" hidden="1" x14ac:dyDescent="0.2"/>
    <row r="1239" hidden="1" x14ac:dyDescent="0.2"/>
    <row r="1240" hidden="1" x14ac:dyDescent="0.2"/>
    <row r="1241" hidden="1" x14ac:dyDescent="0.2"/>
    <row r="1242" hidden="1" x14ac:dyDescent="0.2"/>
    <row r="1243" hidden="1" x14ac:dyDescent="0.2"/>
    <row r="1244" hidden="1" x14ac:dyDescent="0.2"/>
    <row r="1245" hidden="1" x14ac:dyDescent="0.2"/>
    <row r="1246" hidden="1" x14ac:dyDescent="0.2"/>
    <row r="1247" hidden="1" x14ac:dyDescent="0.2"/>
    <row r="1248" hidden="1" x14ac:dyDescent="0.2"/>
    <row r="1249" hidden="1" x14ac:dyDescent="0.2"/>
    <row r="1250" hidden="1" x14ac:dyDescent="0.2"/>
    <row r="1251" hidden="1" x14ac:dyDescent="0.2"/>
    <row r="1252" hidden="1" x14ac:dyDescent="0.2"/>
    <row r="1253" hidden="1" x14ac:dyDescent="0.2"/>
    <row r="1254" hidden="1" x14ac:dyDescent="0.2"/>
    <row r="1255" hidden="1" x14ac:dyDescent="0.2"/>
    <row r="1256" hidden="1" x14ac:dyDescent="0.2"/>
    <row r="1257" hidden="1" x14ac:dyDescent="0.2"/>
    <row r="1258" hidden="1" x14ac:dyDescent="0.2"/>
    <row r="1259" hidden="1" x14ac:dyDescent="0.2"/>
    <row r="1260" hidden="1" x14ac:dyDescent="0.2"/>
    <row r="1261" hidden="1" x14ac:dyDescent="0.2"/>
    <row r="1262" hidden="1" x14ac:dyDescent="0.2"/>
    <row r="1263" hidden="1" x14ac:dyDescent="0.2"/>
    <row r="1264" hidden="1" x14ac:dyDescent="0.2"/>
    <row r="1265" hidden="1" x14ac:dyDescent="0.2"/>
    <row r="1266" hidden="1" x14ac:dyDescent="0.2"/>
    <row r="1267" hidden="1" x14ac:dyDescent="0.2"/>
    <row r="1268" hidden="1" x14ac:dyDescent="0.2"/>
    <row r="1269" hidden="1" x14ac:dyDescent="0.2"/>
    <row r="1270" hidden="1" x14ac:dyDescent="0.2"/>
    <row r="1271" hidden="1" x14ac:dyDescent="0.2"/>
    <row r="1272" hidden="1" x14ac:dyDescent="0.2"/>
    <row r="1273" hidden="1" x14ac:dyDescent="0.2"/>
    <row r="1274" hidden="1" x14ac:dyDescent="0.2"/>
    <row r="1275" hidden="1" x14ac:dyDescent="0.2"/>
    <row r="1276" hidden="1" x14ac:dyDescent="0.2"/>
    <row r="1277" hidden="1" x14ac:dyDescent="0.2"/>
    <row r="1278" hidden="1" x14ac:dyDescent="0.2"/>
    <row r="1279" hidden="1" x14ac:dyDescent="0.2"/>
    <row r="1280" hidden="1" x14ac:dyDescent="0.2"/>
    <row r="1281" hidden="1" x14ac:dyDescent="0.2"/>
    <row r="1282" hidden="1" x14ac:dyDescent="0.2"/>
    <row r="1283" hidden="1" x14ac:dyDescent="0.2"/>
    <row r="1284" hidden="1" x14ac:dyDescent="0.2"/>
    <row r="1285" hidden="1" x14ac:dyDescent="0.2"/>
    <row r="1286" hidden="1" x14ac:dyDescent="0.2"/>
    <row r="1287" hidden="1" x14ac:dyDescent="0.2"/>
    <row r="1288" hidden="1" x14ac:dyDescent="0.2"/>
    <row r="1289" hidden="1" x14ac:dyDescent="0.2"/>
    <row r="1290" hidden="1" x14ac:dyDescent="0.2"/>
    <row r="1291" hidden="1" x14ac:dyDescent="0.2"/>
    <row r="1292" hidden="1" x14ac:dyDescent="0.2"/>
    <row r="1293" hidden="1" x14ac:dyDescent="0.2"/>
    <row r="1294" hidden="1" x14ac:dyDescent="0.2"/>
    <row r="1295" hidden="1" x14ac:dyDescent="0.2"/>
    <row r="1296" hidden="1" x14ac:dyDescent="0.2"/>
    <row r="1297" hidden="1" x14ac:dyDescent="0.2"/>
    <row r="1298" hidden="1" x14ac:dyDescent="0.2"/>
    <row r="1299" hidden="1" x14ac:dyDescent="0.2"/>
    <row r="1300" hidden="1" x14ac:dyDescent="0.2"/>
    <row r="1301" hidden="1" x14ac:dyDescent="0.2"/>
    <row r="1302" hidden="1" x14ac:dyDescent="0.2"/>
    <row r="1303" hidden="1" x14ac:dyDescent="0.2"/>
    <row r="1304" hidden="1" x14ac:dyDescent="0.2"/>
    <row r="1305" hidden="1" x14ac:dyDescent="0.2"/>
    <row r="1306" hidden="1" x14ac:dyDescent="0.2"/>
    <row r="1307" hidden="1" x14ac:dyDescent="0.2"/>
    <row r="1308" hidden="1" x14ac:dyDescent="0.2"/>
    <row r="1309" hidden="1" x14ac:dyDescent="0.2"/>
    <row r="1310" hidden="1" x14ac:dyDescent="0.2"/>
    <row r="1311" hidden="1" x14ac:dyDescent="0.2"/>
    <row r="1312" hidden="1" x14ac:dyDescent="0.2"/>
    <row r="1313" hidden="1" x14ac:dyDescent="0.2"/>
    <row r="1314" hidden="1" x14ac:dyDescent="0.2"/>
    <row r="1315" hidden="1" x14ac:dyDescent="0.2"/>
    <row r="1316" hidden="1" x14ac:dyDescent="0.2"/>
    <row r="1317" hidden="1" x14ac:dyDescent="0.2"/>
    <row r="1318" hidden="1" x14ac:dyDescent="0.2"/>
    <row r="1319" hidden="1" x14ac:dyDescent="0.2"/>
    <row r="1320" hidden="1" x14ac:dyDescent="0.2"/>
    <row r="1321" hidden="1" x14ac:dyDescent="0.2"/>
    <row r="1322" hidden="1" x14ac:dyDescent="0.2"/>
    <row r="1323" hidden="1" x14ac:dyDescent="0.2"/>
    <row r="1324" hidden="1" x14ac:dyDescent="0.2"/>
    <row r="1325" hidden="1" x14ac:dyDescent="0.2"/>
    <row r="1326" hidden="1" x14ac:dyDescent="0.2"/>
    <row r="1327" hidden="1" x14ac:dyDescent="0.2"/>
    <row r="1328" hidden="1" x14ac:dyDescent="0.2"/>
    <row r="1329" hidden="1" x14ac:dyDescent="0.2"/>
    <row r="1330" hidden="1" x14ac:dyDescent="0.2"/>
    <row r="1331" hidden="1" x14ac:dyDescent="0.2"/>
    <row r="1332" hidden="1" x14ac:dyDescent="0.2"/>
    <row r="1333" hidden="1" x14ac:dyDescent="0.2"/>
    <row r="1334" hidden="1" x14ac:dyDescent="0.2"/>
    <row r="1335" hidden="1" x14ac:dyDescent="0.2"/>
    <row r="1336" hidden="1" x14ac:dyDescent="0.2"/>
    <row r="1337" hidden="1" x14ac:dyDescent="0.2"/>
    <row r="1338" hidden="1" x14ac:dyDescent="0.2"/>
    <row r="1339" hidden="1" x14ac:dyDescent="0.2"/>
    <row r="1340" hidden="1" x14ac:dyDescent="0.2"/>
    <row r="1341" hidden="1" x14ac:dyDescent="0.2"/>
    <row r="1342" hidden="1" x14ac:dyDescent="0.2"/>
    <row r="1343" hidden="1" x14ac:dyDescent="0.2"/>
    <row r="1344" hidden="1" x14ac:dyDescent="0.2"/>
    <row r="1345" hidden="1" x14ac:dyDescent="0.2"/>
    <row r="1346" hidden="1" x14ac:dyDescent="0.2"/>
    <row r="1347" hidden="1" x14ac:dyDescent="0.2"/>
    <row r="1348" hidden="1" x14ac:dyDescent="0.2"/>
    <row r="1349" hidden="1" x14ac:dyDescent="0.2"/>
    <row r="1350" hidden="1" x14ac:dyDescent="0.2"/>
    <row r="1351" hidden="1" x14ac:dyDescent="0.2"/>
    <row r="1352" hidden="1" x14ac:dyDescent="0.2"/>
    <row r="1353" hidden="1" x14ac:dyDescent="0.2"/>
    <row r="1354" hidden="1" x14ac:dyDescent="0.2"/>
    <row r="1355" hidden="1" x14ac:dyDescent="0.2"/>
    <row r="1356" hidden="1" x14ac:dyDescent="0.2"/>
    <row r="1357" hidden="1" x14ac:dyDescent="0.2"/>
    <row r="1358" hidden="1" x14ac:dyDescent="0.2"/>
    <row r="1359" hidden="1" x14ac:dyDescent="0.2"/>
    <row r="1360" hidden="1" x14ac:dyDescent="0.2"/>
    <row r="1361" hidden="1" x14ac:dyDescent="0.2"/>
    <row r="1362" hidden="1" x14ac:dyDescent="0.2"/>
    <row r="1363" hidden="1" x14ac:dyDescent="0.2"/>
    <row r="1364" hidden="1" x14ac:dyDescent="0.2"/>
    <row r="1365" hidden="1" x14ac:dyDescent="0.2"/>
    <row r="1366" hidden="1" x14ac:dyDescent="0.2"/>
    <row r="1367" hidden="1" x14ac:dyDescent="0.2"/>
    <row r="1368" hidden="1" x14ac:dyDescent="0.2"/>
    <row r="1369" hidden="1" x14ac:dyDescent="0.2"/>
    <row r="1370" hidden="1" x14ac:dyDescent="0.2"/>
    <row r="1371" hidden="1" x14ac:dyDescent="0.2"/>
    <row r="1372" hidden="1" x14ac:dyDescent="0.2"/>
    <row r="1373" hidden="1" x14ac:dyDescent="0.2"/>
    <row r="1374" hidden="1" x14ac:dyDescent="0.2"/>
    <row r="1375" hidden="1" x14ac:dyDescent="0.2"/>
    <row r="1376" hidden="1" x14ac:dyDescent="0.2"/>
    <row r="1377" hidden="1" x14ac:dyDescent="0.2"/>
    <row r="1378" hidden="1" x14ac:dyDescent="0.2"/>
    <row r="1379" hidden="1" x14ac:dyDescent="0.2"/>
    <row r="1380" hidden="1" x14ac:dyDescent="0.2"/>
    <row r="1381" hidden="1" x14ac:dyDescent="0.2"/>
    <row r="1382" hidden="1" x14ac:dyDescent="0.2"/>
    <row r="1383" hidden="1" x14ac:dyDescent="0.2"/>
    <row r="1384" hidden="1" x14ac:dyDescent="0.2"/>
    <row r="1385" hidden="1" x14ac:dyDescent="0.2"/>
    <row r="1386" hidden="1" x14ac:dyDescent="0.2"/>
    <row r="1387" hidden="1" x14ac:dyDescent="0.2"/>
    <row r="1388" hidden="1" x14ac:dyDescent="0.2"/>
    <row r="1389" hidden="1" x14ac:dyDescent="0.2"/>
    <row r="1390" hidden="1" x14ac:dyDescent="0.2"/>
    <row r="1391" hidden="1" x14ac:dyDescent="0.2"/>
    <row r="1392" hidden="1" x14ac:dyDescent="0.2"/>
    <row r="1393" hidden="1" x14ac:dyDescent="0.2"/>
    <row r="1394" hidden="1" x14ac:dyDescent="0.2"/>
    <row r="1395" hidden="1" x14ac:dyDescent="0.2"/>
    <row r="1396" hidden="1" x14ac:dyDescent="0.2"/>
    <row r="1397" hidden="1" x14ac:dyDescent="0.2"/>
    <row r="1398" hidden="1" x14ac:dyDescent="0.2"/>
    <row r="1399" hidden="1" x14ac:dyDescent="0.2"/>
    <row r="1400" hidden="1" x14ac:dyDescent="0.2"/>
    <row r="1401" hidden="1" x14ac:dyDescent="0.2"/>
    <row r="1402" hidden="1" x14ac:dyDescent="0.2"/>
    <row r="1403" hidden="1" x14ac:dyDescent="0.2"/>
    <row r="1404" hidden="1" x14ac:dyDescent="0.2"/>
    <row r="1405" hidden="1" x14ac:dyDescent="0.2"/>
    <row r="1406" hidden="1" x14ac:dyDescent="0.2"/>
    <row r="1407" hidden="1" x14ac:dyDescent="0.2"/>
    <row r="1408" hidden="1" x14ac:dyDescent="0.2"/>
    <row r="1409" hidden="1" x14ac:dyDescent="0.2"/>
    <row r="1410" hidden="1" x14ac:dyDescent="0.2"/>
    <row r="1411" hidden="1" x14ac:dyDescent="0.2"/>
    <row r="1412" hidden="1" x14ac:dyDescent="0.2"/>
    <row r="1413" hidden="1" x14ac:dyDescent="0.2"/>
    <row r="1414" hidden="1" x14ac:dyDescent="0.2"/>
    <row r="1415" hidden="1" x14ac:dyDescent="0.2"/>
    <row r="1416" hidden="1" x14ac:dyDescent="0.2"/>
    <row r="1417" hidden="1" x14ac:dyDescent="0.2"/>
    <row r="1418" hidden="1" x14ac:dyDescent="0.2"/>
    <row r="1419" hidden="1" x14ac:dyDescent="0.2"/>
    <row r="1420" hidden="1" x14ac:dyDescent="0.2"/>
    <row r="1421" hidden="1" x14ac:dyDescent="0.2"/>
    <row r="1422" hidden="1" x14ac:dyDescent="0.2"/>
    <row r="1423" hidden="1" x14ac:dyDescent="0.2"/>
    <row r="1424" hidden="1" x14ac:dyDescent="0.2"/>
    <row r="1425" hidden="1" x14ac:dyDescent="0.2"/>
    <row r="1426" hidden="1" x14ac:dyDescent="0.2"/>
    <row r="1427" hidden="1" x14ac:dyDescent="0.2"/>
    <row r="1428" hidden="1" x14ac:dyDescent="0.2"/>
    <row r="1429" hidden="1" x14ac:dyDescent="0.2"/>
    <row r="1430" hidden="1" x14ac:dyDescent="0.2"/>
    <row r="1431" hidden="1" x14ac:dyDescent="0.2"/>
    <row r="1432" hidden="1" x14ac:dyDescent="0.2"/>
    <row r="1433" hidden="1" x14ac:dyDescent="0.2"/>
    <row r="1434" hidden="1" x14ac:dyDescent="0.2"/>
    <row r="1435" hidden="1" x14ac:dyDescent="0.2"/>
    <row r="1436" hidden="1" x14ac:dyDescent="0.2"/>
    <row r="1437" hidden="1" x14ac:dyDescent="0.2"/>
    <row r="1438" hidden="1" x14ac:dyDescent="0.2"/>
    <row r="1439" hidden="1" x14ac:dyDescent="0.2"/>
    <row r="1440" hidden="1" x14ac:dyDescent="0.2"/>
    <row r="1441" hidden="1" x14ac:dyDescent="0.2"/>
    <row r="1442" hidden="1" x14ac:dyDescent="0.2"/>
    <row r="1443" hidden="1" x14ac:dyDescent="0.2"/>
    <row r="1444" hidden="1" x14ac:dyDescent="0.2"/>
    <row r="1445" hidden="1" x14ac:dyDescent="0.2"/>
    <row r="1446" hidden="1" x14ac:dyDescent="0.2"/>
    <row r="1447" hidden="1" x14ac:dyDescent="0.2"/>
    <row r="1448" hidden="1" x14ac:dyDescent="0.2"/>
    <row r="1449" hidden="1" x14ac:dyDescent="0.2"/>
    <row r="1450" hidden="1" x14ac:dyDescent="0.2"/>
    <row r="1451" hidden="1" x14ac:dyDescent="0.2"/>
    <row r="1452" hidden="1" x14ac:dyDescent="0.2"/>
    <row r="1453" hidden="1" x14ac:dyDescent="0.2"/>
    <row r="1454" hidden="1" x14ac:dyDescent="0.2"/>
    <row r="1455" hidden="1" x14ac:dyDescent="0.2"/>
    <row r="1456" hidden="1" x14ac:dyDescent="0.2"/>
    <row r="1457" hidden="1" x14ac:dyDescent="0.2"/>
    <row r="1458" hidden="1" x14ac:dyDescent="0.2"/>
    <row r="1459" hidden="1" x14ac:dyDescent="0.2"/>
    <row r="1460" hidden="1" x14ac:dyDescent="0.2"/>
    <row r="1461" hidden="1" x14ac:dyDescent="0.2"/>
    <row r="1462" hidden="1" x14ac:dyDescent="0.2"/>
    <row r="1463" hidden="1" x14ac:dyDescent="0.2"/>
    <row r="1464" hidden="1" x14ac:dyDescent="0.2"/>
    <row r="1465" hidden="1" x14ac:dyDescent="0.2"/>
    <row r="1466" hidden="1" x14ac:dyDescent="0.2"/>
    <row r="1467" hidden="1" x14ac:dyDescent="0.2"/>
    <row r="1468" hidden="1" x14ac:dyDescent="0.2"/>
    <row r="1469" hidden="1" x14ac:dyDescent="0.2"/>
    <row r="1470" hidden="1" x14ac:dyDescent="0.2"/>
    <row r="1471" hidden="1" x14ac:dyDescent="0.2"/>
    <row r="1472" hidden="1" x14ac:dyDescent="0.2"/>
    <row r="1473" hidden="1" x14ac:dyDescent="0.2"/>
    <row r="1474" hidden="1" x14ac:dyDescent="0.2"/>
    <row r="1475" hidden="1" x14ac:dyDescent="0.2"/>
    <row r="1476" hidden="1" x14ac:dyDescent="0.2"/>
    <row r="1477" hidden="1" x14ac:dyDescent="0.2"/>
    <row r="1478" hidden="1" x14ac:dyDescent="0.2"/>
    <row r="1479" hidden="1" x14ac:dyDescent="0.2"/>
    <row r="1480" hidden="1" x14ac:dyDescent="0.2"/>
    <row r="1481" hidden="1" x14ac:dyDescent="0.2"/>
    <row r="1482" hidden="1" x14ac:dyDescent="0.2"/>
    <row r="1483" hidden="1" x14ac:dyDescent="0.2"/>
    <row r="1484" hidden="1" x14ac:dyDescent="0.2"/>
    <row r="1485" hidden="1" x14ac:dyDescent="0.2"/>
    <row r="1486" hidden="1" x14ac:dyDescent="0.2"/>
    <row r="1487" hidden="1" x14ac:dyDescent="0.2"/>
    <row r="1488" hidden="1" x14ac:dyDescent="0.2"/>
    <row r="1489" hidden="1" x14ac:dyDescent="0.2"/>
    <row r="1490" hidden="1" x14ac:dyDescent="0.2"/>
    <row r="1491" hidden="1" x14ac:dyDescent="0.2"/>
    <row r="1492" hidden="1" x14ac:dyDescent="0.2"/>
    <row r="1493" hidden="1" x14ac:dyDescent="0.2"/>
    <row r="1494" hidden="1" x14ac:dyDescent="0.2"/>
    <row r="1495" hidden="1" x14ac:dyDescent="0.2"/>
    <row r="1496" hidden="1" x14ac:dyDescent="0.2"/>
    <row r="1497" hidden="1" x14ac:dyDescent="0.2"/>
    <row r="1498" hidden="1" x14ac:dyDescent="0.2"/>
    <row r="1499" hidden="1" x14ac:dyDescent="0.2"/>
    <row r="1500" hidden="1" x14ac:dyDescent="0.2"/>
    <row r="1501" hidden="1" x14ac:dyDescent="0.2"/>
    <row r="1502" hidden="1" x14ac:dyDescent="0.2"/>
    <row r="1503" hidden="1" x14ac:dyDescent="0.2"/>
    <row r="1504" hidden="1" x14ac:dyDescent="0.2"/>
    <row r="1505" hidden="1" x14ac:dyDescent="0.2"/>
    <row r="1506" hidden="1" x14ac:dyDescent="0.2"/>
    <row r="1507" hidden="1" x14ac:dyDescent="0.2"/>
    <row r="1508" hidden="1" x14ac:dyDescent="0.2"/>
    <row r="1509" hidden="1" x14ac:dyDescent="0.2"/>
    <row r="1510" hidden="1" x14ac:dyDescent="0.2"/>
    <row r="1511" hidden="1" x14ac:dyDescent="0.2"/>
    <row r="1512" hidden="1" x14ac:dyDescent="0.2"/>
    <row r="1513" hidden="1" x14ac:dyDescent="0.2"/>
    <row r="1514" hidden="1" x14ac:dyDescent="0.2"/>
    <row r="1515" hidden="1" x14ac:dyDescent="0.2"/>
    <row r="1516" hidden="1" x14ac:dyDescent="0.2"/>
    <row r="1517" hidden="1" x14ac:dyDescent="0.2"/>
    <row r="1518" hidden="1" x14ac:dyDescent="0.2"/>
    <row r="1519" hidden="1" x14ac:dyDescent="0.2"/>
    <row r="1520" hidden="1" x14ac:dyDescent="0.2"/>
    <row r="1521" hidden="1" x14ac:dyDescent="0.2"/>
    <row r="1522" hidden="1" x14ac:dyDescent="0.2"/>
    <row r="1523" hidden="1" x14ac:dyDescent="0.2"/>
    <row r="1524" hidden="1" x14ac:dyDescent="0.2"/>
    <row r="1525" hidden="1" x14ac:dyDescent="0.2"/>
    <row r="1526" hidden="1" x14ac:dyDescent="0.2"/>
    <row r="1527" hidden="1" x14ac:dyDescent="0.2"/>
    <row r="1528" hidden="1" x14ac:dyDescent="0.2"/>
    <row r="1529" hidden="1" x14ac:dyDescent="0.2"/>
    <row r="1530" hidden="1" x14ac:dyDescent="0.2"/>
    <row r="1531" hidden="1" x14ac:dyDescent="0.2"/>
    <row r="1532" hidden="1" x14ac:dyDescent="0.2"/>
    <row r="1533" hidden="1" x14ac:dyDescent="0.2"/>
    <row r="1534" hidden="1" x14ac:dyDescent="0.2"/>
    <row r="1535" hidden="1" x14ac:dyDescent="0.2"/>
    <row r="1536" hidden="1" x14ac:dyDescent="0.2"/>
    <row r="1537" hidden="1" x14ac:dyDescent="0.2"/>
    <row r="1538" hidden="1" x14ac:dyDescent="0.2"/>
    <row r="1539" hidden="1" x14ac:dyDescent="0.2"/>
    <row r="1540" hidden="1" x14ac:dyDescent="0.2"/>
    <row r="1541" hidden="1" x14ac:dyDescent="0.2"/>
    <row r="1542" hidden="1" x14ac:dyDescent="0.2"/>
    <row r="1543" hidden="1" x14ac:dyDescent="0.2"/>
    <row r="1544" hidden="1" x14ac:dyDescent="0.2"/>
    <row r="1545" hidden="1" x14ac:dyDescent="0.2"/>
    <row r="1546" hidden="1" x14ac:dyDescent="0.2"/>
    <row r="1547" hidden="1" x14ac:dyDescent="0.2"/>
    <row r="1548" hidden="1" x14ac:dyDescent="0.2"/>
    <row r="1549" hidden="1" x14ac:dyDescent="0.2"/>
    <row r="1550" hidden="1" x14ac:dyDescent="0.2"/>
    <row r="1551" hidden="1" x14ac:dyDescent="0.2"/>
    <row r="1552" hidden="1" x14ac:dyDescent="0.2"/>
    <row r="1553" hidden="1" x14ac:dyDescent="0.2"/>
    <row r="1554" hidden="1" x14ac:dyDescent="0.2"/>
    <row r="1555" hidden="1" x14ac:dyDescent="0.2"/>
    <row r="1556" hidden="1" x14ac:dyDescent="0.2"/>
    <row r="1557" hidden="1" x14ac:dyDescent="0.2"/>
    <row r="1558" hidden="1" x14ac:dyDescent="0.2"/>
    <row r="1559" hidden="1" x14ac:dyDescent="0.2"/>
    <row r="1560" hidden="1" x14ac:dyDescent="0.2"/>
    <row r="1561" hidden="1" x14ac:dyDescent="0.2"/>
    <row r="1562" hidden="1" x14ac:dyDescent="0.2"/>
    <row r="1563" hidden="1" x14ac:dyDescent="0.2"/>
    <row r="1564" hidden="1" x14ac:dyDescent="0.2"/>
    <row r="1565" hidden="1" x14ac:dyDescent="0.2"/>
    <row r="1566" hidden="1" x14ac:dyDescent="0.2"/>
    <row r="1567" hidden="1" x14ac:dyDescent="0.2"/>
    <row r="1568" hidden="1" x14ac:dyDescent="0.2"/>
    <row r="1569" hidden="1" x14ac:dyDescent="0.2"/>
    <row r="1570" hidden="1" x14ac:dyDescent="0.2"/>
    <row r="1571" hidden="1" x14ac:dyDescent="0.2"/>
    <row r="1572" hidden="1" x14ac:dyDescent="0.2"/>
    <row r="1573" hidden="1" x14ac:dyDescent="0.2"/>
    <row r="1574" hidden="1" x14ac:dyDescent="0.2"/>
    <row r="1575" hidden="1" x14ac:dyDescent="0.2"/>
    <row r="1576" hidden="1" x14ac:dyDescent="0.2"/>
    <row r="1577" hidden="1" x14ac:dyDescent="0.2"/>
    <row r="1578" hidden="1" x14ac:dyDescent="0.2"/>
    <row r="1579" hidden="1" x14ac:dyDescent="0.2"/>
    <row r="1580" hidden="1" x14ac:dyDescent="0.2"/>
    <row r="1581" hidden="1" x14ac:dyDescent="0.2"/>
    <row r="1582" hidden="1" x14ac:dyDescent="0.2"/>
    <row r="1583" hidden="1" x14ac:dyDescent="0.2"/>
    <row r="1584" hidden="1" x14ac:dyDescent="0.2"/>
    <row r="1585" hidden="1" x14ac:dyDescent="0.2"/>
    <row r="1586" hidden="1" x14ac:dyDescent="0.2"/>
    <row r="1587" hidden="1" x14ac:dyDescent="0.2"/>
    <row r="1588" hidden="1" x14ac:dyDescent="0.2"/>
    <row r="1589" hidden="1" x14ac:dyDescent="0.2"/>
    <row r="1590" hidden="1" x14ac:dyDescent="0.2"/>
    <row r="1591" hidden="1" x14ac:dyDescent="0.2"/>
    <row r="1592" hidden="1" x14ac:dyDescent="0.2"/>
    <row r="1593" hidden="1" x14ac:dyDescent="0.2"/>
    <row r="1594" hidden="1" x14ac:dyDescent="0.2"/>
    <row r="1595" hidden="1" x14ac:dyDescent="0.2"/>
    <row r="1596" hidden="1" x14ac:dyDescent="0.2"/>
    <row r="1597" hidden="1" x14ac:dyDescent="0.2"/>
    <row r="1598" hidden="1" x14ac:dyDescent="0.2"/>
    <row r="1599" hidden="1" x14ac:dyDescent="0.2"/>
    <row r="1600" hidden="1" x14ac:dyDescent="0.2"/>
    <row r="1601" hidden="1" x14ac:dyDescent="0.2"/>
    <row r="1602" hidden="1" x14ac:dyDescent="0.2"/>
    <row r="1603" hidden="1" x14ac:dyDescent="0.2"/>
    <row r="1604" hidden="1" x14ac:dyDescent="0.2"/>
    <row r="1605" hidden="1" x14ac:dyDescent="0.2"/>
    <row r="1606" hidden="1" x14ac:dyDescent="0.2"/>
    <row r="1607" hidden="1" x14ac:dyDescent="0.2"/>
    <row r="1608" hidden="1" x14ac:dyDescent="0.2"/>
    <row r="1609" hidden="1" x14ac:dyDescent="0.2"/>
    <row r="1610" hidden="1" x14ac:dyDescent="0.2"/>
    <row r="1611" hidden="1" x14ac:dyDescent="0.2"/>
    <row r="1612" hidden="1" x14ac:dyDescent="0.2"/>
    <row r="1613" hidden="1" x14ac:dyDescent="0.2"/>
    <row r="1614" hidden="1" x14ac:dyDescent="0.2"/>
    <row r="1615" hidden="1" x14ac:dyDescent="0.2"/>
    <row r="1616" hidden="1" x14ac:dyDescent="0.2"/>
    <row r="1617" hidden="1" x14ac:dyDescent="0.2"/>
    <row r="1618" hidden="1" x14ac:dyDescent="0.2"/>
    <row r="1619" hidden="1" x14ac:dyDescent="0.2"/>
    <row r="1620" hidden="1" x14ac:dyDescent="0.2"/>
    <row r="1621" hidden="1" x14ac:dyDescent="0.2"/>
    <row r="1622" hidden="1" x14ac:dyDescent="0.2"/>
    <row r="1623" hidden="1" x14ac:dyDescent="0.2"/>
    <row r="1624" hidden="1" x14ac:dyDescent="0.2"/>
    <row r="1625" hidden="1" x14ac:dyDescent="0.2"/>
    <row r="1626" hidden="1" x14ac:dyDescent="0.2"/>
    <row r="1627" hidden="1" x14ac:dyDescent="0.2"/>
    <row r="1628" hidden="1" x14ac:dyDescent="0.2"/>
    <row r="1629" hidden="1" x14ac:dyDescent="0.2"/>
    <row r="1630" hidden="1" x14ac:dyDescent="0.2"/>
    <row r="1631" hidden="1" x14ac:dyDescent="0.2"/>
    <row r="1632" hidden="1" x14ac:dyDescent="0.2"/>
    <row r="1633" hidden="1" x14ac:dyDescent="0.2"/>
    <row r="1634" hidden="1" x14ac:dyDescent="0.2"/>
    <row r="1635" hidden="1" x14ac:dyDescent="0.2"/>
    <row r="1636" hidden="1" x14ac:dyDescent="0.2"/>
    <row r="1637" hidden="1" x14ac:dyDescent="0.2"/>
    <row r="1638" hidden="1" x14ac:dyDescent="0.2"/>
    <row r="1639" hidden="1" x14ac:dyDescent="0.2"/>
    <row r="1640" hidden="1" x14ac:dyDescent="0.2"/>
    <row r="1641" hidden="1" x14ac:dyDescent="0.2"/>
    <row r="1642" hidden="1" x14ac:dyDescent="0.2"/>
    <row r="1643" hidden="1" x14ac:dyDescent="0.2"/>
    <row r="1644" hidden="1" x14ac:dyDescent="0.2"/>
    <row r="1645" hidden="1" x14ac:dyDescent="0.2"/>
    <row r="1646" hidden="1" x14ac:dyDescent="0.2"/>
    <row r="1647" hidden="1" x14ac:dyDescent="0.2"/>
    <row r="1648" hidden="1" x14ac:dyDescent="0.2"/>
    <row r="1649" hidden="1" x14ac:dyDescent="0.2"/>
    <row r="1650" hidden="1" x14ac:dyDescent="0.2"/>
    <row r="1651" hidden="1" x14ac:dyDescent="0.2"/>
    <row r="1652" hidden="1" x14ac:dyDescent="0.2"/>
    <row r="1653" hidden="1" x14ac:dyDescent="0.2"/>
    <row r="1654" hidden="1" x14ac:dyDescent="0.2"/>
    <row r="1655" hidden="1" x14ac:dyDescent="0.2"/>
    <row r="1656" hidden="1" x14ac:dyDescent="0.2"/>
    <row r="1657" hidden="1" x14ac:dyDescent="0.2"/>
    <row r="1658" hidden="1" x14ac:dyDescent="0.2"/>
    <row r="1659" hidden="1" x14ac:dyDescent="0.2"/>
    <row r="1660" hidden="1" x14ac:dyDescent="0.2"/>
    <row r="1661" hidden="1" x14ac:dyDescent="0.2"/>
    <row r="1662" hidden="1" x14ac:dyDescent="0.2"/>
    <row r="1663" hidden="1" x14ac:dyDescent="0.2"/>
    <row r="1664" hidden="1" x14ac:dyDescent="0.2"/>
    <row r="1665" hidden="1" x14ac:dyDescent="0.2"/>
    <row r="1666" hidden="1" x14ac:dyDescent="0.2"/>
    <row r="1667" hidden="1" x14ac:dyDescent="0.2"/>
    <row r="1668" hidden="1" x14ac:dyDescent="0.2"/>
    <row r="1669" hidden="1" x14ac:dyDescent="0.2"/>
    <row r="1670" hidden="1" x14ac:dyDescent="0.2"/>
    <row r="1671" hidden="1" x14ac:dyDescent="0.2"/>
    <row r="1672" hidden="1" x14ac:dyDescent="0.2"/>
    <row r="1673" hidden="1" x14ac:dyDescent="0.2"/>
    <row r="1674" hidden="1" x14ac:dyDescent="0.2"/>
    <row r="1675" hidden="1" x14ac:dyDescent="0.2"/>
    <row r="1676" hidden="1" x14ac:dyDescent="0.2"/>
    <row r="1677" hidden="1" x14ac:dyDescent="0.2"/>
    <row r="1678" hidden="1" x14ac:dyDescent="0.2"/>
    <row r="1679" hidden="1" x14ac:dyDescent="0.2"/>
    <row r="1680" hidden="1" x14ac:dyDescent="0.2"/>
    <row r="1681" hidden="1" x14ac:dyDescent="0.2"/>
    <row r="1682" hidden="1" x14ac:dyDescent="0.2"/>
    <row r="1683" hidden="1" x14ac:dyDescent="0.2"/>
    <row r="1684" hidden="1" x14ac:dyDescent="0.2"/>
    <row r="1685" hidden="1" x14ac:dyDescent="0.2"/>
    <row r="1686" hidden="1" x14ac:dyDescent="0.2"/>
    <row r="1687" hidden="1" x14ac:dyDescent="0.2"/>
    <row r="1688" hidden="1" x14ac:dyDescent="0.2"/>
    <row r="1689" hidden="1" x14ac:dyDescent="0.2"/>
    <row r="1690" hidden="1" x14ac:dyDescent="0.2"/>
    <row r="1691" hidden="1" x14ac:dyDescent="0.2"/>
    <row r="1692" hidden="1" x14ac:dyDescent="0.2"/>
    <row r="1693" hidden="1" x14ac:dyDescent="0.2"/>
    <row r="1694" hidden="1" x14ac:dyDescent="0.2"/>
    <row r="1695" hidden="1" x14ac:dyDescent="0.2"/>
    <row r="1696" hidden="1" x14ac:dyDescent="0.2"/>
    <row r="1697" hidden="1" x14ac:dyDescent="0.2"/>
    <row r="1698" hidden="1" x14ac:dyDescent="0.2"/>
    <row r="1699" hidden="1" x14ac:dyDescent="0.2"/>
    <row r="1700" hidden="1" x14ac:dyDescent="0.2"/>
    <row r="1701" hidden="1" x14ac:dyDescent="0.2"/>
    <row r="1702" hidden="1" x14ac:dyDescent="0.2"/>
    <row r="1703" hidden="1" x14ac:dyDescent="0.2"/>
    <row r="1704" hidden="1" x14ac:dyDescent="0.2"/>
    <row r="1705" hidden="1" x14ac:dyDescent="0.2"/>
    <row r="1706" hidden="1" x14ac:dyDescent="0.2"/>
    <row r="1707" hidden="1" x14ac:dyDescent="0.2"/>
    <row r="1708" hidden="1" x14ac:dyDescent="0.2"/>
    <row r="1709" hidden="1" x14ac:dyDescent="0.2"/>
    <row r="1710" hidden="1" x14ac:dyDescent="0.2"/>
    <row r="1711" hidden="1" x14ac:dyDescent="0.2"/>
    <row r="1712" hidden="1" x14ac:dyDescent="0.2"/>
    <row r="1713" hidden="1" x14ac:dyDescent="0.2"/>
    <row r="1714" hidden="1" x14ac:dyDescent="0.2"/>
    <row r="1715" hidden="1" x14ac:dyDescent="0.2"/>
    <row r="1716" hidden="1" x14ac:dyDescent="0.2"/>
    <row r="1717" hidden="1" x14ac:dyDescent="0.2"/>
    <row r="1718" hidden="1" x14ac:dyDescent="0.2"/>
    <row r="1719" hidden="1" x14ac:dyDescent="0.2"/>
    <row r="1720" hidden="1" x14ac:dyDescent="0.2"/>
    <row r="1721" hidden="1" x14ac:dyDescent="0.2"/>
    <row r="1722" hidden="1" x14ac:dyDescent="0.2"/>
    <row r="1723" hidden="1" x14ac:dyDescent="0.2"/>
    <row r="1724" hidden="1" x14ac:dyDescent="0.2"/>
    <row r="1725" hidden="1" x14ac:dyDescent="0.2"/>
    <row r="1726" hidden="1" x14ac:dyDescent="0.2"/>
    <row r="1727" hidden="1" x14ac:dyDescent="0.2"/>
    <row r="1728" hidden="1" x14ac:dyDescent="0.2"/>
    <row r="1729" hidden="1" x14ac:dyDescent="0.2"/>
    <row r="1730" hidden="1" x14ac:dyDescent="0.2"/>
    <row r="1731" hidden="1" x14ac:dyDescent="0.2"/>
    <row r="1732" hidden="1" x14ac:dyDescent="0.2"/>
    <row r="1733" hidden="1" x14ac:dyDescent="0.2"/>
    <row r="1734" hidden="1" x14ac:dyDescent="0.2"/>
    <row r="1735" hidden="1" x14ac:dyDescent="0.2"/>
    <row r="1736" hidden="1" x14ac:dyDescent="0.2"/>
    <row r="1737" hidden="1" x14ac:dyDescent="0.2"/>
    <row r="1738" hidden="1" x14ac:dyDescent="0.2"/>
    <row r="1739" hidden="1" x14ac:dyDescent="0.2"/>
    <row r="1740" hidden="1" x14ac:dyDescent="0.2"/>
    <row r="1741" hidden="1" x14ac:dyDescent="0.2"/>
    <row r="1742" hidden="1" x14ac:dyDescent="0.2"/>
    <row r="1743" hidden="1" x14ac:dyDescent="0.2"/>
    <row r="1744" hidden="1" x14ac:dyDescent="0.2"/>
    <row r="1745" hidden="1" x14ac:dyDescent="0.2"/>
    <row r="1746" hidden="1" x14ac:dyDescent="0.2"/>
    <row r="1747" hidden="1" x14ac:dyDescent="0.2"/>
    <row r="1748" hidden="1" x14ac:dyDescent="0.2"/>
    <row r="1749" hidden="1" x14ac:dyDescent="0.2"/>
    <row r="1750" hidden="1" x14ac:dyDescent="0.2"/>
    <row r="1751" hidden="1" x14ac:dyDescent="0.2"/>
    <row r="1752" hidden="1" x14ac:dyDescent="0.2"/>
    <row r="1753" hidden="1" x14ac:dyDescent="0.2"/>
    <row r="1754" hidden="1" x14ac:dyDescent="0.2"/>
    <row r="1755" hidden="1" x14ac:dyDescent="0.2"/>
    <row r="1756" hidden="1" x14ac:dyDescent="0.2"/>
    <row r="1757" hidden="1" x14ac:dyDescent="0.2"/>
    <row r="1758" hidden="1" x14ac:dyDescent="0.2"/>
    <row r="1759" hidden="1" x14ac:dyDescent="0.2"/>
    <row r="1760" hidden="1" x14ac:dyDescent="0.2"/>
    <row r="1761" hidden="1" x14ac:dyDescent="0.2"/>
    <row r="1762" hidden="1" x14ac:dyDescent="0.2"/>
    <row r="1763" hidden="1" x14ac:dyDescent="0.2"/>
    <row r="1764" hidden="1" x14ac:dyDescent="0.2"/>
    <row r="1765" hidden="1" x14ac:dyDescent="0.2"/>
    <row r="1766" hidden="1" x14ac:dyDescent="0.2"/>
    <row r="1767" hidden="1" x14ac:dyDescent="0.2"/>
    <row r="1768" hidden="1" x14ac:dyDescent="0.2"/>
    <row r="1769" hidden="1" x14ac:dyDescent="0.2"/>
    <row r="1770" hidden="1" x14ac:dyDescent="0.2"/>
    <row r="1771" hidden="1" x14ac:dyDescent="0.2"/>
    <row r="1772" hidden="1" x14ac:dyDescent="0.2"/>
    <row r="1773" hidden="1" x14ac:dyDescent="0.2"/>
    <row r="1774" hidden="1" x14ac:dyDescent="0.2"/>
    <row r="1775" hidden="1" x14ac:dyDescent="0.2"/>
    <row r="1776" hidden="1" x14ac:dyDescent="0.2"/>
    <row r="1777" hidden="1" x14ac:dyDescent="0.2"/>
    <row r="1778" hidden="1" x14ac:dyDescent="0.2"/>
    <row r="1779" hidden="1" x14ac:dyDescent="0.2"/>
    <row r="1780" hidden="1" x14ac:dyDescent="0.2"/>
    <row r="1781" hidden="1" x14ac:dyDescent="0.2"/>
    <row r="1782" hidden="1" x14ac:dyDescent="0.2"/>
    <row r="1783" hidden="1" x14ac:dyDescent="0.2"/>
    <row r="1784" hidden="1" x14ac:dyDescent="0.2"/>
    <row r="1785" hidden="1" x14ac:dyDescent="0.2"/>
    <row r="1786" hidden="1" x14ac:dyDescent="0.2"/>
    <row r="1787" hidden="1" x14ac:dyDescent="0.2"/>
  </sheetData>
  <autoFilter ref="A1:BC1787" xr:uid="{00000000-0001-0000-0100-000000000000}">
    <filterColumn colId="21" showButton="0">
      <filters>
        <filter val="INTA +"/>
        <filter val="INTB +"/>
        <filter val="NAT +"/>
      </filters>
    </filterColumn>
  </autoFilter>
  <sortState xmlns:xlrd2="http://schemas.microsoft.com/office/spreadsheetml/2017/richdata2" ref="A62:BC65">
    <sortCondition descending="1" ref="T62:T65"/>
  </sortState>
  <mergeCells count="1">
    <mergeCell ref="V1:W1"/>
  </mergeCells>
  <conditionalFormatting sqref="E9:E12 E27:E37 E56:E60 E14:E20 E39:E41 E62:E66">
    <cfRule type="cellIs" dxfId="1431" priority="406" stopIfTrue="1" operator="notBetween">
      <formula>1</formula>
      <formula>100000</formula>
    </cfRule>
  </conditionalFormatting>
  <conditionalFormatting sqref="A9:A12 A27:A37 A59:A60 A14:A20 A39:A41 A62:A66">
    <cfRule type="containsText" dxfId="1430" priority="404" stopIfTrue="1" operator="containsText" text="H">
      <formula>NOT(ISERROR(SEARCH("H",A9)))</formula>
    </cfRule>
    <cfRule type="containsText" dxfId="1429" priority="405" stopIfTrue="1" operator="containsText" text="F">
      <formula>NOT(ISERROR(SEARCH("F",A9)))</formula>
    </cfRule>
  </conditionalFormatting>
  <conditionalFormatting sqref="K9:K12 K27:K37 K56:K60 K14:K20 K39:K41 K62:K66">
    <cfRule type="cellIs" dxfId="1428" priority="403" stopIfTrue="1" operator="notEqual">
      <formula>"F"</formula>
    </cfRule>
  </conditionalFormatting>
  <conditionalFormatting sqref="L9:N12 P9:R12 L27:N37 P27:R37 L56:N60 P56:R60 P14:R18 L14:N20 P39:R41 L39:N41 L62:N65336 P62:R66 L1:N1">
    <cfRule type="cellIs" dxfId="1427" priority="402" stopIfTrue="1" operator="lessThan">
      <formula>0</formula>
    </cfRule>
  </conditionalFormatting>
  <conditionalFormatting sqref="E42:E47 E49:E54">
    <cfRule type="cellIs" dxfId="1426" priority="400" stopIfTrue="1" operator="notBetween">
      <formula>1</formula>
      <formula>100000</formula>
    </cfRule>
  </conditionalFormatting>
  <conditionalFormatting sqref="A42:A47 A49:A53">
    <cfRule type="containsText" dxfId="1425" priority="398" stopIfTrue="1" operator="containsText" text="H">
      <formula>NOT(ISERROR(SEARCH("H",A42)))</formula>
    </cfRule>
    <cfRule type="containsText" dxfId="1424" priority="399" stopIfTrue="1" operator="containsText" text="F">
      <formula>NOT(ISERROR(SEARCH("F",A42)))</formula>
    </cfRule>
  </conditionalFormatting>
  <conditionalFormatting sqref="K42:K47 K49:K54">
    <cfRule type="cellIs" dxfId="1423" priority="397" stopIfTrue="1" operator="notEqual">
      <formula>"F"</formula>
    </cfRule>
  </conditionalFormatting>
  <conditionalFormatting sqref="L42:N47 L49:N54">
    <cfRule type="cellIs" dxfId="1422" priority="396" stopIfTrue="1" operator="lessThan">
      <formula>0</formula>
    </cfRule>
  </conditionalFormatting>
  <conditionalFormatting sqref="P42:R47 P49:R54">
    <cfRule type="cellIs" dxfId="1421" priority="395" stopIfTrue="1" operator="lessThan">
      <formula>0</formula>
    </cfRule>
  </conditionalFormatting>
  <conditionalFormatting sqref="H321:H65336 H5 H8:H12 H14:H24 H26:H37 H39:H47 H49:H54 H56:H60 H62:H66 H1">
    <cfRule type="cellIs" dxfId="1420" priority="365" stopIfTrue="1" operator="between">
      <formula>2000</formula>
      <formula>2001</formula>
    </cfRule>
    <cfRule type="cellIs" dxfId="1419" priority="366" stopIfTrue="1" operator="between">
      <formula>2002</formula>
      <formula>2020</formula>
    </cfRule>
    <cfRule type="cellIs" dxfId="1418" priority="367" stopIfTrue="1" operator="between">
      <formula>1998</formula>
      <formula>1999</formula>
    </cfRule>
    <cfRule type="cellIs" dxfId="1417" priority="368" stopIfTrue="1" operator="between">
      <formula>1995</formula>
      <formula>1997</formula>
    </cfRule>
    <cfRule type="cellIs" dxfId="1416" priority="369" stopIfTrue="1" operator="lessThan">
      <formula>1995</formula>
    </cfRule>
  </conditionalFormatting>
  <conditionalFormatting sqref="W5 W8:W12 W14:W24 W26:W37 W39:W47 W49:W54 W56:W60 W62:W1048576 W1">
    <cfRule type="cellIs" dxfId="1415" priority="358" operator="lessThan">
      <formula>0</formula>
    </cfRule>
  </conditionalFormatting>
  <conditionalFormatting sqref="V5 V8:V12 V14:V24 V26:V37 V39:V47 V49:V54 V56:V60 V62:V1048576 V1">
    <cfRule type="cellIs" dxfId="1414" priority="357" operator="equal">
      <formula>"DEB"</formula>
    </cfRule>
  </conditionalFormatting>
  <conditionalFormatting sqref="E3">
    <cfRule type="cellIs" dxfId="1413" priority="328" stopIfTrue="1" operator="notBetween">
      <formula>1</formula>
      <formula>100000</formula>
    </cfRule>
  </conditionalFormatting>
  <conditionalFormatting sqref="A3">
    <cfRule type="containsText" dxfId="1412" priority="326" stopIfTrue="1" operator="containsText" text="H">
      <formula>NOT(ISERROR(SEARCH("H",A3)))</formula>
    </cfRule>
    <cfRule type="containsText" dxfId="1411" priority="327" stopIfTrue="1" operator="containsText" text="F">
      <formula>NOT(ISERROR(SEARCH("F",A3)))</formula>
    </cfRule>
  </conditionalFormatting>
  <conditionalFormatting sqref="K3">
    <cfRule type="cellIs" dxfId="1410" priority="325" stopIfTrue="1" operator="notEqual">
      <formula>"F"</formula>
    </cfRule>
  </conditionalFormatting>
  <conditionalFormatting sqref="L3:N3">
    <cfRule type="cellIs" dxfId="1409" priority="324" stopIfTrue="1" operator="lessThan">
      <formula>0</formula>
    </cfRule>
  </conditionalFormatting>
  <conditionalFormatting sqref="P3:R3">
    <cfRule type="cellIs" dxfId="1408" priority="323" stopIfTrue="1" operator="lessThan">
      <formula>0</formula>
    </cfRule>
  </conditionalFormatting>
  <conditionalFormatting sqref="H3">
    <cfRule type="cellIs" dxfId="1407" priority="312" stopIfTrue="1" operator="between">
      <formula>2000</formula>
      <formula>2001</formula>
    </cfRule>
    <cfRule type="cellIs" dxfId="1406" priority="313" stopIfTrue="1" operator="between">
      <formula>2002</formula>
      <formula>2020</formula>
    </cfRule>
    <cfRule type="cellIs" dxfId="1405" priority="314" stopIfTrue="1" operator="between">
      <formula>1998</formula>
      <formula>1999</formula>
    </cfRule>
    <cfRule type="cellIs" dxfId="1404" priority="315" stopIfTrue="1" operator="between">
      <formula>1995</formula>
      <formula>1997</formula>
    </cfRule>
    <cfRule type="cellIs" dxfId="1403" priority="316" stopIfTrue="1" operator="lessThan">
      <formula>1995</formula>
    </cfRule>
  </conditionalFormatting>
  <conditionalFormatting sqref="W3">
    <cfRule type="cellIs" dxfId="1402" priority="311" operator="lessThan">
      <formula>0</formula>
    </cfRule>
  </conditionalFormatting>
  <conditionalFormatting sqref="V3">
    <cfRule type="cellIs" dxfId="1401" priority="310" operator="equal">
      <formula>"DEB"</formula>
    </cfRule>
  </conditionalFormatting>
  <conditionalFormatting sqref="E21:E24 E26">
    <cfRule type="cellIs" dxfId="1400" priority="309" stopIfTrue="1" operator="notBetween">
      <formula>1</formula>
      <formula>100000</formula>
    </cfRule>
  </conditionalFormatting>
  <conditionalFormatting sqref="A21:A24 A26">
    <cfRule type="containsText" dxfId="1399" priority="307" stopIfTrue="1" operator="containsText" text="H">
      <formula>NOT(ISERROR(SEARCH("H",A21)))</formula>
    </cfRule>
    <cfRule type="containsText" dxfId="1398" priority="308" stopIfTrue="1" operator="containsText" text="F">
      <formula>NOT(ISERROR(SEARCH("F",A21)))</formula>
    </cfRule>
  </conditionalFormatting>
  <conditionalFormatting sqref="K21:K24 K26">
    <cfRule type="cellIs" dxfId="1397" priority="306" stopIfTrue="1" operator="notEqual">
      <formula>"F"</formula>
    </cfRule>
  </conditionalFormatting>
  <conditionalFormatting sqref="L21:N24 L26:N26">
    <cfRule type="cellIs" dxfId="1396" priority="305" stopIfTrue="1" operator="lessThan">
      <formula>0</formula>
    </cfRule>
  </conditionalFormatting>
  <conditionalFormatting sqref="P21:R24 P26:R26">
    <cfRule type="cellIs" dxfId="1395" priority="304" stopIfTrue="1" operator="lessThan">
      <formula>0</formula>
    </cfRule>
  </conditionalFormatting>
  <conditionalFormatting sqref="E5 E8">
    <cfRule type="cellIs" dxfId="1394" priority="290" stopIfTrue="1" operator="notBetween">
      <formula>1</formula>
      <formula>100000</formula>
    </cfRule>
  </conditionalFormatting>
  <conditionalFormatting sqref="A5 A8">
    <cfRule type="containsText" dxfId="1393" priority="288" stopIfTrue="1" operator="containsText" text="H">
      <formula>NOT(ISERROR(SEARCH("H",A5)))</formula>
    </cfRule>
    <cfRule type="containsText" dxfId="1392" priority="289" stopIfTrue="1" operator="containsText" text="F">
      <formula>NOT(ISERROR(SEARCH("F",A5)))</formula>
    </cfRule>
  </conditionalFormatting>
  <conditionalFormatting sqref="K5 K8">
    <cfRule type="cellIs" dxfId="1391" priority="287" stopIfTrue="1" operator="notEqual">
      <formula>"F"</formula>
    </cfRule>
  </conditionalFormatting>
  <conditionalFormatting sqref="L5:N5 L8:N8">
    <cfRule type="cellIs" dxfId="1390" priority="286" stopIfTrue="1" operator="lessThan">
      <formula>0</formula>
    </cfRule>
  </conditionalFormatting>
  <conditionalFormatting sqref="P5:R5 P8:R8">
    <cfRule type="cellIs" dxfId="1389" priority="285" stopIfTrue="1" operator="lessThan">
      <formula>0</formula>
    </cfRule>
  </conditionalFormatting>
  <conditionalFormatting sqref="E7">
    <cfRule type="cellIs" dxfId="1388" priority="246" stopIfTrue="1" operator="notBetween">
      <formula>1</formula>
      <formula>100000</formula>
    </cfRule>
  </conditionalFormatting>
  <conditionalFormatting sqref="A7">
    <cfRule type="containsText" dxfId="1387" priority="244" stopIfTrue="1" operator="containsText" text="H">
      <formula>NOT(ISERROR(SEARCH("H",A7)))</formula>
    </cfRule>
    <cfRule type="containsText" dxfId="1386" priority="245" stopIfTrue="1" operator="containsText" text="F">
      <formula>NOT(ISERROR(SEARCH("F",A7)))</formula>
    </cfRule>
  </conditionalFormatting>
  <conditionalFormatting sqref="K7">
    <cfRule type="cellIs" dxfId="1385" priority="243" stopIfTrue="1" operator="notEqual">
      <formula>"F"</formula>
    </cfRule>
  </conditionalFormatting>
  <conditionalFormatting sqref="L7:N7 P7:R7">
    <cfRule type="cellIs" dxfId="1384" priority="242" stopIfTrue="1" operator="lessThan">
      <formula>0</formula>
    </cfRule>
  </conditionalFormatting>
  <conditionalFormatting sqref="H7">
    <cfRule type="cellIs" dxfId="1383" priority="237" stopIfTrue="1" operator="between">
      <formula>2000</formula>
      <formula>2001</formula>
    </cfRule>
    <cfRule type="cellIs" dxfId="1382" priority="238" stopIfTrue="1" operator="between">
      <formula>2002</formula>
      <formula>2020</formula>
    </cfRule>
    <cfRule type="cellIs" dxfId="1381" priority="239" stopIfTrue="1" operator="between">
      <formula>1998</formula>
      <formula>1999</formula>
    </cfRule>
    <cfRule type="cellIs" dxfId="1380" priority="240" stopIfTrue="1" operator="between">
      <formula>1995</formula>
      <formula>1997</formula>
    </cfRule>
    <cfRule type="cellIs" dxfId="1379" priority="241" stopIfTrue="1" operator="lessThan">
      <formula>1995</formula>
    </cfRule>
  </conditionalFormatting>
  <conditionalFormatting sqref="W7">
    <cfRule type="cellIs" dxfId="1378" priority="236" operator="lessThan">
      <formula>0</formula>
    </cfRule>
  </conditionalFormatting>
  <conditionalFormatting sqref="V7">
    <cfRule type="cellIs" dxfId="1377" priority="235" operator="equal">
      <formula>"DEB"</formula>
    </cfRule>
  </conditionalFormatting>
  <conditionalFormatting sqref="P19:R20">
    <cfRule type="cellIs" dxfId="1376" priority="130" stopIfTrue="1" operator="lessThan">
      <formula>0</formula>
    </cfRule>
  </conditionalFormatting>
  <conditionalFormatting sqref="A54 A56:A58">
    <cfRule type="containsText" dxfId="1375" priority="127" stopIfTrue="1" operator="containsText" text="H">
      <formula>NOT(ISERROR(SEARCH("H",A54)))</formula>
    </cfRule>
    <cfRule type="containsText" dxfId="1374" priority="128" stopIfTrue="1" operator="containsText" text="F">
      <formula>NOT(ISERROR(SEARCH("F",A54)))</formula>
    </cfRule>
  </conditionalFormatting>
  <conditionalFormatting sqref="E2">
    <cfRule type="cellIs" dxfId="1373" priority="110" stopIfTrue="1" operator="notBetween">
      <formula>1</formula>
      <formula>100000</formula>
    </cfRule>
  </conditionalFormatting>
  <conditionalFormatting sqref="A2">
    <cfRule type="containsText" dxfId="1372" priority="108" stopIfTrue="1" operator="containsText" text="H">
      <formula>NOT(ISERROR(SEARCH("H",A2)))</formula>
    </cfRule>
    <cfRule type="containsText" dxfId="1371" priority="109" stopIfTrue="1" operator="containsText" text="F">
      <formula>NOT(ISERROR(SEARCH("F",A2)))</formula>
    </cfRule>
  </conditionalFormatting>
  <conditionalFormatting sqref="K2">
    <cfRule type="cellIs" dxfId="1370" priority="107" stopIfTrue="1" operator="notEqual">
      <formula>"F"</formula>
    </cfRule>
  </conditionalFormatting>
  <conditionalFormatting sqref="L2:N2 P2:R2">
    <cfRule type="cellIs" dxfId="1369" priority="106" stopIfTrue="1" operator="lessThan">
      <formula>0</formula>
    </cfRule>
  </conditionalFormatting>
  <conditionalFormatting sqref="H2">
    <cfRule type="cellIs" dxfId="1368" priority="101" stopIfTrue="1" operator="between">
      <formula>2000</formula>
      <formula>2001</formula>
    </cfRule>
    <cfRule type="cellIs" dxfId="1367" priority="102" stopIfTrue="1" operator="between">
      <formula>2002</formula>
      <formula>2020</formula>
    </cfRule>
    <cfRule type="cellIs" dxfId="1366" priority="103" stopIfTrue="1" operator="between">
      <formula>1998</formula>
      <formula>1999</formula>
    </cfRule>
    <cfRule type="cellIs" dxfId="1365" priority="104" stopIfTrue="1" operator="between">
      <formula>1995</formula>
      <formula>1997</formula>
    </cfRule>
    <cfRule type="cellIs" dxfId="1364" priority="105" stopIfTrue="1" operator="lessThan">
      <formula>1995</formula>
    </cfRule>
  </conditionalFormatting>
  <conditionalFormatting sqref="W2">
    <cfRule type="cellIs" dxfId="1363" priority="100" operator="lessThan">
      <formula>0</formula>
    </cfRule>
  </conditionalFormatting>
  <conditionalFormatting sqref="V2">
    <cfRule type="cellIs" dxfId="1362" priority="99" operator="equal">
      <formula>"DEB"</formula>
    </cfRule>
  </conditionalFormatting>
  <conditionalFormatting sqref="E6">
    <cfRule type="cellIs" dxfId="1361" priority="98" stopIfTrue="1" operator="notBetween">
      <formula>1</formula>
      <formula>100000</formula>
    </cfRule>
  </conditionalFormatting>
  <conditionalFormatting sqref="A6">
    <cfRule type="containsText" dxfId="1360" priority="96" stopIfTrue="1" operator="containsText" text="H">
      <formula>NOT(ISERROR(SEARCH("H",A6)))</formula>
    </cfRule>
    <cfRule type="containsText" dxfId="1359" priority="97" stopIfTrue="1" operator="containsText" text="F">
      <formula>NOT(ISERROR(SEARCH("F",A6)))</formula>
    </cfRule>
  </conditionalFormatting>
  <conditionalFormatting sqref="K6">
    <cfRule type="cellIs" dxfId="1358" priority="95" stopIfTrue="1" operator="notEqual">
      <formula>"F"</formula>
    </cfRule>
  </conditionalFormatting>
  <conditionalFormatting sqref="L6:N6 P6:R6">
    <cfRule type="cellIs" dxfId="1357" priority="94" stopIfTrue="1" operator="lessThan">
      <formula>0</formula>
    </cfRule>
  </conditionalFormatting>
  <conditionalFormatting sqref="H6">
    <cfRule type="cellIs" dxfId="1356" priority="89" stopIfTrue="1" operator="between">
      <formula>2000</formula>
      <formula>2001</formula>
    </cfRule>
    <cfRule type="cellIs" dxfId="1355" priority="90" stopIfTrue="1" operator="between">
      <formula>2002</formula>
      <formula>2020</formula>
    </cfRule>
    <cfRule type="cellIs" dxfId="1354" priority="91" stopIfTrue="1" operator="between">
      <formula>1998</formula>
      <formula>1999</formula>
    </cfRule>
    <cfRule type="cellIs" dxfId="1353" priority="92" stopIfTrue="1" operator="between">
      <formula>1995</formula>
      <formula>1997</formula>
    </cfRule>
    <cfRule type="cellIs" dxfId="1352" priority="93" stopIfTrue="1" operator="lessThan">
      <formula>1995</formula>
    </cfRule>
  </conditionalFormatting>
  <conditionalFormatting sqref="W6">
    <cfRule type="cellIs" dxfId="1351" priority="88" operator="lessThan">
      <formula>0</formula>
    </cfRule>
  </conditionalFormatting>
  <conditionalFormatting sqref="V6">
    <cfRule type="cellIs" dxfId="1350" priority="87" operator="equal">
      <formula>"DEB"</formula>
    </cfRule>
  </conditionalFormatting>
  <conditionalFormatting sqref="E13">
    <cfRule type="cellIs" dxfId="1349" priority="86" stopIfTrue="1" operator="notBetween">
      <formula>1</formula>
      <formula>100000</formula>
    </cfRule>
  </conditionalFormatting>
  <conditionalFormatting sqref="A13">
    <cfRule type="containsText" dxfId="1348" priority="84" stopIfTrue="1" operator="containsText" text="H">
      <formula>NOT(ISERROR(SEARCH("H",A13)))</formula>
    </cfRule>
    <cfRule type="containsText" dxfId="1347" priority="85" stopIfTrue="1" operator="containsText" text="F">
      <formula>NOT(ISERROR(SEARCH("F",A13)))</formula>
    </cfRule>
  </conditionalFormatting>
  <conditionalFormatting sqref="K13">
    <cfRule type="cellIs" dxfId="1346" priority="83" stopIfTrue="1" operator="notEqual">
      <formula>"F"</formula>
    </cfRule>
  </conditionalFormatting>
  <conditionalFormatting sqref="L13:N13 P13:R13">
    <cfRule type="cellIs" dxfId="1345" priority="82" stopIfTrue="1" operator="lessThan">
      <formula>0</formula>
    </cfRule>
  </conditionalFormatting>
  <conditionalFormatting sqref="H13">
    <cfRule type="cellIs" dxfId="1344" priority="77" stopIfTrue="1" operator="between">
      <formula>2000</formula>
      <formula>2001</formula>
    </cfRule>
    <cfRule type="cellIs" dxfId="1343" priority="78" stopIfTrue="1" operator="between">
      <formula>2002</formula>
      <formula>2020</formula>
    </cfRule>
    <cfRule type="cellIs" dxfId="1342" priority="79" stopIfTrue="1" operator="between">
      <formula>1998</formula>
      <formula>1999</formula>
    </cfRule>
    <cfRule type="cellIs" dxfId="1341" priority="80" stopIfTrue="1" operator="between">
      <formula>1995</formula>
      <formula>1997</formula>
    </cfRule>
    <cfRule type="cellIs" dxfId="1340" priority="81" stopIfTrue="1" operator="lessThan">
      <formula>1995</formula>
    </cfRule>
  </conditionalFormatting>
  <conditionalFormatting sqref="W13">
    <cfRule type="cellIs" dxfId="1339" priority="76" operator="lessThan">
      <formula>0</formula>
    </cfRule>
  </conditionalFormatting>
  <conditionalFormatting sqref="V13">
    <cfRule type="cellIs" dxfId="1338" priority="75" operator="equal">
      <formula>"DEB"</formula>
    </cfRule>
  </conditionalFormatting>
  <conditionalFormatting sqref="E25">
    <cfRule type="cellIs" dxfId="1337" priority="74" stopIfTrue="1" operator="notBetween">
      <formula>1</formula>
      <formula>100000</formula>
    </cfRule>
  </conditionalFormatting>
  <conditionalFormatting sqref="A25">
    <cfRule type="containsText" dxfId="1336" priority="72" stopIfTrue="1" operator="containsText" text="H">
      <formula>NOT(ISERROR(SEARCH("H",A25)))</formula>
    </cfRule>
    <cfRule type="containsText" dxfId="1335" priority="73" stopIfTrue="1" operator="containsText" text="F">
      <formula>NOT(ISERROR(SEARCH("F",A25)))</formula>
    </cfRule>
  </conditionalFormatting>
  <conditionalFormatting sqref="K25">
    <cfRule type="cellIs" dxfId="1334" priority="71" stopIfTrue="1" operator="notEqual">
      <formula>"F"</formula>
    </cfRule>
  </conditionalFormatting>
  <conditionalFormatting sqref="L25:N25 P25:R25">
    <cfRule type="cellIs" dxfId="1333" priority="70" stopIfTrue="1" operator="lessThan">
      <formula>0</formula>
    </cfRule>
  </conditionalFormatting>
  <conditionalFormatting sqref="H25">
    <cfRule type="cellIs" dxfId="1332" priority="65" stopIfTrue="1" operator="between">
      <formula>2000</formula>
      <formula>2001</formula>
    </cfRule>
    <cfRule type="cellIs" dxfId="1331" priority="66" stopIfTrue="1" operator="between">
      <formula>2002</formula>
      <formula>2020</formula>
    </cfRule>
    <cfRule type="cellIs" dxfId="1330" priority="67" stopIfTrue="1" operator="between">
      <formula>1998</formula>
      <formula>1999</formula>
    </cfRule>
    <cfRule type="cellIs" dxfId="1329" priority="68" stopIfTrue="1" operator="between">
      <formula>1995</formula>
      <formula>1997</formula>
    </cfRule>
    <cfRule type="cellIs" dxfId="1328" priority="69" stopIfTrue="1" operator="lessThan">
      <formula>1995</formula>
    </cfRule>
  </conditionalFormatting>
  <conditionalFormatting sqref="W25">
    <cfRule type="cellIs" dxfId="1327" priority="64" operator="lessThan">
      <formula>0</formula>
    </cfRule>
  </conditionalFormatting>
  <conditionalFormatting sqref="V25">
    <cfRule type="cellIs" dxfId="1326" priority="63" operator="equal">
      <formula>"DEB"</formula>
    </cfRule>
  </conditionalFormatting>
  <conditionalFormatting sqref="E38">
    <cfRule type="cellIs" dxfId="1325" priority="62" stopIfTrue="1" operator="notBetween">
      <formula>1</formula>
      <formula>100000</formula>
    </cfRule>
  </conditionalFormatting>
  <conditionalFormatting sqref="A38">
    <cfRule type="containsText" dxfId="1324" priority="60" stopIfTrue="1" operator="containsText" text="H">
      <formula>NOT(ISERROR(SEARCH("H",A38)))</formula>
    </cfRule>
    <cfRule type="containsText" dxfId="1323" priority="61" stopIfTrue="1" operator="containsText" text="F">
      <formula>NOT(ISERROR(SEARCH("F",A38)))</formula>
    </cfRule>
  </conditionalFormatting>
  <conditionalFormatting sqref="K38">
    <cfRule type="cellIs" dxfId="1322" priority="59" stopIfTrue="1" operator="notEqual">
      <formula>"F"</formula>
    </cfRule>
  </conditionalFormatting>
  <conditionalFormatting sqref="L38:N38 P38:R38">
    <cfRule type="cellIs" dxfId="1321" priority="58" stopIfTrue="1" operator="lessThan">
      <formula>0</formula>
    </cfRule>
  </conditionalFormatting>
  <conditionalFormatting sqref="H38">
    <cfRule type="cellIs" dxfId="1320" priority="53" stopIfTrue="1" operator="between">
      <formula>2000</formula>
      <formula>2001</formula>
    </cfRule>
    <cfRule type="cellIs" dxfId="1319" priority="54" stopIfTrue="1" operator="between">
      <formula>2002</formula>
      <formula>2020</formula>
    </cfRule>
    <cfRule type="cellIs" dxfId="1318" priority="55" stopIfTrue="1" operator="between">
      <formula>1998</formula>
      <formula>1999</formula>
    </cfRule>
    <cfRule type="cellIs" dxfId="1317" priority="56" stopIfTrue="1" operator="between">
      <formula>1995</formula>
      <formula>1997</formula>
    </cfRule>
    <cfRule type="cellIs" dxfId="1316" priority="57" stopIfTrue="1" operator="lessThan">
      <formula>1995</formula>
    </cfRule>
  </conditionalFormatting>
  <conditionalFormatting sqref="W38">
    <cfRule type="cellIs" dxfId="1315" priority="52" operator="lessThan">
      <formula>0</formula>
    </cfRule>
  </conditionalFormatting>
  <conditionalFormatting sqref="V38">
    <cfRule type="cellIs" dxfId="1314" priority="51" operator="equal">
      <formula>"DEB"</formula>
    </cfRule>
  </conditionalFormatting>
  <conditionalFormatting sqref="E48">
    <cfRule type="cellIs" dxfId="1313" priority="50" stopIfTrue="1" operator="notBetween">
      <formula>1</formula>
      <formula>100000</formula>
    </cfRule>
  </conditionalFormatting>
  <conditionalFormatting sqref="A48">
    <cfRule type="containsText" dxfId="1312" priority="48" stopIfTrue="1" operator="containsText" text="H">
      <formula>NOT(ISERROR(SEARCH("H",A48)))</formula>
    </cfRule>
    <cfRule type="containsText" dxfId="1311" priority="49" stopIfTrue="1" operator="containsText" text="F">
      <formula>NOT(ISERROR(SEARCH("F",A48)))</formula>
    </cfRule>
  </conditionalFormatting>
  <conditionalFormatting sqref="K48">
    <cfRule type="cellIs" dxfId="1310" priority="47" stopIfTrue="1" operator="notEqual">
      <formula>"F"</formula>
    </cfRule>
  </conditionalFormatting>
  <conditionalFormatting sqref="L48:N48 P48:R48">
    <cfRule type="cellIs" dxfId="1309" priority="46" stopIfTrue="1" operator="lessThan">
      <formula>0</formula>
    </cfRule>
  </conditionalFormatting>
  <conditionalFormatting sqref="H48">
    <cfRule type="cellIs" dxfId="1308" priority="41" stopIfTrue="1" operator="between">
      <formula>2000</formula>
      <formula>2001</formula>
    </cfRule>
    <cfRule type="cellIs" dxfId="1307" priority="42" stopIfTrue="1" operator="between">
      <formula>2002</formula>
      <formula>2020</formula>
    </cfRule>
    <cfRule type="cellIs" dxfId="1306" priority="43" stopIfTrue="1" operator="between">
      <formula>1998</formula>
      <formula>1999</formula>
    </cfRule>
    <cfRule type="cellIs" dxfId="1305" priority="44" stopIfTrue="1" operator="between">
      <formula>1995</formula>
      <formula>1997</formula>
    </cfRule>
    <cfRule type="cellIs" dxfId="1304" priority="45" stopIfTrue="1" operator="lessThan">
      <formula>1995</formula>
    </cfRule>
  </conditionalFormatting>
  <conditionalFormatting sqref="W48">
    <cfRule type="cellIs" dxfId="1303" priority="40" operator="lessThan">
      <formula>0</formula>
    </cfRule>
  </conditionalFormatting>
  <conditionalFormatting sqref="V48">
    <cfRule type="cellIs" dxfId="1302" priority="39" operator="equal">
      <formula>"DEB"</formula>
    </cfRule>
  </conditionalFormatting>
  <conditionalFormatting sqref="E55">
    <cfRule type="cellIs" dxfId="1301" priority="38" stopIfTrue="1" operator="notBetween">
      <formula>1</formula>
      <formula>100000</formula>
    </cfRule>
  </conditionalFormatting>
  <conditionalFormatting sqref="A55">
    <cfRule type="containsText" dxfId="1300" priority="36" stopIfTrue="1" operator="containsText" text="H">
      <formula>NOT(ISERROR(SEARCH("H",A55)))</formula>
    </cfRule>
    <cfRule type="containsText" dxfId="1299" priority="37" stopIfTrue="1" operator="containsText" text="F">
      <formula>NOT(ISERROR(SEARCH("F",A55)))</formula>
    </cfRule>
  </conditionalFormatting>
  <conditionalFormatting sqref="K55">
    <cfRule type="cellIs" dxfId="1298" priority="35" stopIfTrue="1" operator="notEqual">
      <formula>"F"</formula>
    </cfRule>
  </conditionalFormatting>
  <conditionalFormatting sqref="L55:N55 P55:R55">
    <cfRule type="cellIs" dxfId="1297" priority="34" stopIfTrue="1" operator="lessThan">
      <formula>0</formula>
    </cfRule>
  </conditionalFormatting>
  <conditionalFormatting sqref="H55">
    <cfRule type="cellIs" dxfId="1296" priority="29" stopIfTrue="1" operator="between">
      <formula>2000</formula>
      <formula>2001</formula>
    </cfRule>
    <cfRule type="cellIs" dxfId="1295" priority="30" stopIfTrue="1" operator="between">
      <formula>2002</formula>
      <formula>2020</formula>
    </cfRule>
    <cfRule type="cellIs" dxfId="1294" priority="31" stopIfTrue="1" operator="between">
      <formula>1998</formula>
      <formula>1999</formula>
    </cfRule>
    <cfRule type="cellIs" dxfId="1293" priority="32" stopIfTrue="1" operator="between">
      <formula>1995</formula>
      <formula>1997</formula>
    </cfRule>
    <cfRule type="cellIs" dxfId="1292" priority="33" stopIfTrue="1" operator="lessThan">
      <formula>1995</formula>
    </cfRule>
  </conditionalFormatting>
  <conditionalFormatting sqref="W55">
    <cfRule type="cellIs" dxfId="1291" priority="28" operator="lessThan">
      <formula>0</formula>
    </cfRule>
  </conditionalFormatting>
  <conditionalFormatting sqref="V55">
    <cfRule type="cellIs" dxfId="1290" priority="27" operator="equal">
      <formula>"DEB"</formula>
    </cfRule>
  </conditionalFormatting>
  <conditionalFormatting sqref="E61">
    <cfRule type="cellIs" dxfId="1289" priority="26" stopIfTrue="1" operator="notBetween">
      <formula>1</formula>
      <formula>100000</formula>
    </cfRule>
  </conditionalFormatting>
  <conditionalFormatting sqref="A61">
    <cfRule type="containsText" dxfId="1288" priority="24" stopIfTrue="1" operator="containsText" text="H">
      <formula>NOT(ISERROR(SEARCH("H",A61)))</formula>
    </cfRule>
    <cfRule type="containsText" dxfId="1287" priority="25" stopIfTrue="1" operator="containsText" text="F">
      <formula>NOT(ISERROR(SEARCH("F",A61)))</formula>
    </cfRule>
  </conditionalFormatting>
  <conditionalFormatting sqref="K61">
    <cfRule type="cellIs" dxfId="1286" priority="23" stopIfTrue="1" operator="notEqual">
      <formula>"F"</formula>
    </cfRule>
  </conditionalFormatting>
  <conditionalFormatting sqref="L61:N61 P61:R61">
    <cfRule type="cellIs" dxfId="1285" priority="22" stopIfTrue="1" operator="lessThan">
      <formula>0</formula>
    </cfRule>
  </conditionalFormatting>
  <conditionalFormatting sqref="H61">
    <cfRule type="cellIs" dxfId="1284" priority="17" stopIfTrue="1" operator="between">
      <formula>2000</formula>
      <formula>2001</formula>
    </cfRule>
    <cfRule type="cellIs" dxfId="1283" priority="18" stopIfTrue="1" operator="between">
      <formula>2002</formula>
      <formula>2020</formula>
    </cfRule>
    <cfRule type="cellIs" dxfId="1282" priority="19" stopIfTrue="1" operator="between">
      <formula>1998</formula>
      <formula>1999</formula>
    </cfRule>
    <cfRule type="cellIs" dxfId="1281" priority="20" stopIfTrue="1" operator="between">
      <formula>1995</formula>
      <formula>1997</formula>
    </cfRule>
    <cfRule type="cellIs" dxfId="1280" priority="21" stopIfTrue="1" operator="lessThan">
      <formula>1995</formula>
    </cfRule>
  </conditionalFormatting>
  <conditionalFormatting sqref="W61">
    <cfRule type="cellIs" dxfId="1279" priority="16" operator="lessThan">
      <formula>0</formula>
    </cfRule>
  </conditionalFormatting>
  <conditionalFormatting sqref="V61">
    <cfRule type="cellIs" dxfId="1278" priority="15" operator="equal">
      <formula>"DEB"</formula>
    </cfRule>
  </conditionalFormatting>
  <conditionalFormatting sqref="E4">
    <cfRule type="cellIs" dxfId="1277" priority="14" stopIfTrue="1" operator="notBetween">
      <formula>1</formula>
      <formula>100000</formula>
    </cfRule>
  </conditionalFormatting>
  <conditionalFormatting sqref="A4">
    <cfRule type="containsText" dxfId="1276" priority="12" stopIfTrue="1" operator="containsText" text="H">
      <formula>NOT(ISERROR(SEARCH("H",A4)))</formula>
    </cfRule>
    <cfRule type="containsText" dxfId="1275" priority="13" stopIfTrue="1" operator="containsText" text="F">
      <formula>NOT(ISERROR(SEARCH("F",A4)))</formula>
    </cfRule>
  </conditionalFormatting>
  <conditionalFormatting sqref="K4">
    <cfRule type="cellIs" dxfId="1274" priority="11" stopIfTrue="1" operator="notEqual">
      <formula>"F"</formula>
    </cfRule>
  </conditionalFormatting>
  <conditionalFormatting sqref="L4:N4 P4:R4">
    <cfRule type="cellIs" dxfId="1273" priority="10" stopIfTrue="1" operator="lessThan">
      <formula>0</formula>
    </cfRule>
  </conditionalFormatting>
  <conditionalFormatting sqref="H4">
    <cfRule type="cellIs" dxfId="1272" priority="5" stopIfTrue="1" operator="between">
      <formula>2000</formula>
      <formula>2001</formula>
    </cfRule>
    <cfRule type="cellIs" dxfId="1271" priority="6" stopIfTrue="1" operator="between">
      <formula>2002</formula>
      <formula>2020</formula>
    </cfRule>
    <cfRule type="cellIs" dxfId="1270" priority="7" stopIfTrue="1" operator="between">
      <formula>1998</formula>
      <formula>1999</formula>
    </cfRule>
    <cfRule type="cellIs" dxfId="1269" priority="8" stopIfTrue="1" operator="between">
      <formula>1995</formula>
      <formula>1997</formula>
    </cfRule>
    <cfRule type="cellIs" dxfId="1268" priority="9" stopIfTrue="1" operator="lessThan">
      <formula>1995</formula>
    </cfRule>
  </conditionalFormatting>
  <conditionalFormatting sqref="W4">
    <cfRule type="cellIs" dxfId="1267" priority="4" operator="lessThan">
      <formula>0</formula>
    </cfRule>
  </conditionalFormatting>
  <conditionalFormatting sqref="V4">
    <cfRule type="cellIs" dxfId="1266" priority="3" operator="equal">
      <formula>"DEB"</formula>
    </cfRule>
  </conditionalFormatting>
  <dataValidations count="1">
    <dataValidation type="list" allowBlank="1" showInputMessage="1" showErrorMessage="1" sqref="A2:A66" xr:uid="{00000000-0002-0000-0100-000000000000}">
      <formula1>"H,F"</formula1>
    </dataValidation>
  </dataValidations>
  <printOptions horizontalCentered="1" verticalCentered="1"/>
  <pageMargins left="0.19685039370078741" right="0.23622047244094491" top="0.39370078740157483" bottom="0.35433070866141736" header="0.31496062992125984" footer="0.31496062992125984"/>
  <pageSetup paperSize="9" scale="3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 filterMode="1">
    <tabColor theme="3" tint="0.39997558519241921"/>
  </sheetPr>
  <dimension ref="A1:BC1818"/>
  <sheetViews>
    <sheetView zoomScale="75" zoomScaleNormal="75" zoomScaleSheetLayoutView="80" workbookViewId="0">
      <selection activeCell="Y79" sqref="A3:Y79"/>
    </sheetView>
  </sheetViews>
  <sheetFormatPr baseColWidth="10" defaultRowHeight="12.75" x14ac:dyDescent="0.2"/>
  <cols>
    <col min="1" max="1" width="7.5703125" style="4" bestFit="1" customWidth="1"/>
    <col min="2" max="2" width="6.5703125" style="4" bestFit="1" customWidth="1"/>
    <col min="3" max="3" width="6.28515625" style="4" customWidth="1"/>
    <col min="4" max="4" width="6.28515625" style="59" customWidth="1"/>
    <col min="5" max="5" width="10.140625" style="4" customWidth="1"/>
    <col min="6" max="6" width="25" style="5" customWidth="1"/>
    <col min="7" max="7" width="16.140625" style="5" customWidth="1"/>
    <col min="8" max="8" width="7" style="5" bestFit="1" customWidth="1"/>
    <col min="9" max="9" width="9.42578125" style="5" customWidth="1"/>
    <col min="10" max="10" width="27.28515625" style="14" customWidth="1"/>
    <col min="11" max="11" width="5.7109375" style="5" customWidth="1"/>
    <col min="12" max="14" width="6.7109375" style="5" customWidth="1"/>
    <col min="15" max="15" width="8.140625" style="5" customWidth="1"/>
    <col min="16" max="19" width="6.7109375" style="5" customWidth="1"/>
    <col min="20" max="20" width="8.85546875" style="5" customWidth="1"/>
    <col min="21" max="22" width="7.85546875" style="5" customWidth="1"/>
    <col min="23" max="23" width="6.28515625" style="15" bestFit="1" customWidth="1"/>
    <col min="24" max="24" width="8.85546875" style="14" customWidth="1"/>
    <col min="25" max="25" width="8.85546875" style="5" customWidth="1"/>
    <col min="26" max="27" width="8.85546875" style="5" hidden="1" customWidth="1"/>
    <col min="28" max="44" width="18.28515625" style="5" hidden="1" customWidth="1"/>
    <col min="45" max="52" width="11.42578125" style="5" hidden="1" customWidth="1"/>
    <col min="53" max="55" width="11.42578125" style="5" customWidth="1"/>
    <col min="56" max="16384" width="11.42578125" style="5"/>
  </cols>
  <sheetData>
    <row r="1" spans="1:55" s="11" customFormat="1" ht="13.5" customHeight="1" thickTop="1" thickBot="1" x14ac:dyDescent="0.25">
      <c r="A1" s="6" t="s">
        <v>54</v>
      </c>
      <c r="B1" s="7" t="s">
        <v>70</v>
      </c>
      <c r="C1" s="8" t="s">
        <v>0</v>
      </c>
      <c r="D1" s="60" t="s">
        <v>68</v>
      </c>
      <c r="E1" s="9" t="s">
        <v>1</v>
      </c>
      <c r="F1" s="10" t="s">
        <v>3</v>
      </c>
      <c r="G1" s="10" t="s">
        <v>4</v>
      </c>
      <c r="H1" s="10" t="s">
        <v>67</v>
      </c>
      <c r="I1" s="10" t="s">
        <v>6</v>
      </c>
      <c r="J1" s="10" t="s">
        <v>5</v>
      </c>
      <c r="K1" s="10" t="s">
        <v>2</v>
      </c>
      <c r="L1" s="10">
        <v>1</v>
      </c>
      <c r="M1" s="10">
        <v>2</v>
      </c>
      <c r="N1" s="10">
        <v>3</v>
      </c>
      <c r="O1" s="10" t="s">
        <v>7</v>
      </c>
      <c r="P1" s="10">
        <v>1</v>
      </c>
      <c r="Q1" s="10">
        <v>2</v>
      </c>
      <c r="R1" s="10">
        <v>3</v>
      </c>
      <c r="S1" s="10" t="s">
        <v>8</v>
      </c>
      <c r="T1" s="10" t="s">
        <v>9</v>
      </c>
      <c r="U1" s="38" t="s">
        <v>105</v>
      </c>
      <c r="V1" s="107" t="s">
        <v>66</v>
      </c>
      <c r="W1" s="108"/>
      <c r="X1" s="10" t="s">
        <v>11</v>
      </c>
      <c r="Y1" s="43" t="s">
        <v>10</v>
      </c>
      <c r="Z1" s="44"/>
      <c r="AA1" s="17" t="s">
        <v>12</v>
      </c>
      <c r="AB1" s="17" t="s">
        <v>104</v>
      </c>
      <c r="AC1" s="17" t="s">
        <v>55</v>
      </c>
      <c r="AD1" s="17" t="s">
        <v>56</v>
      </c>
      <c r="AE1" s="17" t="s">
        <v>57</v>
      </c>
      <c r="AF1" s="17" t="s">
        <v>58</v>
      </c>
      <c r="AG1" s="17" t="s">
        <v>59</v>
      </c>
      <c r="AH1" s="17" t="s">
        <v>60</v>
      </c>
      <c r="AI1" s="17" t="s">
        <v>61</v>
      </c>
      <c r="AJ1" s="17" t="s">
        <v>62</v>
      </c>
    </row>
    <row r="2" spans="1:55" s="13" customFormat="1" ht="15" hidden="1" customHeight="1" thickBot="1" x14ac:dyDescent="0.25">
      <c r="A2" s="89"/>
      <c r="B2" s="90"/>
      <c r="C2" s="91"/>
      <c r="D2" s="92"/>
      <c r="E2" s="93"/>
      <c r="F2" s="94"/>
      <c r="G2" s="94"/>
      <c r="H2" s="95"/>
      <c r="I2" s="96"/>
      <c r="J2" s="91"/>
      <c r="K2" s="97"/>
      <c r="L2" s="98"/>
      <c r="M2" s="98"/>
      <c r="N2" s="98"/>
      <c r="O2" s="99"/>
      <c r="P2" s="98"/>
      <c r="Q2" s="98"/>
      <c r="R2" s="98"/>
      <c r="S2" s="99"/>
      <c r="T2" s="100"/>
      <c r="U2" s="101"/>
      <c r="V2" s="102"/>
      <c r="W2" s="103"/>
      <c r="X2" s="104"/>
      <c r="Y2" s="105"/>
      <c r="Z2" s="45"/>
      <c r="AA2" s="45" t="s">
        <v>12</v>
      </c>
      <c r="AB2" s="3" t="e">
        <f>T2-HLOOKUP(X2,Feuil1!$C$1:$BL$10,2,FALSE)</f>
        <v>#N/A</v>
      </c>
      <c r="AC2" s="3" t="e">
        <f>T2-HLOOKUP(X2,Feuil1!$C$1:$BL$10,3,FALSE)</f>
        <v>#N/A</v>
      </c>
      <c r="AD2" s="3" t="e">
        <f>T2-HLOOKUP(X2,Feuil1!$C$1:$BL$10,4,FALSE)</f>
        <v>#N/A</v>
      </c>
      <c r="AE2" s="3" t="e">
        <f>T2-HLOOKUP(X2,Feuil1!$C$1:$BL$10,5,FALSE)</f>
        <v>#N/A</v>
      </c>
      <c r="AF2" s="3" t="e">
        <f>T2-HLOOKUP(X2,Feuil1!$C$1:$BL$10,6,FALSE)</f>
        <v>#N/A</v>
      </c>
      <c r="AG2" s="3" t="e">
        <f>T2-HLOOKUP(X2,Feuil1!$C$1:$BL$10,7,FALSE)</f>
        <v>#N/A</v>
      </c>
      <c r="AH2" s="3" t="e">
        <f>T2-HLOOKUP(X2,Feuil1!$C$1:$BL$10,8,FALSE)</f>
        <v>#N/A</v>
      </c>
      <c r="AI2" s="3" t="e">
        <f>T2-HLOOKUP(X2,Feuil1!$C$1:$BL$10,9,FALSE)</f>
        <v>#N/A</v>
      </c>
      <c r="AJ2" s="3" t="e">
        <f>T2-HLOOKUP(X2,Feuil1!$C$1:$BL$10,10,FALSE)</f>
        <v>#N/A</v>
      </c>
      <c r="AK2" s="5"/>
      <c r="AL2" s="5"/>
      <c r="AM2" s="5"/>
      <c r="AN2" s="5"/>
      <c r="AO2" s="5"/>
      <c r="AP2" s="5"/>
      <c r="AQ2" s="5" t="e">
        <f t="shared" ref="AQ2" si="0">IF(AJ2&gt;=0,$AJ$1,IF(AI2&gt;=0,$AI$1,IF(AH2&gt;=0,$AH$1,IF(AG2&gt;=0,$AG$1,IF(AF2&gt;=0,$AF$1,IF(AE2&gt;=0,$AE$1,IF(AD2&gt;=0,$AD$1,IF(AC2&gt;=0,$AC$1,$AB$1))))))))</f>
        <v>#N/A</v>
      </c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</row>
    <row r="3" spans="1:55" s="13" customFormat="1" ht="21" x14ac:dyDescent="0.2">
      <c r="A3" s="12" t="s">
        <v>69</v>
      </c>
      <c r="B3" s="18" t="s">
        <v>536</v>
      </c>
      <c r="C3" s="19" t="s">
        <v>541</v>
      </c>
      <c r="D3" s="61">
        <v>1</v>
      </c>
      <c r="E3" s="35">
        <v>298421</v>
      </c>
      <c r="F3" s="20" t="s">
        <v>565</v>
      </c>
      <c r="G3" s="20" t="s">
        <v>1007</v>
      </c>
      <c r="H3" s="51">
        <v>1999</v>
      </c>
      <c r="I3" s="30">
        <v>44</v>
      </c>
      <c r="J3" s="19" t="s">
        <v>566</v>
      </c>
      <c r="K3" s="34" t="s">
        <v>69</v>
      </c>
      <c r="L3" s="31"/>
      <c r="M3" s="31"/>
      <c r="N3" s="31">
        <v>44</v>
      </c>
      <c r="O3" s="36">
        <f>IF(H3="","",IF(MAXA(L3:N3)&lt;=0,0,MAXA(L3:N3)))</f>
        <v>44</v>
      </c>
      <c r="P3" s="31"/>
      <c r="Q3" s="31"/>
      <c r="R3" s="31">
        <v>59</v>
      </c>
      <c r="S3" s="36">
        <f>IF(H3="","",IF(MAXA(P3:R3)&lt;=0,0,MAXA(P3:R3)))</f>
        <v>59</v>
      </c>
      <c r="T3" s="37">
        <f>IF(H3="","",IF(OR(O3=0,S3=0),0,O3+S3))</f>
        <v>103</v>
      </c>
      <c r="U3" s="65">
        <f>T3-I3*2</f>
        <v>15</v>
      </c>
      <c r="V3" s="41" t="str">
        <f>IF(H3="","",AQ3)</f>
        <v>INTA +</v>
      </c>
      <c r="W3" s="33">
        <f>IF(AJ3&gt;=0,AJ3,IF(AI3&gt;=0,AI3,IF(AH3&gt;=0,AH3,IF(AG3&gt;=0,AG3,IF(AF3&gt;=0,AF3,IF(AE3&gt;=0,AE3,IF(AD3&gt;=0,AD3,IF(AC3&gt;=0,AC3,AB3))))))))</f>
        <v>3</v>
      </c>
      <c r="X3" s="40" t="str">
        <f>IF(I3="","",IF(A3="H",IF(OR(H3="SEN",H3&lt;1995),VLOOKUP(I3,Feuil1!$A$11:$G$29,6),IF(AND(H3&gt;1994,H3&lt;1998),VLOOKUP(I3,Feuil1!$A$11:$G$29,5),IF(AND(H3&gt;1997,H3&lt;2000),VLOOKUP(I3,Feuil1!$A$11:$G$29,4),IF(AND(H3&gt;1999,H3&lt;2002),VLOOKUP(I3,Feuil1!$A$11:$G$29,3),VLOOKUP(I3,Feuil1!$A$11:$G$29,2))))),IF(OR(H3="SEN",H3&lt;1995),VLOOKUP(I3,Feuil1!$G$11:$L$25,6),IF(AND(H3&gt;1994,H3&lt;1998),VLOOKUP(I3,Feuil1!$G$11:$L$25,5),IF(AND(H3&gt;1997,H3&lt;2000),VLOOKUP(I3,Feuil1!$G$11:$L$25,4),IF(AND(H3&gt;1999,H3&lt;2002),VLOOKUP(I3,Feuil1!$G$11:$L$25,3),VLOOKUP(I3,Feuil1!$G$11:$L$25,2)))))))</f>
        <v>FC2 44</v>
      </c>
      <c r="Y3" s="39">
        <f>IF(I3="","",IF(A3="H",10^(0.794358141*LOG(I3/174.393)^2)*T3,IF(A3="F",10^(0.89726074*LOG(I3/148.026)^2)*T3,"")))</f>
        <v>182.77808255116472</v>
      </c>
      <c r="Z3" s="45"/>
      <c r="AA3" s="45" t="s">
        <v>12</v>
      </c>
      <c r="AB3" s="3">
        <f>T3-HLOOKUP(X3,Feuil1!$C$1:$BL$10,2,FALSE)</f>
        <v>73</v>
      </c>
      <c r="AC3" s="3">
        <f>T3-HLOOKUP(X3,Feuil1!$C$1:$BL$10,3,FALSE)</f>
        <v>63</v>
      </c>
      <c r="AD3" s="3">
        <f>T3-HLOOKUP(X3,Feuil1!$C$1:$BL$10,4,FALSE)</f>
        <v>53</v>
      </c>
      <c r="AE3" s="3">
        <f>T3-HLOOKUP(X3,Feuil1!$C$1:$BL$10,5,FALSE)</f>
        <v>43</v>
      </c>
      <c r="AF3" s="3">
        <f>T3-HLOOKUP(X3,Feuil1!$C$1:$BL$10,6,FALSE)</f>
        <v>33</v>
      </c>
      <c r="AG3" s="3">
        <f>T3-HLOOKUP(X3,Feuil1!$C$1:$BL$10,7,FALSE)</f>
        <v>23</v>
      </c>
      <c r="AH3" s="3">
        <f>T3-HLOOKUP(X3,Feuil1!$C$1:$BL$10,8,FALSE)</f>
        <v>13</v>
      </c>
      <c r="AI3" s="3">
        <f>T3-HLOOKUP(X3,Feuil1!$C$1:$BL$10,9,FALSE)</f>
        <v>3</v>
      </c>
      <c r="AJ3" s="3">
        <f>T3-HLOOKUP(X3,Feuil1!$C$1:$BL$10,10,FALSE)</f>
        <v>-897</v>
      </c>
      <c r="AK3" s="5"/>
      <c r="AL3" s="5"/>
      <c r="AM3" s="5"/>
      <c r="AN3" s="5"/>
      <c r="AO3" s="5"/>
      <c r="AP3" s="5"/>
      <c r="AQ3" s="5" t="str">
        <f>IF(AJ3&gt;=0,$AJ$1,IF(AI3&gt;=0,$AI$1,IF(AH3&gt;=0,$AH$1,IF(AG3&gt;=0,$AG$1,IF(AF3&gt;=0,$AF$1,IF(AE3&gt;=0,$AE$1,IF(AD3&gt;=0,$AD$1,IF(AC3&gt;=0,$AC$1,$AB$1))))))))</f>
        <v>INTA +</v>
      </c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</row>
    <row r="4" spans="1:55" ht="21" x14ac:dyDescent="0.2">
      <c r="A4" s="12" t="s">
        <v>69</v>
      </c>
      <c r="B4" s="18" t="s">
        <v>721</v>
      </c>
      <c r="C4" s="19" t="s">
        <v>722</v>
      </c>
      <c r="D4" s="61">
        <v>2</v>
      </c>
      <c r="E4" s="35">
        <v>191138</v>
      </c>
      <c r="F4" s="20" t="s">
        <v>729</v>
      </c>
      <c r="G4" s="20" t="s">
        <v>730</v>
      </c>
      <c r="H4" s="51">
        <v>1999</v>
      </c>
      <c r="I4" s="30">
        <v>43.65</v>
      </c>
      <c r="J4" s="19" t="s">
        <v>728</v>
      </c>
      <c r="K4" s="34" t="s">
        <v>69</v>
      </c>
      <c r="L4" s="31">
        <v>40</v>
      </c>
      <c r="M4" s="31">
        <v>42</v>
      </c>
      <c r="N4" s="31">
        <v>44</v>
      </c>
      <c r="O4" s="36">
        <f>IF(H4="","",IF(MAXA(L4:N4)&lt;=0,0,MAXA(L4:N4)))</f>
        <v>44</v>
      </c>
      <c r="P4" s="31">
        <v>53</v>
      </c>
      <c r="Q4" s="31">
        <v>56</v>
      </c>
      <c r="R4" s="31">
        <v>58</v>
      </c>
      <c r="S4" s="36">
        <f>IF(H4="","",IF(MAXA(P4:R4)&lt;=0,0,MAXA(P4:R4)))</f>
        <v>58</v>
      </c>
      <c r="T4" s="37">
        <f>IF(H4="","",IF(OR(O4=0,S4=0),0,O4+S4))</f>
        <v>102</v>
      </c>
      <c r="U4" s="65">
        <f>T4-I4*2</f>
        <v>14.700000000000003</v>
      </c>
      <c r="V4" s="41" t="str">
        <f>IF(H4="","",AQ4)</f>
        <v>INTA +</v>
      </c>
      <c r="W4" s="33">
        <f>IF(AJ4&gt;=0,AJ4,IF(AI4&gt;=0,AI4,IF(AH4&gt;=0,AH4,IF(AG4&gt;=0,AG4,IF(AF4&gt;=0,AF4,IF(AE4&gt;=0,AE4,IF(AD4&gt;=0,AD4,IF(AC4&gt;=0,AC4,AB4))))))))</f>
        <v>2</v>
      </c>
      <c r="X4" s="40" t="str">
        <f>IF(I4="","",IF(A4="H",IF(OR(H4="SEN",H4&lt;1995),VLOOKUP(I4,Feuil1!$A$11:$G$29,6),IF(AND(H4&gt;1994,H4&lt;1998),VLOOKUP(I4,Feuil1!$A$11:$G$29,5),IF(AND(H4&gt;1997,H4&lt;2000),VLOOKUP(I4,Feuil1!$A$11:$G$29,4),IF(AND(H4&gt;1999,H4&lt;2002),VLOOKUP(I4,Feuil1!$A$11:$G$29,3),VLOOKUP(I4,Feuil1!$A$11:$G$29,2))))),IF(OR(H4="SEN",H4&lt;1995),VLOOKUP(I4,Feuil1!$G$11:$L$25,6),IF(AND(H4&gt;1994,H4&lt;1998),VLOOKUP(I4,Feuil1!$G$11:$L$25,5),IF(AND(H4&gt;1997,H4&lt;2000),VLOOKUP(I4,Feuil1!$G$11:$L$25,4),IF(AND(H4&gt;1999,H4&lt;2002),VLOOKUP(I4,Feuil1!$G$11:$L$25,3),VLOOKUP(I4,Feuil1!$G$11:$L$25,2)))))))</f>
        <v>FC2 44</v>
      </c>
      <c r="Y4" s="39">
        <f>IF(I4="","",IF(A4="H",10^(0.794358141*LOG(I4/174.393)^2)*T4,IF(A4="F",10^(0.89726074*LOG(I4/148.026)^2)*T4,"")))</f>
        <v>182.38002949747388</v>
      </c>
      <c r="Z4" s="45"/>
      <c r="AA4" s="45" t="s">
        <v>12</v>
      </c>
      <c r="AB4" s="3">
        <f>T4-HLOOKUP(X4,Feuil1!$C$1:$BL$10,2,FALSE)</f>
        <v>72</v>
      </c>
      <c r="AC4" s="3">
        <f>T4-HLOOKUP(X4,Feuil1!$C$1:$BL$10,3,FALSE)</f>
        <v>62</v>
      </c>
      <c r="AD4" s="3">
        <f>T4-HLOOKUP(X4,Feuil1!$C$1:$BL$10,4,FALSE)</f>
        <v>52</v>
      </c>
      <c r="AE4" s="3">
        <f>T4-HLOOKUP(X4,Feuil1!$C$1:$BL$10,5,FALSE)</f>
        <v>42</v>
      </c>
      <c r="AF4" s="3">
        <f>T4-HLOOKUP(X4,Feuil1!$C$1:$BL$10,6,FALSE)</f>
        <v>32</v>
      </c>
      <c r="AG4" s="3">
        <f>T4-HLOOKUP(X4,Feuil1!$C$1:$BL$10,7,FALSE)</f>
        <v>22</v>
      </c>
      <c r="AH4" s="3">
        <f>T4-HLOOKUP(X4,Feuil1!$C$1:$BL$10,8,FALSE)</f>
        <v>12</v>
      </c>
      <c r="AI4" s="3">
        <f>T4-HLOOKUP(X4,Feuil1!$C$1:$BL$10,9,FALSE)</f>
        <v>2</v>
      </c>
      <c r="AJ4" s="3">
        <f>T4-HLOOKUP(X4,Feuil1!$C$1:$BL$10,10,FALSE)</f>
        <v>-898</v>
      </c>
      <c r="AQ4" s="5" t="str">
        <f>IF(AJ4&gt;=0,$AJ$1,IF(AI4&gt;=0,$AI$1,IF(AH4&gt;=0,$AH$1,IF(AG4&gt;=0,$AG$1,IF(AF4&gt;=0,$AF$1,IF(AE4&gt;=0,$AE$1,IF(AD4&gt;=0,$AD$1,IF(AC4&gt;=0,$AC$1,$AB$1))))))))</f>
        <v>INTA +</v>
      </c>
      <c r="BC4" s="13"/>
    </row>
    <row r="5" spans="1:55" ht="21" hidden="1" x14ac:dyDescent="0.2">
      <c r="A5" s="12" t="s">
        <v>69</v>
      </c>
      <c r="B5" s="18" t="s">
        <v>298</v>
      </c>
      <c r="C5" s="19" t="s">
        <v>404</v>
      </c>
      <c r="D5" s="61">
        <v>3</v>
      </c>
      <c r="E5" s="35">
        <v>344393</v>
      </c>
      <c r="F5" s="20" t="s">
        <v>410</v>
      </c>
      <c r="G5" s="20" t="s">
        <v>411</v>
      </c>
      <c r="H5" s="51">
        <v>1999</v>
      </c>
      <c r="I5" s="30">
        <v>42.06</v>
      </c>
      <c r="J5" s="19" t="s">
        <v>412</v>
      </c>
      <c r="K5" s="34" t="s">
        <v>413</v>
      </c>
      <c r="L5" s="31">
        <v>20</v>
      </c>
      <c r="M5" s="31">
        <v>23</v>
      </c>
      <c r="N5" s="31">
        <v>-25</v>
      </c>
      <c r="O5" s="36">
        <f>IF(H5="","",IF(MAXA(L5:N5)&lt;=0,0,MAXA(L5:N5)))</f>
        <v>23</v>
      </c>
      <c r="P5" s="31">
        <v>25</v>
      </c>
      <c r="Q5" s="31">
        <v>27</v>
      </c>
      <c r="R5" s="31">
        <v>29</v>
      </c>
      <c r="S5" s="36">
        <f>IF(H5="","",IF(MAXA(P5:R5)&lt;=0,0,MAXA(P5:R5)))</f>
        <v>29</v>
      </c>
      <c r="T5" s="37">
        <f>IF(H5="","",IF(OR(O5=0,S5=0),0,O5+S5))</f>
        <v>52</v>
      </c>
      <c r="U5" s="65">
        <f>T5-I5*2</f>
        <v>-32.120000000000005</v>
      </c>
      <c r="V5" s="41" t="str">
        <f>IF(H5="","",AQ5)</f>
        <v>REG +</v>
      </c>
      <c r="W5" s="33">
        <f>IF(AJ5&gt;=0,AJ5,IF(AI5&gt;=0,AI5,IF(AH5&gt;=0,AH5,IF(AG5&gt;=0,AG5,IF(AF5&gt;=0,AF5,IF(AE5&gt;=0,AE5,IF(AD5&gt;=0,AD5,IF(AC5&gt;=0,AC5,AB5))))))))</f>
        <v>2</v>
      </c>
      <c r="X5" s="40" t="str">
        <f>IF(I5="","",IF(A5="H",IF(OR(H5="SEN",H5&lt;1995),VLOOKUP(I5,Feuil1!$A$11:$G$29,6),IF(AND(H5&gt;1994,H5&lt;1998),VLOOKUP(I5,Feuil1!$A$11:$G$29,5),IF(AND(H5&gt;1997,H5&lt;2000),VLOOKUP(I5,Feuil1!$A$11:$G$29,4),IF(AND(H5&gt;1999,H5&lt;2002),VLOOKUP(I5,Feuil1!$A$11:$G$29,3),VLOOKUP(I5,Feuil1!$A$11:$G$29,2))))),IF(OR(H5="SEN",H5&lt;1995),VLOOKUP(I5,Feuil1!$G$11:$L$25,6),IF(AND(H5&gt;1994,H5&lt;1998),VLOOKUP(I5,Feuil1!$G$11:$L$25,5),IF(AND(H5&gt;1997,H5&lt;2000),VLOOKUP(I5,Feuil1!$G$11:$L$25,4),IF(AND(H5&gt;1999,H5&lt;2002),VLOOKUP(I5,Feuil1!$G$11:$L$25,3),VLOOKUP(I5,Feuil1!$G$11:$L$25,2)))))))</f>
        <v>FC2 44</v>
      </c>
      <c r="Y5" s="39">
        <f>IF(I5="","",IF(A5="H",10^(0.794358141*LOG(I5/174.393)^2)*T5,IF(A5="F",10^(0.89726074*LOG(I5/148.026)^2)*T5,"")))</f>
        <v>96.371938431260944</v>
      </c>
      <c r="Z5" s="45"/>
      <c r="AA5" s="45" t="s">
        <v>12</v>
      </c>
      <c r="AB5" s="3">
        <f>T5-HLOOKUP(X5,Feuil1!$C$1:$BL$10,2,FALSE)</f>
        <v>22</v>
      </c>
      <c r="AC5" s="3">
        <f>T5-HLOOKUP(X5,Feuil1!$C$1:$BL$10,3,FALSE)</f>
        <v>12</v>
      </c>
      <c r="AD5" s="3">
        <f>T5-HLOOKUP(X5,Feuil1!$C$1:$BL$10,4,FALSE)</f>
        <v>2</v>
      </c>
      <c r="AE5" s="3">
        <f>T5-HLOOKUP(X5,Feuil1!$C$1:$BL$10,5,FALSE)</f>
        <v>-8</v>
      </c>
      <c r="AF5" s="3">
        <f>T5-HLOOKUP(X5,Feuil1!$C$1:$BL$10,6,FALSE)</f>
        <v>-18</v>
      </c>
      <c r="AG5" s="3">
        <f>T5-HLOOKUP(X5,Feuil1!$C$1:$BL$10,7,FALSE)</f>
        <v>-28</v>
      </c>
      <c r="AH5" s="3">
        <f>T5-HLOOKUP(X5,Feuil1!$C$1:$BL$10,8,FALSE)</f>
        <v>-38</v>
      </c>
      <c r="AI5" s="3">
        <f>T5-HLOOKUP(X5,Feuil1!$C$1:$BL$10,9,FALSE)</f>
        <v>-48</v>
      </c>
      <c r="AJ5" s="3">
        <f>T5-HLOOKUP(X5,Feuil1!$C$1:$BL$10,10,FALSE)</f>
        <v>-948</v>
      </c>
      <c r="AQ5" s="5" t="str">
        <f>IF(AJ5&gt;=0,$AJ$1,IF(AI5&gt;=0,$AI$1,IF(AH5&gt;=0,$AH$1,IF(AG5&gt;=0,$AG$1,IF(AF5&gt;=0,$AF$1,IF(AE5&gt;=0,$AE$1,IF(AD5&gt;=0,$AD$1,IF(AC5&gt;=0,$AC$1,$AB$1))))))))</f>
        <v>REG +</v>
      </c>
    </row>
    <row r="6" spans="1:55" s="13" customFormat="1" ht="15" hidden="1" customHeight="1" thickBot="1" x14ac:dyDescent="0.25">
      <c r="A6" s="89"/>
      <c r="B6" s="90"/>
      <c r="C6" s="91"/>
      <c r="D6" s="92"/>
      <c r="E6" s="93"/>
      <c r="F6" s="94"/>
      <c r="G6" s="94"/>
      <c r="H6" s="95"/>
      <c r="I6" s="96"/>
      <c r="J6" s="91"/>
      <c r="K6" s="97"/>
      <c r="L6" s="98"/>
      <c r="M6" s="98"/>
      <c r="N6" s="98"/>
      <c r="O6" s="99"/>
      <c r="P6" s="98"/>
      <c r="Q6" s="98"/>
      <c r="R6" s="98"/>
      <c r="S6" s="99"/>
      <c r="T6" s="100"/>
      <c r="U6" s="101"/>
      <c r="V6" s="102"/>
      <c r="W6" s="103"/>
      <c r="X6" s="104"/>
      <c r="Y6" s="105"/>
      <c r="Z6" s="45"/>
      <c r="AA6" s="45" t="s">
        <v>12</v>
      </c>
      <c r="AB6" s="3" t="e">
        <f>T6-HLOOKUP(X6,Feuil1!$C$1:$BL$10,2,FALSE)</f>
        <v>#N/A</v>
      </c>
      <c r="AC6" s="3" t="e">
        <f>T6-HLOOKUP(X6,Feuil1!$C$1:$BL$10,3,FALSE)</f>
        <v>#N/A</v>
      </c>
      <c r="AD6" s="3" t="e">
        <f>T6-HLOOKUP(X6,Feuil1!$C$1:$BL$10,4,FALSE)</f>
        <v>#N/A</v>
      </c>
      <c r="AE6" s="3" t="e">
        <f>T6-HLOOKUP(X6,Feuil1!$C$1:$BL$10,5,FALSE)</f>
        <v>#N/A</v>
      </c>
      <c r="AF6" s="3" t="e">
        <f>T6-HLOOKUP(X6,Feuil1!$C$1:$BL$10,6,FALSE)</f>
        <v>#N/A</v>
      </c>
      <c r="AG6" s="3" t="e">
        <f>T6-HLOOKUP(X6,Feuil1!$C$1:$BL$10,7,FALSE)</f>
        <v>#N/A</v>
      </c>
      <c r="AH6" s="3" t="e">
        <f>T6-HLOOKUP(X6,Feuil1!$C$1:$BL$10,8,FALSE)</f>
        <v>#N/A</v>
      </c>
      <c r="AI6" s="3" t="e">
        <f>T6-HLOOKUP(X6,Feuil1!$C$1:$BL$10,9,FALSE)</f>
        <v>#N/A</v>
      </c>
      <c r="AJ6" s="3" t="e">
        <f>T6-HLOOKUP(X6,Feuil1!$C$1:$BL$10,10,FALSE)</f>
        <v>#N/A</v>
      </c>
      <c r="AK6" s="5"/>
      <c r="AL6" s="5"/>
      <c r="AM6" s="5"/>
      <c r="AN6" s="5"/>
      <c r="AO6" s="5"/>
      <c r="AP6" s="5"/>
      <c r="AQ6" s="5" t="e">
        <f t="shared" ref="AQ6" si="1">IF(AJ6&gt;=0,$AJ$1,IF(AI6&gt;=0,$AI$1,IF(AH6&gt;=0,$AH$1,IF(AG6&gt;=0,$AG$1,IF(AF6&gt;=0,$AF$1,IF(AE6&gt;=0,$AE$1,IF(AD6&gt;=0,$AD$1,IF(AC6&gt;=0,$AC$1,$AB$1))))))))</f>
        <v>#N/A</v>
      </c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</row>
    <row r="7" spans="1:55" ht="21" x14ac:dyDescent="0.2">
      <c r="A7" s="12" t="s">
        <v>69</v>
      </c>
      <c r="B7" s="18" t="s">
        <v>536</v>
      </c>
      <c r="C7" s="19" t="s">
        <v>541</v>
      </c>
      <c r="D7" s="61">
        <v>1</v>
      </c>
      <c r="E7" s="35">
        <v>277832</v>
      </c>
      <c r="F7" s="20" t="s">
        <v>567</v>
      </c>
      <c r="G7" s="20" t="s">
        <v>568</v>
      </c>
      <c r="H7" s="57">
        <v>1999</v>
      </c>
      <c r="I7" s="30">
        <v>47.8</v>
      </c>
      <c r="J7" s="19" t="s">
        <v>566</v>
      </c>
      <c r="K7" s="34" t="s">
        <v>69</v>
      </c>
      <c r="L7" s="31">
        <v>48</v>
      </c>
      <c r="M7" s="31">
        <v>51</v>
      </c>
      <c r="N7" s="31">
        <v>53</v>
      </c>
      <c r="O7" s="36">
        <f t="shared" ref="O7:O17" si="2">IF(H7="","",IF(MAXA(L7:N7)&lt;=0,0,MAXA(L7:N7)))</f>
        <v>53</v>
      </c>
      <c r="P7" s="31">
        <v>59</v>
      </c>
      <c r="Q7" s="31">
        <v>-62</v>
      </c>
      <c r="R7" s="31">
        <v>62</v>
      </c>
      <c r="S7" s="36">
        <f t="shared" ref="S7:S17" si="3">IF(H7="","",IF(MAXA(P7:R7)&lt;=0,0,MAXA(P7:R7)))</f>
        <v>62</v>
      </c>
      <c r="T7" s="37">
        <f t="shared" ref="T7:T17" si="4">IF(H7="","",IF(OR(O7=0,S7=0),0,O7+S7))</f>
        <v>115</v>
      </c>
      <c r="U7" s="65">
        <f t="shared" ref="U7:U17" si="5">T7-I7*2</f>
        <v>19.400000000000006</v>
      </c>
      <c r="V7" s="41" t="str">
        <f t="shared" ref="V7:V17" si="6">IF(H7="","",AQ7)</f>
        <v>INTA +</v>
      </c>
      <c r="W7" s="33">
        <f t="shared" ref="W7:W17" si="7">IF(AJ7&gt;=0,AJ7,IF(AI7&gt;=0,AI7,IF(AH7&gt;=0,AH7,IF(AG7&gt;=0,AG7,IF(AF7&gt;=0,AF7,IF(AE7&gt;=0,AE7,IF(AD7&gt;=0,AD7,IF(AC7&gt;=0,AC7,AB7))))))))</f>
        <v>5</v>
      </c>
      <c r="X7" s="40" t="str">
        <f>IF(I7="","",IF(A7="H",IF(OR(H7="SEN",H7&lt;1995),VLOOKUP(I7,Feuil1!$A$11:$G$29,6),IF(AND(H7&gt;1994,H7&lt;1998),VLOOKUP(I7,Feuil1!$A$11:$G$29,5),IF(AND(H7&gt;1997,H7&lt;2000),VLOOKUP(I7,Feuil1!$A$11:$G$29,4),IF(AND(H7&gt;1999,H7&lt;2002),VLOOKUP(I7,Feuil1!$A$11:$G$29,3),VLOOKUP(I7,Feuil1!$A$11:$G$29,2))))),IF(OR(H7="SEN",H7&lt;1995),VLOOKUP(I7,Feuil1!$G$11:$L$25,6),IF(AND(H7&gt;1994,H7&lt;1998),VLOOKUP(I7,Feuil1!$G$11:$L$25,5),IF(AND(H7&gt;1997,H7&lt;2000),VLOOKUP(I7,Feuil1!$G$11:$L$25,4),IF(AND(H7&gt;1999,H7&lt;2002),VLOOKUP(I7,Feuil1!$G$11:$L$25,3),VLOOKUP(I7,Feuil1!$G$11:$L$25,2)))))))</f>
        <v>FC2 48</v>
      </c>
      <c r="Y7" s="39">
        <f t="shared" ref="Y7:Y17" si="8">IF(I7="","",IF(A7="H",10^(0.794358141*LOG(I7/174.393)^2)*T7,IF(A7="F",10^(0.89726074*LOG(I7/148.026)^2)*T7,"")))</f>
        <v>189.20436805322979</v>
      </c>
      <c r="Z7" s="45"/>
      <c r="AA7" s="45" t="s">
        <v>12</v>
      </c>
      <c r="AB7" s="3">
        <f>T7-HLOOKUP(X7,Feuil1!$C$1:$BL$10,2,FALSE)</f>
        <v>80</v>
      </c>
      <c r="AC7" s="3">
        <f>T7-HLOOKUP(X7,Feuil1!$C$1:$BL$10,3,FALSE)</f>
        <v>70</v>
      </c>
      <c r="AD7" s="3">
        <f>T7-HLOOKUP(X7,Feuil1!$C$1:$BL$10,4,FALSE)</f>
        <v>60</v>
      </c>
      <c r="AE7" s="3">
        <f>T7-HLOOKUP(X7,Feuil1!$C$1:$BL$10,5,FALSE)</f>
        <v>50</v>
      </c>
      <c r="AF7" s="3">
        <f>T7-HLOOKUP(X7,Feuil1!$C$1:$BL$10,6,FALSE)</f>
        <v>40</v>
      </c>
      <c r="AG7" s="3">
        <f>T7-HLOOKUP(X7,Feuil1!$C$1:$BL$10,7,FALSE)</f>
        <v>30</v>
      </c>
      <c r="AH7" s="3">
        <f>T7-HLOOKUP(X7,Feuil1!$C$1:$BL$10,8,FALSE)</f>
        <v>20</v>
      </c>
      <c r="AI7" s="3">
        <f>T7-HLOOKUP(X7,Feuil1!$C$1:$BL$10,9,FALSE)</f>
        <v>5</v>
      </c>
      <c r="AJ7" s="3">
        <f>T7-HLOOKUP(X7,Feuil1!$C$1:$BL$10,10,FALSE)</f>
        <v>-885</v>
      </c>
      <c r="AQ7" s="5" t="str">
        <f t="shared" ref="AQ7:AQ17" si="9">IF(AJ7&gt;=0,$AJ$1,IF(AI7&gt;=0,$AI$1,IF(AH7&gt;=0,$AH$1,IF(AG7&gt;=0,$AG$1,IF(AF7&gt;=0,$AF$1,IF(AE7&gt;=0,$AE$1,IF(AD7&gt;=0,$AD$1,IF(AC7&gt;=0,$AC$1,$AB$1))))))))</f>
        <v>INTA +</v>
      </c>
      <c r="BC7" s="13"/>
    </row>
    <row r="8" spans="1:55" ht="21" x14ac:dyDescent="0.2">
      <c r="A8" s="12" t="s">
        <v>69</v>
      </c>
      <c r="B8" s="67" t="s">
        <v>536</v>
      </c>
      <c r="C8" s="68" t="s">
        <v>541</v>
      </c>
      <c r="D8" s="69">
        <v>2</v>
      </c>
      <c r="E8" s="70">
        <v>298421</v>
      </c>
      <c r="F8" s="71" t="s">
        <v>565</v>
      </c>
      <c r="G8" s="71" t="s">
        <v>1007</v>
      </c>
      <c r="H8" s="72">
        <v>1999</v>
      </c>
      <c r="I8" s="73">
        <v>45.1</v>
      </c>
      <c r="J8" s="68" t="s">
        <v>566</v>
      </c>
      <c r="K8" s="74" t="s">
        <v>69</v>
      </c>
      <c r="L8" s="75">
        <v>44</v>
      </c>
      <c r="M8" s="75">
        <v>48</v>
      </c>
      <c r="N8" s="75">
        <v>50</v>
      </c>
      <c r="O8" s="76">
        <f t="shared" si="2"/>
        <v>50</v>
      </c>
      <c r="P8" s="75">
        <v>58</v>
      </c>
      <c r="Q8" s="75">
        <v>61</v>
      </c>
      <c r="R8" s="75">
        <v>64</v>
      </c>
      <c r="S8" s="76">
        <f t="shared" si="3"/>
        <v>64</v>
      </c>
      <c r="T8" s="77">
        <f t="shared" si="4"/>
        <v>114</v>
      </c>
      <c r="U8" s="78">
        <f t="shared" si="5"/>
        <v>23.799999999999997</v>
      </c>
      <c r="V8" s="79" t="str">
        <f t="shared" si="6"/>
        <v>INTA +</v>
      </c>
      <c r="W8" s="80">
        <f t="shared" si="7"/>
        <v>4</v>
      </c>
      <c r="X8" s="81" t="str">
        <f>IF(I8="","",IF(A8="H",IF(OR(H8="SEN",H8&lt;1995),VLOOKUP(I8,Feuil1!$A$11:$G$29,6),IF(AND(H8&gt;1994,H8&lt;1998),VLOOKUP(I8,Feuil1!$A$11:$G$29,5),IF(AND(H8&gt;1997,H8&lt;2000),VLOOKUP(I8,Feuil1!$A$11:$G$29,4),IF(AND(H8&gt;1999,H8&lt;2002),VLOOKUP(I8,Feuil1!$A$11:$G$29,3),VLOOKUP(I8,Feuil1!$A$11:$G$29,2))))),IF(OR(H8="SEN",H8&lt;1995),VLOOKUP(I8,Feuil1!$G$11:$L$25,6),IF(AND(H8&gt;1994,H8&lt;1998),VLOOKUP(I8,Feuil1!$G$11:$L$25,5),IF(AND(H8&gt;1997,H8&lt;2000),VLOOKUP(I8,Feuil1!$G$11:$L$25,4),IF(AND(H8&gt;1999,H8&lt;2002),VLOOKUP(I8,Feuil1!$G$11:$L$25,3),VLOOKUP(I8,Feuil1!$G$11:$L$25,2)))))))</f>
        <v>FC2 48</v>
      </c>
      <c r="Y8" s="39">
        <f t="shared" si="8"/>
        <v>197.6766805263488</v>
      </c>
      <c r="Z8" s="45"/>
      <c r="AA8" s="45" t="s">
        <v>12</v>
      </c>
      <c r="AB8" s="3">
        <f>T8-HLOOKUP(X8,Feuil1!$C$1:$BL$10,2,FALSE)</f>
        <v>79</v>
      </c>
      <c r="AC8" s="3">
        <f>T8-HLOOKUP(X8,Feuil1!$C$1:$BL$10,3,FALSE)</f>
        <v>69</v>
      </c>
      <c r="AD8" s="3">
        <f>T8-HLOOKUP(X8,Feuil1!$C$1:$BL$10,4,FALSE)</f>
        <v>59</v>
      </c>
      <c r="AE8" s="3">
        <f>T8-HLOOKUP(X8,Feuil1!$C$1:$BL$10,5,FALSE)</f>
        <v>49</v>
      </c>
      <c r="AF8" s="3">
        <f>T8-HLOOKUP(X8,Feuil1!$C$1:$BL$10,6,FALSE)</f>
        <v>39</v>
      </c>
      <c r="AG8" s="3">
        <f>T8-HLOOKUP(X8,Feuil1!$C$1:$BL$10,7,FALSE)</f>
        <v>29</v>
      </c>
      <c r="AH8" s="3">
        <f>T8-HLOOKUP(X8,Feuil1!$C$1:$BL$10,8,FALSE)</f>
        <v>19</v>
      </c>
      <c r="AI8" s="3">
        <f>T8-HLOOKUP(X8,Feuil1!$C$1:$BL$10,9,FALSE)</f>
        <v>4</v>
      </c>
      <c r="AJ8" s="3">
        <f>T8-HLOOKUP(X8,Feuil1!$C$1:$BL$10,10,FALSE)</f>
        <v>-886</v>
      </c>
      <c r="AQ8" s="5" t="str">
        <f t="shared" si="9"/>
        <v>INTA +</v>
      </c>
      <c r="BC8" s="13"/>
    </row>
    <row r="9" spans="1:55" ht="21" x14ac:dyDescent="0.2">
      <c r="A9" s="12" t="s">
        <v>69</v>
      </c>
      <c r="B9" s="67" t="s">
        <v>721</v>
      </c>
      <c r="C9" s="68" t="s">
        <v>722</v>
      </c>
      <c r="D9" s="69">
        <v>3</v>
      </c>
      <c r="E9" s="70">
        <v>191138</v>
      </c>
      <c r="F9" s="71" t="s">
        <v>729</v>
      </c>
      <c r="G9" s="71" t="s">
        <v>730</v>
      </c>
      <c r="H9" s="72">
        <v>1999</v>
      </c>
      <c r="I9" s="73">
        <v>44.7</v>
      </c>
      <c r="J9" s="68" t="s">
        <v>728</v>
      </c>
      <c r="K9" s="74" t="s">
        <v>69</v>
      </c>
      <c r="L9" s="75">
        <v>42</v>
      </c>
      <c r="M9" s="75">
        <v>44</v>
      </c>
      <c r="N9" s="75">
        <v>46</v>
      </c>
      <c r="O9" s="76">
        <f t="shared" si="2"/>
        <v>46</v>
      </c>
      <c r="P9" s="75">
        <v>58</v>
      </c>
      <c r="Q9" s="75">
        <v>60</v>
      </c>
      <c r="R9" s="75">
        <v>62</v>
      </c>
      <c r="S9" s="76">
        <f t="shared" si="3"/>
        <v>62</v>
      </c>
      <c r="T9" s="77">
        <f t="shared" si="4"/>
        <v>108</v>
      </c>
      <c r="U9" s="78">
        <f t="shared" si="5"/>
        <v>18.599999999999994</v>
      </c>
      <c r="V9" s="79" t="str">
        <f t="shared" si="6"/>
        <v>INTB +</v>
      </c>
      <c r="W9" s="80">
        <f t="shared" si="7"/>
        <v>13</v>
      </c>
      <c r="X9" s="81" t="str">
        <f>IF(I9="","",IF(A9="H",IF(OR(H9="SEN",H9&lt;1995),VLOOKUP(I9,Feuil1!$A$11:$G$29,6),IF(AND(H9&gt;1994,H9&lt;1998),VLOOKUP(I9,Feuil1!$A$11:$G$29,5),IF(AND(H9&gt;1997,H9&lt;2000),VLOOKUP(I9,Feuil1!$A$11:$G$29,4),IF(AND(H9&gt;1999,H9&lt;2002),VLOOKUP(I9,Feuil1!$A$11:$G$29,3),VLOOKUP(I9,Feuil1!$A$11:$G$29,2))))),IF(OR(H9="SEN",H9&lt;1995),VLOOKUP(I9,Feuil1!$G$11:$L$25,6),IF(AND(H9&gt;1994,H9&lt;1998),VLOOKUP(I9,Feuil1!$G$11:$L$25,5),IF(AND(H9&gt;1997,H9&lt;2000),VLOOKUP(I9,Feuil1!$G$11:$L$25,4),IF(AND(H9&gt;1999,H9&lt;2002),VLOOKUP(I9,Feuil1!$G$11:$L$25,3),VLOOKUP(I9,Feuil1!$G$11:$L$25,2)))))))</f>
        <v>FC2 48</v>
      </c>
      <c r="Y9" s="39">
        <f t="shared" si="8"/>
        <v>188.83022184664699</v>
      </c>
      <c r="Z9" s="45"/>
      <c r="AA9" s="45" t="s">
        <v>12</v>
      </c>
      <c r="AB9" s="3">
        <f>T9-HLOOKUP(X9,Feuil1!$C$1:$BL$10,2,FALSE)</f>
        <v>73</v>
      </c>
      <c r="AC9" s="3">
        <f>T9-HLOOKUP(X9,Feuil1!$C$1:$BL$10,3,FALSE)</f>
        <v>63</v>
      </c>
      <c r="AD9" s="3">
        <f>T9-HLOOKUP(X9,Feuil1!$C$1:$BL$10,4,FALSE)</f>
        <v>53</v>
      </c>
      <c r="AE9" s="3">
        <f>T9-HLOOKUP(X9,Feuil1!$C$1:$BL$10,5,FALSE)</f>
        <v>43</v>
      </c>
      <c r="AF9" s="3">
        <f>T9-HLOOKUP(X9,Feuil1!$C$1:$BL$10,6,FALSE)</f>
        <v>33</v>
      </c>
      <c r="AG9" s="3">
        <f>T9-HLOOKUP(X9,Feuil1!$C$1:$BL$10,7,FALSE)</f>
        <v>23</v>
      </c>
      <c r="AH9" s="3">
        <f>T9-HLOOKUP(X9,Feuil1!$C$1:$BL$10,8,FALSE)</f>
        <v>13</v>
      </c>
      <c r="AI9" s="3">
        <f>T9-HLOOKUP(X9,Feuil1!$C$1:$BL$10,9,FALSE)</f>
        <v>-2</v>
      </c>
      <c r="AJ9" s="3">
        <f>T9-HLOOKUP(X9,Feuil1!$C$1:$BL$10,10,FALSE)</f>
        <v>-892</v>
      </c>
      <c r="AQ9" s="5" t="str">
        <f t="shared" si="9"/>
        <v>INTB +</v>
      </c>
      <c r="BC9" s="13"/>
    </row>
    <row r="10" spans="1:55" ht="21" x14ac:dyDescent="0.2">
      <c r="A10" s="12" t="s">
        <v>69</v>
      </c>
      <c r="B10" s="18" t="s">
        <v>71</v>
      </c>
      <c r="C10" s="19" t="s">
        <v>801</v>
      </c>
      <c r="D10" s="61">
        <v>4</v>
      </c>
      <c r="E10" s="35">
        <v>363002</v>
      </c>
      <c r="F10" s="20" t="s">
        <v>132</v>
      </c>
      <c r="G10" s="20" t="s">
        <v>816</v>
      </c>
      <c r="H10" s="51">
        <v>1998</v>
      </c>
      <c r="I10" s="30">
        <v>47.8</v>
      </c>
      <c r="J10" s="19" t="s">
        <v>803</v>
      </c>
      <c r="K10" s="34" t="s">
        <v>69</v>
      </c>
      <c r="L10" s="31">
        <v>39</v>
      </c>
      <c r="M10" s="31">
        <v>42</v>
      </c>
      <c r="N10" s="31">
        <v>44</v>
      </c>
      <c r="O10" s="36">
        <f t="shared" si="2"/>
        <v>44</v>
      </c>
      <c r="P10" s="31">
        <v>50</v>
      </c>
      <c r="Q10" s="31">
        <v>53</v>
      </c>
      <c r="R10" s="31">
        <v>56</v>
      </c>
      <c r="S10" s="36">
        <f t="shared" si="3"/>
        <v>56</v>
      </c>
      <c r="T10" s="37">
        <f t="shared" si="4"/>
        <v>100</v>
      </c>
      <c r="U10" s="65">
        <f t="shared" si="5"/>
        <v>4.4000000000000057</v>
      </c>
      <c r="V10" s="41" t="str">
        <f t="shared" si="6"/>
        <v>INTB +</v>
      </c>
      <c r="W10" s="33">
        <f t="shared" si="7"/>
        <v>5</v>
      </c>
      <c r="X10" s="40" t="str">
        <f>IF(I10="","",IF(A10="H",IF(OR(H10="SEN",H10&lt;1995),VLOOKUP(I10,Feuil1!$A$11:$G$29,6),IF(AND(H10&gt;1994,H10&lt;1998),VLOOKUP(I10,Feuil1!$A$11:$G$29,5),IF(AND(H10&gt;1997,H10&lt;2000),VLOOKUP(I10,Feuil1!$A$11:$G$29,4),IF(AND(H10&gt;1999,H10&lt;2002),VLOOKUP(I10,Feuil1!$A$11:$G$29,3),VLOOKUP(I10,Feuil1!$A$11:$G$29,2))))),IF(OR(H10="SEN",H10&lt;1995),VLOOKUP(I10,Feuil1!$G$11:$L$25,6),IF(AND(H10&gt;1994,H10&lt;1998),VLOOKUP(I10,Feuil1!$G$11:$L$25,5),IF(AND(H10&gt;1997,H10&lt;2000),VLOOKUP(I10,Feuil1!$G$11:$L$25,4),IF(AND(H10&gt;1999,H10&lt;2002),VLOOKUP(I10,Feuil1!$G$11:$L$25,3),VLOOKUP(I10,Feuil1!$G$11:$L$25,2)))))))</f>
        <v>FC2 48</v>
      </c>
      <c r="Y10" s="39">
        <f t="shared" si="8"/>
        <v>164.52553743759114</v>
      </c>
      <c r="Z10" s="45"/>
      <c r="AA10" s="45" t="s">
        <v>12</v>
      </c>
      <c r="AB10" s="3">
        <f>T10-HLOOKUP(X10,Feuil1!$C$1:$BL$10,2,FALSE)</f>
        <v>65</v>
      </c>
      <c r="AC10" s="3">
        <f>T10-HLOOKUP(X10,Feuil1!$C$1:$BL$10,3,FALSE)</f>
        <v>55</v>
      </c>
      <c r="AD10" s="3">
        <f>T10-HLOOKUP(X10,Feuil1!$C$1:$BL$10,4,FALSE)</f>
        <v>45</v>
      </c>
      <c r="AE10" s="3">
        <f>T10-HLOOKUP(X10,Feuil1!$C$1:$BL$10,5,FALSE)</f>
        <v>35</v>
      </c>
      <c r="AF10" s="3">
        <f>T10-HLOOKUP(X10,Feuil1!$C$1:$BL$10,6,FALSE)</f>
        <v>25</v>
      </c>
      <c r="AG10" s="3">
        <f>T10-HLOOKUP(X10,Feuil1!$C$1:$BL$10,7,FALSE)</f>
        <v>15</v>
      </c>
      <c r="AH10" s="3">
        <f>T10-HLOOKUP(X10,Feuil1!$C$1:$BL$10,8,FALSE)</f>
        <v>5</v>
      </c>
      <c r="AI10" s="3">
        <f>T10-HLOOKUP(X10,Feuil1!$C$1:$BL$10,9,FALSE)</f>
        <v>-10</v>
      </c>
      <c r="AJ10" s="3">
        <f>T10-HLOOKUP(X10,Feuil1!$C$1:$BL$10,10,FALSE)</f>
        <v>-900</v>
      </c>
      <c r="AQ10" s="5" t="str">
        <f t="shared" si="9"/>
        <v>INTB +</v>
      </c>
      <c r="BC10" s="13"/>
    </row>
    <row r="11" spans="1:55" ht="21" x14ac:dyDescent="0.2">
      <c r="A11" s="12" t="s">
        <v>69</v>
      </c>
      <c r="B11" s="18" t="s">
        <v>71</v>
      </c>
      <c r="C11" s="19" t="s">
        <v>801</v>
      </c>
      <c r="D11" s="61">
        <v>5</v>
      </c>
      <c r="E11" s="35">
        <v>295873</v>
      </c>
      <c r="F11" s="20" t="s">
        <v>820</v>
      </c>
      <c r="G11" s="20" t="s">
        <v>448</v>
      </c>
      <c r="H11" s="51">
        <v>1999</v>
      </c>
      <c r="I11" s="30">
        <v>47.8</v>
      </c>
      <c r="J11" s="19" t="s">
        <v>813</v>
      </c>
      <c r="K11" s="34" t="s">
        <v>69</v>
      </c>
      <c r="L11" s="31">
        <v>38</v>
      </c>
      <c r="M11" s="31">
        <v>41</v>
      </c>
      <c r="N11" s="31">
        <v>44</v>
      </c>
      <c r="O11" s="36">
        <f t="shared" si="2"/>
        <v>44</v>
      </c>
      <c r="P11" s="31">
        <v>50</v>
      </c>
      <c r="Q11" s="31">
        <v>53</v>
      </c>
      <c r="R11" s="31">
        <v>56</v>
      </c>
      <c r="S11" s="36">
        <f t="shared" si="3"/>
        <v>56</v>
      </c>
      <c r="T11" s="37">
        <f t="shared" si="4"/>
        <v>100</v>
      </c>
      <c r="U11" s="65">
        <f t="shared" si="5"/>
        <v>4.4000000000000057</v>
      </c>
      <c r="V11" s="41" t="str">
        <f t="shared" si="6"/>
        <v>INTB +</v>
      </c>
      <c r="W11" s="33">
        <f t="shared" si="7"/>
        <v>5</v>
      </c>
      <c r="X11" s="40" t="str">
        <f>IF(I11="","",IF(A11="H",IF(OR(H11="SEN",H11&lt;1995),VLOOKUP(I11,Feuil1!$A$11:$G$29,6),IF(AND(H11&gt;1994,H11&lt;1998),VLOOKUP(I11,Feuil1!$A$11:$G$29,5),IF(AND(H11&gt;1997,H11&lt;2000),VLOOKUP(I11,Feuil1!$A$11:$G$29,4),IF(AND(H11&gt;1999,H11&lt;2002),VLOOKUP(I11,Feuil1!$A$11:$G$29,3),VLOOKUP(I11,Feuil1!$A$11:$G$29,2))))),IF(OR(H11="SEN",H11&lt;1995),VLOOKUP(I11,Feuil1!$G$11:$L$25,6),IF(AND(H11&gt;1994,H11&lt;1998),VLOOKUP(I11,Feuil1!$G$11:$L$25,5),IF(AND(H11&gt;1997,H11&lt;2000),VLOOKUP(I11,Feuil1!$G$11:$L$25,4),IF(AND(H11&gt;1999,H11&lt;2002),VLOOKUP(I11,Feuil1!$G$11:$L$25,3),VLOOKUP(I11,Feuil1!$G$11:$L$25,2)))))))</f>
        <v>FC2 48</v>
      </c>
      <c r="Y11" s="39">
        <f t="shared" si="8"/>
        <v>164.52553743759114</v>
      </c>
      <c r="Z11" s="45"/>
      <c r="AA11" s="45" t="s">
        <v>12</v>
      </c>
      <c r="AB11" s="3">
        <f>T11-HLOOKUP(X11,Feuil1!$C$1:$BL$10,2,FALSE)</f>
        <v>65</v>
      </c>
      <c r="AC11" s="3">
        <f>T11-HLOOKUP(X11,Feuil1!$C$1:$BL$10,3,FALSE)</f>
        <v>55</v>
      </c>
      <c r="AD11" s="3">
        <f>T11-HLOOKUP(X11,Feuil1!$C$1:$BL$10,4,FALSE)</f>
        <v>45</v>
      </c>
      <c r="AE11" s="3">
        <f>T11-HLOOKUP(X11,Feuil1!$C$1:$BL$10,5,FALSE)</f>
        <v>35</v>
      </c>
      <c r="AF11" s="3">
        <f>T11-HLOOKUP(X11,Feuil1!$C$1:$BL$10,6,FALSE)</f>
        <v>25</v>
      </c>
      <c r="AG11" s="3">
        <f>T11-HLOOKUP(X11,Feuil1!$C$1:$BL$10,7,FALSE)</f>
        <v>15</v>
      </c>
      <c r="AH11" s="3">
        <f>T11-HLOOKUP(X11,Feuil1!$C$1:$BL$10,8,FALSE)</f>
        <v>5</v>
      </c>
      <c r="AI11" s="3">
        <f>T11-HLOOKUP(X11,Feuil1!$C$1:$BL$10,9,FALSE)</f>
        <v>-10</v>
      </c>
      <c r="AJ11" s="3">
        <f>T11-HLOOKUP(X11,Feuil1!$C$1:$BL$10,10,FALSE)</f>
        <v>-900</v>
      </c>
      <c r="AQ11" s="5" t="str">
        <f t="shared" si="9"/>
        <v>INTB +</v>
      </c>
      <c r="BC11" s="13"/>
    </row>
    <row r="12" spans="1:55" ht="21" hidden="1" x14ac:dyDescent="0.2">
      <c r="A12" s="12" t="s">
        <v>69</v>
      </c>
      <c r="B12" s="18" t="s">
        <v>71</v>
      </c>
      <c r="C12" s="19" t="s">
        <v>801</v>
      </c>
      <c r="D12" s="61">
        <v>6</v>
      </c>
      <c r="E12" s="35">
        <v>385815</v>
      </c>
      <c r="F12" s="20" t="s">
        <v>815</v>
      </c>
      <c r="G12" s="20" t="s">
        <v>176</v>
      </c>
      <c r="H12" s="51">
        <v>1999</v>
      </c>
      <c r="I12" s="30">
        <v>47.25</v>
      </c>
      <c r="J12" s="19" t="s">
        <v>807</v>
      </c>
      <c r="K12" s="34" t="s">
        <v>69</v>
      </c>
      <c r="L12" s="31">
        <v>27</v>
      </c>
      <c r="M12" s="31">
        <v>30</v>
      </c>
      <c r="N12" s="31">
        <v>31</v>
      </c>
      <c r="O12" s="36">
        <f t="shared" si="2"/>
        <v>31</v>
      </c>
      <c r="P12" s="31">
        <v>36</v>
      </c>
      <c r="Q12" s="31">
        <v>38</v>
      </c>
      <c r="R12" s="31">
        <v>41</v>
      </c>
      <c r="S12" s="36">
        <f t="shared" si="3"/>
        <v>41</v>
      </c>
      <c r="T12" s="37">
        <f t="shared" si="4"/>
        <v>72</v>
      </c>
      <c r="U12" s="65">
        <f t="shared" si="5"/>
        <v>-22.5</v>
      </c>
      <c r="V12" s="41" t="str">
        <f t="shared" si="6"/>
        <v>IRG +</v>
      </c>
      <c r="W12" s="33">
        <f t="shared" si="7"/>
        <v>7</v>
      </c>
      <c r="X12" s="40" t="str">
        <f>IF(I12="","",IF(A12="H",IF(OR(H12="SEN",H12&lt;1995),VLOOKUP(I12,Feuil1!$A$11:$G$29,6),IF(AND(H12&gt;1994,H12&lt;1998),VLOOKUP(I12,Feuil1!$A$11:$G$29,5),IF(AND(H12&gt;1997,H12&lt;2000),VLOOKUP(I12,Feuil1!$A$11:$G$29,4),IF(AND(H12&gt;1999,H12&lt;2002),VLOOKUP(I12,Feuil1!$A$11:$G$29,3),VLOOKUP(I12,Feuil1!$A$11:$G$29,2))))),IF(OR(H12="SEN",H12&lt;1995),VLOOKUP(I12,Feuil1!$G$11:$L$25,6),IF(AND(H12&gt;1994,H12&lt;1998),VLOOKUP(I12,Feuil1!$G$11:$L$25,5),IF(AND(H12&gt;1997,H12&lt;2000),VLOOKUP(I12,Feuil1!$G$11:$L$25,4),IF(AND(H12&gt;1999,H12&lt;2002),VLOOKUP(I12,Feuil1!$G$11:$L$25,3),VLOOKUP(I12,Feuil1!$G$11:$L$25,2)))))))</f>
        <v>FC2 48</v>
      </c>
      <c r="Y12" s="39">
        <f t="shared" si="8"/>
        <v>119.67851806826289</v>
      </c>
      <c r="Z12" s="45"/>
      <c r="AA12" s="45" t="s">
        <v>12</v>
      </c>
      <c r="AB12" s="3">
        <f>T12-HLOOKUP(X12,Feuil1!$C$1:$BL$10,2,FALSE)</f>
        <v>37</v>
      </c>
      <c r="AC12" s="3">
        <f>T12-HLOOKUP(X12,Feuil1!$C$1:$BL$10,3,FALSE)</f>
        <v>27</v>
      </c>
      <c r="AD12" s="3">
        <f>T12-HLOOKUP(X12,Feuil1!$C$1:$BL$10,4,FALSE)</f>
        <v>17</v>
      </c>
      <c r="AE12" s="3">
        <f>T12-HLOOKUP(X12,Feuil1!$C$1:$BL$10,5,FALSE)</f>
        <v>7</v>
      </c>
      <c r="AF12" s="3">
        <f>T12-HLOOKUP(X12,Feuil1!$C$1:$BL$10,6,FALSE)</f>
        <v>-3</v>
      </c>
      <c r="AG12" s="3">
        <f>T12-HLOOKUP(X12,Feuil1!$C$1:$BL$10,7,FALSE)</f>
        <v>-13</v>
      </c>
      <c r="AH12" s="3">
        <f>T12-HLOOKUP(X12,Feuil1!$C$1:$BL$10,8,FALSE)</f>
        <v>-23</v>
      </c>
      <c r="AI12" s="3">
        <f>T12-HLOOKUP(X12,Feuil1!$C$1:$BL$10,9,FALSE)</f>
        <v>-38</v>
      </c>
      <c r="AJ12" s="3">
        <f>T12-HLOOKUP(X12,Feuil1!$C$1:$BL$10,10,FALSE)</f>
        <v>-928</v>
      </c>
      <c r="AQ12" s="5" t="str">
        <f t="shared" si="9"/>
        <v>IRG +</v>
      </c>
      <c r="BC12" s="13"/>
    </row>
    <row r="13" spans="1:55" ht="21" hidden="1" x14ac:dyDescent="0.2">
      <c r="A13" s="12" t="s">
        <v>69</v>
      </c>
      <c r="B13" s="18" t="s">
        <v>71</v>
      </c>
      <c r="C13" s="19" t="s">
        <v>801</v>
      </c>
      <c r="D13" s="61">
        <v>7</v>
      </c>
      <c r="E13" s="35">
        <v>387211</v>
      </c>
      <c r="F13" s="20" t="s">
        <v>809</v>
      </c>
      <c r="G13" s="20" t="s">
        <v>810</v>
      </c>
      <c r="H13" s="51">
        <v>1999</v>
      </c>
      <c r="I13" s="30">
        <v>45.4</v>
      </c>
      <c r="J13" s="19" t="s">
        <v>807</v>
      </c>
      <c r="K13" s="34" t="s">
        <v>69</v>
      </c>
      <c r="L13" s="31">
        <v>26</v>
      </c>
      <c r="M13" s="31">
        <v>28</v>
      </c>
      <c r="N13" s="31">
        <v>-30</v>
      </c>
      <c r="O13" s="36">
        <f t="shared" si="2"/>
        <v>28</v>
      </c>
      <c r="P13" s="31">
        <v>-33</v>
      </c>
      <c r="Q13" s="31">
        <v>35</v>
      </c>
      <c r="R13" s="31">
        <v>37</v>
      </c>
      <c r="S13" s="36">
        <f t="shared" si="3"/>
        <v>37</v>
      </c>
      <c r="T13" s="37">
        <f t="shared" si="4"/>
        <v>65</v>
      </c>
      <c r="U13" s="65">
        <f t="shared" si="5"/>
        <v>-25.799999999999997</v>
      </c>
      <c r="V13" s="41" t="str">
        <f t="shared" si="6"/>
        <v>IRG +</v>
      </c>
      <c r="W13" s="33">
        <f t="shared" si="7"/>
        <v>0</v>
      </c>
      <c r="X13" s="40" t="str">
        <f>IF(I13="","",IF(A13="H",IF(OR(H13="SEN",H13&lt;1995),VLOOKUP(I13,Feuil1!$A$11:$G$29,6),IF(AND(H13&gt;1994,H13&lt;1998),VLOOKUP(I13,Feuil1!$A$11:$G$29,5),IF(AND(H13&gt;1997,H13&lt;2000),VLOOKUP(I13,Feuil1!$A$11:$G$29,4),IF(AND(H13&gt;1999,H13&lt;2002),VLOOKUP(I13,Feuil1!$A$11:$G$29,3),VLOOKUP(I13,Feuil1!$A$11:$G$29,2))))),IF(OR(H13="SEN",H13&lt;1995),VLOOKUP(I13,Feuil1!$G$11:$L$25,6),IF(AND(H13&gt;1994,H13&lt;1998),VLOOKUP(I13,Feuil1!$G$11:$L$25,5),IF(AND(H13&gt;1997,H13&lt;2000),VLOOKUP(I13,Feuil1!$G$11:$L$25,4),IF(AND(H13&gt;1999,H13&lt;2002),VLOOKUP(I13,Feuil1!$G$11:$L$25,3),VLOOKUP(I13,Feuil1!$G$11:$L$25,2)))))))</f>
        <v>FC2 48</v>
      </c>
      <c r="Y13" s="39">
        <f t="shared" si="8"/>
        <v>112.02227411398577</v>
      </c>
      <c r="Z13" s="45"/>
      <c r="AA13" s="45" t="s">
        <v>12</v>
      </c>
      <c r="AB13" s="3">
        <f>T13-HLOOKUP(X13,Feuil1!$C$1:$BL$10,2,FALSE)</f>
        <v>30</v>
      </c>
      <c r="AC13" s="3">
        <f>T13-HLOOKUP(X13,Feuil1!$C$1:$BL$10,3,FALSE)</f>
        <v>20</v>
      </c>
      <c r="AD13" s="3">
        <f>T13-HLOOKUP(X13,Feuil1!$C$1:$BL$10,4,FALSE)</f>
        <v>10</v>
      </c>
      <c r="AE13" s="3">
        <f>T13-HLOOKUP(X13,Feuil1!$C$1:$BL$10,5,FALSE)</f>
        <v>0</v>
      </c>
      <c r="AF13" s="3">
        <f>T13-HLOOKUP(X13,Feuil1!$C$1:$BL$10,6,FALSE)</f>
        <v>-10</v>
      </c>
      <c r="AG13" s="3">
        <f>T13-HLOOKUP(X13,Feuil1!$C$1:$BL$10,7,FALSE)</f>
        <v>-20</v>
      </c>
      <c r="AH13" s="3">
        <f>T13-HLOOKUP(X13,Feuil1!$C$1:$BL$10,8,FALSE)</f>
        <v>-30</v>
      </c>
      <c r="AI13" s="3">
        <f>T13-HLOOKUP(X13,Feuil1!$C$1:$BL$10,9,FALSE)</f>
        <v>-45</v>
      </c>
      <c r="AJ13" s="3">
        <f>T13-HLOOKUP(X13,Feuil1!$C$1:$BL$10,10,FALSE)</f>
        <v>-935</v>
      </c>
      <c r="AQ13" s="5" t="str">
        <f t="shared" si="9"/>
        <v>IRG +</v>
      </c>
      <c r="BC13" s="13"/>
    </row>
    <row r="14" spans="1:55" ht="21" hidden="1" x14ac:dyDescent="0.2">
      <c r="A14" s="12" t="s">
        <v>69</v>
      </c>
      <c r="B14" s="18" t="s">
        <v>298</v>
      </c>
      <c r="C14" s="19" t="s">
        <v>476</v>
      </c>
      <c r="D14" s="61">
        <v>8</v>
      </c>
      <c r="E14" s="35">
        <v>378364</v>
      </c>
      <c r="F14" s="20" t="s">
        <v>493</v>
      </c>
      <c r="G14" s="20" t="s">
        <v>494</v>
      </c>
      <c r="H14" s="51">
        <v>1999</v>
      </c>
      <c r="I14" s="30">
        <v>47.7</v>
      </c>
      <c r="J14" s="19" t="s">
        <v>481</v>
      </c>
      <c r="K14" s="34" t="s">
        <v>69</v>
      </c>
      <c r="L14" s="31">
        <v>22</v>
      </c>
      <c r="M14" s="31">
        <v>25</v>
      </c>
      <c r="N14" s="31">
        <v>-27</v>
      </c>
      <c r="O14" s="36">
        <f t="shared" si="2"/>
        <v>25</v>
      </c>
      <c r="P14" s="31">
        <v>32</v>
      </c>
      <c r="Q14" s="31">
        <v>34</v>
      </c>
      <c r="R14" s="31">
        <v>36</v>
      </c>
      <c r="S14" s="36">
        <f t="shared" si="3"/>
        <v>36</v>
      </c>
      <c r="T14" s="37">
        <f t="shared" si="4"/>
        <v>61</v>
      </c>
      <c r="U14" s="65">
        <f t="shared" si="5"/>
        <v>-34.400000000000006</v>
      </c>
      <c r="V14" s="41" t="str">
        <f t="shared" si="6"/>
        <v>REG +</v>
      </c>
      <c r="W14" s="33">
        <f t="shared" si="7"/>
        <v>6</v>
      </c>
      <c r="X14" s="40" t="str">
        <f>IF(I14="","",IF(A14="H",IF(OR(H14="SEN",H14&lt;1995),VLOOKUP(I14,Feuil1!$A$11:$G$29,6),IF(AND(H14&gt;1994,H14&lt;1998),VLOOKUP(I14,Feuil1!$A$11:$G$29,5),IF(AND(H14&gt;1997,H14&lt;2000),VLOOKUP(I14,Feuil1!$A$11:$G$29,4),IF(AND(H14&gt;1999,H14&lt;2002),VLOOKUP(I14,Feuil1!$A$11:$G$29,3),VLOOKUP(I14,Feuil1!$A$11:$G$29,2))))),IF(OR(H14="SEN",H14&lt;1995),VLOOKUP(I14,Feuil1!$G$11:$L$25,6),IF(AND(H14&gt;1994,H14&lt;1998),VLOOKUP(I14,Feuil1!$G$11:$L$25,5),IF(AND(H14&gt;1997,H14&lt;2000),VLOOKUP(I14,Feuil1!$G$11:$L$25,4),IF(AND(H14&gt;1999,H14&lt;2002),VLOOKUP(I14,Feuil1!$G$11:$L$25,3),VLOOKUP(I14,Feuil1!$G$11:$L$25,2)))))))</f>
        <v>FC2 48</v>
      </c>
      <c r="Y14" s="39">
        <f t="shared" si="8"/>
        <v>100.54607776642078</v>
      </c>
      <c r="Z14" s="45"/>
      <c r="AA14" s="45" t="s">
        <v>12</v>
      </c>
      <c r="AB14" s="3">
        <f>T14-HLOOKUP(X14,Feuil1!$C$1:$BL$10,2,FALSE)</f>
        <v>26</v>
      </c>
      <c r="AC14" s="3">
        <f>T14-HLOOKUP(X14,Feuil1!$C$1:$BL$10,3,FALSE)</f>
        <v>16</v>
      </c>
      <c r="AD14" s="3">
        <f>T14-HLOOKUP(X14,Feuil1!$C$1:$BL$10,4,FALSE)</f>
        <v>6</v>
      </c>
      <c r="AE14" s="3">
        <f>T14-HLOOKUP(X14,Feuil1!$C$1:$BL$10,5,FALSE)</f>
        <v>-4</v>
      </c>
      <c r="AF14" s="3">
        <f>T14-HLOOKUP(X14,Feuil1!$C$1:$BL$10,6,FALSE)</f>
        <v>-14</v>
      </c>
      <c r="AG14" s="3">
        <f>T14-HLOOKUP(X14,Feuil1!$C$1:$BL$10,7,FALSE)</f>
        <v>-24</v>
      </c>
      <c r="AH14" s="3">
        <f>T14-HLOOKUP(X14,Feuil1!$C$1:$BL$10,8,FALSE)</f>
        <v>-34</v>
      </c>
      <c r="AI14" s="3">
        <f>T14-HLOOKUP(X14,Feuil1!$C$1:$BL$10,9,FALSE)</f>
        <v>-49</v>
      </c>
      <c r="AJ14" s="3">
        <f>T14-HLOOKUP(X14,Feuil1!$C$1:$BL$10,10,FALSE)</f>
        <v>-939</v>
      </c>
      <c r="AQ14" s="5" t="str">
        <f t="shared" si="9"/>
        <v>REG +</v>
      </c>
    </row>
    <row r="15" spans="1:55" ht="21" hidden="1" x14ac:dyDescent="0.2">
      <c r="A15" s="12" t="s">
        <v>69</v>
      </c>
      <c r="B15" s="18" t="s">
        <v>298</v>
      </c>
      <c r="C15" s="19" t="s">
        <v>404</v>
      </c>
      <c r="D15" s="61">
        <v>9</v>
      </c>
      <c r="E15" s="35">
        <v>376716</v>
      </c>
      <c r="F15" s="20" t="s">
        <v>427</v>
      </c>
      <c r="G15" s="20" t="s">
        <v>428</v>
      </c>
      <c r="H15" s="51">
        <v>1999</v>
      </c>
      <c r="I15" s="30">
        <v>45.9</v>
      </c>
      <c r="J15" s="19" t="s">
        <v>424</v>
      </c>
      <c r="K15" s="34" t="s">
        <v>69</v>
      </c>
      <c r="L15" s="31">
        <v>18</v>
      </c>
      <c r="M15" s="31">
        <v>21</v>
      </c>
      <c r="N15" s="31">
        <v>24</v>
      </c>
      <c r="O15" s="36">
        <f t="shared" si="2"/>
        <v>24</v>
      </c>
      <c r="P15" s="31">
        <v>24</v>
      </c>
      <c r="Q15" s="31">
        <v>26</v>
      </c>
      <c r="R15" s="31">
        <v>30</v>
      </c>
      <c r="S15" s="36">
        <f t="shared" si="3"/>
        <v>30</v>
      </c>
      <c r="T15" s="37">
        <f t="shared" si="4"/>
        <v>54</v>
      </c>
      <c r="U15" s="65">
        <f t="shared" si="5"/>
        <v>-37.799999999999997</v>
      </c>
      <c r="V15" s="41" t="str">
        <f t="shared" si="6"/>
        <v>DEP +</v>
      </c>
      <c r="W15" s="33">
        <f t="shared" si="7"/>
        <v>9</v>
      </c>
      <c r="X15" s="40" t="str">
        <f>IF(I15="","",IF(A15="H",IF(OR(H15="SEN",H15&lt;1995),VLOOKUP(I15,Feuil1!$A$11:$G$29,6),IF(AND(H15&gt;1994,H15&lt;1998),VLOOKUP(I15,Feuil1!$A$11:$G$29,5),IF(AND(H15&gt;1997,H15&lt;2000),VLOOKUP(I15,Feuil1!$A$11:$G$29,4),IF(AND(H15&gt;1999,H15&lt;2002),VLOOKUP(I15,Feuil1!$A$11:$G$29,3),VLOOKUP(I15,Feuil1!$A$11:$G$29,2))))),IF(OR(H15="SEN",H15&lt;1995),VLOOKUP(I15,Feuil1!$G$11:$L$25,6),IF(AND(H15&gt;1994,H15&lt;1998),VLOOKUP(I15,Feuil1!$G$11:$L$25,5),IF(AND(H15&gt;1997,H15&lt;2000),VLOOKUP(I15,Feuil1!$G$11:$L$25,4),IF(AND(H15&gt;1999,H15&lt;2002),VLOOKUP(I15,Feuil1!$G$11:$L$25,3),VLOOKUP(I15,Feuil1!$G$11:$L$25,2)))))))</f>
        <v>FC2 48</v>
      </c>
      <c r="Y15" s="39">
        <f t="shared" si="8"/>
        <v>92.134777616048183</v>
      </c>
      <c r="Z15" s="45"/>
      <c r="AA15" s="45" t="s">
        <v>12</v>
      </c>
      <c r="AB15" s="3">
        <f>T15-HLOOKUP(X15,Feuil1!$C$1:$BL$10,2,FALSE)</f>
        <v>19</v>
      </c>
      <c r="AC15" s="3">
        <f>T15-HLOOKUP(X15,Feuil1!$C$1:$BL$10,3,FALSE)</f>
        <v>9</v>
      </c>
      <c r="AD15" s="3">
        <f>T15-HLOOKUP(X15,Feuil1!$C$1:$BL$10,4,FALSE)</f>
        <v>-1</v>
      </c>
      <c r="AE15" s="3">
        <f>T15-HLOOKUP(X15,Feuil1!$C$1:$BL$10,5,FALSE)</f>
        <v>-11</v>
      </c>
      <c r="AF15" s="3">
        <f>T15-HLOOKUP(X15,Feuil1!$C$1:$BL$10,6,FALSE)</f>
        <v>-21</v>
      </c>
      <c r="AG15" s="3">
        <f>T15-HLOOKUP(X15,Feuil1!$C$1:$BL$10,7,FALSE)</f>
        <v>-31</v>
      </c>
      <c r="AH15" s="3">
        <f>T15-HLOOKUP(X15,Feuil1!$C$1:$BL$10,8,FALSE)</f>
        <v>-41</v>
      </c>
      <c r="AI15" s="3">
        <f>T15-HLOOKUP(X15,Feuil1!$C$1:$BL$10,9,FALSE)</f>
        <v>-56</v>
      </c>
      <c r="AJ15" s="3">
        <f>T15-HLOOKUP(X15,Feuil1!$C$1:$BL$10,10,FALSE)</f>
        <v>-946</v>
      </c>
      <c r="AQ15" s="5" t="str">
        <f t="shared" si="9"/>
        <v>DEP +</v>
      </c>
    </row>
    <row r="16" spans="1:55" ht="21" hidden="1" x14ac:dyDescent="0.2">
      <c r="A16" s="12" t="s">
        <v>69</v>
      </c>
      <c r="B16" s="18" t="s">
        <v>536</v>
      </c>
      <c r="C16" s="19" t="s">
        <v>545</v>
      </c>
      <c r="D16" s="61">
        <v>10</v>
      </c>
      <c r="E16" s="35">
        <v>375975</v>
      </c>
      <c r="F16" s="20" t="s">
        <v>562</v>
      </c>
      <c r="G16" s="20" t="s">
        <v>563</v>
      </c>
      <c r="H16" s="51">
        <v>1999</v>
      </c>
      <c r="I16" s="30">
        <v>46.5</v>
      </c>
      <c r="J16" s="19" t="s">
        <v>557</v>
      </c>
      <c r="K16" s="34" t="s">
        <v>69</v>
      </c>
      <c r="L16" s="31">
        <v>14</v>
      </c>
      <c r="M16" s="31">
        <v>17</v>
      </c>
      <c r="N16" s="31">
        <v>20</v>
      </c>
      <c r="O16" s="36">
        <f t="shared" si="2"/>
        <v>20</v>
      </c>
      <c r="P16" s="31">
        <v>17</v>
      </c>
      <c r="Q16" s="31">
        <v>21</v>
      </c>
      <c r="R16" s="31">
        <v>25</v>
      </c>
      <c r="S16" s="36">
        <f t="shared" si="3"/>
        <v>25</v>
      </c>
      <c r="T16" s="37">
        <f t="shared" si="4"/>
        <v>45</v>
      </c>
      <c r="U16" s="65">
        <f t="shared" si="5"/>
        <v>-48</v>
      </c>
      <c r="V16" s="41" t="str">
        <f t="shared" si="6"/>
        <v>DEP +</v>
      </c>
      <c r="W16" s="33">
        <f t="shared" si="7"/>
        <v>0</v>
      </c>
      <c r="X16" s="40" t="str">
        <f>IF(I16="","",IF(A16="H",IF(OR(H16="SEN",H16&lt;1995),VLOOKUP(I16,Feuil1!$A$11:$G$29,6),IF(AND(H16&gt;1994,H16&lt;1998),VLOOKUP(I16,Feuil1!$A$11:$G$29,5),IF(AND(H16&gt;1997,H16&lt;2000),VLOOKUP(I16,Feuil1!$A$11:$G$29,4),IF(AND(H16&gt;1999,H16&lt;2002),VLOOKUP(I16,Feuil1!$A$11:$G$29,3),VLOOKUP(I16,Feuil1!$A$11:$G$29,2))))),IF(OR(H16="SEN",H16&lt;1995),VLOOKUP(I16,Feuil1!$G$11:$L$25,6),IF(AND(H16&gt;1994,H16&lt;1998),VLOOKUP(I16,Feuil1!$G$11:$L$25,5),IF(AND(H16&gt;1997,H16&lt;2000),VLOOKUP(I16,Feuil1!$G$11:$L$25,4),IF(AND(H16&gt;1999,H16&lt;2002),VLOOKUP(I16,Feuil1!$G$11:$L$25,3),VLOOKUP(I16,Feuil1!$G$11:$L$25,2)))))))</f>
        <v>FC2 48</v>
      </c>
      <c r="Y16" s="39">
        <f t="shared" si="8"/>
        <v>75.879386336914337</v>
      </c>
      <c r="Z16" s="45"/>
      <c r="AA16" s="45" t="s">
        <v>12</v>
      </c>
      <c r="AB16" s="3">
        <f>T16-HLOOKUP(X16,Feuil1!$C$1:$BL$10,2,FALSE)</f>
        <v>10</v>
      </c>
      <c r="AC16" s="3">
        <f>T16-HLOOKUP(X16,Feuil1!$C$1:$BL$10,3,FALSE)</f>
        <v>0</v>
      </c>
      <c r="AD16" s="3">
        <f>T16-HLOOKUP(X16,Feuil1!$C$1:$BL$10,4,FALSE)</f>
        <v>-10</v>
      </c>
      <c r="AE16" s="3">
        <f>T16-HLOOKUP(X16,Feuil1!$C$1:$BL$10,5,FALSE)</f>
        <v>-20</v>
      </c>
      <c r="AF16" s="3">
        <f>T16-HLOOKUP(X16,Feuil1!$C$1:$BL$10,6,FALSE)</f>
        <v>-30</v>
      </c>
      <c r="AG16" s="3">
        <f>T16-HLOOKUP(X16,Feuil1!$C$1:$BL$10,7,FALSE)</f>
        <v>-40</v>
      </c>
      <c r="AH16" s="3">
        <f>T16-HLOOKUP(X16,Feuil1!$C$1:$BL$10,8,FALSE)</f>
        <v>-50</v>
      </c>
      <c r="AI16" s="3">
        <f>T16-HLOOKUP(X16,Feuil1!$C$1:$BL$10,9,FALSE)</f>
        <v>-65</v>
      </c>
      <c r="AJ16" s="3">
        <f>T16-HLOOKUP(X16,Feuil1!$C$1:$BL$10,10,FALSE)</f>
        <v>-955</v>
      </c>
      <c r="AQ16" s="5" t="str">
        <f t="shared" si="9"/>
        <v>DEP +</v>
      </c>
    </row>
    <row r="17" spans="1:55" s="13" customFormat="1" ht="21" hidden="1" x14ac:dyDescent="0.2">
      <c r="A17" s="12" t="s">
        <v>69</v>
      </c>
      <c r="B17" s="18" t="s">
        <v>298</v>
      </c>
      <c r="C17" s="19" t="s">
        <v>404</v>
      </c>
      <c r="D17" s="61">
        <v>11</v>
      </c>
      <c r="E17" s="35">
        <v>311496</v>
      </c>
      <c r="F17" s="20" t="s">
        <v>425</v>
      </c>
      <c r="G17" s="20" t="s">
        <v>426</v>
      </c>
      <c r="H17" s="51">
        <v>1999</v>
      </c>
      <c r="I17" s="30">
        <v>46.5</v>
      </c>
      <c r="J17" s="19" t="s">
        <v>424</v>
      </c>
      <c r="K17" s="34" t="s">
        <v>69</v>
      </c>
      <c r="L17" s="31">
        <v>16</v>
      </c>
      <c r="M17" s="31">
        <v>18</v>
      </c>
      <c r="N17" s="31">
        <v>20</v>
      </c>
      <c r="O17" s="36">
        <f t="shared" si="2"/>
        <v>20</v>
      </c>
      <c r="P17" s="31">
        <v>20</v>
      </c>
      <c r="Q17" s="31">
        <v>23</v>
      </c>
      <c r="R17" s="31">
        <v>25</v>
      </c>
      <c r="S17" s="36">
        <f t="shared" si="3"/>
        <v>25</v>
      </c>
      <c r="T17" s="37">
        <f t="shared" si="4"/>
        <v>45</v>
      </c>
      <c r="U17" s="65">
        <f t="shared" si="5"/>
        <v>-48</v>
      </c>
      <c r="V17" s="41" t="str">
        <f t="shared" si="6"/>
        <v>DEP +</v>
      </c>
      <c r="W17" s="33">
        <f t="shared" si="7"/>
        <v>0</v>
      </c>
      <c r="X17" s="40" t="str">
        <f>IF(I17="","",IF(A17="H",IF(OR(H17="SEN",H17&lt;1995),VLOOKUP(I17,Feuil1!$A$11:$G$29,6),IF(AND(H17&gt;1994,H17&lt;1998),VLOOKUP(I17,Feuil1!$A$11:$G$29,5),IF(AND(H17&gt;1997,H17&lt;2000),VLOOKUP(I17,Feuil1!$A$11:$G$29,4),IF(AND(H17&gt;1999,H17&lt;2002),VLOOKUP(I17,Feuil1!$A$11:$G$29,3),VLOOKUP(I17,Feuil1!$A$11:$G$29,2))))),IF(OR(H17="SEN",H17&lt;1995),VLOOKUP(I17,Feuil1!$G$11:$L$25,6),IF(AND(H17&gt;1994,H17&lt;1998),VLOOKUP(I17,Feuil1!$G$11:$L$25,5),IF(AND(H17&gt;1997,H17&lt;2000),VLOOKUP(I17,Feuil1!$G$11:$L$25,4),IF(AND(H17&gt;1999,H17&lt;2002),VLOOKUP(I17,Feuil1!$G$11:$L$25,3),VLOOKUP(I17,Feuil1!$G$11:$L$25,2)))))))</f>
        <v>FC2 48</v>
      </c>
      <c r="Y17" s="39">
        <f t="shared" si="8"/>
        <v>75.879386336914337</v>
      </c>
      <c r="Z17" s="45"/>
      <c r="AA17" s="45" t="s">
        <v>12</v>
      </c>
      <c r="AB17" s="3">
        <f>T17-HLOOKUP(X17,Feuil1!$C$1:$BL$10,2,FALSE)</f>
        <v>10</v>
      </c>
      <c r="AC17" s="3">
        <f>T17-HLOOKUP(X17,Feuil1!$C$1:$BL$10,3,FALSE)</f>
        <v>0</v>
      </c>
      <c r="AD17" s="3">
        <f>T17-HLOOKUP(X17,Feuil1!$C$1:$BL$10,4,FALSE)</f>
        <v>-10</v>
      </c>
      <c r="AE17" s="3">
        <f>T17-HLOOKUP(X17,Feuil1!$C$1:$BL$10,5,FALSE)</f>
        <v>-20</v>
      </c>
      <c r="AF17" s="3">
        <f>T17-HLOOKUP(X17,Feuil1!$C$1:$BL$10,6,FALSE)</f>
        <v>-30</v>
      </c>
      <c r="AG17" s="3">
        <f>T17-HLOOKUP(X17,Feuil1!$C$1:$BL$10,7,FALSE)</f>
        <v>-40</v>
      </c>
      <c r="AH17" s="3">
        <f>T17-HLOOKUP(X17,Feuil1!$C$1:$BL$10,8,FALSE)</f>
        <v>-50</v>
      </c>
      <c r="AI17" s="3">
        <f>T17-HLOOKUP(X17,Feuil1!$C$1:$BL$10,9,FALSE)</f>
        <v>-65</v>
      </c>
      <c r="AJ17" s="3">
        <f>T17-HLOOKUP(X17,Feuil1!$C$1:$BL$10,10,FALSE)</f>
        <v>-955</v>
      </c>
      <c r="AK17" s="5"/>
      <c r="AL17" s="5"/>
      <c r="AM17" s="5"/>
      <c r="AN17" s="5"/>
      <c r="AO17" s="5"/>
      <c r="AP17" s="5"/>
      <c r="AQ17" s="5" t="str">
        <f t="shared" si="9"/>
        <v>DEP +</v>
      </c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1:55" s="13" customFormat="1" ht="15" hidden="1" customHeight="1" thickBot="1" x14ac:dyDescent="0.25">
      <c r="A18" s="89"/>
      <c r="B18" s="90"/>
      <c r="C18" s="91"/>
      <c r="D18" s="92"/>
      <c r="E18" s="93"/>
      <c r="F18" s="94"/>
      <c r="G18" s="94"/>
      <c r="H18" s="95"/>
      <c r="I18" s="96"/>
      <c r="J18" s="91"/>
      <c r="K18" s="97"/>
      <c r="L18" s="98"/>
      <c r="M18" s="98"/>
      <c r="N18" s="98"/>
      <c r="O18" s="99"/>
      <c r="P18" s="98"/>
      <c r="Q18" s="98"/>
      <c r="R18" s="98"/>
      <c r="S18" s="99"/>
      <c r="T18" s="100"/>
      <c r="U18" s="101"/>
      <c r="V18" s="102"/>
      <c r="W18" s="103"/>
      <c r="X18" s="104"/>
      <c r="Y18" s="105"/>
      <c r="Z18" s="45"/>
      <c r="AA18" s="45" t="s">
        <v>12</v>
      </c>
      <c r="AB18" s="3" t="e">
        <f>T18-HLOOKUP(X18,Feuil1!$C$1:$BL$10,2,FALSE)</f>
        <v>#N/A</v>
      </c>
      <c r="AC18" s="3" t="e">
        <f>T18-HLOOKUP(X18,Feuil1!$C$1:$BL$10,3,FALSE)</f>
        <v>#N/A</v>
      </c>
      <c r="AD18" s="3" t="e">
        <f>T18-HLOOKUP(X18,Feuil1!$C$1:$BL$10,4,FALSE)</f>
        <v>#N/A</v>
      </c>
      <c r="AE18" s="3" t="e">
        <f>T18-HLOOKUP(X18,Feuil1!$C$1:$BL$10,5,FALSE)</f>
        <v>#N/A</v>
      </c>
      <c r="AF18" s="3" t="e">
        <f>T18-HLOOKUP(X18,Feuil1!$C$1:$BL$10,6,FALSE)</f>
        <v>#N/A</v>
      </c>
      <c r="AG18" s="3" t="e">
        <f>T18-HLOOKUP(X18,Feuil1!$C$1:$BL$10,7,FALSE)</f>
        <v>#N/A</v>
      </c>
      <c r="AH18" s="3" t="e">
        <f>T18-HLOOKUP(X18,Feuil1!$C$1:$BL$10,8,FALSE)</f>
        <v>#N/A</v>
      </c>
      <c r="AI18" s="3" t="e">
        <f>T18-HLOOKUP(X18,Feuil1!$C$1:$BL$10,9,FALSE)</f>
        <v>#N/A</v>
      </c>
      <c r="AJ18" s="3" t="e">
        <f>T18-HLOOKUP(X18,Feuil1!$C$1:$BL$10,10,FALSE)</f>
        <v>#N/A</v>
      </c>
      <c r="AK18" s="5"/>
      <c r="AL18" s="5"/>
      <c r="AM18" s="5"/>
      <c r="AN18" s="5"/>
      <c r="AO18" s="5"/>
      <c r="AP18" s="5"/>
      <c r="AQ18" s="5" t="e">
        <f t="shared" ref="AQ18" si="10">IF(AJ18&gt;=0,$AJ$1,IF(AI18&gt;=0,$AI$1,IF(AH18&gt;=0,$AH$1,IF(AG18&gt;=0,$AG$1,IF(AF18&gt;=0,$AF$1,IF(AE18&gt;=0,$AE$1,IF(AD18&gt;=0,$AD$1,IF(AC18&gt;=0,$AC$1,$AB$1))))))))</f>
        <v>#N/A</v>
      </c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</row>
    <row r="19" spans="1:55" ht="21" x14ac:dyDescent="0.2">
      <c r="A19" s="12" t="s">
        <v>69</v>
      </c>
      <c r="B19" s="18" t="s">
        <v>108</v>
      </c>
      <c r="C19" s="19" t="s">
        <v>146</v>
      </c>
      <c r="D19" s="61">
        <v>1</v>
      </c>
      <c r="E19" s="35">
        <v>382515</v>
      </c>
      <c r="F19" s="20" t="s">
        <v>150</v>
      </c>
      <c r="G19" s="20" t="s">
        <v>151</v>
      </c>
      <c r="H19" s="51">
        <v>1999</v>
      </c>
      <c r="I19" s="30">
        <v>52.8</v>
      </c>
      <c r="J19" s="19" t="s">
        <v>152</v>
      </c>
      <c r="K19" s="34" t="s">
        <v>69</v>
      </c>
      <c r="L19" s="31">
        <v>45</v>
      </c>
      <c r="M19" s="31">
        <v>48</v>
      </c>
      <c r="N19" s="31">
        <v>51</v>
      </c>
      <c r="O19" s="36">
        <f t="shared" ref="O19:O38" si="11">IF(H19="","",IF(MAXA(L19:N19)&lt;=0,0,MAXA(L19:N19)))</f>
        <v>51</v>
      </c>
      <c r="P19" s="31">
        <v>58</v>
      </c>
      <c r="Q19" s="31">
        <v>64</v>
      </c>
      <c r="R19" s="31">
        <v>68</v>
      </c>
      <c r="S19" s="36">
        <f t="shared" ref="S19:S38" si="12">IF(H19="","",IF(MAXA(P19:R19)&lt;=0,0,MAXA(P19:R19)))</f>
        <v>68</v>
      </c>
      <c r="T19" s="37">
        <f t="shared" ref="T19:T38" si="13">IF(H19="","",IF(OR(O19=0,S19=0),0,O19+S19))</f>
        <v>119</v>
      </c>
      <c r="U19" s="65">
        <f t="shared" ref="U19:U38" si="14">T19-I19*2</f>
        <v>13.400000000000006</v>
      </c>
      <c r="V19" s="41" t="str">
        <f t="shared" ref="V19:V38" si="15">IF(H19="","",AQ19)</f>
        <v>INTB +</v>
      </c>
      <c r="W19" s="33">
        <f t="shared" ref="W19:W38" si="16">IF(AJ19&gt;=0,AJ19,IF(AI19&gt;=0,AI19,IF(AH19&gt;=0,AH19,IF(AG19&gt;=0,AG19,IF(AF19&gt;=0,AF19,IF(AE19&gt;=0,AE19,IF(AD19&gt;=0,AD19,IF(AC19&gt;=0,AC19,AB19))))))))</f>
        <v>14</v>
      </c>
      <c r="X19" s="40" t="str">
        <f>IF(I19="","",IF(A19="H",IF(OR(H19="SEN",H19&lt;1995),VLOOKUP(I19,Feuil1!$A$11:$G$29,6),IF(AND(H19&gt;1994,H19&lt;1998),VLOOKUP(I19,Feuil1!$A$11:$G$29,5),IF(AND(H19&gt;1997,H19&lt;2000),VLOOKUP(I19,Feuil1!$A$11:$G$29,4),IF(AND(H19&gt;1999,H19&lt;2002),VLOOKUP(I19,Feuil1!$A$11:$G$29,3),VLOOKUP(I19,Feuil1!$A$11:$G$29,2))))),IF(OR(H19="SEN",H19&lt;1995),VLOOKUP(I19,Feuil1!$G$11:$L$25,6),IF(AND(H19&gt;1994,H19&lt;1998),VLOOKUP(I19,Feuil1!$G$11:$L$25,5),IF(AND(H19&gt;1997,H19&lt;2000),VLOOKUP(I19,Feuil1!$G$11:$L$25,4),IF(AND(H19&gt;1999,H19&lt;2002),VLOOKUP(I19,Feuil1!$G$11:$L$25,3),VLOOKUP(I19,Feuil1!$G$11:$L$25,2)))))))</f>
        <v>FC2 53</v>
      </c>
      <c r="Y19" s="39">
        <f t="shared" ref="Y19:Y38" si="17">IF(I19="","",IF(A19="H",10^(0.794358141*LOG(I19/174.393)^2)*T19,IF(A19="F",10^(0.89726074*LOG(I19/148.026)^2)*T19,"")))</f>
        <v>180.04992999508838</v>
      </c>
      <c r="Z19" s="45"/>
      <c r="AA19" s="45" t="s">
        <v>12</v>
      </c>
      <c r="AB19" s="3">
        <f>T19-HLOOKUP(X19,Feuil1!$C$1:$BL$10,2,FALSE)</f>
        <v>74</v>
      </c>
      <c r="AC19" s="3">
        <f>T19-HLOOKUP(X19,Feuil1!$C$1:$BL$10,3,FALSE)</f>
        <v>64</v>
      </c>
      <c r="AD19" s="3">
        <f>T19-HLOOKUP(X19,Feuil1!$C$1:$BL$10,4,FALSE)</f>
        <v>54</v>
      </c>
      <c r="AE19" s="3">
        <f>T19-HLOOKUP(X19,Feuil1!$C$1:$BL$10,5,FALSE)</f>
        <v>44</v>
      </c>
      <c r="AF19" s="3">
        <f>T19-HLOOKUP(X19,Feuil1!$C$1:$BL$10,6,FALSE)</f>
        <v>34</v>
      </c>
      <c r="AG19" s="3">
        <f>T19-HLOOKUP(X19,Feuil1!$C$1:$BL$10,7,FALSE)</f>
        <v>24</v>
      </c>
      <c r="AH19" s="3">
        <f>T19-HLOOKUP(X19,Feuil1!$C$1:$BL$10,8,FALSE)</f>
        <v>14</v>
      </c>
      <c r="AI19" s="3">
        <f>T19-HLOOKUP(X19,Feuil1!$C$1:$BL$10,9,FALSE)</f>
        <v>-1</v>
      </c>
      <c r="AJ19" s="3">
        <f>T19-HLOOKUP(X19,Feuil1!$C$1:$BL$10,10,FALSE)</f>
        <v>-881</v>
      </c>
      <c r="AQ19" s="5" t="str">
        <f t="shared" ref="AQ19:AQ38" si="18">IF(AJ19&gt;=0,$AJ$1,IF(AI19&gt;=0,$AI$1,IF(AH19&gt;=0,$AH$1,IF(AG19&gt;=0,$AG$1,IF(AF19&gt;=0,$AF$1,IF(AE19&gt;=0,$AE$1,IF(AD19&gt;=0,$AD$1,IF(AC19&gt;=0,$AC$1,$AB$1))))))))</f>
        <v>INTB +</v>
      </c>
    </row>
    <row r="20" spans="1:55" ht="21" x14ac:dyDescent="0.2">
      <c r="A20" s="12" t="s">
        <v>69</v>
      </c>
      <c r="B20" s="67" t="s">
        <v>536</v>
      </c>
      <c r="C20" s="68" t="s">
        <v>541</v>
      </c>
      <c r="D20" s="69">
        <v>2</v>
      </c>
      <c r="E20" s="70">
        <v>277832</v>
      </c>
      <c r="F20" s="84" t="s">
        <v>567</v>
      </c>
      <c r="G20" s="71" t="s">
        <v>568</v>
      </c>
      <c r="H20" s="72">
        <v>1999</v>
      </c>
      <c r="I20" s="73">
        <v>48.1</v>
      </c>
      <c r="J20" s="68" t="s">
        <v>566</v>
      </c>
      <c r="K20" s="74" t="s">
        <v>69</v>
      </c>
      <c r="L20" s="75">
        <v>-49</v>
      </c>
      <c r="M20" s="75">
        <v>-49</v>
      </c>
      <c r="N20" s="75">
        <v>49</v>
      </c>
      <c r="O20" s="76">
        <f t="shared" si="11"/>
        <v>49</v>
      </c>
      <c r="P20" s="75">
        <v>59</v>
      </c>
      <c r="Q20" s="75">
        <v>63</v>
      </c>
      <c r="R20" s="75">
        <v>-65</v>
      </c>
      <c r="S20" s="76">
        <f t="shared" si="12"/>
        <v>63</v>
      </c>
      <c r="T20" s="77">
        <f t="shared" si="13"/>
        <v>112</v>
      </c>
      <c r="U20" s="78">
        <f t="shared" si="14"/>
        <v>15.799999999999997</v>
      </c>
      <c r="V20" s="79" t="str">
        <f t="shared" si="15"/>
        <v>INTB +</v>
      </c>
      <c r="W20" s="80">
        <f t="shared" si="16"/>
        <v>7</v>
      </c>
      <c r="X20" s="81" t="str">
        <f>IF(I20="","",IF(A20="H",IF(OR(H20="SEN",H20&lt;1995),VLOOKUP(I20,Feuil1!$A$11:$G$29,6),IF(AND(H20&gt;1994,H20&lt;1998),VLOOKUP(I20,Feuil1!$A$11:$G$29,5),IF(AND(H20&gt;1997,H20&lt;2000),VLOOKUP(I20,Feuil1!$A$11:$G$29,4),IF(AND(H20&gt;1999,H20&lt;2002),VLOOKUP(I20,Feuil1!$A$11:$G$29,3),VLOOKUP(I20,Feuil1!$A$11:$G$29,2))))),IF(OR(H20="SEN",H20&lt;1995),VLOOKUP(I20,Feuil1!$G$11:$L$25,6),IF(AND(H20&gt;1994,H20&lt;1998),VLOOKUP(I20,Feuil1!$G$11:$L$25,5),IF(AND(H20&gt;1997,H20&lt;2000),VLOOKUP(I20,Feuil1!$G$11:$L$25,4),IF(AND(H20&gt;1999,H20&lt;2002),VLOOKUP(I20,Feuil1!$G$11:$L$25,3),VLOOKUP(I20,Feuil1!$G$11:$L$25,2)))))))</f>
        <v>FC2 53</v>
      </c>
      <c r="Y20" s="39">
        <f t="shared" si="17"/>
        <v>183.25855983620653</v>
      </c>
      <c r="Z20" s="45"/>
      <c r="AA20" s="45" t="s">
        <v>12</v>
      </c>
      <c r="AB20" s="3">
        <f>T20-HLOOKUP(X20,Feuil1!$C$1:$BL$10,2,FALSE)</f>
        <v>67</v>
      </c>
      <c r="AC20" s="3">
        <f>T20-HLOOKUP(X20,Feuil1!$C$1:$BL$10,3,FALSE)</f>
        <v>57</v>
      </c>
      <c r="AD20" s="3">
        <f>T20-HLOOKUP(X20,Feuil1!$C$1:$BL$10,4,FALSE)</f>
        <v>47</v>
      </c>
      <c r="AE20" s="3">
        <f>T20-HLOOKUP(X20,Feuil1!$C$1:$BL$10,5,FALSE)</f>
        <v>37</v>
      </c>
      <c r="AF20" s="3">
        <f>T20-HLOOKUP(X20,Feuil1!$C$1:$BL$10,6,FALSE)</f>
        <v>27</v>
      </c>
      <c r="AG20" s="3">
        <f>T20-HLOOKUP(X20,Feuil1!$C$1:$BL$10,7,FALSE)</f>
        <v>17</v>
      </c>
      <c r="AH20" s="3">
        <f>T20-HLOOKUP(X20,Feuil1!$C$1:$BL$10,8,FALSE)</f>
        <v>7</v>
      </c>
      <c r="AI20" s="3">
        <f>T20-HLOOKUP(X20,Feuil1!$C$1:$BL$10,9,FALSE)</f>
        <v>-8</v>
      </c>
      <c r="AJ20" s="3">
        <f>T20-HLOOKUP(X20,Feuil1!$C$1:$BL$10,10,FALSE)</f>
        <v>-888</v>
      </c>
      <c r="AQ20" s="5" t="str">
        <f t="shared" si="18"/>
        <v>INTB +</v>
      </c>
      <c r="BC20" s="13"/>
    </row>
    <row r="21" spans="1:55" ht="21" x14ac:dyDescent="0.2">
      <c r="A21" s="12" t="s">
        <v>69</v>
      </c>
      <c r="B21" s="67" t="s">
        <v>71</v>
      </c>
      <c r="C21" s="68" t="s">
        <v>801</v>
      </c>
      <c r="D21" s="69">
        <v>3</v>
      </c>
      <c r="E21" s="70">
        <v>295873</v>
      </c>
      <c r="F21" s="71" t="s">
        <v>820</v>
      </c>
      <c r="G21" s="71" t="s">
        <v>448</v>
      </c>
      <c r="H21" s="72">
        <v>1999</v>
      </c>
      <c r="I21" s="73">
        <v>49.25</v>
      </c>
      <c r="J21" s="68" t="s">
        <v>813</v>
      </c>
      <c r="K21" s="74" t="s">
        <v>69</v>
      </c>
      <c r="L21" s="75">
        <v>-40</v>
      </c>
      <c r="M21" s="75">
        <v>41</v>
      </c>
      <c r="N21" s="75">
        <v>44</v>
      </c>
      <c r="O21" s="76">
        <f t="shared" si="11"/>
        <v>44</v>
      </c>
      <c r="P21" s="75">
        <v>54</v>
      </c>
      <c r="Q21" s="75">
        <v>58</v>
      </c>
      <c r="R21" s="75">
        <v>61</v>
      </c>
      <c r="S21" s="76">
        <f t="shared" si="12"/>
        <v>61</v>
      </c>
      <c r="T21" s="77">
        <f t="shared" si="13"/>
        <v>105</v>
      </c>
      <c r="U21" s="78">
        <f t="shared" si="14"/>
        <v>6.5</v>
      </c>
      <c r="V21" s="79" t="str">
        <f t="shared" si="15"/>
        <v>INTB +</v>
      </c>
      <c r="W21" s="80">
        <f t="shared" si="16"/>
        <v>0</v>
      </c>
      <c r="X21" s="81" t="str">
        <f>IF(I21="","",IF(A21="H",IF(OR(H21="SEN",H21&lt;1995),VLOOKUP(I21,Feuil1!$A$11:$G$29,6),IF(AND(H21&gt;1994,H21&lt;1998),VLOOKUP(I21,Feuil1!$A$11:$G$29,5),IF(AND(H21&gt;1997,H21&lt;2000),VLOOKUP(I21,Feuil1!$A$11:$G$29,4),IF(AND(H21&gt;1999,H21&lt;2002),VLOOKUP(I21,Feuil1!$A$11:$G$29,3),VLOOKUP(I21,Feuil1!$A$11:$G$29,2))))),IF(OR(H21="SEN",H21&lt;1995),VLOOKUP(I21,Feuil1!$G$11:$L$25,6),IF(AND(H21&gt;1994,H21&lt;1998),VLOOKUP(I21,Feuil1!$G$11:$L$25,5),IF(AND(H21&gt;1997,H21&lt;2000),VLOOKUP(I21,Feuil1!$G$11:$L$25,4),IF(AND(H21&gt;1999,H21&lt;2002),VLOOKUP(I21,Feuil1!$G$11:$L$25,3),VLOOKUP(I21,Feuil1!$G$11:$L$25,2)))))))</f>
        <v>FC2 53</v>
      </c>
      <c r="Y21" s="39">
        <f t="shared" si="17"/>
        <v>168.3218511576965</v>
      </c>
      <c r="Z21" s="45"/>
      <c r="AA21" s="45" t="s">
        <v>12</v>
      </c>
      <c r="AB21" s="3">
        <f>T21-HLOOKUP(X21,Feuil1!$C$1:$BL$10,2,FALSE)</f>
        <v>60</v>
      </c>
      <c r="AC21" s="3">
        <f>T21-HLOOKUP(X21,Feuil1!$C$1:$BL$10,3,FALSE)</f>
        <v>50</v>
      </c>
      <c r="AD21" s="3">
        <f>T21-HLOOKUP(X21,Feuil1!$C$1:$BL$10,4,FALSE)</f>
        <v>40</v>
      </c>
      <c r="AE21" s="3">
        <f>T21-HLOOKUP(X21,Feuil1!$C$1:$BL$10,5,FALSE)</f>
        <v>30</v>
      </c>
      <c r="AF21" s="3">
        <f>T21-HLOOKUP(X21,Feuil1!$C$1:$BL$10,6,FALSE)</f>
        <v>20</v>
      </c>
      <c r="AG21" s="3">
        <f>T21-HLOOKUP(X21,Feuil1!$C$1:$BL$10,7,FALSE)</f>
        <v>10</v>
      </c>
      <c r="AH21" s="3">
        <f>T21-HLOOKUP(X21,Feuil1!$C$1:$BL$10,8,FALSE)</f>
        <v>0</v>
      </c>
      <c r="AI21" s="3">
        <f>T21-HLOOKUP(X21,Feuil1!$C$1:$BL$10,9,FALSE)</f>
        <v>-15</v>
      </c>
      <c r="AJ21" s="3">
        <f>T21-HLOOKUP(X21,Feuil1!$C$1:$BL$10,10,FALSE)</f>
        <v>-895</v>
      </c>
      <c r="AQ21" s="5" t="str">
        <f t="shared" si="18"/>
        <v>INTB +</v>
      </c>
      <c r="BC21" s="13"/>
    </row>
    <row r="22" spans="1:55" ht="21" hidden="1" x14ac:dyDescent="0.2">
      <c r="A22" s="12" t="s">
        <v>69</v>
      </c>
      <c r="B22" s="67" t="s">
        <v>71</v>
      </c>
      <c r="C22" s="68" t="s">
        <v>801</v>
      </c>
      <c r="D22" s="69">
        <v>4</v>
      </c>
      <c r="E22" s="70">
        <v>363002</v>
      </c>
      <c r="F22" s="71" t="s">
        <v>132</v>
      </c>
      <c r="G22" s="71" t="s">
        <v>816</v>
      </c>
      <c r="H22" s="72">
        <v>1998</v>
      </c>
      <c r="I22" s="73">
        <v>48.8</v>
      </c>
      <c r="J22" s="68" t="s">
        <v>803</v>
      </c>
      <c r="K22" s="74" t="s">
        <v>69</v>
      </c>
      <c r="L22" s="75">
        <v>40</v>
      </c>
      <c r="M22" s="75">
        <v>43</v>
      </c>
      <c r="N22" s="75">
        <v>-45</v>
      </c>
      <c r="O22" s="76">
        <f t="shared" si="11"/>
        <v>43</v>
      </c>
      <c r="P22" s="75">
        <v>50</v>
      </c>
      <c r="Q22" s="75">
        <v>53</v>
      </c>
      <c r="R22" s="75">
        <v>55</v>
      </c>
      <c r="S22" s="76">
        <f t="shared" si="12"/>
        <v>55</v>
      </c>
      <c r="T22" s="77">
        <f t="shared" si="13"/>
        <v>98</v>
      </c>
      <c r="U22" s="78">
        <f t="shared" si="14"/>
        <v>0.40000000000000568</v>
      </c>
      <c r="V22" s="79" t="str">
        <f t="shared" si="15"/>
        <v>NAT +</v>
      </c>
      <c r="W22" s="80">
        <f t="shared" si="16"/>
        <v>3</v>
      </c>
      <c r="X22" s="81" t="str">
        <f>IF(I22="","",IF(A22="H",IF(OR(H22="SEN",H22&lt;1995),VLOOKUP(I22,Feuil1!$A$11:$G$29,6),IF(AND(H22&gt;1994,H22&lt;1998),VLOOKUP(I22,Feuil1!$A$11:$G$29,5),IF(AND(H22&gt;1997,H22&lt;2000),VLOOKUP(I22,Feuil1!$A$11:$G$29,4),IF(AND(H22&gt;1999,H22&lt;2002),VLOOKUP(I22,Feuil1!$A$11:$G$29,3),VLOOKUP(I22,Feuil1!$A$11:$G$29,2))))),IF(OR(H22="SEN",H22&lt;1995),VLOOKUP(I22,Feuil1!$G$11:$L$25,6),IF(AND(H22&gt;1994,H22&lt;1998),VLOOKUP(I22,Feuil1!$G$11:$L$25,5),IF(AND(H22&gt;1997,H22&lt;2000),VLOOKUP(I22,Feuil1!$G$11:$L$25,4),IF(AND(H22&gt;1999,H22&lt;2002),VLOOKUP(I22,Feuil1!$G$11:$L$25,3),VLOOKUP(I22,Feuil1!$G$11:$L$25,2)))))))</f>
        <v>FC2 53</v>
      </c>
      <c r="Y22" s="39">
        <f t="shared" si="17"/>
        <v>158.34724668216069</v>
      </c>
      <c r="Z22" s="45"/>
      <c r="AA22" s="45" t="s">
        <v>12</v>
      </c>
      <c r="AB22" s="3">
        <f>T22-HLOOKUP(X22,Feuil1!$C$1:$BL$10,2,FALSE)</f>
        <v>53</v>
      </c>
      <c r="AC22" s="3">
        <f>T22-HLOOKUP(X22,Feuil1!$C$1:$BL$10,3,FALSE)</f>
        <v>43</v>
      </c>
      <c r="AD22" s="3">
        <f>T22-HLOOKUP(X22,Feuil1!$C$1:$BL$10,4,FALSE)</f>
        <v>33</v>
      </c>
      <c r="AE22" s="3">
        <f>T22-HLOOKUP(X22,Feuil1!$C$1:$BL$10,5,FALSE)</f>
        <v>23</v>
      </c>
      <c r="AF22" s="3">
        <f>T22-HLOOKUP(X22,Feuil1!$C$1:$BL$10,6,FALSE)</f>
        <v>13</v>
      </c>
      <c r="AG22" s="3">
        <f>T22-HLOOKUP(X22,Feuil1!$C$1:$BL$10,7,FALSE)</f>
        <v>3</v>
      </c>
      <c r="AH22" s="3">
        <f>T22-HLOOKUP(X22,Feuil1!$C$1:$BL$10,8,FALSE)</f>
        <v>-7</v>
      </c>
      <c r="AI22" s="3">
        <f>T22-HLOOKUP(X22,Feuil1!$C$1:$BL$10,9,FALSE)</f>
        <v>-22</v>
      </c>
      <c r="AJ22" s="3">
        <f>T22-HLOOKUP(X22,Feuil1!$C$1:$BL$10,10,FALSE)</f>
        <v>-902</v>
      </c>
      <c r="AQ22" s="5" t="str">
        <f t="shared" si="18"/>
        <v>NAT +</v>
      </c>
      <c r="BC22" s="13"/>
    </row>
    <row r="23" spans="1:55" ht="21" hidden="1" x14ac:dyDescent="0.2">
      <c r="A23" s="12" t="s">
        <v>69</v>
      </c>
      <c r="B23" s="18" t="s">
        <v>71</v>
      </c>
      <c r="C23" s="19" t="s">
        <v>72</v>
      </c>
      <c r="D23" s="61">
        <v>5</v>
      </c>
      <c r="E23" s="35">
        <v>392577</v>
      </c>
      <c r="F23" s="20" t="s">
        <v>932</v>
      </c>
      <c r="G23" s="20" t="s">
        <v>933</v>
      </c>
      <c r="H23" s="51">
        <v>1998</v>
      </c>
      <c r="I23" s="30">
        <v>51.9</v>
      </c>
      <c r="J23" s="19" t="s">
        <v>927</v>
      </c>
      <c r="K23" s="34" t="s">
        <v>69</v>
      </c>
      <c r="L23" s="31">
        <v>-38</v>
      </c>
      <c r="M23" s="31">
        <v>38</v>
      </c>
      <c r="N23" s="31">
        <v>-43</v>
      </c>
      <c r="O23" s="36">
        <f t="shared" si="11"/>
        <v>38</v>
      </c>
      <c r="P23" s="31">
        <v>55</v>
      </c>
      <c r="Q23" s="31">
        <v>58</v>
      </c>
      <c r="R23" s="31">
        <v>60</v>
      </c>
      <c r="S23" s="36">
        <f t="shared" si="12"/>
        <v>60</v>
      </c>
      <c r="T23" s="37">
        <f t="shared" si="13"/>
        <v>98</v>
      </c>
      <c r="U23" s="65">
        <f t="shared" si="14"/>
        <v>-5.7999999999999972</v>
      </c>
      <c r="V23" s="41" t="str">
        <f t="shared" si="15"/>
        <v>NAT +</v>
      </c>
      <c r="W23" s="33">
        <f t="shared" si="16"/>
        <v>3</v>
      </c>
      <c r="X23" s="40" t="str">
        <f>IF(I23="","",IF(A23="H",IF(OR(H23="SEN",H23&lt;1995),VLOOKUP(I23,Feuil1!$A$11:$G$29,6),IF(AND(H23&gt;1994,H23&lt;1998),VLOOKUP(I23,Feuil1!$A$11:$G$29,5),IF(AND(H23&gt;1997,H23&lt;2000),VLOOKUP(I23,Feuil1!$A$11:$G$29,4),IF(AND(H23&gt;1999,H23&lt;2002),VLOOKUP(I23,Feuil1!$A$11:$G$29,3),VLOOKUP(I23,Feuil1!$A$11:$G$29,2))))),IF(OR(H23="SEN",H23&lt;1995),VLOOKUP(I23,Feuil1!$G$11:$L$25,6),IF(AND(H23&gt;1994,H23&lt;1998),VLOOKUP(I23,Feuil1!$G$11:$L$25,5),IF(AND(H23&gt;1997,H23&lt;2000),VLOOKUP(I23,Feuil1!$G$11:$L$25,4),IF(AND(H23&gt;1999,H23&lt;2002),VLOOKUP(I23,Feuil1!$G$11:$L$25,3),VLOOKUP(I23,Feuil1!$G$11:$L$25,2)))))))</f>
        <v>FC2 53</v>
      </c>
      <c r="Y23" s="39">
        <f t="shared" si="17"/>
        <v>150.35602653474839</v>
      </c>
      <c r="Z23" s="45"/>
      <c r="AA23" s="45" t="s">
        <v>12</v>
      </c>
      <c r="AB23" s="3">
        <f>T23-HLOOKUP(X23,Feuil1!$C$1:$BL$10,2,FALSE)</f>
        <v>53</v>
      </c>
      <c r="AC23" s="3">
        <f>T23-HLOOKUP(X23,Feuil1!$C$1:$BL$10,3,FALSE)</f>
        <v>43</v>
      </c>
      <c r="AD23" s="3">
        <f>T23-HLOOKUP(X23,Feuil1!$C$1:$BL$10,4,FALSE)</f>
        <v>33</v>
      </c>
      <c r="AE23" s="3">
        <f>T23-HLOOKUP(X23,Feuil1!$C$1:$BL$10,5,FALSE)</f>
        <v>23</v>
      </c>
      <c r="AF23" s="3">
        <f>T23-HLOOKUP(X23,Feuil1!$C$1:$BL$10,6,FALSE)</f>
        <v>13</v>
      </c>
      <c r="AG23" s="3">
        <f>T23-HLOOKUP(X23,Feuil1!$C$1:$BL$10,7,FALSE)</f>
        <v>3</v>
      </c>
      <c r="AH23" s="3">
        <f>T23-HLOOKUP(X23,Feuil1!$C$1:$BL$10,8,FALSE)</f>
        <v>-7</v>
      </c>
      <c r="AI23" s="3">
        <f>T23-HLOOKUP(X23,Feuil1!$C$1:$BL$10,9,FALSE)</f>
        <v>-22</v>
      </c>
      <c r="AJ23" s="3">
        <f>T23-HLOOKUP(X23,Feuil1!$C$1:$BL$10,10,FALSE)</f>
        <v>-902</v>
      </c>
      <c r="AQ23" s="5" t="str">
        <f t="shared" si="18"/>
        <v>NAT +</v>
      </c>
      <c r="BC23" s="13"/>
    </row>
    <row r="24" spans="1:55" ht="21" hidden="1" x14ac:dyDescent="0.2">
      <c r="A24" s="12" t="s">
        <v>69</v>
      </c>
      <c r="B24" s="18" t="s">
        <v>298</v>
      </c>
      <c r="C24" s="19" t="s">
        <v>476</v>
      </c>
      <c r="D24" s="61">
        <v>6</v>
      </c>
      <c r="E24" s="35">
        <v>326995</v>
      </c>
      <c r="F24" s="20" t="s">
        <v>489</v>
      </c>
      <c r="G24" s="20" t="s">
        <v>136</v>
      </c>
      <c r="H24" s="51">
        <v>1999</v>
      </c>
      <c r="I24" s="30">
        <v>52.93</v>
      </c>
      <c r="J24" s="19" t="s">
        <v>481</v>
      </c>
      <c r="K24" s="34" t="s">
        <v>69</v>
      </c>
      <c r="L24" s="31">
        <v>40</v>
      </c>
      <c r="M24" s="31">
        <v>43</v>
      </c>
      <c r="N24" s="31">
        <v>-44</v>
      </c>
      <c r="O24" s="36">
        <f t="shared" si="11"/>
        <v>43</v>
      </c>
      <c r="P24" s="31">
        <v>48</v>
      </c>
      <c r="Q24" s="31">
        <v>52</v>
      </c>
      <c r="R24" s="31">
        <v>-55</v>
      </c>
      <c r="S24" s="36">
        <f t="shared" si="12"/>
        <v>52</v>
      </c>
      <c r="T24" s="37">
        <f t="shared" si="13"/>
        <v>95</v>
      </c>
      <c r="U24" s="65">
        <f t="shared" si="14"/>
        <v>-10.86</v>
      </c>
      <c r="V24" s="41" t="str">
        <f t="shared" si="15"/>
        <v>NAT +</v>
      </c>
      <c r="W24" s="33">
        <f t="shared" si="16"/>
        <v>0</v>
      </c>
      <c r="X24" s="40" t="str">
        <f>IF(I24="","",IF(A24="H",IF(OR(H24="SEN",H24&lt;1995),VLOOKUP(I24,Feuil1!$A$11:$G$29,6),IF(AND(H24&gt;1994,H24&lt;1998),VLOOKUP(I24,Feuil1!$A$11:$G$29,5),IF(AND(H24&gt;1997,H24&lt;2000),VLOOKUP(I24,Feuil1!$A$11:$G$29,4),IF(AND(H24&gt;1999,H24&lt;2002),VLOOKUP(I24,Feuil1!$A$11:$G$29,3),VLOOKUP(I24,Feuil1!$A$11:$G$29,2))))),IF(OR(H24="SEN",H24&lt;1995),VLOOKUP(I24,Feuil1!$G$11:$L$25,6),IF(AND(H24&gt;1994,H24&lt;1998),VLOOKUP(I24,Feuil1!$G$11:$L$25,5),IF(AND(H24&gt;1997,H24&lt;2000),VLOOKUP(I24,Feuil1!$G$11:$L$25,4),IF(AND(H24&gt;1999,H24&lt;2002),VLOOKUP(I24,Feuil1!$G$11:$L$25,3),VLOOKUP(I24,Feuil1!$G$11:$L$25,2)))))))</f>
        <v>FC2 53</v>
      </c>
      <c r="Y24" s="39">
        <f t="shared" si="17"/>
        <v>143.45397947938741</v>
      </c>
      <c r="Z24" s="45"/>
      <c r="AA24" s="45" t="s">
        <v>12</v>
      </c>
      <c r="AB24" s="3">
        <f>T24-HLOOKUP(X24,Feuil1!$C$1:$BL$10,2,FALSE)</f>
        <v>50</v>
      </c>
      <c r="AC24" s="3">
        <f>T24-HLOOKUP(X24,Feuil1!$C$1:$BL$10,3,FALSE)</f>
        <v>40</v>
      </c>
      <c r="AD24" s="3">
        <f>T24-HLOOKUP(X24,Feuil1!$C$1:$BL$10,4,FALSE)</f>
        <v>30</v>
      </c>
      <c r="AE24" s="3">
        <f>T24-HLOOKUP(X24,Feuil1!$C$1:$BL$10,5,FALSE)</f>
        <v>20</v>
      </c>
      <c r="AF24" s="3">
        <f>T24-HLOOKUP(X24,Feuil1!$C$1:$BL$10,6,FALSE)</f>
        <v>10</v>
      </c>
      <c r="AG24" s="3">
        <f>T24-HLOOKUP(X24,Feuil1!$C$1:$BL$10,7,FALSE)</f>
        <v>0</v>
      </c>
      <c r="AH24" s="3">
        <f>T24-HLOOKUP(X24,Feuil1!$C$1:$BL$10,8,FALSE)</f>
        <v>-10</v>
      </c>
      <c r="AI24" s="3">
        <f>T24-HLOOKUP(X24,Feuil1!$C$1:$BL$10,9,FALSE)</f>
        <v>-25</v>
      </c>
      <c r="AJ24" s="3">
        <f>T24-HLOOKUP(X24,Feuil1!$C$1:$BL$10,10,FALSE)</f>
        <v>-905</v>
      </c>
      <c r="AQ24" s="5" t="str">
        <f t="shared" si="18"/>
        <v>NAT +</v>
      </c>
    </row>
    <row r="25" spans="1:55" ht="21" hidden="1" x14ac:dyDescent="0.2">
      <c r="A25" s="12" t="s">
        <v>69</v>
      </c>
      <c r="B25" s="18" t="s">
        <v>649</v>
      </c>
      <c r="C25" s="19" t="s">
        <v>665</v>
      </c>
      <c r="D25" s="61">
        <v>7</v>
      </c>
      <c r="E25" s="35">
        <v>362590</v>
      </c>
      <c r="F25" s="20" t="s">
        <v>666</v>
      </c>
      <c r="G25" s="20" t="s">
        <v>667</v>
      </c>
      <c r="H25" s="57">
        <v>1999</v>
      </c>
      <c r="I25" s="30">
        <v>50</v>
      </c>
      <c r="J25" s="19" t="s">
        <v>668</v>
      </c>
      <c r="K25" s="34" t="s">
        <v>69</v>
      </c>
      <c r="L25" s="31">
        <v>34</v>
      </c>
      <c r="M25" s="31">
        <v>38</v>
      </c>
      <c r="N25" s="31">
        <v>-40</v>
      </c>
      <c r="O25" s="36">
        <f t="shared" si="11"/>
        <v>38</v>
      </c>
      <c r="P25" s="31">
        <v>50</v>
      </c>
      <c r="Q25" s="31">
        <v>55</v>
      </c>
      <c r="R25" s="31">
        <v>-58</v>
      </c>
      <c r="S25" s="36">
        <f t="shared" si="12"/>
        <v>55</v>
      </c>
      <c r="T25" s="37">
        <f t="shared" si="13"/>
        <v>93</v>
      </c>
      <c r="U25" s="65">
        <f t="shared" si="14"/>
        <v>-7</v>
      </c>
      <c r="V25" s="41" t="str">
        <f t="shared" si="15"/>
        <v>FED +</v>
      </c>
      <c r="W25" s="33">
        <f t="shared" si="16"/>
        <v>8</v>
      </c>
      <c r="X25" s="40" t="str">
        <f>IF(I25="","",IF(A25="H",IF(OR(H25="SEN",H25&lt;1995),VLOOKUP(I25,Feuil1!$A$11:$G$29,6),IF(AND(H25&gt;1994,H25&lt;1998),VLOOKUP(I25,Feuil1!$A$11:$G$29,5),IF(AND(H25&gt;1997,H25&lt;2000),VLOOKUP(I25,Feuil1!$A$11:$G$29,4),IF(AND(H25&gt;1999,H25&lt;2002),VLOOKUP(I25,Feuil1!$A$11:$G$29,3),VLOOKUP(I25,Feuil1!$A$11:$G$29,2))))),IF(OR(H25="SEN",H25&lt;1995),VLOOKUP(I25,Feuil1!$G$11:$L$25,6),IF(AND(H25&gt;1994,H25&lt;1998),VLOOKUP(I25,Feuil1!$G$11:$L$25,5),IF(AND(H25&gt;1997,H25&lt;2000),VLOOKUP(I25,Feuil1!$G$11:$L$25,4),IF(AND(H25&gt;1999,H25&lt;2002),VLOOKUP(I25,Feuil1!$G$11:$L$25,3),VLOOKUP(I25,Feuil1!$G$11:$L$25,2)))))))</f>
        <v>FC2 53</v>
      </c>
      <c r="Y25" s="39">
        <f t="shared" si="17"/>
        <v>147.17814678526418</v>
      </c>
      <c r="Z25" s="45"/>
      <c r="AA25" s="45" t="s">
        <v>12</v>
      </c>
      <c r="AB25" s="3">
        <f>T25-HLOOKUP(X25,Feuil1!$C$1:$BL$10,2,FALSE)</f>
        <v>48</v>
      </c>
      <c r="AC25" s="3">
        <f>T25-HLOOKUP(X25,Feuil1!$C$1:$BL$10,3,FALSE)</f>
        <v>38</v>
      </c>
      <c r="AD25" s="3">
        <f>T25-HLOOKUP(X25,Feuil1!$C$1:$BL$10,4,FALSE)</f>
        <v>28</v>
      </c>
      <c r="AE25" s="3">
        <f>T25-HLOOKUP(X25,Feuil1!$C$1:$BL$10,5,FALSE)</f>
        <v>18</v>
      </c>
      <c r="AF25" s="3">
        <f>T25-HLOOKUP(X25,Feuil1!$C$1:$BL$10,6,FALSE)</f>
        <v>8</v>
      </c>
      <c r="AG25" s="3">
        <f>T25-HLOOKUP(X25,Feuil1!$C$1:$BL$10,7,FALSE)</f>
        <v>-2</v>
      </c>
      <c r="AH25" s="3">
        <f>T25-HLOOKUP(X25,Feuil1!$C$1:$BL$10,8,FALSE)</f>
        <v>-12</v>
      </c>
      <c r="AI25" s="3">
        <f>T25-HLOOKUP(X25,Feuil1!$C$1:$BL$10,9,FALSE)</f>
        <v>-27</v>
      </c>
      <c r="AJ25" s="3">
        <f>T25-HLOOKUP(X25,Feuil1!$C$1:$BL$10,10,FALSE)</f>
        <v>-907</v>
      </c>
      <c r="AQ25" s="5" t="str">
        <f t="shared" si="18"/>
        <v>FED +</v>
      </c>
      <c r="BC25" s="13"/>
    </row>
    <row r="26" spans="1:55" ht="21" hidden="1" x14ac:dyDescent="0.2">
      <c r="A26" s="12" t="s">
        <v>69</v>
      </c>
      <c r="B26" s="18" t="s">
        <v>721</v>
      </c>
      <c r="C26" s="19" t="s">
        <v>745</v>
      </c>
      <c r="D26" s="61">
        <v>8</v>
      </c>
      <c r="E26" s="35">
        <v>285369</v>
      </c>
      <c r="F26" s="20" t="s">
        <v>746</v>
      </c>
      <c r="G26" s="20" t="s">
        <v>747</v>
      </c>
      <c r="H26" s="58">
        <v>1998</v>
      </c>
      <c r="I26" s="30">
        <v>52.54</v>
      </c>
      <c r="J26" s="19" t="s">
        <v>748</v>
      </c>
      <c r="K26" s="34" t="s">
        <v>69</v>
      </c>
      <c r="L26" s="31">
        <v>40</v>
      </c>
      <c r="M26" s="31">
        <v>-43</v>
      </c>
      <c r="N26" s="31">
        <v>-43</v>
      </c>
      <c r="O26" s="36">
        <f t="shared" si="11"/>
        <v>40</v>
      </c>
      <c r="P26" s="31">
        <v>50</v>
      </c>
      <c r="Q26" s="31">
        <v>-55</v>
      </c>
      <c r="R26" s="31">
        <v>-55</v>
      </c>
      <c r="S26" s="36">
        <f t="shared" si="12"/>
        <v>50</v>
      </c>
      <c r="T26" s="37">
        <f t="shared" si="13"/>
        <v>90</v>
      </c>
      <c r="U26" s="65">
        <f t="shared" si="14"/>
        <v>-15.079999999999998</v>
      </c>
      <c r="V26" s="41" t="str">
        <f t="shared" si="15"/>
        <v>FED +</v>
      </c>
      <c r="W26" s="33">
        <f t="shared" si="16"/>
        <v>5</v>
      </c>
      <c r="X26" s="40" t="str">
        <f>IF(I26="","",IF(A26="H",IF(OR(H26="SEN",H26&lt;1995),VLOOKUP(I26,Feuil1!$A$11:$G$29,6),IF(AND(H26&gt;1994,H26&lt;1998),VLOOKUP(I26,Feuil1!$A$11:$G$29,5),IF(AND(H26&gt;1997,H26&lt;2000),VLOOKUP(I26,Feuil1!$A$11:$G$29,4),IF(AND(H26&gt;1999,H26&lt;2002),VLOOKUP(I26,Feuil1!$A$11:$G$29,3),VLOOKUP(I26,Feuil1!$A$11:$G$29,2))))),IF(OR(H26="SEN",H26&lt;1995),VLOOKUP(I26,Feuil1!$G$11:$L$25,6),IF(AND(H26&gt;1994,H26&lt;1998),VLOOKUP(I26,Feuil1!$G$11:$L$25,5),IF(AND(H26&gt;1997,H26&lt;2000),VLOOKUP(I26,Feuil1!$G$11:$L$25,4),IF(AND(H26&gt;1999,H26&lt;2002),VLOOKUP(I26,Feuil1!$G$11:$L$25,3),VLOOKUP(I26,Feuil1!$G$11:$L$25,2)))))))</f>
        <v>FC2 53</v>
      </c>
      <c r="Y26" s="39">
        <f t="shared" si="17"/>
        <v>136.71464291217478</v>
      </c>
      <c r="Z26" s="45"/>
      <c r="AA26" s="45" t="s">
        <v>12</v>
      </c>
      <c r="AB26" s="3">
        <f>T26-HLOOKUP(X26,Feuil1!$C$1:$BL$10,2,FALSE)</f>
        <v>45</v>
      </c>
      <c r="AC26" s="3">
        <f>T26-HLOOKUP(X26,Feuil1!$C$1:$BL$10,3,FALSE)</f>
        <v>35</v>
      </c>
      <c r="AD26" s="3">
        <f>T26-HLOOKUP(X26,Feuil1!$C$1:$BL$10,4,FALSE)</f>
        <v>25</v>
      </c>
      <c r="AE26" s="3">
        <f>T26-HLOOKUP(X26,Feuil1!$C$1:$BL$10,5,FALSE)</f>
        <v>15</v>
      </c>
      <c r="AF26" s="3">
        <f>T26-HLOOKUP(X26,Feuil1!$C$1:$BL$10,6,FALSE)</f>
        <v>5</v>
      </c>
      <c r="AG26" s="3">
        <f>T26-HLOOKUP(X26,Feuil1!$C$1:$BL$10,7,FALSE)</f>
        <v>-5</v>
      </c>
      <c r="AH26" s="3">
        <f>T26-HLOOKUP(X26,Feuil1!$C$1:$BL$10,8,FALSE)</f>
        <v>-15</v>
      </c>
      <c r="AI26" s="3">
        <f>T26-HLOOKUP(X26,Feuil1!$C$1:$BL$10,9,FALSE)</f>
        <v>-30</v>
      </c>
      <c r="AJ26" s="3">
        <f>T26-HLOOKUP(X26,Feuil1!$C$1:$BL$10,10,FALSE)</f>
        <v>-910</v>
      </c>
      <c r="AQ26" s="5" t="str">
        <f t="shared" si="18"/>
        <v>FED +</v>
      </c>
      <c r="BC26" s="13"/>
    </row>
    <row r="27" spans="1:55" ht="21" hidden="1" x14ac:dyDescent="0.2">
      <c r="A27" s="12" t="s">
        <v>69</v>
      </c>
      <c r="B27" s="18" t="s">
        <v>108</v>
      </c>
      <c r="C27" s="19" t="s">
        <v>119</v>
      </c>
      <c r="D27" s="61">
        <v>9</v>
      </c>
      <c r="E27" s="35">
        <v>381293</v>
      </c>
      <c r="F27" s="20" t="s">
        <v>137</v>
      </c>
      <c r="G27" s="20" t="s">
        <v>127</v>
      </c>
      <c r="H27" s="51">
        <v>1998</v>
      </c>
      <c r="I27" s="30">
        <v>49.5</v>
      </c>
      <c r="J27" s="19" t="s">
        <v>138</v>
      </c>
      <c r="K27" s="34" t="s">
        <v>69</v>
      </c>
      <c r="L27" s="31">
        <v>30</v>
      </c>
      <c r="M27" s="31">
        <v>33</v>
      </c>
      <c r="N27" s="31">
        <v>-35</v>
      </c>
      <c r="O27" s="36">
        <f t="shared" si="11"/>
        <v>33</v>
      </c>
      <c r="P27" s="31">
        <v>41</v>
      </c>
      <c r="Q27" s="31">
        <v>44</v>
      </c>
      <c r="R27" s="31">
        <v>-46</v>
      </c>
      <c r="S27" s="36">
        <f t="shared" si="12"/>
        <v>44</v>
      </c>
      <c r="T27" s="37">
        <f t="shared" si="13"/>
        <v>77</v>
      </c>
      <c r="U27" s="65">
        <f t="shared" si="14"/>
        <v>-22</v>
      </c>
      <c r="V27" s="41" t="str">
        <f t="shared" si="15"/>
        <v>IRG +</v>
      </c>
      <c r="W27" s="33">
        <f t="shared" si="16"/>
        <v>2</v>
      </c>
      <c r="X27" s="40" t="str">
        <f>IF(I27="","",IF(A27="H",IF(OR(H27="SEN",H27&lt;1995),VLOOKUP(I27,Feuil1!$A$11:$G$29,6),IF(AND(H27&gt;1994,H27&lt;1998),VLOOKUP(I27,Feuil1!$A$11:$G$29,5),IF(AND(H27&gt;1997,H27&lt;2000),VLOOKUP(I27,Feuil1!$A$11:$G$29,4),IF(AND(H27&gt;1999,H27&lt;2002),VLOOKUP(I27,Feuil1!$A$11:$G$29,3),VLOOKUP(I27,Feuil1!$A$11:$G$29,2))))),IF(OR(H27="SEN",H27&lt;1995),VLOOKUP(I27,Feuil1!$G$11:$L$25,6),IF(AND(H27&gt;1994,H27&lt;1998),VLOOKUP(I27,Feuil1!$G$11:$L$25,5),IF(AND(H27&gt;1997,H27&lt;2000),VLOOKUP(I27,Feuil1!$G$11:$L$25,4),IF(AND(H27&gt;1999,H27&lt;2002),VLOOKUP(I27,Feuil1!$G$11:$L$25,3),VLOOKUP(I27,Feuil1!$G$11:$L$25,2)))))))</f>
        <v>FC2 53</v>
      </c>
      <c r="Y27" s="39">
        <f t="shared" si="17"/>
        <v>122.90238268188894</v>
      </c>
      <c r="Z27" s="45"/>
      <c r="AA27" s="49" t="s">
        <v>12</v>
      </c>
      <c r="AB27" s="3">
        <f>T27-HLOOKUP(X27,Feuil1!$C$1:$BL$10,2,FALSE)</f>
        <v>32</v>
      </c>
      <c r="AC27" s="3">
        <f>T27-HLOOKUP(X27,Feuil1!$C$1:$BL$10,3,FALSE)</f>
        <v>22</v>
      </c>
      <c r="AD27" s="3">
        <f>T27-HLOOKUP(X27,Feuil1!$C$1:$BL$10,4,FALSE)</f>
        <v>12</v>
      </c>
      <c r="AE27" s="3">
        <f>T27-HLOOKUP(X27,Feuil1!$C$1:$BL$10,5,FALSE)</f>
        <v>2</v>
      </c>
      <c r="AF27" s="3">
        <f>T27-HLOOKUP(X27,Feuil1!$C$1:$BL$10,6,FALSE)</f>
        <v>-8</v>
      </c>
      <c r="AG27" s="3">
        <f>T27-HLOOKUP(X27,Feuil1!$C$1:$BL$10,7,FALSE)</f>
        <v>-18</v>
      </c>
      <c r="AH27" s="3">
        <f>T27-HLOOKUP(X27,Feuil1!$C$1:$BL$10,8,FALSE)</f>
        <v>-28</v>
      </c>
      <c r="AI27" s="3">
        <f>T27-HLOOKUP(X27,Feuil1!$C$1:$BL$10,9,FALSE)</f>
        <v>-43</v>
      </c>
      <c r="AJ27" s="3">
        <f>T27-HLOOKUP(X27,Feuil1!$C$1:$BL$10,10,FALSE)</f>
        <v>-923</v>
      </c>
      <c r="AQ27" s="5" t="str">
        <f t="shared" si="18"/>
        <v>IRG +</v>
      </c>
    </row>
    <row r="28" spans="1:55" ht="21" hidden="1" x14ac:dyDescent="0.2">
      <c r="A28" s="12" t="s">
        <v>69</v>
      </c>
      <c r="B28" s="18" t="s">
        <v>536</v>
      </c>
      <c r="C28" s="19" t="s">
        <v>545</v>
      </c>
      <c r="D28" s="61">
        <v>10</v>
      </c>
      <c r="E28" s="35">
        <v>375895</v>
      </c>
      <c r="F28" s="20" t="s">
        <v>552</v>
      </c>
      <c r="G28" s="20" t="s">
        <v>249</v>
      </c>
      <c r="H28" s="51">
        <v>1998</v>
      </c>
      <c r="I28" s="30">
        <v>50.4</v>
      </c>
      <c r="J28" s="19" t="s">
        <v>553</v>
      </c>
      <c r="K28" s="34" t="s">
        <v>69</v>
      </c>
      <c r="L28" s="31">
        <v>26</v>
      </c>
      <c r="M28" s="31">
        <v>28</v>
      </c>
      <c r="N28" s="31">
        <v>31</v>
      </c>
      <c r="O28" s="36">
        <f t="shared" si="11"/>
        <v>31</v>
      </c>
      <c r="P28" s="31">
        <v>38</v>
      </c>
      <c r="Q28" s="31">
        <v>41</v>
      </c>
      <c r="R28" s="31">
        <v>-44</v>
      </c>
      <c r="S28" s="36">
        <f t="shared" si="12"/>
        <v>41</v>
      </c>
      <c r="T28" s="37">
        <f t="shared" si="13"/>
        <v>72</v>
      </c>
      <c r="U28" s="65">
        <f t="shared" si="14"/>
        <v>-28.799999999999997</v>
      </c>
      <c r="V28" s="41" t="str">
        <f t="shared" si="15"/>
        <v>REG +</v>
      </c>
      <c r="W28" s="33">
        <f t="shared" si="16"/>
        <v>7</v>
      </c>
      <c r="X28" s="40" t="str">
        <f>IF(I28="","",IF(A28="H",IF(OR(H28="SEN",H28&lt;1995),VLOOKUP(I28,Feuil1!$A$11:$G$29,6),IF(AND(H28&gt;1994,H28&lt;1998),VLOOKUP(I28,Feuil1!$A$11:$G$29,5),IF(AND(H28&gt;1997,H28&lt;2000),VLOOKUP(I28,Feuil1!$A$11:$G$29,4),IF(AND(H28&gt;1999,H28&lt;2002),VLOOKUP(I28,Feuil1!$A$11:$G$29,3),VLOOKUP(I28,Feuil1!$A$11:$G$29,2))))),IF(OR(H28="SEN",H28&lt;1995),VLOOKUP(I28,Feuil1!$G$11:$L$25,6),IF(AND(H28&gt;1994,H28&lt;1998),VLOOKUP(I28,Feuil1!$G$11:$L$25,5),IF(AND(H28&gt;1997,H28&lt;2000),VLOOKUP(I28,Feuil1!$G$11:$L$25,4),IF(AND(H28&gt;1999,H28&lt;2002),VLOOKUP(I28,Feuil1!$G$11:$L$25,3),VLOOKUP(I28,Feuil1!$G$11:$L$25,2)))))))</f>
        <v>FC2 53</v>
      </c>
      <c r="Y28" s="39">
        <f t="shared" si="17"/>
        <v>113.18175610377283</v>
      </c>
      <c r="Z28" s="45"/>
      <c r="AA28" s="45" t="s">
        <v>12</v>
      </c>
      <c r="AB28" s="3">
        <f>T28-HLOOKUP(X28,Feuil1!$C$1:$BL$10,2,FALSE)</f>
        <v>27</v>
      </c>
      <c r="AC28" s="3">
        <f>T28-HLOOKUP(X28,Feuil1!$C$1:$BL$10,3,FALSE)</f>
        <v>17</v>
      </c>
      <c r="AD28" s="3">
        <f>T28-HLOOKUP(X28,Feuil1!$C$1:$BL$10,4,FALSE)</f>
        <v>7</v>
      </c>
      <c r="AE28" s="3">
        <f>T28-HLOOKUP(X28,Feuil1!$C$1:$BL$10,5,FALSE)</f>
        <v>-3</v>
      </c>
      <c r="AF28" s="3">
        <f>T28-HLOOKUP(X28,Feuil1!$C$1:$BL$10,6,FALSE)</f>
        <v>-13</v>
      </c>
      <c r="AG28" s="3">
        <f>T28-HLOOKUP(X28,Feuil1!$C$1:$BL$10,7,FALSE)</f>
        <v>-23</v>
      </c>
      <c r="AH28" s="3">
        <f>T28-HLOOKUP(X28,Feuil1!$C$1:$BL$10,8,FALSE)</f>
        <v>-33</v>
      </c>
      <c r="AI28" s="3">
        <f>T28-HLOOKUP(X28,Feuil1!$C$1:$BL$10,9,FALSE)</f>
        <v>-48</v>
      </c>
      <c r="AJ28" s="3">
        <f>T28-HLOOKUP(X28,Feuil1!$C$1:$BL$10,10,FALSE)</f>
        <v>-928</v>
      </c>
      <c r="AQ28" s="5" t="str">
        <f t="shared" si="18"/>
        <v>REG +</v>
      </c>
    </row>
    <row r="29" spans="1:55" ht="21" hidden="1" x14ac:dyDescent="0.2">
      <c r="A29" s="12" t="s">
        <v>69</v>
      </c>
      <c r="B29" s="18" t="s">
        <v>721</v>
      </c>
      <c r="C29" s="19" t="s">
        <v>745</v>
      </c>
      <c r="D29" s="61">
        <v>11</v>
      </c>
      <c r="E29" s="35">
        <v>380061</v>
      </c>
      <c r="F29" s="20" t="s">
        <v>749</v>
      </c>
      <c r="G29" s="20" t="s">
        <v>269</v>
      </c>
      <c r="H29" s="51">
        <v>1998</v>
      </c>
      <c r="I29" s="30">
        <v>52.2</v>
      </c>
      <c r="J29" s="19" t="s">
        <v>750</v>
      </c>
      <c r="K29" s="34" t="s">
        <v>69</v>
      </c>
      <c r="L29" s="31">
        <v>-27</v>
      </c>
      <c r="M29" s="31">
        <v>27</v>
      </c>
      <c r="N29" s="31">
        <v>30</v>
      </c>
      <c r="O29" s="36">
        <f t="shared" si="11"/>
        <v>30</v>
      </c>
      <c r="P29" s="31">
        <v>37</v>
      </c>
      <c r="Q29" s="31">
        <v>-40</v>
      </c>
      <c r="R29" s="31">
        <v>40</v>
      </c>
      <c r="S29" s="36">
        <f t="shared" si="12"/>
        <v>40</v>
      </c>
      <c r="T29" s="37">
        <f t="shared" si="13"/>
        <v>70</v>
      </c>
      <c r="U29" s="65">
        <f t="shared" si="14"/>
        <v>-34.400000000000006</v>
      </c>
      <c r="V29" s="41" t="str">
        <f t="shared" si="15"/>
        <v>REG +</v>
      </c>
      <c r="W29" s="33">
        <f t="shared" si="16"/>
        <v>5</v>
      </c>
      <c r="X29" s="40" t="str">
        <f>IF(I29="","",IF(A29="H",IF(OR(H29="SEN",H29&lt;1995),VLOOKUP(I29,Feuil1!$A$11:$G$29,6),IF(AND(H29&gt;1994,H29&lt;1998),VLOOKUP(I29,Feuil1!$A$11:$G$29,5),IF(AND(H29&gt;1997,H29&lt;2000),VLOOKUP(I29,Feuil1!$A$11:$G$29,4),IF(AND(H29&gt;1999,H29&lt;2002),VLOOKUP(I29,Feuil1!$A$11:$G$29,3),VLOOKUP(I29,Feuil1!$A$11:$G$29,2))))),IF(OR(H29="SEN",H29&lt;1995),VLOOKUP(I29,Feuil1!$G$11:$L$25,6),IF(AND(H29&gt;1994,H29&lt;1998),VLOOKUP(I29,Feuil1!$G$11:$L$25,5),IF(AND(H29&gt;1997,H29&lt;2000),VLOOKUP(I29,Feuil1!$G$11:$L$25,4),IF(AND(H29&gt;1999,H29&lt;2002),VLOOKUP(I29,Feuil1!$G$11:$L$25,3),VLOOKUP(I29,Feuil1!$G$11:$L$25,2)))))))</f>
        <v>FC2 53</v>
      </c>
      <c r="Y29" s="39">
        <f t="shared" si="17"/>
        <v>106.89412180024371</v>
      </c>
      <c r="Z29" s="45"/>
      <c r="AA29" s="45" t="s">
        <v>12</v>
      </c>
      <c r="AB29" s="3">
        <f>T29-HLOOKUP(X29,Feuil1!$C$1:$BL$10,2,FALSE)</f>
        <v>25</v>
      </c>
      <c r="AC29" s="3">
        <f>T29-HLOOKUP(X29,Feuil1!$C$1:$BL$10,3,FALSE)</f>
        <v>15</v>
      </c>
      <c r="AD29" s="3">
        <f>T29-HLOOKUP(X29,Feuil1!$C$1:$BL$10,4,FALSE)</f>
        <v>5</v>
      </c>
      <c r="AE29" s="3">
        <f>T29-HLOOKUP(X29,Feuil1!$C$1:$BL$10,5,FALSE)</f>
        <v>-5</v>
      </c>
      <c r="AF29" s="3">
        <f>T29-HLOOKUP(X29,Feuil1!$C$1:$BL$10,6,FALSE)</f>
        <v>-15</v>
      </c>
      <c r="AG29" s="3">
        <f>T29-HLOOKUP(X29,Feuil1!$C$1:$BL$10,7,FALSE)</f>
        <v>-25</v>
      </c>
      <c r="AH29" s="3">
        <f>T29-HLOOKUP(X29,Feuil1!$C$1:$BL$10,8,FALSE)</f>
        <v>-35</v>
      </c>
      <c r="AI29" s="3">
        <f>T29-HLOOKUP(X29,Feuil1!$C$1:$BL$10,9,FALSE)</f>
        <v>-50</v>
      </c>
      <c r="AJ29" s="3">
        <f>T29-HLOOKUP(X29,Feuil1!$C$1:$BL$10,10,FALSE)</f>
        <v>-930</v>
      </c>
      <c r="AQ29" s="5" t="str">
        <f t="shared" si="18"/>
        <v>REG +</v>
      </c>
      <c r="BC29" s="13"/>
    </row>
    <row r="30" spans="1:55" ht="21" hidden="1" x14ac:dyDescent="0.2">
      <c r="A30" s="12" t="s">
        <v>69</v>
      </c>
      <c r="B30" s="18" t="s">
        <v>649</v>
      </c>
      <c r="C30" s="19" t="s">
        <v>669</v>
      </c>
      <c r="D30" s="61">
        <v>12</v>
      </c>
      <c r="E30" s="35">
        <v>367888</v>
      </c>
      <c r="F30" s="20" t="s">
        <v>670</v>
      </c>
      <c r="G30" s="20" t="s">
        <v>671</v>
      </c>
      <c r="H30" s="51">
        <v>1998</v>
      </c>
      <c r="I30" s="30">
        <v>52</v>
      </c>
      <c r="J30" s="19" t="s">
        <v>672</v>
      </c>
      <c r="K30" s="34" t="s">
        <v>69</v>
      </c>
      <c r="L30" s="31">
        <v>25</v>
      </c>
      <c r="M30" s="31">
        <v>30</v>
      </c>
      <c r="N30" s="31">
        <v>32</v>
      </c>
      <c r="O30" s="36">
        <f t="shared" si="11"/>
        <v>32</v>
      </c>
      <c r="P30" s="31">
        <v>30</v>
      </c>
      <c r="Q30" s="31">
        <v>35</v>
      </c>
      <c r="R30" s="31">
        <v>37</v>
      </c>
      <c r="S30" s="36">
        <f t="shared" si="12"/>
        <v>37</v>
      </c>
      <c r="T30" s="37">
        <f t="shared" si="13"/>
        <v>69</v>
      </c>
      <c r="U30" s="65">
        <f t="shared" si="14"/>
        <v>-35</v>
      </c>
      <c r="V30" s="41" t="str">
        <f t="shared" si="15"/>
        <v>REG +</v>
      </c>
      <c r="W30" s="33">
        <f t="shared" si="16"/>
        <v>4</v>
      </c>
      <c r="X30" s="40" t="str">
        <f>IF(I30="","",IF(A30="H",IF(OR(H30="SEN",H30&lt;1995),VLOOKUP(I30,Feuil1!$A$11:$G$29,6),IF(AND(H30&gt;1994,H30&lt;1998),VLOOKUP(I30,Feuil1!$A$11:$G$29,5),IF(AND(H30&gt;1997,H30&lt;2000),VLOOKUP(I30,Feuil1!$A$11:$G$29,4),IF(AND(H30&gt;1999,H30&lt;2002),VLOOKUP(I30,Feuil1!$A$11:$G$29,3),VLOOKUP(I30,Feuil1!$A$11:$G$29,2))))),IF(OR(H30="SEN",H30&lt;1995),VLOOKUP(I30,Feuil1!$G$11:$L$25,6),IF(AND(H30&gt;1994,H30&lt;1998),VLOOKUP(I30,Feuil1!$G$11:$L$25,5),IF(AND(H30&gt;1997,H30&lt;2000),VLOOKUP(I30,Feuil1!$G$11:$L$25,4),IF(AND(H30&gt;1999,H30&lt;2002),VLOOKUP(I30,Feuil1!$G$11:$L$25,3),VLOOKUP(I30,Feuil1!$G$11:$L$25,2)))))))</f>
        <v>FC2 53</v>
      </c>
      <c r="Y30" s="39">
        <f t="shared" si="17"/>
        <v>105.69675098226604</v>
      </c>
      <c r="Z30" s="45"/>
      <c r="AA30" s="45" t="s">
        <v>12</v>
      </c>
      <c r="AB30" s="3">
        <f>T30-HLOOKUP(X30,Feuil1!$C$1:$BL$10,2,FALSE)</f>
        <v>24</v>
      </c>
      <c r="AC30" s="3">
        <f>T30-HLOOKUP(X30,Feuil1!$C$1:$BL$10,3,FALSE)</f>
        <v>14</v>
      </c>
      <c r="AD30" s="3">
        <f>T30-HLOOKUP(X30,Feuil1!$C$1:$BL$10,4,FALSE)</f>
        <v>4</v>
      </c>
      <c r="AE30" s="3">
        <f>T30-HLOOKUP(X30,Feuil1!$C$1:$BL$10,5,FALSE)</f>
        <v>-6</v>
      </c>
      <c r="AF30" s="3">
        <f>T30-HLOOKUP(X30,Feuil1!$C$1:$BL$10,6,FALSE)</f>
        <v>-16</v>
      </c>
      <c r="AG30" s="3">
        <f>T30-HLOOKUP(X30,Feuil1!$C$1:$BL$10,7,FALSE)</f>
        <v>-26</v>
      </c>
      <c r="AH30" s="3">
        <f>T30-HLOOKUP(X30,Feuil1!$C$1:$BL$10,8,FALSE)</f>
        <v>-36</v>
      </c>
      <c r="AI30" s="3">
        <f>T30-HLOOKUP(X30,Feuil1!$C$1:$BL$10,9,FALSE)</f>
        <v>-51</v>
      </c>
      <c r="AJ30" s="3">
        <f>T30-HLOOKUP(X30,Feuil1!$C$1:$BL$10,10,FALSE)</f>
        <v>-931</v>
      </c>
      <c r="AQ30" s="5" t="str">
        <f t="shared" si="18"/>
        <v>REG +</v>
      </c>
      <c r="BC30" s="13"/>
    </row>
    <row r="31" spans="1:55" ht="21" hidden="1" x14ac:dyDescent="0.2">
      <c r="A31" s="12" t="s">
        <v>69</v>
      </c>
      <c r="B31" s="18" t="s">
        <v>721</v>
      </c>
      <c r="C31" s="19" t="s">
        <v>745</v>
      </c>
      <c r="D31" s="61">
        <v>13</v>
      </c>
      <c r="E31" s="35">
        <v>306045</v>
      </c>
      <c r="F31" s="20" t="s">
        <v>751</v>
      </c>
      <c r="G31" s="20" t="s">
        <v>752</v>
      </c>
      <c r="H31" s="51">
        <v>1999</v>
      </c>
      <c r="I31" s="30">
        <v>48.6</v>
      </c>
      <c r="J31" s="19" t="s">
        <v>753</v>
      </c>
      <c r="K31" s="34" t="s">
        <v>69</v>
      </c>
      <c r="L31" s="31">
        <v>25</v>
      </c>
      <c r="M31" s="31">
        <v>28</v>
      </c>
      <c r="N31" s="31">
        <v>30</v>
      </c>
      <c r="O31" s="36">
        <f t="shared" si="11"/>
        <v>30</v>
      </c>
      <c r="P31" s="31">
        <v>32</v>
      </c>
      <c r="Q31" s="31">
        <v>35</v>
      </c>
      <c r="R31" s="31">
        <v>-38</v>
      </c>
      <c r="S31" s="36">
        <f t="shared" si="12"/>
        <v>35</v>
      </c>
      <c r="T31" s="37">
        <f t="shared" si="13"/>
        <v>65</v>
      </c>
      <c r="U31" s="65">
        <f t="shared" si="14"/>
        <v>-32.200000000000003</v>
      </c>
      <c r="V31" s="41" t="str">
        <f t="shared" si="15"/>
        <v>REG +</v>
      </c>
      <c r="W31" s="33">
        <f t="shared" si="16"/>
        <v>0</v>
      </c>
      <c r="X31" s="40" t="str">
        <f>IF(I31="","",IF(A31="H",IF(OR(H31="SEN",H31&lt;1995),VLOOKUP(I31,Feuil1!$A$11:$G$29,6),IF(AND(H31&gt;1994,H31&lt;1998),VLOOKUP(I31,Feuil1!$A$11:$G$29,5),IF(AND(H31&gt;1997,H31&lt;2000),VLOOKUP(I31,Feuil1!$A$11:$G$29,4),IF(AND(H31&gt;1999,H31&lt;2002),VLOOKUP(I31,Feuil1!$A$11:$G$29,3),VLOOKUP(I31,Feuil1!$A$11:$G$29,2))))),IF(OR(H31="SEN",H31&lt;1995),VLOOKUP(I31,Feuil1!$G$11:$L$25,6),IF(AND(H31&gt;1994,H31&lt;1998),VLOOKUP(I31,Feuil1!$G$11:$L$25,5),IF(AND(H31&gt;1997,H31&lt;2000),VLOOKUP(I31,Feuil1!$G$11:$L$25,4),IF(AND(H31&gt;1999,H31&lt;2002),VLOOKUP(I31,Feuil1!$G$11:$L$25,3),VLOOKUP(I31,Feuil1!$G$11:$L$25,2)))))))</f>
        <v>FC2 53</v>
      </c>
      <c r="Y31" s="39">
        <f t="shared" si="17"/>
        <v>105.40060173268549</v>
      </c>
      <c r="Z31" s="45"/>
      <c r="AA31" s="45" t="s">
        <v>12</v>
      </c>
      <c r="AB31" s="3">
        <f>T31-HLOOKUP(X31,Feuil1!$C$1:$BL$10,2,FALSE)</f>
        <v>20</v>
      </c>
      <c r="AC31" s="3">
        <f>T31-HLOOKUP(X31,Feuil1!$C$1:$BL$10,3,FALSE)</f>
        <v>10</v>
      </c>
      <c r="AD31" s="3">
        <f>T31-HLOOKUP(X31,Feuil1!$C$1:$BL$10,4,FALSE)</f>
        <v>0</v>
      </c>
      <c r="AE31" s="3">
        <f>T31-HLOOKUP(X31,Feuil1!$C$1:$BL$10,5,FALSE)</f>
        <v>-10</v>
      </c>
      <c r="AF31" s="3">
        <f>T31-HLOOKUP(X31,Feuil1!$C$1:$BL$10,6,FALSE)</f>
        <v>-20</v>
      </c>
      <c r="AG31" s="3">
        <f>T31-HLOOKUP(X31,Feuil1!$C$1:$BL$10,7,FALSE)</f>
        <v>-30</v>
      </c>
      <c r="AH31" s="3">
        <f>T31-HLOOKUP(X31,Feuil1!$C$1:$BL$10,8,FALSE)</f>
        <v>-40</v>
      </c>
      <c r="AI31" s="3">
        <f>T31-HLOOKUP(X31,Feuil1!$C$1:$BL$10,9,FALSE)</f>
        <v>-55</v>
      </c>
      <c r="AJ31" s="3">
        <f>T31-HLOOKUP(X31,Feuil1!$C$1:$BL$10,10,FALSE)</f>
        <v>-935</v>
      </c>
      <c r="AQ31" s="5" t="str">
        <f t="shared" si="18"/>
        <v>REG +</v>
      </c>
      <c r="BC31" s="13"/>
    </row>
    <row r="32" spans="1:55" ht="21" hidden="1" x14ac:dyDescent="0.2">
      <c r="A32" s="12" t="s">
        <v>69</v>
      </c>
      <c r="B32" s="67" t="s">
        <v>298</v>
      </c>
      <c r="C32" s="68" t="s">
        <v>476</v>
      </c>
      <c r="D32" s="69">
        <v>14</v>
      </c>
      <c r="E32" s="70">
        <v>378364</v>
      </c>
      <c r="F32" s="71" t="s">
        <v>493</v>
      </c>
      <c r="G32" s="71" t="s">
        <v>494</v>
      </c>
      <c r="H32" s="72">
        <v>1999</v>
      </c>
      <c r="I32" s="73">
        <v>48.2</v>
      </c>
      <c r="J32" s="68" t="s">
        <v>481</v>
      </c>
      <c r="K32" s="34" t="s">
        <v>69</v>
      </c>
      <c r="L32" s="75">
        <v>-22</v>
      </c>
      <c r="M32" s="75">
        <v>24</v>
      </c>
      <c r="N32" s="75">
        <v>27</v>
      </c>
      <c r="O32" s="76">
        <f t="shared" si="11"/>
        <v>27</v>
      </c>
      <c r="P32" s="75">
        <v>32</v>
      </c>
      <c r="Q32" s="75">
        <v>35</v>
      </c>
      <c r="R32" s="75">
        <v>-38</v>
      </c>
      <c r="S32" s="76">
        <f t="shared" si="12"/>
        <v>35</v>
      </c>
      <c r="T32" s="77">
        <f t="shared" si="13"/>
        <v>62</v>
      </c>
      <c r="U32" s="78">
        <f t="shared" si="14"/>
        <v>-34.400000000000006</v>
      </c>
      <c r="V32" s="79" t="str">
        <f t="shared" si="15"/>
        <v>DEP +</v>
      </c>
      <c r="W32" s="80">
        <f t="shared" si="16"/>
        <v>7</v>
      </c>
      <c r="X32" s="81" t="str">
        <f>IF(I32="","",IF(A32="H",IF(OR(H32="SEN",H32&lt;1995),VLOOKUP(I32,Feuil1!$A$11:$G$29,6),IF(AND(H32&gt;1994,H32&lt;1998),VLOOKUP(I32,Feuil1!$A$11:$G$29,5),IF(AND(H32&gt;1997,H32&lt;2000),VLOOKUP(I32,Feuil1!$A$11:$G$29,4),IF(AND(H32&gt;1999,H32&lt;2002),VLOOKUP(I32,Feuil1!$A$11:$G$29,3),VLOOKUP(I32,Feuil1!$A$11:$G$29,2))))),IF(OR(H32="SEN",H32&lt;1995),VLOOKUP(I32,Feuil1!$G$11:$L$25,6),IF(AND(H32&gt;1994,H32&lt;1998),VLOOKUP(I32,Feuil1!$G$11:$L$25,5),IF(AND(H32&gt;1997,H32&lt;2000),VLOOKUP(I32,Feuil1!$G$11:$L$25,4),IF(AND(H32&gt;1999,H32&lt;2002),VLOOKUP(I32,Feuil1!$G$11:$L$25,3),VLOOKUP(I32,Feuil1!$G$11:$L$25,2)))))))</f>
        <v>FC2 53</v>
      </c>
      <c r="Y32" s="39">
        <f t="shared" si="17"/>
        <v>101.26246192793865</v>
      </c>
      <c r="Z32" s="45"/>
      <c r="AA32" s="45" t="s">
        <v>12</v>
      </c>
      <c r="AB32" s="3">
        <f>T32-HLOOKUP(X32,Feuil1!$C$1:$BL$10,2,FALSE)</f>
        <v>17</v>
      </c>
      <c r="AC32" s="3">
        <f>T32-HLOOKUP(X32,Feuil1!$C$1:$BL$10,3,FALSE)</f>
        <v>7</v>
      </c>
      <c r="AD32" s="3">
        <f>T32-HLOOKUP(X32,Feuil1!$C$1:$BL$10,4,FALSE)</f>
        <v>-3</v>
      </c>
      <c r="AE32" s="3">
        <f>T32-HLOOKUP(X32,Feuil1!$C$1:$BL$10,5,FALSE)</f>
        <v>-13</v>
      </c>
      <c r="AF32" s="3">
        <f>T32-HLOOKUP(X32,Feuil1!$C$1:$BL$10,6,FALSE)</f>
        <v>-23</v>
      </c>
      <c r="AG32" s="3">
        <f>T32-HLOOKUP(X32,Feuil1!$C$1:$BL$10,7,FALSE)</f>
        <v>-33</v>
      </c>
      <c r="AH32" s="3">
        <f>T32-HLOOKUP(X32,Feuil1!$C$1:$BL$10,8,FALSE)</f>
        <v>-43</v>
      </c>
      <c r="AI32" s="3">
        <f>T32-HLOOKUP(X32,Feuil1!$C$1:$BL$10,9,FALSE)</f>
        <v>-58</v>
      </c>
      <c r="AJ32" s="3">
        <f>T32-HLOOKUP(X32,Feuil1!$C$1:$BL$10,10,FALSE)</f>
        <v>-938</v>
      </c>
      <c r="AQ32" s="5" t="str">
        <f t="shared" si="18"/>
        <v>DEP +</v>
      </c>
    </row>
    <row r="33" spans="1:55" ht="21" hidden="1" x14ac:dyDescent="0.2">
      <c r="A33" s="12" t="s">
        <v>69</v>
      </c>
      <c r="B33" s="18" t="s">
        <v>71</v>
      </c>
      <c r="C33" s="19" t="s">
        <v>883</v>
      </c>
      <c r="D33" s="61">
        <v>15</v>
      </c>
      <c r="E33" s="35">
        <v>312868</v>
      </c>
      <c r="F33" s="20" t="s">
        <v>887</v>
      </c>
      <c r="G33" s="20" t="s">
        <v>888</v>
      </c>
      <c r="H33" s="57">
        <v>1998</v>
      </c>
      <c r="I33" s="30">
        <v>50.8</v>
      </c>
      <c r="J33" s="19" t="s">
        <v>886</v>
      </c>
      <c r="K33" s="34" t="s">
        <v>69</v>
      </c>
      <c r="L33" s="31">
        <v>20</v>
      </c>
      <c r="M33" s="31">
        <v>24</v>
      </c>
      <c r="N33" s="31">
        <v>26</v>
      </c>
      <c r="O33" s="36">
        <f t="shared" si="11"/>
        <v>26</v>
      </c>
      <c r="P33" s="31">
        <v>28</v>
      </c>
      <c r="Q33" s="31">
        <v>32</v>
      </c>
      <c r="R33" s="31">
        <v>35</v>
      </c>
      <c r="S33" s="36">
        <f t="shared" si="12"/>
        <v>35</v>
      </c>
      <c r="T33" s="37">
        <f t="shared" si="13"/>
        <v>61</v>
      </c>
      <c r="U33" s="65">
        <f t="shared" si="14"/>
        <v>-40.599999999999994</v>
      </c>
      <c r="V33" s="41" t="str">
        <f t="shared" si="15"/>
        <v>DEP +</v>
      </c>
      <c r="W33" s="33">
        <f t="shared" si="16"/>
        <v>6</v>
      </c>
      <c r="X33" s="40" t="str">
        <f>IF(I33="","",IF(A33="H",IF(OR(H33="SEN",H33&lt;1995),VLOOKUP(I33,Feuil1!$A$11:$G$29,6),IF(AND(H33&gt;1994,H33&lt;1998),VLOOKUP(I33,Feuil1!$A$11:$G$29,5),IF(AND(H33&gt;1997,H33&lt;2000),VLOOKUP(I33,Feuil1!$A$11:$G$29,4),IF(AND(H33&gt;1999,H33&lt;2002),VLOOKUP(I33,Feuil1!$A$11:$G$29,3),VLOOKUP(I33,Feuil1!$A$11:$G$29,2))))),IF(OR(H33="SEN",H33&lt;1995),VLOOKUP(I33,Feuil1!$G$11:$L$25,6),IF(AND(H33&gt;1994,H33&lt;1998),VLOOKUP(I33,Feuil1!$G$11:$L$25,5),IF(AND(H33&gt;1997,H33&lt;2000),VLOOKUP(I33,Feuil1!$G$11:$L$25,4),IF(AND(H33&gt;1999,H33&lt;2002),VLOOKUP(I33,Feuil1!$G$11:$L$25,3),VLOOKUP(I33,Feuil1!$G$11:$L$25,2)))))))</f>
        <v>FC2 53</v>
      </c>
      <c r="Y33" s="39">
        <f t="shared" si="17"/>
        <v>95.258032602553612</v>
      </c>
      <c r="Z33" s="45"/>
      <c r="AA33" s="45" t="s">
        <v>12</v>
      </c>
      <c r="AB33" s="3">
        <f>T33-HLOOKUP(X33,Feuil1!$C$1:$BL$10,2,FALSE)</f>
        <v>16</v>
      </c>
      <c r="AC33" s="3">
        <f>T33-HLOOKUP(X33,Feuil1!$C$1:$BL$10,3,FALSE)</f>
        <v>6</v>
      </c>
      <c r="AD33" s="3">
        <f>T33-HLOOKUP(X33,Feuil1!$C$1:$BL$10,4,FALSE)</f>
        <v>-4</v>
      </c>
      <c r="AE33" s="3">
        <f>T33-HLOOKUP(X33,Feuil1!$C$1:$BL$10,5,FALSE)</f>
        <v>-14</v>
      </c>
      <c r="AF33" s="3">
        <f>T33-HLOOKUP(X33,Feuil1!$C$1:$BL$10,6,FALSE)</f>
        <v>-24</v>
      </c>
      <c r="AG33" s="3">
        <f>T33-HLOOKUP(X33,Feuil1!$C$1:$BL$10,7,FALSE)</f>
        <v>-34</v>
      </c>
      <c r="AH33" s="3">
        <f>T33-HLOOKUP(X33,Feuil1!$C$1:$BL$10,8,FALSE)</f>
        <v>-44</v>
      </c>
      <c r="AI33" s="3">
        <f>T33-HLOOKUP(X33,Feuil1!$C$1:$BL$10,9,FALSE)</f>
        <v>-59</v>
      </c>
      <c r="AJ33" s="3">
        <f>T33-HLOOKUP(X33,Feuil1!$C$1:$BL$10,10,FALSE)</f>
        <v>-939</v>
      </c>
      <c r="AQ33" s="5" t="str">
        <f t="shared" si="18"/>
        <v>DEP +</v>
      </c>
      <c r="BC33" s="13"/>
    </row>
    <row r="34" spans="1:55" ht="21" hidden="1" x14ac:dyDescent="0.2">
      <c r="A34" s="12" t="s">
        <v>69</v>
      </c>
      <c r="B34" s="18" t="s">
        <v>298</v>
      </c>
      <c r="C34" s="19" t="s">
        <v>476</v>
      </c>
      <c r="D34" s="61">
        <v>16</v>
      </c>
      <c r="E34" s="35">
        <v>378361</v>
      </c>
      <c r="F34" s="20" t="s">
        <v>490</v>
      </c>
      <c r="G34" s="20" t="s">
        <v>430</v>
      </c>
      <c r="H34" s="51">
        <v>1998</v>
      </c>
      <c r="I34" s="30">
        <v>52.52</v>
      </c>
      <c r="J34" s="19" t="s">
        <v>481</v>
      </c>
      <c r="K34" s="34" t="s">
        <v>69</v>
      </c>
      <c r="L34" s="31">
        <v>22</v>
      </c>
      <c r="M34" s="31">
        <v>25</v>
      </c>
      <c r="N34" s="31">
        <v>-27</v>
      </c>
      <c r="O34" s="36">
        <f t="shared" si="11"/>
        <v>25</v>
      </c>
      <c r="P34" s="31">
        <v>32</v>
      </c>
      <c r="Q34" s="31">
        <v>36</v>
      </c>
      <c r="R34" s="31">
        <v>-40</v>
      </c>
      <c r="S34" s="36">
        <f t="shared" si="12"/>
        <v>36</v>
      </c>
      <c r="T34" s="37">
        <f t="shared" si="13"/>
        <v>61</v>
      </c>
      <c r="U34" s="65">
        <f t="shared" si="14"/>
        <v>-44.040000000000006</v>
      </c>
      <c r="V34" s="41" t="str">
        <f t="shared" si="15"/>
        <v>DEP +</v>
      </c>
      <c r="W34" s="33">
        <f t="shared" si="16"/>
        <v>6</v>
      </c>
      <c r="X34" s="40" t="str">
        <f>IF(I34="","",IF(A34="H",IF(OR(H34="SEN",H34&lt;1995),VLOOKUP(I34,Feuil1!$A$11:$G$29,6),IF(AND(H34&gt;1994,H34&lt;1998),VLOOKUP(I34,Feuil1!$A$11:$G$29,5),IF(AND(H34&gt;1997,H34&lt;2000),VLOOKUP(I34,Feuil1!$A$11:$G$29,4),IF(AND(H34&gt;1999,H34&lt;2002),VLOOKUP(I34,Feuil1!$A$11:$G$29,3),VLOOKUP(I34,Feuil1!$A$11:$G$29,2))))),IF(OR(H34="SEN",H34&lt;1995),VLOOKUP(I34,Feuil1!$G$11:$L$25,6),IF(AND(H34&gt;1994,H34&lt;1998),VLOOKUP(I34,Feuil1!$G$11:$L$25,5),IF(AND(H34&gt;1997,H34&lt;2000),VLOOKUP(I34,Feuil1!$G$11:$L$25,4),IF(AND(H34&gt;1999,H34&lt;2002),VLOOKUP(I34,Feuil1!$G$11:$L$25,3),VLOOKUP(I34,Feuil1!$G$11:$L$25,2)))))))</f>
        <v>FC2 53</v>
      </c>
      <c r="Y34" s="39">
        <f t="shared" si="17"/>
        <v>92.690636434056515</v>
      </c>
      <c r="Z34" s="45"/>
      <c r="AA34" s="45" t="s">
        <v>12</v>
      </c>
      <c r="AB34" s="3">
        <f>T34-HLOOKUP(X34,Feuil1!$C$1:$BL$10,2,FALSE)</f>
        <v>16</v>
      </c>
      <c r="AC34" s="3">
        <f>T34-HLOOKUP(X34,Feuil1!$C$1:$BL$10,3,FALSE)</f>
        <v>6</v>
      </c>
      <c r="AD34" s="3">
        <f>T34-HLOOKUP(X34,Feuil1!$C$1:$BL$10,4,FALSE)</f>
        <v>-4</v>
      </c>
      <c r="AE34" s="3">
        <f>T34-HLOOKUP(X34,Feuil1!$C$1:$BL$10,5,FALSE)</f>
        <v>-14</v>
      </c>
      <c r="AF34" s="3">
        <f>T34-HLOOKUP(X34,Feuil1!$C$1:$BL$10,6,FALSE)</f>
        <v>-24</v>
      </c>
      <c r="AG34" s="3">
        <f>T34-HLOOKUP(X34,Feuil1!$C$1:$BL$10,7,FALSE)</f>
        <v>-34</v>
      </c>
      <c r="AH34" s="3">
        <f>T34-HLOOKUP(X34,Feuil1!$C$1:$BL$10,8,FALSE)</f>
        <v>-44</v>
      </c>
      <c r="AI34" s="3">
        <f>T34-HLOOKUP(X34,Feuil1!$C$1:$BL$10,9,FALSE)</f>
        <v>-59</v>
      </c>
      <c r="AJ34" s="3">
        <f>T34-HLOOKUP(X34,Feuil1!$C$1:$BL$10,10,FALSE)</f>
        <v>-939</v>
      </c>
      <c r="AQ34" s="5" t="str">
        <f t="shared" si="18"/>
        <v>DEP +</v>
      </c>
    </row>
    <row r="35" spans="1:55" ht="21" hidden="1" x14ac:dyDescent="0.2">
      <c r="A35" s="12" t="s">
        <v>69</v>
      </c>
      <c r="B35" s="18" t="s">
        <v>71</v>
      </c>
      <c r="C35" s="19" t="s">
        <v>72</v>
      </c>
      <c r="D35" s="61">
        <v>17</v>
      </c>
      <c r="E35" s="35">
        <v>391553</v>
      </c>
      <c r="F35" s="20" t="s">
        <v>926</v>
      </c>
      <c r="G35" s="20" t="s">
        <v>500</v>
      </c>
      <c r="H35" s="51">
        <v>1998</v>
      </c>
      <c r="I35" s="30">
        <v>52.6</v>
      </c>
      <c r="J35" s="19" t="s">
        <v>927</v>
      </c>
      <c r="K35" s="34" t="s">
        <v>69</v>
      </c>
      <c r="L35" s="31">
        <v>-25</v>
      </c>
      <c r="M35" s="31">
        <v>25</v>
      </c>
      <c r="N35" s="31">
        <v>27</v>
      </c>
      <c r="O35" s="36">
        <f t="shared" si="11"/>
        <v>27</v>
      </c>
      <c r="P35" s="31">
        <v>30</v>
      </c>
      <c r="Q35" s="31">
        <v>34</v>
      </c>
      <c r="R35" s="31">
        <v>-37</v>
      </c>
      <c r="S35" s="36">
        <f t="shared" si="12"/>
        <v>34</v>
      </c>
      <c r="T35" s="37">
        <f t="shared" si="13"/>
        <v>61</v>
      </c>
      <c r="U35" s="65">
        <f t="shared" si="14"/>
        <v>-44.2</v>
      </c>
      <c r="V35" s="41" t="str">
        <f t="shared" si="15"/>
        <v>DEP +</v>
      </c>
      <c r="W35" s="33">
        <f t="shared" si="16"/>
        <v>6</v>
      </c>
      <c r="X35" s="40" t="str">
        <f>IF(I35="","",IF(A35="H",IF(OR(H35="SEN",H35&lt;1995),VLOOKUP(I35,Feuil1!$A$11:$G$29,6),IF(AND(H35&gt;1994,H35&lt;1998),VLOOKUP(I35,Feuil1!$A$11:$G$29,5),IF(AND(H35&gt;1997,H35&lt;2000),VLOOKUP(I35,Feuil1!$A$11:$G$29,4),IF(AND(H35&gt;1999,H35&lt;2002),VLOOKUP(I35,Feuil1!$A$11:$G$29,3),VLOOKUP(I35,Feuil1!$A$11:$G$29,2))))),IF(OR(H35="SEN",H35&lt;1995),VLOOKUP(I35,Feuil1!$G$11:$L$25,6),IF(AND(H35&gt;1994,H35&lt;1998),VLOOKUP(I35,Feuil1!$G$11:$L$25,5),IF(AND(H35&gt;1997,H35&lt;2000),VLOOKUP(I35,Feuil1!$G$11:$L$25,4),IF(AND(H35&gt;1999,H35&lt;2002),VLOOKUP(I35,Feuil1!$G$11:$L$25,3),VLOOKUP(I35,Feuil1!$G$11:$L$25,2)))))))</f>
        <v>FC2 53</v>
      </c>
      <c r="Y35" s="39">
        <f t="shared" si="17"/>
        <v>92.576858300753059</v>
      </c>
      <c r="Z35" s="45"/>
      <c r="AA35" s="45" t="s">
        <v>12</v>
      </c>
      <c r="AB35" s="3">
        <f>T35-HLOOKUP(X35,Feuil1!$C$1:$BL$10,2,FALSE)</f>
        <v>16</v>
      </c>
      <c r="AC35" s="3">
        <f>T35-HLOOKUP(X35,Feuil1!$C$1:$BL$10,3,FALSE)</f>
        <v>6</v>
      </c>
      <c r="AD35" s="3">
        <f>T35-HLOOKUP(X35,Feuil1!$C$1:$BL$10,4,FALSE)</f>
        <v>-4</v>
      </c>
      <c r="AE35" s="3">
        <f>T35-HLOOKUP(X35,Feuil1!$C$1:$BL$10,5,FALSE)</f>
        <v>-14</v>
      </c>
      <c r="AF35" s="3">
        <f>T35-HLOOKUP(X35,Feuil1!$C$1:$BL$10,6,FALSE)</f>
        <v>-24</v>
      </c>
      <c r="AG35" s="3">
        <f>T35-HLOOKUP(X35,Feuil1!$C$1:$BL$10,7,FALSE)</f>
        <v>-34</v>
      </c>
      <c r="AH35" s="3">
        <f>T35-HLOOKUP(X35,Feuil1!$C$1:$BL$10,8,FALSE)</f>
        <v>-44</v>
      </c>
      <c r="AI35" s="3">
        <f>T35-HLOOKUP(X35,Feuil1!$C$1:$BL$10,9,FALSE)</f>
        <v>-59</v>
      </c>
      <c r="AJ35" s="3">
        <f>T35-HLOOKUP(X35,Feuil1!$C$1:$BL$10,10,FALSE)</f>
        <v>-939</v>
      </c>
      <c r="AQ35" s="5" t="str">
        <f t="shared" si="18"/>
        <v>DEP +</v>
      </c>
      <c r="BC35" s="13"/>
    </row>
    <row r="36" spans="1:55" ht="21" hidden="1" x14ac:dyDescent="0.2">
      <c r="A36" s="12" t="s">
        <v>69</v>
      </c>
      <c r="B36" s="18" t="s">
        <v>71</v>
      </c>
      <c r="C36" s="19" t="s">
        <v>72</v>
      </c>
      <c r="D36" s="61">
        <v>18</v>
      </c>
      <c r="E36" s="35">
        <v>364637</v>
      </c>
      <c r="F36" s="20" t="s">
        <v>922</v>
      </c>
      <c r="G36" s="20" t="s">
        <v>867</v>
      </c>
      <c r="H36" s="51">
        <v>1998</v>
      </c>
      <c r="I36" s="30">
        <v>50.8</v>
      </c>
      <c r="J36" s="19" t="s">
        <v>923</v>
      </c>
      <c r="K36" s="34" t="s">
        <v>69</v>
      </c>
      <c r="L36" s="31">
        <v>18</v>
      </c>
      <c r="M36" s="31">
        <v>21</v>
      </c>
      <c r="N36" s="31">
        <v>23</v>
      </c>
      <c r="O36" s="36">
        <f t="shared" si="11"/>
        <v>23</v>
      </c>
      <c r="P36" s="31">
        <v>28</v>
      </c>
      <c r="Q36" s="31">
        <v>31</v>
      </c>
      <c r="R36" s="31">
        <v>34</v>
      </c>
      <c r="S36" s="36">
        <f t="shared" si="12"/>
        <v>34</v>
      </c>
      <c r="T36" s="37">
        <f t="shared" si="13"/>
        <v>57</v>
      </c>
      <c r="U36" s="65">
        <f t="shared" si="14"/>
        <v>-44.599999999999994</v>
      </c>
      <c r="V36" s="41" t="str">
        <f t="shared" si="15"/>
        <v>DEP +</v>
      </c>
      <c r="W36" s="33">
        <f t="shared" si="16"/>
        <v>2</v>
      </c>
      <c r="X36" s="40" t="str">
        <f>IF(I36="","",IF(A36="H",IF(OR(H36="SEN",H36&lt;1995),VLOOKUP(I36,Feuil1!$A$11:$G$29,6),IF(AND(H36&gt;1994,H36&lt;1998),VLOOKUP(I36,Feuil1!$A$11:$G$29,5),IF(AND(H36&gt;1997,H36&lt;2000),VLOOKUP(I36,Feuil1!$A$11:$G$29,4),IF(AND(H36&gt;1999,H36&lt;2002),VLOOKUP(I36,Feuil1!$A$11:$G$29,3),VLOOKUP(I36,Feuil1!$A$11:$G$29,2))))),IF(OR(H36="SEN",H36&lt;1995),VLOOKUP(I36,Feuil1!$G$11:$L$25,6),IF(AND(H36&gt;1994,H36&lt;1998),VLOOKUP(I36,Feuil1!$G$11:$L$25,5),IF(AND(H36&gt;1997,H36&lt;2000),VLOOKUP(I36,Feuil1!$G$11:$L$25,4),IF(AND(H36&gt;1999,H36&lt;2002),VLOOKUP(I36,Feuil1!$G$11:$L$25,3),VLOOKUP(I36,Feuil1!$G$11:$L$25,2)))))))</f>
        <v>FC2 53</v>
      </c>
      <c r="Y36" s="39">
        <f t="shared" si="17"/>
        <v>89.011604235173053</v>
      </c>
      <c r="Z36" s="45"/>
      <c r="AA36" s="45" t="s">
        <v>12</v>
      </c>
      <c r="AB36" s="3">
        <f>T36-HLOOKUP(X36,Feuil1!$C$1:$BL$10,2,FALSE)</f>
        <v>12</v>
      </c>
      <c r="AC36" s="3">
        <f>T36-HLOOKUP(X36,Feuil1!$C$1:$BL$10,3,FALSE)</f>
        <v>2</v>
      </c>
      <c r="AD36" s="3">
        <f>T36-HLOOKUP(X36,Feuil1!$C$1:$BL$10,4,FALSE)</f>
        <v>-8</v>
      </c>
      <c r="AE36" s="3">
        <f>T36-HLOOKUP(X36,Feuil1!$C$1:$BL$10,5,FALSE)</f>
        <v>-18</v>
      </c>
      <c r="AF36" s="3">
        <f>T36-HLOOKUP(X36,Feuil1!$C$1:$BL$10,6,FALSE)</f>
        <v>-28</v>
      </c>
      <c r="AG36" s="3">
        <f>T36-HLOOKUP(X36,Feuil1!$C$1:$BL$10,7,FALSE)</f>
        <v>-38</v>
      </c>
      <c r="AH36" s="3">
        <f>T36-HLOOKUP(X36,Feuil1!$C$1:$BL$10,8,FALSE)</f>
        <v>-48</v>
      </c>
      <c r="AI36" s="3">
        <f>T36-HLOOKUP(X36,Feuil1!$C$1:$BL$10,9,FALSE)</f>
        <v>-63</v>
      </c>
      <c r="AJ36" s="3">
        <f>T36-HLOOKUP(X36,Feuil1!$C$1:$BL$10,10,FALSE)</f>
        <v>-943</v>
      </c>
      <c r="AQ36" s="5" t="str">
        <f t="shared" si="18"/>
        <v>DEP +</v>
      </c>
      <c r="BC36" s="13"/>
    </row>
    <row r="37" spans="1:55" ht="21" hidden="1" x14ac:dyDescent="0.2">
      <c r="A37" s="12" t="s">
        <v>69</v>
      </c>
      <c r="B37" s="18" t="s">
        <v>108</v>
      </c>
      <c r="C37" s="19" t="s">
        <v>119</v>
      </c>
      <c r="D37" s="61">
        <v>19</v>
      </c>
      <c r="E37" s="35">
        <v>381287</v>
      </c>
      <c r="F37" s="20" t="s">
        <v>139</v>
      </c>
      <c r="G37" s="20" t="s">
        <v>176</v>
      </c>
      <c r="H37" s="51">
        <v>1999</v>
      </c>
      <c r="I37" s="30">
        <v>52.2</v>
      </c>
      <c r="J37" s="19" t="s">
        <v>138</v>
      </c>
      <c r="K37" s="34" t="s">
        <v>69</v>
      </c>
      <c r="L37" s="31">
        <v>21</v>
      </c>
      <c r="M37" s="31">
        <v>23</v>
      </c>
      <c r="N37" s="31">
        <v>-25</v>
      </c>
      <c r="O37" s="36">
        <f t="shared" si="11"/>
        <v>23</v>
      </c>
      <c r="P37" s="31">
        <v>27</v>
      </c>
      <c r="Q37" s="31">
        <v>30</v>
      </c>
      <c r="R37" s="31">
        <v>33</v>
      </c>
      <c r="S37" s="36">
        <f t="shared" si="12"/>
        <v>33</v>
      </c>
      <c r="T37" s="37">
        <f t="shared" si="13"/>
        <v>56</v>
      </c>
      <c r="U37" s="65">
        <f t="shared" si="14"/>
        <v>-48.400000000000006</v>
      </c>
      <c r="V37" s="41" t="str">
        <f t="shared" si="15"/>
        <v>DEP +</v>
      </c>
      <c r="W37" s="33">
        <f t="shared" si="16"/>
        <v>1</v>
      </c>
      <c r="X37" s="40" t="str">
        <f>IF(I37="","",IF(A37="H",IF(OR(H37="SEN",H37&lt;1995),VLOOKUP(I37,Feuil1!$A$11:$G$29,6),IF(AND(H37&gt;1994,H37&lt;1998),VLOOKUP(I37,Feuil1!$A$11:$G$29,5),IF(AND(H37&gt;1997,H37&lt;2000),VLOOKUP(I37,Feuil1!$A$11:$G$29,4),IF(AND(H37&gt;1999,H37&lt;2002),VLOOKUP(I37,Feuil1!$A$11:$G$29,3),VLOOKUP(I37,Feuil1!$A$11:$G$29,2))))),IF(OR(H37="SEN",H37&lt;1995),VLOOKUP(I37,Feuil1!$G$11:$L$25,6),IF(AND(H37&gt;1994,H37&lt;1998),VLOOKUP(I37,Feuil1!$G$11:$L$25,5),IF(AND(H37&gt;1997,H37&lt;2000),VLOOKUP(I37,Feuil1!$G$11:$L$25,4),IF(AND(H37&gt;1999,H37&lt;2002),VLOOKUP(I37,Feuil1!$G$11:$L$25,3),VLOOKUP(I37,Feuil1!$G$11:$L$25,2)))))))</f>
        <v>FC2 53</v>
      </c>
      <c r="Y37" s="39">
        <f t="shared" si="17"/>
        <v>85.515297440194971</v>
      </c>
      <c r="Z37" s="45"/>
      <c r="AA37" s="45" t="s">
        <v>12</v>
      </c>
      <c r="AB37" s="3">
        <f>T37-HLOOKUP(X37,Feuil1!$C$1:$BL$10,2,FALSE)</f>
        <v>11</v>
      </c>
      <c r="AC37" s="3">
        <f>T37-HLOOKUP(X37,Feuil1!$C$1:$BL$10,3,FALSE)</f>
        <v>1</v>
      </c>
      <c r="AD37" s="3">
        <f>T37-HLOOKUP(X37,Feuil1!$C$1:$BL$10,4,FALSE)</f>
        <v>-9</v>
      </c>
      <c r="AE37" s="3">
        <f>T37-HLOOKUP(X37,Feuil1!$C$1:$BL$10,5,FALSE)</f>
        <v>-19</v>
      </c>
      <c r="AF37" s="3">
        <f>T37-HLOOKUP(X37,Feuil1!$C$1:$BL$10,6,FALSE)</f>
        <v>-29</v>
      </c>
      <c r="AG37" s="3">
        <f>T37-HLOOKUP(X37,Feuil1!$C$1:$BL$10,7,FALSE)</f>
        <v>-39</v>
      </c>
      <c r="AH37" s="3">
        <f>T37-HLOOKUP(X37,Feuil1!$C$1:$BL$10,8,FALSE)</f>
        <v>-49</v>
      </c>
      <c r="AI37" s="3">
        <f>T37-HLOOKUP(X37,Feuil1!$C$1:$BL$10,9,FALSE)</f>
        <v>-64</v>
      </c>
      <c r="AJ37" s="3">
        <f>T37-HLOOKUP(X37,Feuil1!$C$1:$BL$10,10,FALSE)</f>
        <v>-944</v>
      </c>
      <c r="AQ37" s="5" t="str">
        <f t="shared" si="18"/>
        <v>DEP +</v>
      </c>
    </row>
    <row r="38" spans="1:55" ht="21" hidden="1" x14ac:dyDescent="0.2">
      <c r="A38" s="12" t="s">
        <v>69</v>
      </c>
      <c r="B38" s="18" t="s">
        <v>108</v>
      </c>
      <c r="C38" s="19" t="s">
        <v>119</v>
      </c>
      <c r="D38" s="61">
        <v>20</v>
      </c>
      <c r="E38" s="35">
        <v>381286</v>
      </c>
      <c r="F38" s="20" t="s">
        <v>140</v>
      </c>
      <c r="G38" s="20" t="s">
        <v>176</v>
      </c>
      <c r="H38" s="51">
        <v>1998</v>
      </c>
      <c r="I38" s="30">
        <v>50.2</v>
      </c>
      <c r="J38" s="19" t="s">
        <v>138</v>
      </c>
      <c r="K38" s="34" t="s">
        <v>69</v>
      </c>
      <c r="L38" s="31">
        <v>20</v>
      </c>
      <c r="M38" s="31">
        <v>-22</v>
      </c>
      <c r="N38" s="31">
        <v>-22</v>
      </c>
      <c r="O38" s="36">
        <f t="shared" si="11"/>
        <v>20</v>
      </c>
      <c r="P38" s="31">
        <v>-25</v>
      </c>
      <c r="Q38" s="31">
        <v>25</v>
      </c>
      <c r="R38" s="31">
        <v>28</v>
      </c>
      <c r="S38" s="36">
        <f t="shared" si="12"/>
        <v>28</v>
      </c>
      <c r="T38" s="37">
        <f t="shared" si="13"/>
        <v>48</v>
      </c>
      <c r="U38" s="65">
        <f t="shared" si="14"/>
        <v>-52.400000000000006</v>
      </c>
      <c r="V38" s="41" t="str">
        <f t="shared" si="15"/>
        <v xml:space="preserve">DEB </v>
      </c>
      <c r="W38" s="33">
        <f t="shared" si="16"/>
        <v>3</v>
      </c>
      <c r="X38" s="40" t="str">
        <f>IF(I38="","",IF(A38="H",IF(OR(H38="SEN",H38&lt;1995),VLOOKUP(I38,Feuil1!$A$11:$G$29,6),IF(AND(H38&gt;1994,H38&lt;1998),VLOOKUP(I38,Feuil1!$A$11:$G$29,5),IF(AND(H38&gt;1997,H38&lt;2000),VLOOKUP(I38,Feuil1!$A$11:$G$29,4),IF(AND(H38&gt;1999,H38&lt;2002),VLOOKUP(I38,Feuil1!$A$11:$G$29,3),VLOOKUP(I38,Feuil1!$A$11:$G$29,2))))),IF(OR(H38="SEN",H38&lt;1995),VLOOKUP(I38,Feuil1!$G$11:$L$25,6),IF(AND(H38&gt;1994,H38&lt;1998),VLOOKUP(I38,Feuil1!$G$11:$L$25,5),IF(AND(H38&gt;1997,H38&lt;2000),VLOOKUP(I38,Feuil1!$G$11:$L$25,4),IF(AND(H38&gt;1999,H38&lt;2002),VLOOKUP(I38,Feuil1!$G$11:$L$25,3),VLOOKUP(I38,Feuil1!$G$11:$L$25,2)))))))</f>
        <v>FC2 53</v>
      </c>
      <c r="Y38" s="39">
        <f t="shared" si="17"/>
        <v>75.707307844271526</v>
      </c>
      <c r="Z38" s="45"/>
      <c r="AA38" s="45" t="s">
        <v>12</v>
      </c>
      <c r="AB38" s="3">
        <f>T38-HLOOKUP(X38,Feuil1!$C$1:$BL$10,2,FALSE)</f>
        <v>3</v>
      </c>
      <c r="AC38" s="3">
        <f>T38-HLOOKUP(X38,Feuil1!$C$1:$BL$10,3,FALSE)</f>
        <v>-7</v>
      </c>
      <c r="AD38" s="3">
        <f>T38-HLOOKUP(X38,Feuil1!$C$1:$BL$10,4,FALSE)</f>
        <v>-17</v>
      </c>
      <c r="AE38" s="3">
        <f>T38-HLOOKUP(X38,Feuil1!$C$1:$BL$10,5,FALSE)</f>
        <v>-27</v>
      </c>
      <c r="AF38" s="3">
        <f>T38-HLOOKUP(X38,Feuil1!$C$1:$BL$10,6,FALSE)</f>
        <v>-37</v>
      </c>
      <c r="AG38" s="3">
        <f>T38-HLOOKUP(X38,Feuil1!$C$1:$BL$10,7,FALSE)</f>
        <v>-47</v>
      </c>
      <c r="AH38" s="3">
        <f>T38-HLOOKUP(X38,Feuil1!$C$1:$BL$10,8,FALSE)</f>
        <v>-57</v>
      </c>
      <c r="AI38" s="3">
        <f>T38-HLOOKUP(X38,Feuil1!$C$1:$BL$10,9,FALSE)</f>
        <v>-72</v>
      </c>
      <c r="AJ38" s="3">
        <f>T38-HLOOKUP(X38,Feuil1!$C$1:$BL$10,10,FALSE)</f>
        <v>-952</v>
      </c>
      <c r="AQ38" s="5" t="str">
        <f t="shared" si="18"/>
        <v xml:space="preserve">DEB </v>
      </c>
    </row>
    <row r="39" spans="1:55" s="13" customFormat="1" ht="15" hidden="1" customHeight="1" thickBot="1" x14ac:dyDescent="0.25">
      <c r="A39" s="89"/>
      <c r="B39" s="90"/>
      <c r="C39" s="91"/>
      <c r="D39" s="92"/>
      <c r="E39" s="93"/>
      <c r="F39" s="94"/>
      <c r="G39" s="94"/>
      <c r="H39" s="95"/>
      <c r="I39" s="96"/>
      <c r="J39" s="91"/>
      <c r="K39" s="97"/>
      <c r="L39" s="98"/>
      <c r="M39" s="98"/>
      <c r="N39" s="98"/>
      <c r="O39" s="99"/>
      <c r="P39" s="98"/>
      <c r="Q39" s="98"/>
      <c r="R39" s="98"/>
      <c r="S39" s="99"/>
      <c r="T39" s="100"/>
      <c r="U39" s="101"/>
      <c r="V39" s="102"/>
      <c r="W39" s="103"/>
      <c r="X39" s="104"/>
      <c r="Y39" s="105"/>
      <c r="Z39" s="45"/>
      <c r="AA39" s="45" t="s">
        <v>12</v>
      </c>
      <c r="AB39" s="3" t="e">
        <f>T39-HLOOKUP(X39,Feuil1!$C$1:$BL$10,2,FALSE)</f>
        <v>#N/A</v>
      </c>
      <c r="AC39" s="3" t="e">
        <f>T39-HLOOKUP(X39,Feuil1!$C$1:$BL$10,3,FALSE)</f>
        <v>#N/A</v>
      </c>
      <c r="AD39" s="3" t="e">
        <f>T39-HLOOKUP(X39,Feuil1!$C$1:$BL$10,4,FALSE)</f>
        <v>#N/A</v>
      </c>
      <c r="AE39" s="3" t="e">
        <f>T39-HLOOKUP(X39,Feuil1!$C$1:$BL$10,5,FALSE)</f>
        <v>#N/A</v>
      </c>
      <c r="AF39" s="3" t="e">
        <f>T39-HLOOKUP(X39,Feuil1!$C$1:$BL$10,6,FALSE)</f>
        <v>#N/A</v>
      </c>
      <c r="AG39" s="3" t="e">
        <f>T39-HLOOKUP(X39,Feuil1!$C$1:$BL$10,7,FALSE)</f>
        <v>#N/A</v>
      </c>
      <c r="AH39" s="3" t="e">
        <f>T39-HLOOKUP(X39,Feuil1!$C$1:$BL$10,8,FALSE)</f>
        <v>#N/A</v>
      </c>
      <c r="AI39" s="3" t="e">
        <f>T39-HLOOKUP(X39,Feuil1!$C$1:$BL$10,9,FALSE)</f>
        <v>#N/A</v>
      </c>
      <c r="AJ39" s="3" t="e">
        <f>T39-HLOOKUP(X39,Feuil1!$C$1:$BL$10,10,FALSE)</f>
        <v>#N/A</v>
      </c>
      <c r="AK39" s="5"/>
      <c r="AL39" s="5"/>
      <c r="AM39" s="5"/>
      <c r="AN39" s="5"/>
      <c r="AO39" s="5"/>
      <c r="AP39" s="5"/>
      <c r="AQ39" s="5" t="e">
        <f t="shared" ref="AQ39" si="19">IF(AJ39&gt;=0,$AJ$1,IF(AI39&gt;=0,$AI$1,IF(AH39&gt;=0,$AH$1,IF(AG39&gt;=0,$AG$1,IF(AF39&gt;=0,$AF$1,IF(AE39&gt;=0,$AE$1,IF(AD39&gt;=0,$AD$1,IF(AC39&gt;=0,$AC$1,$AB$1))))))))</f>
        <v>#N/A</v>
      </c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</row>
    <row r="40" spans="1:55" ht="21" x14ac:dyDescent="0.2">
      <c r="A40" s="12" t="s">
        <v>69</v>
      </c>
      <c r="B40" s="18" t="s">
        <v>298</v>
      </c>
      <c r="C40" s="19" t="s">
        <v>476</v>
      </c>
      <c r="D40" s="61">
        <v>1</v>
      </c>
      <c r="E40" s="35">
        <v>260923</v>
      </c>
      <c r="F40" s="20" t="s">
        <v>399</v>
      </c>
      <c r="G40" s="20" t="s">
        <v>488</v>
      </c>
      <c r="H40" s="51">
        <v>1998</v>
      </c>
      <c r="I40" s="30">
        <v>57.9</v>
      </c>
      <c r="J40" s="19" t="s">
        <v>481</v>
      </c>
      <c r="K40" s="34" t="s">
        <v>69</v>
      </c>
      <c r="L40" s="31">
        <v>54</v>
      </c>
      <c r="M40" s="31">
        <v>57</v>
      </c>
      <c r="N40" s="31">
        <v>59</v>
      </c>
      <c r="O40" s="36">
        <f t="shared" ref="O40:O57" si="20">IF(H40="","",IF(MAXA(L40:N40)&lt;=0,0,MAXA(L40:N40)))</f>
        <v>59</v>
      </c>
      <c r="P40" s="31">
        <v>70</v>
      </c>
      <c r="Q40" s="31">
        <v>73</v>
      </c>
      <c r="R40" s="31">
        <v>75</v>
      </c>
      <c r="S40" s="36">
        <f t="shared" ref="S40:S57" si="21">IF(H40="","",IF(MAXA(P40:R40)&lt;=0,0,MAXA(P40:R40)))</f>
        <v>75</v>
      </c>
      <c r="T40" s="37">
        <f t="shared" ref="T40:T57" si="22">IF(H40="","",IF(OR(O40=0,S40=0),0,O40+S40))</f>
        <v>134</v>
      </c>
      <c r="U40" s="65">
        <f t="shared" ref="U40:U57" si="23">T40-I40*2</f>
        <v>18.200000000000003</v>
      </c>
      <c r="V40" s="41" t="str">
        <f t="shared" ref="V40:V57" si="24">IF(H40="","",AQ40)</f>
        <v>INTA +</v>
      </c>
      <c r="W40" s="33">
        <f t="shared" ref="W40:W57" si="25">IF(AJ40&gt;=0,AJ40,IF(AI40&gt;=0,AI40,IF(AH40&gt;=0,AH40,IF(AG40&gt;=0,AG40,IF(AF40&gt;=0,AF40,IF(AE40&gt;=0,AE40,IF(AD40&gt;=0,AD40,IF(AC40&gt;=0,AC40,AB40))))))))</f>
        <v>4</v>
      </c>
      <c r="X40" s="40" t="str">
        <f>IF(I40="","",IF(A40="H",IF(OR(H40="SEN",H40&lt;1995),VLOOKUP(I40,Feuil1!$A$11:$G$29,6),IF(AND(H40&gt;1994,H40&lt;1998),VLOOKUP(I40,Feuil1!$A$11:$G$29,5),IF(AND(H40&gt;1997,H40&lt;2000),VLOOKUP(I40,Feuil1!$A$11:$G$29,4),IF(AND(H40&gt;1999,H40&lt;2002),VLOOKUP(I40,Feuil1!$A$11:$G$29,3),VLOOKUP(I40,Feuil1!$A$11:$G$29,2))))),IF(OR(H40="SEN",H40&lt;1995),VLOOKUP(I40,Feuil1!$G$11:$L$25,6),IF(AND(H40&gt;1994,H40&lt;1998),VLOOKUP(I40,Feuil1!$G$11:$L$25,5),IF(AND(H40&gt;1997,H40&lt;2000),VLOOKUP(I40,Feuil1!$G$11:$L$25,4),IF(AND(H40&gt;1999,H40&lt;2002),VLOOKUP(I40,Feuil1!$G$11:$L$25,3),VLOOKUP(I40,Feuil1!$G$11:$L$25,2)))))))</f>
        <v>FC2 58</v>
      </c>
      <c r="Y40" s="39">
        <f t="shared" ref="Y40:Y57" si="26">IF(I40="","",IF(A40="H",10^(0.794358141*LOG(I40/174.393)^2)*T40,IF(A40="F",10^(0.89726074*LOG(I40/148.026)^2)*T40,"")))</f>
        <v>188.89356718821011</v>
      </c>
      <c r="Z40" s="45"/>
      <c r="AA40" s="45" t="s">
        <v>12</v>
      </c>
      <c r="AB40" s="3">
        <f>T40-HLOOKUP(X40,Feuil1!$C$1:$BL$10,2,FALSE)</f>
        <v>84</v>
      </c>
      <c r="AC40" s="3">
        <f>T40-HLOOKUP(X40,Feuil1!$C$1:$BL$10,3,FALSE)</f>
        <v>74</v>
      </c>
      <c r="AD40" s="3">
        <f>T40-HLOOKUP(X40,Feuil1!$C$1:$BL$10,4,FALSE)</f>
        <v>64</v>
      </c>
      <c r="AE40" s="3">
        <f>T40-HLOOKUP(X40,Feuil1!$C$1:$BL$10,5,FALSE)</f>
        <v>54</v>
      </c>
      <c r="AF40" s="3">
        <f>T40-HLOOKUP(X40,Feuil1!$C$1:$BL$10,6,FALSE)</f>
        <v>44</v>
      </c>
      <c r="AG40" s="3">
        <f>T40-HLOOKUP(X40,Feuil1!$C$1:$BL$10,7,FALSE)</f>
        <v>34</v>
      </c>
      <c r="AH40" s="3">
        <f>T40-HLOOKUP(X40,Feuil1!$C$1:$BL$10,8,FALSE)</f>
        <v>19</v>
      </c>
      <c r="AI40" s="3">
        <f>T40-HLOOKUP(X40,Feuil1!$C$1:$BL$10,9,FALSE)</f>
        <v>4</v>
      </c>
      <c r="AJ40" s="3">
        <f>T40-HLOOKUP(X40,Feuil1!$C$1:$BL$10,10,FALSE)</f>
        <v>-866</v>
      </c>
      <c r="AQ40" s="5" t="str">
        <f t="shared" ref="AQ40:AQ57" si="27">IF(AJ40&gt;=0,$AJ$1,IF(AI40&gt;=0,$AI$1,IF(AH40&gt;=0,$AH$1,IF(AG40&gt;=0,$AG$1,IF(AF40&gt;=0,$AF$1,IF(AE40&gt;=0,$AE$1,IF(AD40&gt;=0,$AD$1,IF(AC40&gt;=0,$AC$1,$AB$1))))))))</f>
        <v>INTA +</v>
      </c>
    </row>
    <row r="41" spans="1:55" ht="21" hidden="1" x14ac:dyDescent="0.2">
      <c r="A41" s="12" t="s">
        <v>69</v>
      </c>
      <c r="B41" s="18" t="s">
        <v>649</v>
      </c>
      <c r="C41" s="19" t="s">
        <v>665</v>
      </c>
      <c r="D41" s="61">
        <v>2</v>
      </c>
      <c r="E41" s="35">
        <v>286912</v>
      </c>
      <c r="F41" s="20" t="s">
        <v>673</v>
      </c>
      <c r="G41" s="20" t="s">
        <v>574</v>
      </c>
      <c r="H41" s="51">
        <v>1999</v>
      </c>
      <c r="I41" s="30">
        <v>57.5</v>
      </c>
      <c r="J41" s="19" t="s">
        <v>668</v>
      </c>
      <c r="K41" s="34" t="s">
        <v>69</v>
      </c>
      <c r="L41" s="31">
        <v>40</v>
      </c>
      <c r="M41" s="31">
        <v>45</v>
      </c>
      <c r="N41" s="31">
        <v>-48</v>
      </c>
      <c r="O41" s="36">
        <f t="shared" si="20"/>
        <v>45</v>
      </c>
      <c r="P41" s="31">
        <v>55</v>
      </c>
      <c r="Q41" s="31">
        <v>60</v>
      </c>
      <c r="R41" s="31">
        <v>-65</v>
      </c>
      <c r="S41" s="36">
        <f t="shared" si="21"/>
        <v>60</v>
      </c>
      <c r="T41" s="37">
        <f t="shared" si="22"/>
        <v>105</v>
      </c>
      <c r="U41" s="65">
        <f t="shared" si="23"/>
        <v>-10</v>
      </c>
      <c r="V41" s="41" t="str">
        <f t="shared" si="24"/>
        <v>NAT +</v>
      </c>
      <c r="W41" s="33">
        <f t="shared" si="25"/>
        <v>5</v>
      </c>
      <c r="X41" s="40" t="str">
        <f>IF(I41="","",IF(A41="H",IF(OR(H41="SEN",H41&lt;1995),VLOOKUP(I41,Feuil1!$A$11:$G$29,6),IF(AND(H41&gt;1994,H41&lt;1998),VLOOKUP(I41,Feuil1!$A$11:$G$29,5),IF(AND(H41&gt;1997,H41&lt;2000),VLOOKUP(I41,Feuil1!$A$11:$G$29,4),IF(AND(H41&gt;1999,H41&lt;2002),VLOOKUP(I41,Feuil1!$A$11:$G$29,3),VLOOKUP(I41,Feuil1!$A$11:$G$29,2))))),IF(OR(H41="SEN",H41&lt;1995),VLOOKUP(I41,Feuil1!$G$11:$L$25,6),IF(AND(H41&gt;1994,H41&lt;1998),VLOOKUP(I41,Feuil1!$G$11:$L$25,5),IF(AND(H41&gt;1997,H41&lt;2000),VLOOKUP(I41,Feuil1!$G$11:$L$25,4),IF(AND(H41&gt;1999,H41&lt;2002),VLOOKUP(I41,Feuil1!$G$11:$L$25,3),VLOOKUP(I41,Feuil1!$G$11:$L$25,2)))))))</f>
        <v>FC2 58</v>
      </c>
      <c r="Y41" s="39">
        <f t="shared" si="26"/>
        <v>148.76895227899516</v>
      </c>
      <c r="Z41" s="45"/>
      <c r="AA41" s="45" t="s">
        <v>12</v>
      </c>
      <c r="AB41" s="3">
        <f>T41-HLOOKUP(X41,Feuil1!$C$1:$BL$10,2,FALSE)</f>
        <v>55</v>
      </c>
      <c r="AC41" s="3">
        <f>T41-HLOOKUP(X41,Feuil1!$C$1:$BL$10,3,FALSE)</f>
        <v>45</v>
      </c>
      <c r="AD41" s="3">
        <f>T41-HLOOKUP(X41,Feuil1!$C$1:$BL$10,4,FALSE)</f>
        <v>35</v>
      </c>
      <c r="AE41" s="3">
        <f>T41-HLOOKUP(X41,Feuil1!$C$1:$BL$10,5,FALSE)</f>
        <v>25</v>
      </c>
      <c r="AF41" s="3">
        <f>T41-HLOOKUP(X41,Feuil1!$C$1:$BL$10,6,FALSE)</f>
        <v>15</v>
      </c>
      <c r="AG41" s="3">
        <f>T41-HLOOKUP(X41,Feuil1!$C$1:$BL$10,7,FALSE)</f>
        <v>5</v>
      </c>
      <c r="AH41" s="3">
        <f>T41-HLOOKUP(X41,Feuil1!$C$1:$BL$10,8,FALSE)</f>
        <v>-10</v>
      </c>
      <c r="AI41" s="3">
        <f>T41-HLOOKUP(X41,Feuil1!$C$1:$BL$10,9,FALSE)</f>
        <v>-25</v>
      </c>
      <c r="AJ41" s="3">
        <f>T41-HLOOKUP(X41,Feuil1!$C$1:$BL$10,10,FALSE)</f>
        <v>-895</v>
      </c>
      <c r="AQ41" s="5" t="str">
        <f t="shared" si="27"/>
        <v>NAT +</v>
      </c>
    </row>
    <row r="42" spans="1:55" ht="21" hidden="1" x14ac:dyDescent="0.2">
      <c r="A42" s="12" t="s">
        <v>69</v>
      </c>
      <c r="B42" s="18" t="s">
        <v>298</v>
      </c>
      <c r="C42" s="19" t="s">
        <v>404</v>
      </c>
      <c r="D42" s="61">
        <v>3</v>
      </c>
      <c r="E42" s="35">
        <v>208590</v>
      </c>
      <c r="F42" s="20" t="s">
        <v>418</v>
      </c>
      <c r="G42" s="20" t="s">
        <v>419</v>
      </c>
      <c r="H42" s="51">
        <v>1998</v>
      </c>
      <c r="I42" s="30">
        <v>57.99</v>
      </c>
      <c r="J42" s="19" t="s">
        <v>412</v>
      </c>
      <c r="K42" s="34" t="s">
        <v>69</v>
      </c>
      <c r="L42" s="31">
        <v>43</v>
      </c>
      <c r="M42" s="31">
        <v>45</v>
      </c>
      <c r="N42" s="31">
        <v>47</v>
      </c>
      <c r="O42" s="36">
        <f t="shared" si="20"/>
        <v>47</v>
      </c>
      <c r="P42" s="31">
        <v>53</v>
      </c>
      <c r="Q42" s="31">
        <v>56</v>
      </c>
      <c r="R42" s="31">
        <v>-60</v>
      </c>
      <c r="S42" s="36">
        <f t="shared" si="21"/>
        <v>56</v>
      </c>
      <c r="T42" s="37">
        <f t="shared" si="22"/>
        <v>103</v>
      </c>
      <c r="U42" s="65">
        <f t="shared" si="23"/>
        <v>-12.980000000000004</v>
      </c>
      <c r="V42" s="41" t="str">
        <f t="shared" si="24"/>
        <v>NAT +</v>
      </c>
      <c r="W42" s="33">
        <f t="shared" si="25"/>
        <v>3</v>
      </c>
      <c r="X42" s="40" t="str">
        <f>IF(I42="","",IF(A42="H",IF(OR(H42="SEN",H42&lt;1995),VLOOKUP(I42,Feuil1!$A$11:$G$29,6),IF(AND(H42&gt;1994,H42&lt;1998),VLOOKUP(I42,Feuil1!$A$11:$G$29,5),IF(AND(H42&gt;1997,H42&lt;2000),VLOOKUP(I42,Feuil1!$A$11:$G$29,4),IF(AND(H42&gt;1999,H42&lt;2002),VLOOKUP(I42,Feuil1!$A$11:$G$29,3),VLOOKUP(I42,Feuil1!$A$11:$G$29,2))))),IF(OR(H42="SEN",H42&lt;1995),VLOOKUP(I42,Feuil1!$G$11:$L$25,6),IF(AND(H42&gt;1994,H42&lt;1998),VLOOKUP(I42,Feuil1!$G$11:$L$25,5),IF(AND(H42&gt;1997,H42&lt;2000),VLOOKUP(I42,Feuil1!$G$11:$L$25,4),IF(AND(H42&gt;1999,H42&lt;2002),VLOOKUP(I42,Feuil1!$G$11:$L$25,3),VLOOKUP(I42,Feuil1!$G$11:$L$25,2)))))))</f>
        <v>FC2 58</v>
      </c>
      <c r="Y42" s="39">
        <f t="shared" si="26"/>
        <v>145.02956252053252</v>
      </c>
      <c r="Z42" s="45"/>
      <c r="AA42" s="45" t="s">
        <v>12</v>
      </c>
      <c r="AB42" s="3">
        <f>T42-HLOOKUP(X42,Feuil1!$C$1:$BL$10,2,FALSE)</f>
        <v>53</v>
      </c>
      <c r="AC42" s="3">
        <f>T42-HLOOKUP(X42,Feuil1!$C$1:$BL$10,3,FALSE)</f>
        <v>43</v>
      </c>
      <c r="AD42" s="3">
        <f>T42-HLOOKUP(X42,Feuil1!$C$1:$BL$10,4,FALSE)</f>
        <v>33</v>
      </c>
      <c r="AE42" s="3">
        <f>T42-HLOOKUP(X42,Feuil1!$C$1:$BL$10,5,FALSE)</f>
        <v>23</v>
      </c>
      <c r="AF42" s="3">
        <f>T42-HLOOKUP(X42,Feuil1!$C$1:$BL$10,6,FALSE)</f>
        <v>13</v>
      </c>
      <c r="AG42" s="3">
        <f>T42-HLOOKUP(X42,Feuil1!$C$1:$BL$10,7,FALSE)</f>
        <v>3</v>
      </c>
      <c r="AH42" s="3">
        <f>T42-HLOOKUP(X42,Feuil1!$C$1:$BL$10,8,FALSE)</f>
        <v>-12</v>
      </c>
      <c r="AI42" s="3">
        <f>T42-HLOOKUP(X42,Feuil1!$C$1:$BL$10,9,FALSE)</f>
        <v>-27</v>
      </c>
      <c r="AJ42" s="3">
        <f>T42-HLOOKUP(X42,Feuil1!$C$1:$BL$10,10,FALSE)</f>
        <v>-897</v>
      </c>
      <c r="AQ42" s="5" t="str">
        <f t="shared" si="27"/>
        <v>NAT +</v>
      </c>
    </row>
    <row r="43" spans="1:55" ht="21" hidden="1" x14ac:dyDescent="0.2">
      <c r="A43" s="12" t="s">
        <v>69</v>
      </c>
      <c r="B43" s="18" t="s">
        <v>298</v>
      </c>
      <c r="C43" s="19" t="s">
        <v>404</v>
      </c>
      <c r="D43" s="61">
        <v>4</v>
      </c>
      <c r="E43" s="35">
        <v>280129</v>
      </c>
      <c r="F43" s="21" t="s">
        <v>422</v>
      </c>
      <c r="G43" s="20" t="s">
        <v>423</v>
      </c>
      <c r="H43" s="51">
        <v>1999</v>
      </c>
      <c r="I43" s="30">
        <v>56.6</v>
      </c>
      <c r="J43" s="19" t="s">
        <v>424</v>
      </c>
      <c r="K43" s="34" t="s">
        <v>69</v>
      </c>
      <c r="L43" s="31">
        <v>40</v>
      </c>
      <c r="M43" s="31">
        <v>43</v>
      </c>
      <c r="N43" s="31">
        <v>-45</v>
      </c>
      <c r="O43" s="36">
        <f t="shared" si="20"/>
        <v>43</v>
      </c>
      <c r="P43" s="31">
        <v>50</v>
      </c>
      <c r="Q43" s="31">
        <v>55</v>
      </c>
      <c r="R43" s="31">
        <v>57</v>
      </c>
      <c r="S43" s="36">
        <f t="shared" si="21"/>
        <v>57</v>
      </c>
      <c r="T43" s="37">
        <f t="shared" si="22"/>
        <v>100</v>
      </c>
      <c r="U43" s="65">
        <f t="shared" si="23"/>
        <v>-13.200000000000003</v>
      </c>
      <c r="V43" s="41" t="str">
        <f t="shared" si="24"/>
        <v>NAT +</v>
      </c>
      <c r="W43" s="33">
        <f t="shared" si="25"/>
        <v>0</v>
      </c>
      <c r="X43" s="40" t="str">
        <f>IF(I43="","",IF(A43="H",IF(OR(H43="SEN",H43&lt;1995),VLOOKUP(I43,Feuil1!$A$11:$G$29,6),IF(AND(H43&gt;1994,H43&lt;1998),VLOOKUP(I43,Feuil1!$A$11:$G$29,5),IF(AND(H43&gt;1997,H43&lt;2000),VLOOKUP(I43,Feuil1!$A$11:$G$29,4),IF(AND(H43&gt;1999,H43&lt;2002),VLOOKUP(I43,Feuil1!$A$11:$G$29,3),VLOOKUP(I43,Feuil1!$A$11:$G$29,2))))),IF(OR(H43="SEN",H43&lt;1995),VLOOKUP(I43,Feuil1!$G$11:$L$25,6),IF(AND(H43&gt;1994,H43&lt;1998),VLOOKUP(I43,Feuil1!$G$11:$L$25,5),IF(AND(H43&gt;1997,H43&lt;2000),VLOOKUP(I43,Feuil1!$G$11:$L$25,4),IF(AND(H43&gt;1999,H43&lt;2002),VLOOKUP(I43,Feuil1!$G$11:$L$25,3),VLOOKUP(I43,Feuil1!$G$11:$L$25,2)))))))</f>
        <v>FC2 58</v>
      </c>
      <c r="Y43" s="39">
        <f t="shared" si="26"/>
        <v>143.35548608473812</v>
      </c>
      <c r="Z43" s="45"/>
      <c r="AA43" s="45" t="s">
        <v>12</v>
      </c>
      <c r="AB43" s="3">
        <f>T43-HLOOKUP(X43,Feuil1!$C$1:$BL$10,2,FALSE)</f>
        <v>50</v>
      </c>
      <c r="AC43" s="3">
        <f>T43-HLOOKUP(X43,Feuil1!$C$1:$BL$10,3,FALSE)</f>
        <v>40</v>
      </c>
      <c r="AD43" s="3">
        <f>T43-HLOOKUP(X43,Feuil1!$C$1:$BL$10,4,FALSE)</f>
        <v>30</v>
      </c>
      <c r="AE43" s="3">
        <f>T43-HLOOKUP(X43,Feuil1!$C$1:$BL$10,5,FALSE)</f>
        <v>20</v>
      </c>
      <c r="AF43" s="3">
        <f>T43-HLOOKUP(X43,Feuil1!$C$1:$BL$10,6,FALSE)</f>
        <v>10</v>
      </c>
      <c r="AG43" s="3">
        <f>T43-HLOOKUP(X43,Feuil1!$C$1:$BL$10,7,FALSE)</f>
        <v>0</v>
      </c>
      <c r="AH43" s="3">
        <f>T43-HLOOKUP(X43,Feuil1!$C$1:$BL$10,8,FALSE)</f>
        <v>-15</v>
      </c>
      <c r="AI43" s="3">
        <f>T43-HLOOKUP(X43,Feuil1!$C$1:$BL$10,9,FALSE)</f>
        <v>-30</v>
      </c>
      <c r="AJ43" s="3">
        <f>T43-HLOOKUP(X43,Feuil1!$C$1:$BL$10,10,FALSE)</f>
        <v>-900</v>
      </c>
      <c r="AQ43" s="5" t="str">
        <f t="shared" si="27"/>
        <v>NAT +</v>
      </c>
    </row>
    <row r="44" spans="1:55" ht="21" hidden="1" x14ac:dyDescent="0.2">
      <c r="A44" s="12" t="s">
        <v>69</v>
      </c>
      <c r="B44" s="18" t="s">
        <v>71</v>
      </c>
      <c r="C44" s="19" t="s">
        <v>801</v>
      </c>
      <c r="D44" s="61">
        <v>5</v>
      </c>
      <c r="E44" s="35">
        <v>339283</v>
      </c>
      <c r="F44" s="20" t="s">
        <v>811</v>
      </c>
      <c r="G44" s="20" t="s">
        <v>812</v>
      </c>
      <c r="H44" s="51">
        <v>1999</v>
      </c>
      <c r="I44" s="30">
        <v>57.15</v>
      </c>
      <c r="J44" s="19" t="s">
        <v>813</v>
      </c>
      <c r="K44" s="34" t="s">
        <v>69</v>
      </c>
      <c r="L44" s="31">
        <v>45</v>
      </c>
      <c r="M44" s="31">
        <v>-48</v>
      </c>
      <c r="N44" s="31">
        <v>-48</v>
      </c>
      <c r="O44" s="36">
        <f t="shared" si="20"/>
        <v>45</v>
      </c>
      <c r="P44" s="31">
        <v>55</v>
      </c>
      <c r="Q44" s="31">
        <v>-58</v>
      </c>
      <c r="R44" s="31">
        <v>-58</v>
      </c>
      <c r="S44" s="36">
        <f t="shared" si="21"/>
        <v>55</v>
      </c>
      <c r="T44" s="37">
        <f t="shared" si="22"/>
        <v>100</v>
      </c>
      <c r="U44" s="65">
        <f t="shared" si="23"/>
        <v>-14.299999999999997</v>
      </c>
      <c r="V44" s="41" t="str">
        <f t="shared" si="24"/>
        <v>NAT +</v>
      </c>
      <c r="W44" s="33">
        <f t="shared" si="25"/>
        <v>0</v>
      </c>
      <c r="X44" s="40" t="str">
        <f>IF(I44="","",IF(A44="H",IF(OR(H44="SEN",H44&lt;1995),VLOOKUP(I44,Feuil1!$A$11:$G$29,6),IF(AND(H44&gt;1994,H44&lt;1998),VLOOKUP(I44,Feuil1!$A$11:$G$29,5),IF(AND(H44&gt;1997,H44&lt;2000),VLOOKUP(I44,Feuil1!$A$11:$G$29,4),IF(AND(H44&gt;1999,H44&lt;2002),VLOOKUP(I44,Feuil1!$A$11:$G$29,3),VLOOKUP(I44,Feuil1!$A$11:$G$29,2))))),IF(OR(H44="SEN",H44&lt;1995),VLOOKUP(I44,Feuil1!$G$11:$L$25,6),IF(AND(H44&gt;1994,H44&lt;1998),VLOOKUP(I44,Feuil1!$G$11:$L$25,5),IF(AND(H44&gt;1997,H44&lt;2000),VLOOKUP(I44,Feuil1!$G$11:$L$25,4),IF(AND(H44&gt;1999,H44&lt;2002),VLOOKUP(I44,Feuil1!$G$11:$L$25,3),VLOOKUP(I44,Feuil1!$G$11:$L$25,2)))))))</f>
        <v>FC2 58</v>
      </c>
      <c r="Y44" s="39">
        <f t="shared" si="26"/>
        <v>142.32573492388511</v>
      </c>
      <c r="Z44" s="45"/>
      <c r="AA44" s="45" t="s">
        <v>12</v>
      </c>
      <c r="AB44" s="3">
        <f>T44-HLOOKUP(X44,Feuil1!$C$1:$BL$10,2,FALSE)</f>
        <v>50</v>
      </c>
      <c r="AC44" s="3">
        <f>T44-HLOOKUP(X44,Feuil1!$C$1:$BL$10,3,FALSE)</f>
        <v>40</v>
      </c>
      <c r="AD44" s="3">
        <f>T44-HLOOKUP(X44,Feuil1!$C$1:$BL$10,4,FALSE)</f>
        <v>30</v>
      </c>
      <c r="AE44" s="3">
        <f>T44-HLOOKUP(X44,Feuil1!$C$1:$BL$10,5,FALSE)</f>
        <v>20</v>
      </c>
      <c r="AF44" s="3">
        <f>T44-HLOOKUP(X44,Feuil1!$C$1:$BL$10,6,FALSE)</f>
        <v>10</v>
      </c>
      <c r="AG44" s="3">
        <f>T44-HLOOKUP(X44,Feuil1!$C$1:$BL$10,7,FALSE)</f>
        <v>0</v>
      </c>
      <c r="AH44" s="3">
        <f>T44-HLOOKUP(X44,Feuil1!$C$1:$BL$10,8,FALSE)</f>
        <v>-15</v>
      </c>
      <c r="AI44" s="3">
        <f>T44-HLOOKUP(X44,Feuil1!$C$1:$BL$10,9,FALSE)</f>
        <v>-30</v>
      </c>
      <c r="AJ44" s="3">
        <f>T44-HLOOKUP(X44,Feuil1!$C$1:$BL$10,10,FALSE)</f>
        <v>-900</v>
      </c>
      <c r="AQ44" s="5" t="str">
        <f t="shared" si="27"/>
        <v>NAT +</v>
      </c>
      <c r="BC44" s="13"/>
    </row>
    <row r="45" spans="1:55" ht="21" hidden="1" x14ac:dyDescent="0.2">
      <c r="A45" s="12" t="s">
        <v>69</v>
      </c>
      <c r="B45" s="67" t="s">
        <v>298</v>
      </c>
      <c r="C45" s="68" t="s">
        <v>476</v>
      </c>
      <c r="D45" s="69">
        <v>6</v>
      </c>
      <c r="E45" s="70">
        <v>326995</v>
      </c>
      <c r="F45" s="71" t="s">
        <v>489</v>
      </c>
      <c r="G45" s="71" t="s">
        <v>136</v>
      </c>
      <c r="H45" s="72">
        <v>1999</v>
      </c>
      <c r="I45" s="73">
        <v>54.8</v>
      </c>
      <c r="J45" s="68" t="s">
        <v>481</v>
      </c>
      <c r="K45" s="74" t="s">
        <v>69</v>
      </c>
      <c r="L45" s="75">
        <v>38</v>
      </c>
      <c r="M45" s="75">
        <v>42</v>
      </c>
      <c r="N45" s="75">
        <v>45</v>
      </c>
      <c r="O45" s="76">
        <f t="shared" si="20"/>
        <v>45</v>
      </c>
      <c r="P45" s="75">
        <v>48</v>
      </c>
      <c r="Q45" s="75">
        <v>52</v>
      </c>
      <c r="R45" s="75">
        <v>-54</v>
      </c>
      <c r="S45" s="76">
        <f t="shared" si="21"/>
        <v>52</v>
      </c>
      <c r="T45" s="77">
        <f t="shared" si="22"/>
        <v>97</v>
      </c>
      <c r="U45" s="78">
        <f t="shared" si="23"/>
        <v>-12.599999999999994</v>
      </c>
      <c r="V45" s="79" t="str">
        <f t="shared" si="24"/>
        <v>FED +</v>
      </c>
      <c r="W45" s="80">
        <f t="shared" si="25"/>
        <v>7</v>
      </c>
      <c r="X45" s="81" t="str">
        <f>IF(I45="","",IF(A45="H",IF(OR(H45="SEN",H45&lt;1995),VLOOKUP(I45,Feuil1!$A$11:$G$29,6),IF(AND(H45&gt;1994,H45&lt;1998),VLOOKUP(I45,Feuil1!$A$11:$G$29,5),IF(AND(H45&gt;1997,H45&lt;2000),VLOOKUP(I45,Feuil1!$A$11:$G$29,4),IF(AND(H45&gt;1999,H45&lt;2002),VLOOKUP(I45,Feuil1!$A$11:$G$29,3),VLOOKUP(I45,Feuil1!$A$11:$G$29,2))))),IF(OR(H45="SEN",H45&lt;1995),VLOOKUP(I45,Feuil1!$G$11:$L$25,6),IF(AND(H45&gt;1994,H45&lt;1998),VLOOKUP(I45,Feuil1!$G$11:$L$25,5),IF(AND(H45&gt;1997,H45&lt;2000),VLOOKUP(I45,Feuil1!$G$11:$L$25,4),IF(AND(H45&gt;1999,H45&lt;2002),VLOOKUP(I45,Feuil1!$G$11:$L$25,3),VLOOKUP(I45,Feuil1!$G$11:$L$25,2)))))))</f>
        <v>FC2 58</v>
      </c>
      <c r="Y45" s="39">
        <f t="shared" si="26"/>
        <v>142.52111623674423</v>
      </c>
      <c r="Z45" s="45"/>
      <c r="AA45" s="45" t="s">
        <v>12</v>
      </c>
      <c r="AB45" s="3">
        <f>T45-HLOOKUP(X45,Feuil1!$C$1:$BL$10,2,FALSE)</f>
        <v>47</v>
      </c>
      <c r="AC45" s="3">
        <f>T45-HLOOKUP(X45,Feuil1!$C$1:$BL$10,3,FALSE)</f>
        <v>37</v>
      </c>
      <c r="AD45" s="3">
        <f>T45-HLOOKUP(X45,Feuil1!$C$1:$BL$10,4,FALSE)</f>
        <v>27</v>
      </c>
      <c r="AE45" s="3">
        <f>T45-HLOOKUP(X45,Feuil1!$C$1:$BL$10,5,FALSE)</f>
        <v>17</v>
      </c>
      <c r="AF45" s="3">
        <f>T45-HLOOKUP(X45,Feuil1!$C$1:$BL$10,6,FALSE)</f>
        <v>7</v>
      </c>
      <c r="AG45" s="3">
        <f>T45-HLOOKUP(X45,Feuil1!$C$1:$BL$10,7,FALSE)</f>
        <v>-3</v>
      </c>
      <c r="AH45" s="3">
        <f>T45-HLOOKUP(X45,Feuil1!$C$1:$BL$10,8,FALSE)</f>
        <v>-18</v>
      </c>
      <c r="AI45" s="3">
        <f>T45-HLOOKUP(X45,Feuil1!$C$1:$BL$10,9,FALSE)</f>
        <v>-33</v>
      </c>
      <c r="AJ45" s="3">
        <f>T45-HLOOKUP(X45,Feuil1!$C$1:$BL$10,10,FALSE)</f>
        <v>-903</v>
      </c>
      <c r="AQ45" s="5" t="str">
        <f t="shared" si="27"/>
        <v>FED +</v>
      </c>
    </row>
    <row r="46" spans="1:55" ht="21" hidden="1" x14ac:dyDescent="0.2">
      <c r="A46" s="12" t="s">
        <v>69</v>
      </c>
      <c r="B46" s="18" t="s">
        <v>649</v>
      </c>
      <c r="C46" s="19" t="s">
        <v>669</v>
      </c>
      <c r="D46" s="61">
        <v>7</v>
      </c>
      <c r="E46" s="35">
        <v>367889</v>
      </c>
      <c r="F46" s="20" t="s">
        <v>674</v>
      </c>
      <c r="G46" s="20" t="s">
        <v>675</v>
      </c>
      <c r="H46" s="51">
        <v>1998</v>
      </c>
      <c r="I46" s="30">
        <v>57.9</v>
      </c>
      <c r="J46" s="19" t="s">
        <v>672</v>
      </c>
      <c r="K46" s="34" t="s">
        <v>69</v>
      </c>
      <c r="L46" s="31">
        <v>35</v>
      </c>
      <c r="M46" s="31">
        <v>40</v>
      </c>
      <c r="N46" s="31">
        <v>-43</v>
      </c>
      <c r="O46" s="36">
        <f t="shared" si="20"/>
        <v>40</v>
      </c>
      <c r="P46" s="31">
        <v>45</v>
      </c>
      <c r="Q46" s="31">
        <v>50</v>
      </c>
      <c r="R46" s="31">
        <v>52</v>
      </c>
      <c r="S46" s="36">
        <f t="shared" si="21"/>
        <v>52</v>
      </c>
      <c r="T46" s="37">
        <f t="shared" si="22"/>
        <v>92</v>
      </c>
      <c r="U46" s="65">
        <f t="shared" si="23"/>
        <v>-23.799999999999997</v>
      </c>
      <c r="V46" s="41" t="str">
        <f t="shared" si="24"/>
        <v>FED +</v>
      </c>
      <c r="W46" s="33">
        <f t="shared" si="25"/>
        <v>2</v>
      </c>
      <c r="X46" s="40" t="str">
        <f>IF(I46="","",IF(A46="H",IF(OR(H46="SEN",H46&lt;1995),VLOOKUP(I46,Feuil1!$A$11:$G$29,6),IF(AND(H46&gt;1994,H46&lt;1998),VLOOKUP(I46,Feuil1!$A$11:$G$29,5),IF(AND(H46&gt;1997,H46&lt;2000),VLOOKUP(I46,Feuil1!$A$11:$G$29,4),IF(AND(H46&gt;1999,H46&lt;2002),VLOOKUP(I46,Feuil1!$A$11:$G$29,3),VLOOKUP(I46,Feuil1!$A$11:$G$29,2))))),IF(OR(H46="SEN",H46&lt;1995),VLOOKUP(I46,Feuil1!$G$11:$L$25,6),IF(AND(H46&gt;1994,H46&lt;1998),VLOOKUP(I46,Feuil1!$G$11:$L$25,5),IF(AND(H46&gt;1997,H46&lt;2000),VLOOKUP(I46,Feuil1!$G$11:$L$25,4),IF(AND(H46&gt;1999,H46&lt;2002),VLOOKUP(I46,Feuil1!$G$11:$L$25,3),VLOOKUP(I46,Feuil1!$G$11:$L$25,2)))))))</f>
        <v>FC2 58</v>
      </c>
      <c r="Y46" s="39">
        <f t="shared" si="26"/>
        <v>129.68812075608454</v>
      </c>
      <c r="Z46" s="45"/>
      <c r="AA46" s="45" t="s">
        <v>12</v>
      </c>
      <c r="AB46" s="3">
        <f>T46-HLOOKUP(X46,Feuil1!$C$1:$BL$10,2,FALSE)</f>
        <v>42</v>
      </c>
      <c r="AC46" s="3">
        <f>T46-HLOOKUP(X46,Feuil1!$C$1:$BL$10,3,FALSE)</f>
        <v>32</v>
      </c>
      <c r="AD46" s="3">
        <f>T46-HLOOKUP(X46,Feuil1!$C$1:$BL$10,4,FALSE)</f>
        <v>22</v>
      </c>
      <c r="AE46" s="3">
        <f>T46-HLOOKUP(X46,Feuil1!$C$1:$BL$10,5,FALSE)</f>
        <v>12</v>
      </c>
      <c r="AF46" s="3">
        <f>T46-HLOOKUP(X46,Feuil1!$C$1:$BL$10,6,FALSE)</f>
        <v>2</v>
      </c>
      <c r="AG46" s="3">
        <f>T46-HLOOKUP(X46,Feuil1!$C$1:$BL$10,7,FALSE)</f>
        <v>-8</v>
      </c>
      <c r="AH46" s="3">
        <f>T46-HLOOKUP(X46,Feuil1!$C$1:$BL$10,8,FALSE)</f>
        <v>-23</v>
      </c>
      <c r="AI46" s="3">
        <f>T46-HLOOKUP(X46,Feuil1!$C$1:$BL$10,9,FALSE)</f>
        <v>-38</v>
      </c>
      <c r="AJ46" s="3">
        <f>T46-HLOOKUP(X46,Feuil1!$C$1:$BL$10,10,FALSE)</f>
        <v>-908</v>
      </c>
      <c r="AQ46" s="5" t="str">
        <f t="shared" si="27"/>
        <v>FED +</v>
      </c>
      <c r="BC46" s="13"/>
    </row>
    <row r="47" spans="1:55" ht="21" hidden="1" x14ac:dyDescent="0.2">
      <c r="A47" s="12" t="s">
        <v>69</v>
      </c>
      <c r="B47" s="67" t="s">
        <v>721</v>
      </c>
      <c r="C47" s="68" t="s">
        <v>745</v>
      </c>
      <c r="D47" s="69">
        <v>8</v>
      </c>
      <c r="E47" s="70">
        <v>285369</v>
      </c>
      <c r="F47" s="71" t="s">
        <v>746</v>
      </c>
      <c r="G47" s="71" t="s">
        <v>747</v>
      </c>
      <c r="H47" s="72">
        <v>1998</v>
      </c>
      <c r="I47" s="73">
        <v>53.6</v>
      </c>
      <c r="J47" s="68" t="s">
        <v>748</v>
      </c>
      <c r="K47" s="34" t="s">
        <v>69</v>
      </c>
      <c r="L47" s="75">
        <v>37</v>
      </c>
      <c r="M47" s="75">
        <v>-40</v>
      </c>
      <c r="N47" s="75">
        <v>40</v>
      </c>
      <c r="O47" s="76">
        <f t="shared" si="20"/>
        <v>40</v>
      </c>
      <c r="P47" s="75">
        <v>48</v>
      </c>
      <c r="Q47" s="75">
        <v>51</v>
      </c>
      <c r="R47" s="75">
        <v>-54</v>
      </c>
      <c r="S47" s="76">
        <f t="shared" si="21"/>
        <v>51</v>
      </c>
      <c r="T47" s="77">
        <f t="shared" si="22"/>
        <v>91</v>
      </c>
      <c r="U47" s="78">
        <f t="shared" si="23"/>
        <v>-16.200000000000003</v>
      </c>
      <c r="V47" s="79" t="str">
        <f t="shared" si="24"/>
        <v>FED +</v>
      </c>
      <c r="W47" s="80">
        <f t="shared" si="25"/>
        <v>1</v>
      </c>
      <c r="X47" s="81" t="str">
        <f>IF(I47="","",IF(A47="H",IF(OR(H47="SEN",H47&lt;1995),VLOOKUP(I47,Feuil1!$A$11:$G$29,6),IF(AND(H47&gt;1994,H47&lt;1998),VLOOKUP(I47,Feuil1!$A$11:$G$29,5),IF(AND(H47&gt;1997,H47&lt;2000),VLOOKUP(I47,Feuil1!$A$11:$G$29,4),IF(AND(H47&gt;1999,H47&lt;2002),VLOOKUP(I47,Feuil1!$A$11:$G$29,3),VLOOKUP(I47,Feuil1!$A$11:$G$29,2))))),IF(OR(H47="SEN",H47&lt;1995),VLOOKUP(I47,Feuil1!$G$11:$L$25,6),IF(AND(H47&gt;1994,H47&lt;1998),VLOOKUP(I47,Feuil1!$G$11:$L$25,5),IF(AND(H47&gt;1997,H47&lt;2000),VLOOKUP(I47,Feuil1!$G$11:$L$25,4),IF(AND(H47&gt;1999,H47&lt;2002),VLOOKUP(I47,Feuil1!$G$11:$L$25,3),VLOOKUP(I47,Feuil1!$G$11:$L$25,2)))))))</f>
        <v>FC2 58</v>
      </c>
      <c r="Y47" s="39">
        <f t="shared" si="26"/>
        <v>136.04377173259485</v>
      </c>
      <c r="Z47" s="45"/>
      <c r="AA47" s="45" t="s">
        <v>12</v>
      </c>
      <c r="AB47" s="3">
        <f>T47-HLOOKUP(X47,Feuil1!$C$1:$BL$10,2,FALSE)</f>
        <v>41</v>
      </c>
      <c r="AC47" s="3">
        <f>T47-HLOOKUP(X47,Feuil1!$C$1:$BL$10,3,FALSE)</f>
        <v>31</v>
      </c>
      <c r="AD47" s="3">
        <f>T47-HLOOKUP(X47,Feuil1!$C$1:$BL$10,4,FALSE)</f>
        <v>21</v>
      </c>
      <c r="AE47" s="3">
        <f>T47-HLOOKUP(X47,Feuil1!$C$1:$BL$10,5,FALSE)</f>
        <v>11</v>
      </c>
      <c r="AF47" s="3">
        <f>T47-HLOOKUP(X47,Feuil1!$C$1:$BL$10,6,FALSE)</f>
        <v>1</v>
      </c>
      <c r="AG47" s="3">
        <f>T47-HLOOKUP(X47,Feuil1!$C$1:$BL$10,7,FALSE)</f>
        <v>-9</v>
      </c>
      <c r="AH47" s="3">
        <f>T47-HLOOKUP(X47,Feuil1!$C$1:$BL$10,8,FALSE)</f>
        <v>-24</v>
      </c>
      <c r="AI47" s="3">
        <f>T47-HLOOKUP(X47,Feuil1!$C$1:$BL$10,9,FALSE)</f>
        <v>-39</v>
      </c>
      <c r="AJ47" s="3">
        <f>T47-HLOOKUP(X47,Feuil1!$C$1:$BL$10,10,FALSE)</f>
        <v>-909</v>
      </c>
      <c r="AQ47" s="5" t="str">
        <f t="shared" si="27"/>
        <v>FED +</v>
      </c>
      <c r="BC47" s="13"/>
    </row>
    <row r="48" spans="1:55" ht="21" hidden="1" x14ac:dyDescent="0.2">
      <c r="A48" s="12" t="s">
        <v>69</v>
      </c>
      <c r="B48" s="18" t="s">
        <v>71</v>
      </c>
      <c r="C48" s="19" t="s">
        <v>72</v>
      </c>
      <c r="D48" s="61">
        <v>9</v>
      </c>
      <c r="E48" s="35">
        <v>379666</v>
      </c>
      <c r="F48" s="20" t="s">
        <v>934</v>
      </c>
      <c r="G48" s="20" t="s">
        <v>259</v>
      </c>
      <c r="H48" s="57">
        <v>1998</v>
      </c>
      <c r="I48" s="30">
        <v>57.4</v>
      </c>
      <c r="J48" s="19" t="s">
        <v>935</v>
      </c>
      <c r="K48" s="34" t="s">
        <v>69</v>
      </c>
      <c r="L48" s="31">
        <v>37</v>
      </c>
      <c r="M48" s="31">
        <v>-40</v>
      </c>
      <c r="N48" s="31">
        <v>40</v>
      </c>
      <c r="O48" s="36">
        <f t="shared" si="20"/>
        <v>40</v>
      </c>
      <c r="P48" s="31">
        <v>47</v>
      </c>
      <c r="Q48" s="31">
        <v>-50</v>
      </c>
      <c r="R48" s="31">
        <v>-50</v>
      </c>
      <c r="S48" s="36">
        <f t="shared" si="21"/>
        <v>47</v>
      </c>
      <c r="T48" s="37">
        <f t="shared" si="22"/>
        <v>87</v>
      </c>
      <c r="U48" s="65">
        <f t="shared" si="23"/>
        <v>-27.799999999999997</v>
      </c>
      <c r="V48" s="41" t="str">
        <f t="shared" si="24"/>
        <v>IRG +</v>
      </c>
      <c r="W48" s="33">
        <f t="shared" si="25"/>
        <v>7</v>
      </c>
      <c r="X48" s="40" t="str">
        <f>IF(I48="","",IF(A48="H",IF(OR(H48="SEN",H48&lt;1995),VLOOKUP(I48,Feuil1!$A$11:$G$29,6),IF(AND(H48&gt;1994,H48&lt;1998),VLOOKUP(I48,Feuil1!$A$11:$G$29,5),IF(AND(H48&gt;1997,H48&lt;2000),VLOOKUP(I48,Feuil1!$A$11:$G$29,4),IF(AND(H48&gt;1999,H48&lt;2002),VLOOKUP(I48,Feuil1!$A$11:$G$29,3),VLOOKUP(I48,Feuil1!$A$11:$G$29,2))))),IF(OR(H48="SEN",H48&lt;1995),VLOOKUP(I48,Feuil1!$G$11:$L$25,6),IF(AND(H48&gt;1994,H48&lt;1998),VLOOKUP(I48,Feuil1!$G$11:$L$25,5),IF(AND(H48&gt;1997,H48&lt;2000),VLOOKUP(I48,Feuil1!$G$11:$L$25,4),IF(AND(H48&gt;1999,H48&lt;2002),VLOOKUP(I48,Feuil1!$G$11:$L$25,3),VLOOKUP(I48,Feuil1!$G$11:$L$25,2)))))))</f>
        <v>FC2 58</v>
      </c>
      <c r="Y48" s="39">
        <f t="shared" si="26"/>
        <v>123.42407317079146</v>
      </c>
      <c r="Z48" s="45"/>
      <c r="AA48" s="45" t="s">
        <v>12</v>
      </c>
      <c r="AB48" s="3">
        <f>T48-HLOOKUP(X48,Feuil1!$C$1:$BL$10,2,FALSE)</f>
        <v>37</v>
      </c>
      <c r="AC48" s="3">
        <f>T48-HLOOKUP(X48,Feuil1!$C$1:$BL$10,3,FALSE)</f>
        <v>27</v>
      </c>
      <c r="AD48" s="3">
        <f>T48-HLOOKUP(X48,Feuil1!$C$1:$BL$10,4,FALSE)</f>
        <v>17</v>
      </c>
      <c r="AE48" s="3">
        <f>T48-HLOOKUP(X48,Feuil1!$C$1:$BL$10,5,FALSE)</f>
        <v>7</v>
      </c>
      <c r="AF48" s="3">
        <f>T48-HLOOKUP(X48,Feuil1!$C$1:$BL$10,6,FALSE)</f>
        <v>-3</v>
      </c>
      <c r="AG48" s="3">
        <f>T48-HLOOKUP(X48,Feuil1!$C$1:$BL$10,7,FALSE)</f>
        <v>-13</v>
      </c>
      <c r="AH48" s="3">
        <f>T48-HLOOKUP(X48,Feuil1!$C$1:$BL$10,8,FALSE)</f>
        <v>-28</v>
      </c>
      <c r="AI48" s="3">
        <f>T48-HLOOKUP(X48,Feuil1!$C$1:$BL$10,9,FALSE)</f>
        <v>-43</v>
      </c>
      <c r="AJ48" s="3">
        <f>T48-HLOOKUP(X48,Feuil1!$C$1:$BL$10,10,FALSE)</f>
        <v>-913</v>
      </c>
      <c r="AQ48" s="5" t="str">
        <f t="shared" si="27"/>
        <v>IRG +</v>
      </c>
      <c r="BC48" s="13"/>
    </row>
    <row r="49" spans="1:55" ht="21" hidden="1" x14ac:dyDescent="0.2">
      <c r="A49" s="12" t="s">
        <v>69</v>
      </c>
      <c r="B49" s="18" t="s">
        <v>71</v>
      </c>
      <c r="C49" s="19" t="s">
        <v>801</v>
      </c>
      <c r="D49" s="61">
        <v>10</v>
      </c>
      <c r="E49" s="35">
        <v>385817</v>
      </c>
      <c r="F49" s="20" t="s">
        <v>802</v>
      </c>
      <c r="G49" s="20" t="s">
        <v>151</v>
      </c>
      <c r="H49" s="58">
        <v>1998</v>
      </c>
      <c r="I49" s="30">
        <v>55</v>
      </c>
      <c r="J49" s="19" t="s">
        <v>803</v>
      </c>
      <c r="K49" s="34" t="s">
        <v>69</v>
      </c>
      <c r="L49" s="31">
        <v>32</v>
      </c>
      <c r="M49" s="31">
        <v>35</v>
      </c>
      <c r="N49" s="31">
        <v>37</v>
      </c>
      <c r="O49" s="36">
        <f t="shared" si="20"/>
        <v>37</v>
      </c>
      <c r="P49" s="31">
        <v>45</v>
      </c>
      <c r="Q49" s="31">
        <v>-48</v>
      </c>
      <c r="R49" s="31">
        <v>-48</v>
      </c>
      <c r="S49" s="36">
        <f t="shared" si="21"/>
        <v>45</v>
      </c>
      <c r="T49" s="37">
        <f t="shared" si="22"/>
        <v>82</v>
      </c>
      <c r="U49" s="65">
        <f t="shared" si="23"/>
        <v>-28</v>
      </c>
      <c r="V49" s="41" t="str">
        <f t="shared" si="24"/>
        <v>IRG +</v>
      </c>
      <c r="W49" s="33">
        <f t="shared" si="25"/>
        <v>2</v>
      </c>
      <c r="X49" s="40" t="str">
        <f>IF(I49="","",IF(A49="H",IF(OR(H49="SEN",H49&lt;1995),VLOOKUP(I49,Feuil1!$A$11:$G$29,6),IF(AND(H49&gt;1994,H49&lt;1998),VLOOKUP(I49,Feuil1!$A$11:$G$29,5),IF(AND(H49&gt;1997,H49&lt;2000),VLOOKUP(I49,Feuil1!$A$11:$G$29,4),IF(AND(H49&gt;1999,H49&lt;2002),VLOOKUP(I49,Feuil1!$A$11:$G$29,3),VLOOKUP(I49,Feuil1!$A$11:$G$29,2))))),IF(OR(H49="SEN",H49&lt;1995),VLOOKUP(I49,Feuil1!$G$11:$L$25,6),IF(AND(H49&gt;1994,H49&lt;1998),VLOOKUP(I49,Feuil1!$G$11:$L$25,5),IF(AND(H49&gt;1997,H49&lt;2000),VLOOKUP(I49,Feuil1!$G$11:$L$25,4),IF(AND(H49&gt;1999,H49&lt;2002),VLOOKUP(I49,Feuil1!$G$11:$L$25,3),VLOOKUP(I49,Feuil1!$G$11:$L$25,2)))))))</f>
        <v>FC2 58</v>
      </c>
      <c r="Y49" s="39">
        <f t="shared" si="26"/>
        <v>120.14295653917677</v>
      </c>
      <c r="Z49" s="45"/>
      <c r="AA49" s="45" t="s">
        <v>12</v>
      </c>
      <c r="AB49" s="3">
        <f>T49-HLOOKUP(X49,Feuil1!$C$1:$BL$10,2,FALSE)</f>
        <v>32</v>
      </c>
      <c r="AC49" s="3">
        <f>T49-HLOOKUP(X49,Feuil1!$C$1:$BL$10,3,FALSE)</f>
        <v>22</v>
      </c>
      <c r="AD49" s="3">
        <f>T49-HLOOKUP(X49,Feuil1!$C$1:$BL$10,4,FALSE)</f>
        <v>12</v>
      </c>
      <c r="AE49" s="3">
        <f>T49-HLOOKUP(X49,Feuil1!$C$1:$BL$10,5,FALSE)</f>
        <v>2</v>
      </c>
      <c r="AF49" s="3">
        <f>T49-HLOOKUP(X49,Feuil1!$C$1:$BL$10,6,FALSE)</f>
        <v>-8</v>
      </c>
      <c r="AG49" s="3">
        <f>T49-HLOOKUP(X49,Feuil1!$C$1:$BL$10,7,FALSE)</f>
        <v>-18</v>
      </c>
      <c r="AH49" s="3">
        <f>T49-HLOOKUP(X49,Feuil1!$C$1:$BL$10,8,FALSE)</f>
        <v>-33</v>
      </c>
      <c r="AI49" s="3">
        <f>T49-HLOOKUP(X49,Feuil1!$C$1:$BL$10,9,FALSE)</f>
        <v>-48</v>
      </c>
      <c r="AJ49" s="3">
        <f>T49-HLOOKUP(X49,Feuil1!$C$1:$BL$10,10,FALSE)</f>
        <v>-918</v>
      </c>
      <c r="AQ49" s="5" t="str">
        <f t="shared" si="27"/>
        <v>IRG +</v>
      </c>
      <c r="BC49" s="13"/>
    </row>
    <row r="50" spans="1:55" ht="21" hidden="1" x14ac:dyDescent="0.2">
      <c r="A50" s="12" t="s">
        <v>69</v>
      </c>
      <c r="B50" s="18" t="s">
        <v>649</v>
      </c>
      <c r="C50" s="19" t="s">
        <v>669</v>
      </c>
      <c r="D50" s="61">
        <v>11</v>
      </c>
      <c r="E50" s="35">
        <v>339433</v>
      </c>
      <c r="F50" s="20" t="s">
        <v>676</v>
      </c>
      <c r="G50" s="20" t="s">
        <v>677</v>
      </c>
      <c r="H50" s="51">
        <v>1999</v>
      </c>
      <c r="I50" s="30">
        <v>57.5</v>
      </c>
      <c r="J50" s="19" t="s">
        <v>672</v>
      </c>
      <c r="K50" s="34" t="s">
        <v>69</v>
      </c>
      <c r="L50" s="31">
        <v>30</v>
      </c>
      <c r="M50" s="31">
        <v>32</v>
      </c>
      <c r="N50" s="31">
        <v>35</v>
      </c>
      <c r="O50" s="36">
        <f t="shared" si="20"/>
        <v>35</v>
      </c>
      <c r="P50" s="31">
        <v>35</v>
      </c>
      <c r="Q50" s="31">
        <v>40</v>
      </c>
      <c r="R50" s="31">
        <v>-42</v>
      </c>
      <c r="S50" s="36">
        <f t="shared" si="21"/>
        <v>40</v>
      </c>
      <c r="T50" s="37">
        <f t="shared" si="22"/>
        <v>75</v>
      </c>
      <c r="U50" s="65">
        <f t="shared" si="23"/>
        <v>-40</v>
      </c>
      <c r="V50" s="41" t="str">
        <f t="shared" si="24"/>
        <v>REG +</v>
      </c>
      <c r="W50" s="33">
        <f t="shared" si="25"/>
        <v>5</v>
      </c>
      <c r="X50" s="40" t="str">
        <f>IF(I50="","",IF(A50="H",IF(OR(H50="SEN",H50&lt;1995),VLOOKUP(I50,Feuil1!$A$11:$G$29,6),IF(AND(H50&gt;1994,H50&lt;1998),VLOOKUP(I50,Feuil1!$A$11:$G$29,5),IF(AND(H50&gt;1997,H50&lt;2000),VLOOKUP(I50,Feuil1!$A$11:$G$29,4),IF(AND(H50&gt;1999,H50&lt;2002),VLOOKUP(I50,Feuil1!$A$11:$G$29,3),VLOOKUP(I50,Feuil1!$A$11:$G$29,2))))),IF(OR(H50="SEN",H50&lt;1995),VLOOKUP(I50,Feuil1!$G$11:$L$25,6),IF(AND(H50&gt;1994,H50&lt;1998),VLOOKUP(I50,Feuil1!$G$11:$L$25,5),IF(AND(H50&gt;1997,H50&lt;2000),VLOOKUP(I50,Feuil1!$G$11:$L$25,4),IF(AND(H50&gt;1999,H50&lt;2002),VLOOKUP(I50,Feuil1!$G$11:$L$25,3),VLOOKUP(I50,Feuil1!$G$11:$L$25,2)))))))</f>
        <v>FC2 58</v>
      </c>
      <c r="Y50" s="39">
        <f t="shared" si="26"/>
        <v>106.26353734213941</v>
      </c>
      <c r="Z50" s="45"/>
      <c r="AA50" s="45" t="s">
        <v>12</v>
      </c>
      <c r="AB50" s="3">
        <f>T50-HLOOKUP(X50,Feuil1!$C$1:$BL$10,2,FALSE)</f>
        <v>25</v>
      </c>
      <c r="AC50" s="3">
        <f>T50-HLOOKUP(X50,Feuil1!$C$1:$BL$10,3,FALSE)</f>
        <v>15</v>
      </c>
      <c r="AD50" s="3">
        <f>T50-HLOOKUP(X50,Feuil1!$C$1:$BL$10,4,FALSE)</f>
        <v>5</v>
      </c>
      <c r="AE50" s="3">
        <f>T50-HLOOKUP(X50,Feuil1!$C$1:$BL$10,5,FALSE)</f>
        <v>-5</v>
      </c>
      <c r="AF50" s="3">
        <f>T50-HLOOKUP(X50,Feuil1!$C$1:$BL$10,6,FALSE)</f>
        <v>-15</v>
      </c>
      <c r="AG50" s="3">
        <f>T50-HLOOKUP(X50,Feuil1!$C$1:$BL$10,7,FALSE)</f>
        <v>-25</v>
      </c>
      <c r="AH50" s="3">
        <f>T50-HLOOKUP(X50,Feuil1!$C$1:$BL$10,8,FALSE)</f>
        <v>-40</v>
      </c>
      <c r="AI50" s="3">
        <f>T50-HLOOKUP(X50,Feuil1!$C$1:$BL$10,9,FALSE)</f>
        <v>-55</v>
      </c>
      <c r="AJ50" s="3">
        <f>T50-HLOOKUP(X50,Feuil1!$C$1:$BL$10,10,FALSE)</f>
        <v>-925</v>
      </c>
      <c r="AQ50" s="5" t="str">
        <f t="shared" si="27"/>
        <v>REG +</v>
      </c>
      <c r="BC50" s="13"/>
    </row>
    <row r="51" spans="1:55" ht="21" hidden="1" x14ac:dyDescent="0.2">
      <c r="A51" s="12" t="s">
        <v>69</v>
      </c>
      <c r="B51" s="18" t="s">
        <v>536</v>
      </c>
      <c r="C51" s="19" t="s">
        <v>545</v>
      </c>
      <c r="D51" s="61">
        <v>12</v>
      </c>
      <c r="E51" s="35">
        <v>279235</v>
      </c>
      <c r="F51" s="20" t="s">
        <v>554</v>
      </c>
      <c r="G51" s="20" t="s">
        <v>500</v>
      </c>
      <c r="H51" s="51">
        <v>1998</v>
      </c>
      <c r="I51" s="30">
        <v>57.8</v>
      </c>
      <c r="J51" s="19" t="s">
        <v>555</v>
      </c>
      <c r="K51" s="34" t="s">
        <v>69</v>
      </c>
      <c r="L51" s="31">
        <v>25</v>
      </c>
      <c r="M51" s="31">
        <v>28</v>
      </c>
      <c r="N51" s="31">
        <v>30</v>
      </c>
      <c r="O51" s="36">
        <f t="shared" si="20"/>
        <v>30</v>
      </c>
      <c r="P51" s="31">
        <v>35</v>
      </c>
      <c r="Q51" s="31">
        <v>39</v>
      </c>
      <c r="R51" s="31">
        <v>42</v>
      </c>
      <c r="S51" s="36">
        <f t="shared" si="21"/>
        <v>42</v>
      </c>
      <c r="T51" s="37">
        <f t="shared" si="22"/>
        <v>72</v>
      </c>
      <c r="U51" s="65">
        <f t="shared" si="23"/>
        <v>-43.599999999999994</v>
      </c>
      <c r="V51" s="41" t="str">
        <f t="shared" si="24"/>
        <v>REG +</v>
      </c>
      <c r="W51" s="33">
        <f t="shared" si="25"/>
        <v>2</v>
      </c>
      <c r="X51" s="40" t="str">
        <f>IF(I51="","",IF(A51="H",IF(OR(H51="SEN",H51&lt;1995),VLOOKUP(I51,Feuil1!$A$11:$G$29,6),IF(AND(H51&gt;1994,H51&lt;1998),VLOOKUP(I51,Feuil1!$A$11:$G$29,5),IF(AND(H51&gt;1997,H51&lt;2000),VLOOKUP(I51,Feuil1!$A$11:$G$29,4),IF(AND(H51&gt;1999,H51&lt;2002),VLOOKUP(I51,Feuil1!$A$11:$G$29,3),VLOOKUP(I51,Feuil1!$A$11:$G$29,2))))),IF(OR(H51="SEN",H51&lt;1995),VLOOKUP(I51,Feuil1!$G$11:$L$25,6),IF(AND(H51&gt;1994,H51&lt;1998),VLOOKUP(I51,Feuil1!$G$11:$L$25,5),IF(AND(H51&gt;1997,H51&lt;2000),VLOOKUP(I51,Feuil1!$G$11:$L$25,4),IF(AND(H51&gt;1999,H51&lt;2002),VLOOKUP(I51,Feuil1!$G$11:$L$25,3),VLOOKUP(I51,Feuil1!$G$11:$L$25,2)))))))</f>
        <v>FC2 58</v>
      </c>
      <c r="Y51" s="39">
        <f t="shared" si="26"/>
        <v>101.62359814884913</v>
      </c>
      <c r="Z51" s="45"/>
      <c r="AA51" s="45" t="s">
        <v>12</v>
      </c>
      <c r="AB51" s="3">
        <f>T51-HLOOKUP(X51,Feuil1!$C$1:$BL$10,2,FALSE)</f>
        <v>22</v>
      </c>
      <c r="AC51" s="3">
        <f>T51-HLOOKUP(X51,Feuil1!$C$1:$BL$10,3,FALSE)</f>
        <v>12</v>
      </c>
      <c r="AD51" s="3">
        <f>T51-HLOOKUP(X51,Feuil1!$C$1:$BL$10,4,FALSE)</f>
        <v>2</v>
      </c>
      <c r="AE51" s="3">
        <f>T51-HLOOKUP(X51,Feuil1!$C$1:$BL$10,5,FALSE)</f>
        <v>-8</v>
      </c>
      <c r="AF51" s="3">
        <f>T51-HLOOKUP(X51,Feuil1!$C$1:$BL$10,6,FALSE)</f>
        <v>-18</v>
      </c>
      <c r="AG51" s="3">
        <f>T51-HLOOKUP(X51,Feuil1!$C$1:$BL$10,7,FALSE)</f>
        <v>-28</v>
      </c>
      <c r="AH51" s="3">
        <f>T51-HLOOKUP(X51,Feuil1!$C$1:$BL$10,8,FALSE)</f>
        <v>-43</v>
      </c>
      <c r="AI51" s="3">
        <f>T51-HLOOKUP(X51,Feuil1!$C$1:$BL$10,9,FALSE)</f>
        <v>-58</v>
      </c>
      <c r="AJ51" s="3">
        <f>T51-HLOOKUP(X51,Feuil1!$C$1:$BL$10,10,FALSE)</f>
        <v>-928</v>
      </c>
      <c r="AQ51" s="5" t="str">
        <f t="shared" si="27"/>
        <v>REG +</v>
      </c>
    </row>
    <row r="52" spans="1:55" ht="21" hidden="1" x14ac:dyDescent="0.2">
      <c r="A52" s="12" t="s">
        <v>69</v>
      </c>
      <c r="B52" s="67" t="s">
        <v>298</v>
      </c>
      <c r="C52" s="68" t="s">
        <v>476</v>
      </c>
      <c r="D52" s="69">
        <v>13</v>
      </c>
      <c r="E52" s="70">
        <v>378361</v>
      </c>
      <c r="F52" s="71" t="s">
        <v>490</v>
      </c>
      <c r="G52" s="71" t="s">
        <v>430</v>
      </c>
      <c r="H52" s="72">
        <v>1998</v>
      </c>
      <c r="I52" s="73">
        <v>53.3</v>
      </c>
      <c r="J52" s="68" t="s">
        <v>481</v>
      </c>
      <c r="K52" s="74" t="s">
        <v>69</v>
      </c>
      <c r="L52" s="75">
        <v>24</v>
      </c>
      <c r="M52" s="75">
        <v>27</v>
      </c>
      <c r="N52" s="75">
        <v>28</v>
      </c>
      <c r="O52" s="76">
        <f t="shared" si="20"/>
        <v>28</v>
      </c>
      <c r="P52" s="75">
        <v>35</v>
      </c>
      <c r="Q52" s="75">
        <v>38</v>
      </c>
      <c r="R52" s="75">
        <v>-40</v>
      </c>
      <c r="S52" s="76">
        <f t="shared" si="21"/>
        <v>38</v>
      </c>
      <c r="T52" s="77">
        <f t="shared" si="22"/>
        <v>66</v>
      </c>
      <c r="U52" s="78">
        <f t="shared" si="23"/>
        <v>-40.599999999999994</v>
      </c>
      <c r="V52" s="79" t="str">
        <f t="shared" si="24"/>
        <v>DEP +</v>
      </c>
      <c r="W52" s="80">
        <f t="shared" si="25"/>
        <v>6</v>
      </c>
      <c r="X52" s="81" t="str">
        <f>IF(I52="","",IF(A52="H",IF(OR(H52="SEN",H52&lt;1995),VLOOKUP(I52,Feuil1!$A$11:$G$29,6),IF(AND(H52&gt;1994,H52&lt;1998),VLOOKUP(I52,Feuil1!$A$11:$G$29,5),IF(AND(H52&gt;1997,H52&lt;2000),VLOOKUP(I52,Feuil1!$A$11:$G$29,4),IF(AND(H52&gt;1999,H52&lt;2002),VLOOKUP(I52,Feuil1!$A$11:$G$29,3),VLOOKUP(I52,Feuil1!$A$11:$G$29,2))))),IF(OR(H52="SEN",H52&lt;1995),VLOOKUP(I52,Feuil1!$G$11:$L$25,6),IF(AND(H52&gt;1994,H52&lt;1998),VLOOKUP(I52,Feuil1!$G$11:$L$25,5),IF(AND(H52&gt;1997,H52&lt;2000),VLOOKUP(I52,Feuil1!$G$11:$L$25,4),IF(AND(H52&gt;1999,H52&lt;2002),VLOOKUP(I52,Feuil1!$G$11:$L$25,3),VLOOKUP(I52,Feuil1!$G$11:$L$25,2)))))))</f>
        <v>FC2 58</v>
      </c>
      <c r="Y52" s="39">
        <f t="shared" si="26"/>
        <v>99.109744946910752</v>
      </c>
      <c r="Z52" s="45"/>
      <c r="AA52" s="45" t="s">
        <v>12</v>
      </c>
      <c r="AB52" s="3">
        <f>T52-HLOOKUP(X52,Feuil1!$C$1:$BL$10,2,FALSE)</f>
        <v>16</v>
      </c>
      <c r="AC52" s="3">
        <f>T52-HLOOKUP(X52,Feuil1!$C$1:$BL$10,3,FALSE)</f>
        <v>6</v>
      </c>
      <c r="AD52" s="3">
        <f>T52-HLOOKUP(X52,Feuil1!$C$1:$BL$10,4,FALSE)</f>
        <v>-4</v>
      </c>
      <c r="AE52" s="3">
        <f>T52-HLOOKUP(X52,Feuil1!$C$1:$BL$10,5,FALSE)</f>
        <v>-14</v>
      </c>
      <c r="AF52" s="3">
        <f>T52-HLOOKUP(X52,Feuil1!$C$1:$BL$10,6,FALSE)</f>
        <v>-24</v>
      </c>
      <c r="AG52" s="3">
        <f>T52-HLOOKUP(X52,Feuil1!$C$1:$BL$10,7,FALSE)</f>
        <v>-34</v>
      </c>
      <c r="AH52" s="3">
        <f>T52-HLOOKUP(X52,Feuil1!$C$1:$BL$10,8,FALSE)</f>
        <v>-49</v>
      </c>
      <c r="AI52" s="3">
        <f>T52-HLOOKUP(X52,Feuil1!$C$1:$BL$10,9,FALSE)</f>
        <v>-64</v>
      </c>
      <c r="AJ52" s="3">
        <f>T52-HLOOKUP(X52,Feuil1!$C$1:$BL$10,10,FALSE)</f>
        <v>-934</v>
      </c>
      <c r="AQ52" s="5" t="str">
        <f t="shared" si="27"/>
        <v>DEP +</v>
      </c>
    </row>
    <row r="53" spans="1:55" ht="21" hidden="1" x14ac:dyDescent="0.2">
      <c r="A53" s="12" t="s">
        <v>69</v>
      </c>
      <c r="B53" s="67" t="s">
        <v>71</v>
      </c>
      <c r="C53" s="68" t="s">
        <v>72</v>
      </c>
      <c r="D53" s="69">
        <v>14</v>
      </c>
      <c r="E53" s="70">
        <v>391553</v>
      </c>
      <c r="F53" s="71" t="s">
        <v>926</v>
      </c>
      <c r="G53" s="71" t="s">
        <v>500</v>
      </c>
      <c r="H53" s="72">
        <v>1998</v>
      </c>
      <c r="I53" s="73">
        <v>54.1</v>
      </c>
      <c r="J53" s="68" t="s">
        <v>927</v>
      </c>
      <c r="K53" s="74" t="s">
        <v>69</v>
      </c>
      <c r="L53" s="75">
        <v>25</v>
      </c>
      <c r="M53" s="75">
        <v>27</v>
      </c>
      <c r="N53" s="75">
        <v>29</v>
      </c>
      <c r="O53" s="76">
        <f t="shared" si="20"/>
        <v>29</v>
      </c>
      <c r="P53" s="75">
        <v>32</v>
      </c>
      <c r="Q53" s="75">
        <v>35</v>
      </c>
      <c r="R53" s="75">
        <v>37</v>
      </c>
      <c r="S53" s="76">
        <f t="shared" si="21"/>
        <v>37</v>
      </c>
      <c r="T53" s="77">
        <f t="shared" si="22"/>
        <v>66</v>
      </c>
      <c r="U53" s="78">
        <f t="shared" si="23"/>
        <v>-42.2</v>
      </c>
      <c r="V53" s="79" t="str">
        <f t="shared" si="24"/>
        <v>DEP +</v>
      </c>
      <c r="W53" s="80">
        <f t="shared" si="25"/>
        <v>6</v>
      </c>
      <c r="X53" s="81" t="str">
        <f>IF(I53="","",IF(A53="H",IF(OR(H53="SEN",H53&lt;1995),VLOOKUP(I53,Feuil1!$A$11:$G$29,6),IF(AND(H53&gt;1994,H53&lt;1998),VLOOKUP(I53,Feuil1!$A$11:$G$29,5),IF(AND(H53&gt;1997,H53&lt;2000),VLOOKUP(I53,Feuil1!$A$11:$G$29,4),IF(AND(H53&gt;1999,H53&lt;2002),VLOOKUP(I53,Feuil1!$A$11:$G$29,3),VLOOKUP(I53,Feuil1!$A$11:$G$29,2))))),IF(OR(H53="SEN",H53&lt;1995),VLOOKUP(I53,Feuil1!$G$11:$L$25,6),IF(AND(H53&gt;1994,H53&lt;1998),VLOOKUP(I53,Feuil1!$G$11:$L$25,5),IF(AND(H53&gt;1997,H53&lt;2000),VLOOKUP(I53,Feuil1!$G$11:$L$25,4),IF(AND(H53&gt;1999,H53&lt;2002),VLOOKUP(I53,Feuil1!$G$11:$L$25,3),VLOOKUP(I53,Feuil1!$G$11:$L$25,2)))))))</f>
        <v>FC2 58</v>
      </c>
      <c r="Y53" s="39">
        <f t="shared" si="26"/>
        <v>97.949744522155086</v>
      </c>
      <c r="Z53" s="45"/>
      <c r="AA53" s="45" t="s">
        <v>12</v>
      </c>
      <c r="AB53" s="3">
        <f>T53-HLOOKUP(X53,Feuil1!$C$1:$BL$10,2,FALSE)</f>
        <v>16</v>
      </c>
      <c r="AC53" s="3">
        <f>T53-HLOOKUP(X53,Feuil1!$C$1:$BL$10,3,FALSE)</f>
        <v>6</v>
      </c>
      <c r="AD53" s="3">
        <f>T53-HLOOKUP(X53,Feuil1!$C$1:$BL$10,4,FALSE)</f>
        <v>-4</v>
      </c>
      <c r="AE53" s="3">
        <f>T53-HLOOKUP(X53,Feuil1!$C$1:$BL$10,5,FALSE)</f>
        <v>-14</v>
      </c>
      <c r="AF53" s="3">
        <f>T53-HLOOKUP(X53,Feuil1!$C$1:$BL$10,6,FALSE)</f>
        <v>-24</v>
      </c>
      <c r="AG53" s="3">
        <f>T53-HLOOKUP(X53,Feuil1!$C$1:$BL$10,7,FALSE)</f>
        <v>-34</v>
      </c>
      <c r="AH53" s="3">
        <f>T53-HLOOKUP(X53,Feuil1!$C$1:$BL$10,8,FALSE)</f>
        <v>-49</v>
      </c>
      <c r="AI53" s="3">
        <f>T53-HLOOKUP(X53,Feuil1!$C$1:$BL$10,9,FALSE)</f>
        <v>-64</v>
      </c>
      <c r="AJ53" s="3">
        <f>T53-HLOOKUP(X53,Feuil1!$C$1:$BL$10,10,FALSE)</f>
        <v>-934</v>
      </c>
      <c r="AQ53" s="5" t="str">
        <f t="shared" si="27"/>
        <v>DEP +</v>
      </c>
      <c r="BC53" s="13"/>
    </row>
    <row r="54" spans="1:55" ht="21" hidden="1" x14ac:dyDescent="0.2">
      <c r="A54" s="88" t="s">
        <v>69</v>
      </c>
      <c r="B54" s="67" t="s">
        <v>721</v>
      </c>
      <c r="C54" s="68" t="s">
        <v>745</v>
      </c>
      <c r="D54" s="69">
        <v>15</v>
      </c>
      <c r="E54" s="70">
        <v>380061</v>
      </c>
      <c r="F54" s="71" t="s">
        <v>749</v>
      </c>
      <c r="G54" s="71" t="s">
        <v>269</v>
      </c>
      <c r="H54" s="72">
        <v>1998</v>
      </c>
      <c r="I54" s="73">
        <v>55.2</v>
      </c>
      <c r="J54" s="68" t="s">
        <v>750</v>
      </c>
      <c r="K54" s="34" t="s">
        <v>69</v>
      </c>
      <c r="L54" s="75">
        <v>25</v>
      </c>
      <c r="M54" s="75">
        <v>-27</v>
      </c>
      <c r="N54" s="75">
        <v>27</v>
      </c>
      <c r="O54" s="76">
        <f t="shared" si="20"/>
        <v>27</v>
      </c>
      <c r="P54" s="75">
        <v>32</v>
      </c>
      <c r="Q54" s="75">
        <v>35</v>
      </c>
      <c r="R54" s="75">
        <v>-37</v>
      </c>
      <c r="S54" s="76">
        <f t="shared" si="21"/>
        <v>35</v>
      </c>
      <c r="T54" s="77">
        <f t="shared" si="22"/>
        <v>62</v>
      </c>
      <c r="U54" s="78">
        <f t="shared" si="23"/>
        <v>-48.400000000000006</v>
      </c>
      <c r="V54" s="79" t="str">
        <f t="shared" si="24"/>
        <v>DEP +</v>
      </c>
      <c r="W54" s="80">
        <f t="shared" si="25"/>
        <v>2</v>
      </c>
      <c r="X54" s="81" t="str">
        <f>IF(I54="","",IF(A54="H",IF(OR(H54="SEN",H54&lt;1995),VLOOKUP(I54,Feuil1!$A$11:$G$29,6),IF(AND(H54&gt;1994,H54&lt;1998),VLOOKUP(I54,Feuil1!$A$11:$G$29,5),IF(AND(H54&gt;1997,H54&lt;2000),VLOOKUP(I54,Feuil1!$A$11:$G$29,4),IF(AND(H54&gt;1999,H54&lt;2002),VLOOKUP(I54,Feuil1!$A$11:$G$29,3),VLOOKUP(I54,Feuil1!$A$11:$G$29,2))))),IF(OR(H54="SEN",H54&lt;1995),VLOOKUP(I54,Feuil1!$G$11:$L$25,6),IF(AND(H54&gt;1994,H54&lt;1998),VLOOKUP(I54,Feuil1!$G$11:$L$25,5),IF(AND(H54&gt;1997,H54&lt;2000),VLOOKUP(I54,Feuil1!$G$11:$L$25,4),IF(AND(H54&gt;1999,H54&lt;2002),VLOOKUP(I54,Feuil1!$G$11:$L$25,3),VLOOKUP(I54,Feuil1!$G$11:$L$25,2)))))))</f>
        <v>FC2 58</v>
      </c>
      <c r="Y54" s="39">
        <f t="shared" si="26"/>
        <v>90.586199792287573</v>
      </c>
      <c r="Z54" s="45"/>
      <c r="AA54" s="45" t="s">
        <v>12</v>
      </c>
      <c r="AB54" s="3">
        <f>T54-HLOOKUP(X54,Feuil1!$C$1:$BL$10,2,FALSE)</f>
        <v>12</v>
      </c>
      <c r="AC54" s="3">
        <f>T54-HLOOKUP(X54,Feuil1!$C$1:$BL$10,3,FALSE)</f>
        <v>2</v>
      </c>
      <c r="AD54" s="3">
        <f>T54-HLOOKUP(X54,Feuil1!$C$1:$BL$10,4,FALSE)</f>
        <v>-8</v>
      </c>
      <c r="AE54" s="3">
        <f>T54-HLOOKUP(X54,Feuil1!$C$1:$BL$10,5,FALSE)</f>
        <v>-18</v>
      </c>
      <c r="AF54" s="3">
        <f>T54-HLOOKUP(X54,Feuil1!$C$1:$BL$10,6,FALSE)</f>
        <v>-28</v>
      </c>
      <c r="AG54" s="3">
        <f>T54-HLOOKUP(X54,Feuil1!$C$1:$BL$10,7,FALSE)</f>
        <v>-38</v>
      </c>
      <c r="AH54" s="3">
        <f>T54-HLOOKUP(X54,Feuil1!$C$1:$BL$10,8,FALSE)</f>
        <v>-53</v>
      </c>
      <c r="AI54" s="3">
        <f>T54-HLOOKUP(X54,Feuil1!$C$1:$BL$10,9,FALSE)</f>
        <v>-68</v>
      </c>
      <c r="AJ54" s="3">
        <f>T54-HLOOKUP(X54,Feuil1!$C$1:$BL$10,10,FALSE)</f>
        <v>-938</v>
      </c>
      <c r="AQ54" s="5" t="str">
        <f t="shared" si="27"/>
        <v>DEP +</v>
      </c>
      <c r="BC54" s="13"/>
    </row>
    <row r="55" spans="1:55" ht="21" hidden="1" x14ac:dyDescent="0.2">
      <c r="A55" s="12" t="s">
        <v>69</v>
      </c>
      <c r="B55" s="18" t="s">
        <v>298</v>
      </c>
      <c r="C55" s="19" t="s">
        <v>476</v>
      </c>
      <c r="D55" s="61">
        <v>16</v>
      </c>
      <c r="E55" s="35">
        <v>357294</v>
      </c>
      <c r="F55" s="20" t="s">
        <v>495</v>
      </c>
      <c r="G55" s="20" t="s">
        <v>114</v>
      </c>
      <c r="H55" s="51">
        <v>1999</v>
      </c>
      <c r="I55" s="30">
        <v>55.8</v>
      </c>
      <c r="J55" s="19" t="s">
        <v>481</v>
      </c>
      <c r="K55" s="34" t="s">
        <v>69</v>
      </c>
      <c r="L55" s="31">
        <v>15</v>
      </c>
      <c r="M55" s="31">
        <v>20</v>
      </c>
      <c r="N55" s="31">
        <v>23</v>
      </c>
      <c r="O55" s="36">
        <f t="shared" si="20"/>
        <v>23</v>
      </c>
      <c r="P55" s="31">
        <v>20</v>
      </c>
      <c r="Q55" s="31">
        <v>25</v>
      </c>
      <c r="R55" s="31">
        <v>28</v>
      </c>
      <c r="S55" s="36">
        <f t="shared" si="21"/>
        <v>28</v>
      </c>
      <c r="T55" s="37">
        <f t="shared" si="22"/>
        <v>51</v>
      </c>
      <c r="U55" s="65">
        <f t="shared" si="23"/>
        <v>-60.599999999999994</v>
      </c>
      <c r="V55" s="41" t="str">
        <f t="shared" si="24"/>
        <v xml:space="preserve">DEB </v>
      </c>
      <c r="W55" s="33">
        <f t="shared" si="25"/>
        <v>1</v>
      </c>
      <c r="X55" s="40" t="str">
        <f>IF(I55="","",IF(A55="H",IF(OR(H55="SEN",H55&lt;1995),VLOOKUP(I55,Feuil1!$A$11:$G$29,6),IF(AND(H55&gt;1994,H55&lt;1998),VLOOKUP(I55,Feuil1!$A$11:$G$29,5),IF(AND(H55&gt;1997,H55&lt;2000),VLOOKUP(I55,Feuil1!$A$11:$G$29,4),IF(AND(H55&gt;1999,H55&lt;2002),VLOOKUP(I55,Feuil1!$A$11:$G$29,3),VLOOKUP(I55,Feuil1!$A$11:$G$29,2))))),IF(OR(H55="SEN",H55&lt;1995),VLOOKUP(I55,Feuil1!$G$11:$L$25,6),IF(AND(H55&gt;1994,H55&lt;1998),VLOOKUP(I55,Feuil1!$G$11:$L$25,5),IF(AND(H55&gt;1997,H55&lt;2000),VLOOKUP(I55,Feuil1!$G$11:$L$25,4),IF(AND(H55&gt;1999,H55&lt;2002),VLOOKUP(I55,Feuil1!$G$11:$L$25,3),VLOOKUP(I55,Feuil1!$G$11:$L$25,2)))))))</f>
        <v>FC2 58</v>
      </c>
      <c r="Y55" s="39">
        <f t="shared" si="26"/>
        <v>73.901088190844476</v>
      </c>
      <c r="Z55" s="45"/>
      <c r="AA55" s="45" t="s">
        <v>12</v>
      </c>
      <c r="AB55" s="3">
        <f>T55-HLOOKUP(X55,Feuil1!$C$1:$BL$10,2,FALSE)</f>
        <v>1</v>
      </c>
      <c r="AC55" s="3">
        <f>T55-HLOOKUP(X55,Feuil1!$C$1:$BL$10,3,FALSE)</f>
        <v>-9</v>
      </c>
      <c r="AD55" s="3">
        <f>T55-HLOOKUP(X55,Feuil1!$C$1:$BL$10,4,FALSE)</f>
        <v>-19</v>
      </c>
      <c r="AE55" s="3">
        <f>T55-HLOOKUP(X55,Feuil1!$C$1:$BL$10,5,FALSE)</f>
        <v>-29</v>
      </c>
      <c r="AF55" s="3">
        <f>T55-HLOOKUP(X55,Feuil1!$C$1:$BL$10,6,FALSE)</f>
        <v>-39</v>
      </c>
      <c r="AG55" s="3">
        <f>T55-HLOOKUP(X55,Feuil1!$C$1:$BL$10,7,FALSE)</f>
        <v>-49</v>
      </c>
      <c r="AH55" s="3">
        <f>T55-HLOOKUP(X55,Feuil1!$C$1:$BL$10,8,FALSE)</f>
        <v>-64</v>
      </c>
      <c r="AI55" s="3">
        <f>T55-HLOOKUP(X55,Feuil1!$C$1:$BL$10,9,FALSE)</f>
        <v>-79</v>
      </c>
      <c r="AJ55" s="3">
        <f>T55-HLOOKUP(X55,Feuil1!$C$1:$BL$10,10,FALSE)</f>
        <v>-949</v>
      </c>
      <c r="AQ55" s="5" t="str">
        <f t="shared" si="27"/>
        <v xml:space="preserve">DEB </v>
      </c>
    </row>
    <row r="56" spans="1:55" ht="21" hidden="1" x14ac:dyDescent="0.2">
      <c r="A56" s="12" t="s">
        <v>69</v>
      </c>
      <c r="B56" s="18" t="s">
        <v>108</v>
      </c>
      <c r="C56" s="19" t="s">
        <v>119</v>
      </c>
      <c r="D56" s="61">
        <v>17</v>
      </c>
      <c r="E56" s="35">
        <v>381288</v>
      </c>
      <c r="F56" s="20" t="s">
        <v>141</v>
      </c>
      <c r="G56" s="20" t="s">
        <v>176</v>
      </c>
      <c r="H56" s="51">
        <v>1998</v>
      </c>
      <c r="I56" s="30">
        <v>57.1</v>
      </c>
      <c r="J56" s="19" t="s">
        <v>138</v>
      </c>
      <c r="K56" s="34" t="s">
        <v>69</v>
      </c>
      <c r="L56" s="31">
        <v>21</v>
      </c>
      <c r="M56" s="31">
        <v>-23</v>
      </c>
      <c r="N56" s="31">
        <v>-23</v>
      </c>
      <c r="O56" s="36">
        <f t="shared" si="20"/>
        <v>21</v>
      </c>
      <c r="P56" s="31">
        <v>26</v>
      </c>
      <c r="Q56" s="31">
        <v>28</v>
      </c>
      <c r="R56" s="31">
        <v>-30</v>
      </c>
      <c r="S56" s="36">
        <f t="shared" si="21"/>
        <v>28</v>
      </c>
      <c r="T56" s="37">
        <f t="shared" si="22"/>
        <v>49</v>
      </c>
      <c r="U56" s="65">
        <f t="shared" si="23"/>
        <v>-65.2</v>
      </c>
      <c r="V56" s="41" t="str">
        <f t="shared" si="24"/>
        <v xml:space="preserve">DEB </v>
      </c>
      <c r="W56" s="33">
        <f t="shared" si="25"/>
        <v>-1</v>
      </c>
      <c r="X56" s="40" t="str">
        <f>IF(I56="","",IF(A56="H",IF(OR(H56="SEN",H56&lt;1995),VLOOKUP(I56,Feuil1!$A$11:$G$29,6),IF(AND(H56&gt;1994,H56&lt;1998),VLOOKUP(I56,Feuil1!$A$11:$G$29,5),IF(AND(H56&gt;1997,H56&lt;2000),VLOOKUP(I56,Feuil1!$A$11:$G$29,4),IF(AND(H56&gt;1999,H56&lt;2002),VLOOKUP(I56,Feuil1!$A$11:$G$29,3),VLOOKUP(I56,Feuil1!$A$11:$G$29,2))))),IF(OR(H56="SEN",H56&lt;1995),VLOOKUP(I56,Feuil1!$G$11:$L$25,6),IF(AND(H56&gt;1994,H56&lt;1998),VLOOKUP(I56,Feuil1!$G$11:$L$25,5),IF(AND(H56&gt;1997,H56&lt;2000),VLOOKUP(I56,Feuil1!$G$11:$L$25,4),IF(AND(H56&gt;1999,H56&lt;2002),VLOOKUP(I56,Feuil1!$G$11:$L$25,3),VLOOKUP(I56,Feuil1!$G$11:$L$25,2)))))))</f>
        <v>FC2 58</v>
      </c>
      <c r="Y56" s="39">
        <f t="shared" si="26"/>
        <v>69.784920834578017</v>
      </c>
      <c r="Z56" s="45"/>
      <c r="AA56" s="45" t="s">
        <v>12</v>
      </c>
      <c r="AB56" s="3">
        <f>T56-HLOOKUP(X56,Feuil1!$C$1:$BL$10,2,FALSE)</f>
        <v>-1</v>
      </c>
      <c r="AC56" s="3">
        <f>T56-HLOOKUP(X56,Feuil1!$C$1:$BL$10,3,FALSE)</f>
        <v>-11</v>
      </c>
      <c r="AD56" s="3">
        <f>T56-HLOOKUP(X56,Feuil1!$C$1:$BL$10,4,FALSE)</f>
        <v>-21</v>
      </c>
      <c r="AE56" s="3">
        <f>T56-HLOOKUP(X56,Feuil1!$C$1:$BL$10,5,FALSE)</f>
        <v>-31</v>
      </c>
      <c r="AF56" s="3">
        <f>T56-HLOOKUP(X56,Feuil1!$C$1:$BL$10,6,FALSE)</f>
        <v>-41</v>
      </c>
      <c r="AG56" s="3">
        <f>T56-HLOOKUP(X56,Feuil1!$C$1:$BL$10,7,FALSE)</f>
        <v>-51</v>
      </c>
      <c r="AH56" s="3">
        <f>T56-HLOOKUP(X56,Feuil1!$C$1:$BL$10,8,FALSE)</f>
        <v>-66</v>
      </c>
      <c r="AI56" s="3">
        <f>T56-HLOOKUP(X56,Feuil1!$C$1:$BL$10,9,FALSE)</f>
        <v>-81</v>
      </c>
      <c r="AJ56" s="3">
        <f>T56-HLOOKUP(X56,Feuil1!$C$1:$BL$10,10,FALSE)</f>
        <v>-951</v>
      </c>
      <c r="AQ56" s="5" t="str">
        <f t="shared" si="27"/>
        <v xml:space="preserve">DEB </v>
      </c>
    </row>
    <row r="57" spans="1:55" ht="21" hidden="1" x14ac:dyDescent="0.2">
      <c r="A57" s="12" t="s">
        <v>69</v>
      </c>
      <c r="B57" s="18" t="s">
        <v>536</v>
      </c>
      <c r="C57" s="19" t="s">
        <v>545</v>
      </c>
      <c r="D57" s="61">
        <v>18</v>
      </c>
      <c r="E57" s="35">
        <v>365939</v>
      </c>
      <c r="F57" s="20" t="s">
        <v>564</v>
      </c>
      <c r="G57" s="20" t="s">
        <v>486</v>
      </c>
      <c r="H57" s="51">
        <v>1999</v>
      </c>
      <c r="I57" s="30">
        <v>57.6</v>
      </c>
      <c r="J57" s="19" t="s">
        <v>557</v>
      </c>
      <c r="K57" s="34" t="s">
        <v>69</v>
      </c>
      <c r="L57" s="31">
        <v>15</v>
      </c>
      <c r="M57" s="31">
        <v>17</v>
      </c>
      <c r="N57" s="31">
        <v>-20</v>
      </c>
      <c r="O57" s="36">
        <f t="shared" si="20"/>
        <v>17</v>
      </c>
      <c r="P57" s="31">
        <v>18</v>
      </c>
      <c r="Q57" s="31">
        <v>20</v>
      </c>
      <c r="R57" s="31">
        <v>22</v>
      </c>
      <c r="S57" s="36">
        <f t="shared" si="21"/>
        <v>22</v>
      </c>
      <c r="T57" s="37">
        <f t="shared" si="22"/>
        <v>39</v>
      </c>
      <c r="U57" s="65">
        <f t="shared" si="23"/>
        <v>-76.2</v>
      </c>
      <c r="V57" s="41" t="str">
        <f t="shared" si="24"/>
        <v xml:space="preserve">DEB </v>
      </c>
      <c r="W57" s="33">
        <f t="shared" si="25"/>
        <v>-11</v>
      </c>
      <c r="X57" s="40" t="str">
        <f>IF(I57="","",IF(A57="H",IF(OR(H57="SEN",H57&lt;1995),VLOOKUP(I57,Feuil1!$A$11:$G$29,6),IF(AND(H57&gt;1994,H57&lt;1998),VLOOKUP(I57,Feuil1!$A$11:$G$29,5),IF(AND(H57&gt;1997,H57&lt;2000),VLOOKUP(I57,Feuil1!$A$11:$G$29,4),IF(AND(H57&gt;1999,H57&lt;2002),VLOOKUP(I57,Feuil1!$A$11:$G$29,3),VLOOKUP(I57,Feuil1!$A$11:$G$29,2))))),IF(OR(H57="SEN",H57&lt;1995),VLOOKUP(I57,Feuil1!$G$11:$L$25,6),IF(AND(H57&gt;1994,H57&lt;1998),VLOOKUP(I57,Feuil1!$G$11:$L$25,5),IF(AND(H57&gt;1997,H57&lt;2000),VLOOKUP(I57,Feuil1!$G$11:$L$25,4),IF(AND(H57&gt;1999,H57&lt;2002),VLOOKUP(I57,Feuil1!$G$11:$L$25,3),VLOOKUP(I57,Feuil1!$G$11:$L$25,2)))))))</f>
        <v>FC2 58</v>
      </c>
      <c r="Y57" s="39">
        <f t="shared" si="26"/>
        <v>55.186390224205468</v>
      </c>
      <c r="Z57" s="45"/>
      <c r="AA57" s="45" t="s">
        <v>12</v>
      </c>
      <c r="AB57" s="3">
        <f>T57-HLOOKUP(X57,Feuil1!$C$1:$BL$10,2,FALSE)</f>
        <v>-11</v>
      </c>
      <c r="AC57" s="3">
        <f>T57-HLOOKUP(X57,Feuil1!$C$1:$BL$10,3,FALSE)</f>
        <v>-21</v>
      </c>
      <c r="AD57" s="3">
        <f>T57-HLOOKUP(X57,Feuil1!$C$1:$BL$10,4,FALSE)</f>
        <v>-31</v>
      </c>
      <c r="AE57" s="3">
        <f>T57-HLOOKUP(X57,Feuil1!$C$1:$BL$10,5,FALSE)</f>
        <v>-41</v>
      </c>
      <c r="AF57" s="3">
        <f>T57-HLOOKUP(X57,Feuil1!$C$1:$BL$10,6,FALSE)</f>
        <v>-51</v>
      </c>
      <c r="AG57" s="3">
        <f>T57-HLOOKUP(X57,Feuil1!$C$1:$BL$10,7,FALSE)</f>
        <v>-61</v>
      </c>
      <c r="AH57" s="3">
        <f>T57-HLOOKUP(X57,Feuil1!$C$1:$BL$10,8,FALSE)</f>
        <v>-76</v>
      </c>
      <c r="AI57" s="3">
        <f>T57-HLOOKUP(X57,Feuil1!$C$1:$BL$10,9,FALSE)</f>
        <v>-91</v>
      </c>
      <c r="AJ57" s="3">
        <f>T57-HLOOKUP(X57,Feuil1!$C$1:$BL$10,10,FALSE)</f>
        <v>-961</v>
      </c>
      <c r="AQ57" s="5" t="str">
        <f t="shared" si="27"/>
        <v xml:space="preserve">DEB </v>
      </c>
    </row>
    <row r="58" spans="1:55" s="13" customFormat="1" ht="15" hidden="1" customHeight="1" thickBot="1" x14ac:dyDescent="0.25">
      <c r="A58" s="89"/>
      <c r="B58" s="90"/>
      <c r="C58" s="91"/>
      <c r="D58" s="92"/>
      <c r="E58" s="93"/>
      <c r="F58" s="94"/>
      <c r="G58" s="94"/>
      <c r="H58" s="95"/>
      <c r="I58" s="96"/>
      <c r="J58" s="91"/>
      <c r="K58" s="97"/>
      <c r="L58" s="98"/>
      <c r="M58" s="98"/>
      <c r="N58" s="98"/>
      <c r="O58" s="99"/>
      <c r="P58" s="98"/>
      <c r="Q58" s="98"/>
      <c r="R58" s="98"/>
      <c r="S58" s="99"/>
      <c r="T58" s="100"/>
      <c r="U58" s="101"/>
      <c r="V58" s="102"/>
      <c r="W58" s="103"/>
      <c r="X58" s="104"/>
      <c r="Y58" s="105"/>
      <c r="Z58" s="45"/>
      <c r="AA58" s="45" t="s">
        <v>12</v>
      </c>
      <c r="AB58" s="3" t="e">
        <f>T58-HLOOKUP(X58,Feuil1!$C$1:$BL$10,2,FALSE)</f>
        <v>#N/A</v>
      </c>
      <c r="AC58" s="3" t="e">
        <f>T58-HLOOKUP(X58,Feuil1!$C$1:$BL$10,3,FALSE)</f>
        <v>#N/A</v>
      </c>
      <c r="AD58" s="3" t="e">
        <f>T58-HLOOKUP(X58,Feuil1!$C$1:$BL$10,4,FALSE)</f>
        <v>#N/A</v>
      </c>
      <c r="AE58" s="3" t="e">
        <f>T58-HLOOKUP(X58,Feuil1!$C$1:$BL$10,5,FALSE)</f>
        <v>#N/A</v>
      </c>
      <c r="AF58" s="3" t="e">
        <f>T58-HLOOKUP(X58,Feuil1!$C$1:$BL$10,6,FALSE)</f>
        <v>#N/A</v>
      </c>
      <c r="AG58" s="3" t="e">
        <f>T58-HLOOKUP(X58,Feuil1!$C$1:$BL$10,7,FALSE)</f>
        <v>#N/A</v>
      </c>
      <c r="AH58" s="3" t="e">
        <f>T58-HLOOKUP(X58,Feuil1!$C$1:$BL$10,8,FALSE)</f>
        <v>#N/A</v>
      </c>
      <c r="AI58" s="3" t="e">
        <f>T58-HLOOKUP(X58,Feuil1!$C$1:$BL$10,9,FALSE)</f>
        <v>#N/A</v>
      </c>
      <c r="AJ58" s="3" t="e">
        <f>T58-HLOOKUP(X58,Feuil1!$C$1:$BL$10,10,FALSE)</f>
        <v>#N/A</v>
      </c>
      <c r="AK58" s="5"/>
      <c r="AL58" s="5"/>
      <c r="AM58" s="5"/>
      <c r="AN58" s="5"/>
      <c r="AO58" s="5"/>
      <c r="AP58" s="5"/>
      <c r="AQ58" s="5" t="e">
        <f t="shared" ref="AQ58" si="28">IF(AJ58&gt;=0,$AJ$1,IF(AI58&gt;=0,$AI$1,IF(AH58&gt;=0,$AH$1,IF(AG58&gt;=0,$AG$1,IF(AF58&gt;=0,$AF$1,IF(AE58&gt;=0,$AE$1,IF(AD58&gt;=0,$AD$1,IF(AC58&gt;=0,$AC$1,$AB$1))))))))</f>
        <v>#N/A</v>
      </c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</row>
    <row r="59" spans="1:55" ht="21" x14ac:dyDescent="0.2">
      <c r="A59" s="12" t="s">
        <v>69</v>
      </c>
      <c r="B59" s="18" t="s">
        <v>108</v>
      </c>
      <c r="C59" s="19" t="s">
        <v>119</v>
      </c>
      <c r="D59" s="61">
        <v>1</v>
      </c>
      <c r="E59" s="35">
        <v>238723</v>
      </c>
      <c r="F59" s="20" t="s">
        <v>142</v>
      </c>
      <c r="G59" s="20" t="s">
        <v>409</v>
      </c>
      <c r="H59" s="51">
        <v>1998</v>
      </c>
      <c r="I59" s="30">
        <v>62.85</v>
      </c>
      <c r="J59" s="19" t="s">
        <v>144</v>
      </c>
      <c r="K59" s="34" t="s">
        <v>69</v>
      </c>
      <c r="L59" s="31">
        <v>64</v>
      </c>
      <c r="M59" s="31">
        <v>67</v>
      </c>
      <c r="N59" s="31">
        <v>69</v>
      </c>
      <c r="O59" s="36">
        <f t="shared" ref="O59:O77" si="29">IF(H59="","",IF(MAXA(L59:N59)&lt;=0,0,MAXA(L59:N59)))</f>
        <v>69</v>
      </c>
      <c r="P59" s="31">
        <v>82</v>
      </c>
      <c r="Q59" s="31">
        <v>85</v>
      </c>
      <c r="R59" s="31">
        <v>88</v>
      </c>
      <c r="S59" s="36">
        <f t="shared" ref="S59:S77" si="30">IF(H59="","",IF(MAXA(P59:R59)&lt;=0,0,MAXA(P59:R59)))</f>
        <v>88</v>
      </c>
      <c r="T59" s="37">
        <f t="shared" ref="T59:T77" si="31">IF(H59="","",IF(OR(O59=0,S59=0),0,O59+S59))</f>
        <v>157</v>
      </c>
      <c r="U59" s="65">
        <f t="shared" ref="U59:U77" si="32">T59-I59*2</f>
        <v>31.299999999999997</v>
      </c>
      <c r="V59" s="41" t="str">
        <f t="shared" ref="V59:V77" si="33">IF(H59="","",AQ59)</f>
        <v>INTA +</v>
      </c>
      <c r="W59" s="33">
        <f t="shared" ref="W59:W77" si="34">IF(AJ59&gt;=0,AJ59,IF(AI59&gt;=0,AI59,IF(AH59&gt;=0,AH59,IF(AG59&gt;=0,AG59,IF(AF59&gt;=0,AF59,IF(AE59&gt;=0,AE59,IF(AD59&gt;=0,AD59,IF(AC59&gt;=0,AC59,AB59))))))))</f>
        <v>17</v>
      </c>
      <c r="X59" s="40" t="str">
        <f>IF(I59="","",IF(A59="H",IF(OR(H59="SEN",H59&lt;1995),VLOOKUP(I59,Feuil1!$A$11:$G$29,6),IF(AND(H59&gt;1994,H59&lt;1998),VLOOKUP(I59,Feuil1!$A$11:$G$29,5),IF(AND(H59&gt;1997,H59&lt;2000),VLOOKUP(I59,Feuil1!$A$11:$G$29,4),IF(AND(H59&gt;1999,H59&lt;2002),VLOOKUP(I59,Feuil1!$A$11:$G$29,3),VLOOKUP(I59,Feuil1!$A$11:$G$29,2))))),IF(OR(H59="SEN",H59&lt;1995),VLOOKUP(I59,Feuil1!$G$11:$L$25,6),IF(AND(H59&gt;1994,H59&lt;1998),VLOOKUP(I59,Feuil1!$G$11:$L$25,5),IF(AND(H59&gt;1997,H59&lt;2000),VLOOKUP(I59,Feuil1!$G$11:$L$25,4),IF(AND(H59&gt;1999,H59&lt;2002),VLOOKUP(I59,Feuil1!$G$11:$L$25,3),VLOOKUP(I59,Feuil1!$G$11:$L$25,2)))))))</f>
        <v>FC2 63</v>
      </c>
      <c r="Y59" s="39">
        <f t="shared" ref="Y59:Y77" si="35">IF(I59="","",IF(A59="H",10^(0.794358141*LOG(I59/174.393)^2)*T59,IF(A59="F",10^(0.89726074*LOG(I59/148.026)^2)*T59,"")))</f>
        <v>208.97196541432103</v>
      </c>
      <c r="Z59" s="45"/>
      <c r="AA59" s="45" t="s">
        <v>12</v>
      </c>
      <c r="AB59" s="3">
        <f>T59-HLOOKUP(X59,Feuil1!$C$1:$BL$10,2,FALSE)</f>
        <v>102</v>
      </c>
      <c r="AC59" s="3">
        <f>T59-HLOOKUP(X59,Feuil1!$C$1:$BL$10,3,FALSE)</f>
        <v>92</v>
      </c>
      <c r="AD59" s="3">
        <f>T59-HLOOKUP(X59,Feuil1!$C$1:$BL$10,4,FALSE)</f>
        <v>82</v>
      </c>
      <c r="AE59" s="3">
        <f>T59-HLOOKUP(X59,Feuil1!$C$1:$BL$10,5,FALSE)</f>
        <v>72</v>
      </c>
      <c r="AF59" s="3">
        <f>T59-HLOOKUP(X59,Feuil1!$C$1:$BL$10,6,FALSE)</f>
        <v>62</v>
      </c>
      <c r="AG59" s="3">
        <f>T59-HLOOKUP(X59,Feuil1!$C$1:$BL$10,7,FALSE)</f>
        <v>47</v>
      </c>
      <c r="AH59" s="3">
        <f>T59-HLOOKUP(X59,Feuil1!$C$1:$BL$10,8,FALSE)</f>
        <v>32</v>
      </c>
      <c r="AI59" s="3">
        <f>T59-HLOOKUP(X59,Feuil1!$C$1:$BL$10,9,FALSE)</f>
        <v>17</v>
      </c>
      <c r="AJ59" s="3">
        <f>T59-HLOOKUP(X59,Feuil1!$C$1:$BL$10,10,FALSE)</f>
        <v>-843</v>
      </c>
      <c r="AQ59" s="5" t="str">
        <f t="shared" ref="AQ59:AQ77" si="36">IF(AJ59&gt;=0,$AJ$1,IF(AI59&gt;=0,$AI$1,IF(AH59&gt;=0,$AH$1,IF(AG59&gt;=0,$AG$1,IF(AF59&gt;=0,$AF$1,IF(AE59&gt;=0,$AE$1,IF(AD59&gt;=0,$AD$1,IF(AC59&gt;=0,$AC$1,$AB$1))))))))</f>
        <v>INTA +</v>
      </c>
    </row>
    <row r="60" spans="1:55" ht="21" x14ac:dyDescent="0.2">
      <c r="A60" s="12" t="s">
        <v>69</v>
      </c>
      <c r="B60" s="67" t="s">
        <v>298</v>
      </c>
      <c r="C60" s="68" t="s">
        <v>476</v>
      </c>
      <c r="D60" s="69">
        <v>2</v>
      </c>
      <c r="E60" s="70">
        <v>260923</v>
      </c>
      <c r="F60" s="71" t="s">
        <v>399</v>
      </c>
      <c r="G60" s="71" t="s">
        <v>488</v>
      </c>
      <c r="H60" s="72">
        <v>1998</v>
      </c>
      <c r="I60" s="73">
        <v>58.8</v>
      </c>
      <c r="J60" s="68" t="s">
        <v>481</v>
      </c>
      <c r="K60" s="74" t="s">
        <v>69</v>
      </c>
      <c r="L60" s="75">
        <v>56</v>
      </c>
      <c r="M60" s="75">
        <v>59</v>
      </c>
      <c r="N60" s="75">
        <v>-61</v>
      </c>
      <c r="O60" s="76">
        <f t="shared" si="29"/>
        <v>59</v>
      </c>
      <c r="P60" s="75">
        <v>72</v>
      </c>
      <c r="Q60" s="75">
        <v>74</v>
      </c>
      <c r="R60" s="75">
        <v>-76</v>
      </c>
      <c r="S60" s="76">
        <f t="shared" si="30"/>
        <v>74</v>
      </c>
      <c r="T60" s="77">
        <f t="shared" si="31"/>
        <v>133</v>
      </c>
      <c r="U60" s="78">
        <f t="shared" si="32"/>
        <v>15.400000000000006</v>
      </c>
      <c r="V60" s="79" t="str">
        <f t="shared" si="33"/>
        <v>INTB +</v>
      </c>
      <c r="W60" s="80">
        <f t="shared" si="34"/>
        <v>8</v>
      </c>
      <c r="X60" s="81" t="str">
        <f>IF(I60="","",IF(A60="H",IF(OR(H60="SEN",H60&lt;1995),VLOOKUP(I60,Feuil1!$A$11:$G$29,6),IF(AND(H60&gt;1994,H60&lt;1998),VLOOKUP(I60,Feuil1!$A$11:$G$29,5),IF(AND(H60&gt;1997,H60&lt;2000),VLOOKUP(I60,Feuil1!$A$11:$G$29,4),IF(AND(H60&gt;1999,H60&lt;2002),VLOOKUP(I60,Feuil1!$A$11:$G$29,3),VLOOKUP(I60,Feuil1!$A$11:$G$29,2))))),IF(OR(H60="SEN",H60&lt;1995),VLOOKUP(I60,Feuil1!$G$11:$L$25,6),IF(AND(H60&gt;1994,H60&lt;1998),VLOOKUP(I60,Feuil1!$G$11:$L$25,5),IF(AND(H60&gt;1997,H60&lt;2000),VLOOKUP(I60,Feuil1!$G$11:$L$25,4),IF(AND(H60&gt;1999,H60&lt;2002),VLOOKUP(I60,Feuil1!$G$11:$L$25,3),VLOOKUP(I60,Feuil1!$G$11:$L$25,2)))))))</f>
        <v>FC2 63</v>
      </c>
      <c r="Y60" s="39">
        <f t="shared" si="35"/>
        <v>185.39745581446761</v>
      </c>
      <c r="Z60" s="45"/>
      <c r="AA60" s="45" t="s">
        <v>12</v>
      </c>
      <c r="AB60" s="3">
        <f>T60-HLOOKUP(X60,Feuil1!$C$1:$BL$10,2,FALSE)</f>
        <v>78</v>
      </c>
      <c r="AC60" s="3">
        <f>T60-HLOOKUP(X60,Feuil1!$C$1:$BL$10,3,FALSE)</f>
        <v>68</v>
      </c>
      <c r="AD60" s="3">
        <f>T60-HLOOKUP(X60,Feuil1!$C$1:$BL$10,4,FALSE)</f>
        <v>58</v>
      </c>
      <c r="AE60" s="3">
        <f>T60-HLOOKUP(X60,Feuil1!$C$1:$BL$10,5,FALSE)</f>
        <v>48</v>
      </c>
      <c r="AF60" s="3">
        <f>T60-HLOOKUP(X60,Feuil1!$C$1:$BL$10,6,FALSE)</f>
        <v>38</v>
      </c>
      <c r="AG60" s="3">
        <f>T60-HLOOKUP(X60,Feuil1!$C$1:$BL$10,7,FALSE)</f>
        <v>23</v>
      </c>
      <c r="AH60" s="3">
        <f>T60-HLOOKUP(X60,Feuil1!$C$1:$BL$10,8,FALSE)</f>
        <v>8</v>
      </c>
      <c r="AI60" s="3">
        <f>T60-HLOOKUP(X60,Feuil1!$C$1:$BL$10,9,FALSE)</f>
        <v>-7</v>
      </c>
      <c r="AJ60" s="3">
        <f>T60-HLOOKUP(X60,Feuil1!$C$1:$BL$10,10,FALSE)</f>
        <v>-867</v>
      </c>
      <c r="AQ60" s="5" t="str">
        <f t="shared" si="36"/>
        <v>INTB +</v>
      </c>
    </row>
    <row r="61" spans="1:55" ht="21" hidden="1" x14ac:dyDescent="0.2">
      <c r="A61" s="12" t="s">
        <v>69</v>
      </c>
      <c r="B61" s="18" t="s">
        <v>649</v>
      </c>
      <c r="C61" s="19" t="s">
        <v>669</v>
      </c>
      <c r="D61" s="61">
        <v>3</v>
      </c>
      <c r="E61" s="35">
        <v>382038</v>
      </c>
      <c r="F61" s="20" t="s">
        <v>678</v>
      </c>
      <c r="G61" s="20" t="s">
        <v>417</v>
      </c>
      <c r="H61" s="51">
        <v>1999</v>
      </c>
      <c r="I61" s="30">
        <v>62.2</v>
      </c>
      <c r="J61" s="19" t="s">
        <v>672</v>
      </c>
      <c r="K61" s="34" t="s">
        <v>69</v>
      </c>
      <c r="L61" s="31">
        <v>50</v>
      </c>
      <c r="M61" s="31">
        <v>55</v>
      </c>
      <c r="N61" s="31">
        <v>57</v>
      </c>
      <c r="O61" s="36">
        <f t="shared" si="29"/>
        <v>57</v>
      </c>
      <c r="P61" s="31">
        <v>63</v>
      </c>
      <c r="Q61" s="31">
        <v>67</v>
      </c>
      <c r="R61" s="31">
        <v>-70</v>
      </c>
      <c r="S61" s="36">
        <f t="shared" si="30"/>
        <v>67</v>
      </c>
      <c r="T61" s="37">
        <f t="shared" si="31"/>
        <v>124</v>
      </c>
      <c r="U61" s="65">
        <f t="shared" si="32"/>
        <v>-0.40000000000000568</v>
      </c>
      <c r="V61" s="41" t="str">
        <f t="shared" si="33"/>
        <v>NAT +</v>
      </c>
      <c r="W61" s="33">
        <f t="shared" si="34"/>
        <v>14</v>
      </c>
      <c r="X61" s="40" t="str">
        <f>IF(I61="","",IF(A61="H",IF(OR(H61="SEN",H61&lt;1995),VLOOKUP(I61,Feuil1!$A$11:$G$29,6),IF(AND(H61&gt;1994,H61&lt;1998),VLOOKUP(I61,Feuil1!$A$11:$G$29,5),IF(AND(H61&gt;1997,H61&lt;2000),VLOOKUP(I61,Feuil1!$A$11:$G$29,4),IF(AND(H61&gt;1999,H61&lt;2002),VLOOKUP(I61,Feuil1!$A$11:$G$29,3),VLOOKUP(I61,Feuil1!$A$11:$G$29,2))))),IF(OR(H61="SEN",H61&lt;1995),VLOOKUP(I61,Feuil1!$G$11:$L$25,6),IF(AND(H61&gt;1994,H61&lt;1998),VLOOKUP(I61,Feuil1!$G$11:$L$25,5),IF(AND(H61&gt;1997,H61&lt;2000),VLOOKUP(I61,Feuil1!$G$11:$L$25,4),IF(AND(H61&gt;1999,H61&lt;2002),VLOOKUP(I61,Feuil1!$G$11:$L$25,3),VLOOKUP(I61,Feuil1!$G$11:$L$25,2)))))))</f>
        <v>FC2 63</v>
      </c>
      <c r="Y61" s="39">
        <f t="shared" si="35"/>
        <v>166.20442764082253</v>
      </c>
      <c r="Z61" s="45"/>
      <c r="AA61" s="45" t="s">
        <v>12</v>
      </c>
      <c r="AB61" s="3">
        <f>T61-HLOOKUP(X61,Feuil1!$C$1:$BL$10,2,FALSE)</f>
        <v>69</v>
      </c>
      <c r="AC61" s="3">
        <f>T61-HLOOKUP(X61,Feuil1!$C$1:$BL$10,3,FALSE)</f>
        <v>59</v>
      </c>
      <c r="AD61" s="3">
        <f>T61-HLOOKUP(X61,Feuil1!$C$1:$BL$10,4,FALSE)</f>
        <v>49</v>
      </c>
      <c r="AE61" s="3">
        <f>T61-HLOOKUP(X61,Feuil1!$C$1:$BL$10,5,FALSE)</f>
        <v>39</v>
      </c>
      <c r="AF61" s="3">
        <f>T61-HLOOKUP(X61,Feuil1!$C$1:$BL$10,6,FALSE)</f>
        <v>29</v>
      </c>
      <c r="AG61" s="3">
        <f>T61-HLOOKUP(X61,Feuil1!$C$1:$BL$10,7,FALSE)</f>
        <v>14</v>
      </c>
      <c r="AH61" s="3">
        <f>T61-HLOOKUP(X61,Feuil1!$C$1:$BL$10,8,FALSE)</f>
        <v>-1</v>
      </c>
      <c r="AI61" s="3">
        <f>T61-HLOOKUP(X61,Feuil1!$C$1:$BL$10,9,FALSE)</f>
        <v>-16</v>
      </c>
      <c r="AJ61" s="3">
        <f>T61-HLOOKUP(X61,Feuil1!$C$1:$BL$10,10,FALSE)</f>
        <v>-876</v>
      </c>
      <c r="AQ61" s="5" t="str">
        <f t="shared" si="36"/>
        <v>NAT +</v>
      </c>
      <c r="BC61" s="13"/>
    </row>
    <row r="62" spans="1:55" s="13" customFormat="1" ht="21" hidden="1" x14ac:dyDescent="0.2">
      <c r="A62" s="12" t="s">
        <v>69</v>
      </c>
      <c r="B62" s="18" t="s">
        <v>108</v>
      </c>
      <c r="C62" s="19" t="s">
        <v>264</v>
      </c>
      <c r="D62" s="61">
        <v>4</v>
      </c>
      <c r="E62" s="35">
        <v>334936</v>
      </c>
      <c r="F62" s="20" t="s">
        <v>268</v>
      </c>
      <c r="G62" s="20" t="s">
        <v>269</v>
      </c>
      <c r="H62" s="51">
        <v>1999</v>
      </c>
      <c r="I62" s="30">
        <v>59.65</v>
      </c>
      <c r="J62" s="19" t="s">
        <v>270</v>
      </c>
      <c r="K62" s="34" t="s">
        <v>69</v>
      </c>
      <c r="L62" s="31">
        <v>-54</v>
      </c>
      <c r="M62" s="31">
        <v>-54</v>
      </c>
      <c r="N62" s="31">
        <v>54</v>
      </c>
      <c r="O62" s="36">
        <f t="shared" si="29"/>
        <v>54</v>
      </c>
      <c r="P62" s="31">
        <v>63</v>
      </c>
      <c r="Q62" s="31">
        <v>67</v>
      </c>
      <c r="R62" s="31">
        <v>-70</v>
      </c>
      <c r="S62" s="36">
        <f t="shared" si="30"/>
        <v>67</v>
      </c>
      <c r="T62" s="37">
        <f t="shared" si="31"/>
        <v>121</v>
      </c>
      <c r="U62" s="65">
        <f t="shared" si="32"/>
        <v>1.7000000000000028</v>
      </c>
      <c r="V62" s="41" t="str">
        <f t="shared" si="33"/>
        <v>NAT +</v>
      </c>
      <c r="W62" s="33">
        <f t="shared" si="34"/>
        <v>11</v>
      </c>
      <c r="X62" s="40" t="str">
        <f>IF(I62="","",IF(A62="H",IF(OR(H62="SEN",H62&lt;1995),VLOOKUP(I62,Feuil1!$A$11:$G$29,6),IF(AND(H62&gt;1994,H62&lt;1998),VLOOKUP(I62,Feuil1!$A$11:$G$29,5),IF(AND(H62&gt;1997,H62&lt;2000),VLOOKUP(I62,Feuil1!$A$11:$G$29,4),IF(AND(H62&gt;1999,H62&lt;2002),VLOOKUP(I62,Feuil1!$A$11:$G$29,3),VLOOKUP(I62,Feuil1!$A$11:$G$29,2))))),IF(OR(H62="SEN",H62&lt;1995),VLOOKUP(I62,Feuil1!$G$11:$L$25,6),IF(AND(H62&gt;1994,H62&lt;1998),VLOOKUP(I62,Feuil1!$G$11:$L$25,5),IF(AND(H62&gt;1997,H62&lt;2000),VLOOKUP(I62,Feuil1!$G$11:$L$25,4),IF(AND(H62&gt;1999,H62&lt;2002),VLOOKUP(I62,Feuil1!$G$11:$L$25,3),VLOOKUP(I62,Feuil1!$G$11:$L$25,2)))))))</f>
        <v>FC2 63</v>
      </c>
      <c r="Y62" s="39">
        <f t="shared" si="35"/>
        <v>166.95038523800469</v>
      </c>
      <c r="Z62" s="45"/>
      <c r="AA62" s="45" t="s">
        <v>12</v>
      </c>
      <c r="AB62" s="3">
        <f>T62-HLOOKUP(X62,Feuil1!$C$1:$BL$10,2,FALSE)</f>
        <v>66</v>
      </c>
      <c r="AC62" s="3">
        <f>T62-HLOOKUP(X62,Feuil1!$C$1:$BL$10,3,FALSE)</f>
        <v>56</v>
      </c>
      <c r="AD62" s="3">
        <f>T62-HLOOKUP(X62,Feuil1!$C$1:$BL$10,4,FALSE)</f>
        <v>46</v>
      </c>
      <c r="AE62" s="3">
        <f>T62-HLOOKUP(X62,Feuil1!$C$1:$BL$10,5,FALSE)</f>
        <v>36</v>
      </c>
      <c r="AF62" s="3">
        <f>T62-HLOOKUP(X62,Feuil1!$C$1:$BL$10,6,FALSE)</f>
        <v>26</v>
      </c>
      <c r="AG62" s="3">
        <f>T62-HLOOKUP(X62,Feuil1!$C$1:$BL$10,7,FALSE)</f>
        <v>11</v>
      </c>
      <c r="AH62" s="3">
        <f>T62-HLOOKUP(X62,Feuil1!$C$1:$BL$10,8,FALSE)</f>
        <v>-4</v>
      </c>
      <c r="AI62" s="3">
        <f>T62-HLOOKUP(X62,Feuil1!$C$1:$BL$10,9,FALSE)</f>
        <v>-19</v>
      </c>
      <c r="AJ62" s="3">
        <f>T62-HLOOKUP(X62,Feuil1!$C$1:$BL$10,10,FALSE)</f>
        <v>-879</v>
      </c>
      <c r="AK62" s="5"/>
      <c r="AL62" s="5"/>
      <c r="AM62" s="5"/>
      <c r="AN62" s="5"/>
      <c r="AO62" s="5"/>
      <c r="AP62" s="5"/>
      <c r="AQ62" s="5" t="str">
        <f t="shared" si="36"/>
        <v>NAT +</v>
      </c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</row>
    <row r="63" spans="1:55" ht="21" hidden="1" x14ac:dyDescent="0.2">
      <c r="A63" s="12" t="s">
        <v>69</v>
      </c>
      <c r="B63" s="67" t="s">
        <v>71</v>
      </c>
      <c r="C63" s="68" t="s">
        <v>801</v>
      </c>
      <c r="D63" s="69">
        <v>5</v>
      </c>
      <c r="E63" s="70">
        <v>339283</v>
      </c>
      <c r="F63" s="71" t="s">
        <v>811</v>
      </c>
      <c r="G63" s="71" t="s">
        <v>812</v>
      </c>
      <c r="H63" s="72">
        <v>1999</v>
      </c>
      <c r="I63" s="73">
        <v>58.3</v>
      </c>
      <c r="J63" s="68" t="s">
        <v>813</v>
      </c>
      <c r="K63" s="74" t="s">
        <v>69</v>
      </c>
      <c r="L63" s="75">
        <v>44</v>
      </c>
      <c r="M63" s="75">
        <v>-48</v>
      </c>
      <c r="N63" s="75">
        <v>48</v>
      </c>
      <c r="O63" s="76">
        <f t="shared" si="29"/>
        <v>48</v>
      </c>
      <c r="P63" s="75">
        <v>-54</v>
      </c>
      <c r="Q63" s="75">
        <v>54</v>
      </c>
      <c r="R63" s="75">
        <v>58</v>
      </c>
      <c r="S63" s="76">
        <f t="shared" si="30"/>
        <v>58</v>
      </c>
      <c r="T63" s="77">
        <f t="shared" si="31"/>
        <v>106</v>
      </c>
      <c r="U63" s="78">
        <f t="shared" si="32"/>
        <v>-10.599999999999994</v>
      </c>
      <c r="V63" s="79" t="str">
        <f t="shared" si="33"/>
        <v>FED +</v>
      </c>
      <c r="W63" s="80">
        <f t="shared" si="34"/>
        <v>11</v>
      </c>
      <c r="X63" s="81" t="str">
        <f>IF(I63="","",IF(A63="H",IF(OR(H63="SEN",H63&lt;1995),VLOOKUP(I63,Feuil1!$A$11:$G$29,6),IF(AND(H63&gt;1994,H63&lt;1998),VLOOKUP(I63,Feuil1!$A$11:$G$29,5),IF(AND(H63&gt;1997,H63&lt;2000),VLOOKUP(I63,Feuil1!$A$11:$G$29,4),IF(AND(H63&gt;1999,H63&lt;2002),VLOOKUP(I63,Feuil1!$A$11:$G$29,3),VLOOKUP(I63,Feuil1!$A$11:$G$29,2))))),IF(OR(H63="SEN",H63&lt;1995),VLOOKUP(I63,Feuil1!$G$11:$L$25,6),IF(AND(H63&gt;1994,H63&lt;1998),VLOOKUP(I63,Feuil1!$G$11:$L$25,5),IF(AND(H63&gt;1997,H63&lt;2000),VLOOKUP(I63,Feuil1!$G$11:$L$25,4),IF(AND(H63&gt;1999,H63&lt;2002),VLOOKUP(I63,Feuil1!$G$11:$L$25,3),VLOOKUP(I63,Feuil1!$G$11:$L$25,2)))))))</f>
        <v>FC2 63</v>
      </c>
      <c r="Y63" s="39">
        <f t="shared" si="35"/>
        <v>148.67533230463519</v>
      </c>
      <c r="Z63" s="45"/>
      <c r="AA63" s="45" t="s">
        <v>12</v>
      </c>
      <c r="AB63" s="3">
        <f>T63-HLOOKUP(X63,Feuil1!$C$1:$BL$10,2,FALSE)</f>
        <v>51</v>
      </c>
      <c r="AC63" s="3">
        <f>T63-HLOOKUP(X63,Feuil1!$C$1:$BL$10,3,FALSE)</f>
        <v>41</v>
      </c>
      <c r="AD63" s="3">
        <f>T63-HLOOKUP(X63,Feuil1!$C$1:$BL$10,4,FALSE)</f>
        <v>31</v>
      </c>
      <c r="AE63" s="3">
        <f>T63-HLOOKUP(X63,Feuil1!$C$1:$BL$10,5,FALSE)</f>
        <v>21</v>
      </c>
      <c r="AF63" s="3">
        <f>T63-HLOOKUP(X63,Feuil1!$C$1:$BL$10,6,FALSE)</f>
        <v>11</v>
      </c>
      <c r="AG63" s="3">
        <f>T63-HLOOKUP(X63,Feuil1!$C$1:$BL$10,7,FALSE)</f>
        <v>-4</v>
      </c>
      <c r="AH63" s="3">
        <f>T63-HLOOKUP(X63,Feuil1!$C$1:$BL$10,8,FALSE)</f>
        <v>-19</v>
      </c>
      <c r="AI63" s="3">
        <f>T63-HLOOKUP(X63,Feuil1!$C$1:$BL$10,9,FALSE)</f>
        <v>-34</v>
      </c>
      <c r="AJ63" s="3">
        <f>T63-HLOOKUP(X63,Feuil1!$C$1:$BL$10,10,FALSE)</f>
        <v>-894</v>
      </c>
      <c r="AQ63" s="5" t="str">
        <f t="shared" si="36"/>
        <v>FED +</v>
      </c>
      <c r="BC63" s="13"/>
    </row>
    <row r="64" spans="1:55" ht="21" hidden="1" x14ac:dyDescent="0.2">
      <c r="A64" s="12" t="s">
        <v>69</v>
      </c>
      <c r="B64" s="67" t="s">
        <v>298</v>
      </c>
      <c r="C64" s="68" t="s">
        <v>404</v>
      </c>
      <c r="D64" s="69">
        <v>6</v>
      </c>
      <c r="E64" s="70">
        <v>208590</v>
      </c>
      <c r="F64" s="71" t="s">
        <v>418</v>
      </c>
      <c r="G64" s="71" t="s">
        <v>419</v>
      </c>
      <c r="H64" s="72">
        <v>1998</v>
      </c>
      <c r="I64" s="73">
        <v>60</v>
      </c>
      <c r="J64" s="68" t="s">
        <v>412</v>
      </c>
      <c r="K64" s="74" t="s">
        <v>69</v>
      </c>
      <c r="L64" s="75">
        <v>42</v>
      </c>
      <c r="M64" s="75">
        <v>46</v>
      </c>
      <c r="N64" s="75">
        <v>-49</v>
      </c>
      <c r="O64" s="76">
        <f t="shared" si="29"/>
        <v>46</v>
      </c>
      <c r="P64" s="75">
        <v>53</v>
      </c>
      <c r="Q64" s="75">
        <v>57</v>
      </c>
      <c r="R64" s="75">
        <v>60</v>
      </c>
      <c r="S64" s="76">
        <f t="shared" si="30"/>
        <v>60</v>
      </c>
      <c r="T64" s="77">
        <f t="shared" si="31"/>
        <v>106</v>
      </c>
      <c r="U64" s="78">
        <f t="shared" si="32"/>
        <v>-14</v>
      </c>
      <c r="V64" s="79" t="str">
        <f t="shared" si="33"/>
        <v>FED +</v>
      </c>
      <c r="W64" s="80">
        <f t="shared" si="34"/>
        <v>11</v>
      </c>
      <c r="X64" s="81" t="str">
        <f>IF(I64="","",IF(A64="H",IF(OR(H64="SEN",H64&lt;1995),VLOOKUP(I64,Feuil1!$A$11:$G$29,6),IF(AND(H64&gt;1994,H64&lt;1998),VLOOKUP(I64,Feuil1!$A$11:$G$29,5),IF(AND(H64&gt;1997,H64&lt;2000),VLOOKUP(I64,Feuil1!$A$11:$G$29,4),IF(AND(H64&gt;1999,H64&lt;2002),VLOOKUP(I64,Feuil1!$A$11:$G$29,3),VLOOKUP(I64,Feuil1!$A$11:$G$29,2))))),IF(OR(H64="SEN",H64&lt;1995),VLOOKUP(I64,Feuil1!$G$11:$L$25,6),IF(AND(H64&gt;1994,H64&lt;1998),VLOOKUP(I64,Feuil1!$G$11:$L$25,5),IF(AND(H64&gt;1997,H64&lt;2000),VLOOKUP(I64,Feuil1!$G$11:$L$25,4),IF(AND(H64&gt;1999,H64&lt;2002),VLOOKUP(I64,Feuil1!$G$11:$L$25,3),VLOOKUP(I64,Feuil1!$G$11:$L$25,2)))))))</f>
        <v>FC2 63</v>
      </c>
      <c r="Y64" s="39">
        <f t="shared" si="35"/>
        <v>145.65115837708652</v>
      </c>
      <c r="Z64" s="45"/>
      <c r="AA64" s="45" t="s">
        <v>12</v>
      </c>
      <c r="AB64" s="3">
        <f>T64-HLOOKUP(X64,Feuil1!$C$1:$BL$10,2,FALSE)</f>
        <v>51</v>
      </c>
      <c r="AC64" s="3">
        <f>T64-HLOOKUP(X64,Feuil1!$C$1:$BL$10,3,FALSE)</f>
        <v>41</v>
      </c>
      <c r="AD64" s="3">
        <f>T64-HLOOKUP(X64,Feuil1!$C$1:$BL$10,4,FALSE)</f>
        <v>31</v>
      </c>
      <c r="AE64" s="3">
        <f>T64-HLOOKUP(X64,Feuil1!$C$1:$BL$10,5,FALSE)</f>
        <v>21</v>
      </c>
      <c r="AF64" s="3">
        <f>T64-HLOOKUP(X64,Feuil1!$C$1:$BL$10,6,FALSE)</f>
        <v>11</v>
      </c>
      <c r="AG64" s="3">
        <f>T64-HLOOKUP(X64,Feuil1!$C$1:$BL$10,7,FALSE)</f>
        <v>-4</v>
      </c>
      <c r="AH64" s="3">
        <f>T64-HLOOKUP(X64,Feuil1!$C$1:$BL$10,8,FALSE)</f>
        <v>-19</v>
      </c>
      <c r="AI64" s="3">
        <f>T64-HLOOKUP(X64,Feuil1!$C$1:$BL$10,9,FALSE)</f>
        <v>-34</v>
      </c>
      <c r="AJ64" s="3">
        <f>T64-HLOOKUP(X64,Feuil1!$C$1:$BL$10,10,FALSE)</f>
        <v>-894</v>
      </c>
      <c r="AQ64" s="5" t="str">
        <f t="shared" si="36"/>
        <v>FED +</v>
      </c>
    </row>
    <row r="65" spans="1:55" s="13" customFormat="1" ht="21" hidden="1" x14ac:dyDescent="0.2">
      <c r="A65" s="12" t="s">
        <v>69</v>
      </c>
      <c r="B65" s="18" t="s">
        <v>721</v>
      </c>
      <c r="C65" s="19" t="s">
        <v>745</v>
      </c>
      <c r="D65" s="61">
        <v>7</v>
      </c>
      <c r="E65" s="35">
        <v>288978</v>
      </c>
      <c r="F65" s="20" t="s">
        <v>754</v>
      </c>
      <c r="G65" s="20" t="s">
        <v>547</v>
      </c>
      <c r="H65" s="51">
        <v>1998</v>
      </c>
      <c r="I65" s="30">
        <v>59.8</v>
      </c>
      <c r="J65" s="19" t="s">
        <v>750</v>
      </c>
      <c r="K65" s="34" t="s">
        <v>69</v>
      </c>
      <c r="L65" s="31">
        <v>40</v>
      </c>
      <c r="M65" s="31">
        <v>45</v>
      </c>
      <c r="N65" s="31">
        <v>-48</v>
      </c>
      <c r="O65" s="36">
        <f t="shared" si="29"/>
        <v>45</v>
      </c>
      <c r="P65" s="31">
        <v>-55</v>
      </c>
      <c r="Q65" s="31">
        <v>-55</v>
      </c>
      <c r="R65" s="31">
        <v>55</v>
      </c>
      <c r="S65" s="36">
        <f t="shared" si="30"/>
        <v>55</v>
      </c>
      <c r="T65" s="37">
        <f t="shared" si="31"/>
        <v>100</v>
      </c>
      <c r="U65" s="65">
        <f t="shared" si="32"/>
        <v>-19.599999999999994</v>
      </c>
      <c r="V65" s="41" t="str">
        <f t="shared" si="33"/>
        <v>FED +</v>
      </c>
      <c r="W65" s="33">
        <f t="shared" si="34"/>
        <v>5</v>
      </c>
      <c r="X65" s="40" t="str">
        <f>IF(I65="","",IF(A65="H",IF(OR(H65="SEN",H65&lt;1995),VLOOKUP(I65,Feuil1!$A$11:$G$29,6),IF(AND(H65&gt;1994,H65&lt;1998),VLOOKUP(I65,Feuil1!$A$11:$G$29,5),IF(AND(H65&gt;1997,H65&lt;2000),VLOOKUP(I65,Feuil1!$A$11:$G$29,4),IF(AND(H65&gt;1999,H65&lt;2002),VLOOKUP(I65,Feuil1!$A$11:$G$29,3),VLOOKUP(I65,Feuil1!$A$11:$G$29,2))))),IF(OR(H65="SEN",H65&lt;1995),VLOOKUP(I65,Feuil1!$G$11:$L$25,6),IF(AND(H65&gt;1994,H65&lt;1998),VLOOKUP(I65,Feuil1!$G$11:$L$25,5),IF(AND(H65&gt;1997,H65&lt;2000),VLOOKUP(I65,Feuil1!$G$11:$L$25,4),IF(AND(H65&gt;1999,H65&lt;2002),VLOOKUP(I65,Feuil1!$G$11:$L$25,3),VLOOKUP(I65,Feuil1!$G$11:$L$25,2)))))))</f>
        <v>FC2 63</v>
      </c>
      <c r="Y65" s="39">
        <f t="shared" si="35"/>
        <v>137.73062017622601</v>
      </c>
      <c r="Z65" s="45"/>
      <c r="AA65" s="45" t="s">
        <v>12</v>
      </c>
      <c r="AB65" s="3">
        <f>T65-HLOOKUP(X65,Feuil1!$C$1:$BL$10,2,FALSE)</f>
        <v>45</v>
      </c>
      <c r="AC65" s="3">
        <f>T65-HLOOKUP(X65,Feuil1!$C$1:$BL$10,3,FALSE)</f>
        <v>35</v>
      </c>
      <c r="AD65" s="3">
        <f>T65-HLOOKUP(X65,Feuil1!$C$1:$BL$10,4,FALSE)</f>
        <v>25</v>
      </c>
      <c r="AE65" s="3">
        <f>T65-HLOOKUP(X65,Feuil1!$C$1:$BL$10,5,FALSE)</f>
        <v>15</v>
      </c>
      <c r="AF65" s="3">
        <f>T65-HLOOKUP(X65,Feuil1!$C$1:$BL$10,6,FALSE)</f>
        <v>5</v>
      </c>
      <c r="AG65" s="3">
        <f>T65-HLOOKUP(X65,Feuil1!$C$1:$BL$10,7,FALSE)</f>
        <v>-10</v>
      </c>
      <c r="AH65" s="3">
        <f>T65-HLOOKUP(X65,Feuil1!$C$1:$BL$10,8,FALSE)</f>
        <v>-25</v>
      </c>
      <c r="AI65" s="3">
        <f>T65-HLOOKUP(X65,Feuil1!$C$1:$BL$10,9,FALSE)</f>
        <v>-40</v>
      </c>
      <c r="AJ65" s="3">
        <f>T65-HLOOKUP(X65,Feuil1!$C$1:$BL$10,10,FALSE)</f>
        <v>-900</v>
      </c>
      <c r="AK65" s="5"/>
      <c r="AL65" s="5"/>
      <c r="AM65" s="5"/>
      <c r="AN65" s="5"/>
      <c r="AO65" s="5"/>
      <c r="AP65" s="5"/>
      <c r="AQ65" s="5" t="str">
        <f t="shared" si="36"/>
        <v>FED +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</row>
    <row r="66" spans="1:55" ht="21" hidden="1" x14ac:dyDescent="0.2">
      <c r="A66" s="12" t="s">
        <v>69</v>
      </c>
      <c r="B66" s="18" t="s">
        <v>536</v>
      </c>
      <c r="C66" s="19" t="s">
        <v>545</v>
      </c>
      <c r="D66" s="61">
        <v>8</v>
      </c>
      <c r="E66" s="35">
        <v>360521</v>
      </c>
      <c r="F66" s="20" t="s">
        <v>546</v>
      </c>
      <c r="G66" s="20" t="s">
        <v>547</v>
      </c>
      <c r="H66" s="51">
        <v>1998</v>
      </c>
      <c r="I66" s="30">
        <v>62.1</v>
      </c>
      <c r="J66" s="19" t="s">
        <v>548</v>
      </c>
      <c r="K66" s="34" t="s">
        <v>69</v>
      </c>
      <c r="L66" s="31">
        <v>40</v>
      </c>
      <c r="M66" s="31">
        <v>43</v>
      </c>
      <c r="N66" s="31">
        <v>-46</v>
      </c>
      <c r="O66" s="36">
        <f t="shared" si="29"/>
        <v>43</v>
      </c>
      <c r="P66" s="31">
        <v>50</v>
      </c>
      <c r="Q66" s="31">
        <v>53</v>
      </c>
      <c r="R66" s="31">
        <v>-55</v>
      </c>
      <c r="S66" s="36">
        <f t="shared" si="30"/>
        <v>53</v>
      </c>
      <c r="T66" s="37">
        <f t="shared" si="31"/>
        <v>96</v>
      </c>
      <c r="U66" s="65">
        <f t="shared" si="32"/>
        <v>-28.200000000000003</v>
      </c>
      <c r="V66" s="41" t="str">
        <f t="shared" si="33"/>
        <v>FED +</v>
      </c>
      <c r="W66" s="33">
        <f t="shared" si="34"/>
        <v>1</v>
      </c>
      <c r="X66" s="40" t="str">
        <f>IF(I66="","",IF(A66="H",IF(OR(H66="SEN",H66&lt;1995),VLOOKUP(I66,Feuil1!$A$11:$G$29,6),IF(AND(H66&gt;1994,H66&lt;1998),VLOOKUP(I66,Feuil1!$A$11:$G$29,5),IF(AND(H66&gt;1997,H66&lt;2000),VLOOKUP(I66,Feuil1!$A$11:$G$29,4),IF(AND(H66&gt;1999,H66&lt;2002),VLOOKUP(I66,Feuil1!$A$11:$G$29,3),VLOOKUP(I66,Feuil1!$A$11:$G$29,2))))),IF(OR(H66="SEN",H66&lt;1995),VLOOKUP(I66,Feuil1!$G$11:$L$25,6),IF(AND(H66&gt;1994,H66&lt;1998),VLOOKUP(I66,Feuil1!$G$11:$L$25,5),IF(AND(H66&gt;1997,H66&lt;2000),VLOOKUP(I66,Feuil1!$G$11:$L$25,4),IF(AND(H66&gt;1999,H66&lt;2002),VLOOKUP(I66,Feuil1!$G$11:$L$25,3),VLOOKUP(I66,Feuil1!$G$11:$L$25,2)))))))</f>
        <v>FC2 63</v>
      </c>
      <c r="Y66" s="39">
        <f t="shared" si="35"/>
        <v>128.81450225453412</v>
      </c>
      <c r="Z66" s="45"/>
      <c r="AA66" s="45" t="s">
        <v>12</v>
      </c>
      <c r="AB66" s="3">
        <f>T66-HLOOKUP(X66,Feuil1!$C$1:$BL$10,2,FALSE)</f>
        <v>41</v>
      </c>
      <c r="AC66" s="3">
        <f>T66-HLOOKUP(X66,Feuil1!$C$1:$BL$10,3,FALSE)</f>
        <v>31</v>
      </c>
      <c r="AD66" s="3">
        <f>T66-HLOOKUP(X66,Feuil1!$C$1:$BL$10,4,FALSE)</f>
        <v>21</v>
      </c>
      <c r="AE66" s="3">
        <f>T66-HLOOKUP(X66,Feuil1!$C$1:$BL$10,5,FALSE)</f>
        <v>11</v>
      </c>
      <c r="AF66" s="3">
        <f>T66-HLOOKUP(X66,Feuil1!$C$1:$BL$10,6,FALSE)</f>
        <v>1</v>
      </c>
      <c r="AG66" s="3">
        <f>T66-HLOOKUP(X66,Feuil1!$C$1:$BL$10,7,FALSE)</f>
        <v>-14</v>
      </c>
      <c r="AH66" s="3">
        <f>T66-HLOOKUP(X66,Feuil1!$C$1:$BL$10,8,FALSE)</f>
        <v>-29</v>
      </c>
      <c r="AI66" s="3">
        <f>T66-HLOOKUP(X66,Feuil1!$C$1:$BL$10,9,FALSE)</f>
        <v>-44</v>
      </c>
      <c r="AJ66" s="3">
        <f>T66-HLOOKUP(X66,Feuil1!$C$1:$BL$10,10,FALSE)</f>
        <v>-904</v>
      </c>
      <c r="AQ66" s="5" t="str">
        <f t="shared" si="36"/>
        <v>FED +</v>
      </c>
    </row>
    <row r="67" spans="1:55" ht="21" hidden="1" x14ac:dyDescent="0.2">
      <c r="A67" s="12" t="s">
        <v>69</v>
      </c>
      <c r="B67" s="18" t="s">
        <v>71</v>
      </c>
      <c r="C67" s="19" t="s">
        <v>72</v>
      </c>
      <c r="D67" s="61">
        <v>9</v>
      </c>
      <c r="E67" s="35">
        <v>344106</v>
      </c>
      <c r="F67" s="20" t="s">
        <v>924</v>
      </c>
      <c r="G67" s="20" t="s">
        <v>925</v>
      </c>
      <c r="H67" s="51">
        <v>1998</v>
      </c>
      <c r="I67" s="30">
        <v>61</v>
      </c>
      <c r="J67" s="19" t="s">
        <v>923</v>
      </c>
      <c r="K67" s="34" t="s">
        <v>69</v>
      </c>
      <c r="L67" s="31">
        <v>40</v>
      </c>
      <c r="M67" s="31">
        <v>43</v>
      </c>
      <c r="N67" s="31">
        <v>45</v>
      </c>
      <c r="O67" s="36">
        <f t="shared" si="29"/>
        <v>45</v>
      </c>
      <c r="P67" s="31">
        <v>50</v>
      </c>
      <c r="Q67" s="31">
        <v>-53</v>
      </c>
      <c r="R67" s="31">
        <v>-53</v>
      </c>
      <c r="S67" s="36">
        <f t="shared" si="30"/>
        <v>50</v>
      </c>
      <c r="T67" s="37">
        <f t="shared" si="31"/>
        <v>95</v>
      </c>
      <c r="U67" s="65">
        <f t="shared" si="32"/>
        <v>-27</v>
      </c>
      <c r="V67" s="41" t="str">
        <f t="shared" si="33"/>
        <v>FED +</v>
      </c>
      <c r="W67" s="33">
        <f t="shared" si="34"/>
        <v>0</v>
      </c>
      <c r="X67" s="40" t="str">
        <f>IF(I67="","",IF(A67="H",IF(OR(H67="SEN",H67&lt;1995),VLOOKUP(I67,Feuil1!$A$11:$G$29,6),IF(AND(H67&gt;1994,H67&lt;1998),VLOOKUP(I67,Feuil1!$A$11:$G$29,5),IF(AND(H67&gt;1997,H67&lt;2000),VLOOKUP(I67,Feuil1!$A$11:$G$29,4),IF(AND(H67&gt;1999,H67&lt;2002),VLOOKUP(I67,Feuil1!$A$11:$G$29,3),VLOOKUP(I67,Feuil1!$A$11:$G$29,2))))),IF(OR(H67="SEN",H67&lt;1995),VLOOKUP(I67,Feuil1!$G$11:$L$25,6),IF(AND(H67&gt;1994,H67&lt;1998),VLOOKUP(I67,Feuil1!$G$11:$L$25,5),IF(AND(H67&gt;1997,H67&lt;2000),VLOOKUP(I67,Feuil1!$G$11:$L$25,4),IF(AND(H67&gt;1999,H67&lt;2002),VLOOKUP(I67,Feuil1!$G$11:$L$25,3),VLOOKUP(I67,Feuil1!$G$11:$L$25,2)))))))</f>
        <v>FC2 63</v>
      </c>
      <c r="Y67" s="39">
        <f t="shared" si="35"/>
        <v>129.04040641081193</v>
      </c>
      <c r="Z67" s="45"/>
      <c r="AA67" s="45" t="s">
        <v>12</v>
      </c>
      <c r="AB67" s="3">
        <f>T67-HLOOKUP(X67,Feuil1!$C$1:$BL$10,2,FALSE)</f>
        <v>40</v>
      </c>
      <c r="AC67" s="3">
        <f>T67-HLOOKUP(X67,Feuil1!$C$1:$BL$10,3,FALSE)</f>
        <v>30</v>
      </c>
      <c r="AD67" s="3">
        <f>T67-HLOOKUP(X67,Feuil1!$C$1:$BL$10,4,FALSE)</f>
        <v>20</v>
      </c>
      <c r="AE67" s="3">
        <f>T67-HLOOKUP(X67,Feuil1!$C$1:$BL$10,5,FALSE)</f>
        <v>10</v>
      </c>
      <c r="AF67" s="3">
        <f>T67-HLOOKUP(X67,Feuil1!$C$1:$BL$10,6,FALSE)</f>
        <v>0</v>
      </c>
      <c r="AG67" s="3">
        <f>T67-HLOOKUP(X67,Feuil1!$C$1:$BL$10,7,FALSE)</f>
        <v>-15</v>
      </c>
      <c r="AH67" s="3">
        <f>T67-HLOOKUP(X67,Feuil1!$C$1:$BL$10,8,FALSE)</f>
        <v>-30</v>
      </c>
      <c r="AI67" s="3">
        <f>T67-HLOOKUP(X67,Feuil1!$C$1:$BL$10,9,FALSE)</f>
        <v>-45</v>
      </c>
      <c r="AJ67" s="3">
        <f>T67-HLOOKUP(X67,Feuil1!$C$1:$BL$10,10,FALSE)</f>
        <v>-905</v>
      </c>
      <c r="AQ67" s="5" t="str">
        <f t="shared" si="36"/>
        <v>FED +</v>
      </c>
      <c r="BC67" s="13"/>
    </row>
    <row r="68" spans="1:55" s="13" customFormat="1" ht="21" hidden="1" x14ac:dyDescent="0.2">
      <c r="A68" s="12" t="s">
        <v>69</v>
      </c>
      <c r="B68" s="18" t="s">
        <v>71</v>
      </c>
      <c r="C68" s="19" t="s">
        <v>801</v>
      </c>
      <c r="D68" s="61">
        <v>10</v>
      </c>
      <c r="E68" s="35">
        <v>365254</v>
      </c>
      <c r="F68" s="20" t="s">
        <v>814</v>
      </c>
      <c r="G68" s="20" t="s">
        <v>486</v>
      </c>
      <c r="H68" s="51">
        <v>1998</v>
      </c>
      <c r="I68" s="30">
        <v>62.7</v>
      </c>
      <c r="J68" s="19" t="s">
        <v>803</v>
      </c>
      <c r="K68" s="34" t="s">
        <v>69</v>
      </c>
      <c r="L68" s="31">
        <v>34</v>
      </c>
      <c r="M68" s="31">
        <v>37</v>
      </c>
      <c r="N68" s="31">
        <v>-39</v>
      </c>
      <c r="O68" s="36">
        <f t="shared" si="29"/>
        <v>37</v>
      </c>
      <c r="P68" s="31">
        <v>48</v>
      </c>
      <c r="Q68" s="31">
        <v>51</v>
      </c>
      <c r="R68" s="31">
        <v>53</v>
      </c>
      <c r="S68" s="36">
        <f t="shared" si="30"/>
        <v>53</v>
      </c>
      <c r="T68" s="37">
        <f t="shared" si="31"/>
        <v>90</v>
      </c>
      <c r="U68" s="65">
        <f t="shared" si="32"/>
        <v>-35.400000000000006</v>
      </c>
      <c r="V68" s="41" t="str">
        <f t="shared" si="33"/>
        <v>IRG +</v>
      </c>
      <c r="W68" s="33">
        <f t="shared" si="34"/>
        <v>5</v>
      </c>
      <c r="X68" s="40" t="str">
        <f>IF(I68="","",IF(A68="H",IF(OR(H68="SEN",H68&lt;1995),VLOOKUP(I68,Feuil1!$A$11:$G$29,6),IF(AND(H68&gt;1994,H68&lt;1998),VLOOKUP(I68,Feuil1!$A$11:$G$29,5),IF(AND(H68&gt;1997,H68&lt;2000),VLOOKUP(I68,Feuil1!$A$11:$G$29,4),IF(AND(H68&gt;1999,H68&lt;2002),VLOOKUP(I68,Feuil1!$A$11:$G$29,3),VLOOKUP(I68,Feuil1!$A$11:$G$29,2))))),IF(OR(H68="SEN",H68&lt;1995),VLOOKUP(I68,Feuil1!$G$11:$L$25,6),IF(AND(H68&gt;1994,H68&lt;1998),VLOOKUP(I68,Feuil1!$G$11:$L$25,5),IF(AND(H68&gt;1997,H68&lt;2000),VLOOKUP(I68,Feuil1!$G$11:$L$25,4),IF(AND(H68&gt;1999,H68&lt;2002),VLOOKUP(I68,Feuil1!$G$11:$L$25,3),VLOOKUP(I68,Feuil1!$G$11:$L$25,2)))))))</f>
        <v>FC2 63</v>
      </c>
      <c r="Y68" s="39">
        <f t="shared" si="35"/>
        <v>119.9843679675553</v>
      </c>
      <c r="Z68" s="45"/>
      <c r="AA68" s="45" t="s">
        <v>12</v>
      </c>
      <c r="AB68" s="3">
        <f>T68-HLOOKUP(X68,Feuil1!$C$1:$BL$10,2,FALSE)</f>
        <v>35</v>
      </c>
      <c r="AC68" s="3">
        <f>T68-HLOOKUP(X68,Feuil1!$C$1:$BL$10,3,FALSE)</f>
        <v>25</v>
      </c>
      <c r="AD68" s="3">
        <f>T68-HLOOKUP(X68,Feuil1!$C$1:$BL$10,4,FALSE)</f>
        <v>15</v>
      </c>
      <c r="AE68" s="3">
        <f>T68-HLOOKUP(X68,Feuil1!$C$1:$BL$10,5,FALSE)</f>
        <v>5</v>
      </c>
      <c r="AF68" s="3">
        <f>T68-HLOOKUP(X68,Feuil1!$C$1:$BL$10,6,FALSE)</f>
        <v>-5</v>
      </c>
      <c r="AG68" s="3">
        <f>T68-HLOOKUP(X68,Feuil1!$C$1:$BL$10,7,FALSE)</f>
        <v>-20</v>
      </c>
      <c r="AH68" s="3">
        <f>T68-HLOOKUP(X68,Feuil1!$C$1:$BL$10,8,FALSE)</f>
        <v>-35</v>
      </c>
      <c r="AI68" s="3">
        <f>T68-HLOOKUP(X68,Feuil1!$C$1:$BL$10,9,FALSE)</f>
        <v>-50</v>
      </c>
      <c r="AJ68" s="3">
        <f>T68-HLOOKUP(X68,Feuil1!$C$1:$BL$10,10,FALSE)</f>
        <v>-910</v>
      </c>
      <c r="AK68" s="5"/>
      <c r="AL68" s="5"/>
      <c r="AM68" s="5"/>
      <c r="AN68" s="5"/>
      <c r="AO68" s="5"/>
      <c r="AP68" s="5"/>
      <c r="AQ68" s="5" t="str">
        <f t="shared" si="36"/>
        <v>IRG +</v>
      </c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</row>
    <row r="69" spans="1:55" s="13" customFormat="1" ht="21" hidden="1" x14ac:dyDescent="0.2">
      <c r="A69" s="12" t="s">
        <v>69</v>
      </c>
      <c r="B69" s="18" t="s">
        <v>536</v>
      </c>
      <c r="C69" s="19" t="s">
        <v>545</v>
      </c>
      <c r="D69" s="61">
        <v>11</v>
      </c>
      <c r="E69" s="35">
        <v>378625</v>
      </c>
      <c r="F69" s="20" t="s">
        <v>549</v>
      </c>
      <c r="G69" s="20" t="s">
        <v>550</v>
      </c>
      <c r="H69" s="51">
        <v>1998</v>
      </c>
      <c r="I69" s="30">
        <v>60.5</v>
      </c>
      <c r="J69" s="19" t="s">
        <v>551</v>
      </c>
      <c r="K69" s="34" t="s">
        <v>69</v>
      </c>
      <c r="L69" s="31">
        <v>32</v>
      </c>
      <c r="M69" s="31">
        <v>34</v>
      </c>
      <c r="N69" s="31">
        <v>-36</v>
      </c>
      <c r="O69" s="36">
        <f t="shared" si="29"/>
        <v>34</v>
      </c>
      <c r="P69" s="31">
        <v>52</v>
      </c>
      <c r="Q69" s="31">
        <v>-54</v>
      </c>
      <c r="R69" s="31">
        <v>-54</v>
      </c>
      <c r="S69" s="36">
        <f t="shared" si="30"/>
        <v>52</v>
      </c>
      <c r="T69" s="37">
        <f t="shared" si="31"/>
        <v>86</v>
      </c>
      <c r="U69" s="65">
        <f t="shared" si="32"/>
        <v>-35</v>
      </c>
      <c r="V69" s="41" t="str">
        <f t="shared" si="33"/>
        <v>IRG +</v>
      </c>
      <c r="W69" s="33">
        <f t="shared" si="34"/>
        <v>1</v>
      </c>
      <c r="X69" s="40" t="str">
        <f>IF(I69="","",IF(A69="H",IF(OR(H69="SEN",H69&lt;1995),VLOOKUP(I69,Feuil1!$A$11:$G$29,6),IF(AND(H69&gt;1994,H69&lt;1998),VLOOKUP(I69,Feuil1!$A$11:$G$29,5),IF(AND(H69&gt;1997,H69&lt;2000),VLOOKUP(I69,Feuil1!$A$11:$G$29,4),IF(AND(H69&gt;1999,H69&lt;2002),VLOOKUP(I69,Feuil1!$A$11:$G$29,3),VLOOKUP(I69,Feuil1!$A$11:$G$29,2))))),IF(OR(H69="SEN",H69&lt;1995),VLOOKUP(I69,Feuil1!$G$11:$L$25,6),IF(AND(H69&gt;1994,H69&lt;1998),VLOOKUP(I69,Feuil1!$G$11:$L$25,5),IF(AND(H69&gt;1997,H69&lt;2000),VLOOKUP(I69,Feuil1!$G$11:$L$25,4),IF(AND(H69&gt;1999,H69&lt;2002),VLOOKUP(I69,Feuil1!$G$11:$L$25,3),VLOOKUP(I69,Feuil1!$G$11:$L$25,2)))))))</f>
        <v>FC2 63</v>
      </c>
      <c r="Y69" s="39">
        <f t="shared" si="35"/>
        <v>117.4847903691996</v>
      </c>
      <c r="Z69" s="45"/>
      <c r="AA69" s="45" t="s">
        <v>12</v>
      </c>
      <c r="AB69" s="3">
        <f>T69-HLOOKUP(X69,Feuil1!$C$1:$BL$10,2,FALSE)</f>
        <v>31</v>
      </c>
      <c r="AC69" s="3">
        <f>T69-HLOOKUP(X69,Feuil1!$C$1:$BL$10,3,FALSE)</f>
        <v>21</v>
      </c>
      <c r="AD69" s="3">
        <f>T69-HLOOKUP(X69,Feuil1!$C$1:$BL$10,4,FALSE)</f>
        <v>11</v>
      </c>
      <c r="AE69" s="3">
        <f>T69-HLOOKUP(X69,Feuil1!$C$1:$BL$10,5,FALSE)</f>
        <v>1</v>
      </c>
      <c r="AF69" s="3">
        <f>T69-HLOOKUP(X69,Feuil1!$C$1:$BL$10,6,FALSE)</f>
        <v>-9</v>
      </c>
      <c r="AG69" s="3">
        <f>T69-HLOOKUP(X69,Feuil1!$C$1:$BL$10,7,FALSE)</f>
        <v>-24</v>
      </c>
      <c r="AH69" s="3">
        <f>T69-HLOOKUP(X69,Feuil1!$C$1:$BL$10,8,FALSE)</f>
        <v>-39</v>
      </c>
      <c r="AI69" s="3">
        <f>T69-HLOOKUP(X69,Feuil1!$C$1:$BL$10,9,FALSE)</f>
        <v>-54</v>
      </c>
      <c r="AJ69" s="3">
        <f>T69-HLOOKUP(X69,Feuil1!$C$1:$BL$10,10,FALSE)</f>
        <v>-914</v>
      </c>
      <c r="AK69" s="5"/>
      <c r="AL69" s="5"/>
      <c r="AM69" s="5"/>
      <c r="AN69" s="5"/>
      <c r="AO69" s="5"/>
      <c r="AP69" s="5"/>
      <c r="AQ69" s="5" t="str">
        <f t="shared" si="36"/>
        <v>IRG +</v>
      </c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</row>
    <row r="70" spans="1:55" s="13" customFormat="1" ht="21" hidden="1" x14ac:dyDescent="0.2">
      <c r="A70" s="12" t="s">
        <v>69</v>
      </c>
      <c r="B70" s="67" t="s">
        <v>71</v>
      </c>
      <c r="C70" s="68" t="s">
        <v>72</v>
      </c>
      <c r="D70" s="69">
        <v>12</v>
      </c>
      <c r="E70" s="70">
        <v>379666</v>
      </c>
      <c r="F70" s="71" t="s">
        <v>934</v>
      </c>
      <c r="G70" s="71" t="s">
        <v>259</v>
      </c>
      <c r="H70" s="72">
        <v>1998</v>
      </c>
      <c r="I70" s="73">
        <v>58.3</v>
      </c>
      <c r="J70" s="68" t="s">
        <v>935</v>
      </c>
      <c r="K70" s="74" t="s">
        <v>69</v>
      </c>
      <c r="L70" s="75">
        <v>-30</v>
      </c>
      <c r="M70" s="75">
        <v>32</v>
      </c>
      <c r="N70" s="75">
        <v>35</v>
      </c>
      <c r="O70" s="76">
        <f t="shared" si="29"/>
        <v>35</v>
      </c>
      <c r="P70" s="75">
        <v>42</v>
      </c>
      <c r="Q70" s="75">
        <v>47</v>
      </c>
      <c r="R70" s="75">
        <v>-49</v>
      </c>
      <c r="S70" s="76">
        <f t="shared" si="30"/>
        <v>47</v>
      </c>
      <c r="T70" s="77">
        <f t="shared" si="31"/>
        <v>82</v>
      </c>
      <c r="U70" s="78">
        <f t="shared" si="32"/>
        <v>-34.599999999999994</v>
      </c>
      <c r="V70" s="79" t="str">
        <f t="shared" si="33"/>
        <v>REG +</v>
      </c>
      <c r="W70" s="80">
        <f t="shared" si="34"/>
        <v>7</v>
      </c>
      <c r="X70" s="81" t="str">
        <f>IF(I70="","",IF(A70="H",IF(OR(H70="SEN",H70&lt;1995),VLOOKUP(I70,Feuil1!$A$11:$G$29,6),IF(AND(H70&gt;1994,H70&lt;1998),VLOOKUP(I70,Feuil1!$A$11:$G$29,5),IF(AND(H70&gt;1997,H70&lt;2000),VLOOKUP(I70,Feuil1!$A$11:$G$29,4),IF(AND(H70&gt;1999,H70&lt;2002),VLOOKUP(I70,Feuil1!$A$11:$G$29,3),VLOOKUP(I70,Feuil1!$A$11:$G$29,2))))),IF(OR(H70="SEN",H70&lt;1995),VLOOKUP(I70,Feuil1!$G$11:$L$25,6),IF(AND(H70&gt;1994,H70&lt;1998),VLOOKUP(I70,Feuil1!$G$11:$L$25,5),IF(AND(H70&gt;1997,H70&lt;2000),VLOOKUP(I70,Feuil1!$G$11:$L$25,4),IF(AND(H70&gt;1999,H70&lt;2002),VLOOKUP(I70,Feuil1!$G$11:$L$25,3),VLOOKUP(I70,Feuil1!$G$11:$L$25,2)))))))</f>
        <v>FC2 63</v>
      </c>
      <c r="Y70" s="39">
        <f t="shared" si="35"/>
        <v>115.01299291490646</v>
      </c>
      <c r="Z70" s="45"/>
      <c r="AA70" s="45" t="s">
        <v>12</v>
      </c>
      <c r="AB70" s="3">
        <f>T70-HLOOKUP(X70,Feuil1!$C$1:$BL$10,2,FALSE)</f>
        <v>27</v>
      </c>
      <c r="AC70" s="3">
        <f>T70-HLOOKUP(X70,Feuil1!$C$1:$BL$10,3,FALSE)</f>
        <v>17</v>
      </c>
      <c r="AD70" s="3">
        <f>T70-HLOOKUP(X70,Feuil1!$C$1:$BL$10,4,FALSE)</f>
        <v>7</v>
      </c>
      <c r="AE70" s="3">
        <f>T70-HLOOKUP(X70,Feuil1!$C$1:$BL$10,5,FALSE)</f>
        <v>-3</v>
      </c>
      <c r="AF70" s="3">
        <f>T70-HLOOKUP(X70,Feuil1!$C$1:$BL$10,6,FALSE)</f>
        <v>-13</v>
      </c>
      <c r="AG70" s="3">
        <f>T70-HLOOKUP(X70,Feuil1!$C$1:$BL$10,7,FALSE)</f>
        <v>-28</v>
      </c>
      <c r="AH70" s="3">
        <f>T70-HLOOKUP(X70,Feuil1!$C$1:$BL$10,8,FALSE)</f>
        <v>-43</v>
      </c>
      <c r="AI70" s="3">
        <f>T70-HLOOKUP(X70,Feuil1!$C$1:$BL$10,9,FALSE)</f>
        <v>-58</v>
      </c>
      <c r="AJ70" s="3">
        <f>T70-HLOOKUP(X70,Feuil1!$C$1:$BL$10,10,FALSE)</f>
        <v>-918</v>
      </c>
      <c r="AK70" s="5"/>
      <c r="AL70" s="5"/>
      <c r="AM70" s="5"/>
      <c r="AN70" s="5"/>
      <c r="AO70" s="5"/>
      <c r="AP70" s="5"/>
      <c r="AQ70" s="5" t="str">
        <f t="shared" si="36"/>
        <v>REG +</v>
      </c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</row>
    <row r="71" spans="1:55" s="13" customFormat="1" ht="21" hidden="1" x14ac:dyDescent="0.2">
      <c r="A71" s="12" t="s">
        <v>69</v>
      </c>
      <c r="B71" s="18" t="s">
        <v>298</v>
      </c>
      <c r="C71" s="19" t="s">
        <v>476</v>
      </c>
      <c r="D71" s="61">
        <v>13</v>
      </c>
      <c r="E71" s="35">
        <v>367780</v>
      </c>
      <c r="F71" s="20" t="s">
        <v>491</v>
      </c>
      <c r="G71" s="20" t="s">
        <v>492</v>
      </c>
      <c r="H71" s="51">
        <v>1998</v>
      </c>
      <c r="I71" s="30">
        <v>63</v>
      </c>
      <c r="J71" s="19" t="s">
        <v>484</v>
      </c>
      <c r="K71" s="34" t="s">
        <v>69</v>
      </c>
      <c r="L71" s="31">
        <v>30</v>
      </c>
      <c r="M71" s="31">
        <v>34</v>
      </c>
      <c r="N71" s="31">
        <v>-36</v>
      </c>
      <c r="O71" s="36">
        <f t="shared" si="29"/>
        <v>34</v>
      </c>
      <c r="P71" s="31">
        <v>40</v>
      </c>
      <c r="Q71" s="31">
        <v>45</v>
      </c>
      <c r="R71" s="31">
        <v>-47</v>
      </c>
      <c r="S71" s="36">
        <f t="shared" si="30"/>
        <v>45</v>
      </c>
      <c r="T71" s="37">
        <f t="shared" si="31"/>
        <v>79</v>
      </c>
      <c r="U71" s="65">
        <f t="shared" si="32"/>
        <v>-47</v>
      </c>
      <c r="V71" s="41" t="str">
        <f t="shared" si="33"/>
        <v>REG +</v>
      </c>
      <c r="W71" s="33">
        <f t="shared" si="34"/>
        <v>4</v>
      </c>
      <c r="X71" s="40" t="str">
        <f>IF(I71="","",IF(A71="H",IF(OR(H71="SEN",H71&lt;1995),VLOOKUP(I71,Feuil1!$A$11:$G$29,6),IF(AND(H71&gt;1994,H71&lt;1998),VLOOKUP(I71,Feuil1!$A$11:$G$29,5),IF(AND(H71&gt;1997,H71&lt;2000),VLOOKUP(I71,Feuil1!$A$11:$G$29,4),IF(AND(H71&gt;1999,H71&lt;2002),VLOOKUP(I71,Feuil1!$A$11:$G$29,3),VLOOKUP(I71,Feuil1!$A$11:$G$29,2))))),IF(OR(H71="SEN",H71&lt;1995),VLOOKUP(I71,Feuil1!$G$11:$L$25,6),IF(AND(H71&gt;1994,H71&lt;1998),VLOOKUP(I71,Feuil1!$G$11:$L$25,5),IF(AND(H71&gt;1997,H71&lt;2000),VLOOKUP(I71,Feuil1!$G$11:$L$25,4),IF(AND(H71&gt;1999,H71&lt;2002),VLOOKUP(I71,Feuil1!$G$11:$L$25,3),VLOOKUP(I71,Feuil1!$G$11:$L$25,2)))))))</f>
        <v>FC2 63</v>
      </c>
      <c r="Y71" s="39">
        <f t="shared" si="35"/>
        <v>104.98451878563606</v>
      </c>
      <c r="Z71" s="45"/>
      <c r="AA71" s="45" t="s">
        <v>12</v>
      </c>
      <c r="AB71" s="3">
        <f>T71-HLOOKUP(X71,Feuil1!$C$1:$BL$10,2,FALSE)</f>
        <v>24</v>
      </c>
      <c r="AC71" s="3">
        <f>T71-HLOOKUP(X71,Feuil1!$C$1:$BL$10,3,FALSE)</f>
        <v>14</v>
      </c>
      <c r="AD71" s="3">
        <f>T71-HLOOKUP(X71,Feuil1!$C$1:$BL$10,4,FALSE)</f>
        <v>4</v>
      </c>
      <c r="AE71" s="3">
        <f>T71-HLOOKUP(X71,Feuil1!$C$1:$BL$10,5,FALSE)</f>
        <v>-6</v>
      </c>
      <c r="AF71" s="3">
        <f>T71-HLOOKUP(X71,Feuil1!$C$1:$BL$10,6,FALSE)</f>
        <v>-16</v>
      </c>
      <c r="AG71" s="3">
        <f>T71-HLOOKUP(X71,Feuil1!$C$1:$BL$10,7,FALSE)</f>
        <v>-31</v>
      </c>
      <c r="AH71" s="3">
        <f>T71-HLOOKUP(X71,Feuil1!$C$1:$BL$10,8,FALSE)</f>
        <v>-46</v>
      </c>
      <c r="AI71" s="3">
        <f>T71-HLOOKUP(X71,Feuil1!$C$1:$BL$10,9,FALSE)</f>
        <v>-61</v>
      </c>
      <c r="AJ71" s="3">
        <f>T71-HLOOKUP(X71,Feuil1!$C$1:$BL$10,10,FALSE)</f>
        <v>-921</v>
      </c>
      <c r="AK71" s="5"/>
      <c r="AL71" s="5"/>
      <c r="AM71" s="5"/>
      <c r="AN71" s="5"/>
      <c r="AO71" s="5"/>
      <c r="AP71" s="5"/>
      <c r="AQ71" s="5" t="str">
        <f t="shared" si="36"/>
        <v>REG +</v>
      </c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</row>
    <row r="72" spans="1:55" s="13" customFormat="1" ht="21" hidden="1" x14ac:dyDescent="0.2">
      <c r="A72" s="12" t="s">
        <v>69</v>
      </c>
      <c r="B72" s="18" t="s">
        <v>536</v>
      </c>
      <c r="C72" s="19" t="s">
        <v>545</v>
      </c>
      <c r="D72" s="61">
        <v>14</v>
      </c>
      <c r="E72" s="35">
        <v>357559</v>
      </c>
      <c r="F72" s="20" t="s">
        <v>556</v>
      </c>
      <c r="G72" s="20" t="s">
        <v>272</v>
      </c>
      <c r="H72" s="51">
        <v>1999</v>
      </c>
      <c r="I72" s="30">
        <v>59.3</v>
      </c>
      <c r="J72" s="19" t="s">
        <v>557</v>
      </c>
      <c r="K72" s="34" t="s">
        <v>69</v>
      </c>
      <c r="L72" s="31">
        <v>26</v>
      </c>
      <c r="M72" s="31">
        <v>29</v>
      </c>
      <c r="N72" s="31">
        <v>32</v>
      </c>
      <c r="O72" s="36">
        <f t="shared" si="29"/>
        <v>32</v>
      </c>
      <c r="P72" s="31">
        <v>35</v>
      </c>
      <c r="Q72" s="31">
        <v>39</v>
      </c>
      <c r="R72" s="31">
        <v>-43</v>
      </c>
      <c r="S72" s="36">
        <f t="shared" si="30"/>
        <v>39</v>
      </c>
      <c r="T72" s="37">
        <f t="shared" si="31"/>
        <v>71</v>
      </c>
      <c r="U72" s="65">
        <f t="shared" si="32"/>
        <v>-47.599999999999994</v>
      </c>
      <c r="V72" s="41" t="str">
        <f t="shared" si="33"/>
        <v>DEP +</v>
      </c>
      <c r="W72" s="33">
        <f t="shared" si="34"/>
        <v>6</v>
      </c>
      <c r="X72" s="40" t="str">
        <f>IF(I72="","",IF(A72="H",IF(OR(H72="SEN",H72&lt;1995),VLOOKUP(I72,Feuil1!$A$11:$G$29,6),IF(AND(H72&gt;1994,H72&lt;1998),VLOOKUP(I72,Feuil1!$A$11:$G$29,5),IF(AND(H72&gt;1997,H72&lt;2000),VLOOKUP(I72,Feuil1!$A$11:$G$29,4),IF(AND(H72&gt;1999,H72&lt;2002),VLOOKUP(I72,Feuil1!$A$11:$G$29,3),VLOOKUP(I72,Feuil1!$A$11:$G$29,2))))),IF(OR(H72="SEN",H72&lt;1995),VLOOKUP(I72,Feuil1!$G$11:$L$25,6),IF(AND(H72&gt;1994,H72&lt;1998),VLOOKUP(I72,Feuil1!$G$11:$L$25,5),IF(AND(H72&gt;1997,H72&lt;2000),VLOOKUP(I72,Feuil1!$G$11:$L$25,4),IF(AND(H72&gt;1999,H72&lt;2002),VLOOKUP(I72,Feuil1!$G$11:$L$25,3),VLOOKUP(I72,Feuil1!$G$11:$L$25,2)))))))</f>
        <v>FC2 63</v>
      </c>
      <c r="Y72" s="39">
        <f t="shared" si="35"/>
        <v>98.373160857882482</v>
      </c>
      <c r="Z72" s="45"/>
      <c r="AA72" s="45" t="s">
        <v>12</v>
      </c>
      <c r="AB72" s="3">
        <f>T72-HLOOKUP(X72,Feuil1!$C$1:$BL$10,2,FALSE)</f>
        <v>16</v>
      </c>
      <c r="AC72" s="3">
        <f>T72-HLOOKUP(X72,Feuil1!$C$1:$BL$10,3,FALSE)</f>
        <v>6</v>
      </c>
      <c r="AD72" s="3">
        <f>T72-HLOOKUP(X72,Feuil1!$C$1:$BL$10,4,FALSE)</f>
        <v>-4</v>
      </c>
      <c r="AE72" s="3">
        <f>T72-HLOOKUP(X72,Feuil1!$C$1:$BL$10,5,FALSE)</f>
        <v>-14</v>
      </c>
      <c r="AF72" s="3">
        <f>T72-HLOOKUP(X72,Feuil1!$C$1:$BL$10,6,FALSE)</f>
        <v>-24</v>
      </c>
      <c r="AG72" s="3">
        <f>T72-HLOOKUP(X72,Feuil1!$C$1:$BL$10,7,FALSE)</f>
        <v>-39</v>
      </c>
      <c r="AH72" s="3">
        <f>T72-HLOOKUP(X72,Feuil1!$C$1:$BL$10,8,FALSE)</f>
        <v>-54</v>
      </c>
      <c r="AI72" s="3">
        <f>T72-HLOOKUP(X72,Feuil1!$C$1:$BL$10,9,FALSE)</f>
        <v>-69</v>
      </c>
      <c r="AJ72" s="3">
        <f>T72-HLOOKUP(X72,Feuil1!$C$1:$BL$10,10,FALSE)</f>
        <v>-929</v>
      </c>
      <c r="AK72" s="5"/>
      <c r="AL72" s="5"/>
      <c r="AM72" s="5"/>
      <c r="AN72" s="5"/>
      <c r="AO72" s="5"/>
      <c r="AP72" s="5"/>
      <c r="AQ72" s="5" t="str">
        <f t="shared" si="36"/>
        <v>DEP +</v>
      </c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</row>
    <row r="73" spans="1:55" s="13" customFormat="1" ht="21" hidden="1" x14ac:dyDescent="0.2">
      <c r="A73" s="12" t="s">
        <v>69</v>
      </c>
      <c r="B73" s="18" t="s">
        <v>71</v>
      </c>
      <c r="C73" s="19" t="s">
        <v>72</v>
      </c>
      <c r="D73" s="61">
        <v>15</v>
      </c>
      <c r="E73" s="35">
        <v>391306</v>
      </c>
      <c r="F73" s="20" t="s">
        <v>928</v>
      </c>
      <c r="G73" s="20" t="s">
        <v>929</v>
      </c>
      <c r="H73" s="51">
        <v>1998</v>
      </c>
      <c r="I73" s="30">
        <v>59</v>
      </c>
      <c r="J73" s="19" t="s">
        <v>927</v>
      </c>
      <c r="K73" s="34" t="s">
        <v>69</v>
      </c>
      <c r="L73" s="31">
        <v>27</v>
      </c>
      <c r="M73" s="31">
        <v>29</v>
      </c>
      <c r="N73" s="31">
        <v>31</v>
      </c>
      <c r="O73" s="36">
        <f t="shared" si="29"/>
        <v>31</v>
      </c>
      <c r="P73" s="31">
        <v>35</v>
      </c>
      <c r="Q73" s="31">
        <v>39</v>
      </c>
      <c r="R73" s="31">
        <v>-42</v>
      </c>
      <c r="S73" s="36">
        <f t="shared" si="30"/>
        <v>39</v>
      </c>
      <c r="T73" s="37">
        <f t="shared" si="31"/>
        <v>70</v>
      </c>
      <c r="U73" s="65">
        <f t="shared" si="32"/>
        <v>-48</v>
      </c>
      <c r="V73" s="41" t="str">
        <f t="shared" si="33"/>
        <v>DEP +</v>
      </c>
      <c r="W73" s="33">
        <f t="shared" si="34"/>
        <v>5</v>
      </c>
      <c r="X73" s="40" t="str">
        <f>IF(I73="","",IF(A73="H",IF(OR(H73="SEN",H73&lt;1995),VLOOKUP(I73,Feuil1!$A$11:$G$29,6),IF(AND(H73&gt;1994,H73&lt;1998),VLOOKUP(I73,Feuil1!$A$11:$G$29,5),IF(AND(H73&gt;1997,H73&lt;2000),VLOOKUP(I73,Feuil1!$A$11:$G$29,4),IF(AND(H73&gt;1999,H73&lt;2002),VLOOKUP(I73,Feuil1!$A$11:$G$29,3),VLOOKUP(I73,Feuil1!$A$11:$G$29,2))))),IF(OR(H73="SEN",H73&lt;1995),VLOOKUP(I73,Feuil1!$G$11:$L$25,6),IF(AND(H73&gt;1994,H73&lt;1998),VLOOKUP(I73,Feuil1!$G$11:$L$25,5),IF(AND(H73&gt;1997,H73&lt;2000),VLOOKUP(I73,Feuil1!$G$11:$L$25,4),IF(AND(H73&gt;1999,H73&lt;2002),VLOOKUP(I73,Feuil1!$G$11:$L$25,3),VLOOKUP(I73,Feuil1!$G$11:$L$25,2)))))))</f>
        <v>FC2 63</v>
      </c>
      <c r="Y73" s="39">
        <f t="shared" si="35"/>
        <v>97.339931466361861</v>
      </c>
      <c r="Z73" s="45"/>
      <c r="AA73" s="45" t="s">
        <v>12</v>
      </c>
      <c r="AB73" s="3">
        <f>T73-HLOOKUP(X73,Feuil1!$C$1:$BL$10,2,FALSE)</f>
        <v>15</v>
      </c>
      <c r="AC73" s="3">
        <f>T73-HLOOKUP(X73,Feuil1!$C$1:$BL$10,3,FALSE)</f>
        <v>5</v>
      </c>
      <c r="AD73" s="3">
        <f>T73-HLOOKUP(X73,Feuil1!$C$1:$BL$10,4,FALSE)</f>
        <v>-5</v>
      </c>
      <c r="AE73" s="3">
        <f>T73-HLOOKUP(X73,Feuil1!$C$1:$BL$10,5,FALSE)</f>
        <v>-15</v>
      </c>
      <c r="AF73" s="3">
        <f>T73-HLOOKUP(X73,Feuil1!$C$1:$BL$10,6,FALSE)</f>
        <v>-25</v>
      </c>
      <c r="AG73" s="3">
        <f>T73-HLOOKUP(X73,Feuil1!$C$1:$BL$10,7,FALSE)</f>
        <v>-40</v>
      </c>
      <c r="AH73" s="3">
        <f>T73-HLOOKUP(X73,Feuil1!$C$1:$BL$10,8,FALSE)</f>
        <v>-55</v>
      </c>
      <c r="AI73" s="3">
        <f>T73-HLOOKUP(X73,Feuil1!$C$1:$BL$10,9,FALSE)</f>
        <v>-70</v>
      </c>
      <c r="AJ73" s="3">
        <f>T73-HLOOKUP(X73,Feuil1!$C$1:$BL$10,10,FALSE)</f>
        <v>-930</v>
      </c>
      <c r="AK73" s="5"/>
      <c r="AL73" s="5"/>
      <c r="AM73" s="5"/>
      <c r="AN73" s="5"/>
      <c r="AO73" s="5"/>
      <c r="AP73" s="5"/>
      <c r="AQ73" s="5" t="str">
        <f t="shared" si="36"/>
        <v>DEP +</v>
      </c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</row>
    <row r="74" spans="1:55" s="13" customFormat="1" ht="21" hidden="1" x14ac:dyDescent="0.2">
      <c r="A74" s="12" t="s">
        <v>69</v>
      </c>
      <c r="B74" s="18" t="s">
        <v>536</v>
      </c>
      <c r="C74" s="19" t="s">
        <v>545</v>
      </c>
      <c r="D74" s="61">
        <v>16</v>
      </c>
      <c r="E74" s="35">
        <v>269729</v>
      </c>
      <c r="F74" s="20" t="s">
        <v>558</v>
      </c>
      <c r="G74" s="20" t="s">
        <v>559</v>
      </c>
      <c r="H74" s="51">
        <v>1998</v>
      </c>
      <c r="I74" s="30">
        <v>63</v>
      </c>
      <c r="J74" s="19" t="s">
        <v>560</v>
      </c>
      <c r="K74" s="34" t="s">
        <v>69</v>
      </c>
      <c r="L74" s="31">
        <v>28</v>
      </c>
      <c r="M74" s="31">
        <v>30</v>
      </c>
      <c r="N74" s="31">
        <v>-32</v>
      </c>
      <c r="O74" s="36">
        <f t="shared" si="29"/>
        <v>30</v>
      </c>
      <c r="P74" s="31">
        <v>35</v>
      </c>
      <c r="Q74" s="31">
        <v>40</v>
      </c>
      <c r="R74" s="31">
        <v>-45</v>
      </c>
      <c r="S74" s="36">
        <f t="shared" si="30"/>
        <v>40</v>
      </c>
      <c r="T74" s="37">
        <f t="shared" si="31"/>
        <v>70</v>
      </c>
      <c r="U74" s="65">
        <f t="shared" si="32"/>
        <v>-56</v>
      </c>
      <c r="V74" s="41" t="str">
        <f t="shared" si="33"/>
        <v>DEP +</v>
      </c>
      <c r="W74" s="33">
        <f t="shared" si="34"/>
        <v>5</v>
      </c>
      <c r="X74" s="40" t="str">
        <f>IF(I74="","",IF(A74="H",IF(OR(H74="SEN",H74&lt;1995),VLOOKUP(I74,Feuil1!$A$11:$G$29,6),IF(AND(H74&gt;1994,H74&lt;1998),VLOOKUP(I74,Feuil1!$A$11:$G$29,5),IF(AND(H74&gt;1997,H74&lt;2000),VLOOKUP(I74,Feuil1!$A$11:$G$29,4),IF(AND(H74&gt;1999,H74&lt;2002),VLOOKUP(I74,Feuil1!$A$11:$G$29,3),VLOOKUP(I74,Feuil1!$A$11:$G$29,2))))),IF(OR(H74="SEN",H74&lt;1995),VLOOKUP(I74,Feuil1!$G$11:$L$25,6),IF(AND(H74&gt;1994,H74&lt;1998),VLOOKUP(I74,Feuil1!$G$11:$L$25,5),IF(AND(H74&gt;1997,H74&lt;2000),VLOOKUP(I74,Feuil1!$G$11:$L$25,4),IF(AND(H74&gt;1999,H74&lt;2002),VLOOKUP(I74,Feuil1!$G$11:$L$25,3),VLOOKUP(I74,Feuil1!$G$11:$L$25,2)))))))</f>
        <v>FC2 63</v>
      </c>
      <c r="Y74" s="39">
        <f t="shared" si="35"/>
        <v>93.024257151829417</v>
      </c>
      <c r="Z74" s="45"/>
      <c r="AA74" s="45" t="s">
        <v>12</v>
      </c>
      <c r="AB74" s="3">
        <f>T74-HLOOKUP(X74,Feuil1!$C$1:$BL$10,2,FALSE)</f>
        <v>15</v>
      </c>
      <c r="AC74" s="3">
        <f>T74-HLOOKUP(X74,Feuil1!$C$1:$BL$10,3,FALSE)</f>
        <v>5</v>
      </c>
      <c r="AD74" s="3">
        <f>T74-HLOOKUP(X74,Feuil1!$C$1:$BL$10,4,FALSE)</f>
        <v>-5</v>
      </c>
      <c r="AE74" s="3">
        <f>T74-HLOOKUP(X74,Feuil1!$C$1:$BL$10,5,FALSE)</f>
        <v>-15</v>
      </c>
      <c r="AF74" s="3">
        <f>T74-HLOOKUP(X74,Feuil1!$C$1:$BL$10,6,FALSE)</f>
        <v>-25</v>
      </c>
      <c r="AG74" s="3">
        <f>T74-HLOOKUP(X74,Feuil1!$C$1:$BL$10,7,FALSE)</f>
        <v>-40</v>
      </c>
      <c r="AH74" s="3">
        <f>T74-HLOOKUP(X74,Feuil1!$C$1:$BL$10,8,FALSE)</f>
        <v>-55</v>
      </c>
      <c r="AI74" s="3">
        <f>T74-HLOOKUP(X74,Feuil1!$C$1:$BL$10,9,FALSE)</f>
        <v>-70</v>
      </c>
      <c r="AJ74" s="3">
        <f>T74-HLOOKUP(X74,Feuil1!$C$1:$BL$10,10,FALSE)</f>
        <v>-930</v>
      </c>
      <c r="AK74" s="5"/>
      <c r="AL74" s="5"/>
      <c r="AM74" s="5"/>
      <c r="AN74" s="5"/>
      <c r="AO74" s="5"/>
      <c r="AP74" s="5"/>
      <c r="AQ74" s="5" t="str">
        <f t="shared" si="36"/>
        <v>DEP +</v>
      </c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</row>
    <row r="75" spans="1:55" s="13" customFormat="1" ht="21" hidden="1" x14ac:dyDescent="0.2">
      <c r="A75" s="12" t="s">
        <v>69</v>
      </c>
      <c r="B75" s="18" t="s">
        <v>721</v>
      </c>
      <c r="C75" s="19" t="s">
        <v>745</v>
      </c>
      <c r="D75" s="61">
        <v>17</v>
      </c>
      <c r="E75" s="35">
        <v>384450</v>
      </c>
      <c r="F75" s="20" t="s">
        <v>594</v>
      </c>
      <c r="G75" s="20" t="s">
        <v>269</v>
      </c>
      <c r="H75" s="51">
        <v>1998</v>
      </c>
      <c r="I75" s="30">
        <v>59.9</v>
      </c>
      <c r="J75" s="19" t="s">
        <v>750</v>
      </c>
      <c r="K75" s="34" t="s">
        <v>69</v>
      </c>
      <c r="L75" s="31">
        <v>25</v>
      </c>
      <c r="M75" s="31">
        <v>28</v>
      </c>
      <c r="N75" s="31">
        <v>-30</v>
      </c>
      <c r="O75" s="36">
        <f t="shared" si="29"/>
        <v>28</v>
      </c>
      <c r="P75" s="31">
        <v>30</v>
      </c>
      <c r="Q75" s="31">
        <v>35</v>
      </c>
      <c r="R75" s="31">
        <v>38</v>
      </c>
      <c r="S75" s="36">
        <f t="shared" si="30"/>
        <v>38</v>
      </c>
      <c r="T75" s="37">
        <f t="shared" si="31"/>
        <v>66</v>
      </c>
      <c r="U75" s="65">
        <f t="shared" si="32"/>
        <v>-53.8</v>
      </c>
      <c r="V75" s="41" t="str">
        <f t="shared" si="33"/>
        <v>DEP +</v>
      </c>
      <c r="W75" s="33">
        <f t="shared" si="34"/>
        <v>1</v>
      </c>
      <c r="X75" s="40" t="str">
        <f>IF(I75="","",IF(A75="H",IF(OR(H75="SEN",H75&lt;1995),VLOOKUP(I75,Feuil1!$A$11:$G$29,6),IF(AND(H75&gt;1994,H75&lt;1998),VLOOKUP(I75,Feuil1!$A$11:$G$29,5),IF(AND(H75&gt;1997,H75&lt;2000),VLOOKUP(I75,Feuil1!$A$11:$G$29,4),IF(AND(H75&gt;1999,H75&lt;2002),VLOOKUP(I75,Feuil1!$A$11:$G$29,3),VLOOKUP(I75,Feuil1!$A$11:$G$29,2))))),IF(OR(H75="SEN",H75&lt;1995),VLOOKUP(I75,Feuil1!$G$11:$L$25,6),IF(AND(H75&gt;1994,H75&lt;1998),VLOOKUP(I75,Feuil1!$G$11:$L$25,5),IF(AND(H75&gt;1997,H75&lt;2000),VLOOKUP(I75,Feuil1!$G$11:$L$25,4),IF(AND(H75&gt;1999,H75&lt;2002),VLOOKUP(I75,Feuil1!$G$11:$L$25,3),VLOOKUP(I75,Feuil1!$G$11:$L$25,2)))))))</f>
        <v>FC2 63</v>
      </c>
      <c r="Y75" s="39">
        <f t="shared" si="35"/>
        <v>90.795082486872957</v>
      </c>
      <c r="Z75" s="45"/>
      <c r="AA75" s="45" t="s">
        <v>12</v>
      </c>
      <c r="AB75" s="3">
        <f>T75-HLOOKUP(X75,Feuil1!$C$1:$BL$10,2,FALSE)</f>
        <v>11</v>
      </c>
      <c r="AC75" s="3">
        <f>T75-HLOOKUP(X75,Feuil1!$C$1:$BL$10,3,FALSE)</f>
        <v>1</v>
      </c>
      <c r="AD75" s="3">
        <f>T75-HLOOKUP(X75,Feuil1!$C$1:$BL$10,4,FALSE)</f>
        <v>-9</v>
      </c>
      <c r="AE75" s="3">
        <f>T75-HLOOKUP(X75,Feuil1!$C$1:$BL$10,5,FALSE)</f>
        <v>-19</v>
      </c>
      <c r="AF75" s="3">
        <f>T75-HLOOKUP(X75,Feuil1!$C$1:$BL$10,6,FALSE)</f>
        <v>-29</v>
      </c>
      <c r="AG75" s="3">
        <f>T75-HLOOKUP(X75,Feuil1!$C$1:$BL$10,7,FALSE)</f>
        <v>-44</v>
      </c>
      <c r="AH75" s="3">
        <f>T75-HLOOKUP(X75,Feuil1!$C$1:$BL$10,8,FALSE)</f>
        <v>-59</v>
      </c>
      <c r="AI75" s="3">
        <f>T75-HLOOKUP(X75,Feuil1!$C$1:$BL$10,9,FALSE)</f>
        <v>-74</v>
      </c>
      <c r="AJ75" s="3">
        <f>T75-HLOOKUP(X75,Feuil1!$C$1:$BL$10,10,FALSE)</f>
        <v>-934</v>
      </c>
      <c r="AK75" s="5"/>
      <c r="AL75" s="5"/>
      <c r="AM75" s="5"/>
      <c r="AN75" s="5"/>
      <c r="AO75" s="5"/>
      <c r="AP75" s="5"/>
      <c r="AQ75" s="5" t="str">
        <f t="shared" si="36"/>
        <v>DEP +</v>
      </c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</row>
    <row r="76" spans="1:55" s="13" customFormat="1" ht="21" hidden="1" x14ac:dyDescent="0.2">
      <c r="A76" s="12" t="s">
        <v>69</v>
      </c>
      <c r="B76" s="67" t="s">
        <v>298</v>
      </c>
      <c r="C76" s="68" t="s">
        <v>476</v>
      </c>
      <c r="D76" s="69">
        <v>18</v>
      </c>
      <c r="E76" s="70">
        <v>357294</v>
      </c>
      <c r="F76" s="71" t="s">
        <v>495</v>
      </c>
      <c r="G76" s="71" t="s">
        <v>114</v>
      </c>
      <c r="H76" s="72">
        <v>1999</v>
      </c>
      <c r="I76" s="73">
        <v>58.82</v>
      </c>
      <c r="J76" s="68" t="s">
        <v>481</v>
      </c>
      <c r="K76" s="74" t="s">
        <v>69</v>
      </c>
      <c r="L76" s="75">
        <v>20</v>
      </c>
      <c r="M76" s="75">
        <v>22</v>
      </c>
      <c r="N76" s="75">
        <v>25</v>
      </c>
      <c r="O76" s="76">
        <f t="shared" si="29"/>
        <v>25</v>
      </c>
      <c r="P76" s="75">
        <v>32</v>
      </c>
      <c r="Q76" s="75">
        <v>34</v>
      </c>
      <c r="R76" s="75">
        <v>36</v>
      </c>
      <c r="S76" s="76">
        <f t="shared" si="30"/>
        <v>36</v>
      </c>
      <c r="T76" s="77">
        <f t="shared" si="31"/>
        <v>61</v>
      </c>
      <c r="U76" s="78">
        <f t="shared" si="32"/>
        <v>-56.64</v>
      </c>
      <c r="V76" s="79" t="str">
        <f t="shared" si="33"/>
        <v xml:space="preserve">DEB </v>
      </c>
      <c r="W76" s="80">
        <f t="shared" si="34"/>
        <v>6</v>
      </c>
      <c r="X76" s="81" t="str">
        <f>IF(I76="","",IF(A76="H",IF(OR(H76="SEN",H76&lt;1995),VLOOKUP(I76,Feuil1!$A$11:$G$29,6),IF(AND(H76&gt;1994,H76&lt;1998),VLOOKUP(I76,Feuil1!$A$11:$G$29,5),IF(AND(H76&gt;1997,H76&lt;2000),VLOOKUP(I76,Feuil1!$A$11:$G$29,4),IF(AND(H76&gt;1999,H76&lt;2002),VLOOKUP(I76,Feuil1!$A$11:$G$29,3),VLOOKUP(I76,Feuil1!$A$11:$G$29,2))))),IF(OR(H76="SEN",H76&lt;1995),VLOOKUP(I76,Feuil1!$G$11:$L$25,6),IF(AND(H76&gt;1994,H76&lt;1998),VLOOKUP(I76,Feuil1!$G$11:$L$25,5),IF(AND(H76&gt;1997,H76&lt;2000),VLOOKUP(I76,Feuil1!$G$11:$L$25,4),IF(AND(H76&gt;1999,H76&lt;2002),VLOOKUP(I76,Feuil1!$G$11:$L$25,3),VLOOKUP(I76,Feuil1!$G$11:$L$25,2)))))))</f>
        <v>FC2 63</v>
      </c>
      <c r="Y76" s="39">
        <f t="shared" si="35"/>
        <v>85.011115117000202</v>
      </c>
      <c r="Z76" s="45"/>
      <c r="AA76" s="45" t="s">
        <v>12</v>
      </c>
      <c r="AB76" s="3">
        <f>T76-HLOOKUP(X76,Feuil1!$C$1:$BL$10,2,FALSE)</f>
        <v>6</v>
      </c>
      <c r="AC76" s="3">
        <f>T76-HLOOKUP(X76,Feuil1!$C$1:$BL$10,3,FALSE)</f>
        <v>-4</v>
      </c>
      <c r="AD76" s="3">
        <f>T76-HLOOKUP(X76,Feuil1!$C$1:$BL$10,4,FALSE)</f>
        <v>-14</v>
      </c>
      <c r="AE76" s="3">
        <f>T76-HLOOKUP(X76,Feuil1!$C$1:$BL$10,5,FALSE)</f>
        <v>-24</v>
      </c>
      <c r="AF76" s="3">
        <f>T76-HLOOKUP(X76,Feuil1!$C$1:$BL$10,6,FALSE)</f>
        <v>-34</v>
      </c>
      <c r="AG76" s="3">
        <f>T76-HLOOKUP(X76,Feuil1!$C$1:$BL$10,7,FALSE)</f>
        <v>-49</v>
      </c>
      <c r="AH76" s="3">
        <f>T76-HLOOKUP(X76,Feuil1!$C$1:$BL$10,8,FALSE)</f>
        <v>-64</v>
      </c>
      <c r="AI76" s="3">
        <f>T76-HLOOKUP(X76,Feuil1!$C$1:$BL$10,9,FALSE)</f>
        <v>-79</v>
      </c>
      <c r="AJ76" s="3">
        <f>T76-HLOOKUP(X76,Feuil1!$C$1:$BL$10,10,FALSE)</f>
        <v>-939</v>
      </c>
      <c r="AK76" s="5"/>
      <c r="AL76" s="5"/>
      <c r="AM76" s="5"/>
      <c r="AN76" s="5"/>
      <c r="AO76" s="5"/>
      <c r="AP76" s="5"/>
      <c r="AQ76" s="5" t="str">
        <f t="shared" si="36"/>
        <v xml:space="preserve">DEB </v>
      </c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</row>
    <row r="77" spans="1:55" s="13" customFormat="1" ht="21" hidden="1" x14ac:dyDescent="0.2">
      <c r="A77" s="12" t="s">
        <v>69</v>
      </c>
      <c r="B77" s="67" t="s">
        <v>108</v>
      </c>
      <c r="C77" s="68" t="s">
        <v>119</v>
      </c>
      <c r="D77" s="69">
        <v>19</v>
      </c>
      <c r="E77" s="70">
        <v>381288</v>
      </c>
      <c r="F77" s="71" t="s">
        <v>141</v>
      </c>
      <c r="G77" s="71" t="s">
        <v>176</v>
      </c>
      <c r="H77" s="72">
        <v>1998</v>
      </c>
      <c r="I77" s="73">
        <v>59.2</v>
      </c>
      <c r="J77" s="68" t="s">
        <v>138</v>
      </c>
      <c r="K77" s="74" t="s">
        <v>69</v>
      </c>
      <c r="L77" s="75">
        <v>18</v>
      </c>
      <c r="M77" s="75">
        <v>-20</v>
      </c>
      <c r="N77" s="75">
        <v>20</v>
      </c>
      <c r="O77" s="76">
        <f t="shared" si="29"/>
        <v>20</v>
      </c>
      <c r="P77" s="75">
        <v>-24</v>
      </c>
      <c r="Q77" s="75">
        <v>24</v>
      </c>
      <c r="R77" s="75">
        <v>26</v>
      </c>
      <c r="S77" s="76">
        <f t="shared" si="30"/>
        <v>26</v>
      </c>
      <c r="T77" s="77">
        <f t="shared" si="31"/>
        <v>46</v>
      </c>
      <c r="U77" s="78">
        <f t="shared" si="32"/>
        <v>-72.400000000000006</v>
      </c>
      <c r="V77" s="79" t="str">
        <f t="shared" si="33"/>
        <v xml:space="preserve">DEB </v>
      </c>
      <c r="W77" s="80">
        <f t="shared" si="34"/>
        <v>-9</v>
      </c>
      <c r="X77" s="81" t="str">
        <f>IF(I77="","",IF(A77="H",IF(OR(H77="SEN",H77&lt;1995),VLOOKUP(I77,Feuil1!$A$11:$G$29,6),IF(AND(H77&gt;1994,H77&lt;1998),VLOOKUP(I77,Feuil1!$A$11:$G$29,5),IF(AND(H77&gt;1997,H77&lt;2000),VLOOKUP(I77,Feuil1!$A$11:$G$29,4),IF(AND(H77&gt;1999,H77&lt;2002),VLOOKUP(I77,Feuil1!$A$11:$G$29,3),VLOOKUP(I77,Feuil1!$A$11:$G$29,2))))),IF(OR(H77="SEN",H77&lt;1995),VLOOKUP(I77,Feuil1!$G$11:$L$25,6),IF(AND(H77&gt;1994,H77&lt;1998),VLOOKUP(I77,Feuil1!$G$11:$L$25,5),IF(AND(H77&gt;1997,H77&lt;2000),VLOOKUP(I77,Feuil1!$G$11:$L$25,4),IF(AND(H77&gt;1999,H77&lt;2002),VLOOKUP(I77,Feuil1!$G$11:$L$25,3),VLOOKUP(I77,Feuil1!$G$11:$L$25,2)))))))</f>
        <v>FC2 63</v>
      </c>
      <c r="Y77" s="39">
        <f t="shared" si="35"/>
        <v>63.81153058965684</v>
      </c>
      <c r="Z77" s="45"/>
      <c r="AA77" s="45" t="s">
        <v>12</v>
      </c>
      <c r="AB77" s="3">
        <f>T77-HLOOKUP(X77,Feuil1!$C$1:$BL$10,2,FALSE)</f>
        <v>-9</v>
      </c>
      <c r="AC77" s="3">
        <f>T77-HLOOKUP(X77,Feuil1!$C$1:$BL$10,3,FALSE)</f>
        <v>-19</v>
      </c>
      <c r="AD77" s="3">
        <f>T77-HLOOKUP(X77,Feuil1!$C$1:$BL$10,4,FALSE)</f>
        <v>-29</v>
      </c>
      <c r="AE77" s="3">
        <f>T77-HLOOKUP(X77,Feuil1!$C$1:$BL$10,5,FALSE)</f>
        <v>-39</v>
      </c>
      <c r="AF77" s="3">
        <f>T77-HLOOKUP(X77,Feuil1!$C$1:$BL$10,6,FALSE)</f>
        <v>-49</v>
      </c>
      <c r="AG77" s="3">
        <f>T77-HLOOKUP(X77,Feuil1!$C$1:$BL$10,7,FALSE)</f>
        <v>-64</v>
      </c>
      <c r="AH77" s="3">
        <f>T77-HLOOKUP(X77,Feuil1!$C$1:$BL$10,8,FALSE)</f>
        <v>-79</v>
      </c>
      <c r="AI77" s="3">
        <f>T77-HLOOKUP(X77,Feuil1!$C$1:$BL$10,9,FALSE)</f>
        <v>-94</v>
      </c>
      <c r="AJ77" s="3">
        <f>T77-HLOOKUP(X77,Feuil1!$C$1:$BL$10,10,FALSE)</f>
        <v>-954</v>
      </c>
      <c r="AK77" s="5"/>
      <c r="AL77" s="5"/>
      <c r="AM77" s="5"/>
      <c r="AN77" s="5"/>
      <c r="AO77" s="5"/>
      <c r="AP77" s="5"/>
      <c r="AQ77" s="5" t="str">
        <f t="shared" si="36"/>
        <v xml:space="preserve">DEB </v>
      </c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</row>
    <row r="78" spans="1:55" s="13" customFormat="1" ht="15" hidden="1" customHeight="1" thickBot="1" x14ac:dyDescent="0.25">
      <c r="A78" s="89"/>
      <c r="B78" s="90"/>
      <c r="C78" s="91"/>
      <c r="D78" s="92"/>
      <c r="E78" s="93"/>
      <c r="F78" s="94"/>
      <c r="G78" s="94"/>
      <c r="H78" s="95"/>
      <c r="I78" s="96"/>
      <c r="J78" s="91"/>
      <c r="K78" s="97"/>
      <c r="L78" s="98"/>
      <c r="M78" s="98"/>
      <c r="N78" s="98"/>
      <c r="O78" s="99"/>
      <c r="P78" s="98"/>
      <c r="Q78" s="98"/>
      <c r="R78" s="98"/>
      <c r="S78" s="99"/>
      <c r="T78" s="100"/>
      <c r="U78" s="101"/>
      <c r="V78" s="102"/>
      <c r="W78" s="103"/>
      <c r="X78" s="104"/>
      <c r="Y78" s="105"/>
      <c r="Z78" s="45"/>
      <c r="AA78" s="45" t="s">
        <v>12</v>
      </c>
      <c r="AB78" s="3" t="e">
        <f>T78-HLOOKUP(X78,Feuil1!$C$1:$BL$10,2,FALSE)</f>
        <v>#N/A</v>
      </c>
      <c r="AC78" s="3" t="e">
        <f>T78-HLOOKUP(X78,Feuil1!$C$1:$BL$10,3,FALSE)</f>
        <v>#N/A</v>
      </c>
      <c r="AD78" s="3" t="e">
        <f>T78-HLOOKUP(X78,Feuil1!$C$1:$BL$10,4,FALSE)</f>
        <v>#N/A</v>
      </c>
      <c r="AE78" s="3" t="e">
        <f>T78-HLOOKUP(X78,Feuil1!$C$1:$BL$10,5,FALSE)</f>
        <v>#N/A</v>
      </c>
      <c r="AF78" s="3" t="e">
        <f>T78-HLOOKUP(X78,Feuil1!$C$1:$BL$10,6,FALSE)</f>
        <v>#N/A</v>
      </c>
      <c r="AG78" s="3" t="e">
        <f>T78-HLOOKUP(X78,Feuil1!$C$1:$BL$10,7,FALSE)</f>
        <v>#N/A</v>
      </c>
      <c r="AH78" s="3" t="e">
        <f>T78-HLOOKUP(X78,Feuil1!$C$1:$BL$10,8,FALSE)</f>
        <v>#N/A</v>
      </c>
      <c r="AI78" s="3" t="e">
        <f>T78-HLOOKUP(X78,Feuil1!$C$1:$BL$10,9,FALSE)</f>
        <v>#N/A</v>
      </c>
      <c r="AJ78" s="3" t="e">
        <f>T78-HLOOKUP(X78,Feuil1!$C$1:$BL$10,10,FALSE)</f>
        <v>#N/A</v>
      </c>
      <c r="AK78" s="5"/>
      <c r="AL78" s="5"/>
      <c r="AM78" s="5"/>
      <c r="AN78" s="5"/>
      <c r="AO78" s="5"/>
      <c r="AP78" s="5"/>
      <c r="AQ78" s="5" t="e">
        <f t="shared" ref="AQ78" si="37">IF(AJ78&gt;=0,$AJ$1,IF(AI78&gt;=0,$AI$1,IF(AH78&gt;=0,$AH$1,IF(AG78&gt;=0,$AG$1,IF(AF78&gt;=0,$AF$1,IF(AE78&gt;=0,$AE$1,IF(AD78&gt;=0,$AD$1,IF(AC78&gt;=0,$AC$1,$AB$1))))))))</f>
        <v>#N/A</v>
      </c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</row>
    <row r="79" spans="1:55" s="13" customFormat="1" ht="21" x14ac:dyDescent="0.2">
      <c r="A79" s="12" t="s">
        <v>69</v>
      </c>
      <c r="B79" s="67" t="s">
        <v>108</v>
      </c>
      <c r="C79" s="68" t="s">
        <v>119</v>
      </c>
      <c r="D79" s="69">
        <v>1</v>
      </c>
      <c r="E79" s="70">
        <v>238723</v>
      </c>
      <c r="F79" s="71" t="s">
        <v>142</v>
      </c>
      <c r="G79" s="71" t="s">
        <v>409</v>
      </c>
      <c r="H79" s="72">
        <v>1998</v>
      </c>
      <c r="I79" s="73">
        <v>63.75</v>
      </c>
      <c r="J79" s="68" t="s">
        <v>144</v>
      </c>
      <c r="K79" s="74" t="s">
        <v>69</v>
      </c>
      <c r="L79" s="75">
        <v>-64</v>
      </c>
      <c r="M79" s="75">
        <v>64</v>
      </c>
      <c r="N79" s="75">
        <v>67</v>
      </c>
      <c r="O79" s="76">
        <f t="shared" ref="O79:O88" si="38">IF(H79="","",IF(MAXA(L79:N79)&lt;=0,0,MAXA(L79:N79)))</f>
        <v>67</v>
      </c>
      <c r="P79" s="75">
        <v>83</v>
      </c>
      <c r="Q79" s="75">
        <v>-87</v>
      </c>
      <c r="R79" s="75">
        <v>87</v>
      </c>
      <c r="S79" s="76">
        <f t="shared" ref="S79:S88" si="39">IF(H79="","",IF(MAXA(P79:R79)&lt;=0,0,MAXA(P79:R79)))</f>
        <v>87</v>
      </c>
      <c r="T79" s="77">
        <f t="shared" ref="T79:T88" si="40">IF(H79="","",IF(OR(O79=0,S79=0),0,O79+S79))</f>
        <v>154</v>
      </c>
      <c r="U79" s="78">
        <f t="shared" ref="U79:U88" si="41">T79-I79*2</f>
        <v>26.5</v>
      </c>
      <c r="V79" s="79" t="str">
        <f t="shared" ref="V79:V88" si="42">IF(H79="","",AQ79)</f>
        <v>INTA +</v>
      </c>
      <c r="W79" s="80">
        <f t="shared" ref="W79:W88" si="43">IF(AJ79&gt;=0,AJ79,IF(AI79&gt;=0,AI79,IF(AH79&gt;=0,AH79,IF(AG79&gt;=0,AG79,IF(AF79&gt;=0,AF79,IF(AE79&gt;=0,AE79,IF(AD79&gt;=0,AD79,IF(AC79&gt;=0,AC79,AB79))))))))</f>
        <v>4</v>
      </c>
      <c r="X79" s="81" t="str">
        <f>IF(I79="","",IF(A79="H",IF(OR(H79="SEN",H79&lt;1995),VLOOKUP(I79,Feuil1!$A$11:$G$29,6),IF(AND(H79&gt;1994,H79&lt;1998),VLOOKUP(I79,Feuil1!$A$11:$G$29,5),IF(AND(H79&gt;1997,H79&lt;2000),VLOOKUP(I79,Feuil1!$A$11:$G$29,4),IF(AND(H79&gt;1999,H79&lt;2002),VLOOKUP(I79,Feuil1!$A$11:$G$29,3),VLOOKUP(I79,Feuil1!$A$11:$G$29,2))))),IF(OR(H79="SEN",H79&lt;1995),VLOOKUP(I79,Feuil1!$G$11:$L$25,6),IF(AND(H79&gt;1994,H79&lt;1998),VLOOKUP(I79,Feuil1!$G$11:$L$25,5),IF(AND(H79&gt;1997,H79&lt;2000),VLOOKUP(I79,Feuil1!$G$11:$L$25,4),IF(AND(H79&gt;1999,H79&lt;2002),VLOOKUP(I79,Feuil1!$G$11:$L$25,3),VLOOKUP(I79,Feuil1!$G$11:$L$25,2)))))))</f>
        <v>FC2 69</v>
      </c>
      <c r="Y79" s="39">
        <f t="shared" ref="Y79:Y88" si="44">IF(I79="","",IF(A79="H",10^(0.794358141*LOG(I79/174.393)^2)*T79,IF(A79="F",10^(0.89726074*LOG(I79/148.026)^2)*T79,"")))</f>
        <v>203.05833087833517</v>
      </c>
      <c r="Z79" s="45"/>
      <c r="AA79" s="45" t="s">
        <v>12</v>
      </c>
      <c r="AB79" s="3">
        <f>T79-HLOOKUP(X79,Feuil1!$C$1:$BL$10,2,FALSE)</f>
        <v>94</v>
      </c>
      <c r="AC79" s="3">
        <f>T79-HLOOKUP(X79,Feuil1!$C$1:$BL$10,3,FALSE)</f>
        <v>84</v>
      </c>
      <c r="AD79" s="3">
        <f>T79-HLOOKUP(X79,Feuil1!$C$1:$BL$10,4,FALSE)</f>
        <v>74</v>
      </c>
      <c r="AE79" s="3">
        <f>T79-HLOOKUP(X79,Feuil1!$C$1:$BL$10,5,FALSE)</f>
        <v>64</v>
      </c>
      <c r="AF79" s="3">
        <f>T79-HLOOKUP(X79,Feuil1!$C$1:$BL$10,6,FALSE)</f>
        <v>49</v>
      </c>
      <c r="AG79" s="3">
        <f>T79-HLOOKUP(X79,Feuil1!$C$1:$BL$10,7,FALSE)</f>
        <v>34</v>
      </c>
      <c r="AH79" s="3">
        <f>T79-HLOOKUP(X79,Feuil1!$C$1:$BL$10,8,FALSE)</f>
        <v>19</v>
      </c>
      <c r="AI79" s="3">
        <f>T79-HLOOKUP(X79,Feuil1!$C$1:$BL$10,9,FALSE)</f>
        <v>4</v>
      </c>
      <c r="AJ79" s="3">
        <f>T79-HLOOKUP(X79,Feuil1!$C$1:$BL$10,10,FALSE)</f>
        <v>-846</v>
      </c>
      <c r="AK79" s="5"/>
      <c r="AL79" s="5"/>
      <c r="AM79" s="5"/>
      <c r="AN79" s="5"/>
      <c r="AO79" s="5"/>
      <c r="AP79" s="5"/>
      <c r="AQ79" s="5" t="str">
        <f t="shared" ref="AQ79:AQ88" si="45">IF(AJ79&gt;=0,$AJ$1,IF(AI79&gt;=0,$AI$1,IF(AH79&gt;=0,$AH$1,IF(AG79&gt;=0,$AG$1,IF(AF79&gt;=0,$AF$1,IF(AE79&gt;=0,$AE$1,IF(AD79&gt;=0,$AD$1,IF(AC79&gt;=0,$AC$1,$AB$1))))))))</f>
        <v>INTA +</v>
      </c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</row>
    <row r="80" spans="1:55" s="13" customFormat="1" ht="21" hidden="1" x14ac:dyDescent="0.2">
      <c r="A80" s="12" t="s">
        <v>69</v>
      </c>
      <c r="B80" s="18" t="s">
        <v>71</v>
      </c>
      <c r="C80" s="19" t="s">
        <v>801</v>
      </c>
      <c r="D80" s="61">
        <v>2</v>
      </c>
      <c r="E80" s="35">
        <v>362268</v>
      </c>
      <c r="F80" s="20" t="s">
        <v>817</v>
      </c>
      <c r="G80" s="20" t="s">
        <v>182</v>
      </c>
      <c r="H80" s="51">
        <v>1998</v>
      </c>
      <c r="I80" s="30">
        <v>68.25</v>
      </c>
      <c r="J80" s="19" t="s">
        <v>803</v>
      </c>
      <c r="K80" s="34" t="s">
        <v>69</v>
      </c>
      <c r="L80" s="31">
        <v>42</v>
      </c>
      <c r="M80" s="31">
        <v>44</v>
      </c>
      <c r="N80" s="31">
        <v>47</v>
      </c>
      <c r="O80" s="36">
        <f t="shared" si="38"/>
        <v>47</v>
      </c>
      <c r="P80" s="31">
        <v>61</v>
      </c>
      <c r="Q80" s="31">
        <v>64</v>
      </c>
      <c r="R80" s="31">
        <v>67</v>
      </c>
      <c r="S80" s="36">
        <f t="shared" si="39"/>
        <v>67</v>
      </c>
      <c r="T80" s="37">
        <f t="shared" si="40"/>
        <v>114</v>
      </c>
      <c r="U80" s="65">
        <f t="shared" si="41"/>
        <v>-22.5</v>
      </c>
      <c r="V80" s="41" t="str">
        <f t="shared" si="42"/>
        <v>FED +</v>
      </c>
      <c r="W80" s="33">
        <f t="shared" si="43"/>
        <v>9</v>
      </c>
      <c r="X80" s="40" t="str">
        <f>IF(I80="","",IF(A80="H",IF(OR(H80="SEN",H80&lt;1995),VLOOKUP(I80,Feuil1!$A$11:$G$29,6),IF(AND(H80&gt;1994,H80&lt;1998),VLOOKUP(I80,Feuil1!$A$11:$G$29,5),IF(AND(H80&gt;1997,H80&lt;2000),VLOOKUP(I80,Feuil1!$A$11:$G$29,4),IF(AND(H80&gt;1999,H80&lt;2002),VLOOKUP(I80,Feuil1!$A$11:$G$29,3),VLOOKUP(I80,Feuil1!$A$11:$G$29,2))))),IF(OR(H80="SEN",H80&lt;1995),VLOOKUP(I80,Feuil1!$G$11:$L$25,6),IF(AND(H80&gt;1994,H80&lt;1998),VLOOKUP(I80,Feuil1!$G$11:$L$25,5),IF(AND(H80&gt;1997,H80&lt;2000),VLOOKUP(I80,Feuil1!$G$11:$L$25,4),IF(AND(H80&gt;1999,H80&lt;2002),VLOOKUP(I80,Feuil1!$G$11:$L$25,3),VLOOKUP(I80,Feuil1!$G$11:$L$25,2)))))))</f>
        <v>FC2 69</v>
      </c>
      <c r="Y80" s="39">
        <f t="shared" si="44"/>
        <v>143.99385366451673</v>
      </c>
      <c r="Z80" s="45"/>
      <c r="AA80" s="45" t="s">
        <v>12</v>
      </c>
      <c r="AB80" s="3">
        <f>T80-HLOOKUP(X80,Feuil1!$C$1:$BL$10,2,FALSE)</f>
        <v>54</v>
      </c>
      <c r="AC80" s="3">
        <f>T80-HLOOKUP(X80,Feuil1!$C$1:$BL$10,3,FALSE)</f>
        <v>44</v>
      </c>
      <c r="AD80" s="3">
        <f>T80-HLOOKUP(X80,Feuil1!$C$1:$BL$10,4,FALSE)</f>
        <v>34</v>
      </c>
      <c r="AE80" s="3">
        <f>T80-HLOOKUP(X80,Feuil1!$C$1:$BL$10,5,FALSE)</f>
        <v>24</v>
      </c>
      <c r="AF80" s="3">
        <f>T80-HLOOKUP(X80,Feuil1!$C$1:$BL$10,6,FALSE)</f>
        <v>9</v>
      </c>
      <c r="AG80" s="3">
        <f>T80-HLOOKUP(X80,Feuil1!$C$1:$BL$10,7,FALSE)</f>
        <v>-6</v>
      </c>
      <c r="AH80" s="3">
        <f>T80-HLOOKUP(X80,Feuil1!$C$1:$BL$10,8,FALSE)</f>
        <v>-21</v>
      </c>
      <c r="AI80" s="3">
        <f>T80-HLOOKUP(X80,Feuil1!$C$1:$BL$10,9,FALSE)</f>
        <v>-36</v>
      </c>
      <c r="AJ80" s="3">
        <f>T80-HLOOKUP(X80,Feuil1!$C$1:$BL$10,10,FALSE)</f>
        <v>-886</v>
      </c>
      <c r="AK80" s="5"/>
      <c r="AL80" s="5"/>
      <c r="AM80" s="5"/>
      <c r="AN80" s="5"/>
      <c r="AO80" s="5"/>
      <c r="AP80" s="5"/>
      <c r="AQ80" s="5" t="str">
        <f t="shared" si="45"/>
        <v>FED +</v>
      </c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</row>
    <row r="81" spans="1:55" s="13" customFormat="1" ht="21" hidden="1" x14ac:dyDescent="0.2">
      <c r="A81" s="12" t="s">
        <v>69</v>
      </c>
      <c r="B81" s="18" t="s">
        <v>108</v>
      </c>
      <c r="C81" s="19" t="s">
        <v>109</v>
      </c>
      <c r="D81" s="61">
        <v>3</v>
      </c>
      <c r="E81" s="35">
        <v>239747</v>
      </c>
      <c r="F81" s="20" t="s">
        <v>135</v>
      </c>
      <c r="G81" s="20" t="s">
        <v>136</v>
      </c>
      <c r="H81" s="51">
        <v>1999</v>
      </c>
      <c r="I81" s="30">
        <v>67.599999999999994</v>
      </c>
      <c r="J81" s="19" t="s">
        <v>112</v>
      </c>
      <c r="K81" s="34" t="s">
        <v>69</v>
      </c>
      <c r="L81" s="31">
        <v>48</v>
      </c>
      <c r="M81" s="31">
        <v>-50</v>
      </c>
      <c r="N81" s="31">
        <v>50</v>
      </c>
      <c r="O81" s="36">
        <f t="shared" si="38"/>
        <v>50</v>
      </c>
      <c r="P81" s="31">
        <v>52</v>
      </c>
      <c r="Q81" s="31">
        <v>55</v>
      </c>
      <c r="R81" s="31">
        <v>58</v>
      </c>
      <c r="S81" s="36">
        <f t="shared" si="39"/>
        <v>58</v>
      </c>
      <c r="T81" s="37">
        <f t="shared" si="40"/>
        <v>108</v>
      </c>
      <c r="U81" s="65">
        <f t="shared" si="41"/>
        <v>-27.199999999999989</v>
      </c>
      <c r="V81" s="41" t="str">
        <f t="shared" si="42"/>
        <v>FED +</v>
      </c>
      <c r="W81" s="33">
        <f t="shared" si="43"/>
        <v>3</v>
      </c>
      <c r="X81" s="40" t="str">
        <f>IF(I81="","",IF(A81="H",IF(OR(H81="SEN",H81&lt;1995),VLOOKUP(I81,Feuil1!$A$11:$G$29,6),IF(AND(H81&gt;1994,H81&lt;1998),VLOOKUP(I81,Feuil1!$A$11:$G$29,5),IF(AND(H81&gt;1997,H81&lt;2000),VLOOKUP(I81,Feuil1!$A$11:$G$29,4),IF(AND(H81&gt;1999,H81&lt;2002),VLOOKUP(I81,Feuil1!$A$11:$G$29,3),VLOOKUP(I81,Feuil1!$A$11:$G$29,2))))),IF(OR(H81="SEN",H81&lt;1995),VLOOKUP(I81,Feuil1!$G$11:$L$25,6),IF(AND(H81&gt;1994,H81&lt;1998),VLOOKUP(I81,Feuil1!$G$11:$L$25,5),IF(AND(H81&gt;1997,H81&lt;2000),VLOOKUP(I81,Feuil1!$G$11:$L$25,4),IF(AND(H81&gt;1999,H81&lt;2002),VLOOKUP(I81,Feuil1!$G$11:$L$25,3),VLOOKUP(I81,Feuil1!$G$11:$L$25,2)))))))</f>
        <v>FC2 69</v>
      </c>
      <c r="Y81" s="39">
        <f t="shared" si="44"/>
        <v>137.21006998958327</v>
      </c>
      <c r="Z81" s="45"/>
      <c r="AA81" s="45" t="s">
        <v>12</v>
      </c>
      <c r="AB81" s="3">
        <f>T81-HLOOKUP(X81,Feuil1!$C$1:$BL$10,2,FALSE)</f>
        <v>48</v>
      </c>
      <c r="AC81" s="3">
        <f>T81-HLOOKUP(X81,Feuil1!$C$1:$BL$10,3,FALSE)</f>
        <v>38</v>
      </c>
      <c r="AD81" s="3">
        <f>T81-HLOOKUP(X81,Feuil1!$C$1:$BL$10,4,FALSE)</f>
        <v>28</v>
      </c>
      <c r="AE81" s="3">
        <f>T81-HLOOKUP(X81,Feuil1!$C$1:$BL$10,5,FALSE)</f>
        <v>18</v>
      </c>
      <c r="AF81" s="3">
        <f>T81-HLOOKUP(X81,Feuil1!$C$1:$BL$10,6,FALSE)</f>
        <v>3</v>
      </c>
      <c r="AG81" s="3">
        <f>T81-HLOOKUP(X81,Feuil1!$C$1:$BL$10,7,FALSE)</f>
        <v>-12</v>
      </c>
      <c r="AH81" s="3">
        <f>T81-HLOOKUP(X81,Feuil1!$C$1:$BL$10,8,FALSE)</f>
        <v>-27</v>
      </c>
      <c r="AI81" s="3">
        <f>T81-HLOOKUP(X81,Feuil1!$C$1:$BL$10,9,FALSE)</f>
        <v>-42</v>
      </c>
      <c r="AJ81" s="3">
        <f>T81-HLOOKUP(X81,Feuil1!$C$1:$BL$10,10,FALSE)</f>
        <v>-892</v>
      </c>
      <c r="AK81" s="5"/>
      <c r="AL81" s="5"/>
      <c r="AM81" s="5"/>
      <c r="AN81" s="5"/>
      <c r="AO81" s="5"/>
      <c r="AP81" s="5"/>
      <c r="AQ81" s="5" t="str">
        <f t="shared" si="45"/>
        <v>FED +</v>
      </c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</row>
    <row r="82" spans="1:55" s="13" customFormat="1" ht="21" hidden="1" x14ac:dyDescent="0.2">
      <c r="A82" s="12" t="s">
        <v>69</v>
      </c>
      <c r="B82" s="18" t="s">
        <v>108</v>
      </c>
      <c r="C82" s="19" t="s">
        <v>119</v>
      </c>
      <c r="D82" s="61">
        <v>4</v>
      </c>
      <c r="E82" s="35">
        <v>306518</v>
      </c>
      <c r="F82" s="20" t="s">
        <v>145</v>
      </c>
      <c r="G82" s="20" t="s">
        <v>409</v>
      </c>
      <c r="H82" s="51">
        <v>1998</v>
      </c>
      <c r="I82" s="30">
        <v>68.3</v>
      </c>
      <c r="J82" s="19" t="s">
        <v>138</v>
      </c>
      <c r="K82" s="34" t="s">
        <v>69</v>
      </c>
      <c r="L82" s="31">
        <v>45</v>
      </c>
      <c r="M82" s="31">
        <v>48</v>
      </c>
      <c r="N82" s="31">
        <v>50</v>
      </c>
      <c r="O82" s="36">
        <f t="shared" si="38"/>
        <v>50</v>
      </c>
      <c r="P82" s="31">
        <v>55</v>
      </c>
      <c r="Q82" s="31">
        <v>-60</v>
      </c>
      <c r="R82" s="31">
        <v>-60</v>
      </c>
      <c r="S82" s="36">
        <f t="shared" si="39"/>
        <v>55</v>
      </c>
      <c r="T82" s="37">
        <f t="shared" si="40"/>
        <v>105</v>
      </c>
      <c r="U82" s="65">
        <f t="shared" si="41"/>
        <v>-31.599999999999994</v>
      </c>
      <c r="V82" s="41" t="str">
        <f t="shared" si="42"/>
        <v>FED +</v>
      </c>
      <c r="W82" s="33">
        <f t="shared" si="43"/>
        <v>0</v>
      </c>
      <c r="X82" s="40" t="str">
        <f>IF(I82="","",IF(A82="H",IF(OR(H82="SEN",H82&lt;1995),VLOOKUP(I82,Feuil1!$A$11:$G$29,6),IF(AND(H82&gt;1994,H82&lt;1998),VLOOKUP(I82,Feuil1!$A$11:$G$29,5),IF(AND(H82&gt;1997,H82&lt;2000),VLOOKUP(I82,Feuil1!$A$11:$G$29,4),IF(AND(H82&gt;1999,H82&lt;2002),VLOOKUP(I82,Feuil1!$A$11:$G$29,3),VLOOKUP(I82,Feuil1!$A$11:$G$29,2))))),IF(OR(H82="SEN",H82&lt;1995),VLOOKUP(I82,Feuil1!$G$11:$L$25,6),IF(AND(H82&gt;1994,H82&lt;1998),VLOOKUP(I82,Feuil1!$G$11:$L$25,5),IF(AND(H82&gt;1997,H82&lt;2000),VLOOKUP(I82,Feuil1!$G$11:$L$25,4),IF(AND(H82&gt;1999,H82&lt;2002),VLOOKUP(I82,Feuil1!$G$11:$L$25,3),VLOOKUP(I82,Feuil1!$G$11:$L$25,2)))))))</f>
        <v>FC2 69</v>
      </c>
      <c r="Y82" s="39">
        <f t="shared" si="44"/>
        <v>132.56735429908028</v>
      </c>
      <c r="Z82" s="45"/>
      <c r="AA82" s="49" t="s">
        <v>12</v>
      </c>
      <c r="AB82" s="3">
        <f>T82-HLOOKUP(X82,Feuil1!$C$1:$BL$10,2,FALSE)</f>
        <v>45</v>
      </c>
      <c r="AC82" s="3">
        <f>T82-HLOOKUP(X82,Feuil1!$C$1:$BL$10,3,FALSE)</f>
        <v>35</v>
      </c>
      <c r="AD82" s="3">
        <f>T82-HLOOKUP(X82,Feuil1!$C$1:$BL$10,4,FALSE)</f>
        <v>25</v>
      </c>
      <c r="AE82" s="3">
        <f>T82-HLOOKUP(X82,Feuil1!$C$1:$BL$10,5,FALSE)</f>
        <v>15</v>
      </c>
      <c r="AF82" s="3">
        <f>T82-HLOOKUP(X82,Feuil1!$C$1:$BL$10,6,FALSE)</f>
        <v>0</v>
      </c>
      <c r="AG82" s="3">
        <f>T82-HLOOKUP(X82,Feuil1!$C$1:$BL$10,7,FALSE)</f>
        <v>-15</v>
      </c>
      <c r="AH82" s="3">
        <f>T82-HLOOKUP(X82,Feuil1!$C$1:$BL$10,8,FALSE)</f>
        <v>-30</v>
      </c>
      <c r="AI82" s="3">
        <f>T82-HLOOKUP(X82,Feuil1!$C$1:$BL$10,9,FALSE)</f>
        <v>-45</v>
      </c>
      <c r="AJ82" s="3">
        <f>T82-HLOOKUP(X82,Feuil1!$C$1:$BL$10,10,FALSE)</f>
        <v>-895</v>
      </c>
      <c r="AK82" s="5"/>
      <c r="AL82" s="5"/>
      <c r="AM82" s="5"/>
      <c r="AN82" s="5"/>
      <c r="AO82" s="5"/>
      <c r="AP82" s="5"/>
      <c r="AQ82" s="5" t="str">
        <f t="shared" si="45"/>
        <v>FED +</v>
      </c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</row>
    <row r="83" spans="1:55" s="13" customFormat="1" ht="21" hidden="1" x14ac:dyDescent="0.2">
      <c r="A83" s="12" t="s">
        <v>69</v>
      </c>
      <c r="B83" s="18" t="s">
        <v>71</v>
      </c>
      <c r="C83" s="19" t="s">
        <v>801</v>
      </c>
      <c r="D83" s="61">
        <v>5</v>
      </c>
      <c r="E83" s="35">
        <v>363004</v>
      </c>
      <c r="F83" s="20" t="s">
        <v>818</v>
      </c>
      <c r="G83" s="20" t="s">
        <v>819</v>
      </c>
      <c r="H83" s="51">
        <v>1998</v>
      </c>
      <c r="I83" s="30">
        <v>65.099999999999994</v>
      </c>
      <c r="J83" s="19" t="s">
        <v>803</v>
      </c>
      <c r="K83" s="34" t="s">
        <v>69</v>
      </c>
      <c r="L83" s="31">
        <v>41</v>
      </c>
      <c r="M83" s="31">
        <v>-43</v>
      </c>
      <c r="N83" s="31">
        <v>44</v>
      </c>
      <c r="O83" s="36">
        <f t="shared" si="38"/>
        <v>44</v>
      </c>
      <c r="P83" s="31">
        <v>55</v>
      </c>
      <c r="Q83" s="31">
        <v>-58</v>
      </c>
      <c r="R83" s="31">
        <v>59</v>
      </c>
      <c r="S83" s="36">
        <f t="shared" si="39"/>
        <v>59</v>
      </c>
      <c r="T83" s="37">
        <f t="shared" si="40"/>
        <v>103</v>
      </c>
      <c r="U83" s="65">
        <f t="shared" si="41"/>
        <v>-27.199999999999989</v>
      </c>
      <c r="V83" s="41" t="str">
        <f t="shared" si="42"/>
        <v>IRG +</v>
      </c>
      <c r="W83" s="33">
        <f t="shared" si="43"/>
        <v>13</v>
      </c>
      <c r="X83" s="40" t="str">
        <f>IF(I83="","",IF(A83="H",IF(OR(H83="SEN",H83&lt;1995),VLOOKUP(I83,Feuil1!$A$11:$G$29,6),IF(AND(H83&gt;1994,H83&lt;1998),VLOOKUP(I83,Feuil1!$A$11:$G$29,5),IF(AND(H83&gt;1997,H83&lt;2000),VLOOKUP(I83,Feuil1!$A$11:$G$29,4),IF(AND(H83&gt;1999,H83&lt;2002),VLOOKUP(I83,Feuil1!$A$11:$G$29,3),VLOOKUP(I83,Feuil1!$A$11:$G$29,2))))),IF(OR(H83="SEN",H83&lt;1995),VLOOKUP(I83,Feuil1!$G$11:$L$25,6),IF(AND(H83&gt;1994,H83&lt;1998),VLOOKUP(I83,Feuil1!$G$11:$L$25,5),IF(AND(H83&gt;1997,H83&lt;2000),VLOOKUP(I83,Feuil1!$G$11:$L$25,4),IF(AND(H83&gt;1999,H83&lt;2002),VLOOKUP(I83,Feuil1!$G$11:$L$25,3),VLOOKUP(I83,Feuil1!$G$11:$L$25,2)))))))</f>
        <v>FC2 69</v>
      </c>
      <c r="Y83" s="39">
        <f t="shared" si="44"/>
        <v>133.97895771110615</v>
      </c>
      <c r="Z83" s="45"/>
      <c r="AA83" s="45" t="s">
        <v>12</v>
      </c>
      <c r="AB83" s="3">
        <f>T83-HLOOKUP(X83,Feuil1!$C$1:$BL$10,2,FALSE)</f>
        <v>43</v>
      </c>
      <c r="AC83" s="3">
        <f>T83-HLOOKUP(X83,Feuil1!$C$1:$BL$10,3,FALSE)</f>
        <v>33</v>
      </c>
      <c r="AD83" s="3">
        <f>T83-HLOOKUP(X83,Feuil1!$C$1:$BL$10,4,FALSE)</f>
        <v>23</v>
      </c>
      <c r="AE83" s="3">
        <f>T83-HLOOKUP(X83,Feuil1!$C$1:$BL$10,5,FALSE)</f>
        <v>13</v>
      </c>
      <c r="AF83" s="3">
        <f>T83-HLOOKUP(X83,Feuil1!$C$1:$BL$10,6,FALSE)</f>
        <v>-2</v>
      </c>
      <c r="AG83" s="3">
        <f>T83-HLOOKUP(X83,Feuil1!$C$1:$BL$10,7,FALSE)</f>
        <v>-17</v>
      </c>
      <c r="AH83" s="3">
        <f>T83-HLOOKUP(X83,Feuil1!$C$1:$BL$10,8,FALSE)</f>
        <v>-32</v>
      </c>
      <c r="AI83" s="3">
        <f>T83-HLOOKUP(X83,Feuil1!$C$1:$BL$10,9,FALSE)</f>
        <v>-47</v>
      </c>
      <c r="AJ83" s="3">
        <f>T83-HLOOKUP(X83,Feuil1!$C$1:$BL$10,10,FALSE)</f>
        <v>-897</v>
      </c>
      <c r="AK83" s="5"/>
      <c r="AL83" s="5"/>
      <c r="AM83" s="5"/>
      <c r="AN83" s="5"/>
      <c r="AO83" s="5"/>
      <c r="AP83" s="5"/>
      <c r="AQ83" s="5" t="str">
        <f t="shared" si="45"/>
        <v>IRG +</v>
      </c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</row>
    <row r="84" spans="1:55" s="13" customFormat="1" ht="21" hidden="1" x14ac:dyDescent="0.2">
      <c r="A84" s="12" t="s">
        <v>69</v>
      </c>
      <c r="B84" s="67" t="s">
        <v>71</v>
      </c>
      <c r="C84" s="68" t="s">
        <v>801</v>
      </c>
      <c r="D84" s="69">
        <v>6</v>
      </c>
      <c r="E84" s="70">
        <v>365254</v>
      </c>
      <c r="F84" s="71" t="s">
        <v>814</v>
      </c>
      <c r="G84" s="71" t="s">
        <v>486</v>
      </c>
      <c r="H84" s="72">
        <v>1998</v>
      </c>
      <c r="I84" s="73">
        <v>65.3</v>
      </c>
      <c r="J84" s="68" t="s">
        <v>807</v>
      </c>
      <c r="K84" s="74" t="s">
        <v>69</v>
      </c>
      <c r="L84" s="75">
        <v>42</v>
      </c>
      <c r="M84" s="75">
        <v>45</v>
      </c>
      <c r="N84" s="75">
        <v>-47</v>
      </c>
      <c r="O84" s="76">
        <f t="shared" si="38"/>
        <v>45</v>
      </c>
      <c r="P84" s="75">
        <v>54</v>
      </c>
      <c r="Q84" s="75">
        <v>57</v>
      </c>
      <c r="R84" s="75">
        <v>-60</v>
      </c>
      <c r="S84" s="76">
        <f t="shared" si="39"/>
        <v>57</v>
      </c>
      <c r="T84" s="77">
        <f t="shared" si="40"/>
        <v>102</v>
      </c>
      <c r="U84" s="78">
        <f t="shared" si="41"/>
        <v>-28.599999999999994</v>
      </c>
      <c r="V84" s="79" t="str">
        <f t="shared" si="42"/>
        <v>IRG +</v>
      </c>
      <c r="W84" s="80">
        <f t="shared" si="43"/>
        <v>12</v>
      </c>
      <c r="X84" s="81" t="str">
        <f>IF(I84="","",IF(A84="H",IF(OR(H84="SEN",H84&lt;1995),VLOOKUP(I84,Feuil1!$A$11:$G$29,6),IF(AND(H84&gt;1994,H84&lt;1998),VLOOKUP(I84,Feuil1!$A$11:$G$29,5),IF(AND(H84&gt;1997,H84&lt;2000),VLOOKUP(I84,Feuil1!$A$11:$G$29,4),IF(AND(H84&gt;1999,H84&lt;2002),VLOOKUP(I84,Feuil1!$A$11:$G$29,3),VLOOKUP(I84,Feuil1!$A$11:$G$29,2))))),IF(OR(H84="SEN",H84&lt;1995),VLOOKUP(I84,Feuil1!$G$11:$L$25,6),IF(AND(H84&gt;1994,H84&lt;1998),VLOOKUP(I84,Feuil1!$G$11:$L$25,5),IF(AND(H84&gt;1997,H84&lt;2000),VLOOKUP(I84,Feuil1!$G$11:$L$25,4),IF(AND(H84&gt;1999,H84&lt;2002),VLOOKUP(I84,Feuil1!$G$11:$L$25,3),VLOOKUP(I84,Feuil1!$G$11:$L$25,2)))))))</f>
        <v>FC2 69</v>
      </c>
      <c r="Y84" s="39">
        <f t="shared" si="44"/>
        <v>132.41837490716014</v>
      </c>
      <c r="Z84" s="45"/>
      <c r="AA84" s="45" t="s">
        <v>12</v>
      </c>
      <c r="AB84" s="3">
        <f>T84-HLOOKUP(X84,Feuil1!$C$1:$BL$10,2,FALSE)</f>
        <v>42</v>
      </c>
      <c r="AC84" s="3">
        <f>T84-HLOOKUP(X84,Feuil1!$C$1:$BL$10,3,FALSE)</f>
        <v>32</v>
      </c>
      <c r="AD84" s="3">
        <f>T84-HLOOKUP(X84,Feuil1!$C$1:$BL$10,4,FALSE)</f>
        <v>22</v>
      </c>
      <c r="AE84" s="3">
        <f>T84-HLOOKUP(X84,Feuil1!$C$1:$BL$10,5,FALSE)</f>
        <v>12</v>
      </c>
      <c r="AF84" s="3">
        <f>T84-HLOOKUP(X84,Feuil1!$C$1:$BL$10,6,FALSE)</f>
        <v>-3</v>
      </c>
      <c r="AG84" s="3">
        <f>T84-HLOOKUP(X84,Feuil1!$C$1:$BL$10,7,FALSE)</f>
        <v>-18</v>
      </c>
      <c r="AH84" s="3">
        <f>T84-HLOOKUP(X84,Feuil1!$C$1:$BL$10,8,FALSE)</f>
        <v>-33</v>
      </c>
      <c r="AI84" s="3">
        <f>T84-HLOOKUP(X84,Feuil1!$C$1:$BL$10,9,FALSE)</f>
        <v>-48</v>
      </c>
      <c r="AJ84" s="3">
        <f>T84-HLOOKUP(X84,Feuil1!$C$1:$BL$10,10,FALSE)</f>
        <v>-898</v>
      </c>
      <c r="AK84" s="5"/>
      <c r="AL84" s="5"/>
      <c r="AM84" s="5"/>
      <c r="AN84" s="5"/>
      <c r="AO84" s="5"/>
      <c r="AP84" s="5"/>
      <c r="AQ84" s="5" t="str">
        <f t="shared" si="45"/>
        <v>IRG +</v>
      </c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</row>
    <row r="85" spans="1:55" s="13" customFormat="1" ht="21" hidden="1" x14ac:dyDescent="0.2">
      <c r="A85" s="12" t="s">
        <v>69</v>
      </c>
      <c r="B85" s="67" t="s">
        <v>298</v>
      </c>
      <c r="C85" s="68" t="s">
        <v>476</v>
      </c>
      <c r="D85" s="69">
        <v>7</v>
      </c>
      <c r="E85" s="70">
        <v>367780</v>
      </c>
      <c r="F85" s="71" t="s">
        <v>491</v>
      </c>
      <c r="G85" s="71" t="s">
        <v>492</v>
      </c>
      <c r="H85" s="72">
        <v>1998</v>
      </c>
      <c r="I85" s="73">
        <v>63.1</v>
      </c>
      <c r="J85" s="68" t="s">
        <v>484</v>
      </c>
      <c r="K85" s="74" t="s">
        <v>69</v>
      </c>
      <c r="L85" s="75">
        <v>30</v>
      </c>
      <c r="M85" s="75">
        <v>33</v>
      </c>
      <c r="N85" s="75">
        <v>35</v>
      </c>
      <c r="O85" s="76">
        <f t="shared" si="38"/>
        <v>35</v>
      </c>
      <c r="P85" s="75">
        <v>40</v>
      </c>
      <c r="Q85" s="75">
        <v>45</v>
      </c>
      <c r="R85" s="75">
        <v>-47</v>
      </c>
      <c r="S85" s="76">
        <f t="shared" si="39"/>
        <v>45</v>
      </c>
      <c r="T85" s="77">
        <f t="shared" si="40"/>
        <v>80</v>
      </c>
      <c r="U85" s="78">
        <f t="shared" si="41"/>
        <v>-46.2</v>
      </c>
      <c r="V85" s="79" t="str">
        <f t="shared" si="42"/>
        <v>REG +</v>
      </c>
      <c r="W85" s="80">
        <f t="shared" si="43"/>
        <v>0</v>
      </c>
      <c r="X85" s="81" t="str">
        <f>IF(I85="","",IF(A85="H",IF(OR(H85="SEN",H85&lt;1995),VLOOKUP(I85,Feuil1!$A$11:$G$29,6),IF(AND(H85&gt;1994,H85&lt;1998),VLOOKUP(I85,Feuil1!$A$11:$G$29,5),IF(AND(H85&gt;1997,H85&lt;2000),VLOOKUP(I85,Feuil1!$A$11:$G$29,4),IF(AND(H85&gt;1999,H85&lt;2002),VLOOKUP(I85,Feuil1!$A$11:$G$29,3),VLOOKUP(I85,Feuil1!$A$11:$G$29,2))))),IF(OR(H85="SEN",H85&lt;1995),VLOOKUP(I85,Feuil1!$G$11:$L$25,6),IF(AND(H85&gt;1994,H85&lt;1998),VLOOKUP(I85,Feuil1!$G$11:$L$25,5),IF(AND(H85&gt;1997,H85&lt;2000),VLOOKUP(I85,Feuil1!$G$11:$L$25,4),IF(AND(H85&gt;1999,H85&lt;2002),VLOOKUP(I85,Feuil1!$G$11:$L$25,3),VLOOKUP(I85,Feuil1!$G$11:$L$25,2)))))))</f>
        <v>FC2 69</v>
      </c>
      <c r="Y85" s="39">
        <f t="shared" si="44"/>
        <v>106.2013406877588</v>
      </c>
      <c r="Z85" s="45"/>
      <c r="AA85" s="45" t="s">
        <v>12</v>
      </c>
      <c r="AB85" s="3">
        <f>T85-HLOOKUP(X85,Feuil1!$C$1:$BL$10,2,FALSE)</f>
        <v>20</v>
      </c>
      <c r="AC85" s="3">
        <f>T85-HLOOKUP(X85,Feuil1!$C$1:$BL$10,3,FALSE)</f>
        <v>10</v>
      </c>
      <c r="AD85" s="3">
        <f>T85-HLOOKUP(X85,Feuil1!$C$1:$BL$10,4,FALSE)</f>
        <v>0</v>
      </c>
      <c r="AE85" s="3">
        <f>T85-HLOOKUP(X85,Feuil1!$C$1:$BL$10,5,FALSE)</f>
        <v>-10</v>
      </c>
      <c r="AF85" s="3">
        <f>T85-HLOOKUP(X85,Feuil1!$C$1:$BL$10,6,FALSE)</f>
        <v>-25</v>
      </c>
      <c r="AG85" s="3">
        <f>T85-HLOOKUP(X85,Feuil1!$C$1:$BL$10,7,FALSE)</f>
        <v>-40</v>
      </c>
      <c r="AH85" s="3">
        <f>T85-HLOOKUP(X85,Feuil1!$C$1:$BL$10,8,FALSE)</f>
        <v>-55</v>
      </c>
      <c r="AI85" s="3">
        <f>T85-HLOOKUP(X85,Feuil1!$C$1:$BL$10,9,FALSE)</f>
        <v>-70</v>
      </c>
      <c r="AJ85" s="3">
        <f>T85-HLOOKUP(X85,Feuil1!$C$1:$BL$10,10,FALSE)</f>
        <v>-920</v>
      </c>
      <c r="AK85" s="5"/>
      <c r="AL85" s="5"/>
      <c r="AM85" s="5"/>
      <c r="AN85" s="5"/>
      <c r="AO85" s="5"/>
      <c r="AP85" s="5"/>
      <c r="AQ85" s="5" t="str">
        <f t="shared" si="45"/>
        <v>REG +</v>
      </c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</row>
    <row r="86" spans="1:55" s="13" customFormat="1" ht="21" hidden="1" x14ac:dyDescent="0.2">
      <c r="A86" s="12" t="s">
        <v>69</v>
      </c>
      <c r="B86" s="18" t="s">
        <v>108</v>
      </c>
      <c r="C86" s="19" t="s">
        <v>146</v>
      </c>
      <c r="D86" s="61">
        <v>8</v>
      </c>
      <c r="E86" s="35">
        <v>370228</v>
      </c>
      <c r="F86" s="20" t="s">
        <v>147</v>
      </c>
      <c r="G86" s="20" t="s">
        <v>148</v>
      </c>
      <c r="H86" s="51">
        <v>1999</v>
      </c>
      <c r="I86" s="30">
        <v>66</v>
      </c>
      <c r="J86" s="19" t="s">
        <v>149</v>
      </c>
      <c r="K86" s="34" t="s">
        <v>69</v>
      </c>
      <c r="L86" s="31">
        <v>25</v>
      </c>
      <c r="M86" s="31">
        <v>28</v>
      </c>
      <c r="N86" s="31">
        <v>32</v>
      </c>
      <c r="O86" s="36">
        <f t="shared" si="38"/>
        <v>32</v>
      </c>
      <c r="P86" s="31">
        <v>35</v>
      </c>
      <c r="Q86" s="31">
        <v>39</v>
      </c>
      <c r="R86" s="31">
        <v>42</v>
      </c>
      <c r="S86" s="36">
        <f t="shared" si="39"/>
        <v>42</v>
      </c>
      <c r="T86" s="37">
        <f t="shared" si="40"/>
        <v>74</v>
      </c>
      <c r="U86" s="65">
        <f t="shared" si="41"/>
        <v>-58</v>
      </c>
      <c r="V86" s="41" t="str">
        <f t="shared" si="42"/>
        <v>DEP +</v>
      </c>
      <c r="W86" s="33">
        <f t="shared" si="43"/>
        <v>4</v>
      </c>
      <c r="X86" s="40" t="str">
        <f>IF(I86="","",IF(A86="H",IF(OR(H86="SEN",H86&lt;1995),VLOOKUP(I86,Feuil1!$A$11:$G$29,6),IF(AND(H86&gt;1994,H86&lt;1998),VLOOKUP(I86,Feuil1!$A$11:$G$29,5),IF(AND(H86&gt;1997,H86&lt;2000),VLOOKUP(I86,Feuil1!$A$11:$G$29,4),IF(AND(H86&gt;1999,H86&lt;2002),VLOOKUP(I86,Feuil1!$A$11:$G$29,3),VLOOKUP(I86,Feuil1!$A$11:$G$29,2))))),IF(OR(H86="SEN",H86&lt;1995),VLOOKUP(I86,Feuil1!$G$11:$L$25,6),IF(AND(H86&gt;1994,H86&lt;1998),VLOOKUP(I86,Feuil1!$G$11:$L$25,5),IF(AND(H86&gt;1997,H86&lt;2000),VLOOKUP(I86,Feuil1!$G$11:$L$25,4),IF(AND(H86&gt;1999,H86&lt;2002),VLOOKUP(I86,Feuil1!$G$11:$L$25,3),VLOOKUP(I86,Feuil1!$G$11:$L$25,2)))))))</f>
        <v>FC2 69</v>
      </c>
      <c r="Y86" s="39">
        <f t="shared" si="44"/>
        <v>95.421330200404498</v>
      </c>
      <c r="Z86" s="45"/>
      <c r="AA86" s="45" t="s">
        <v>12</v>
      </c>
      <c r="AB86" s="3">
        <f>T86-HLOOKUP(X86,Feuil1!$C$1:$BL$10,2,FALSE)</f>
        <v>14</v>
      </c>
      <c r="AC86" s="3">
        <f>T86-HLOOKUP(X86,Feuil1!$C$1:$BL$10,3,FALSE)</f>
        <v>4</v>
      </c>
      <c r="AD86" s="3">
        <f>T86-HLOOKUP(X86,Feuil1!$C$1:$BL$10,4,FALSE)</f>
        <v>-6</v>
      </c>
      <c r="AE86" s="3">
        <f>T86-HLOOKUP(X86,Feuil1!$C$1:$BL$10,5,FALSE)</f>
        <v>-16</v>
      </c>
      <c r="AF86" s="3">
        <f>T86-HLOOKUP(X86,Feuil1!$C$1:$BL$10,6,FALSE)</f>
        <v>-31</v>
      </c>
      <c r="AG86" s="3">
        <f>T86-HLOOKUP(X86,Feuil1!$C$1:$BL$10,7,FALSE)</f>
        <v>-46</v>
      </c>
      <c r="AH86" s="3">
        <f>T86-HLOOKUP(X86,Feuil1!$C$1:$BL$10,8,FALSE)</f>
        <v>-61</v>
      </c>
      <c r="AI86" s="3">
        <f>T86-HLOOKUP(X86,Feuil1!$C$1:$BL$10,9,FALSE)</f>
        <v>-76</v>
      </c>
      <c r="AJ86" s="3">
        <f>T86-HLOOKUP(X86,Feuil1!$C$1:$BL$10,10,FALSE)</f>
        <v>-926</v>
      </c>
      <c r="AK86" s="5"/>
      <c r="AL86" s="5"/>
      <c r="AM86" s="5"/>
      <c r="AN86" s="5"/>
      <c r="AO86" s="5"/>
      <c r="AP86" s="5"/>
      <c r="AQ86" s="5" t="str">
        <f t="shared" si="45"/>
        <v>DEP +</v>
      </c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</row>
    <row r="87" spans="1:55" s="13" customFormat="1" ht="21" hidden="1" x14ac:dyDescent="0.2">
      <c r="A87" s="12" t="s">
        <v>69</v>
      </c>
      <c r="B87" s="18" t="s">
        <v>536</v>
      </c>
      <c r="C87" s="19" t="s">
        <v>545</v>
      </c>
      <c r="D87" s="61">
        <v>9</v>
      </c>
      <c r="E87" s="35">
        <v>365941</v>
      </c>
      <c r="F87" s="20" t="s">
        <v>561</v>
      </c>
      <c r="G87" s="20" t="s">
        <v>297</v>
      </c>
      <c r="H87" s="51">
        <v>1999</v>
      </c>
      <c r="I87" s="30">
        <v>66.5</v>
      </c>
      <c r="J87" s="19" t="s">
        <v>557</v>
      </c>
      <c r="K87" s="34" t="s">
        <v>69</v>
      </c>
      <c r="L87" s="31">
        <v>24</v>
      </c>
      <c r="M87" s="31">
        <v>27</v>
      </c>
      <c r="N87" s="31">
        <v>30</v>
      </c>
      <c r="O87" s="36">
        <f t="shared" si="38"/>
        <v>30</v>
      </c>
      <c r="P87" s="31">
        <v>34</v>
      </c>
      <c r="Q87" s="31">
        <v>37</v>
      </c>
      <c r="R87" s="31">
        <v>40</v>
      </c>
      <c r="S87" s="36">
        <f t="shared" si="39"/>
        <v>40</v>
      </c>
      <c r="T87" s="37">
        <f t="shared" si="40"/>
        <v>70</v>
      </c>
      <c r="U87" s="65">
        <f t="shared" si="41"/>
        <v>-63</v>
      </c>
      <c r="V87" s="41" t="str">
        <f t="shared" si="42"/>
        <v>DEP +</v>
      </c>
      <c r="W87" s="33">
        <f t="shared" si="43"/>
        <v>0</v>
      </c>
      <c r="X87" s="40" t="str">
        <f>IF(I87="","",IF(A87="H",IF(OR(H87="SEN",H87&lt;1995),VLOOKUP(I87,Feuil1!$A$11:$G$29,6),IF(AND(H87&gt;1994,H87&lt;1998),VLOOKUP(I87,Feuil1!$A$11:$G$29,5),IF(AND(H87&gt;1997,H87&lt;2000),VLOOKUP(I87,Feuil1!$A$11:$G$29,4),IF(AND(H87&gt;1999,H87&lt;2002),VLOOKUP(I87,Feuil1!$A$11:$G$29,3),VLOOKUP(I87,Feuil1!$A$11:$G$29,2))))),IF(OR(H87="SEN",H87&lt;1995),VLOOKUP(I87,Feuil1!$G$11:$L$25,6),IF(AND(H87&gt;1994,H87&lt;1998),VLOOKUP(I87,Feuil1!$G$11:$L$25,5),IF(AND(H87&gt;1997,H87&lt;2000),VLOOKUP(I87,Feuil1!$G$11:$L$25,4),IF(AND(H87&gt;1999,H87&lt;2002),VLOOKUP(I87,Feuil1!$G$11:$L$25,3),VLOOKUP(I87,Feuil1!$G$11:$L$25,2)))))))</f>
        <v>FC2 69</v>
      </c>
      <c r="Y87" s="39">
        <f t="shared" si="44"/>
        <v>89.83758804735011</v>
      </c>
      <c r="Z87" s="45"/>
      <c r="AA87" s="45" t="s">
        <v>12</v>
      </c>
      <c r="AB87" s="3">
        <f>T87-HLOOKUP(X87,Feuil1!$C$1:$BL$10,2,FALSE)</f>
        <v>10</v>
      </c>
      <c r="AC87" s="3">
        <f>T87-HLOOKUP(X87,Feuil1!$C$1:$BL$10,3,FALSE)</f>
        <v>0</v>
      </c>
      <c r="AD87" s="3">
        <f>T87-HLOOKUP(X87,Feuil1!$C$1:$BL$10,4,FALSE)</f>
        <v>-10</v>
      </c>
      <c r="AE87" s="3">
        <f>T87-HLOOKUP(X87,Feuil1!$C$1:$BL$10,5,FALSE)</f>
        <v>-20</v>
      </c>
      <c r="AF87" s="3">
        <f>T87-HLOOKUP(X87,Feuil1!$C$1:$BL$10,6,FALSE)</f>
        <v>-35</v>
      </c>
      <c r="AG87" s="3">
        <f>T87-HLOOKUP(X87,Feuil1!$C$1:$BL$10,7,FALSE)</f>
        <v>-50</v>
      </c>
      <c r="AH87" s="3">
        <f>T87-HLOOKUP(X87,Feuil1!$C$1:$BL$10,8,FALSE)</f>
        <v>-65</v>
      </c>
      <c r="AI87" s="3">
        <f>T87-HLOOKUP(X87,Feuil1!$C$1:$BL$10,9,FALSE)</f>
        <v>-80</v>
      </c>
      <c r="AJ87" s="3">
        <f>T87-HLOOKUP(X87,Feuil1!$C$1:$BL$10,10,FALSE)</f>
        <v>-930</v>
      </c>
      <c r="AK87" s="5"/>
      <c r="AL87" s="5"/>
      <c r="AM87" s="5"/>
      <c r="AN87" s="5"/>
      <c r="AO87" s="5"/>
      <c r="AP87" s="5"/>
      <c r="AQ87" s="5" t="str">
        <f t="shared" si="45"/>
        <v>DEP +</v>
      </c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</row>
    <row r="88" spans="1:55" s="13" customFormat="1" ht="21" hidden="1" x14ac:dyDescent="0.2">
      <c r="A88" s="12" t="s">
        <v>69</v>
      </c>
      <c r="B88" s="18" t="s">
        <v>721</v>
      </c>
      <c r="C88" s="19" t="s">
        <v>745</v>
      </c>
      <c r="D88" s="61">
        <v>10</v>
      </c>
      <c r="E88" s="35">
        <v>391674</v>
      </c>
      <c r="F88" s="20" t="s">
        <v>755</v>
      </c>
      <c r="G88" s="20" t="s">
        <v>756</v>
      </c>
      <c r="H88" s="51">
        <v>1999</v>
      </c>
      <c r="I88" s="30">
        <v>67.599999999999994</v>
      </c>
      <c r="J88" s="19" t="s">
        <v>750</v>
      </c>
      <c r="K88" s="34" t="s">
        <v>69</v>
      </c>
      <c r="L88" s="31">
        <v>20</v>
      </c>
      <c r="M88" s="31">
        <v>25</v>
      </c>
      <c r="N88" s="31">
        <v>-30</v>
      </c>
      <c r="O88" s="36">
        <f t="shared" si="38"/>
        <v>25</v>
      </c>
      <c r="P88" s="31">
        <v>30</v>
      </c>
      <c r="Q88" s="31">
        <v>-35</v>
      </c>
      <c r="R88" s="31">
        <v>-35</v>
      </c>
      <c r="S88" s="36">
        <f t="shared" si="39"/>
        <v>30</v>
      </c>
      <c r="T88" s="37">
        <f t="shared" si="40"/>
        <v>55</v>
      </c>
      <c r="U88" s="65">
        <f t="shared" si="41"/>
        <v>-80.199999999999989</v>
      </c>
      <c r="V88" s="41" t="str">
        <f t="shared" si="42"/>
        <v xml:space="preserve">DEB </v>
      </c>
      <c r="W88" s="33">
        <f t="shared" si="43"/>
        <v>-5</v>
      </c>
      <c r="X88" s="40" t="str">
        <f>IF(I88="","",IF(A88="H",IF(OR(H88="SEN",H88&lt;1995),VLOOKUP(I88,Feuil1!$A$11:$G$29,6),IF(AND(H88&gt;1994,H88&lt;1998),VLOOKUP(I88,Feuil1!$A$11:$G$29,5),IF(AND(H88&gt;1997,H88&lt;2000),VLOOKUP(I88,Feuil1!$A$11:$G$29,4),IF(AND(H88&gt;1999,H88&lt;2002),VLOOKUP(I88,Feuil1!$A$11:$G$29,3),VLOOKUP(I88,Feuil1!$A$11:$G$29,2))))),IF(OR(H88="SEN",H88&lt;1995),VLOOKUP(I88,Feuil1!$G$11:$L$25,6),IF(AND(H88&gt;1994,H88&lt;1998),VLOOKUP(I88,Feuil1!$G$11:$L$25,5),IF(AND(H88&gt;1997,H88&lt;2000),VLOOKUP(I88,Feuil1!$G$11:$L$25,4),IF(AND(H88&gt;1999,H88&lt;2002),VLOOKUP(I88,Feuil1!$G$11:$L$25,3),VLOOKUP(I88,Feuil1!$G$11:$L$25,2)))))))</f>
        <v>FC2 69</v>
      </c>
      <c r="Y88" s="39">
        <f t="shared" si="44"/>
        <v>69.8754986058063</v>
      </c>
      <c r="Z88" s="45"/>
      <c r="AA88" s="45" t="s">
        <v>12</v>
      </c>
      <c r="AB88" s="3">
        <f>T88-HLOOKUP(X88,Feuil1!$C$1:$BL$10,2,FALSE)</f>
        <v>-5</v>
      </c>
      <c r="AC88" s="3">
        <f>T88-HLOOKUP(X88,Feuil1!$C$1:$BL$10,3,FALSE)</f>
        <v>-15</v>
      </c>
      <c r="AD88" s="3">
        <f>T88-HLOOKUP(X88,Feuil1!$C$1:$BL$10,4,FALSE)</f>
        <v>-25</v>
      </c>
      <c r="AE88" s="3">
        <f>T88-HLOOKUP(X88,Feuil1!$C$1:$BL$10,5,FALSE)</f>
        <v>-35</v>
      </c>
      <c r="AF88" s="3">
        <f>T88-HLOOKUP(X88,Feuil1!$C$1:$BL$10,6,FALSE)</f>
        <v>-50</v>
      </c>
      <c r="AG88" s="3">
        <f>T88-HLOOKUP(X88,Feuil1!$C$1:$BL$10,7,FALSE)</f>
        <v>-65</v>
      </c>
      <c r="AH88" s="3">
        <f>T88-HLOOKUP(X88,Feuil1!$C$1:$BL$10,8,FALSE)</f>
        <v>-80</v>
      </c>
      <c r="AI88" s="3">
        <f>T88-HLOOKUP(X88,Feuil1!$C$1:$BL$10,9,FALSE)</f>
        <v>-95</v>
      </c>
      <c r="AJ88" s="3">
        <f>T88-HLOOKUP(X88,Feuil1!$C$1:$BL$10,10,FALSE)</f>
        <v>-945</v>
      </c>
      <c r="AK88" s="5"/>
      <c r="AL88" s="5"/>
      <c r="AM88" s="5"/>
      <c r="AN88" s="5"/>
      <c r="AO88" s="5"/>
      <c r="AP88" s="5"/>
      <c r="AQ88" s="5" t="str">
        <f t="shared" si="45"/>
        <v xml:space="preserve">DEB </v>
      </c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</row>
    <row r="89" spans="1:55" s="13" customFormat="1" ht="15" hidden="1" customHeight="1" thickBot="1" x14ac:dyDescent="0.25">
      <c r="A89" s="89"/>
      <c r="B89" s="90"/>
      <c r="C89" s="91"/>
      <c r="D89" s="92"/>
      <c r="E89" s="93"/>
      <c r="F89" s="94"/>
      <c r="G89" s="94"/>
      <c r="H89" s="95"/>
      <c r="I89" s="96"/>
      <c r="J89" s="91"/>
      <c r="K89" s="97"/>
      <c r="L89" s="98"/>
      <c r="M89" s="98"/>
      <c r="N89" s="98"/>
      <c r="O89" s="99"/>
      <c r="P89" s="98"/>
      <c r="Q89" s="98"/>
      <c r="R89" s="98"/>
      <c r="S89" s="99"/>
      <c r="T89" s="100"/>
      <c r="U89" s="101"/>
      <c r="V89" s="102"/>
      <c r="W89" s="103"/>
      <c r="X89" s="104"/>
      <c r="Y89" s="105"/>
      <c r="Z89" s="45"/>
      <c r="AA89" s="45" t="s">
        <v>12</v>
      </c>
      <c r="AB89" s="3" t="e">
        <f>T89-HLOOKUP(X89,Feuil1!$C$1:$BL$10,2,FALSE)</f>
        <v>#N/A</v>
      </c>
      <c r="AC89" s="3" t="e">
        <f>T89-HLOOKUP(X89,Feuil1!$C$1:$BL$10,3,FALSE)</f>
        <v>#N/A</v>
      </c>
      <c r="AD89" s="3" t="e">
        <f>T89-HLOOKUP(X89,Feuil1!$C$1:$BL$10,4,FALSE)</f>
        <v>#N/A</v>
      </c>
      <c r="AE89" s="3" t="e">
        <f>T89-HLOOKUP(X89,Feuil1!$C$1:$BL$10,5,FALSE)</f>
        <v>#N/A</v>
      </c>
      <c r="AF89" s="3" t="e">
        <f>T89-HLOOKUP(X89,Feuil1!$C$1:$BL$10,6,FALSE)</f>
        <v>#N/A</v>
      </c>
      <c r="AG89" s="3" t="e">
        <f>T89-HLOOKUP(X89,Feuil1!$C$1:$BL$10,7,FALSE)</f>
        <v>#N/A</v>
      </c>
      <c r="AH89" s="3" t="e">
        <f>T89-HLOOKUP(X89,Feuil1!$C$1:$BL$10,8,FALSE)</f>
        <v>#N/A</v>
      </c>
      <c r="AI89" s="3" t="e">
        <f>T89-HLOOKUP(X89,Feuil1!$C$1:$BL$10,9,FALSE)</f>
        <v>#N/A</v>
      </c>
      <c r="AJ89" s="3" t="e">
        <f>T89-HLOOKUP(X89,Feuil1!$C$1:$BL$10,10,FALSE)</f>
        <v>#N/A</v>
      </c>
      <c r="AK89" s="5"/>
      <c r="AL89" s="5"/>
      <c r="AM89" s="5"/>
      <c r="AN89" s="5"/>
      <c r="AO89" s="5"/>
      <c r="AP89" s="5"/>
      <c r="AQ89" s="5" t="e">
        <f t="shared" ref="AQ89" si="46">IF(AJ89&gt;=0,$AJ$1,IF(AI89&gt;=0,$AI$1,IF(AH89&gt;=0,$AH$1,IF(AG89&gt;=0,$AG$1,IF(AF89&gt;=0,$AF$1,IF(AE89&gt;=0,$AE$1,IF(AD89&gt;=0,$AD$1,IF(AC89&gt;=0,$AC$1,$AB$1))))))))</f>
        <v>#N/A</v>
      </c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</row>
    <row r="90" spans="1:55" s="13" customFormat="1" ht="21" hidden="1" x14ac:dyDescent="0.2">
      <c r="A90" s="12" t="s">
        <v>69</v>
      </c>
      <c r="B90" s="18" t="s">
        <v>721</v>
      </c>
      <c r="C90" s="19" t="s">
        <v>689</v>
      </c>
      <c r="D90" s="61">
        <v>1</v>
      </c>
      <c r="E90" s="35">
        <v>210931</v>
      </c>
      <c r="F90" s="20" t="s">
        <v>700</v>
      </c>
      <c r="G90" s="20" t="s">
        <v>701</v>
      </c>
      <c r="H90" s="51">
        <v>1998</v>
      </c>
      <c r="I90" s="30">
        <v>80.099999999999994</v>
      </c>
      <c r="J90" s="19" t="s">
        <v>697</v>
      </c>
      <c r="K90" s="34" t="s">
        <v>69</v>
      </c>
      <c r="L90" s="31">
        <v>50</v>
      </c>
      <c r="M90" s="31">
        <v>53</v>
      </c>
      <c r="N90" s="31">
        <v>-56</v>
      </c>
      <c r="O90" s="36">
        <f t="shared" ref="O90:O96" si="47">IF(H90="","",IF(MAXA(L90:N90)&lt;=0,0,MAXA(L90:N90)))</f>
        <v>53</v>
      </c>
      <c r="P90" s="31">
        <v>58</v>
      </c>
      <c r="Q90" s="31">
        <v>61</v>
      </c>
      <c r="R90" s="31">
        <v>64</v>
      </c>
      <c r="S90" s="36">
        <f t="shared" ref="S90:S96" si="48">IF(H90="","",IF(MAXA(P90:R90)&lt;=0,0,MAXA(P90:R90)))</f>
        <v>64</v>
      </c>
      <c r="T90" s="37">
        <f t="shared" ref="T90:T96" si="49">IF(H90="","",IF(OR(O90=0,S90=0),0,O90+S90))</f>
        <v>117</v>
      </c>
      <c r="U90" s="65">
        <f t="shared" ref="U90:U96" si="50">T90-I90*2</f>
        <v>-43.199999999999989</v>
      </c>
      <c r="V90" s="41" t="str">
        <f t="shared" ref="V90:V96" si="51">IF(H90="","",AQ90)</f>
        <v>FED +</v>
      </c>
      <c r="W90" s="33">
        <f t="shared" ref="W90:W96" si="52">IF(AJ90&gt;=0,AJ90,IF(AI90&gt;=0,AI90,IF(AH90&gt;=0,AH90,IF(AG90&gt;=0,AG90,IF(AF90&gt;=0,AF90,IF(AE90&gt;=0,AE90,IF(AD90&gt;=0,AD90,IF(AC90&gt;=0,AC90,AB90))))))))</f>
        <v>2</v>
      </c>
      <c r="X90" s="40" t="str">
        <f>IF(I90="","",IF(A90="H",IF(OR(H90="SEN",H90&lt;1995),VLOOKUP(I90,Feuil1!$A$11:$G$29,6),IF(AND(H90&gt;1994,H90&lt;1998),VLOOKUP(I90,Feuil1!$A$11:$G$29,5),IF(AND(H90&gt;1997,H90&lt;2000),VLOOKUP(I90,Feuil1!$A$11:$G$29,4),IF(AND(H90&gt;1999,H90&lt;2002),VLOOKUP(I90,Feuil1!$A$11:$G$29,3),VLOOKUP(I90,Feuil1!$A$11:$G$29,2))))),IF(OR(H90="SEN",H90&lt;1995),VLOOKUP(I90,Feuil1!$G$11:$L$25,6),IF(AND(H90&gt;1994,H90&lt;1998),VLOOKUP(I90,Feuil1!$G$11:$L$25,5),IF(AND(H90&gt;1997,H90&lt;2000),VLOOKUP(I90,Feuil1!$G$11:$L$25,4),IF(AND(H90&gt;1999,H90&lt;2002),VLOOKUP(I90,Feuil1!$G$11:$L$25,3),VLOOKUP(I90,Feuil1!$G$11:$L$25,2)))))))</f>
        <v>FC2 +69</v>
      </c>
      <c r="Y90" s="39">
        <f t="shared" ref="Y90:Y96" si="53">IF(I90="","",IF(A90="H",10^(0.794358141*LOG(I90/174.393)^2)*T90,IF(A90="F",10^(0.89726074*LOG(I90/148.026)^2)*T90,"")))</f>
        <v>135.52195205610326</v>
      </c>
      <c r="Z90" s="45"/>
      <c r="AA90" s="45" t="s">
        <v>12</v>
      </c>
      <c r="AB90" s="3">
        <f>T90-HLOOKUP(X90,Feuil1!$C$1:$BL$10,2,FALSE)</f>
        <v>47</v>
      </c>
      <c r="AC90" s="3">
        <f>T90-HLOOKUP(X90,Feuil1!$C$1:$BL$10,3,FALSE)</f>
        <v>37</v>
      </c>
      <c r="AD90" s="3">
        <f>T90-HLOOKUP(X90,Feuil1!$C$1:$BL$10,4,FALSE)</f>
        <v>22</v>
      </c>
      <c r="AE90" s="3">
        <f>T90-HLOOKUP(X90,Feuil1!$C$1:$BL$10,5,FALSE)</f>
        <v>12</v>
      </c>
      <c r="AF90" s="3">
        <f>T90-HLOOKUP(X90,Feuil1!$C$1:$BL$10,6,FALSE)</f>
        <v>2</v>
      </c>
      <c r="AG90" s="3">
        <f>T90-HLOOKUP(X90,Feuil1!$C$1:$BL$10,7,FALSE)</f>
        <v>-13</v>
      </c>
      <c r="AH90" s="3">
        <f>T90-HLOOKUP(X90,Feuil1!$C$1:$BL$10,8,FALSE)</f>
        <v>-28</v>
      </c>
      <c r="AI90" s="3">
        <f>T90-HLOOKUP(X90,Feuil1!$C$1:$BL$10,9,FALSE)</f>
        <v>-43</v>
      </c>
      <c r="AJ90" s="3">
        <f>T90-HLOOKUP(X90,Feuil1!$C$1:$BL$10,10,FALSE)</f>
        <v>-883</v>
      </c>
      <c r="AK90" s="5"/>
      <c r="AL90" s="5"/>
      <c r="AM90" s="5"/>
      <c r="AN90" s="5"/>
      <c r="AO90" s="5"/>
      <c r="AP90" s="5"/>
      <c r="AQ90" s="5" t="str">
        <f t="shared" ref="AQ90:AQ96" si="54">IF(AJ90&gt;=0,$AJ$1,IF(AI90&gt;=0,$AI$1,IF(AH90&gt;=0,$AH$1,IF(AG90&gt;=0,$AG$1,IF(AF90&gt;=0,$AF$1,IF(AE90&gt;=0,$AE$1,IF(AD90&gt;=0,$AD$1,IF(AC90&gt;=0,$AC$1,$AB$1))))))))</f>
        <v>FED +</v>
      </c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</row>
    <row r="91" spans="1:55" s="13" customFormat="1" ht="21" hidden="1" x14ac:dyDescent="0.2">
      <c r="A91" s="12" t="s">
        <v>69</v>
      </c>
      <c r="B91" s="18" t="s">
        <v>298</v>
      </c>
      <c r="C91" s="19" t="s">
        <v>404</v>
      </c>
      <c r="D91" s="61">
        <v>2</v>
      </c>
      <c r="E91" s="35">
        <v>362261</v>
      </c>
      <c r="F91" s="20" t="s">
        <v>414</v>
      </c>
      <c r="G91" s="20" t="s">
        <v>415</v>
      </c>
      <c r="H91" s="51">
        <v>1999</v>
      </c>
      <c r="I91" s="30">
        <v>82.1</v>
      </c>
      <c r="J91" s="19" t="s">
        <v>412</v>
      </c>
      <c r="K91" s="34" t="s">
        <v>69</v>
      </c>
      <c r="L91" s="31">
        <v>46</v>
      </c>
      <c r="M91" s="31">
        <v>49</v>
      </c>
      <c r="N91" s="31">
        <v>51</v>
      </c>
      <c r="O91" s="36">
        <f t="shared" si="47"/>
        <v>51</v>
      </c>
      <c r="P91" s="31">
        <v>58</v>
      </c>
      <c r="Q91" s="31">
        <v>-61</v>
      </c>
      <c r="R91" s="31">
        <v>61</v>
      </c>
      <c r="S91" s="36">
        <f t="shared" si="48"/>
        <v>61</v>
      </c>
      <c r="T91" s="37">
        <f t="shared" si="49"/>
        <v>112</v>
      </c>
      <c r="U91" s="65">
        <f t="shared" si="50"/>
        <v>-52.199999999999989</v>
      </c>
      <c r="V91" s="41" t="str">
        <f t="shared" si="51"/>
        <v>IRG +</v>
      </c>
      <c r="W91" s="33">
        <f t="shared" si="52"/>
        <v>7</v>
      </c>
      <c r="X91" s="40" t="str">
        <f>IF(I91="","",IF(A91="H",IF(OR(H91="SEN",H91&lt;1995),VLOOKUP(I91,Feuil1!$A$11:$G$29,6),IF(AND(H91&gt;1994,H91&lt;1998),VLOOKUP(I91,Feuil1!$A$11:$G$29,5),IF(AND(H91&gt;1997,H91&lt;2000),VLOOKUP(I91,Feuil1!$A$11:$G$29,4),IF(AND(H91&gt;1999,H91&lt;2002),VLOOKUP(I91,Feuil1!$A$11:$G$29,3),VLOOKUP(I91,Feuil1!$A$11:$G$29,2))))),IF(OR(H91="SEN",H91&lt;1995),VLOOKUP(I91,Feuil1!$G$11:$L$25,6),IF(AND(H91&gt;1994,H91&lt;1998),VLOOKUP(I91,Feuil1!$G$11:$L$25,5),IF(AND(H91&gt;1997,H91&lt;2000),VLOOKUP(I91,Feuil1!$G$11:$L$25,4),IF(AND(H91&gt;1999,H91&lt;2002),VLOOKUP(I91,Feuil1!$G$11:$L$25,3),VLOOKUP(I91,Feuil1!$G$11:$L$25,2)))))))</f>
        <v>FC2 +69</v>
      </c>
      <c r="Y91" s="39">
        <f t="shared" si="53"/>
        <v>128.23853118645849</v>
      </c>
      <c r="Z91" s="45"/>
      <c r="AA91" s="45" t="s">
        <v>12</v>
      </c>
      <c r="AB91" s="3">
        <f>T91-HLOOKUP(X91,Feuil1!$C$1:$BL$10,2,FALSE)</f>
        <v>42</v>
      </c>
      <c r="AC91" s="3">
        <f>T91-HLOOKUP(X91,Feuil1!$C$1:$BL$10,3,FALSE)</f>
        <v>32</v>
      </c>
      <c r="AD91" s="3">
        <f>T91-HLOOKUP(X91,Feuil1!$C$1:$BL$10,4,FALSE)</f>
        <v>17</v>
      </c>
      <c r="AE91" s="3">
        <f>T91-HLOOKUP(X91,Feuil1!$C$1:$BL$10,5,FALSE)</f>
        <v>7</v>
      </c>
      <c r="AF91" s="3">
        <f>T91-HLOOKUP(X91,Feuil1!$C$1:$BL$10,6,FALSE)</f>
        <v>-3</v>
      </c>
      <c r="AG91" s="3">
        <f>T91-HLOOKUP(X91,Feuil1!$C$1:$BL$10,7,FALSE)</f>
        <v>-18</v>
      </c>
      <c r="AH91" s="3">
        <f>T91-HLOOKUP(X91,Feuil1!$C$1:$BL$10,8,FALSE)</f>
        <v>-33</v>
      </c>
      <c r="AI91" s="3">
        <f>T91-HLOOKUP(X91,Feuil1!$C$1:$BL$10,9,FALSE)</f>
        <v>-48</v>
      </c>
      <c r="AJ91" s="3">
        <f>T91-HLOOKUP(X91,Feuil1!$C$1:$BL$10,10,FALSE)</f>
        <v>-888</v>
      </c>
      <c r="AK91" s="5"/>
      <c r="AL91" s="5"/>
      <c r="AM91" s="5"/>
      <c r="AN91" s="5"/>
      <c r="AO91" s="5"/>
      <c r="AP91" s="5"/>
      <c r="AQ91" s="5" t="str">
        <f t="shared" si="54"/>
        <v>IRG +</v>
      </c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</row>
    <row r="92" spans="1:55" s="13" customFormat="1" ht="21" hidden="1" x14ac:dyDescent="0.2">
      <c r="A92" s="12" t="s">
        <v>69</v>
      </c>
      <c r="B92" s="67" t="s">
        <v>108</v>
      </c>
      <c r="C92" s="68" t="s">
        <v>109</v>
      </c>
      <c r="D92" s="69">
        <v>3</v>
      </c>
      <c r="E92" s="70">
        <v>239747</v>
      </c>
      <c r="F92" s="71" t="s">
        <v>135</v>
      </c>
      <c r="G92" s="71" t="s">
        <v>136</v>
      </c>
      <c r="H92" s="72">
        <v>1999</v>
      </c>
      <c r="I92" s="73">
        <v>69.3</v>
      </c>
      <c r="J92" s="68" t="s">
        <v>112</v>
      </c>
      <c r="K92" s="74" t="s">
        <v>69</v>
      </c>
      <c r="L92" s="75">
        <v>48</v>
      </c>
      <c r="M92" s="75">
        <v>-51</v>
      </c>
      <c r="N92" s="75">
        <v>51</v>
      </c>
      <c r="O92" s="76">
        <f t="shared" si="47"/>
        <v>51</v>
      </c>
      <c r="P92" s="75">
        <v>53</v>
      </c>
      <c r="Q92" s="75">
        <v>57</v>
      </c>
      <c r="R92" s="75">
        <v>60</v>
      </c>
      <c r="S92" s="76">
        <f t="shared" si="48"/>
        <v>60</v>
      </c>
      <c r="T92" s="77">
        <f t="shared" si="49"/>
        <v>111</v>
      </c>
      <c r="U92" s="78">
        <f t="shared" si="50"/>
        <v>-27.599999999999994</v>
      </c>
      <c r="V92" s="79" t="str">
        <f t="shared" si="51"/>
        <v>IRG +</v>
      </c>
      <c r="W92" s="80">
        <f t="shared" si="52"/>
        <v>6</v>
      </c>
      <c r="X92" s="81" t="str">
        <f>IF(I92="","",IF(A92="H",IF(OR(H92="SEN",H92&lt;1995),VLOOKUP(I92,Feuil1!$A$11:$G$29,6),IF(AND(H92&gt;1994,H92&lt;1998),VLOOKUP(I92,Feuil1!$A$11:$G$29,5),IF(AND(H92&gt;1997,H92&lt;2000),VLOOKUP(I92,Feuil1!$A$11:$G$29,4),IF(AND(H92&gt;1999,H92&lt;2002),VLOOKUP(I92,Feuil1!$A$11:$G$29,3),VLOOKUP(I92,Feuil1!$A$11:$G$29,2))))),IF(OR(H92="SEN",H92&lt;1995),VLOOKUP(I92,Feuil1!$G$11:$L$25,6),IF(AND(H92&gt;1994,H92&lt;1998),VLOOKUP(I92,Feuil1!$G$11:$L$25,5),IF(AND(H92&gt;1997,H92&lt;2000),VLOOKUP(I92,Feuil1!$G$11:$L$25,4),IF(AND(H92&gt;1999,H92&lt;2002),VLOOKUP(I92,Feuil1!$G$11:$L$25,3),VLOOKUP(I92,Feuil1!$G$11:$L$25,2)))))))</f>
        <v>FC2 +69</v>
      </c>
      <c r="Y92" s="39">
        <f t="shared" si="53"/>
        <v>138.93151158504367</v>
      </c>
      <c r="Z92" s="45"/>
      <c r="AA92" s="45" t="s">
        <v>12</v>
      </c>
      <c r="AB92" s="3">
        <f>T92-HLOOKUP(X92,Feuil1!$C$1:$BL$10,2,FALSE)</f>
        <v>41</v>
      </c>
      <c r="AC92" s="3">
        <f>T92-HLOOKUP(X92,Feuil1!$C$1:$BL$10,3,FALSE)</f>
        <v>31</v>
      </c>
      <c r="AD92" s="3">
        <f>T92-HLOOKUP(X92,Feuil1!$C$1:$BL$10,4,FALSE)</f>
        <v>16</v>
      </c>
      <c r="AE92" s="3">
        <f>T92-HLOOKUP(X92,Feuil1!$C$1:$BL$10,5,FALSE)</f>
        <v>6</v>
      </c>
      <c r="AF92" s="3">
        <f>T92-HLOOKUP(X92,Feuil1!$C$1:$BL$10,6,FALSE)</f>
        <v>-4</v>
      </c>
      <c r="AG92" s="3">
        <f>T92-HLOOKUP(X92,Feuil1!$C$1:$BL$10,7,FALSE)</f>
        <v>-19</v>
      </c>
      <c r="AH92" s="3">
        <f>T92-HLOOKUP(X92,Feuil1!$C$1:$BL$10,8,FALSE)</f>
        <v>-34</v>
      </c>
      <c r="AI92" s="3">
        <f>T92-HLOOKUP(X92,Feuil1!$C$1:$BL$10,9,FALSE)</f>
        <v>-49</v>
      </c>
      <c r="AJ92" s="3">
        <f>T92-HLOOKUP(X92,Feuil1!$C$1:$BL$10,10,FALSE)</f>
        <v>-889</v>
      </c>
      <c r="AK92" s="5"/>
      <c r="AL92" s="5"/>
      <c r="AM92" s="5"/>
      <c r="AN92" s="5"/>
      <c r="AO92" s="5"/>
      <c r="AP92" s="5"/>
      <c r="AQ92" s="5" t="str">
        <f t="shared" si="54"/>
        <v>IRG +</v>
      </c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</row>
    <row r="93" spans="1:55" s="13" customFormat="1" ht="21" hidden="1" x14ac:dyDescent="0.2">
      <c r="A93" s="12" t="s">
        <v>69</v>
      </c>
      <c r="B93" s="67" t="s">
        <v>108</v>
      </c>
      <c r="C93" s="68" t="s">
        <v>119</v>
      </c>
      <c r="D93" s="69">
        <v>4</v>
      </c>
      <c r="E93" s="70">
        <v>306518</v>
      </c>
      <c r="F93" s="71" t="s">
        <v>145</v>
      </c>
      <c r="G93" s="71" t="s">
        <v>409</v>
      </c>
      <c r="H93" s="72">
        <v>1998</v>
      </c>
      <c r="I93" s="73">
        <v>70.099999999999994</v>
      </c>
      <c r="J93" s="68" t="s">
        <v>138</v>
      </c>
      <c r="K93" s="74" t="s">
        <v>69</v>
      </c>
      <c r="L93" s="75">
        <v>43</v>
      </c>
      <c r="M93" s="75">
        <v>-46</v>
      </c>
      <c r="N93" s="75">
        <v>46</v>
      </c>
      <c r="O93" s="76">
        <f t="shared" si="47"/>
        <v>46</v>
      </c>
      <c r="P93" s="75">
        <v>52</v>
      </c>
      <c r="Q93" s="75">
        <v>56</v>
      </c>
      <c r="R93" s="75">
        <v>60</v>
      </c>
      <c r="S93" s="76">
        <f t="shared" si="48"/>
        <v>60</v>
      </c>
      <c r="T93" s="77">
        <f t="shared" si="49"/>
        <v>106</v>
      </c>
      <c r="U93" s="78">
        <f t="shared" si="50"/>
        <v>-34.199999999999989</v>
      </c>
      <c r="V93" s="79" t="str">
        <f t="shared" si="51"/>
        <v>IRG +</v>
      </c>
      <c r="W93" s="80">
        <f t="shared" si="52"/>
        <v>1</v>
      </c>
      <c r="X93" s="81" t="str">
        <f>IF(I93="","",IF(A93="H",IF(OR(H93="SEN",H93&lt;1995),VLOOKUP(I93,Feuil1!$A$11:$G$29,6),IF(AND(H93&gt;1994,H93&lt;1998),VLOOKUP(I93,Feuil1!$A$11:$G$29,5),IF(AND(H93&gt;1997,H93&lt;2000),VLOOKUP(I93,Feuil1!$A$11:$G$29,4),IF(AND(H93&gt;1999,H93&lt;2002),VLOOKUP(I93,Feuil1!$A$11:$G$29,3),VLOOKUP(I93,Feuil1!$A$11:$G$29,2))))),IF(OR(H93="SEN",H93&lt;1995),VLOOKUP(I93,Feuil1!$G$11:$L$25,6),IF(AND(H93&gt;1994,H93&lt;1998),VLOOKUP(I93,Feuil1!$G$11:$L$25,5),IF(AND(H93&gt;1997,H93&lt;2000),VLOOKUP(I93,Feuil1!$G$11:$L$25,4),IF(AND(H93&gt;1999,H93&lt;2002),VLOOKUP(I93,Feuil1!$G$11:$L$25,3),VLOOKUP(I93,Feuil1!$G$11:$L$25,2)))))))</f>
        <v>FC2 +69</v>
      </c>
      <c r="Y93" s="39">
        <f t="shared" si="53"/>
        <v>131.78243525241186</v>
      </c>
      <c r="Z93" s="45"/>
      <c r="AA93" s="45" t="s">
        <v>12</v>
      </c>
      <c r="AB93" s="3">
        <f>T93-HLOOKUP(X93,Feuil1!$C$1:$BL$10,2,FALSE)</f>
        <v>36</v>
      </c>
      <c r="AC93" s="3">
        <f>T93-HLOOKUP(X93,Feuil1!$C$1:$BL$10,3,FALSE)</f>
        <v>26</v>
      </c>
      <c r="AD93" s="3">
        <f>T93-HLOOKUP(X93,Feuil1!$C$1:$BL$10,4,FALSE)</f>
        <v>11</v>
      </c>
      <c r="AE93" s="3">
        <f>T93-HLOOKUP(X93,Feuil1!$C$1:$BL$10,5,FALSE)</f>
        <v>1</v>
      </c>
      <c r="AF93" s="3">
        <f>T93-HLOOKUP(X93,Feuil1!$C$1:$BL$10,6,FALSE)</f>
        <v>-9</v>
      </c>
      <c r="AG93" s="3">
        <f>T93-HLOOKUP(X93,Feuil1!$C$1:$BL$10,7,FALSE)</f>
        <v>-24</v>
      </c>
      <c r="AH93" s="3">
        <f>T93-HLOOKUP(X93,Feuil1!$C$1:$BL$10,8,FALSE)</f>
        <v>-39</v>
      </c>
      <c r="AI93" s="3">
        <f>T93-HLOOKUP(X93,Feuil1!$C$1:$BL$10,9,FALSE)</f>
        <v>-54</v>
      </c>
      <c r="AJ93" s="3">
        <f>T93-HLOOKUP(X93,Feuil1!$C$1:$BL$10,10,FALSE)</f>
        <v>-894</v>
      </c>
      <c r="AK93" s="5"/>
      <c r="AL93" s="5"/>
      <c r="AM93" s="5"/>
      <c r="AN93" s="5"/>
      <c r="AO93" s="5"/>
      <c r="AP93" s="5"/>
      <c r="AQ93" s="5" t="str">
        <f t="shared" si="54"/>
        <v>IRG +</v>
      </c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</row>
    <row r="94" spans="1:55" s="13" customFormat="1" ht="21" hidden="1" x14ac:dyDescent="0.2">
      <c r="A94" s="12" t="s">
        <v>69</v>
      </c>
      <c r="B94" s="18" t="s">
        <v>298</v>
      </c>
      <c r="C94" s="19" t="s">
        <v>404</v>
      </c>
      <c r="D94" s="61">
        <v>5</v>
      </c>
      <c r="E94" s="35">
        <v>191850</v>
      </c>
      <c r="F94" s="20" t="s">
        <v>416</v>
      </c>
      <c r="G94" s="20" t="s">
        <v>417</v>
      </c>
      <c r="H94" s="51">
        <v>1998</v>
      </c>
      <c r="I94" s="30">
        <v>71.599999999999994</v>
      </c>
      <c r="J94" s="19" t="s">
        <v>412</v>
      </c>
      <c r="K94" s="34" t="s">
        <v>69</v>
      </c>
      <c r="L94" s="31">
        <v>33</v>
      </c>
      <c r="M94" s="31">
        <v>35</v>
      </c>
      <c r="N94" s="31">
        <v>37</v>
      </c>
      <c r="O94" s="36">
        <f t="shared" si="47"/>
        <v>37</v>
      </c>
      <c r="P94" s="31">
        <v>45</v>
      </c>
      <c r="Q94" s="31">
        <v>-48</v>
      </c>
      <c r="R94" s="31">
        <v>48</v>
      </c>
      <c r="S94" s="36">
        <f t="shared" si="48"/>
        <v>48</v>
      </c>
      <c r="T94" s="37">
        <f t="shared" si="49"/>
        <v>85</v>
      </c>
      <c r="U94" s="65">
        <f t="shared" si="50"/>
        <v>-58.199999999999989</v>
      </c>
      <c r="V94" s="41" t="str">
        <f t="shared" si="51"/>
        <v>DEP +</v>
      </c>
      <c r="W94" s="33">
        <f t="shared" si="52"/>
        <v>5</v>
      </c>
      <c r="X94" s="40" t="str">
        <f>IF(I94="","",IF(A94="H",IF(OR(H94="SEN",H94&lt;1995),VLOOKUP(I94,Feuil1!$A$11:$G$29,6),IF(AND(H94&gt;1994,H94&lt;1998),VLOOKUP(I94,Feuil1!$A$11:$G$29,5),IF(AND(H94&gt;1997,H94&lt;2000),VLOOKUP(I94,Feuil1!$A$11:$G$29,4),IF(AND(H94&gt;1999,H94&lt;2002),VLOOKUP(I94,Feuil1!$A$11:$G$29,3),VLOOKUP(I94,Feuil1!$A$11:$G$29,2))))),IF(OR(H94="SEN",H94&lt;1995),VLOOKUP(I94,Feuil1!$G$11:$L$25,6),IF(AND(H94&gt;1994,H94&lt;1998),VLOOKUP(I94,Feuil1!$G$11:$L$25,5),IF(AND(H94&gt;1997,H94&lt;2000),VLOOKUP(I94,Feuil1!$G$11:$L$25,4),IF(AND(H94&gt;1999,H94&lt;2002),VLOOKUP(I94,Feuil1!$G$11:$L$25,3),VLOOKUP(I94,Feuil1!$G$11:$L$25,2)))))))</f>
        <v>FC2 +69</v>
      </c>
      <c r="Y94" s="39">
        <f t="shared" si="53"/>
        <v>104.39748003674627</v>
      </c>
      <c r="Z94" s="45"/>
      <c r="AA94" s="45" t="s">
        <v>12</v>
      </c>
      <c r="AB94" s="3">
        <f>T94-HLOOKUP(X94,Feuil1!$C$1:$BL$10,2,FALSE)</f>
        <v>15</v>
      </c>
      <c r="AC94" s="3">
        <f>T94-HLOOKUP(X94,Feuil1!$C$1:$BL$10,3,FALSE)</f>
        <v>5</v>
      </c>
      <c r="AD94" s="3">
        <f>T94-HLOOKUP(X94,Feuil1!$C$1:$BL$10,4,FALSE)</f>
        <v>-10</v>
      </c>
      <c r="AE94" s="3">
        <f>T94-HLOOKUP(X94,Feuil1!$C$1:$BL$10,5,FALSE)</f>
        <v>-20</v>
      </c>
      <c r="AF94" s="3">
        <f>T94-HLOOKUP(X94,Feuil1!$C$1:$BL$10,6,FALSE)</f>
        <v>-30</v>
      </c>
      <c r="AG94" s="3">
        <f>T94-HLOOKUP(X94,Feuil1!$C$1:$BL$10,7,FALSE)</f>
        <v>-45</v>
      </c>
      <c r="AH94" s="3">
        <f>T94-HLOOKUP(X94,Feuil1!$C$1:$BL$10,8,FALSE)</f>
        <v>-60</v>
      </c>
      <c r="AI94" s="3">
        <f>T94-HLOOKUP(X94,Feuil1!$C$1:$BL$10,9,FALSE)</f>
        <v>-75</v>
      </c>
      <c r="AJ94" s="3">
        <f>T94-HLOOKUP(X94,Feuil1!$C$1:$BL$10,10,FALSE)</f>
        <v>-915</v>
      </c>
      <c r="AK94" s="5"/>
      <c r="AL94" s="5"/>
      <c r="AM94" s="5"/>
      <c r="AN94" s="5"/>
      <c r="AO94" s="5"/>
      <c r="AP94" s="5"/>
      <c r="AQ94" s="5" t="str">
        <f t="shared" si="54"/>
        <v>DEP +</v>
      </c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</row>
    <row r="95" spans="1:55" s="13" customFormat="1" ht="21" hidden="1" x14ac:dyDescent="0.2">
      <c r="A95" s="12" t="s">
        <v>69</v>
      </c>
      <c r="B95" s="18" t="s">
        <v>649</v>
      </c>
      <c r="C95" s="68" t="s">
        <v>669</v>
      </c>
      <c r="D95" s="69">
        <v>6</v>
      </c>
      <c r="E95" s="70">
        <v>367888</v>
      </c>
      <c r="F95" s="71" t="s">
        <v>670</v>
      </c>
      <c r="G95" s="71" t="s">
        <v>671</v>
      </c>
      <c r="H95" s="72">
        <v>1998</v>
      </c>
      <c r="I95" s="73">
        <v>75</v>
      </c>
      <c r="J95" s="68" t="s">
        <v>672</v>
      </c>
      <c r="K95" s="74" t="s">
        <v>69</v>
      </c>
      <c r="L95" s="75">
        <v>20</v>
      </c>
      <c r="M95" s="75">
        <v>25</v>
      </c>
      <c r="N95" s="75">
        <v>27</v>
      </c>
      <c r="O95" s="76">
        <f t="shared" si="47"/>
        <v>27</v>
      </c>
      <c r="P95" s="75">
        <v>30</v>
      </c>
      <c r="Q95" s="75">
        <v>32</v>
      </c>
      <c r="R95" s="75">
        <v>-35</v>
      </c>
      <c r="S95" s="76">
        <f t="shared" si="48"/>
        <v>32</v>
      </c>
      <c r="T95" s="77">
        <f t="shared" si="49"/>
        <v>59</v>
      </c>
      <c r="U95" s="78">
        <f t="shared" si="50"/>
        <v>-91</v>
      </c>
      <c r="V95" s="79" t="str">
        <f t="shared" si="51"/>
        <v xml:space="preserve">DEB </v>
      </c>
      <c r="W95" s="80">
        <f t="shared" si="52"/>
        <v>-11</v>
      </c>
      <c r="X95" s="81" t="str">
        <f>IF(I95="","",IF(A95="H",IF(OR(H95="SEN",H95&lt;1995),VLOOKUP(I95,Feuil1!$A$11:$G$29,6),IF(AND(H95&gt;1994,H95&lt;1998),VLOOKUP(I95,Feuil1!$A$11:$G$29,5),IF(AND(H95&gt;1997,H95&lt;2000),VLOOKUP(I95,Feuil1!$A$11:$G$29,4),IF(AND(H95&gt;1999,H95&lt;2002),VLOOKUP(I95,Feuil1!$A$11:$G$29,3),VLOOKUP(I95,Feuil1!$A$11:$G$29,2))))),IF(OR(H95="SEN",H95&lt;1995),VLOOKUP(I95,Feuil1!$G$11:$L$25,6),IF(AND(H95&gt;1994,H95&lt;1998),VLOOKUP(I95,Feuil1!$G$11:$L$25,5),IF(AND(H95&gt;1997,H95&lt;2000),VLOOKUP(I95,Feuil1!$G$11:$L$25,4),IF(AND(H95&gt;1999,H95&lt;2002),VLOOKUP(I95,Feuil1!$G$11:$L$25,3),VLOOKUP(I95,Feuil1!$G$11:$L$25,2)))))))</f>
        <v>FC2 +69</v>
      </c>
      <c r="Y95" s="39">
        <f t="shared" si="53"/>
        <v>70.645206362346556</v>
      </c>
      <c r="Z95" s="45"/>
      <c r="AA95" s="45" t="s">
        <v>12</v>
      </c>
      <c r="AB95" s="3">
        <f>T95-HLOOKUP(X95,Feuil1!$C$1:$BL$10,2,FALSE)</f>
        <v>-11</v>
      </c>
      <c r="AC95" s="3">
        <f>T95-HLOOKUP(X95,Feuil1!$C$1:$BL$10,3,FALSE)</f>
        <v>-21</v>
      </c>
      <c r="AD95" s="3">
        <f>T95-HLOOKUP(X95,Feuil1!$C$1:$BL$10,4,FALSE)</f>
        <v>-36</v>
      </c>
      <c r="AE95" s="3">
        <f>T95-HLOOKUP(X95,Feuil1!$C$1:$BL$10,5,FALSE)</f>
        <v>-46</v>
      </c>
      <c r="AF95" s="3">
        <f>T95-HLOOKUP(X95,Feuil1!$C$1:$BL$10,6,FALSE)</f>
        <v>-56</v>
      </c>
      <c r="AG95" s="3">
        <f>T95-HLOOKUP(X95,Feuil1!$C$1:$BL$10,7,FALSE)</f>
        <v>-71</v>
      </c>
      <c r="AH95" s="3">
        <f>T95-HLOOKUP(X95,Feuil1!$C$1:$BL$10,8,FALSE)</f>
        <v>-86</v>
      </c>
      <c r="AI95" s="3">
        <f>T95-HLOOKUP(X95,Feuil1!$C$1:$BL$10,9,FALSE)</f>
        <v>-101</v>
      </c>
      <c r="AJ95" s="3">
        <f>T95-HLOOKUP(X95,Feuil1!$C$1:$BL$10,10,FALSE)</f>
        <v>-941</v>
      </c>
      <c r="AK95" s="5"/>
      <c r="AL95" s="5"/>
      <c r="AM95" s="5"/>
      <c r="AN95" s="5"/>
      <c r="AO95" s="5"/>
      <c r="AP95" s="5"/>
      <c r="AQ95" s="5" t="str">
        <f t="shared" si="54"/>
        <v xml:space="preserve">DEB </v>
      </c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</row>
    <row r="96" spans="1:55" s="13" customFormat="1" ht="21" hidden="1" x14ac:dyDescent="0.2">
      <c r="A96" s="12" t="s">
        <v>69</v>
      </c>
      <c r="B96" s="18" t="s">
        <v>71</v>
      </c>
      <c r="C96" s="19" t="s">
        <v>72</v>
      </c>
      <c r="D96" s="61">
        <v>7</v>
      </c>
      <c r="E96" s="35">
        <v>367662</v>
      </c>
      <c r="F96" s="20" t="s">
        <v>930</v>
      </c>
      <c r="G96" s="20" t="s">
        <v>931</v>
      </c>
      <c r="H96" s="51">
        <v>1998</v>
      </c>
      <c r="I96" s="30">
        <v>71.900000000000006</v>
      </c>
      <c r="J96" s="19" t="s">
        <v>927</v>
      </c>
      <c r="K96" s="34" t="s">
        <v>69</v>
      </c>
      <c r="L96" s="31">
        <v>23</v>
      </c>
      <c r="M96" s="31">
        <v>-26</v>
      </c>
      <c r="N96" s="31">
        <v>26</v>
      </c>
      <c r="O96" s="36">
        <f t="shared" si="47"/>
        <v>26</v>
      </c>
      <c r="P96" s="31">
        <v>28</v>
      </c>
      <c r="Q96" s="31">
        <v>30</v>
      </c>
      <c r="R96" s="31">
        <v>32</v>
      </c>
      <c r="S96" s="36">
        <f t="shared" si="48"/>
        <v>32</v>
      </c>
      <c r="T96" s="37">
        <f t="shared" si="49"/>
        <v>58</v>
      </c>
      <c r="U96" s="65">
        <f t="shared" si="50"/>
        <v>-85.800000000000011</v>
      </c>
      <c r="V96" s="41" t="str">
        <f t="shared" si="51"/>
        <v xml:space="preserve">DEB </v>
      </c>
      <c r="W96" s="33">
        <f t="shared" si="52"/>
        <v>-12</v>
      </c>
      <c r="X96" s="40" t="str">
        <f>IF(I96="","",IF(A96="H",IF(OR(H96="SEN",H96&lt;1995),VLOOKUP(I96,Feuil1!$A$11:$G$29,6),IF(AND(H96&gt;1994,H96&lt;1998),VLOOKUP(I96,Feuil1!$A$11:$G$29,5),IF(AND(H96&gt;1997,H96&lt;2000),VLOOKUP(I96,Feuil1!$A$11:$G$29,4),IF(AND(H96&gt;1999,H96&lt;2002),VLOOKUP(I96,Feuil1!$A$11:$G$29,3),VLOOKUP(I96,Feuil1!$A$11:$G$29,2))))),IF(OR(H96="SEN",H96&lt;1995),VLOOKUP(I96,Feuil1!$G$11:$L$25,6),IF(AND(H96&gt;1994,H96&lt;1998),VLOOKUP(I96,Feuil1!$G$11:$L$25,5),IF(AND(H96&gt;1997,H96&lt;2000),VLOOKUP(I96,Feuil1!$G$11:$L$25,4),IF(AND(H96&gt;1999,H96&lt;2002),VLOOKUP(I96,Feuil1!$G$11:$L$25,3),VLOOKUP(I96,Feuil1!$G$11:$L$25,2)))))))</f>
        <v>FC2 +69</v>
      </c>
      <c r="Y96" s="39">
        <f t="shared" si="53"/>
        <v>71.068016390406115</v>
      </c>
      <c r="Z96" s="45"/>
      <c r="AA96" s="45" t="s">
        <v>12</v>
      </c>
      <c r="AB96" s="3">
        <f>T96-HLOOKUP(X96,Feuil1!$C$1:$BL$10,2,FALSE)</f>
        <v>-12</v>
      </c>
      <c r="AC96" s="3">
        <f>T96-HLOOKUP(X96,Feuil1!$C$1:$BL$10,3,FALSE)</f>
        <v>-22</v>
      </c>
      <c r="AD96" s="3">
        <f>T96-HLOOKUP(X96,Feuil1!$C$1:$BL$10,4,FALSE)</f>
        <v>-37</v>
      </c>
      <c r="AE96" s="3">
        <f>T96-HLOOKUP(X96,Feuil1!$C$1:$BL$10,5,FALSE)</f>
        <v>-47</v>
      </c>
      <c r="AF96" s="3">
        <f>T96-HLOOKUP(X96,Feuil1!$C$1:$BL$10,6,FALSE)</f>
        <v>-57</v>
      </c>
      <c r="AG96" s="3">
        <f>T96-HLOOKUP(X96,Feuil1!$C$1:$BL$10,7,FALSE)</f>
        <v>-72</v>
      </c>
      <c r="AH96" s="3">
        <f>T96-HLOOKUP(X96,Feuil1!$C$1:$BL$10,8,FALSE)</f>
        <v>-87</v>
      </c>
      <c r="AI96" s="3">
        <f>T96-HLOOKUP(X96,Feuil1!$C$1:$BL$10,9,FALSE)</f>
        <v>-102</v>
      </c>
      <c r="AJ96" s="3">
        <f>T96-HLOOKUP(X96,Feuil1!$C$1:$BL$10,10,FALSE)</f>
        <v>-942</v>
      </c>
      <c r="AK96" s="5"/>
      <c r="AL96" s="5"/>
      <c r="AM96" s="5"/>
      <c r="AN96" s="5"/>
      <c r="AO96" s="5"/>
      <c r="AP96" s="5"/>
      <c r="AQ96" s="5" t="str">
        <f t="shared" si="54"/>
        <v xml:space="preserve">DEB </v>
      </c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</row>
    <row r="97" spans="1:55" s="13" customFormat="1" ht="15" hidden="1" customHeight="1" thickBot="1" x14ac:dyDescent="0.25">
      <c r="A97" s="89"/>
      <c r="B97" s="90"/>
      <c r="C97" s="91"/>
      <c r="D97" s="92"/>
      <c r="E97" s="93"/>
      <c r="F97" s="94"/>
      <c r="G97" s="94"/>
      <c r="H97" s="95"/>
      <c r="I97" s="96"/>
      <c r="J97" s="91"/>
      <c r="K97" s="97"/>
      <c r="L97" s="98"/>
      <c r="M97" s="98"/>
      <c r="N97" s="98"/>
      <c r="O97" s="99"/>
      <c r="P97" s="98"/>
      <c r="Q97" s="98"/>
      <c r="R97" s="98"/>
      <c r="S97" s="99"/>
      <c r="T97" s="100"/>
      <c r="U97" s="101"/>
      <c r="V97" s="102"/>
      <c r="W97" s="103"/>
      <c r="X97" s="104"/>
      <c r="Y97" s="105"/>
      <c r="Z97" s="45"/>
      <c r="AA97" s="45" t="s">
        <v>12</v>
      </c>
      <c r="AB97" s="3" t="e">
        <f>T97-HLOOKUP(X97,Feuil1!$C$1:$BL$10,2,FALSE)</f>
        <v>#N/A</v>
      </c>
      <c r="AC97" s="3" t="e">
        <f>T97-HLOOKUP(X97,Feuil1!$C$1:$BL$10,3,FALSE)</f>
        <v>#N/A</v>
      </c>
      <c r="AD97" s="3" t="e">
        <f>T97-HLOOKUP(X97,Feuil1!$C$1:$BL$10,4,FALSE)</f>
        <v>#N/A</v>
      </c>
      <c r="AE97" s="3" t="e">
        <f>T97-HLOOKUP(X97,Feuil1!$C$1:$BL$10,5,FALSE)</f>
        <v>#N/A</v>
      </c>
      <c r="AF97" s="3" t="e">
        <f>T97-HLOOKUP(X97,Feuil1!$C$1:$BL$10,6,FALSE)</f>
        <v>#N/A</v>
      </c>
      <c r="AG97" s="3" t="e">
        <f>T97-HLOOKUP(X97,Feuil1!$C$1:$BL$10,7,FALSE)</f>
        <v>#N/A</v>
      </c>
      <c r="AH97" s="3" t="e">
        <f>T97-HLOOKUP(X97,Feuil1!$C$1:$BL$10,8,FALSE)</f>
        <v>#N/A</v>
      </c>
      <c r="AI97" s="3" t="e">
        <f>T97-HLOOKUP(X97,Feuil1!$C$1:$BL$10,9,FALSE)</f>
        <v>#N/A</v>
      </c>
      <c r="AJ97" s="3" t="e">
        <f>T97-HLOOKUP(X97,Feuil1!$C$1:$BL$10,10,FALSE)</f>
        <v>#N/A</v>
      </c>
      <c r="AK97" s="5"/>
      <c r="AL97" s="5"/>
      <c r="AM97" s="5"/>
      <c r="AN97" s="5"/>
      <c r="AO97" s="5"/>
      <c r="AP97" s="5"/>
      <c r="AQ97" s="5" t="e">
        <f t="shared" ref="AQ97" si="55">IF(AJ97&gt;=0,$AJ$1,IF(AI97&gt;=0,$AI$1,IF(AH97&gt;=0,$AH$1,IF(AG97&gt;=0,$AG$1,IF(AF97&gt;=0,$AF$1,IF(AE97&gt;=0,$AE$1,IF(AD97&gt;=0,$AD$1,IF(AC97&gt;=0,$AC$1,$AB$1))))))))</f>
        <v>#N/A</v>
      </c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</row>
    <row r="98" spans="1:55" hidden="1" x14ac:dyDescent="0.2"/>
    <row r="99" spans="1:55" hidden="1" x14ac:dyDescent="0.2"/>
    <row r="100" spans="1:55" hidden="1" x14ac:dyDescent="0.2"/>
    <row r="101" spans="1:55" hidden="1" x14ac:dyDescent="0.2"/>
    <row r="102" spans="1:55" hidden="1" x14ac:dyDescent="0.2"/>
    <row r="103" spans="1:55" hidden="1" x14ac:dyDescent="0.2"/>
    <row r="104" spans="1:55" hidden="1" x14ac:dyDescent="0.2"/>
    <row r="105" spans="1:55" hidden="1" x14ac:dyDescent="0.2"/>
    <row r="106" spans="1:55" hidden="1" x14ac:dyDescent="0.2"/>
    <row r="107" spans="1:55" hidden="1" x14ac:dyDescent="0.2"/>
    <row r="108" spans="1:55" hidden="1" x14ac:dyDescent="0.2"/>
    <row r="109" spans="1:55" hidden="1" x14ac:dyDescent="0.2"/>
    <row r="110" spans="1:55" hidden="1" x14ac:dyDescent="0.2"/>
    <row r="111" spans="1:55" hidden="1" x14ac:dyDescent="0.2"/>
    <row r="112" spans="1:55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spans="28:51" hidden="1" x14ac:dyDescent="0.2"/>
    <row r="530" spans="28:51" hidden="1" x14ac:dyDescent="0.2"/>
    <row r="531" spans="28:51" hidden="1" x14ac:dyDescent="0.2"/>
    <row r="532" spans="28:51" hidden="1" x14ac:dyDescent="0.2"/>
    <row r="533" spans="28:51" hidden="1" x14ac:dyDescent="0.2"/>
    <row r="534" spans="28:51" hidden="1" x14ac:dyDescent="0.2">
      <c r="AB534" s="15" t="s">
        <v>30</v>
      </c>
      <c r="AC534" s="15" t="s">
        <v>31</v>
      </c>
      <c r="AD534" s="15" t="s">
        <v>32</v>
      </c>
      <c r="AE534" s="15" t="s">
        <v>33</v>
      </c>
      <c r="AF534" s="15" t="s">
        <v>34</v>
      </c>
      <c r="AG534" s="15"/>
      <c r="AH534" s="15" t="s">
        <v>27</v>
      </c>
      <c r="AI534" s="15" t="s">
        <v>28</v>
      </c>
      <c r="AJ534" s="15" t="s">
        <v>29</v>
      </c>
      <c r="AK534" s="15" t="s">
        <v>30</v>
      </c>
      <c r="AL534" s="15" t="s">
        <v>31</v>
      </c>
      <c r="AM534" s="15" t="s">
        <v>32</v>
      </c>
      <c r="AN534" s="15" t="s">
        <v>33</v>
      </c>
      <c r="AO534" s="15" t="s">
        <v>34</v>
      </c>
      <c r="AP534" s="15"/>
      <c r="AQ534" s="15" t="s">
        <v>35</v>
      </c>
      <c r="AR534" s="15" t="s">
        <v>36</v>
      </c>
      <c r="AS534" s="15" t="s">
        <v>37</v>
      </c>
      <c r="AT534" s="15" t="s">
        <v>38</v>
      </c>
      <c r="AU534" s="15" t="s">
        <v>39</v>
      </c>
      <c r="AV534" s="15" t="s">
        <v>40</v>
      </c>
      <c r="AW534" s="15" t="s">
        <v>41</v>
      </c>
      <c r="AX534" s="15" t="s">
        <v>42</v>
      </c>
      <c r="AY534" s="15"/>
    </row>
    <row r="535" spans="28:51" hidden="1" x14ac:dyDescent="0.2">
      <c r="AB535" s="16">
        <v>145</v>
      </c>
      <c r="AC535" s="16">
        <v>160</v>
      </c>
      <c r="AD535" s="16">
        <v>170</v>
      </c>
      <c r="AE535" s="16">
        <v>180</v>
      </c>
      <c r="AF535" s="16">
        <v>190</v>
      </c>
      <c r="AG535" s="16"/>
      <c r="AH535" s="16">
        <v>100</v>
      </c>
      <c r="AI535" s="16">
        <v>115</v>
      </c>
      <c r="AJ535" s="16">
        <v>130</v>
      </c>
      <c r="AK535" s="16">
        <v>145</v>
      </c>
      <c r="AL535" s="16">
        <v>160</v>
      </c>
      <c r="AM535" s="16">
        <v>170</v>
      </c>
      <c r="AN535" s="16">
        <v>180</v>
      </c>
      <c r="AO535" s="16">
        <v>190</v>
      </c>
      <c r="AP535" s="16"/>
      <c r="AQ535" s="16">
        <v>115</v>
      </c>
      <c r="AR535" s="16">
        <v>135</v>
      </c>
      <c r="AS535" s="16">
        <v>150</v>
      </c>
      <c r="AT535" s="16">
        <v>165</v>
      </c>
      <c r="AU535" s="16">
        <v>180</v>
      </c>
      <c r="AV535" s="16">
        <v>190</v>
      </c>
      <c r="AW535" s="16">
        <v>200</v>
      </c>
      <c r="AX535" s="16">
        <v>210</v>
      </c>
      <c r="AY535" s="16"/>
    </row>
    <row r="536" spans="28:51" hidden="1" x14ac:dyDescent="0.2">
      <c r="AB536" s="16">
        <v>165</v>
      </c>
      <c r="AC536" s="16">
        <v>180</v>
      </c>
      <c r="AD536" s="16">
        <v>190</v>
      </c>
      <c r="AE536" s="16">
        <v>200</v>
      </c>
      <c r="AF536" s="16">
        <v>210</v>
      </c>
      <c r="AG536" s="16"/>
      <c r="AH536" s="16">
        <v>115</v>
      </c>
      <c r="AI536" s="16">
        <v>135</v>
      </c>
      <c r="AJ536" s="16">
        <v>150</v>
      </c>
      <c r="AK536" s="16">
        <v>165</v>
      </c>
      <c r="AL536" s="16">
        <v>180</v>
      </c>
      <c r="AM536" s="16">
        <v>190</v>
      </c>
      <c r="AN536" s="16">
        <v>200</v>
      </c>
      <c r="AO536" s="16">
        <v>210</v>
      </c>
      <c r="AP536" s="16"/>
      <c r="AQ536" s="16">
        <v>130</v>
      </c>
      <c r="AR536" s="16">
        <v>150</v>
      </c>
      <c r="AS536" s="16">
        <v>165</v>
      </c>
      <c r="AT536" s="16">
        <v>185</v>
      </c>
      <c r="AU536" s="16">
        <v>200</v>
      </c>
      <c r="AV536" s="16">
        <v>210</v>
      </c>
      <c r="AW536" s="16">
        <v>220</v>
      </c>
      <c r="AX536" s="16">
        <v>230</v>
      </c>
      <c r="AY536" s="16"/>
    </row>
    <row r="537" spans="28:51" hidden="1" x14ac:dyDescent="0.2">
      <c r="AB537" s="16">
        <v>185</v>
      </c>
      <c r="AC537" s="16">
        <v>200</v>
      </c>
      <c r="AD537" s="16">
        <v>210</v>
      </c>
      <c r="AE537" s="16">
        <v>220</v>
      </c>
      <c r="AF537" s="16">
        <v>230</v>
      </c>
      <c r="AG537" s="16"/>
      <c r="AH537" s="16">
        <v>130</v>
      </c>
      <c r="AI537" s="16">
        <v>150</v>
      </c>
      <c r="AJ537" s="16">
        <v>165</v>
      </c>
      <c r="AK537" s="16">
        <v>185</v>
      </c>
      <c r="AL537" s="16">
        <v>200</v>
      </c>
      <c r="AM537" s="16">
        <v>210</v>
      </c>
      <c r="AN537" s="16">
        <v>220</v>
      </c>
      <c r="AO537" s="16">
        <v>230</v>
      </c>
      <c r="AP537" s="16"/>
      <c r="AQ537" s="16">
        <v>145</v>
      </c>
      <c r="AR537" s="16">
        <v>165</v>
      </c>
      <c r="AS537" s="16">
        <v>180</v>
      </c>
      <c r="AT537" s="16">
        <v>200</v>
      </c>
      <c r="AU537" s="16">
        <v>220</v>
      </c>
      <c r="AV537" s="16">
        <v>230</v>
      </c>
      <c r="AW537" s="16">
        <v>240</v>
      </c>
      <c r="AX537" s="16">
        <v>250</v>
      </c>
      <c r="AY537" s="16"/>
    </row>
    <row r="538" spans="28:51" hidden="1" x14ac:dyDescent="0.2">
      <c r="AB538" s="16">
        <v>200</v>
      </c>
      <c r="AC538" s="16">
        <v>220</v>
      </c>
      <c r="AD538" s="16">
        <v>230</v>
      </c>
      <c r="AE538" s="16">
        <v>240</v>
      </c>
      <c r="AF538" s="16">
        <v>250</v>
      </c>
      <c r="AG538" s="16"/>
      <c r="AH538" s="16">
        <v>145</v>
      </c>
      <c r="AI538" s="16">
        <v>165</v>
      </c>
      <c r="AJ538" s="16">
        <v>180</v>
      </c>
      <c r="AK538" s="16">
        <v>200</v>
      </c>
      <c r="AL538" s="16">
        <v>220</v>
      </c>
      <c r="AM538" s="16">
        <v>230</v>
      </c>
      <c r="AN538" s="16">
        <v>240</v>
      </c>
      <c r="AO538" s="16">
        <v>250</v>
      </c>
      <c r="AP538" s="16"/>
      <c r="AQ538" s="16">
        <v>175</v>
      </c>
      <c r="AR538" s="16">
        <v>195</v>
      </c>
      <c r="AS538" s="16">
        <v>215</v>
      </c>
      <c r="AT538" s="16">
        <v>235</v>
      </c>
      <c r="AU538" s="16">
        <v>250</v>
      </c>
      <c r="AV538" s="16">
        <v>260</v>
      </c>
      <c r="AW538" s="16">
        <v>275</v>
      </c>
      <c r="AX538" s="16">
        <v>280</v>
      </c>
      <c r="AY538" s="16"/>
    </row>
    <row r="539" spans="28:51" hidden="1" x14ac:dyDescent="0.2">
      <c r="AB539" s="16">
        <v>235</v>
      </c>
      <c r="AC539" s="16">
        <v>250</v>
      </c>
      <c r="AD539" s="16">
        <v>260</v>
      </c>
      <c r="AE539" s="16">
        <v>275</v>
      </c>
      <c r="AF539" s="16">
        <v>280</v>
      </c>
      <c r="AG539" s="16"/>
      <c r="AH539" s="16">
        <v>175</v>
      </c>
      <c r="AI539" s="16">
        <v>195</v>
      </c>
      <c r="AJ539" s="16">
        <v>215</v>
      </c>
      <c r="AK539" s="16">
        <v>235</v>
      </c>
      <c r="AL539" s="16">
        <v>250</v>
      </c>
      <c r="AM539" s="16">
        <v>260</v>
      </c>
      <c r="AN539" s="16">
        <v>275</v>
      </c>
      <c r="AO539" s="16">
        <v>280</v>
      </c>
      <c r="AP539" s="16"/>
      <c r="AQ539" s="16">
        <v>210</v>
      </c>
      <c r="AR539" s="16">
        <v>230</v>
      </c>
      <c r="AS539" s="16">
        <v>250</v>
      </c>
      <c r="AT539" s="16">
        <v>270</v>
      </c>
      <c r="AU539" s="16">
        <v>290</v>
      </c>
      <c r="AV539" s="16">
        <v>300</v>
      </c>
      <c r="AW539" s="16">
        <v>310</v>
      </c>
      <c r="AX539" s="16">
        <v>325</v>
      </c>
      <c r="AY539" s="16"/>
    </row>
    <row r="540" spans="28:51" hidden="1" x14ac:dyDescent="0.2">
      <c r="AB540" s="16">
        <v>270</v>
      </c>
      <c r="AC540" s="16">
        <v>290</v>
      </c>
      <c r="AD540" s="16">
        <v>300</v>
      </c>
      <c r="AE540" s="16">
        <v>310</v>
      </c>
      <c r="AF540" s="16">
        <v>325</v>
      </c>
      <c r="AG540" s="16"/>
      <c r="AH540" s="16">
        <v>210</v>
      </c>
      <c r="AI540" s="16">
        <v>230</v>
      </c>
      <c r="AJ540" s="16">
        <v>250</v>
      </c>
      <c r="AK540" s="16">
        <v>270</v>
      </c>
      <c r="AL540" s="16">
        <v>290</v>
      </c>
      <c r="AM540" s="16">
        <v>300</v>
      </c>
      <c r="AN540" s="16">
        <v>310</v>
      </c>
      <c r="AO540" s="16">
        <v>325</v>
      </c>
      <c r="AP540" s="16"/>
      <c r="AQ540" s="16">
        <v>230</v>
      </c>
      <c r="AR540" s="16">
        <v>255</v>
      </c>
      <c r="AS540" s="16">
        <v>275</v>
      </c>
      <c r="AT540" s="16">
        <v>300</v>
      </c>
      <c r="AU540" s="16">
        <v>315</v>
      </c>
      <c r="AV540" s="16">
        <v>335</v>
      </c>
      <c r="AW540" s="16">
        <v>345</v>
      </c>
      <c r="AX540" s="16">
        <v>355</v>
      </c>
      <c r="AY540" s="16"/>
    </row>
    <row r="541" spans="28:51" hidden="1" x14ac:dyDescent="0.2">
      <c r="AB541" s="16">
        <v>320</v>
      </c>
      <c r="AC541" s="16">
        <v>335</v>
      </c>
      <c r="AD541" s="16">
        <v>355</v>
      </c>
      <c r="AE541" s="16">
        <v>370</v>
      </c>
      <c r="AF541" s="16">
        <v>380</v>
      </c>
      <c r="AG541" s="16"/>
      <c r="AH541" s="16">
        <v>245</v>
      </c>
      <c r="AI541" s="16">
        <v>270</v>
      </c>
      <c r="AJ541" s="16">
        <v>295</v>
      </c>
      <c r="AK541" s="16">
        <v>320</v>
      </c>
      <c r="AL541" s="16">
        <v>335</v>
      </c>
      <c r="AM541" s="16">
        <v>355</v>
      </c>
      <c r="AN541" s="16">
        <v>370</v>
      </c>
      <c r="AO541" s="16">
        <v>380</v>
      </c>
      <c r="AP541" s="16"/>
      <c r="AQ541" s="16">
        <v>245</v>
      </c>
      <c r="AR541" s="16">
        <v>270</v>
      </c>
      <c r="AS541" s="16">
        <v>295</v>
      </c>
      <c r="AT541" s="16">
        <v>320</v>
      </c>
      <c r="AU541" s="16">
        <v>335</v>
      </c>
      <c r="AV541" s="16">
        <v>355</v>
      </c>
      <c r="AW541" s="16">
        <v>370</v>
      </c>
      <c r="AX541" s="16">
        <v>380</v>
      </c>
      <c r="AY541" s="16"/>
    </row>
    <row r="542" spans="28:51" hidden="1" x14ac:dyDescent="0.2"/>
    <row r="543" spans="28:51" hidden="1" x14ac:dyDescent="0.2"/>
    <row r="544" spans="28:51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  <row r="604" hidden="1" x14ac:dyDescent="0.2"/>
    <row r="605" hidden="1" x14ac:dyDescent="0.2"/>
    <row r="606" hidden="1" x14ac:dyDescent="0.2"/>
    <row r="607" hidden="1" x14ac:dyDescent="0.2"/>
    <row r="608" hidden="1" x14ac:dyDescent="0.2"/>
    <row r="609" hidden="1" x14ac:dyDescent="0.2"/>
    <row r="610" hidden="1" x14ac:dyDescent="0.2"/>
    <row r="611" hidden="1" x14ac:dyDescent="0.2"/>
    <row r="612" hidden="1" x14ac:dyDescent="0.2"/>
    <row r="613" hidden="1" x14ac:dyDescent="0.2"/>
    <row r="614" hidden="1" x14ac:dyDescent="0.2"/>
    <row r="615" hidden="1" x14ac:dyDescent="0.2"/>
    <row r="616" hidden="1" x14ac:dyDescent="0.2"/>
    <row r="617" hidden="1" x14ac:dyDescent="0.2"/>
    <row r="618" hidden="1" x14ac:dyDescent="0.2"/>
    <row r="619" hidden="1" x14ac:dyDescent="0.2"/>
    <row r="620" hidden="1" x14ac:dyDescent="0.2"/>
    <row r="621" hidden="1" x14ac:dyDescent="0.2"/>
    <row r="622" hidden="1" x14ac:dyDescent="0.2"/>
    <row r="623" hidden="1" x14ac:dyDescent="0.2"/>
    <row r="624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  <row r="660" hidden="1" x14ac:dyDescent="0.2"/>
    <row r="661" hidden="1" x14ac:dyDescent="0.2"/>
    <row r="662" hidden="1" x14ac:dyDescent="0.2"/>
    <row r="663" hidden="1" x14ac:dyDescent="0.2"/>
    <row r="664" hidden="1" x14ac:dyDescent="0.2"/>
    <row r="665" hidden="1" x14ac:dyDescent="0.2"/>
    <row r="666" hidden="1" x14ac:dyDescent="0.2"/>
    <row r="667" hidden="1" x14ac:dyDescent="0.2"/>
    <row r="668" hidden="1" x14ac:dyDescent="0.2"/>
    <row r="669" hidden="1" x14ac:dyDescent="0.2"/>
    <row r="670" hidden="1" x14ac:dyDescent="0.2"/>
    <row r="671" hidden="1" x14ac:dyDescent="0.2"/>
    <row r="672" hidden="1" x14ac:dyDescent="0.2"/>
    <row r="673" hidden="1" x14ac:dyDescent="0.2"/>
    <row r="674" hidden="1" x14ac:dyDescent="0.2"/>
    <row r="675" hidden="1" x14ac:dyDescent="0.2"/>
    <row r="676" hidden="1" x14ac:dyDescent="0.2"/>
    <row r="677" hidden="1" x14ac:dyDescent="0.2"/>
    <row r="678" hidden="1" x14ac:dyDescent="0.2"/>
    <row r="679" hidden="1" x14ac:dyDescent="0.2"/>
    <row r="680" hidden="1" x14ac:dyDescent="0.2"/>
    <row r="681" hidden="1" x14ac:dyDescent="0.2"/>
    <row r="682" hidden="1" x14ac:dyDescent="0.2"/>
    <row r="683" hidden="1" x14ac:dyDescent="0.2"/>
    <row r="684" hidden="1" x14ac:dyDescent="0.2"/>
    <row r="685" hidden="1" x14ac:dyDescent="0.2"/>
    <row r="686" hidden="1" x14ac:dyDescent="0.2"/>
    <row r="687" hidden="1" x14ac:dyDescent="0.2"/>
    <row r="688" hidden="1" x14ac:dyDescent="0.2"/>
    <row r="689" hidden="1" x14ac:dyDescent="0.2"/>
    <row r="690" hidden="1" x14ac:dyDescent="0.2"/>
    <row r="691" hidden="1" x14ac:dyDescent="0.2"/>
    <row r="692" hidden="1" x14ac:dyDescent="0.2"/>
    <row r="693" hidden="1" x14ac:dyDescent="0.2"/>
    <row r="694" hidden="1" x14ac:dyDescent="0.2"/>
    <row r="695" hidden="1" x14ac:dyDescent="0.2"/>
    <row r="696" hidden="1" x14ac:dyDescent="0.2"/>
    <row r="697" hidden="1" x14ac:dyDescent="0.2"/>
    <row r="698" hidden="1" x14ac:dyDescent="0.2"/>
    <row r="699" hidden="1" x14ac:dyDescent="0.2"/>
    <row r="700" hidden="1" x14ac:dyDescent="0.2"/>
    <row r="701" hidden="1" x14ac:dyDescent="0.2"/>
    <row r="702" hidden="1" x14ac:dyDescent="0.2"/>
    <row r="703" hidden="1" x14ac:dyDescent="0.2"/>
    <row r="704" hidden="1" x14ac:dyDescent="0.2"/>
    <row r="705" hidden="1" x14ac:dyDescent="0.2"/>
    <row r="706" hidden="1" x14ac:dyDescent="0.2"/>
    <row r="707" hidden="1" x14ac:dyDescent="0.2"/>
    <row r="708" hidden="1" x14ac:dyDescent="0.2"/>
    <row r="709" hidden="1" x14ac:dyDescent="0.2"/>
    <row r="710" hidden="1" x14ac:dyDescent="0.2"/>
    <row r="711" hidden="1" x14ac:dyDescent="0.2"/>
    <row r="712" hidden="1" x14ac:dyDescent="0.2"/>
    <row r="713" hidden="1" x14ac:dyDescent="0.2"/>
    <row r="714" hidden="1" x14ac:dyDescent="0.2"/>
    <row r="715" hidden="1" x14ac:dyDescent="0.2"/>
    <row r="716" hidden="1" x14ac:dyDescent="0.2"/>
    <row r="717" hidden="1" x14ac:dyDescent="0.2"/>
    <row r="718" hidden="1" x14ac:dyDescent="0.2"/>
    <row r="719" hidden="1" x14ac:dyDescent="0.2"/>
    <row r="720" hidden="1" x14ac:dyDescent="0.2"/>
    <row r="721" hidden="1" x14ac:dyDescent="0.2"/>
    <row r="722" hidden="1" x14ac:dyDescent="0.2"/>
    <row r="723" hidden="1" x14ac:dyDescent="0.2"/>
    <row r="724" hidden="1" x14ac:dyDescent="0.2"/>
    <row r="725" hidden="1" x14ac:dyDescent="0.2"/>
    <row r="726" hidden="1" x14ac:dyDescent="0.2"/>
    <row r="727" hidden="1" x14ac:dyDescent="0.2"/>
    <row r="728" hidden="1" x14ac:dyDescent="0.2"/>
    <row r="729" hidden="1" x14ac:dyDescent="0.2"/>
    <row r="730" hidden="1" x14ac:dyDescent="0.2"/>
    <row r="731" hidden="1" x14ac:dyDescent="0.2"/>
    <row r="732" hidden="1" x14ac:dyDescent="0.2"/>
    <row r="733" hidden="1" x14ac:dyDescent="0.2"/>
    <row r="734" hidden="1" x14ac:dyDescent="0.2"/>
    <row r="735" hidden="1" x14ac:dyDescent="0.2"/>
    <row r="736" hidden="1" x14ac:dyDescent="0.2"/>
    <row r="737" hidden="1" x14ac:dyDescent="0.2"/>
    <row r="738" hidden="1" x14ac:dyDescent="0.2"/>
    <row r="739" hidden="1" x14ac:dyDescent="0.2"/>
    <row r="740" hidden="1" x14ac:dyDescent="0.2"/>
    <row r="741" hidden="1" x14ac:dyDescent="0.2"/>
    <row r="742" hidden="1" x14ac:dyDescent="0.2"/>
    <row r="743" hidden="1" x14ac:dyDescent="0.2"/>
    <row r="744" hidden="1" x14ac:dyDescent="0.2"/>
    <row r="745" hidden="1" x14ac:dyDescent="0.2"/>
    <row r="746" hidden="1" x14ac:dyDescent="0.2"/>
    <row r="747" hidden="1" x14ac:dyDescent="0.2"/>
    <row r="748" hidden="1" x14ac:dyDescent="0.2"/>
    <row r="749" hidden="1" x14ac:dyDescent="0.2"/>
    <row r="750" hidden="1" x14ac:dyDescent="0.2"/>
    <row r="751" hidden="1" x14ac:dyDescent="0.2"/>
    <row r="752" hidden="1" x14ac:dyDescent="0.2"/>
    <row r="753" hidden="1" x14ac:dyDescent="0.2"/>
    <row r="754" hidden="1" x14ac:dyDescent="0.2"/>
    <row r="755" hidden="1" x14ac:dyDescent="0.2"/>
    <row r="756" hidden="1" x14ac:dyDescent="0.2"/>
    <row r="757" hidden="1" x14ac:dyDescent="0.2"/>
    <row r="758" hidden="1" x14ac:dyDescent="0.2"/>
    <row r="759" hidden="1" x14ac:dyDescent="0.2"/>
    <row r="760" hidden="1" x14ac:dyDescent="0.2"/>
    <row r="761" hidden="1" x14ac:dyDescent="0.2"/>
    <row r="762" hidden="1" x14ac:dyDescent="0.2"/>
    <row r="763" hidden="1" x14ac:dyDescent="0.2"/>
    <row r="764" hidden="1" x14ac:dyDescent="0.2"/>
    <row r="765" hidden="1" x14ac:dyDescent="0.2"/>
    <row r="766" hidden="1" x14ac:dyDescent="0.2"/>
    <row r="767" hidden="1" x14ac:dyDescent="0.2"/>
    <row r="768" hidden="1" x14ac:dyDescent="0.2"/>
    <row r="769" hidden="1" x14ac:dyDescent="0.2"/>
    <row r="770" hidden="1" x14ac:dyDescent="0.2"/>
    <row r="771" hidden="1" x14ac:dyDescent="0.2"/>
    <row r="772" hidden="1" x14ac:dyDescent="0.2"/>
    <row r="773" hidden="1" x14ac:dyDescent="0.2"/>
    <row r="774" hidden="1" x14ac:dyDescent="0.2"/>
    <row r="775" hidden="1" x14ac:dyDescent="0.2"/>
    <row r="776" hidden="1" x14ac:dyDescent="0.2"/>
    <row r="777" hidden="1" x14ac:dyDescent="0.2"/>
    <row r="778" hidden="1" x14ac:dyDescent="0.2"/>
    <row r="779" hidden="1" x14ac:dyDescent="0.2"/>
    <row r="780" hidden="1" x14ac:dyDescent="0.2"/>
    <row r="781" hidden="1" x14ac:dyDescent="0.2"/>
    <row r="782" hidden="1" x14ac:dyDescent="0.2"/>
    <row r="783" hidden="1" x14ac:dyDescent="0.2"/>
    <row r="784" hidden="1" x14ac:dyDescent="0.2"/>
    <row r="785" hidden="1" x14ac:dyDescent="0.2"/>
    <row r="786" hidden="1" x14ac:dyDescent="0.2"/>
    <row r="787" hidden="1" x14ac:dyDescent="0.2"/>
    <row r="788" hidden="1" x14ac:dyDescent="0.2"/>
    <row r="789" hidden="1" x14ac:dyDescent="0.2"/>
    <row r="790" hidden="1" x14ac:dyDescent="0.2"/>
    <row r="791" hidden="1" x14ac:dyDescent="0.2"/>
    <row r="792" hidden="1" x14ac:dyDescent="0.2"/>
    <row r="793" hidden="1" x14ac:dyDescent="0.2"/>
    <row r="794" hidden="1" x14ac:dyDescent="0.2"/>
    <row r="795" hidden="1" x14ac:dyDescent="0.2"/>
    <row r="796" hidden="1" x14ac:dyDescent="0.2"/>
    <row r="797" hidden="1" x14ac:dyDescent="0.2"/>
    <row r="798" hidden="1" x14ac:dyDescent="0.2"/>
    <row r="799" hidden="1" x14ac:dyDescent="0.2"/>
    <row r="800" hidden="1" x14ac:dyDescent="0.2"/>
    <row r="801" hidden="1" x14ac:dyDescent="0.2"/>
    <row r="802" hidden="1" x14ac:dyDescent="0.2"/>
    <row r="803" hidden="1" x14ac:dyDescent="0.2"/>
    <row r="804" hidden="1" x14ac:dyDescent="0.2"/>
    <row r="805" hidden="1" x14ac:dyDescent="0.2"/>
    <row r="806" hidden="1" x14ac:dyDescent="0.2"/>
    <row r="807" hidden="1" x14ac:dyDescent="0.2"/>
    <row r="808" hidden="1" x14ac:dyDescent="0.2"/>
    <row r="809" hidden="1" x14ac:dyDescent="0.2"/>
    <row r="810" hidden="1" x14ac:dyDescent="0.2"/>
    <row r="811" hidden="1" x14ac:dyDescent="0.2"/>
    <row r="812" hidden="1" x14ac:dyDescent="0.2"/>
    <row r="813" hidden="1" x14ac:dyDescent="0.2"/>
    <row r="814" hidden="1" x14ac:dyDescent="0.2"/>
    <row r="815" hidden="1" x14ac:dyDescent="0.2"/>
    <row r="816" hidden="1" x14ac:dyDescent="0.2"/>
    <row r="817" hidden="1" x14ac:dyDescent="0.2"/>
    <row r="818" hidden="1" x14ac:dyDescent="0.2"/>
    <row r="819" hidden="1" x14ac:dyDescent="0.2"/>
    <row r="820" hidden="1" x14ac:dyDescent="0.2"/>
    <row r="821" hidden="1" x14ac:dyDescent="0.2"/>
    <row r="822" hidden="1" x14ac:dyDescent="0.2"/>
    <row r="823" hidden="1" x14ac:dyDescent="0.2"/>
    <row r="824" hidden="1" x14ac:dyDescent="0.2"/>
    <row r="825" hidden="1" x14ac:dyDescent="0.2"/>
    <row r="826" hidden="1" x14ac:dyDescent="0.2"/>
    <row r="827" hidden="1" x14ac:dyDescent="0.2"/>
    <row r="828" hidden="1" x14ac:dyDescent="0.2"/>
    <row r="829" hidden="1" x14ac:dyDescent="0.2"/>
    <row r="830" hidden="1" x14ac:dyDescent="0.2"/>
    <row r="831" hidden="1" x14ac:dyDescent="0.2"/>
    <row r="832" hidden="1" x14ac:dyDescent="0.2"/>
    <row r="833" hidden="1" x14ac:dyDescent="0.2"/>
    <row r="834" hidden="1" x14ac:dyDescent="0.2"/>
    <row r="835" hidden="1" x14ac:dyDescent="0.2"/>
    <row r="836" hidden="1" x14ac:dyDescent="0.2"/>
    <row r="837" hidden="1" x14ac:dyDescent="0.2"/>
    <row r="838" hidden="1" x14ac:dyDescent="0.2"/>
    <row r="839" hidden="1" x14ac:dyDescent="0.2"/>
    <row r="840" hidden="1" x14ac:dyDescent="0.2"/>
    <row r="841" hidden="1" x14ac:dyDescent="0.2"/>
    <row r="842" hidden="1" x14ac:dyDescent="0.2"/>
    <row r="843" hidden="1" x14ac:dyDescent="0.2"/>
    <row r="844" hidden="1" x14ac:dyDescent="0.2"/>
    <row r="845" hidden="1" x14ac:dyDescent="0.2"/>
    <row r="846" hidden="1" x14ac:dyDescent="0.2"/>
    <row r="847" hidden="1" x14ac:dyDescent="0.2"/>
    <row r="848" hidden="1" x14ac:dyDescent="0.2"/>
    <row r="849" hidden="1" x14ac:dyDescent="0.2"/>
    <row r="850" hidden="1" x14ac:dyDescent="0.2"/>
    <row r="851" hidden="1" x14ac:dyDescent="0.2"/>
    <row r="852" hidden="1" x14ac:dyDescent="0.2"/>
    <row r="853" hidden="1" x14ac:dyDescent="0.2"/>
    <row r="854" hidden="1" x14ac:dyDescent="0.2"/>
    <row r="855" hidden="1" x14ac:dyDescent="0.2"/>
    <row r="856" hidden="1" x14ac:dyDescent="0.2"/>
    <row r="857" hidden="1" x14ac:dyDescent="0.2"/>
    <row r="858" hidden="1" x14ac:dyDescent="0.2"/>
    <row r="859" hidden="1" x14ac:dyDescent="0.2"/>
    <row r="860" hidden="1" x14ac:dyDescent="0.2"/>
    <row r="861" hidden="1" x14ac:dyDescent="0.2"/>
    <row r="862" hidden="1" x14ac:dyDescent="0.2"/>
    <row r="863" hidden="1" x14ac:dyDescent="0.2"/>
    <row r="864" hidden="1" x14ac:dyDescent="0.2"/>
    <row r="865" hidden="1" x14ac:dyDescent="0.2"/>
    <row r="866" hidden="1" x14ac:dyDescent="0.2"/>
    <row r="867" hidden="1" x14ac:dyDescent="0.2"/>
    <row r="868" hidden="1" x14ac:dyDescent="0.2"/>
    <row r="869" hidden="1" x14ac:dyDescent="0.2"/>
    <row r="870" hidden="1" x14ac:dyDescent="0.2"/>
    <row r="871" hidden="1" x14ac:dyDescent="0.2"/>
    <row r="872" hidden="1" x14ac:dyDescent="0.2"/>
    <row r="873" hidden="1" x14ac:dyDescent="0.2"/>
    <row r="874" hidden="1" x14ac:dyDescent="0.2"/>
    <row r="875" hidden="1" x14ac:dyDescent="0.2"/>
    <row r="876" hidden="1" x14ac:dyDescent="0.2"/>
    <row r="877" hidden="1" x14ac:dyDescent="0.2"/>
    <row r="878" hidden="1" x14ac:dyDescent="0.2"/>
    <row r="879" hidden="1" x14ac:dyDescent="0.2"/>
    <row r="880" hidden="1" x14ac:dyDescent="0.2"/>
    <row r="881" hidden="1" x14ac:dyDescent="0.2"/>
    <row r="882" hidden="1" x14ac:dyDescent="0.2"/>
    <row r="883" hidden="1" x14ac:dyDescent="0.2"/>
    <row r="884" hidden="1" x14ac:dyDescent="0.2"/>
    <row r="885" hidden="1" x14ac:dyDescent="0.2"/>
    <row r="886" hidden="1" x14ac:dyDescent="0.2"/>
    <row r="887" hidden="1" x14ac:dyDescent="0.2"/>
    <row r="888" hidden="1" x14ac:dyDescent="0.2"/>
    <row r="889" hidden="1" x14ac:dyDescent="0.2"/>
    <row r="890" hidden="1" x14ac:dyDescent="0.2"/>
    <row r="891" hidden="1" x14ac:dyDescent="0.2"/>
    <row r="892" hidden="1" x14ac:dyDescent="0.2"/>
    <row r="893" hidden="1" x14ac:dyDescent="0.2"/>
    <row r="894" hidden="1" x14ac:dyDescent="0.2"/>
    <row r="895" hidden="1" x14ac:dyDescent="0.2"/>
    <row r="896" hidden="1" x14ac:dyDescent="0.2"/>
    <row r="897" hidden="1" x14ac:dyDescent="0.2"/>
    <row r="898" hidden="1" x14ac:dyDescent="0.2"/>
    <row r="899" hidden="1" x14ac:dyDescent="0.2"/>
    <row r="900" hidden="1" x14ac:dyDescent="0.2"/>
    <row r="901" hidden="1" x14ac:dyDescent="0.2"/>
    <row r="902" hidden="1" x14ac:dyDescent="0.2"/>
    <row r="903" hidden="1" x14ac:dyDescent="0.2"/>
    <row r="904" hidden="1" x14ac:dyDescent="0.2"/>
    <row r="905" hidden="1" x14ac:dyDescent="0.2"/>
    <row r="906" hidden="1" x14ac:dyDescent="0.2"/>
    <row r="907" hidden="1" x14ac:dyDescent="0.2"/>
    <row r="908" hidden="1" x14ac:dyDescent="0.2"/>
    <row r="909" hidden="1" x14ac:dyDescent="0.2"/>
    <row r="910" hidden="1" x14ac:dyDescent="0.2"/>
    <row r="911" hidden="1" x14ac:dyDescent="0.2"/>
    <row r="912" hidden="1" x14ac:dyDescent="0.2"/>
    <row r="913" hidden="1" x14ac:dyDescent="0.2"/>
    <row r="914" hidden="1" x14ac:dyDescent="0.2"/>
    <row r="915" hidden="1" x14ac:dyDescent="0.2"/>
    <row r="916" hidden="1" x14ac:dyDescent="0.2"/>
    <row r="917" hidden="1" x14ac:dyDescent="0.2"/>
    <row r="918" hidden="1" x14ac:dyDescent="0.2"/>
    <row r="919" hidden="1" x14ac:dyDescent="0.2"/>
    <row r="920" hidden="1" x14ac:dyDescent="0.2"/>
    <row r="921" hidden="1" x14ac:dyDescent="0.2"/>
    <row r="922" hidden="1" x14ac:dyDescent="0.2"/>
    <row r="923" hidden="1" x14ac:dyDescent="0.2"/>
    <row r="924" hidden="1" x14ac:dyDescent="0.2"/>
    <row r="925" hidden="1" x14ac:dyDescent="0.2"/>
    <row r="926" hidden="1" x14ac:dyDescent="0.2"/>
    <row r="927" hidden="1" x14ac:dyDescent="0.2"/>
    <row r="928" hidden="1" x14ac:dyDescent="0.2"/>
    <row r="929" hidden="1" x14ac:dyDescent="0.2"/>
    <row r="930" hidden="1" x14ac:dyDescent="0.2"/>
    <row r="931" hidden="1" x14ac:dyDescent="0.2"/>
    <row r="932" hidden="1" x14ac:dyDescent="0.2"/>
    <row r="933" hidden="1" x14ac:dyDescent="0.2"/>
    <row r="934" hidden="1" x14ac:dyDescent="0.2"/>
    <row r="935" hidden="1" x14ac:dyDescent="0.2"/>
    <row r="936" hidden="1" x14ac:dyDescent="0.2"/>
    <row r="937" hidden="1" x14ac:dyDescent="0.2"/>
    <row r="938" hidden="1" x14ac:dyDescent="0.2"/>
    <row r="939" hidden="1" x14ac:dyDescent="0.2"/>
    <row r="940" hidden="1" x14ac:dyDescent="0.2"/>
    <row r="941" hidden="1" x14ac:dyDescent="0.2"/>
    <row r="942" hidden="1" x14ac:dyDescent="0.2"/>
    <row r="943" hidden="1" x14ac:dyDescent="0.2"/>
    <row r="944" hidden="1" x14ac:dyDescent="0.2"/>
    <row r="945" hidden="1" x14ac:dyDescent="0.2"/>
    <row r="946" hidden="1" x14ac:dyDescent="0.2"/>
    <row r="947" hidden="1" x14ac:dyDescent="0.2"/>
    <row r="948" hidden="1" x14ac:dyDescent="0.2"/>
    <row r="949" hidden="1" x14ac:dyDescent="0.2"/>
    <row r="950" hidden="1" x14ac:dyDescent="0.2"/>
    <row r="951" hidden="1" x14ac:dyDescent="0.2"/>
    <row r="952" hidden="1" x14ac:dyDescent="0.2"/>
    <row r="953" hidden="1" x14ac:dyDescent="0.2"/>
    <row r="954" hidden="1" x14ac:dyDescent="0.2"/>
    <row r="955" hidden="1" x14ac:dyDescent="0.2"/>
    <row r="956" hidden="1" x14ac:dyDescent="0.2"/>
    <row r="957" hidden="1" x14ac:dyDescent="0.2"/>
    <row r="958" hidden="1" x14ac:dyDescent="0.2"/>
    <row r="959" hidden="1" x14ac:dyDescent="0.2"/>
    <row r="960" hidden="1" x14ac:dyDescent="0.2"/>
    <row r="961" hidden="1" x14ac:dyDescent="0.2"/>
    <row r="962" hidden="1" x14ac:dyDescent="0.2"/>
    <row r="963" hidden="1" x14ac:dyDescent="0.2"/>
    <row r="964" hidden="1" x14ac:dyDescent="0.2"/>
    <row r="965" hidden="1" x14ac:dyDescent="0.2"/>
    <row r="966" hidden="1" x14ac:dyDescent="0.2"/>
    <row r="967" hidden="1" x14ac:dyDescent="0.2"/>
    <row r="968" hidden="1" x14ac:dyDescent="0.2"/>
    <row r="969" hidden="1" x14ac:dyDescent="0.2"/>
    <row r="970" hidden="1" x14ac:dyDescent="0.2"/>
    <row r="971" hidden="1" x14ac:dyDescent="0.2"/>
    <row r="972" hidden="1" x14ac:dyDescent="0.2"/>
    <row r="973" hidden="1" x14ac:dyDescent="0.2"/>
    <row r="974" hidden="1" x14ac:dyDescent="0.2"/>
    <row r="975" hidden="1" x14ac:dyDescent="0.2"/>
    <row r="976" hidden="1" x14ac:dyDescent="0.2"/>
    <row r="977" hidden="1" x14ac:dyDescent="0.2"/>
    <row r="978" hidden="1" x14ac:dyDescent="0.2"/>
    <row r="979" hidden="1" x14ac:dyDescent="0.2"/>
    <row r="980" hidden="1" x14ac:dyDescent="0.2"/>
    <row r="981" hidden="1" x14ac:dyDescent="0.2"/>
    <row r="982" hidden="1" x14ac:dyDescent="0.2"/>
    <row r="983" hidden="1" x14ac:dyDescent="0.2"/>
    <row r="984" hidden="1" x14ac:dyDescent="0.2"/>
    <row r="985" hidden="1" x14ac:dyDescent="0.2"/>
    <row r="986" hidden="1" x14ac:dyDescent="0.2"/>
    <row r="987" hidden="1" x14ac:dyDescent="0.2"/>
    <row r="988" hidden="1" x14ac:dyDescent="0.2"/>
    <row r="989" hidden="1" x14ac:dyDescent="0.2"/>
    <row r="990" hidden="1" x14ac:dyDescent="0.2"/>
    <row r="991" hidden="1" x14ac:dyDescent="0.2"/>
    <row r="992" hidden="1" x14ac:dyDescent="0.2"/>
    <row r="993" hidden="1" x14ac:dyDescent="0.2"/>
    <row r="994" hidden="1" x14ac:dyDescent="0.2"/>
    <row r="995" hidden="1" x14ac:dyDescent="0.2"/>
    <row r="996" hidden="1" x14ac:dyDescent="0.2"/>
    <row r="997" hidden="1" x14ac:dyDescent="0.2"/>
    <row r="998" hidden="1" x14ac:dyDescent="0.2"/>
    <row r="999" hidden="1" x14ac:dyDescent="0.2"/>
    <row r="1000" hidden="1" x14ac:dyDescent="0.2"/>
    <row r="1001" hidden="1" x14ac:dyDescent="0.2"/>
    <row r="1002" hidden="1" x14ac:dyDescent="0.2"/>
    <row r="1003" hidden="1" x14ac:dyDescent="0.2"/>
    <row r="1004" hidden="1" x14ac:dyDescent="0.2"/>
    <row r="1005" hidden="1" x14ac:dyDescent="0.2"/>
    <row r="1006" hidden="1" x14ac:dyDescent="0.2"/>
    <row r="1007" hidden="1" x14ac:dyDescent="0.2"/>
    <row r="1008" hidden="1" x14ac:dyDescent="0.2"/>
    <row r="1009" hidden="1" x14ac:dyDescent="0.2"/>
    <row r="1010" hidden="1" x14ac:dyDescent="0.2"/>
    <row r="1011" hidden="1" x14ac:dyDescent="0.2"/>
    <row r="1012" hidden="1" x14ac:dyDescent="0.2"/>
    <row r="1013" hidden="1" x14ac:dyDescent="0.2"/>
    <row r="1014" hidden="1" x14ac:dyDescent="0.2"/>
    <row r="1015" hidden="1" x14ac:dyDescent="0.2"/>
    <row r="1016" hidden="1" x14ac:dyDescent="0.2"/>
    <row r="1017" hidden="1" x14ac:dyDescent="0.2"/>
    <row r="1018" hidden="1" x14ac:dyDescent="0.2"/>
    <row r="1019" hidden="1" x14ac:dyDescent="0.2"/>
    <row r="1020" hidden="1" x14ac:dyDescent="0.2"/>
    <row r="1021" hidden="1" x14ac:dyDescent="0.2"/>
    <row r="1022" hidden="1" x14ac:dyDescent="0.2"/>
    <row r="1023" hidden="1" x14ac:dyDescent="0.2"/>
    <row r="1024" hidden="1" x14ac:dyDescent="0.2"/>
    <row r="1025" hidden="1" x14ac:dyDescent="0.2"/>
    <row r="1026" hidden="1" x14ac:dyDescent="0.2"/>
    <row r="1027" hidden="1" x14ac:dyDescent="0.2"/>
    <row r="1028" hidden="1" x14ac:dyDescent="0.2"/>
    <row r="1029" hidden="1" x14ac:dyDescent="0.2"/>
    <row r="1030" hidden="1" x14ac:dyDescent="0.2"/>
    <row r="1031" hidden="1" x14ac:dyDescent="0.2"/>
    <row r="1032" hidden="1" x14ac:dyDescent="0.2"/>
    <row r="1033" hidden="1" x14ac:dyDescent="0.2"/>
    <row r="1034" hidden="1" x14ac:dyDescent="0.2"/>
    <row r="1035" hidden="1" x14ac:dyDescent="0.2"/>
    <row r="1036" hidden="1" x14ac:dyDescent="0.2"/>
    <row r="1037" hidden="1" x14ac:dyDescent="0.2"/>
    <row r="1038" hidden="1" x14ac:dyDescent="0.2"/>
    <row r="1039" hidden="1" x14ac:dyDescent="0.2"/>
    <row r="1040" hidden="1" x14ac:dyDescent="0.2"/>
    <row r="1041" hidden="1" x14ac:dyDescent="0.2"/>
    <row r="1042" hidden="1" x14ac:dyDescent="0.2"/>
    <row r="1043" hidden="1" x14ac:dyDescent="0.2"/>
    <row r="1044" hidden="1" x14ac:dyDescent="0.2"/>
    <row r="1045" hidden="1" x14ac:dyDescent="0.2"/>
    <row r="1046" hidden="1" x14ac:dyDescent="0.2"/>
    <row r="1047" hidden="1" x14ac:dyDescent="0.2"/>
    <row r="1048" hidden="1" x14ac:dyDescent="0.2"/>
    <row r="1049" hidden="1" x14ac:dyDescent="0.2"/>
    <row r="1050" hidden="1" x14ac:dyDescent="0.2"/>
    <row r="1051" hidden="1" x14ac:dyDescent="0.2"/>
    <row r="1052" hidden="1" x14ac:dyDescent="0.2"/>
    <row r="1053" hidden="1" x14ac:dyDescent="0.2"/>
    <row r="1054" hidden="1" x14ac:dyDescent="0.2"/>
    <row r="1055" hidden="1" x14ac:dyDescent="0.2"/>
    <row r="1056" hidden="1" x14ac:dyDescent="0.2"/>
    <row r="1057" hidden="1" x14ac:dyDescent="0.2"/>
    <row r="1058" hidden="1" x14ac:dyDescent="0.2"/>
    <row r="1059" hidden="1" x14ac:dyDescent="0.2"/>
    <row r="1060" hidden="1" x14ac:dyDescent="0.2"/>
    <row r="1061" hidden="1" x14ac:dyDescent="0.2"/>
    <row r="1062" hidden="1" x14ac:dyDescent="0.2"/>
    <row r="1063" hidden="1" x14ac:dyDescent="0.2"/>
    <row r="1064" hidden="1" x14ac:dyDescent="0.2"/>
    <row r="1065" hidden="1" x14ac:dyDescent="0.2"/>
    <row r="1066" hidden="1" x14ac:dyDescent="0.2"/>
    <row r="1067" hidden="1" x14ac:dyDescent="0.2"/>
    <row r="1068" hidden="1" x14ac:dyDescent="0.2"/>
    <row r="1069" hidden="1" x14ac:dyDescent="0.2"/>
    <row r="1070" hidden="1" x14ac:dyDescent="0.2"/>
    <row r="1071" hidden="1" x14ac:dyDescent="0.2"/>
    <row r="1072" hidden="1" x14ac:dyDescent="0.2"/>
    <row r="1073" hidden="1" x14ac:dyDescent="0.2"/>
    <row r="1074" hidden="1" x14ac:dyDescent="0.2"/>
    <row r="1075" hidden="1" x14ac:dyDescent="0.2"/>
    <row r="1076" hidden="1" x14ac:dyDescent="0.2"/>
    <row r="1077" hidden="1" x14ac:dyDescent="0.2"/>
    <row r="1078" hidden="1" x14ac:dyDescent="0.2"/>
    <row r="1079" hidden="1" x14ac:dyDescent="0.2"/>
    <row r="1080" hidden="1" x14ac:dyDescent="0.2"/>
    <row r="1081" hidden="1" x14ac:dyDescent="0.2"/>
    <row r="1082" hidden="1" x14ac:dyDescent="0.2"/>
    <row r="1083" hidden="1" x14ac:dyDescent="0.2"/>
    <row r="1084" hidden="1" x14ac:dyDescent="0.2"/>
    <row r="1085" hidden="1" x14ac:dyDescent="0.2"/>
    <row r="1086" hidden="1" x14ac:dyDescent="0.2"/>
    <row r="1087" hidden="1" x14ac:dyDescent="0.2"/>
    <row r="1088" hidden="1" x14ac:dyDescent="0.2"/>
    <row r="1089" hidden="1" x14ac:dyDescent="0.2"/>
    <row r="1090" hidden="1" x14ac:dyDescent="0.2"/>
    <row r="1091" hidden="1" x14ac:dyDescent="0.2"/>
    <row r="1092" hidden="1" x14ac:dyDescent="0.2"/>
    <row r="1093" hidden="1" x14ac:dyDescent="0.2"/>
    <row r="1094" hidden="1" x14ac:dyDescent="0.2"/>
    <row r="1095" hidden="1" x14ac:dyDescent="0.2"/>
    <row r="1096" hidden="1" x14ac:dyDescent="0.2"/>
    <row r="1097" hidden="1" x14ac:dyDescent="0.2"/>
    <row r="1098" hidden="1" x14ac:dyDescent="0.2"/>
    <row r="1099" hidden="1" x14ac:dyDescent="0.2"/>
    <row r="1100" hidden="1" x14ac:dyDescent="0.2"/>
    <row r="1101" hidden="1" x14ac:dyDescent="0.2"/>
    <row r="1102" hidden="1" x14ac:dyDescent="0.2"/>
    <row r="1103" hidden="1" x14ac:dyDescent="0.2"/>
    <row r="1104" hidden="1" x14ac:dyDescent="0.2"/>
    <row r="1105" hidden="1" x14ac:dyDescent="0.2"/>
    <row r="1106" hidden="1" x14ac:dyDescent="0.2"/>
    <row r="1107" hidden="1" x14ac:dyDescent="0.2"/>
    <row r="1108" hidden="1" x14ac:dyDescent="0.2"/>
    <row r="1109" hidden="1" x14ac:dyDescent="0.2"/>
    <row r="1110" hidden="1" x14ac:dyDescent="0.2"/>
    <row r="1111" hidden="1" x14ac:dyDescent="0.2"/>
    <row r="1112" hidden="1" x14ac:dyDescent="0.2"/>
    <row r="1113" hidden="1" x14ac:dyDescent="0.2"/>
    <row r="1114" hidden="1" x14ac:dyDescent="0.2"/>
    <row r="1115" hidden="1" x14ac:dyDescent="0.2"/>
    <row r="1116" hidden="1" x14ac:dyDescent="0.2"/>
    <row r="1117" hidden="1" x14ac:dyDescent="0.2"/>
    <row r="1118" hidden="1" x14ac:dyDescent="0.2"/>
    <row r="1119" hidden="1" x14ac:dyDescent="0.2"/>
    <row r="1120" hidden="1" x14ac:dyDescent="0.2"/>
    <row r="1121" hidden="1" x14ac:dyDescent="0.2"/>
    <row r="1122" hidden="1" x14ac:dyDescent="0.2"/>
    <row r="1123" hidden="1" x14ac:dyDescent="0.2"/>
    <row r="1124" hidden="1" x14ac:dyDescent="0.2"/>
    <row r="1125" hidden="1" x14ac:dyDescent="0.2"/>
    <row r="1126" hidden="1" x14ac:dyDescent="0.2"/>
    <row r="1127" hidden="1" x14ac:dyDescent="0.2"/>
    <row r="1128" hidden="1" x14ac:dyDescent="0.2"/>
    <row r="1129" hidden="1" x14ac:dyDescent="0.2"/>
    <row r="1130" hidden="1" x14ac:dyDescent="0.2"/>
    <row r="1131" hidden="1" x14ac:dyDescent="0.2"/>
    <row r="1132" hidden="1" x14ac:dyDescent="0.2"/>
    <row r="1133" hidden="1" x14ac:dyDescent="0.2"/>
    <row r="1134" hidden="1" x14ac:dyDescent="0.2"/>
    <row r="1135" hidden="1" x14ac:dyDescent="0.2"/>
    <row r="1136" hidden="1" x14ac:dyDescent="0.2"/>
    <row r="1137" hidden="1" x14ac:dyDescent="0.2"/>
    <row r="1138" hidden="1" x14ac:dyDescent="0.2"/>
    <row r="1139" hidden="1" x14ac:dyDescent="0.2"/>
    <row r="1140" hidden="1" x14ac:dyDescent="0.2"/>
    <row r="1141" hidden="1" x14ac:dyDescent="0.2"/>
    <row r="1142" hidden="1" x14ac:dyDescent="0.2"/>
    <row r="1143" hidden="1" x14ac:dyDescent="0.2"/>
    <row r="1144" hidden="1" x14ac:dyDescent="0.2"/>
    <row r="1145" hidden="1" x14ac:dyDescent="0.2"/>
    <row r="1146" hidden="1" x14ac:dyDescent="0.2"/>
    <row r="1147" hidden="1" x14ac:dyDescent="0.2"/>
    <row r="1148" hidden="1" x14ac:dyDescent="0.2"/>
    <row r="1149" hidden="1" x14ac:dyDescent="0.2"/>
    <row r="1150" hidden="1" x14ac:dyDescent="0.2"/>
    <row r="1151" hidden="1" x14ac:dyDescent="0.2"/>
    <row r="1152" hidden="1" x14ac:dyDescent="0.2"/>
    <row r="1153" hidden="1" x14ac:dyDescent="0.2"/>
    <row r="1154" hidden="1" x14ac:dyDescent="0.2"/>
    <row r="1155" hidden="1" x14ac:dyDescent="0.2"/>
    <row r="1156" hidden="1" x14ac:dyDescent="0.2"/>
    <row r="1157" hidden="1" x14ac:dyDescent="0.2"/>
    <row r="1158" hidden="1" x14ac:dyDescent="0.2"/>
    <row r="1159" hidden="1" x14ac:dyDescent="0.2"/>
    <row r="1160" hidden="1" x14ac:dyDescent="0.2"/>
    <row r="1161" hidden="1" x14ac:dyDescent="0.2"/>
    <row r="1162" hidden="1" x14ac:dyDescent="0.2"/>
    <row r="1163" hidden="1" x14ac:dyDescent="0.2"/>
    <row r="1164" hidden="1" x14ac:dyDescent="0.2"/>
    <row r="1165" hidden="1" x14ac:dyDescent="0.2"/>
    <row r="1166" hidden="1" x14ac:dyDescent="0.2"/>
    <row r="1167" hidden="1" x14ac:dyDescent="0.2"/>
    <row r="1168" hidden="1" x14ac:dyDescent="0.2"/>
    <row r="1169" hidden="1" x14ac:dyDescent="0.2"/>
    <row r="1170" hidden="1" x14ac:dyDescent="0.2"/>
    <row r="1171" hidden="1" x14ac:dyDescent="0.2"/>
    <row r="1172" hidden="1" x14ac:dyDescent="0.2"/>
    <row r="1173" hidden="1" x14ac:dyDescent="0.2"/>
    <row r="1174" hidden="1" x14ac:dyDescent="0.2"/>
    <row r="1175" hidden="1" x14ac:dyDescent="0.2"/>
    <row r="1176" hidden="1" x14ac:dyDescent="0.2"/>
    <row r="1177" hidden="1" x14ac:dyDescent="0.2"/>
    <row r="1178" hidden="1" x14ac:dyDescent="0.2"/>
    <row r="1179" hidden="1" x14ac:dyDescent="0.2"/>
    <row r="1180" hidden="1" x14ac:dyDescent="0.2"/>
    <row r="1181" hidden="1" x14ac:dyDescent="0.2"/>
    <row r="1182" hidden="1" x14ac:dyDescent="0.2"/>
    <row r="1183" hidden="1" x14ac:dyDescent="0.2"/>
    <row r="1184" hidden="1" x14ac:dyDescent="0.2"/>
    <row r="1185" hidden="1" x14ac:dyDescent="0.2"/>
    <row r="1186" hidden="1" x14ac:dyDescent="0.2"/>
    <row r="1187" hidden="1" x14ac:dyDescent="0.2"/>
    <row r="1188" hidden="1" x14ac:dyDescent="0.2"/>
    <row r="1189" hidden="1" x14ac:dyDescent="0.2"/>
    <row r="1190" hidden="1" x14ac:dyDescent="0.2"/>
    <row r="1191" hidden="1" x14ac:dyDescent="0.2"/>
    <row r="1192" hidden="1" x14ac:dyDescent="0.2"/>
    <row r="1193" hidden="1" x14ac:dyDescent="0.2"/>
    <row r="1194" hidden="1" x14ac:dyDescent="0.2"/>
    <row r="1195" hidden="1" x14ac:dyDescent="0.2"/>
    <row r="1196" hidden="1" x14ac:dyDescent="0.2"/>
    <row r="1197" hidden="1" x14ac:dyDescent="0.2"/>
    <row r="1198" hidden="1" x14ac:dyDescent="0.2"/>
    <row r="1199" hidden="1" x14ac:dyDescent="0.2"/>
    <row r="1200" hidden="1" x14ac:dyDescent="0.2"/>
    <row r="1201" hidden="1" x14ac:dyDescent="0.2"/>
    <row r="1202" hidden="1" x14ac:dyDescent="0.2"/>
    <row r="1203" hidden="1" x14ac:dyDescent="0.2"/>
    <row r="1204" hidden="1" x14ac:dyDescent="0.2"/>
    <row r="1205" hidden="1" x14ac:dyDescent="0.2"/>
    <row r="1206" hidden="1" x14ac:dyDescent="0.2"/>
    <row r="1207" hidden="1" x14ac:dyDescent="0.2"/>
    <row r="1208" hidden="1" x14ac:dyDescent="0.2"/>
    <row r="1209" hidden="1" x14ac:dyDescent="0.2"/>
    <row r="1210" hidden="1" x14ac:dyDescent="0.2"/>
    <row r="1211" hidden="1" x14ac:dyDescent="0.2"/>
    <row r="1212" hidden="1" x14ac:dyDescent="0.2"/>
    <row r="1213" hidden="1" x14ac:dyDescent="0.2"/>
    <row r="1214" hidden="1" x14ac:dyDescent="0.2"/>
    <row r="1215" hidden="1" x14ac:dyDescent="0.2"/>
    <row r="1216" hidden="1" x14ac:dyDescent="0.2"/>
    <row r="1217" hidden="1" x14ac:dyDescent="0.2"/>
    <row r="1218" hidden="1" x14ac:dyDescent="0.2"/>
    <row r="1219" hidden="1" x14ac:dyDescent="0.2"/>
    <row r="1220" hidden="1" x14ac:dyDescent="0.2"/>
    <row r="1221" hidden="1" x14ac:dyDescent="0.2"/>
    <row r="1222" hidden="1" x14ac:dyDescent="0.2"/>
    <row r="1223" hidden="1" x14ac:dyDescent="0.2"/>
    <row r="1224" hidden="1" x14ac:dyDescent="0.2"/>
    <row r="1225" hidden="1" x14ac:dyDescent="0.2"/>
    <row r="1226" hidden="1" x14ac:dyDescent="0.2"/>
    <row r="1227" hidden="1" x14ac:dyDescent="0.2"/>
    <row r="1228" hidden="1" x14ac:dyDescent="0.2"/>
    <row r="1229" hidden="1" x14ac:dyDescent="0.2"/>
    <row r="1230" hidden="1" x14ac:dyDescent="0.2"/>
    <row r="1231" hidden="1" x14ac:dyDescent="0.2"/>
    <row r="1232" hidden="1" x14ac:dyDescent="0.2"/>
    <row r="1233" hidden="1" x14ac:dyDescent="0.2"/>
    <row r="1234" hidden="1" x14ac:dyDescent="0.2"/>
    <row r="1235" hidden="1" x14ac:dyDescent="0.2"/>
    <row r="1236" hidden="1" x14ac:dyDescent="0.2"/>
    <row r="1237" hidden="1" x14ac:dyDescent="0.2"/>
    <row r="1238" hidden="1" x14ac:dyDescent="0.2"/>
    <row r="1239" hidden="1" x14ac:dyDescent="0.2"/>
    <row r="1240" hidden="1" x14ac:dyDescent="0.2"/>
    <row r="1241" hidden="1" x14ac:dyDescent="0.2"/>
    <row r="1242" hidden="1" x14ac:dyDescent="0.2"/>
    <row r="1243" hidden="1" x14ac:dyDescent="0.2"/>
    <row r="1244" hidden="1" x14ac:dyDescent="0.2"/>
    <row r="1245" hidden="1" x14ac:dyDescent="0.2"/>
    <row r="1246" hidden="1" x14ac:dyDescent="0.2"/>
    <row r="1247" hidden="1" x14ac:dyDescent="0.2"/>
    <row r="1248" hidden="1" x14ac:dyDescent="0.2"/>
    <row r="1249" hidden="1" x14ac:dyDescent="0.2"/>
    <row r="1250" hidden="1" x14ac:dyDescent="0.2"/>
    <row r="1251" hidden="1" x14ac:dyDescent="0.2"/>
    <row r="1252" hidden="1" x14ac:dyDescent="0.2"/>
    <row r="1253" hidden="1" x14ac:dyDescent="0.2"/>
    <row r="1254" hidden="1" x14ac:dyDescent="0.2"/>
    <row r="1255" hidden="1" x14ac:dyDescent="0.2"/>
    <row r="1256" hidden="1" x14ac:dyDescent="0.2"/>
    <row r="1257" hidden="1" x14ac:dyDescent="0.2"/>
    <row r="1258" hidden="1" x14ac:dyDescent="0.2"/>
    <row r="1259" hidden="1" x14ac:dyDescent="0.2"/>
    <row r="1260" hidden="1" x14ac:dyDescent="0.2"/>
    <row r="1261" hidden="1" x14ac:dyDescent="0.2"/>
    <row r="1262" hidden="1" x14ac:dyDescent="0.2"/>
    <row r="1263" hidden="1" x14ac:dyDescent="0.2"/>
    <row r="1264" hidden="1" x14ac:dyDescent="0.2"/>
    <row r="1265" hidden="1" x14ac:dyDescent="0.2"/>
    <row r="1266" hidden="1" x14ac:dyDescent="0.2"/>
    <row r="1267" hidden="1" x14ac:dyDescent="0.2"/>
    <row r="1268" hidden="1" x14ac:dyDescent="0.2"/>
    <row r="1269" hidden="1" x14ac:dyDescent="0.2"/>
    <row r="1270" hidden="1" x14ac:dyDescent="0.2"/>
    <row r="1271" hidden="1" x14ac:dyDescent="0.2"/>
    <row r="1272" hidden="1" x14ac:dyDescent="0.2"/>
    <row r="1273" hidden="1" x14ac:dyDescent="0.2"/>
    <row r="1274" hidden="1" x14ac:dyDescent="0.2"/>
    <row r="1275" hidden="1" x14ac:dyDescent="0.2"/>
    <row r="1276" hidden="1" x14ac:dyDescent="0.2"/>
    <row r="1277" hidden="1" x14ac:dyDescent="0.2"/>
    <row r="1278" hidden="1" x14ac:dyDescent="0.2"/>
    <row r="1279" hidden="1" x14ac:dyDescent="0.2"/>
    <row r="1280" hidden="1" x14ac:dyDescent="0.2"/>
    <row r="1281" hidden="1" x14ac:dyDescent="0.2"/>
    <row r="1282" hidden="1" x14ac:dyDescent="0.2"/>
    <row r="1283" hidden="1" x14ac:dyDescent="0.2"/>
    <row r="1284" hidden="1" x14ac:dyDescent="0.2"/>
    <row r="1285" hidden="1" x14ac:dyDescent="0.2"/>
    <row r="1286" hidden="1" x14ac:dyDescent="0.2"/>
    <row r="1287" hidden="1" x14ac:dyDescent="0.2"/>
    <row r="1288" hidden="1" x14ac:dyDescent="0.2"/>
    <row r="1289" hidden="1" x14ac:dyDescent="0.2"/>
    <row r="1290" hidden="1" x14ac:dyDescent="0.2"/>
    <row r="1291" hidden="1" x14ac:dyDescent="0.2"/>
    <row r="1292" hidden="1" x14ac:dyDescent="0.2"/>
    <row r="1293" hidden="1" x14ac:dyDescent="0.2"/>
    <row r="1294" hidden="1" x14ac:dyDescent="0.2"/>
    <row r="1295" hidden="1" x14ac:dyDescent="0.2"/>
    <row r="1296" hidden="1" x14ac:dyDescent="0.2"/>
    <row r="1297" hidden="1" x14ac:dyDescent="0.2"/>
    <row r="1298" hidden="1" x14ac:dyDescent="0.2"/>
    <row r="1299" hidden="1" x14ac:dyDescent="0.2"/>
    <row r="1300" hidden="1" x14ac:dyDescent="0.2"/>
    <row r="1301" hidden="1" x14ac:dyDescent="0.2"/>
    <row r="1302" hidden="1" x14ac:dyDescent="0.2"/>
    <row r="1303" hidden="1" x14ac:dyDescent="0.2"/>
    <row r="1304" hidden="1" x14ac:dyDescent="0.2"/>
    <row r="1305" hidden="1" x14ac:dyDescent="0.2"/>
    <row r="1306" hidden="1" x14ac:dyDescent="0.2"/>
    <row r="1307" hidden="1" x14ac:dyDescent="0.2"/>
    <row r="1308" hidden="1" x14ac:dyDescent="0.2"/>
    <row r="1309" hidden="1" x14ac:dyDescent="0.2"/>
    <row r="1310" hidden="1" x14ac:dyDescent="0.2"/>
    <row r="1311" hidden="1" x14ac:dyDescent="0.2"/>
    <row r="1312" hidden="1" x14ac:dyDescent="0.2"/>
    <row r="1313" hidden="1" x14ac:dyDescent="0.2"/>
    <row r="1314" hidden="1" x14ac:dyDescent="0.2"/>
    <row r="1315" hidden="1" x14ac:dyDescent="0.2"/>
    <row r="1316" hidden="1" x14ac:dyDescent="0.2"/>
    <row r="1317" hidden="1" x14ac:dyDescent="0.2"/>
    <row r="1318" hidden="1" x14ac:dyDescent="0.2"/>
    <row r="1319" hidden="1" x14ac:dyDescent="0.2"/>
    <row r="1320" hidden="1" x14ac:dyDescent="0.2"/>
    <row r="1321" hidden="1" x14ac:dyDescent="0.2"/>
    <row r="1322" hidden="1" x14ac:dyDescent="0.2"/>
    <row r="1323" hidden="1" x14ac:dyDescent="0.2"/>
    <row r="1324" hidden="1" x14ac:dyDescent="0.2"/>
    <row r="1325" hidden="1" x14ac:dyDescent="0.2"/>
    <row r="1326" hidden="1" x14ac:dyDescent="0.2"/>
    <row r="1327" hidden="1" x14ac:dyDescent="0.2"/>
    <row r="1328" hidden="1" x14ac:dyDescent="0.2"/>
    <row r="1329" hidden="1" x14ac:dyDescent="0.2"/>
    <row r="1330" hidden="1" x14ac:dyDescent="0.2"/>
    <row r="1331" hidden="1" x14ac:dyDescent="0.2"/>
    <row r="1332" hidden="1" x14ac:dyDescent="0.2"/>
    <row r="1333" hidden="1" x14ac:dyDescent="0.2"/>
    <row r="1334" hidden="1" x14ac:dyDescent="0.2"/>
    <row r="1335" hidden="1" x14ac:dyDescent="0.2"/>
    <row r="1336" hidden="1" x14ac:dyDescent="0.2"/>
    <row r="1337" hidden="1" x14ac:dyDescent="0.2"/>
    <row r="1338" hidden="1" x14ac:dyDescent="0.2"/>
    <row r="1339" hidden="1" x14ac:dyDescent="0.2"/>
    <row r="1340" hidden="1" x14ac:dyDescent="0.2"/>
    <row r="1341" hidden="1" x14ac:dyDescent="0.2"/>
    <row r="1342" hidden="1" x14ac:dyDescent="0.2"/>
    <row r="1343" hidden="1" x14ac:dyDescent="0.2"/>
    <row r="1344" hidden="1" x14ac:dyDescent="0.2"/>
    <row r="1345" hidden="1" x14ac:dyDescent="0.2"/>
    <row r="1346" hidden="1" x14ac:dyDescent="0.2"/>
    <row r="1347" hidden="1" x14ac:dyDescent="0.2"/>
    <row r="1348" hidden="1" x14ac:dyDescent="0.2"/>
    <row r="1349" hidden="1" x14ac:dyDescent="0.2"/>
    <row r="1350" hidden="1" x14ac:dyDescent="0.2"/>
    <row r="1351" hidden="1" x14ac:dyDescent="0.2"/>
    <row r="1352" hidden="1" x14ac:dyDescent="0.2"/>
    <row r="1353" hidden="1" x14ac:dyDescent="0.2"/>
    <row r="1354" hidden="1" x14ac:dyDescent="0.2"/>
    <row r="1355" hidden="1" x14ac:dyDescent="0.2"/>
    <row r="1356" hidden="1" x14ac:dyDescent="0.2"/>
    <row r="1357" hidden="1" x14ac:dyDescent="0.2"/>
    <row r="1358" hidden="1" x14ac:dyDescent="0.2"/>
    <row r="1359" hidden="1" x14ac:dyDescent="0.2"/>
    <row r="1360" hidden="1" x14ac:dyDescent="0.2"/>
    <row r="1361" hidden="1" x14ac:dyDescent="0.2"/>
    <row r="1362" hidden="1" x14ac:dyDescent="0.2"/>
    <row r="1363" hidden="1" x14ac:dyDescent="0.2"/>
    <row r="1364" hidden="1" x14ac:dyDescent="0.2"/>
    <row r="1365" hidden="1" x14ac:dyDescent="0.2"/>
    <row r="1366" hidden="1" x14ac:dyDescent="0.2"/>
    <row r="1367" hidden="1" x14ac:dyDescent="0.2"/>
    <row r="1368" hidden="1" x14ac:dyDescent="0.2"/>
    <row r="1369" hidden="1" x14ac:dyDescent="0.2"/>
    <row r="1370" hidden="1" x14ac:dyDescent="0.2"/>
    <row r="1371" hidden="1" x14ac:dyDescent="0.2"/>
    <row r="1372" hidden="1" x14ac:dyDescent="0.2"/>
    <row r="1373" hidden="1" x14ac:dyDescent="0.2"/>
    <row r="1374" hidden="1" x14ac:dyDescent="0.2"/>
    <row r="1375" hidden="1" x14ac:dyDescent="0.2"/>
    <row r="1376" hidden="1" x14ac:dyDescent="0.2"/>
    <row r="1377" hidden="1" x14ac:dyDescent="0.2"/>
    <row r="1378" hidden="1" x14ac:dyDescent="0.2"/>
    <row r="1379" hidden="1" x14ac:dyDescent="0.2"/>
    <row r="1380" hidden="1" x14ac:dyDescent="0.2"/>
    <row r="1381" hidden="1" x14ac:dyDescent="0.2"/>
    <row r="1382" hidden="1" x14ac:dyDescent="0.2"/>
    <row r="1383" hidden="1" x14ac:dyDescent="0.2"/>
    <row r="1384" hidden="1" x14ac:dyDescent="0.2"/>
    <row r="1385" hidden="1" x14ac:dyDescent="0.2"/>
    <row r="1386" hidden="1" x14ac:dyDescent="0.2"/>
    <row r="1387" hidden="1" x14ac:dyDescent="0.2"/>
    <row r="1388" hidden="1" x14ac:dyDescent="0.2"/>
    <row r="1389" hidden="1" x14ac:dyDescent="0.2"/>
    <row r="1390" hidden="1" x14ac:dyDescent="0.2"/>
    <row r="1391" hidden="1" x14ac:dyDescent="0.2"/>
    <row r="1392" hidden="1" x14ac:dyDescent="0.2"/>
    <row r="1393" hidden="1" x14ac:dyDescent="0.2"/>
    <row r="1394" hidden="1" x14ac:dyDescent="0.2"/>
    <row r="1395" hidden="1" x14ac:dyDescent="0.2"/>
    <row r="1396" hidden="1" x14ac:dyDescent="0.2"/>
    <row r="1397" hidden="1" x14ac:dyDescent="0.2"/>
    <row r="1398" hidden="1" x14ac:dyDescent="0.2"/>
    <row r="1399" hidden="1" x14ac:dyDescent="0.2"/>
    <row r="1400" hidden="1" x14ac:dyDescent="0.2"/>
    <row r="1401" hidden="1" x14ac:dyDescent="0.2"/>
    <row r="1402" hidden="1" x14ac:dyDescent="0.2"/>
    <row r="1403" hidden="1" x14ac:dyDescent="0.2"/>
    <row r="1404" hidden="1" x14ac:dyDescent="0.2"/>
    <row r="1405" hidden="1" x14ac:dyDescent="0.2"/>
    <row r="1406" hidden="1" x14ac:dyDescent="0.2"/>
    <row r="1407" hidden="1" x14ac:dyDescent="0.2"/>
    <row r="1408" hidden="1" x14ac:dyDescent="0.2"/>
    <row r="1409" hidden="1" x14ac:dyDescent="0.2"/>
    <row r="1410" hidden="1" x14ac:dyDescent="0.2"/>
    <row r="1411" hidden="1" x14ac:dyDescent="0.2"/>
    <row r="1412" hidden="1" x14ac:dyDescent="0.2"/>
    <row r="1413" hidden="1" x14ac:dyDescent="0.2"/>
    <row r="1414" hidden="1" x14ac:dyDescent="0.2"/>
    <row r="1415" hidden="1" x14ac:dyDescent="0.2"/>
    <row r="1416" hidden="1" x14ac:dyDescent="0.2"/>
    <row r="1417" hidden="1" x14ac:dyDescent="0.2"/>
    <row r="1418" hidden="1" x14ac:dyDescent="0.2"/>
    <row r="1419" hidden="1" x14ac:dyDescent="0.2"/>
    <row r="1420" hidden="1" x14ac:dyDescent="0.2"/>
    <row r="1421" hidden="1" x14ac:dyDescent="0.2"/>
    <row r="1422" hidden="1" x14ac:dyDescent="0.2"/>
    <row r="1423" hidden="1" x14ac:dyDescent="0.2"/>
    <row r="1424" hidden="1" x14ac:dyDescent="0.2"/>
    <row r="1425" hidden="1" x14ac:dyDescent="0.2"/>
    <row r="1426" hidden="1" x14ac:dyDescent="0.2"/>
    <row r="1427" hidden="1" x14ac:dyDescent="0.2"/>
    <row r="1428" hidden="1" x14ac:dyDescent="0.2"/>
    <row r="1429" hidden="1" x14ac:dyDescent="0.2"/>
    <row r="1430" hidden="1" x14ac:dyDescent="0.2"/>
    <row r="1431" hidden="1" x14ac:dyDescent="0.2"/>
    <row r="1432" hidden="1" x14ac:dyDescent="0.2"/>
    <row r="1433" hidden="1" x14ac:dyDescent="0.2"/>
    <row r="1434" hidden="1" x14ac:dyDescent="0.2"/>
    <row r="1435" hidden="1" x14ac:dyDescent="0.2"/>
    <row r="1436" hidden="1" x14ac:dyDescent="0.2"/>
    <row r="1437" hidden="1" x14ac:dyDescent="0.2"/>
    <row r="1438" hidden="1" x14ac:dyDescent="0.2"/>
    <row r="1439" hidden="1" x14ac:dyDescent="0.2"/>
    <row r="1440" hidden="1" x14ac:dyDescent="0.2"/>
    <row r="1441" hidden="1" x14ac:dyDescent="0.2"/>
    <row r="1442" hidden="1" x14ac:dyDescent="0.2"/>
    <row r="1443" hidden="1" x14ac:dyDescent="0.2"/>
    <row r="1444" hidden="1" x14ac:dyDescent="0.2"/>
    <row r="1445" hidden="1" x14ac:dyDescent="0.2"/>
    <row r="1446" hidden="1" x14ac:dyDescent="0.2"/>
    <row r="1447" hidden="1" x14ac:dyDescent="0.2"/>
    <row r="1448" hidden="1" x14ac:dyDescent="0.2"/>
    <row r="1449" hidden="1" x14ac:dyDescent="0.2"/>
    <row r="1450" hidden="1" x14ac:dyDescent="0.2"/>
    <row r="1451" hidden="1" x14ac:dyDescent="0.2"/>
    <row r="1452" hidden="1" x14ac:dyDescent="0.2"/>
    <row r="1453" hidden="1" x14ac:dyDescent="0.2"/>
    <row r="1454" hidden="1" x14ac:dyDescent="0.2"/>
    <row r="1455" hidden="1" x14ac:dyDescent="0.2"/>
    <row r="1456" hidden="1" x14ac:dyDescent="0.2"/>
    <row r="1457" hidden="1" x14ac:dyDescent="0.2"/>
    <row r="1458" hidden="1" x14ac:dyDescent="0.2"/>
    <row r="1459" hidden="1" x14ac:dyDescent="0.2"/>
    <row r="1460" hidden="1" x14ac:dyDescent="0.2"/>
    <row r="1461" hidden="1" x14ac:dyDescent="0.2"/>
    <row r="1462" hidden="1" x14ac:dyDescent="0.2"/>
    <row r="1463" hidden="1" x14ac:dyDescent="0.2"/>
    <row r="1464" hidden="1" x14ac:dyDescent="0.2"/>
    <row r="1465" hidden="1" x14ac:dyDescent="0.2"/>
    <row r="1466" hidden="1" x14ac:dyDescent="0.2"/>
    <row r="1467" hidden="1" x14ac:dyDescent="0.2"/>
    <row r="1468" hidden="1" x14ac:dyDescent="0.2"/>
    <row r="1469" hidden="1" x14ac:dyDescent="0.2"/>
    <row r="1470" hidden="1" x14ac:dyDescent="0.2"/>
    <row r="1471" hidden="1" x14ac:dyDescent="0.2"/>
    <row r="1472" hidden="1" x14ac:dyDescent="0.2"/>
    <row r="1473" hidden="1" x14ac:dyDescent="0.2"/>
    <row r="1474" hidden="1" x14ac:dyDescent="0.2"/>
    <row r="1475" hidden="1" x14ac:dyDescent="0.2"/>
    <row r="1476" hidden="1" x14ac:dyDescent="0.2"/>
    <row r="1477" hidden="1" x14ac:dyDescent="0.2"/>
    <row r="1478" hidden="1" x14ac:dyDescent="0.2"/>
    <row r="1479" hidden="1" x14ac:dyDescent="0.2"/>
    <row r="1480" hidden="1" x14ac:dyDescent="0.2"/>
    <row r="1481" hidden="1" x14ac:dyDescent="0.2"/>
    <row r="1482" hidden="1" x14ac:dyDescent="0.2"/>
    <row r="1483" hidden="1" x14ac:dyDescent="0.2"/>
    <row r="1484" hidden="1" x14ac:dyDescent="0.2"/>
    <row r="1485" hidden="1" x14ac:dyDescent="0.2"/>
    <row r="1486" hidden="1" x14ac:dyDescent="0.2"/>
    <row r="1487" hidden="1" x14ac:dyDescent="0.2"/>
    <row r="1488" hidden="1" x14ac:dyDescent="0.2"/>
    <row r="1489" hidden="1" x14ac:dyDescent="0.2"/>
    <row r="1490" hidden="1" x14ac:dyDescent="0.2"/>
    <row r="1491" hidden="1" x14ac:dyDescent="0.2"/>
    <row r="1492" hidden="1" x14ac:dyDescent="0.2"/>
    <row r="1493" hidden="1" x14ac:dyDescent="0.2"/>
    <row r="1494" hidden="1" x14ac:dyDescent="0.2"/>
    <row r="1495" hidden="1" x14ac:dyDescent="0.2"/>
    <row r="1496" hidden="1" x14ac:dyDescent="0.2"/>
    <row r="1497" hidden="1" x14ac:dyDescent="0.2"/>
    <row r="1498" hidden="1" x14ac:dyDescent="0.2"/>
    <row r="1499" hidden="1" x14ac:dyDescent="0.2"/>
    <row r="1500" hidden="1" x14ac:dyDescent="0.2"/>
    <row r="1501" hidden="1" x14ac:dyDescent="0.2"/>
    <row r="1502" hidden="1" x14ac:dyDescent="0.2"/>
    <row r="1503" hidden="1" x14ac:dyDescent="0.2"/>
    <row r="1504" hidden="1" x14ac:dyDescent="0.2"/>
    <row r="1505" hidden="1" x14ac:dyDescent="0.2"/>
    <row r="1506" hidden="1" x14ac:dyDescent="0.2"/>
    <row r="1507" hidden="1" x14ac:dyDescent="0.2"/>
    <row r="1508" hidden="1" x14ac:dyDescent="0.2"/>
    <row r="1509" hidden="1" x14ac:dyDescent="0.2"/>
    <row r="1510" hidden="1" x14ac:dyDescent="0.2"/>
    <row r="1511" hidden="1" x14ac:dyDescent="0.2"/>
    <row r="1512" hidden="1" x14ac:dyDescent="0.2"/>
    <row r="1513" hidden="1" x14ac:dyDescent="0.2"/>
    <row r="1514" hidden="1" x14ac:dyDescent="0.2"/>
    <row r="1515" hidden="1" x14ac:dyDescent="0.2"/>
    <row r="1516" hidden="1" x14ac:dyDescent="0.2"/>
    <row r="1517" hidden="1" x14ac:dyDescent="0.2"/>
    <row r="1518" hidden="1" x14ac:dyDescent="0.2"/>
    <row r="1519" hidden="1" x14ac:dyDescent="0.2"/>
    <row r="1520" hidden="1" x14ac:dyDescent="0.2"/>
    <row r="1521" hidden="1" x14ac:dyDescent="0.2"/>
    <row r="1522" hidden="1" x14ac:dyDescent="0.2"/>
    <row r="1523" hidden="1" x14ac:dyDescent="0.2"/>
    <row r="1524" hidden="1" x14ac:dyDescent="0.2"/>
    <row r="1525" hidden="1" x14ac:dyDescent="0.2"/>
    <row r="1526" hidden="1" x14ac:dyDescent="0.2"/>
    <row r="1527" hidden="1" x14ac:dyDescent="0.2"/>
    <row r="1528" hidden="1" x14ac:dyDescent="0.2"/>
    <row r="1529" hidden="1" x14ac:dyDescent="0.2"/>
    <row r="1530" hidden="1" x14ac:dyDescent="0.2"/>
    <row r="1531" hidden="1" x14ac:dyDescent="0.2"/>
    <row r="1532" hidden="1" x14ac:dyDescent="0.2"/>
    <row r="1533" hidden="1" x14ac:dyDescent="0.2"/>
    <row r="1534" hidden="1" x14ac:dyDescent="0.2"/>
    <row r="1535" hidden="1" x14ac:dyDescent="0.2"/>
    <row r="1536" hidden="1" x14ac:dyDescent="0.2"/>
    <row r="1537" hidden="1" x14ac:dyDescent="0.2"/>
    <row r="1538" hidden="1" x14ac:dyDescent="0.2"/>
    <row r="1539" hidden="1" x14ac:dyDescent="0.2"/>
    <row r="1540" hidden="1" x14ac:dyDescent="0.2"/>
    <row r="1541" hidden="1" x14ac:dyDescent="0.2"/>
    <row r="1542" hidden="1" x14ac:dyDescent="0.2"/>
    <row r="1543" hidden="1" x14ac:dyDescent="0.2"/>
    <row r="1544" hidden="1" x14ac:dyDescent="0.2"/>
    <row r="1545" hidden="1" x14ac:dyDescent="0.2"/>
    <row r="1546" hidden="1" x14ac:dyDescent="0.2"/>
    <row r="1547" hidden="1" x14ac:dyDescent="0.2"/>
    <row r="1548" hidden="1" x14ac:dyDescent="0.2"/>
    <row r="1549" hidden="1" x14ac:dyDescent="0.2"/>
    <row r="1550" hidden="1" x14ac:dyDescent="0.2"/>
    <row r="1551" hidden="1" x14ac:dyDescent="0.2"/>
    <row r="1552" hidden="1" x14ac:dyDescent="0.2"/>
    <row r="1553" hidden="1" x14ac:dyDescent="0.2"/>
    <row r="1554" hidden="1" x14ac:dyDescent="0.2"/>
    <row r="1555" hidden="1" x14ac:dyDescent="0.2"/>
    <row r="1556" hidden="1" x14ac:dyDescent="0.2"/>
    <row r="1557" hidden="1" x14ac:dyDescent="0.2"/>
    <row r="1558" hidden="1" x14ac:dyDescent="0.2"/>
    <row r="1559" hidden="1" x14ac:dyDescent="0.2"/>
    <row r="1560" hidden="1" x14ac:dyDescent="0.2"/>
    <row r="1561" hidden="1" x14ac:dyDescent="0.2"/>
    <row r="1562" hidden="1" x14ac:dyDescent="0.2"/>
    <row r="1563" hidden="1" x14ac:dyDescent="0.2"/>
    <row r="1564" hidden="1" x14ac:dyDescent="0.2"/>
    <row r="1565" hidden="1" x14ac:dyDescent="0.2"/>
    <row r="1566" hidden="1" x14ac:dyDescent="0.2"/>
    <row r="1567" hidden="1" x14ac:dyDescent="0.2"/>
    <row r="1568" hidden="1" x14ac:dyDescent="0.2"/>
    <row r="1569" hidden="1" x14ac:dyDescent="0.2"/>
    <row r="1570" hidden="1" x14ac:dyDescent="0.2"/>
    <row r="1571" hidden="1" x14ac:dyDescent="0.2"/>
    <row r="1572" hidden="1" x14ac:dyDescent="0.2"/>
    <row r="1573" hidden="1" x14ac:dyDescent="0.2"/>
    <row r="1574" hidden="1" x14ac:dyDescent="0.2"/>
    <row r="1575" hidden="1" x14ac:dyDescent="0.2"/>
    <row r="1576" hidden="1" x14ac:dyDescent="0.2"/>
    <row r="1577" hidden="1" x14ac:dyDescent="0.2"/>
    <row r="1578" hidden="1" x14ac:dyDescent="0.2"/>
    <row r="1579" hidden="1" x14ac:dyDescent="0.2"/>
    <row r="1580" hidden="1" x14ac:dyDescent="0.2"/>
    <row r="1581" hidden="1" x14ac:dyDescent="0.2"/>
    <row r="1582" hidden="1" x14ac:dyDescent="0.2"/>
    <row r="1583" hidden="1" x14ac:dyDescent="0.2"/>
    <row r="1584" hidden="1" x14ac:dyDescent="0.2"/>
    <row r="1585" hidden="1" x14ac:dyDescent="0.2"/>
    <row r="1586" hidden="1" x14ac:dyDescent="0.2"/>
    <row r="1587" hidden="1" x14ac:dyDescent="0.2"/>
    <row r="1588" hidden="1" x14ac:dyDescent="0.2"/>
    <row r="1589" hidden="1" x14ac:dyDescent="0.2"/>
    <row r="1590" hidden="1" x14ac:dyDescent="0.2"/>
    <row r="1591" hidden="1" x14ac:dyDescent="0.2"/>
    <row r="1592" hidden="1" x14ac:dyDescent="0.2"/>
    <row r="1593" hidden="1" x14ac:dyDescent="0.2"/>
    <row r="1594" hidden="1" x14ac:dyDescent="0.2"/>
    <row r="1595" hidden="1" x14ac:dyDescent="0.2"/>
    <row r="1596" hidden="1" x14ac:dyDescent="0.2"/>
    <row r="1597" hidden="1" x14ac:dyDescent="0.2"/>
    <row r="1598" hidden="1" x14ac:dyDescent="0.2"/>
    <row r="1599" hidden="1" x14ac:dyDescent="0.2"/>
    <row r="1600" hidden="1" x14ac:dyDescent="0.2"/>
    <row r="1601" hidden="1" x14ac:dyDescent="0.2"/>
    <row r="1602" hidden="1" x14ac:dyDescent="0.2"/>
    <row r="1603" hidden="1" x14ac:dyDescent="0.2"/>
    <row r="1604" hidden="1" x14ac:dyDescent="0.2"/>
    <row r="1605" hidden="1" x14ac:dyDescent="0.2"/>
    <row r="1606" hidden="1" x14ac:dyDescent="0.2"/>
    <row r="1607" hidden="1" x14ac:dyDescent="0.2"/>
    <row r="1608" hidden="1" x14ac:dyDescent="0.2"/>
    <row r="1609" hidden="1" x14ac:dyDescent="0.2"/>
    <row r="1610" hidden="1" x14ac:dyDescent="0.2"/>
    <row r="1611" hidden="1" x14ac:dyDescent="0.2"/>
    <row r="1612" hidden="1" x14ac:dyDescent="0.2"/>
    <row r="1613" hidden="1" x14ac:dyDescent="0.2"/>
    <row r="1614" hidden="1" x14ac:dyDescent="0.2"/>
    <row r="1615" hidden="1" x14ac:dyDescent="0.2"/>
    <row r="1616" hidden="1" x14ac:dyDescent="0.2"/>
    <row r="1617" hidden="1" x14ac:dyDescent="0.2"/>
    <row r="1618" hidden="1" x14ac:dyDescent="0.2"/>
    <row r="1619" hidden="1" x14ac:dyDescent="0.2"/>
    <row r="1620" hidden="1" x14ac:dyDescent="0.2"/>
    <row r="1621" hidden="1" x14ac:dyDescent="0.2"/>
    <row r="1622" hidden="1" x14ac:dyDescent="0.2"/>
    <row r="1623" hidden="1" x14ac:dyDescent="0.2"/>
    <row r="1624" hidden="1" x14ac:dyDescent="0.2"/>
    <row r="1625" hidden="1" x14ac:dyDescent="0.2"/>
    <row r="1626" hidden="1" x14ac:dyDescent="0.2"/>
    <row r="1627" hidden="1" x14ac:dyDescent="0.2"/>
    <row r="1628" hidden="1" x14ac:dyDescent="0.2"/>
    <row r="1629" hidden="1" x14ac:dyDescent="0.2"/>
    <row r="1630" hidden="1" x14ac:dyDescent="0.2"/>
    <row r="1631" hidden="1" x14ac:dyDescent="0.2"/>
    <row r="1632" hidden="1" x14ac:dyDescent="0.2"/>
    <row r="1633" hidden="1" x14ac:dyDescent="0.2"/>
    <row r="1634" hidden="1" x14ac:dyDescent="0.2"/>
    <row r="1635" hidden="1" x14ac:dyDescent="0.2"/>
    <row r="1636" hidden="1" x14ac:dyDescent="0.2"/>
    <row r="1637" hidden="1" x14ac:dyDescent="0.2"/>
    <row r="1638" hidden="1" x14ac:dyDescent="0.2"/>
    <row r="1639" hidden="1" x14ac:dyDescent="0.2"/>
    <row r="1640" hidden="1" x14ac:dyDescent="0.2"/>
    <row r="1641" hidden="1" x14ac:dyDescent="0.2"/>
    <row r="1642" hidden="1" x14ac:dyDescent="0.2"/>
    <row r="1643" hidden="1" x14ac:dyDescent="0.2"/>
    <row r="1644" hidden="1" x14ac:dyDescent="0.2"/>
    <row r="1645" hidden="1" x14ac:dyDescent="0.2"/>
    <row r="1646" hidden="1" x14ac:dyDescent="0.2"/>
    <row r="1647" hidden="1" x14ac:dyDescent="0.2"/>
    <row r="1648" hidden="1" x14ac:dyDescent="0.2"/>
    <row r="1649" hidden="1" x14ac:dyDescent="0.2"/>
    <row r="1650" hidden="1" x14ac:dyDescent="0.2"/>
    <row r="1651" hidden="1" x14ac:dyDescent="0.2"/>
    <row r="1652" hidden="1" x14ac:dyDescent="0.2"/>
    <row r="1653" hidden="1" x14ac:dyDescent="0.2"/>
    <row r="1654" hidden="1" x14ac:dyDescent="0.2"/>
    <row r="1655" hidden="1" x14ac:dyDescent="0.2"/>
    <row r="1656" hidden="1" x14ac:dyDescent="0.2"/>
    <row r="1657" hidden="1" x14ac:dyDescent="0.2"/>
    <row r="1658" hidden="1" x14ac:dyDescent="0.2"/>
    <row r="1659" hidden="1" x14ac:dyDescent="0.2"/>
    <row r="1660" hidden="1" x14ac:dyDescent="0.2"/>
    <row r="1661" hidden="1" x14ac:dyDescent="0.2"/>
    <row r="1662" hidden="1" x14ac:dyDescent="0.2"/>
    <row r="1663" hidden="1" x14ac:dyDescent="0.2"/>
    <row r="1664" hidden="1" x14ac:dyDescent="0.2"/>
    <row r="1665" hidden="1" x14ac:dyDescent="0.2"/>
    <row r="1666" hidden="1" x14ac:dyDescent="0.2"/>
    <row r="1667" hidden="1" x14ac:dyDescent="0.2"/>
    <row r="1668" hidden="1" x14ac:dyDescent="0.2"/>
    <row r="1669" hidden="1" x14ac:dyDescent="0.2"/>
    <row r="1670" hidden="1" x14ac:dyDescent="0.2"/>
    <row r="1671" hidden="1" x14ac:dyDescent="0.2"/>
    <row r="1672" hidden="1" x14ac:dyDescent="0.2"/>
    <row r="1673" hidden="1" x14ac:dyDescent="0.2"/>
    <row r="1674" hidden="1" x14ac:dyDescent="0.2"/>
    <row r="1675" hidden="1" x14ac:dyDescent="0.2"/>
    <row r="1676" hidden="1" x14ac:dyDescent="0.2"/>
    <row r="1677" hidden="1" x14ac:dyDescent="0.2"/>
    <row r="1678" hidden="1" x14ac:dyDescent="0.2"/>
    <row r="1679" hidden="1" x14ac:dyDescent="0.2"/>
    <row r="1680" hidden="1" x14ac:dyDescent="0.2"/>
    <row r="1681" hidden="1" x14ac:dyDescent="0.2"/>
    <row r="1682" hidden="1" x14ac:dyDescent="0.2"/>
    <row r="1683" hidden="1" x14ac:dyDescent="0.2"/>
    <row r="1684" hidden="1" x14ac:dyDescent="0.2"/>
    <row r="1685" hidden="1" x14ac:dyDescent="0.2"/>
    <row r="1686" hidden="1" x14ac:dyDescent="0.2"/>
    <row r="1687" hidden="1" x14ac:dyDescent="0.2"/>
    <row r="1688" hidden="1" x14ac:dyDescent="0.2"/>
    <row r="1689" hidden="1" x14ac:dyDescent="0.2"/>
    <row r="1690" hidden="1" x14ac:dyDescent="0.2"/>
    <row r="1691" hidden="1" x14ac:dyDescent="0.2"/>
    <row r="1692" hidden="1" x14ac:dyDescent="0.2"/>
    <row r="1693" hidden="1" x14ac:dyDescent="0.2"/>
    <row r="1694" hidden="1" x14ac:dyDescent="0.2"/>
    <row r="1695" hidden="1" x14ac:dyDescent="0.2"/>
    <row r="1696" hidden="1" x14ac:dyDescent="0.2"/>
    <row r="1697" hidden="1" x14ac:dyDescent="0.2"/>
    <row r="1698" hidden="1" x14ac:dyDescent="0.2"/>
    <row r="1699" hidden="1" x14ac:dyDescent="0.2"/>
    <row r="1700" hidden="1" x14ac:dyDescent="0.2"/>
    <row r="1701" hidden="1" x14ac:dyDescent="0.2"/>
    <row r="1702" hidden="1" x14ac:dyDescent="0.2"/>
    <row r="1703" hidden="1" x14ac:dyDescent="0.2"/>
    <row r="1704" hidden="1" x14ac:dyDescent="0.2"/>
    <row r="1705" hidden="1" x14ac:dyDescent="0.2"/>
    <row r="1706" hidden="1" x14ac:dyDescent="0.2"/>
    <row r="1707" hidden="1" x14ac:dyDescent="0.2"/>
    <row r="1708" hidden="1" x14ac:dyDescent="0.2"/>
    <row r="1709" hidden="1" x14ac:dyDescent="0.2"/>
    <row r="1710" hidden="1" x14ac:dyDescent="0.2"/>
    <row r="1711" hidden="1" x14ac:dyDescent="0.2"/>
    <row r="1712" hidden="1" x14ac:dyDescent="0.2"/>
    <row r="1713" hidden="1" x14ac:dyDescent="0.2"/>
    <row r="1714" hidden="1" x14ac:dyDescent="0.2"/>
    <row r="1715" hidden="1" x14ac:dyDescent="0.2"/>
    <row r="1716" hidden="1" x14ac:dyDescent="0.2"/>
    <row r="1717" hidden="1" x14ac:dyDescent="0.2"/>
    <row r="1718" hidden="1" x14ac:dyDescent="0.2"/>
    <row r="1719" hidden="1" x14ac:dyDescent="0.2"/>
    <row r="1720" hidden="1" x14ac:dyDescent="0.2"/>
    <row r="1721" hidden="1" x14ac:dyDescent="0.2"/>
    <row r="1722" hidden="1" x14ac:dyDescent="0.2"/>
    <row r="1723" hidden="1" x14ac:dyDescent="0.2"/>
    <row r="1724" hidden="1" x14ac:dyDescent="0.2"/>
    <row r="1725" hidden="1" x14ac:dyDescent="0.2"/>
    <row r="1726" hidden="1" x14ac:dyDescent="0.2"/>
    <row r="1727" hidden="1" x14ac:dyDescent="0.2"/>
    <row r="1728" hidden="1" x14ac:dyDescent="0.2"/>
    <row r="1729" hidden="1" x14ac:dyDescent="0.2"/>
    <row r="1730" hidden="1" x14ac:dyDescent="0.2"/>
    <row r="1731" hidden="1" x14ac:dyDescent="0.2"/>
    <row r="1732" hidden="1" x14ac:dyDescent="0.2"/>
    <row r="1733" hidden="1" x14ac:dyDescent="0.2"/>
    <row r="1734" hidden="1" x14ac:dyDescent="0.2"/>
    <row r="1735" hidden="1" x14ac:dyDescent="0.2"/>
    <row r="1736" hidden="1" x14ac:dyDescent="0.2"/>
    <row r="1737" hidden="1" x14ac:dyDescent="0.2"/>
    <row r="1738" hidden="1" x14ac:dyDescent="0.2"/>
    <row r="1739" hidden="1" x14ac:dyDescent="0.2"/>
    <row r="1740" hidden="1" x14ac:dyDescent="0.2"/>
    <row r="1741" hidden="1" x14ac:dyDescent="0.2"/>
    <row r="1742" hidden="1" x14ac:dyDescent="0.2"/>
    <row r="1743" hidden="1" x14ac:dyDescent="0.2"/>
    <row r="1744" hidden="1" x14ac:dyDescent="0.2"/>
    <row r="1745" hidden="1" x14ac:dyDescent="0.2"/>
    <row r="1746" hidden="1" x14ac:dyDescent="0.2"/>
    <row r="1747" hidden="1" x14ac:dyDescent="0.2"/>
    <row r="1748" hidden="1" x14ac:dyDescent="0.2"/>
    <row r="1749" hidden="1" x14ac:dyDescent="0.2"/>
    <row r="1750" hidden="1" x14ac:dyDescent="0.2"/>
    <row r="1751" hidden="1" x14ac:dyDescent="0.2"/>
    <row r="1752" hidden="1" x14ac:dyDescent="0.2"/>
    <row r="1753" hidden="1" x14ac:dyDescent="0.2"/>
    <row r="1754" hidden="1" x14ac:dyDescent="0.2"/>
    <row r="1755" hidden="1" x14ac:dyDescent="0.2"/>
    <row r="1756" hidden="1" x14ac:dyDescent="0.2"/>
    <row r="1757" hidden="1" x14ac:dyDescent="0.2"/>
    <row r="1758" hidden="1" x14ac:dyDescent="0.2"/>
    <row r="1759" hidden="1" x14ac:dyDescent="0.2"/>
    <row r="1760" hidden="1" x14ac:dyDescent="0.2"/>
    <row r="1761" hidden="1" x14ac:dyDescent="0.2"/>
    <row r="1762" hidden="1" x14ac:dyDescent="0.2"/>
    <row r="1763" hidden="1" x14ac:dyDescent="0.2"/>
    <row r="1764" hidden="1" x14ac:dyDescent="0.2"/>
    <row r="1765" hidden="1" x14ac:dyDescent="0.2"/>
    <row r="1766" hidden="1" x14ac:dyDescent="0.2"/>
    <row r="1767" hidden="1" x14ac:dyDescent="0.2"/>
    <row r="1768" hidden="1" x14ac:dyDescent="0.2"/>
    <row r="1769" hidden="1" x14ac:dyDescent="0.2"/>
    <row r="1770" hidden="1" x14ac:dyDescent="0.2"/>
    <row r="1771" hidden="1" x14ac:dyDescent="0.2"/>
    <row r="1772" hidden="1" x14ac:dyDescent="0.2"/>
    <row r="1773" hidden="1" x14ac:dyDescent="0.2"/>
    <row r="1774" hidden="1" x14ac:dyDescent="0.2"/>
    <row r="1775" hidden="1" x14ac:dyDescent="0.2"/>
    <row r="1776" hidden="1" x14ac:dyDescent="0.2"/>
    <row r="1777" hidden="1" x14ac:dyDescent="0.2"/>
    <row r="1778" hidden="1" x14ac:dyDescent="0.2"/>
    <row r="1779" hidden="1" x14ac:dyDescent="0.2"/>
    <row r="1780" hidden="1" x14ac:dyDescent="0.2"/>
    <row r="1781" hidden="1" x14ac:dyDescent="0.2"/>
    <row r="1782" hidden="1" x14ac:dyDescent="0.2"/>
    <row r="1783" hidden="1" x14ac:dyDescent="0.2"/>
    <row r="1784" hidden="1" x14ac:dyDescent="0.2"/>
    <row r="1785" hidden="1" x14ac:dyDescent="0.2"/>
    <row r="1786" hidden="1" x14ac:dyDescent="0.2"/>
    <row r="1787" hidden="1" x14ac:dyDescent="0.2"/>
    <row r="1788" hidden="1" x14ac:dyDescent="0.2"/>
    <row r="1789" hidden="1" x14ac:dyDescent="0.2"/>
    <row r="1790" hidden="1" x14ac:dyDescent="0.2"/>
    <row r="1791" hidden="1" x14ac:dyDescent="0.2"/>
    <row r="1792" hidden="1" x14ac:dyDescent="0.2"/>
    <row r="1793" hidden="1" x14ac:dyDescent="0.2"/>
    <row r="1794" hidden="1" x14ac:dyDescent="0.2"/>
    <row r="1795" hidden="1" x14ac:dyDescent="0.2"/>
    <row r="1796" hidden="1" x14ac:dyDescent="0.2"/>
    <row r="1797" hidden="1" x14ac:dyDescent="0.2"/>
    <row r="1798" hidden="1" x14ac:dyDescent="0.2"/>
    <row r="1799" hidden="1" x14ac:dyDescent="0.2"/>
    <row r="1800" hidden="1" x14ac:dyDescent="0.2"/>
    <row r="1801" hidden="1" x14ac:dyDescent="0.2"/>
    <row r="1802" hidden="1" x14ac:dyDescent="0.2"/>
    <row r="1803" hidden="1" x14ac:dyDescent="0.2"/>
    <row r="1804" hidden="1" x14ac:dyDescent="0.2"/>
    <row r="1805" hidden="1" x14ac:dyDescent="0.2"/>
    <row r="1806" hidden="1" x14ac:dyDescent="0.2"/>
    <row r="1807" hidden="1" x14ac:dyDescent="0.2"/>
    <row r="1808" hidden="1" x14ac:dyDescent="0.2"/>
    <row r="1809" hidden="1" x14ac:dyDescent="0.2"/>
    <row r="1810" hidden="1" x14ac:dyDescent="0.2"/>
    <row r="1811" hidden="1" x14ac:dyDescent="0.2"/>
    <row r="1812" hidden="1" x14ac:dyDescent="0.2"/>
    <row r="1813" hidden="1" x14ac:dyDescent="0.2"/>
    <row r="1814" hidden="1" x14ac:dyDescent="0.2"/>
    <row r="1815" hidden="1" x14ac:dyDescent="0.2"/>
    <row r="1816" hidden="1" x14ac:dyDescent="0.2"/>
    <row r="1817" hidden="1" x14ac:dyDescent="0.2"/>
    <row r="1818" hidden="1" x14ac:dyDescent="0.2"/>
  </sheetData>
  <autoFilter ref="A1:BC1818" xr:uid="{00000000-0001-0000-0200-000000000000}">
    <filterColumn colId="21" showButton="0">
      <filters>
        <filter val="INTA +"/>
        <filter val="INTB +"/>
      </filters>
    </filterColumn>
  </autoFilter>
  <sortState xmlns:xlrd2="http://schemas.microsoft.com/office/spreadsheetml/2017/richdata2" ref="A90:BC96">
    <sortCondition descending="1" ref="T90:T96"/>
  </sortState>
  <mergeCells count="1">
    <mergeCell ref="V1:W1"/>
  </mergeCells>
  <conditionalFormatting sqref="E29:E38 E75:E77 E40:E45 E79:E88 E90:E96">
    <cfRule type="cellIs" dxfId="1265" priority="365" stopIfTrue="1" operator="notBetween">
      <formula>1</formula>
      <formula>100000</formula>
    </cfRule>
  </conditionalFormatting>
  <conditionalFormatting sqref="A29:A38 A59:A77 A40:A45 A79:A88 A90:A96">
    <cfRule type="containsText" dxfId="1264" priority="363" stopIfTrue="1" operator="containsText" text="H">
      <formula>NOT(ISERROR(SEARCH("H",A29)))</formula>
    </cfRule>
    <cfRule type="containsText" dxfId="1263" priority="364" stopIfTrue="1" operator="containsText" text="F">
      <formula>NOT(ISERROR(SEARCH("F",A29)))</formula>
    </cfRule>
  </conditionalFormatting>
  <conditionalFormatting sqref="K34:K38 K40:K45 K90:K96 K79:K88 K75:K77">
    <cfRule type="cellIs" dxfId="1262" priority="362" stopIfTrue="1" operator="notEqual">
      <formula>"F"</formula>
    </cfRule>
  </conditionalFormatting>
  <conditionalFormatting sqref="L98:N65367 L29:N38 P29:R38 L75:N77 P75:R77 P40:R45 L40:N45 P79:R88 L79:N88 L90:N96 P90:R96 L1:N1">
    <cfRule type="cellIs" dxfId="1261" priority="361" stopIfTrue="1" operator="lessThan">
      <formula>0</formula>
    </cfRule>
  </conditionalFormatting>
  <conditionalFormatting sqref="E46:E57 E64 E66:E67 E59:E61">
    <cfRule type="cellIs" dxfId="1260" priority="359" stopIfTrue="1" operator="notBetween">
      <formula>1</formula>
      <formula>100000</formula>
    </cfRule>
  </conditionalFormatting>
  <conditionalFormatting sqref="A46:A57">
    <cfRule type="containsText" dxfId="1259" priority="357" stopIfTrue="1" operator="containsText" text="H">
      <formula>NOT(ISERROR(SEARCH("H",A46)))</formula>
    </cfRule>
    <cfRule type="containsText" dxfId="1258" priority="358" stopIfTrue="1" operator="containsText" text="F">
      <formula>NOT(ISERROR(SEARCH("F",A46)))</formula>
    </cfRule>
  </conditionalFormatting>
  <conditionalFormatting sqref="K46 K64 K66:K67 K59:K61 K55:K57 K48:K53">
    <cfRule type="cellIs" dxfId="1257" priority="356" stopIfTrue="1" operator="notEqual">
      <formula>"F"</formula>
    </cfRule>
  </conditionalFormatting>
  <conditionalFormatting sqref="L46:N57 L64:N64 L66:N67 L59:N61">
    <cfRule type="cellIs" dxfId="1256" priority="355" stopIfTrue="1" operator="lessThan">
      <formula>0</formula>
    </cfRule>
  </conditionalFormatting>
  <conditionalFormatting sqref="P46:R57 P64:R64 P66:R67 P59:R61">
    <cfRule type="cellIs" dxfId="1255" priority="354" stopIfTrue="1" operator="lessThan">
      <formula>0</formula>
    </cfRule>
  </conditionalFormatting>
  <conditionalFormatting sqref="E69">
    <cfRule type="cellIs" dxfId="1254" priority="347" stopIfTrue="1" operator="notBetween">
      <formula>1</formula>
      <formula>100000</formula>
    </cfRule>
  </conditionalFormatting>
  <conditionalFormatting sqref="K69">
    <cfRule type="cellIs" dxfId="1253" priority="344" stopIfTrue="1" operator="notEqual">
      <formula>"F"</formula>
    </cfRule>
  </conditionalFormatting>
  <conditionalFormatting sqref="L69:N69">
    <cfRule type="cellIs" dxfId="1252" priority="343" stopIfTrue="1" operator="lessThan">
      <formula>0</formula>
    </cfRule>
  </conditionalFormatting>
  <conditionalFormatting sqref="P69:R69">
    <cfRule type="cellIs" dxfId="1251" priority="342" stopIfTrue="1" operator="lessThan">
      <formula>0</formula>
    </cfRule>
  </conditionalFormatting>
  <conditionalFormatting sqref="E68">
    <cfRule type="cellIs" dxfId="1250" priority="353" stopIfTrue="1" operator="notBetween">
      <formula>1</formula>
      <formula>100000</formula>
    </cfRule>
  </conditionalFormatting>
  <conditionalFormatting sqref="K68">
    <cfRule type="cellIs" dxfId="1249" priority="350" stopIfTrue="1" operator="notEqual">
      <formula>"F"</formula>
    </cfRule>
  </conditionalFormatting>
  <conditionalFormatting sqref="L68:N68">
    <cfRule type="cellIs" dxfId="1248" priority="349" stopIfTrue="1" operator="lessThan">
      <formula>0</formula>
    </cfRule>
  </conditionalFormatting>
  <conditionalFormatting sqref="P68:R68">
    <cfRule type="cellIs" dxfId="1247" priority="348" stopIfTrue="1" operator="lessThan">
      <formula>0</formula>
    </cfRule>
  </conditionalFormatting>
  <conditionalFormatting sqref="E71:E73">
    <cfRule type="cellIs" dxfId="1246" priority="341" stopIfTrue="1" operator="notBetween">
      <formula>1</formula>
      <formula>100000</formula>
    </cfRule>
  </conditionalFormatting>
  <conditionalFormatting sqref="K71:K73">
    <cfRule type="cellIs" dxfId="1245" priority="338" stopIfTrue="1" operator="notEqual">
      <formula>"F"</formula>
    </cfRule>
  </conditionalFormatting>
  <conditionalFormatting sqref="L71:N73">
    <cfRule type="cellIs" dxfId="1244" priority="337" stopIfTrue="1" operator="lessThan">
      <formula>0</formula>
    </cfRule>
  </conditionalFormatting>
  <conditionalFormatting sqref="P71:R73">
    <cfRule type="cellIs" dxfId="1243" priority="336" stopIfTrue="1" operator="lessThan">
      <formula>0</formula>
    </cfRule>
  </conditionalFormatting>
  <conditionalFormatting sqref="H352:H65367 H64 H66:H69 H71:H73 H4:H5 H29:H38 H75:H77 H7 H40:H57 H59:H61 H79:H88 H90:H96 H1">
    <cfRule type="cellIs" dxfId="1242" priority="324" stopIfTrue="1" operator="between">
      <formula>2000</formula>
      <formula>2001</formula>
    </cfRule>
    <cfRule type="cellIs" dxfId="1241" priority="325" stopIfTrue="1" operator="between">
      <formula>2002</formula>
      <formula>2020</formula>
    </cfRule>
    <cfRule type="cellIs" dxfId="1240" priority="326" stopIfTrue="1" operator="between">
      <formula>1998</formula>
      <formula>1999</formula>
    </cfRule>
    <cfRule type="cellIs" dxfId="1239" priority="327" stopIfTrue="1" operator="between">
      <formula>1995</formula>
      <formula>1997</formula>
    </cfRule>
    <cfRule type="cellIs" dxfId="1238" priority="328" stopIfTrue="1" operator="lessThan">
      <formula>1995</formula>
    </cfRule>
  </conditionalFormatting>
  <conditionalFormatting sqref="W98:W1048576 W64 W66:W69 W71:W73 W4:W5 W29:W38 W75:W77 W7 W40:W57 W59:W61 W79:W88 W90:W96 W1">
    <cfRule type="cellIs" dxfId="1237" priority="312" operator="lessThan">
      <formula>0</formula>
    </cfRule>
  </conditionalFormatting>
  <conditionalFormatting sqref="V98:V1048576 V64 V66:V69 V71:V73 V4:V5 V29:V38 V75:V77 V7 V40:V57 V59:V61 V79:V88 V90:V96 V1">
    <cfRule type="cellIs" dxfId="1236" priority="311" operator="equal">
      <formula>"DEB"</formula>
    </cfRule>
  </conditionalFormatting>
  <conditionalFormatting sqref="E3">
    <cfRule type="cellIs" dxfId="1235" priority="276" stopIfTrue="1" operator="notBetween">
      <formula>1</formula>
      <formula>100000</formula>
    </cfRule>
  </conditionalFormatting>
  <conditionalFormatting sqref="A3">
    <cfRule type="containsText" dxfId="1234" priority="274" stopIfTrue="1" operator="containsText" text="H">
      <formula>NOT(ISERROR(SEARCH("H",A3)))</formula>
    </cfRule>
    <cfRule type="containsText" dxfId="1233" priority="275" stopIfTrue="1" operator="containsText" text="F">
      <formula>NOT(ISERROR(SEARCH("F",A3)))</formula>
    </cfRule>
  </conditionalFormatting>
  <conditionalFormatting sqref="K3">
    <cfRule type="cellIs" dxfId="1232" priority="273" stopIfTrue="1" operator="notEqual">
      <formula>"F"</formula>
    </cfRule>
  </conditionalFormatting>
  <conditionalFormatting sqref="L3:N3">
    <cfRule type="cellIs" dxfId="1231" priority="272" stopIfTrue="1" operator="lessThan">
      <formula>0</formula>
    </cfRule>
  </conditionalFormatting>
  <conditionalFormatting sqref="P3:R3">
    <cfRule type="cellIs" dxfId="1230" priority="271" stopIfTrue="1" operator="lessThan">
      <formula>0</formula>
    </cfRule>
  </conditionalFormatting>
  <conditionalFormatting sqref="H3">
    <cfRule type="cellIs" dxfId="1229" priority="260" stopIfTrue="1" operator="between">
      <formula>2000</formula>
      <formula>2001</formula>
    </cfRule>
    <cfRule type="cellIs" dxfId="1228" priority="261" stopIfTrue="1" operator="between">
      <formula>2002</formula>
      <formula>2020</formula>
    </cfRule>
    <cfRule type="cellIs" dxfId="1227" priority="262" stopIfTrue="1" operator="between">
      <formula>1998</formula>
      <formula>1999</formula>
    </cfRule>
    <cfRule type="cellIs" dxfId="1226" priority="263" stopIfTrue="1" operator="between">
      <formula>1995</formula>
      <formula>1997</formula>
    </cfRule>
    <cfRule type="cellIs" dxfId="1225" priority="264" stopIfTrue="1" operator="lessThan">
      <formula>1995</formula>
    </cfRule>
  </conditionalFormatting>
  <conditionalFormatting sqref="W3">
    <cfRule type="cellIs" dxfId="1224" priority="259" operator="lessThan">
      <formula>0</formula>
    </cfRule>
  </conditionalFormatting>
  <conditionalFormatting sqref="V3">
    <cfRule type="cellIs" dxfId="1223" priority="258" operator="equal">
      <formula>"DEB"</formula>
    </cfRule>
  </conditionalFormatting>
  <conditionalFormatting sqref="E17 E19:E22">
    <cfRule type="cellIs" dxfId="1222" priority="257" stopIfTrue="1" operator="notBetween">
      <formula>1</formula>
      <formula>100000</formula>
    </cfRule>
  </conditionalFormatting>
  <conditionalFormatting sqref="A17 A19:A22">
    <cfRule type="containsText" dxfId="1221" priority="255" stopIfTrue="1" operator="containsText" text="H">
      <formula>NOT(ISERROR(SEARCH("H",A17)))</formula>
    </cfRule>
    <cfRule type="containsText" dxfId="1220" priority="256" stopIfTrue="1" operator="containsText" text="F">
      <formula>NOT(ISERROR(SEARCH("F",A17)))</formula>
    </cfRule>
  </conditionalFormatting>
  <conditionalFormatting sqref="K17 K19:K22">
    <cfRule type="cellIs" dxfId="1219" priority="254" stopIfTrue="1" operator="notEqual">
      <formula>"F"</formula>
    </cfRule>
  </conditionalFormatting>
  <conditionalFormatting sqref="L17:N17 L19:N22">
    <cfRule type="cellIs" dxfId="1218" priority="253" stopIfTrue="1" operator="lessThan">
      <formula>0</formula>
    </cfRule>
  </conditionalFormatting>
  <conditionalFormatting sqref="P17:R17 P19:R22">
    <cfRule type="cellIs" dxfId="1217" priority="252" stopIfTrue="1" operator="lessThan">
      <formula>0</formula>
    </cfRule>
  </conditionalFormatting>
  <conditionalFormatting sqref="E23:E28">
    <cfRule type="cellIs" dxfId="1216" priority="251" stopIfTrue="1" operator="notBetween">
      <formula>1</formula>
      <formula>100000</formula>
    </cfRule>
  </conditionalFormatting>
  <conditionalFormatting sqref="A23:A28">
    <cfRule type="containsText" dxfId="1215" priority="249" stopIfTrue="1" operator="containsText" text="H">
      <formula>NOT(ISERROR(SEARCH("H",A23)))</formula>
    </cfRule>
    <cfRule type="containsText" dxfId="1214" priority="250" stopIfTrue="1" operator="containsText" text="F">
      <formula>NOT(ISERROR(SEARCH("F",A23)))</formula>
    </cfRule>
  </conditionalFormatting>
  <conditionalFormatting sqref="K23:K25">
    <cfRule type="cellIs" dxfId="1213" priority="248" stopIfTrue="1" operator="notEqual">
      <formula>"F"</formula>
    </cfRule>
  </conditionalFormatting>
  <conditionalFormatting sqref="L23:N28">
    <cfRule type="cellIs" dxfId="1212" priority="247" stopIfTrue="1" operator="lessThan">
      <formula>0</formula>
    </cfRule>
  </conditionalFormatting>
  <conditionalFormatting sqref="P23:R28">
    <cfRule type="cellIs" dxfId="1211" priority="246" stopIfTrue="1" operator="lessThan">
      <formula>0</formula>
    </cfRule>
  </conditionalFormatting>
  <conditionalFormatting sqref="H17 H19:H28">
    <cfRule type="cellIs" dxfId="1210" priority="241" stopIfTrue="1" operator="between">
      <formula>2000</formula>
      <formula>2001</formula>
    </cfRule>
    <cfRule type="cellIs" dxfId="1209" priority="242" stopIfTrue="1" operator="between">
      <formula>2002</formula>
      <formula>2020</formula>
    </cfRule>
    <cfRule type="cellIs" dxfId="1208" priority="243" stopIfTrue="1" operator="between">
      <formula>1998</formula>
      <formula>1999</formula>
    </cfRule>
    <cfRule type="cellIs" dxfId="1207" priority="244" stopIfTrue="1" operator="between">
      <formula>1995</formula>
      <formula>1997</formula>
    </cfRule>
    <cfRule type="cellIs" dxfId="1206" priority="245" stopIfTrue="1" operator="lessThan">
      <formula>1995</formula>
    </cfRule>
  </conditionalFormatting>
  <conditionalFormatting sqref="W17 W19:W28">
    <cfRule type="cellIs" dxfId="1205" priority="240" operator="lessThan">
      <formula>0</formula>
    </cfRule>
  </conditionalFormatting>
  <conditionalFormatting sqref="V17 V19:V28">
    <cfRule type="cellIs" dxfId="1204" priority="239" operator="equal">
      <formula>"DEB"</formula>
    </cfRule>
  </conditionalFormatting>
  <conditionalFormatting sqref="E4:E5 E9:E16 E7">
    <cfRule type="cellIs" dxfId="1203" priority="232" stopIfTrue="1" operator="notBetween">
      <formula>1</formula>
      <formula>100000</formula>
    </cfRule>
  </conditionalFormatting>
  <conditionalFormatting sqref="A4:A5 A9:A16 A7">
    <cfRule type="containsText" dxfId="1202" priority="230" stopIfTrue="1" operator="containsText" text="H">
      <formula>NOT(ISERROR(SEARCH("H",A4)))</formula>
    </cfRule>
    <cfRule type="containsText" dxfId="1201" priority="231" stopIfTrue="1" operator="containsText" text="F">
      <formula>NOT(ISERROR(SEARCH("F",A4)))</formula>
    </cfRule>
  </conditionalFormatting>
  <conditionalFormatting sqref="K4:K5 K9:K16 K7">
    <cfRule type="cellIs" dxfId="1200" priority="229" stopIfTrue="1" operator="notEqual">
      <formula>"F"</formula>
    </cfRule>
  </conditionalFormatting>
  <conditionalFormatting sqref="L4:N5 L9:N16 L7:N7">
    <cfRule type="cellIs" dxfId="1199" priority="228" stopIfTrue="1" operator="lessThan">
      <formula>0</formula>
    </cfRule>
  </conditionalFormatting>
  <conditionalFormatting sqref="P4:R5 P9:R16 P7:R7">
    <cfRule type="cellIs" dxfId="1198" priority="227" stopIfTrue="1" operator="lessThan">
      <formula>0</formula>
    </cfRule>
  </conditionalFormatting>
  <conditionalFormatting sqref="H9:H16">
    <cfRule type="cellIs" dxfId="1197" priority="222" stopIfTrue="1" operator="between">
      <formula>2000</formula>
      <formula>2001</formula>
    </cfRule>
    <cfRule type="cellIs" dxfId="1196" priority="223" stopIfTrue="1" operator="between">
      <formula>2002</formula>
      <formula>2020</formula>
    </cfRule>
    <cfRule type="cellIs" dxfId="1195" priority="224" stopIfTrue="1" operator="between">
      <formula>1998</formula>
      <formula>1999</formula>
    </cfRule>
    <cfRule type="cellIs" dxfId="1194" priority="225" stopIfTrue="1" operator="between">
      <formula>1995</formula>
      <formula>1997</formula>
    </cfRule>
    <cfRule type="cellIs" dxfId="1193" priority="226" stopIfTrue="1" operator="lessThan">
      <formula>1995</formula>
    </cfRule>
  </conditionalFormatting>
  <conditionalFormatting sqref="W9:W16">
    <cfRule type="cellIs" dxfId="1192" priority="221" operator="lessThan">
      <formula>0</formula>
    </cfRule>
  </conditionalFormatting>
  <conditionalFormatting sqref="V9:V16">
    <cfRule type="cellIs" dxfId="1191" priority="220" operator="equal">
      <formula>"DEB"</formula>
    </cfRule>
  </conditionalFormatting>
  <conditionalFormatting sqref="E8">
    <cfRule type="cellIs" dxfId="1190" priority="206" stopIfTrue="1" operator="notBetween">
      <formula>1</formula>
      <formula>100000</formula>
    </cfRule>
  </conditionalFormatting>
  <conditionalFormatting sqref="A8">
    <cfRule type="containsText" dxfId="1189" priority="204" stopIfTrue="1" operator="containsText" text="H">
      <formula>NOT(ISERROR(SEARCH("H",A8)))</formula>
    </cfRule>
    <cfRule type="containsText" dxfId="1188" priority="205" stopIfTrue="1" operator="containsText" text="F">
      <formula>NOT(ISERROR(SEARCH("F",A8)))</formula>
    </cfRule>
  </conditionalFormatting>
  <conditionalFormatting sqref="K8">
    <cfRule type="cellIs" dxfId="1187" priority="203" stopIfTrue="1" operator="notEqual">
      <formula>"F"</formula>
    </cfRule>
  </conditionalFormatting>
  <conditionalFormatting sqref="L8:N8">
    <cfRule type="cellIs" dxfId="1186" priority="202" stopIfTrue="1" operator="lessThan">
      <formula>0</formula>
    </cfRule>
  </conditionalFormatting>
  <conditionalFormatting sqref="P8:R8">
    <cfRule type="cellIs" dxfId="1185" priority="201" stopIfTrue="1" operator="lessThan">
      <formula>0</formula>
    </cfRule>
  </conditionalFormatting>
  <conditionalFormatting sqref="H8">
    <cfRule type="cellIs" dxfId="1184" priority="196" stopIfTrue="1" operator="between">
      <formula>2000</formula>
      <formula>2001</formula>
    </cfRule>
    <cfRule type="cellIs" dxfId="1183" priority="197" stopIfTrue="1" operator="between">
      <formula>2002</formula>
      <formula>2020</formula>
    </cfRule>
    <cfRule type="cellIs" dxfId="1182" priority="198" stopIfTrue="1" operator="between">
      <formula>1998</formula>
      <formula>1999</formula>
    </cfRule>
    <cfRule type="cellIs" dxfId="1181" priority="199" stopIfTrue="1" operator="between">
      <formula>1995</formula>
      <formula>1997</formula>
    </cfRule>
    <cfRule type="cellIs" dxfId="1180" priority="200" stopIfTrue="1" operator="lessThan">
      <formula>1995</formula>
    </cfRule>
  </conditionalFormatting>
  <conditionalFormatting sqref="W8">
    <cfRule type="cellIs" dxfId="1179" priority="195" operator="lessThan">
      <formula>0</formula>
    </cfRule>
  </conditionalFormatting>
  <conditionalFormatting sqref="V8">
    <cfRule type="cellIs" dxfId="1178" priority="194" operator="equal">
      <formula>"DEB"</formula>
    </cfRule>
  </conditionalFormatting>
  <conditionalFormatting sqref="E62">
    <cfRule type="cellIs" dxfId="1177" priority="193" stopIfTrue="1" operator="notBetween">
      <formula>1</formula>
      <formula>100000</formula>
    </cfRule>
  </conditionalFormatting>
  <conditionalFormatting sqref="K62">
    <cfRule type="cellIs" dxfId="1176" priority="190" stopIfTrue="1" operator="notEqual">
      <formula>"F"</formula>
    </cfRule>
  </conditionalFormatting>
  <conditionalFormatting sqref="L62:N62 P62:R62">
    <cfRule type="cellIs" dxfId="1175" priority="189" stopIfTrue="1" operator="lessThan">
      <formula>0</formula>
    </cfRule>
  </conditionalFormatting>
  <conditionalFormatting sqref="H62">
    <cfRule type="cellIs" dxfId="1174" priority="184" stopIfTrue="1" operator="between">
      <formula>2000</formula>
      <formula>2001</formula>
    </cfRule>
    <cfRule type="cellIs" dxfId="1173" priority="185" stopIfTrue="1" operator="between">
      <formula>2002</formula>
      <formula>2020</formula>
    </cfRule>
    <cfRule type="cellIs" dxfId="1172" priority="186" stopIfTrue="1" operator="between">
      <formula>1998</formula>
      <formula>1999</formula>
    </cfRule>
    <cfRule type="cellIs" dxfId="1171" priority="187" stopIfTrue="1" operator="between">
      <formula>1995</formula>
      <formula>1997</formula>
    </cfRule>
    <cfRule type="cellIs" dxfId="1170" priority="188" stopIfTrue="1" operator="lessThan">
      <formula>1995</formula>
    </cfRule>
  </conditionalFormatting>
  <conditionalFormatting sqref="W62">
    <cfRule type="cellIs" dxfId="1169" priority="183" operator="lessThan">
      <formula>0</formula>
    </cfRule>
  </conditionalFormatting>
  <conditionalFormatting sqref="V62">
    <cfRule type="cellIs" dxfId="1168" priority="182" operator="equal">
      <formula>"DEB"</formula>
    </cfRule>
  </conditionalFormatting>
  <conditionalFormatting sqref="E65">
    <cfRule type="cellIs" dxfId="1167" priority="181" stopIfTrue="1" operator="notBetween">
      <formula>1</formula>
      <formula>100000</formula>
    </cfRule>
  </conditionalFormatting>
  <conditionalFormatting sqref="L65:N65 P65:R65">
    <cfRule type="cellIs" dxfId="1166" priority="177" stopIfTrue="1" operator="lessThan">
      <formula>0</formula>
    </cfRule>
  </conditionalFormatting>
  <conditionalFormatting sqref="H65">
    <cfRule type="cellIs" dxfId="1165" priority="172" stopIfTrue="1" operator="between">
      <formula>2000</formula>
      <formula>2001</formula>
    </cfRule>
    <cfRule type="cellIs" dxfId="1164" priority="173" stopIfTrue="1" operator="between">
      <formula>2002</formula>
      <formula>2020</formula>
    </cfRule>
    <cfRule type="cellIs" dxfId="1163" priority="174" stopIfTrue="1" operator="between">
      <formula>1998</formula>
      <formula>1999</formula>
    </cfRule>
    <cfRule type="cellIs" dxfId="1162" priority="175" stopIfTrue="1" operator="between">
      <formula>1995</formula>
      <formula>1997</formula>
    </cfRule>
    <cfRule type="cellIs" dxfId="1161" priority="176" stopIfTrue="1" operator="lessThan">
      <formula>1995</formula>
    </cfRule>
  </conditionalFormatting>
  <conditionalFormatting sqref="W65">
    <cfRule type="cellIs" dxfId="1160" priority="171" operator="lessThan">
      <formula>0</formula>
    </cfRule>
  </conditionalFormatting>
  <conditionalFormatting sqref="V65">
    <cfRule type="cellIs" dxfId="1159" priority="170" operator="equal">
      <formula>"DEB"</formula>
    </cfRule>
  </conditionalFormatting>
  <conditionalFormatting sqref="E63">
    <cfRule type="cellIs" dxfId="1158" priority="145" stopIfTrue="1" operator="notBetween">
      <formula>1</formula>
      <formula>100000</formula>
    </cfRule>
  </conditionalFormatting>
  <conditionalFormatting sqref="K63">
    <cfRule type="cellIs" dxfId="1157" priority="142" stopIfTrue="1" operator="notEqual">
      <formula>"F"</formula>
    </cfRule>
  </conditionalFormatting>
  <conditionalFormatting sqref="L63:N63">
    <cfRule type="cellIs" dxfId="1156" priority="141" stopIfTrue="1" operator="lessThan">
      <formula>0</formula>
    </cfRule>
  </conditionalFormatting>
  <conditionalFormatting sqref="P63:R63">
    <cfRule type="cellIs" dxfId="1155" priority="140" stopIfTrue="1" operator="lessThan">
      <formula>0</formula>
    </cfRule>
  </conditionalFormatting>
  <conditionalFormatting sqref="H63">
    <cfRule type="cellIs" dxfId="1154" priority="135" stopIfTrue="1" operator="between">
      <formula>2000</formula>
      <formula>2001</formula>
    </cfRule>
    <cfRule type="cellIs" dxfId="1153" priority="136" stopIfTrue="1" operator="between">
      <formula>2002</formula>
      <formula>2020</formula>
    </cfRule>
    <cfRule type="cellIs" dxfId="1152" priority="137" stopIfTrue="1" operator="between">
      <formula>1998</formula>
      <formula>1999</formula>
    </cfRule>
    <cfRule type="cellIs" dxfId="1151" priority="138" stopIfTrue="1" operator="between">
      <formula>1995</formula>
      <formula>1997</formula>
    </cfRule>
    <cfRule type="cellIs" dxfId="1150" priority="139" stopIfTrue="1" operator="lessThan">
      <formula>1995</formula>
    </cfRule>
  </conditionalFormatting>
  <conditionalFormatting sqref="W63">
    <cfRule type="cellIs" dxfId="1149" priority="134" operator="lessThan">
      <formula>0</formula>
    </cfRule>
  </conditionalFormatting>
  <conditionalFormatting sqref="V63">
    <cfRule type="cellIs" dxfId="1148" priority="133" operator="equal">
      <formula>"DEB"</formula>
    </cfRule>
  </conditionalFormatting>
  <conditionalFormatting sqref="E70">
    <cfRule type="cellIs" dxfId="1147" priority="132" stopIfTrue="1" operator="notBetween">
      <formula>1</formula>
      <formula>100000</formula>
    </cfRule>
  </conditionalFormatting>
  <conditionalFormatting sqref="K70">
    <cfRule type="cellIs" dxfId="1146" priority="129" stopIfTrue="1" operator="notEqual">
      <formula>"F"</formula>
    </cfRule>
  </conditionalFormatting>
  <conditionalFormatting sqref="L70:N70">
    <cfRule type="cellIs" dxfId="1145" priority="128" stopIfTrue="1" operator="lessThan">
      <formula>0</formula>
    </cfRule>
  </conditionalFormatting>
  <conditionalFormatting sqref="P70:R70">
    <cfRule type="cellIs" dxfId="1144" priority="127" stopIfTrue="1" operator="lessThan">
      <formula>0</formula>
    </cfRule>
  </conditionalFormatting>
  <conditionalFormatting sqref="H70">
    <cfRule type="cellIs" dxfId="1143" priority="122" stopIfTrue="1" operator="between">
      <formula>2000</formula>
      <formula>2001</formula>
    </cfRule>
    <cfRule type="cellIs" dxfId="1142" priority="123" stopIfTrue="1" operator="between">
      <formula>2002</formula>
      <formula>2020</formula>
    </cfRule>
    <cfRule type="cellIs" dxfId="1141" priority="124" stopIfTrue="1" operator="between">
      <formula>1998</formula>
      <formula>1999</formula>
    </cfRule>
    <cfRule type="cellIs" dxfId="1140" priority="125" stopIfTrue="1" operator="between">
      <formula>1995</formula>
      <formula>1997</formula>
    </cfRule>
    <cfRule type="cellIs" dxfId="1139" priority="126" stopIfTrue="1" operator="lessThan">
      <formula>1995</formula>
    </cfRule>
  </conditionalFormatting>
  <conditionalFormatting sqref="W70">
    <cfRule type="cellIs" dxfId="1138" priority="121" operator="lessThan">
      <formula>0</formula>
    </cfRule>
  </conditionalFormatting>
  <conditionalFormatting sqref="V70">
    <cfRule type="cellIs" dxfId="1137" priority="120" operator="equal">
      <formula>"DEB"</formula>
    </cfRule>
  </conditionalFormatting>
  <conditionalFormatting sqref="E74">
    <cfRule type="cellIs" dxfId="1136" priority="119" stopIfTrue="1" operator="notBetween">
      <formula>1</formula>
      <formula>100000</formula>
    </cfRule>
  </conditionalFormatting>
  <conditionalFormatting sqref="K74">
    <cfRule type="cellIs" dxfId="1135" priority="116" stopIfTrue="1" operator="notEqual">
      <formula>"F"</formula>
    </cfRule>
  </conditionalFormatting>
  <conditionalFormatting sqref="L74:N74">
    <cfRule type="cellIs" dxfId="1134" priority="115" stopIfTrue="1" operator="lessThan">
      <formula>0</formula>
    </cfRule>
  </conditionalFormatting>
  <conditionalFormatting sqref="P74:R74">
    <cfRule type="cellIs" dxfId="1133" priority="114" stopIfTrue="1" operator="lessThan">
      <formula>0</formula>
    </cfRule>
  </conditionalFormatting>
  <conditionalFormatting sqref="H74">
    <cfRule type="cellIs" dxfId="1132" priority="109" stopIfTrue="1" operator="between">
      <formula>2000</formula>
      <formula>2001</formula>
    </cfRule>
    <cfRule type="cellIs" dxfId="1131" priority="110" stopIfTrue="1" operator="between">
      <formula>2002</formula>
      <formula>2020</formula>
    </cfRule>
    <cfRule type="cellIs" dxfId="1130" priority="111" stopIfTrue="1" operator="between">
      <formula>1998</formula>
      <formula>1999</formula>
    </cfRule>
    <cfRule type="cellIs" dxfId="1129" priority="112" stopIfTrue="1" operator="between">
      <formula>1995</formula>
      <formula>1997</formula>
    </cfRule>
    <cfRule type="cellIs" dxfId="1128" priority="113" stopIfTrue="1" operator="lessThan">
      <formula>1995</formula>
    </cfRule>
  </conditionalFormatting>
  <conditionalFormatting sqref="W74">
    <cfRule type="cellIs" dxfId="1127" priority="108" operator="lessThan">
      <formula>0</formula>
    </cfRule>
  </conditionalFormatting>
  <conditionalFormatting sqref="V74">
    <cfRule type="cellIs" dxfId="1126" priority="107" operator="equal">
      <formula>"DEB"</formula>
    </cfRule>
  </conditionalFormatting>
  <conditionalFormatting sqref="E2">
    <cfRule type="cellIs" dxfId="1125" priority="102" stopIfTrue="1" operator="notBetween">
      <formula>1</formula>
      <formula>100000</formula>
    </cfRule>
  </conditionalFormatting>
  <conditionalFormatting sqref="A2">
    <cfRule type="containsText" dxfId="1124" priority="100" stopIfTrue="1" operator="containsText" text="H">
      <formula>NOT(ISERROR(SEARCH("H",A2)))</formula>
    </cfRule>
    <cfRule type="containsText" dxfId="1123" priority="101" stopIfTrue="1" operator="containsText" text="F">
      <formula>NOT(ISERROR(SEARCH("F",A2)))</formula>
    </cfRule>
  </conditionalFormatting>
  <conditionalFormatting sqref="K2">
    <cfRule type="cellIs" dxfId="1122" priority="99" stopIfTrue="1" operator="notEqual">
      <formula>"F"</formula>
    </cfRule>
  </conditionalFormatting>
  <conditionalFormatting sqref="L2:N2 P2:R2">
    <cfRule type="cellIs" dxfId="1121" priority="98" stopIfTrue="1" operator="lessThan">
      <formula>0</formula>
    </cfRule>
  </conditionalFormatting>
  <conditionalFormatting sqref="H2">
    <cfRule type="cellIs" dxfId="1120" priority="93" stopIfTrue="1" operator="between">
      <formula>2000</formula>
      <formula>2001</formula>
    </cfRule>
    <cfRule type="cellIs" dxfId="1119" priority="94" stopIfTrue="1" operator="between">
      <formula>2002</formula>
      <formula>2020</formula>
    </cfRule>
    <cfRule type="cellIs" dxfId="1118" priority="95" stopIfTrue="1" operator="between">
      <formula>1998</formula>
      <formula>1999</formula>
    </cfRule>
    <cfRule type="cellIs" dxfId="1117" priority="96" stopIfTrue="1" operator="between">
      <formula>1995</formula>
      <formula>1997</formula>
    </cfRule>
    <cfRule type="cellIs" dxfId="1116" priority="97" stopIfTrue="1" operator="lessThan">
      <formula>1995</formula>
    </cfRule>
  </conditionalFormatting>
  <conditionalFormatting sqref="W2">
    <cfRule type="cellIs" dxfId="1115" priority="92" operator="lessThan">
      <formula>0</formula>
    </cfRule>
  </conditionalFormatting>
  <conditionalFormatting sqref="V2">
    <cfRule type="cellIs" dxfId="1114" priority="91" operator="equal">
      <formula>"DEB"</formula>
    </cfRule>
  </conditionalFormatting>
  <conditionalFormatting sqref="E6">
    <cfRule type="cellIs" dxfId="1113" priority="90" stopIfTrue="1" operator="notBetween">
      <formula>1</formula>
      <formula>100000</formula>
    </cfRule>
  </conditionalFormatting>
  <conditionalFormatting sqref="A6">
    <cfRule type="containsText" dxfId="1112" priority="88" stopIfTrue="1" operator="containsText" text="H">
      <formula>NOT(ISERROR(SEARCH("H",A6)))</formula>
    </cfRule>
    <cfRule type="containsText" dxfId="1111" priority="89" stopIfTrue="1" operator="containsText" text="F">
      <formula>NOT(ISERROR(SEARCH("F",A6)))</formula>
    </cfRule>
  </conditionalFormatting>
  <conditionalFormatting sqref="K6">
    <cfRule type="cellIs" dxfId="1110" priority="87" stopIfTrue="1" operator="notEqual">
      <formula>"F"</formula>
    </cfRule>
  </conditionalFormatting>
  <conditionalFormatting sqref="L6:N6 P6:R6">
    <cfRule type="cellIs" dxfId="1109" priority="86" stopIfTrue="1" operator="lessThan">
      <formula>0</formula>
    </cfRule>
  </conditionalFormatting>
  <conditionalFormatting sqref="H6">
    <cfRule type="cellIs" dxfId="1108" priority="81" stopIfTrue="1" operator="between">
      <formula>2000</formula>
      <formula>2001</formula>
    </cfRule>
    <cfRule type="cellIs" dxfId="1107" priority="82" stopIfTrue="1" operator="between">
      <formula>2002</formula>
      <formula>2020</formula>
    </cfRule>
    <cfRule type="cellIs" dxfId="1106" priority="83" stopIfTrue="1" operator="between">
      <formula>1998</formula>
      <formula>1999</formula>
    </cfRule>
    <cfRule type="cellIs" dxfId="1105" priority="84" stopIfTrue="1" operator="between">
      <formula>1995</formula>
      <formula>1997</formula>
    </cfRule>
    <cfRule type="cellIs" dxfId="1104" priority="85" stopIfTrue="1" operator="lessThan">
      <formula>1995</formula>
    </cfRule>
  </conditionalFormatting>
  <conditionalFormatting sqref="W6">
    <cfRule type="cellIs" dxfId="1103" priority="80" operator="lessThan">
      <formula>0</formula>
    </cfRule>
  </conditionalFormatting>
  <conditionalFormatting sqref="V6">
    <cfRule type="cellIs" dxfId="1102" priority="79" operator="equal">
      <formula>"DEB"</formula>
    </cfRule>
  </conditionalFormatting>
  <conditionalFormatting sqref="E18">
    <cfRule type="cellIs" dxfId="1101" priority="78" stopIfTrue="1" operator="notBetween">
      <formula>1</formula>
      <formula>100000</formula>
    </cfRule>
  </conditionalFormatting>
  <conditionalFormatting sqref="A18">
    <cfRule type="containsText" dxfId="1100" priority="76" stopIfTrue="1" operator="containsText" text="H">
      <formula>NOT(ISERROR(SEARCH("H",A18)))</formula>
    </cfRule>
    <cfRule type="containsText" dxfId="1099" priority="77" stopIfTrue="1" operator="containsText" text="F">
      <formula>NOT(ISERROR(SEARCH("F",A18)))</formula>
    </cfRule>
  </conditionalFormatting>
  <conditionalFormatting sqref="K18">
    <cfRule type="cellIs" dxfId="1098" priority="75" stopIfTrue="1" operator="notEqual">
      <formula>"F"</formula>
    </cfRule>
  </conditionalFormatting>
  <conditionalFormatting sqref="L18:N18 P18:R18">
    <cfRule type="cellIs" dxfId="1097" priority="74" stopIfTrue="1" operator="lessThan">
      <formula>0</formula>
    </cfRule>
  </conditionalFormatting>
  <conditionalFormatting sqref="H18">
    <cfRule type="cellIs" dxfId="1096" priority="69" stopIfTrue="1" operator="between">
      <formula>2000</formula>
      <formula>2001</formula>
    </cfRule>
    <cfRule type="cellIs" dxfId="1095" priority="70" stopIfTrue="1" operator="between">
      <formula>2002</formula>
      <formula>2020</formula>
    </cfRule>
    <cfRule type="cellIs" dxfId="1094" priority="71" stopIfTrue="1" operator="between">
      <formula>1998</formula>
      <formula>1999</formula>
    </cfRule>
    <cfRule type="cellIs" dxfId="1093" priority="72" stopIfTrue="1" operator="between">
      <formula>1995</formula>
      <formula>1997</formula>
    </cfRule>
    <cfRule type="cellIs" dxfId="1092" priority="73" stopIfTrue="1" operator="lessThan">
      <formula>1995</formula>
    </cfRule>
  </conditionalFormatting>
  <conditionalFormatting sqref="W18">
    <cfRule type="cellIs" dxfId="1091" priority="68" operator="lessThan">
      <formula>0</formula>
    </cfRule>
  </conditionalFormatting>
  <conditionalFormatting sqref="V18">
    <cfRule type="cellIs" dxfId="1090" priority="67" operator="equal">
      <formula>"DEB"</formula>
    </cfRule>
  </conditionalFormatting>
  <conditionalFormatting sqref="E39">
    <cfRule type="cellIs" dxfId="1089" priority="66" stopIfTrue="1" operator="notBetween">
      <formula>1</formula>
      <formula>100000</formula>
    </cfRule>
  </conditionalFormatting>
  <conditionalFormatting sqref="A39">
    <cfRule type="containsText" dxfId="1088" priority="64" stopIfTrue="1" operator="containsText" text="H">
      <formula>NOT(ISERROR(SEARCH("H",A39)))</formula>
    </cfRule>
    <cfRule type="containsText" dxfId="1087" priority="65" stopIfTrue="1" operator="containsText" text="F">
      <formula>NOT(ISERROR(SEARCH("F",A39)))</formula>
    </cfRule>
  </conditionalFormatting>
  <conditionalFormatting sqref="K39">
    <cfRule type="cellIs" dxfId="1086" priority="63" stopIfTrue="1" operator="notEqual">
      <formula>"F"</formula>
    </cfRule>
  </conditionalFormatting>
  <conditionalFormatting sqref="L39:N39 P39:R39">
    <cfRule type="cellIs" dxfId="1085" priority="62" stopIfTrue="1" operator="lessThan">
      <formula>0</formula>
    </cfRule>
  </conditionalFormatting>
  <conditionalFormatting sqref="H39">
    <cfRule type="cellIs" dxfId="1084" priority="57" stopIfTrue="1" operator="between">
      <formula>2000</formula>
      <formula>2001</formula>
    </cfRule>
    <cfRule type="cellIs" dxfId="1083" priority="58" stopIfTrue="1" operator="between">
      <formula>2002</formula>
      <formula>2020</formula>
    </cfRule>
    <cfRule type="cellIs" dxfId="1082" priority="59" stopIfTrue="1" operator="between">
      <formula>1998</formula>
      <formula>1999</formula>
    </cfRule>
    <cfRule type="cellIs" dxfId="1081" priority="60" stopIfTrue="1" operator="between">
      <formula>1995</formula>
      <formula>1997</formula>
    </cfRule>
    <cfRule type="cellIs" dxfId="1080" priority="61" stopIfTrue="1" operator="lessThan">
      <formula>1995</formula>
    </cfRule>
  </conditionalFormatting>
  <conditionalFormatting sqref="W39">
    <cfRule type="cellIs" dxfId="1079" priority="56" operator="lessThan">
      <formula>0</formula>
    </cfRule>
  </conditionalFormatting>
  <conditionalFormatting sqref="V39">
    <cfRule type="cellIs" dxfId="1078" priority="55" operator="equal">
      <formula>"DEB"</formula>
    </cfRule>
  </conditionalFormatting>
  <conditionalFormatting sqref="E58">
    <cfRule type="cellIs" dxfId="1077" priority="54" stopIfTrue="1" operator="notBetween">
      <formula>1</formula>
      <formula>100000</formula>
    </cfRule>
  </conditionalFormatting>
  <conditionalFormatting sqref="A58">
    <cfRule type="containsText" dxfId="1076" priority="52" stopIfTrue="1" operator="containsText" text="H">
      <formula>NOT(ISERROR(SEARCH("H",A58)))</formula>
    </cfRule>
    <cfRule type="containsText" dxfId="1075" priority="53" stopIfTrue="1" operator="containsText" text="F">
      <formula>NOT(ISERROR(SEARCH("F",A58)))</formula>
    </cfRule>
  </conditionalFormatting>
  <conditionalFormatting sqref="K58">
    <cfRule type="cellIs" dxfId="1074" priority="51" stopIfTrue="1" operator="notEqual">
      <formula>"F"</formula>
    </cfRule>
  </conditionalFormatting>
  <conditionalFormatting sqref="L58:N58 P58:R58">
    <cfRule type="cellIs" dxfId="1073" priority="50" stopIfTrue="1" operator="lessThan">
      <formula>0</formula>
    </cfRule>
  </conditionalFormatting>
  <conditionalFormatting sqref="H58">
    <cfRule type="cellIs" dxfId="1072" priority="45" stopIfTrue="1" operator="between">
      <formula>2000</formula>
      <formula>2001</formula>
    </cfRule>
    <cfRule type="cellIs" dxfId="1071" priority="46" stopIfTrue="1" operator="between">
      <formula>2002</formula>
      <formula>2020</formula>
    </cfRule>
    <cfRule type="cellIs" dxfId="1070" priority="47" stopIfTrue="1" operator="between">
      <formula>1998</formula>
      <formula>1999</formula>
    </cfRule>
    <cfRule type="cellIs" dxfId="1069" priority="48" stopIfTrue="1" operator="between">
      <formula>1995</formula>
      <formula>1997</formula>
    </cfRule>
    <cfRule type="cellIs" dxfId="1068" priority="49" stopIfTrue="1" operator="lessThan">
      <formula>1995</formula>
    </cfRule>
  </conditionalFormatting>
  <conditionalFormatting sqref="W58">
    <cfRule type="cellIs" dxfId="1067" priority="44" operator="lessThan">
      <formula>0</formula>
    </cfRule>
  </conditionalFormatting>
  <conditionalFormatting sqref="V58">
    <cfRule type="cellIs" dxfId="1066" priority="43" operator="equal">
      <formula>"DEB"</formula>
    </cfRule>
  </conditionalFormatting>
  <conditionalFormatting sqref="E78">
    <cfRule type="cellIs" dxfId="1065" priority="42" stopIfTrue="1" operator="notBetween">
      <formula>1</formula>
      <formula>100000</formula>
    </cfRule>
  </conditionalFormatting>
  <conditionalFormatting sqref="A78">
    <cfRule type="containsText" dxfId="1064" priority="40" stopIfTrue="1" operator="containsText" text="H">
      <formula>NOT(ISERROR(SEARCH("H",A78)))</formula>
    </cfRule>
    <cfRule type="containsText" dxfId="1063" priority="41" stopIfTrue="1" operator="containsText" text="F">
      <formula>NOT(ISERROR(SEARCH("F",A78)))</formula>
    </cfRule>
  </conditionalFormatting>
  <conditionalFormatting sqref="K78">
    <cfRule type="cellIs" dxfId="1062" priority="39" stopIfTrue="1" operator="notEqual">
      <formula>"F"</formula>
    </cfRule>
  </conditionalFormatting>
  <conditionalFormatting sqref="L78:N78 P78:R78">
    <cfRule type="cellIs" dxfId="1061" priority="38" stopIfTrue="1" operator="lessThan">
      <formula>0</formula>
    </cfRule>
  </conditionalFormatting>
  <conditionalFormatting sqref="H78">
    <cfRule type="cellIs" dxfId="1060" priority="33" stopIfTrue="1" operator="between">
      <formula>2000</formula>
      <formula>2001</formula>
    </cfRule>
    <cfRule type="cellIs" dxfId="1059" priority="34" stopIfTrue="1" operator="between">
      <formula>2002</formula>
      <formula>2020</formula>
    </cfRule>
    <cfRule type="cellIs" dxfId="1058" priority="35" stopIfTrue="1" operator="between">
      <formula>1998</formula>
      <formula>1999</formula>
    </cfRule>
    <cfRule type="cellIs" dxfId="1057" priority="36" stopIfTrue="1" operator="between">
      <formula>1995</formula>
      <formula>1997</formula>
    </cfRule>
    <cfRule type="cellIs" dxfId="1056" priority="37" stopIfTrue="1" operator="lessThan">
      <formula>1995</formula>
    </cfRule>
  </conditionalFormatting>
  <conditionalFormatting sqref="W78">
    <cfRule type="cellIs" dxfId="1055" priority="32" operator="lessThan">
      <formula>0</formula>
    </cfRule>
  </conditionalFormatting>
  <conditionalFormatting sqref="V78">
    <cfRule type="cellIs" dxfId="1054" priority="31" operator="equal">
      <formula>"DEB"</formula>
    </cfRule>
  </conditionalFormatting>
  <conditionalFormatting sqref="E89">
    <cfRule type="cellIs" dxfId="1053" priority="30" stopIfTrue="1" operator="notBetween">
      <formula>1</formula>
      <formula>100000</formula>
    </cfRule>
  </conditionalFormatting>
  <conditionalFormatting sqref="A89">
    <cfRule type="containsText" dxfId="1052" priority="28" stopIfTrue="1" operator="containsText" text="H">
      <formula>NOT(ISERROR(SEARCH("H",A89)))</formula>
    </cfRule>
    <cfRule type="containsText" dxfId="1051" priority="29" stopIfTrue="1" operator="containsText" text="F">
      <formula>NOT(ISERROR(SEARCH("F",A89)))</formula>
    </cfRule>
  </conditionalFormatting>
  <conditionalFormatting sqref="K89">
    <cfRule type="cellIs" dxfId="1050" priority="27" stopIfTrue="1" operator="notEqual">
      <formula>"F"</formula>
    </cfRule>
  </conditionalFormatting>
  <conditionalFormatting sqref="L89:N89 P89:R89">
    <cfRule type="cellIs" dxfId="1049" priority="26" stopIfTrue="1" operator="lessThan">
      <formula>0</formula>
    </cfRule>
  </conditionalFormatting>
  <conditionalFormatting sqref="H89">
    <cfRule type="cellIs" dxfId="1048" priority="21" stopIfTrue="1" operator="between">
      <formula>2000</formula>
      <formula>2001</formula>
    </cfRule>
    <cfRule type="cellIs" dxfId="1047" priority="22" stopIfTrue="1" operator="between">
      <formula>2002</formula>
      <formula>2020</formula>
    </cfRule>
    <cfRule type="cellIs" dxfId="1046" priority="23" stopIfTrue="1" operator="between">
      <formula>1998</formula>
      <formula>1999</formula>
    </cfRule>
    <cfRule type="cellIs" dxfId="1045" priority="24" stopIfTrue="1" operator="between">
      <formula>1995</formula>
      <formula>1997</formula>
    </cfRule>
    <cfRule type="cellIs" dxfId="1044" priority="25" stopIfTrue="1" operator="lessThan">
      <formula>1995</formula>
    </cfRule>
  </conditionalFormatting>
  <conditionalFormatting sqref="W89">
    <cfRule type="cellIs" dxfId="1043" priority="20" operator="lessThan">
      <formula>0</formula>
    </cfRule>
  </conditionalFormatting>
  <conditionalFormatting sqref="V89">
    <cfRule type="cellIs" dxfId="1042" priority="19" operator="equal">
      <formula>"DEB"</formula>
    </cfRule>
  </conditionalFormatting>
  <conditionalFormatting sqref="E97">
    <cfRule type="cellIs" dxfId="1041" priority="18" stopIfTrue="1" operator="notBetween">
      <formula>1</formula>
      <formula>100000</formula>
    </cfRule>
  </conditionalFormatting>
  <conditionalFormatting sqref="A97">
    <cfRule type="containsText" dxfId="1040" priority="16" stopIfTrue="1" operator="containsText" text="H">
      <formula>NOT(ISERROR(SEARCH("H",A97)))</formula>
    </cfRule>
    <cfRule type="containsText" dxfId="1039" priority="17" stopIfTrue="1" operator="containsText" text="F">
      <formula>NOT(ISERROR(SEARCH("F",A97)))</formula>
    </cfRule>
  </conditionalFormatting>
  <conditionalFormatting sqref="K97">
    <cfRule type="cellIs" dxfId="1038" priority="15" stopIfTrue="1" operator="notEqual">
      <formula>"F"</formula>
    </cfRule>
  </conditionalFormatting>
  <conditionalFormatting sqref="L97:N97 P97:R97">
    <cfRule type="cellIs" dxfId="1037" priority="14" stopIfTrue="1" operator="lessThan">
      <formula>0</formula>
    </cfRule>
  </conditionalFormatting>
  <conditionalFormatting sqref="H97">
    <cfRule type="cellIs" dxfId="1036" priority="9" stopIfTrue="1" operator="between">
      <formula>2000</formula>
      <formula>2001</formula>
    </cfRule>
    <cfRule type="cellIs" dxfId="1035" priority="10" stopIfTrue="1" operator="between">
      <formula>2002</formula>
      <formula>2020</formula>
    </cfRule>
    <cfRule type="cellIs" dxfId="1034" priority="11" stopIfTrue="1" operator="between">
      <formula>1998</formula>
      <formula>1999</formula>
    </cfRule>
    <cfRule type="cellIs" dxfId="1033" priority="12" stopIfTrue="1" operator="between">
      <formula>1995</formula>
      <formula>1997</formula>
    </cfRule>
    <cfRule type="cellIs" dxfId="1032" priority="13" stopIfTrue="1" operator="lessThan">
      <formula>1995</formula>
    </cfRule>
  </conditionalFormatting>
  <conditionalFormatting sqref="W97">
    <cfRule type="cellIs" dxfId="1031" priority="8" operator="lessThan">
      <formula>0</formula>
    </cfRule>
  </conditionalFormatting>
  <conditionalFormatting sqref="V97">
    <cfRule type="cellIs" dxfId="1030" priority="7" operator="equal">
      <formula>"DEB"</formula>
    </cfRule>
  </conditionalFormatting>
  <conditionalFormatting sqref="K65">
    <cfRule type="cellIs" dxfId="1029" priority="4" stopIfTrue="1" operator="notEqual">
      <formula>"F"</formula>
    </cfRule>
  </conditionalFormatting>
  <conditionalFormatting sqref="K54">
    <cfRule type="cellIs" dxfId="1028" priority="3" stopIfTrue="1" operator="notEqual">
      <formula>"F"</formula>
    </cfRule>
  </conditionalFormatting>
  <conditionalFormatting sqref="K47">
    <cfRule type="cellIs" dxfId="1027" priority="2" stopIfTrue="1" operator="notEqual">
      <formula>"F"</formula>
    </cfRule>
  </conditionalFormatting>
  <conditionalFormatting sqref="K26:K33">
    <cfRule type="cellIs" dxfId="1026" priority="1" stopIfTrue="1" operator="notEqual">
      <formula>"F"</formula>
    </cfRule>
  </conditionalFormatting>
  <dataValidations count="1">
    <dataValidation type="list" allowBlank="1" showInputMessage="1" showErrorMessage="1" sqref="A2:A97" xr:uid="{00000000-0002-0000-0200-000000000000}">
      <formula1>"H,F"</formula1>
    </dataValidation>
  </dataValidations>
  <printOptions horizontalCentered="1" verticalCentered="1"/>
  <pageMargins left="0.19685039370078741" right="0" top="0" bottom="0" header="0" footer="0"/>
  <pageSetup paperSize="9" scale="44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 filterMode="1">
    <tabColor theme="9" tint="-0.249977111117893"/>
  </sheetPr>
  <dimension ref="A1:BC1889"/>
  <sheetViews>
    <sheetView view="pageBreakPreview" zoomScale="80" zoomScaleNormal="75" zoomScaleSheetLayoutView="80" workbookViewId="0">
      <selection activeCell="Y91" sqref="A13:Y91"/>
    </sheetView>
  </sheetViews>
  <sheetFormatPr baseColWidth="10" defaultRowHeight="12.75" x14ac:dyDescent="0.2"/>
  <cols>
    <col min="1" max="1" width="7.5703125" style="4" bestFit="1" customWidth="1"/>
    <col min="2" max="2" width="6.5703125" style="4" bestFit="1" customWidth="1"/>
    <col min="3" max="3" width="6.28515625" style="4" customWidth="1"/>
    <col min="4" max="4" width="6.28515625" style="59" customWidth="1"/>
    <col min="5" max="5" width="10.140625" style="4" customWidth="1"/>
    <col min="6" max="6" width="25" style="5" customWidth="1"/>
    <col min="7" max="7" width="16.140625" style="5" customWidth="1"/>
    <col min="8" max="8" width="7" style="5" bestFit="1" customWidth="1"/>
    <col min="9" max="9" width="9.42578125" style="5" customWidth="1"/>
    <col min="10" max="10" width="27.28515625" style="14" customWidth="1"/>
    <col min="11" max="11" width="5.7109375" style="5" customWidth="1"/>
    <col min="12" max="14" width="6.7109375" style="5" customWidth="1"/>
    <col min="15" max="15" width="8.140625" style="5" customWidth="1"/>
    <col min="16" max="19" width="6.7109375" style="5" customWidth="1"/>
    <col min="20" max="21" width="8.85546875" style="5" customWidth="1"/>
    <col min="22" max="22" width="7.85546875" style="5" customWidth="1"/>
    <col min="23" max="23" width="5.28515625" style="15" customWidth="1"/>
    <col min="24" max="24" width="8.85546875" style="14" customWidth="1"/>
    <col min="25" max="25" width="8.85546875" style="5" customWidth="1"/>
    <col min="26" max="27" width="8.85546875" style="5" hidden="1" customWidth="1"/>
    <col min="28" max="44" width="18.28515625" style="5" hidden="1" customWidth="1"/>
    <col min="45" max="52" width="11.42578125" style="5" hidden="1" customWidth="1"/>
    <col min="53" max="55" width="11.42578125" style="5" customWidth="1"/>
    <col min="56" max="16384" width="11.42578125" style="5"/>
  </cols>
  <sheetData>
    <row r="1" spans="1:55" s="11" customFormat="1" ht="13.5" customHeight="1" thickTop="1" thickBot="1" x14ac:dyDescent="0.25">
      <c r="A1" s="6" t="s">
        <v>54</v>
      </c>
      <c r="B1" s="7" t="s">
        <v>70</v>
      </c>
      <c r="C1" s="8" t="s">
        <v>0</v>
      </c>
      <c r="D1" s="60" t="s">
        <v>68</v>
      </c>
      <c r="E1" s="9" t="s">
        <v>1</v>
      </c>
      <c r="F1" s="10" t="s">
        <v>3</v>
      </c>
      <c r="G1" s="10" t="s">
        <v>4</v>
      </c>
      <c r="H1" s="10" t="s">
        <v>67</v>
      </c>
      <c r="I1" s="10" t="s">
        <v>6</v>
      </c>
      <c r="J1" s="10" t="s">
        <v>5</v>
      </c>
      <c r="K1" s="10" t="s">
        <v>2</v>
      </c>
      <c r="L1" s="10">
        <v>1</v>
      </c>
      <c r="M1" s="10">
        <v>2</v>
      </c>
      <c r="N1" s="10">
        <v>3</v>
      </c>
      <c r="O1" s="10" t="s">
        <v>7</v>
      </c>
      <c r="P1" s="10">
        <v>1</v>
      </c>
      <c r="Q1" s="10">
        <v>2</v>
      </c>
      <c r="R1" s="10">
        <v>3</v>
      </c>
      <c r="S1" s="10" t="s">
        <v>8</v>
      </c>
      <c r="T1" s="10" t="s">
        <v>9</v>
      </c>
      <c r="U1" s="38" t="s">
        <v>105</v>
      </c>
      <c r="V1" s="107" t="s">
        <v>66</v>
      </c>
      <c r="W1" s="108"/>
      <c r="X1" s="10" t="s">
        <v>11</v>
      </c>
      <c r="Y1" s="43" t="s">
        <v>10</v>
      </c>
      <c r="Z1" s="44"/>
      <c r="AA1" s="17" t="s">
        <v>12</v>
      </c>
      <c r="AB1" s="17" t="s">
        <v>104</v>
      </c>
      <c r="AC1" s="17" t="s">
        <v>55</v>
      </c>
      <c r="AD1" s="17" t="s">
        <v>56</v>
      </c>
      <c r="AE1" s="17" t="s">
        <v>57</v>
      </c>
      <c r="AF1" s="17" t="s">
        <v>58</v>
      </c>
      <c r="AG1" s="17" t="s">
        <v>59</v>
      </c>
      <c r="AH1" s="17" t="s">
        <v>60</v>
      </c>
      <c r="AI1" s="17" t="s">
        <v>61</v>
      </c>
      <c r="AJ1" s="17" t="s">
        <v>62</v>
      </c>
    </row>
    <row r="2" spans="1:55" s="13" customFormat="1" ht="15" hidden="1" customHeight="1" thickBot="1" x14ac:dyDescent="0.25">
      <c r="A2" s="89"/>
      <c r="B2" s="90"/>
      <c r="C2" s="91"/>
      <c r="D2" s="92"/>
      <c r="E2" s="93"/>
      <c r="F2" s="94"/>
      <c r="G2" s="94"/>
      <c r="H2" s="95"/>
      <c r="I2" s="96"/>
      <c r="J2" s="91"/>
      <c r="K2" s="97"/>
      <c r="L2" s="98"/>
      <c r="M2" s="98"/>
      <c r="N2" s="98"/>
      <c r="O2" s="99"/>
      <c r="P2" s="98"/>
      <c r="Q2" s="98"/>
      <c r="R2" s="98"/>
      <c r="S2" s="99"/>
      <c r="T2" s="100"/>
      <c r="U2" s="101"/>
      <c r="V2" s="102"/>
      <c r="W2" s="103"/>
      <c r="X2" s="104"/>
      <c r="Y2" s="105"/>
      <c r="Z2" s="45"/>
      <c r="AA2" s="45" t="s">
        <v>12</v>
      </c>
      <c r="AB2" s="3" t="e">
        <f>T2-HLOOKUP(X2,Feuil1!$C$1:$BL$10,2,FALSE)</f>
        <v>#N/A</v>
      </c>
      <c r="AC2" s="3" t="e">
        <f>T2-HLOOKUP(X2,Feuil1!$C$1:$BL$10,3,FALSE)</f>
        <v>#N/A</v>
      </c>
      <c r="AD2" s="3" t="e">
        <f>T2-HLOOKUP(X2,Feuil1!$C$1:$BL$10,4,FALSE)</f>
        <v>#N/A</v>
      </c>
      <c r="AE2" s="3" t="e">
        <f>T2-HLOOKUP(X2,Feuil1!$C$1:$BL$10,5,FALSE)</f>
        <v>#N/A</v>
      </c>
      <c r="AF2" s="3" t="e">
        <f>T2-HLOOKUP(X2,Feuil1!$C$1:$BL$10,6,FALSE)</f>
        <v>#N/A</v>
      </c>
      <c r="AG2" s="3" t="e">
        <f>T2-HLOOKUP(X2,Feuil1!$C$1:$BL$10,7,FALSE)</f>
        <v>#N/A</v>
      </c>
      <c r="AH2" s="3" t="e">
        <f>T2-HLOOKUP(X2,Feuil1!$C$1:$BL$10,8,FALSE)</f>
        <v>#N/A</v>
      </c>
      <c r="AI2" s="3" t="e">
        <f>T2-HLOOKUP(X2,Feuil1!$C$1:$BL$10,9,FALSE)</f>
        <v>#N/A</v>
      </c>
      <c r="AJ2" s="3" t="e">
        <f>T2-HLOOKUP(X2,Feuil1!$C$1:$BL$10,10,FALSE)</f>
        <v>#N/A</v>
      </c>
      <c r="AK2" s="5"/>
      <c r="AL2" s="5"/>
      <c r="AM2" s="5"/>
      <c r="AN2" s="5"/>
      <c r="AO2" s="5"/>
      <c r="AP2" s="5"/>
      <c r="AQ2" s="5" t="e">
        <f t="shared" ref="AQ2" si="0">IF(AJ2&gt;=0,$AJ$1,IF(AI2&gt;=0,$AI$1,IF(AH2&gt;=0,$AH$1,IF(AG2&gt;=0,$AG$1,IF(AF2&gt;=0,$AF$1,IF(AE2&gt;=0,$AE$1,IF(AD2&gt;=0,$AD$1,IF(AC2&gt;=0,$AC$1,$AB$1))))))))</f>
        <v>#N/A</v>
      </c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</row>
    <row r="3" spans="1:55" s="13" customFormat="1" ht="21" hidden="1" x14ac:dyDescent="0.2">
      <c r="A3" s="12" t="s">
        <v>69</v>
      </c>
      <c r="B3" s="18" t="s">
        <v>71</v>
      </c>
      <c r="C3" s="19" t="s">
        <v>883</v>
      </c>
      <c r="D3" s="61">
        <v>1</v>
      </c>
      <c r="E3" s="35">
        <v>361701</v>
      </c>
      <c r="F3" s="24" t="s">
        <v>889</v>
      </c>
      <c r="G3" s="24" t="s">
        <v>148</v>
      </c>
      <c r="H3" s="51">
        <v>1995</v>
      </c>
      <c r="I3" s="30">
        <v>48</v>
      </c>
      <c r="J3" s="19" t="s">
        <v>886</v>
      </c>
      <c r="K3" s="34"/>
      <c r="L3" s="31">
        <v>43</v>
      </c>
      <c r="M3" s="31">
        <v>46</v>
      </c>
      <c r="N3" s="31">
        <v>-48</v>
      </c>
      <c r="O3" s="36">
        <f t="shared" ref="O3:O11" si="1">IF(H3="","",IF(MAXA(L3:N3)&lt;=0,0,MAXA(L3:N3)))</f>
        <v>46</v>
      </c>
      <c r="P3" s="31">
        <v>57</v>
      </c>
      <c r="Q3" s="31">
        <v>61</v>
      </c>
      <c r="R3" s="31">
        <v>-64</v>
      </c>
      <c r="S3" s="36">
        <f t="shared" ref="S3:S11" si="2">IF(H3="","",IF(MAXA(P3:R3)&lt;=0,0,MAXA(P3:R3)))</f>
        <v>61</v>
      </c>
      <c r="T3" s="37">
        <f t="shared" ref="T3:T11" si="3">IF(H3="","",IF(OR(O3=0,S3=0),0,O3+S3))</f>
        <v>107</v>
      </c>
      <c r="U3" s="64">
        <f t="shared" ref="U3:U11" si="4">T3-I3*2</f>
        <v>11</v>
      </c>
      <c r="V3" s="41" t="str">
        <f t="shared" ref="V3:V11" si="5">IF(H3="","",AQ3)</f>
        <v>NAT +</v>
      </c>
      <c r="W3" s="33">
        <f t="shared" ref="W3:W11" si="6">IF(AJ3&gt;=0,AJ3,IF(AI3&gt;=0,AI3,IF(AH3&gt;=0,AH3,IF(AG3&gt;=0,AG3,IF(AF3&gt;=0,AF3,IF(AE3&gt;=0,AE3,IF(AD3&gt;=0,AD3,IF(AC3&gt;=0,AC3,AB3))))))))</f>
        <v>12</v>
      </c>
      <c r="X3" s="40" t="str">
        <f>IF(I3="","",IF(A3="H",IF(OR(H3="SEN",H3&lt;1995),VLOOKUP(I3,Feuil1!$A$11:$F$29,6),IF(AND(H3&gt;1994,H3&lt;1998),VLOOKUP(I3,Feuil1!$A$11:$F$29,5),IF(AND(H3&gt;1997,H3&lt;2000),VLOOKUP(I3,Feuil1!$A$11:$F$29,4),IF(AND(H3&gt;1999,H3&lt;2002),VLOOKUP(I3,Feuil1!$A$11:$F$29,3),VLOOKUP(I3,Feuil1!$A$11:$F$29,2))))),IF(OR(H3="SEN",H3&lt;1995),VLOOKUP(I3,Feuil1!$G$11:$L$25,6),IF(AND(H3&gt;1994,H3&lt;1998),VLOOKUP(I3,Feuil1!$G$11:$L$25,5),IF(AND(H3&gt;1997,H3&lt;2000),VLOOKUP(I3,Feuil1!$G$11:$L$25,4),IF(AND(H3&gt;1999,H3&lt;2002),VLOOKUP(I3,Feuil1!$G$11:$L$25,3),VLOOKUP(I3,Feuil1!$G$11:$L$25,2)))))))</f>
        <v>FJ48</v>
      </c>
      <c r="Y3" s="39">
        <f t="shared" ref="Y3:Y11" si="7">IF(I3="","",IF(A3="H",10^(0.794358141*LOG(I3/174.393)^2)*T3,IF(A3="F",10^(0.89726074*LOG(I3/148.026)^2)*T3,"")))</f>
        <v>175.39717166604439</v>
      </c>
      <c r="Z3" s="45"/>
      <c r="AA3" s="45" t="s">
        <v>12</v>
      </c>
      <c r="AB3" s="3">
        <f>T3-HLOOKUP(X3,Feuil1!$C$1:$BL$10,2,FALSE)</f>
        <v>62</v>
      </c>
      <c r="AC3" s="3">
        <f>T3-HLOOKUP(X3,Feuil1!$C$1:$BL$10,3,FALSE)</f>
        <v>52</v>
      </c>
      <c r="AD3" s="3">
        <f>T3-HLOOKUP(X3,Feuil1!$C$1:$BL$10,4,FALSE)</f>
        <v>42</v>
      </c>
      <c r="AE3" s="3">
        <f>T3-HLOOKUP(X3,Feuil1!$C$1:$BL$10,5,FALSE)</f>
        <v>32</v>
      </c>
      <c r="AF3" s="3">
        <f>T3-HLOOKUP(X3,Feuil1!$C$1:$BL$10,6,FALSE)</f>
        <v>22</v>
      </c>
      <c r="AG3" s="3">
        <f>T3-HLOOKUP(X3,Feuil1!$C$1:$BL$10,7,FALSE)</f>
        <v>12</v>
      </c>
      <c r="AH3" s="3">
        <f>T3-HLOOKUP(X3,Feuil1!$C$1:$BL$10,8,FALSE)</f>
        <v>-3</v>
      </c>
      <c r="AI3" s="3">
        <f>T3-HLOOKUP(X3,Feuil1!$C$1:$BL$10,9,FALSE)</f>
        <v>-18</v>
      </c>
      <c r="AJ3" s="5">
        <f>T3-HLOOKUP(X3,Feuil1!$C$1:$BL$10,10,FALSE)</f>
        <v>-893</v>
      </c>
      <c r="AK3" s="5"/>
      <c r="AL3" s="5"/>
      <c r="AM3" s="5"/>
      <c r="AN3" s="5"/>
      <c r="AO3" s="5"/>
      <c r="AP3" s="5"/>
      <c r="AQ3" s="5" t="str">
        <f t="shared" ref="AQ3:AQ11" si="8">IF(AJ3&gt;=0,$AJ$1,IF(AI3&gt;=0,$AI$1,IF(AH3&gt;=0,$AH$1,IF(AG3&gt;=0,$AG$1,IF(AF3&gt;=0,$AF$1,IF(AE3&gt;=0,$AE$1,IF(AD3&gt;=0,$AD$1,IF(AC3&gt;=0,$AC$1,$AB$1))))))))</f>
        <v>NAT +</v>
      </c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</row>
    <row r="4" spans="1:55" ht="21" hidden="1" x14ac:dyDescent="0.2">
      <c r="A4" s="12" t="s">
        <v>69</v>
      </c>
      <c r="B4" s="18" t="s">
        <v>108</v>
      </c>
      <c r="C4" s="19" t="s">
        <v>109</v>
      </c>
      <c r="D4" s="61">
        <v>2</v>
      </c>
      <c r="E4" s="35">
        <v>193808</v>
      </c>
      <c r="F4" s="20" t="s">
        <v>153</v>
      </c>
      <c r="G4" s="20" t="s">
        <v>154</v>
      </c>
      <c r="H4" s="51">
        <v>1997</v>
      </c>
      <c r="I4" s="30">
        <v>41.4</v>
      </c>
      <c r="J4" s="19" t="s">
        <v>155</v>
      </c>
      <c r="K4" s="34" t="s">
        <v>69</v>
      </c>
      <c r="L4" s="31">
        <v>43</v>
      </c>
      <c r="M4" s="31">
        <v>46</v>
      </c>
      <c r="N4" s="31">
        <v>-48</v>
      </c>
      <c r="O4" s="36">
        <f t="shared" si="1"/>
        <v>46</v>
      </c>
      <c r="P4" s="31">
        <v>54</v>
      </c>
      <c r="Q4" s="31">
        <v>58</v>
      </c>
      <c r="R4" s="31">
        <v>60</v>
      </c>
      <c r="S4" s="36">
        <f t="shared" si="2"/>
        <v>60</v>
      </c>
      <c r="T4" s="37">
        <f t="shared" si="3"/>
        <v>106</v>
      </c>
      <c r="U4" s="64">
        <f t="shared" si="4"/>
        <v>23.200000000000003</v>
      </c>
      <c r="V4" s="41" t="str">
        <f t="shared" si="5"/>
        <v>NAT +</v>
      </c>
      <c r="W4" s="33">
        <f t="shared" si="6"/>
        <v>11</v>
      </c>
      <c r="X4" s="40" t="str">
        <f>IF(I4="","",IF(A4="H",IF(OR(H4="SEN",H4&lt;1995),VLOOKUP(I4,Feuil1!$A$11:$F$29,6),IF(AND(H4&gt;1994,H4&lt;1998),VLOOKUP(I4,Feuil1!$A$11:$F$29,5),IF(AND(H4&gt;1997,H4&lt;2000),VLOOKUP(I4,Feuil1!$A$11:$F$29,4),IF(AND(H4&gt;1999,H4&lt;2002),VLOOKUP(I4,Feuil1!$A$11:$F$29,3),VLOOKUP(I4,Feuil1!$A$11:$F$29,2))))),IF(OR(H4="SEN",H4&lt;1995),VLOOKUP(I4,Feuil1!$G$11:$L$25,6),IF(AND(H4&gt;1994,H4&lt;1998),VLOOKUP(I4,Feuil1!$G$11:$L$25,5),IF(AND(H4&gt;1997,H4&lt;2000),VLOOKUP(I4,Feuil1!$G$11:$L$25,4),IF(AND(H4&gt;1999,H4&lt;2002),VLOOKUP(I4,Feuil1!$G$11:$L$25,3),VLOOKUP(I4,Feuil1!$G$11:$L$25,2)))))))</f>
        <v>FJ48</v>
      </c>
      <c r="Y4" s="39">
        <f t="shared" si="7"/>
        <v>199.54068718264446</v>
      </c>
      <c r="Z4" s="45"/>
      <c r="AA4" s="45" t="s">
        <v>12</v>
      </c>
      <c r="AB4" s="3">
        <f>T4-HLOOKUP(X4,Feuil1!$C$1:$BL$10,2,FALSE)</f>
        <v>61</v>
      </c>
      <c r="AC4" s="3">
        <f>T4-HLOOKUP(X4,Feuil1!$C$1:$BL$10,3,FALSE)</f>
        <v>51</v>
      </c>
      <c r="AD4" s="3">
        <f>T4-HLOOKUP(X4,Feuil1!$C$1:$BL$10,4,FALSE)</f>
        <v>41</v>
      </c>
      <c r="AE4" s="3">
        <f>T4-HLOOKUP(X4,Feuil1!$C$1:$BL$10,5,FALSE)</f>
        <v>31</v>
      </c>
      <c r="AF4" s="3">
        <f>T4-HLOOKUP(X4,Feuil1!$C$1:$BL$10,6,FALSE)</f>
        <v>21</v>
      </c>
      <c r="AG4" s="3">
        <f>T4-HLOOKUP(X4,Feuil1!$C$1:$BL$10,7,FALSE)</f>
        <v>11</v>
      </c>
      <c r="AH4" s="3">
        <f>T4-HLOOKUP(X4,Feuil1!$C$1:$BL$10,8,FALSE)</f>
        <v>-4</v>
      </c>
      <c r="AI4" s="3">
        <f>T4-HLOOKUP(X4,Feuil1!$C$1:$BL$10,9,FALSE)</f>
        <v>-19</v>
      </c>
      <c r="AJ4" s="5">
        <f>T4-HLOOKUP(X4,Feuil1!$C$1:$BL$10,10,FALSE)</f>
        <v>-894</v>
      </c>
      <c r="AQ4" s="5" t="str">
        <f t="shared" si="8"/>
        <v>NAT +</v>
      </c>
      <c r="BC4" s="13"/>
    </row>
    <row r="5" spans="1:55" ht="21" hidden="1" x14ac:dyDescent="0.2">
      <c r="A5" s="12" t="s">
        <v>69</v>
      </c>
      <c r="B5" s="18" t="s">
        <v>721</v>
      </c>
      <c r="C5" s="19" t="s">
        <v>722</v>
      </c>
      <c r="D5" s="61">
        <v>3</v>
      </c>
      <c r="E5" s="35">
        <v>97644</v>
      </c>
      <c r="F5" s="24" t="s">
        <v>729</v>
      </c>
      <c r="G5" s="24" t="s">
        <v>117</v>
      </c>
      <c r="H5" s="51">
        <v>1996</v>
      </c>
      <c r="I5" s="30">
        <v>47.74</v>
      </c>
      <c r="J5" s="19" t="s">
        <v>728</v>
      </c>
      <c r="K5" s="34" t="s">
        <v>69</v>
      </c>
      <c r="L5" s="31">
        <v>-43</v>
      </c>
      <c r="M5" s="31">
        <v>43</v>
      </c>
      <c r="N5" s="31">
        <v>45</v>
      </c>
      <c r="O5" s="36">
        <f t="shared" si="1"/>
        <v>45</v>
      </c>
      <c r="P5" s="31">
        <v>53</v>
      </c>
      <c r="Q5" s="31">
        <v>56</v>
      </c>
      <c r="R5" s="31">
        <v>-59</v>
      </c>
      <c r="S5" s="36">
        <f t="shared" si="2"/>
        <v>56</v>
      </c>
      <c r="T5" s="37">
        <f t="shared" si="3"/>
        <v>101</v>
      </c>
      <c r="U5" s="64">
        <f t="shared" si="4"/>
        <v>5.519999999999996</v>
      </c>
      <c r="V5" s="41" t="str">
        <f t="shared" si="5"/>
        <v>NAT +</v>
      </c>
      <c r="W5" s="33">
        <f t="shared" si="6"/>
        <v>6</v>
      </c>
      <c r="X5" s="40" t="str">
        <f>IF(I5="","",IF(A5="H",IF(OR(H5="SEN",H5&lt;1995),VLOOKUP(I5,Feuil1!$A$11:$F$29,6),IF(AND(H5&gt;1994,H5&lt;1998),VLOOKUP(I5,Feuil1!$A$11:$F$29,5),IF(AND(H5&gt;1997,H5&lt;2000),VLOOKUP(I5,Feuil1!$A$11:$F$29,4),IF(AND(H5&gt;1999,H5&lt;2002),VLOOKUP(I5,Feuil1!$A$11:$F$29,3),VLOOKUP(I5,Feuil1!$A$11:$F$29,2))))),IF(OR(H5="SEN",H5&lt;1995),VLOOKUP(I5,Feuil1!$G$11:$L$25,6),IF(AND(H5&gt;1994,H5&lt;1998),VLOOKUP(I5,Feuil1!$G$11:$L$25,5),IF(AND(H5&gt;1997,H5&lt;2000),VLOOKUP(I5,Feuil1!$G$11:$L$25,4),IF(AND(H5&gt;1999,H5&lt;2002),VLOOKUP(I5,Feuil1!$G$11:$L$25,3),VLOOKUP(I5,Feuil1!$G$11:$L$25,2)))))))</f>
        <v>FJ48</v>
      </c>
      <c r="Y5" s="39">
        <f t="shared" si="7"/>
        <v>166.35486282312925</v>
      </c>
      <c r="Z5" s="45"/>
      <c r="AA5" s="45" t="s">
        <v>12</v>
      </c>
      <c r="AB5" s="3">
        <f>T5-HLOOKUP(X5,Feuil1!$C$1:$BL$10,2,FALSE)</f>
        <v>56</v>
      </c>
      <c r="AC5" s="3">
        <f>T5-HLOOKUP(X5,Feuil1!$C$1:$BL$10,3,FALSE)</f>
        <v>46</v>
      </c>
      <c r="AD5" s="3">
        <f>T5-HLOOKUP(X5,Feuil1!$C$1:$BL$10,4,FALSE)</f>
        <v>36</v>
      </c>
      <c r="AE5" s="3">
        <f>T5-HLOOKUP(X5,Feuil1!$C$1:$BL$10,5,FALSE)</f>
        <v>26</v>
      </c>
      <c r="AF5" s="3">
        <f>T5-HLOOKUP(X5,Feuil1!$C$1:$BL$10,6,FALSE)</f>
        <v>16</v>
      </c>
      <c r="AG5" s="3">
        <f>T5-HLOOKUP(X5,Feuil1!$C$1:$BL$10,7,FALSE)</f>
        <v>6</v>
      </c>
      <c r="AH5" s="3">
        <f>T5-HLOOKUP(X5,Feuil1!$C$1:$BL$10,8,FALSE)</f>
        <v>-9</v>
      </c>
      <c r="AI5" s="3">
        <f>T5-HLOOKUP(X5,Feuil1!$C$1:$BL$10,9,FALSE)</f>
        <v>-24</v>
      </c>
      <c r="AJ5" s="5">
        <f>T5-HLOOKUP(X5,Feuil1!$C$1:$BL$10,10,FALSE)</f>
        <v>-899</v>
      </c>
      <c r="AQ5" s="5" t="str">
        <f t="shared" si="8"/>
        <v>NAT +</v>
      </c>
    </row>
    <row r="6" spans="1:55" ht="21" hidden="1" x14ac:dyDescent="0.2">
      <c r="A6" s="12" t="s">
        <v>69</v>
      </c>
      <c r="B6" s="18" t="s">
        <v>649</v>
      </c>
      <c r="C6" s="19" t="s">
        <v>648</v>
      </c>
      <c r="D6" s="61">
        <v>4</v>
      </c>
      <c r="E6" s="35">
        <v>357739</v>
      </c>
      <c r="F6" s="24" t="s">
        <v>641</v>
      </c>
      <c r="G6" s="24" t="s">
        <v>233</v>
      </c>
      <c r="H6" s="51">
        <v>1996</v>
      </c>
      <c r="I6" s="30">
        <v>47.8</v>
      </c>
      <c r="J6" s="19" t="s">
        <v>642</v>
      </c>
      <c r="K6" s="34" t="s">
        <v>69</v>
      </c>
      <c r="L6" s="31">
        <v>35</v>
      </c>
      <c r="M6" s="31">
        <v>40</v>
      </c>
      <c r="N6" s="31">
        <v>-45</v>
      </c>
      <c r="O6" s="36">
        <f t="shared" si="1"/>
        <v>40</v>
      </c>
      <c r="P6" s="31">
        <v>45</v>
      </c>
      <c r="Q6" s="31">
        <v>50</v>
      </c>
      <c r="R6" s="31">
        <v>52</v>
      </c>
      <c r="S6" s="36">
        <f t="shared" si="2"/>
        <v>52</v>
      </c>
      <c r="T6" s="37">
        <f t="shared" si="3"/>
        <v>92</v>
      </c>
      <c r="U6" s="64">
        <f t="shared" si="4"/>
        <v>-3.5999999999999943</v>
      </c>
      <c r="V6" s="41" t="str">
        <f t="shared" si="5"/>
        <v>FED +</v>
      </c>
      <c r="W6" s="33">
        <f t="shared" si="6"/>
        <v>7</v>
      </c>
      <c r="X6" s="40" t="str">
        <f>IF(I6="","",IF(A6="H",IF(OR(H6="SEN",H6&lt;1995),VLOOKUP(I6,Feuil1!$A$11:$F$29,6),IF(AND(H6&gt;1994,H6&lt;1998),VLOOKUP(I6,Feuil1!$A$11:$F$29,5),IF(AND(H6&gt;1997,H6&lt;2000),VLOOKUP(I6,Feuil1!$A$11:$F$29,4),IF(AND(H6&gt;1999,H6&lt;2002),VLOOKUP(I6,Feuil1!$A$11:$F$29,3),VLOOKUP(I6,Feuil1!$A$11:$F$29,2))))),IF(OR(H6="SEN",H6&lt;1995),VLOOKUP(I6,Feuil1!$G$11:$L$25,6),IF(AND(H6&gt;1994,H6&lt;1998),VLOOKUP(I6,Feuil1!$G$11:$L$25,5),IF(AND(H6&gt;1997,H6&lt;2000),VLOOKUP(I6,Feuil1!$G$11:$L$25,4),IF(AND(H6&gt;1999,H6&lt;2002),VLOOKUP(I6,Feuil1!$G$11:$L$25,3),VLOOKUP(I6,Feuil1!$G$11:$L$25,2)))))))</f>
        <v>FJ48</v>
      </c>
      <c r="Y6" s="39">
        <f t="shared" si="7"/>
        <v>151.36349444258383</v>
      </c>
      <c r="Z6" s="45"/>
      <c r="AA6" s="45" t="s">
        <v>12</v>
      </c>
      <c r="AB6" s="3">
        <f>T6-HLOOKUP(X6,Feuil1!$C$1:$BL$10,2,FALSE)</f>
        <v>47</v>
      </c>
      <c r="AC6" s="3">
        <f>T6-HLOOKUP(X6,Feuil1!$C$1:$BL$10,3,FALSE)</f>
        <v>37</v>
      </c>
      <c r="AD6" s="3">
        <f>T6-HLOOKUP(X6,Feuil1!$C$1:$BL$10,4,FALSE)</f>
        <v>27</v>
      </c>
      <c r="AE6" s="3">
        <f>T6-HLOOKUP(X6,Feuil1!$C$1:$BL$10,5,FALSE)</f>
        <v>17</v>
      </c>
      <c r="AF6" s="3">
        <f>T6-HLOOKUP(X6,Feuil1!$C$1:$BL$10,6,FALSE)</f>
        <v>7</v>
      </c>
      <c r="AG6" s="3">
        <f>T6-HLOOKUP(X6,Feuil1!$C$1:$BL$10,7,FALSE)</f>
        <v>-3</v>
      </c>
      <c r="AH6" s="3">
        <f>T6-HLOOKUP(X6,Feuil1!$C$1:$BL$10,8,FALSE)</f>
        <v>-18</v>
      </c>
      <c r="AI6" s="3">
        <f>T6-HLOOKUP(X6,Feuil1!$C$1:$BL$10,9,FALSE)</f>
        <v>-33</v>
      </c>
      <c r="AJ6" s="5">
        <f>T6-HLOOKUP(X6,Feuil1!$C$1:$BL$10,10,FALSE)</f>
        <v>-908</v>
      </c>
      <c r="AQ6" s="5" t="str">
        <f t="shared" si="8"/>
        <v>FED +</v>
      </c>
    </row>
    <row r="7" spans="1:55" ht="21" hidden="1" x14ac:dyDescent="0.2">
      <c r="A7" s="12" t="s">
        <v>69</v>
      </c>
      <c r="B7" s="18" t="s">
        <v>298</v>
      </c>
      <c r="C7" s="19" t="s">
        <v>299</v>
      </c>
      <c r="D7" s="61">
        <v>5</v>
      </c>
      <c r="E7" s="35">
        <v>364789</v>
      </c>
      <c r="F7" s="20" t="s">
        <v>305</v>
      </c>
      <c r="G7" s="20" t="s">
        <v>306</v>
      </c>
      <c r="H7" s="51">
        <v>1996</v>
      </c>
      <c r="I7" s="30">
        <v>47.85</v>
      </c>
      <c r="J7" s="19" t="s">
        <v>307</v>
      </c>
      <c r="K7" s="34" t="s">
        <v>69</v>
      </c>
      <c r="L7" s="31">
        <v>-35</v>
      </c>
      <c r="M7" s="31">
        <v>37</v>
      </c>
      <c r="N7" s="31">
        <v>39</v>
      </c>
      <c r="O7" s="36">
        <f t="shared" si="1"/>
        <v>39</v>
      </c>
      <c r="P7" s="31">
        <v>46</v>
      </c>
      <c r="Q7" s="31">
        <v>49</v>
      </c>
      <c r="R7" s="31">
        <v>-51</v>
      </c>
      <c r="S7" s="36">
        <f t="shared" si="2"/>
        <v>49</v>
      </c>
      <c r="T7" s="37">
        <f t="shared" si="3"/>
        <v>88</v>
      </c>
      <c r="U7" s="64">
        <f t="shared" si="4"/>
        <v>-7.7000000000000028</v>
      </c>
      <c r="V7" s="41" t="str">
        <f t="shared" si="5"/>
        <v>FED +</v>
      </c>
      <c r="W7" s="33">
        <f t="shared" si="6"/>
        <v>3</v>
      </c>
      <c r="X7" s="40" t="str">
        <f>IF(I7="","",IF(A7="H",IF(OR(H7="SEN",H7&lt;1995),VLOOKUP(I7,Feuil1!$A$11:$F$29,6),IF(AND(H7&gt;1994,H7&lt;1998),VLOOKUP(I7,Feuil1!$A$11:$F$29,5),IF(AND(H7&gt;1997,H7&lt;2000),VLOOKUP(I7,Feuil1!$A$11:$F$29,4),IF(AND(H7&gt;1999,H7&lt;2002),VLOOKUP(I7,Feuil1!$A$11:$F$29,3),VLOOKUP(I7,Feuil1!$A$11:$F$29,2))))),IF(OR(H7="SEN",H7&lt;1995),VLOOKUP(I7,Feuil1!$G$11:$L$25,6),IF(AND(H7&gt;1994,H7&lt;1998),VLOOKUP(I7,Feuil1!$G$11:$L$25,5),IF(AND(H7&gt;1997,H7&lt;2000),VLOOKUP(I7,Feuil1!$G$11:$L$25,4),IF(AND(H7&gt;1999,H7&lt;2002),VLOOKUP(I7,Feuil1!$G$11:$L$25,3),VLOOKUP(I7,Feuil1!$G$11:$L$25,2)))))))</f>
        <v>FJ48</v>
      </c>
      <c r="Y7" s="39">
        <f t="shared" si="7"/>
        <v>144.64924942165013</v>
      </c>
      <c r="Z7" s="45"/>
      <c r="AA7" s="45" t="s">
        <v>12</v>
      </c>
      <c r="AB7" s="3">
        <f>T7-HLOOKUP(X7,Feuil1!$C$1:$BL$10,2,FALSE)</f>
        <v>43</v>
      </c>
      <c r="AC7" s="3">
        <f>T7-HLOOKUP(X7,Feuil1!$C$1:$BL$10,3,FALSE)</f>
        <v>33</v>
      </c>
      <c r="AD7" s="3">
        <f>T7-HLOOKUP(X7,Feuil1!$C$1:$BL$10,4,FALSE)</f>
        <v>23</v>
      </c>
      <c r="AE7" s="3">
        <f>T7-HLOOKUP(X7,Feuil1!$C$1:$BL$10,5,FALSE)</f>
        <v>13</v>
      </c>
      <c r="AF7" s="3">
        <f>T7-HLOOKUP(X7,Feuil1!$C$1:$BL$10,6,FALSE)</f>
        <v>3</v>
      </c>
      <c r="AG7" s="3">
        <f>T7-HLOOKUP(X7,Feuil1!$C$1:$BL$10,7,FALSE)</f>
        <v>-7</v>
      </c>
      <c r="AH7" s="3">
        <f>T7-HLOOKUP(X7,Feuil1!$C$1:$BL$10,8,FALSE)</f>
        <v>-22</v>
      </c>
      <c r="AI7" s="3">
        <f>T7-HLOOKUP(X7,Feuil1!$C$1:$BL$10,9,FALSE)</f>
        <v>-37</v>
      </c>
      <c r="AJ7" s="5">
        <f>T7-HLOOKUP(X7,Feuil1!$C$1:$BL$10,10,FALSE)</f>
        <v>-912</v>
      </c>
      <c r="AQ7" s="5" t="str">
        <f t="shared" si="8"/>
        <v>FED +</v>
      </c>
    </row>
    <row r="8" spans="1:55" ht="21" hidden="1" x14ac:dyDescent="0.2">
      <c r="A8" s="12" t="s">
        <v>69</v>
      </c>
      <c r="B8" s="18" t="s">
        <v>108</v>
      </c>
      <c r="C8" s="19" t="s">
        <v>119</v>
      </c>
      <c r="D8" s="61">
        <v>6</v>
      </c>
      <c r="E8" s="35">
        <v>316601</v>
      </c>
      <c r="F8" s="20" t="s">
        <v>160</v>
      </c>
      <c r="G8" s="20" t="s">
        <v>494</v>
      </c>
      <c r="H8" s="51">
        <v>1996</v>
      </c>
      <c r="I8" s="30">
        <v>47.2</v>
      </c>
      <c r="J8" s="19" t="s">
        <v>161</v>
      </c>
      <c r="K8" s="34" t="s">
        <v>69</v>
      </c>
      <c r="L8" s="31">
        <v>32</v>
      </c>
      <c r="M8" s="31">
        <v>35</v>
      </c>
      <c r="N8" s="31">
        <v>-37</v>
      </c>
      <c r="O8" s="36">
        <f t="shared" si="1"/>
        <v>35</v>
      </c>
      <c r="P8" s="31">
        <v>46</v>
      </c>
      <c r="Q8" s="31">
        <v>-48</v>
      </c>
      <c r="R8" s="31">
        <v>-48</v>
      </c>
      <c r="S8" s="36">
        <f t="shared" si="2"/>
        <v>46</v>
      </c>
      <c r="T8" s="37">
        <f t="shared" si="3"/>
        <v>81</v>
      </c>
      <c r="U8" s="64">
        <f t="shared" si="4"/>
        <v>-13.400000000000006</v>
      </c>
      <c r="V8" s="41" t="str">
        <f t="shared" si="5"/>
        <v>IRG +</v>
      </c>
      <c r="W8" s="33">
        <f t="shared" si="6"/>
        <v>6</v>
      </c>
      <c r="X8" s="40" t="str">
        <f>IF(I8="","",IF(A8="H",IF(OR(H8="SEN",H8&lt;1995),VLOOKUP(I8,Feuil1!$A$11:$F$29,6),IF(AND(H8&gt;1994,H8&lt;1998),VLOOKUP(I8,Feuil1!$A$11:$F$29,5),IF(AND(H8&gt;1997,H8&lt;2000),VLOOKUP(I8,Feuil1!$A$11:$F$29,4),IF(AND(H8&gt;1999,H8&lt;2002),VLOOKUP(I8,Feuil1!$A$11:$F$29,3),VLOOKUP(I8,Feuil1!$A$11:$F$29,2))))),IF(OR(H8="SEN",H8&lt;1995),VLOOKUP(I8,Feuil1!$G$11:$L$25,6),IF(AND(H8&gt;1994,H8&lt;1998),VLOOKUP(I8,Feuil1!$G$11:$L$25,5),IF(AND(H8&gt;1997,H8&lt;2000),VLOOKUP(I8,Feuil1!$G$11:$L$25,4),IF(AND(H8&gt;1999,H8&lt;2002),VLOOKUP(I8,Feuil1!$G$11:$L$25,3),VLOOKUP(I8,Feuil1!$G$11:$L$25,2)))))))</f>
        <v>FJ48</v>
      </c>
      <c r="Y8" s="39">
        <f t="shared" si="7"/>
        <v>134.76531632062608</v>
      </c>
      <c r="Z8" s="45"/>
      <c r="AA8" s="45" t="s">
        <v>12</v>
      </c>
      <c r="AB8" s="3">
        <f>T8-HLOOKUP(X8,Feuil1!$C$1:$BL$10,2,FALSE)</f>
        <v>36</v>
      </c>
      <c r="AC8" s="3">
        <f>T8-HLOOKUP(X8,Feuil1!$C$1:$BL$10,3,FALSE)</f>
        <v>26</v>
      </c>
      <c r="AD8" s="3">
        <f>T8-HLOOKUP(X8,Feuil1!$C$1:$BL$10,4,FALSE)</f>
        <v>16</v>
      </c>
      <c r="AE8" s="3">
        <f>T8-HLOOKUP(X8,Feuil1!$C$1:$BL$10,5,FALSE)</f>
        <v>6</v>
      </c>
      <c r="AF8" s="3">
        <f>T8-HLOOKUP(X8,Feuil1!$C$1:$BL$10,6,FALSE)</f>
        <v>-4</v>
      </c>
      <c r="AG8" s="3">
        <f>T8-HLOOKUP(X8,Feuil1!$C$1:$BL$10,7,FALSE)</f>
        <v>-14</v>
      </c>
      <c r="AH8" s="3">
        <f>T8-HLOOKUP(X8,Feuil1!$C$1:$BL$10,8,FALSE)</f>
        <v>-29</v>
      </c>
      <c r="AI8" s="3">
        <f>T8-HLOOKUP(X8,Feuil1!$C$1:$BL$10,9,FALSE)</f>
        <v>-44</v>
      </c>
      <c r="AJ8" s="5">
        <f>T8-HLOOKUP(X8,Feuil1!$C$1:$BL$10,10,FALSE)</f>
        <v>-919</v>
      </c>
      <c r="AQ8" s="5" t="str">
        <f t="shared" si="8"/>
        <v>IRG +</v>
      </c>
    </row>
    <row r="9" spans="1:55" ht="21" hidden="1" x14ac:dyDescent="0.2">
      <c r="A9" s="12" t="s">
        <v>69</v>
      </c>
      <c r="B9" s="18" t="s">
        <v>298</v>
      </c>
      <c r="C9" s="19" t="s">
        <v>476</v>
      </c>
      <c r="D9" s="61">
        <v>7</v>
      </c>
      <c r="E9" s="35">
        <v>308200</v>
      </c>
      <c r="F9" s="20" t="s">
        <v>506</v>
      </c>
      <c r="G9" s="20" t="s">
        <v>507</v>
      </c>
      <c r="H9" s="57">
        <v>1997</v>
      </c>
      <c r="I9" s="30">
        <v>45.12</v>
      </c>
      <c r="J9" s="19" t="s">
        <v>508</v>
      </c>
      <c r="K9" s="34" t="s">
        <v>69</v>
      </c>
      <c r="L9" s="31">
        <v>30</v>
      </c>
      <c r="M9" s="31">
        <v>32</v>
      </c>
      <c r="N9" s="31">
        <v>-34</v>
      </c>
      <c r="O9" s="36">
        <f t="shared" si="1"/>
        <v>32</v>
      </c>
      <c r="P9" s="31">
        <v>43</v>
      </c>
      <c r="Q9" s="31">
        <v>45</v>
      </c>
      <c r="R9" s="31" t="s">
        <v>134</v>
      </c>
      <c r="S9" s="36">
        <f t="shared" si="2"/>
        <v>45</v>
      </c>
      <c r="T9" s="37">
        <f t="shared" si="3"/>
        <v>77</v>
      </c>
      <c r="U9" s="64">
        <f t="shared" si="4"/>
        <v>-13.239999999999995</v>
      </c>
      <c r="V9" s="41" t="str">
        <f t="shared" si="5"/>
        <v>IRG +</v>
      </c>
      <c r="W9" s="33">
        <f t="shared" si="6"/>
        <v>2</v>
      </c>
      <c r="X9" s="40" t="str">
        <f>IF(I9="","",IF(A9="H",IF(OR(H9="SEN",H9&lt;1995),VLOOKUP(I9,Feuil1!$A$11:$F$29,6),IF(AND(H9&gt;1994,H9&lt;1998),VLOOKUP(I9,Feuil1!$A$11:$F$29,5),IF(AND(H9&gt;1997,H9&lt;2000),VLOOKUP(I9,Feuil1!$A$11:$F$29,4),IF(AND(H9&gt;1999,H9&lt;2002),VLOOKUP(I9,Feuil1!$A$11:$F$29,3),VLOOKUP(I9,Feuil1!$A$11:$F$29,2))))),IF(OR(H9="SEN",H9&lt;1995),VLOOKUP(I9,Feuil1!$G$11:$L$25,6),IF(AND(H9&gt;1994,H9&lt;1998),VLOOKUP(I9,Feuil1!$G$11:$L$25,5),IF(AND(H9&gt;1997,H9&lt;2000),VLOOKUP(I9,Feuil1!$G$11:$L$25,4),IF(AND(H9&gt;1999,H9&lt;2002),VLOOKUP(I9,Feuil1!$G$11:$L$25,3),VLOOKUP(I9,Feuil1!$G$11:$L$25,2)))))))</f>
        <v>FJ48</v>
      </c>
      <c r="Y9" s="39">
        <f t="shared" si="7"/>
        <v>133.46364930598085</v>
      </c>
      <c r="Z9" s="45"/>
      <c r="AA9" s="45" t="s">
        <v>12</v>
      </c>
      <c r="AB9" s="3">
        <f>T9-HLOOKUP(X9,Feuil1!$C$1:$BL$10,2,FALSE)</f>
        <v>32</v>
      </c>
      <c r="AC9" s="3">
        <f>T9-HLOOKUP(X9,Feuil1!$C$1:$BL$10,3,FALSE)</f>
        <v>22</v>
      </c>
      <c r="AD9" s="3">
        <f>T9-HLOOKUP(X9,Feuil1!$C$1:$BL$10,4,FALSE)</f>
        <v>12</v>
      </c>
      <c r="AE9" s="3">
        <f>T9-HLOOKUP(X9,Feuil1!$C$1:$BL$10,5,FALSE)</f>
        <v>2</v>
      </c>
      <c r="AF9" s="3">
        <f>T9-HLOOKUP(X9,Feuil1!$C$1:$BL$10,6,FALSE)</f>
        <v>-8</v>
      </c>
      <c r="AG9" s="3">
        <f>T9-HLOOKUP(X9,Feuil1!$C$1:$BL$10,7,FALSE)</f>
        <v>-18</v>
      </c>
      <c r="AH9" s="3">
        <f>T9-HLOOKUP(X9,Feuil1!$C$1:$BL$10,8,FALSE)</f>
        <v>-33</v>
      </c>
      <c r="AI9" s="3">
        <f>T9-HLOOKUP(X9,Feuil1!$C$1:$BL$10,9,FALSE)</f>
        <v>-48</v>
      </c>
      <c r="AJ9" s="5">
        <f>T9-HLOOKUP(X9,Feuil1!$C$1:$BL$10,10,FALSE)</f>
        <v>-923</v>
      </c>
      <c r="AQ9" s="5" t="str">
        <f t="shared" si="8"/>
        <v>IRG +</v>
      </c>
      <c r="BC9" s="13"/>
    </row>
    <row r="10" spans="1:55" ht="21" hidden="1" x14ac:dyDescent="0.2">
      <c r="A10" s="12" t="s">
        <v>69</v>
      </c>
      <c r="B10" s="18" t="s">
        <v>71</v>
      </c>
      <c r="C10" s="19" t="s">
        <v>801</v>
      </c>
      <c r="D10" s="61">
        <v>8</v>
      </c>
      <c r="E10" s="35">
        <v>341745</v>
      </c>
      <c r="F10" s="24" t="s">
        <v>821</v>
      </c>
      <c r="G10" s="24" t="s">
        <v>822</v>
      </c>
      <c r="H10" s="58">
        <v>1997</v>
      </c>
      <c r="I10" s="30">
        <v>47.8</v>
      </c>
      <c r="J10" s="19" t="s">
        <v>803</v>
      </c>
      <c r="K10" s="34" t="s">
        <v>69</v>
      </c>
      <c r="L10" s="31">
        <v>25</v>
      </c>
      <c r="M10" s="31">
        <v>30</v>
      </c>
      <c r="N10" s="31">
        <v>-32</v>
      </c>
      <c r="O10" s="36">
        <f t="shared" si="1"/>
        <v>30</v>
      </c>
      <c r="P10" s="31">
        <v>35</v>
      </c>
      <c r="Q10" s="31">
        <v>37</v>
      </c>
      <c r="R10" s="31">
        <v>-40</v>
      </c>
      <c r="S10" s="36">
        <f t="shared" si="2"/>
        <v>37</v>
      </c>
      <c r="T10" s="37">
        <f t="shared" si="3"/>
        <v>67</v>
      </c>
      <c r="U10" s="64">
        <f t="shared" si="4"/>
        <v>-28.599999999999994</v>
      </c>
      <c r="V10" s="41" t="str">
        <f t="shared" si="5"/>
        <v>REG +</v>
      </c>
      <c r="W10" s="33">
        <f t="shared" si="6"/>
        <v>2</v>
      </c>
      <c r="X10" s="40" t="str">
        <f>IF(I10="","",IF(A10="H",IF(OR(H10="SEN",H10&lt;1995),VLOOKUP(I10,Feuil1!$A$11:$F$29,6),IF(AND(H10&gt;1994,H10&lt;1998),VLOOKUP(I10,Feuil1!$A$11:$F$29,5),IF(AND(H10&gt;1997,H10&lt;2000),VLOOKUP(I10,Feuil1!$A$11:$F$29,4),IF(AND(H10&gt;1999,H10&lt;2002),VLOOKUP(I10,Feuil1!$A$11:$F$29,3),VLOOKUP(I10,Feuil1!$A$11:$F$29,2))))),IF(OR(H10="SEN",H10&lt;1995),VLOOKUP(I10,Feuil1!$G$11:$L$25,6),IF(AND(H10&gt;1994,H10&lt;1998),VLOOKUP(I10,Feuil1!$G$11:$L$25,5),IF(AND(H10&gt;1997,H10&lt;2000),VLOOKUP(I10,Feuil1!$G$11:$L$25,4),IF(AND(H10&gt;1999,H10&lt;2002),VLOOKUP(I10,Feuil1!$G$11:$L$25,3),VLOOKUP(I10,Feuil1!$G$11:$L$25,2)))))))</f>
        <v>FJ48</v>
      </c>
      <c r="Y10" s="39">
        <f t="shared" si="7"/>
        <v>110.23211008318606</v>
      </c>
      <c r="Z10" s="45"/>
      <c r="AA10" s="45" t="s">
        <v>12</v>
      </c>
      <c r="AB10" s="3">
        <f>T10-HLOOKUP(X10,Feuil1!$C$1:$BL$10,2,FALSE)</f>
        <v>22</v>
      </c>
      <c r="AC10" s="3">
        <f>T10-HLOOKUP(X10,Feuil1!$C$1:$BL$10,3,FALSE)</f>
        <v>12</v>
      </c>
      <c r="AD10" s="3">
        <f>T10-HLOOKUP(X10,Feuil1!$C$1:$BL$10,4,FALSE)</f>
        <v>2</v>
      </c>
      <c r="AE10" s="3">
        <f>T10-HLOOKUP(X10,Feuil1!$C$1:$BL$10,5,FALSE)</f>
        <v>-8</v>
      </c>
      <c r="AF10" s="3">
        <f>T10-HLOOKUP(X10,Feuil1!$C$1:$BL$10,6,FALSE)</f>
        <v>-18</v>
      </c>
      <c r="AG10" s="3">
        <f>T10-HLOOKUP(X10,Feuil1!$C$1:$BL$10,7,FALSE)</f>
        <v>-28</v>
      </c>
      <c r="AH10" s="3">
        <f>T10-HLOOKUP(X10,Feuil1!$C$1:$BL$10,8,FALSE)</f>
        <v>-43</v>
      </c>
      <c r="AI10" s="3">
        <f>T10-HLOOKUP(X10,Feuil1!$C$1:$BL$10,9,FALSE)</f>
        <v>-58</v>
      </c>
      <c r="AJ10" s="5">
        <f>T10-HLOOKUP(X10,Feuil1!$C$1:$BL$10,10,FALSE)</f>
        <v>-933</v>
      </c>
      <c r="AQ10" s="5" t="str">
        <f t="shared" si="8"/>
        <v>REG +</v>
      </c>
    </row>
    <row r="11" spans="1:55" ht="21" hidden="1" x14ac:dyDescent="0.2">
      <c r="A11" s="12" t="s">
        <v>69</v>
      </c>
      <c r="B11" s="18" t="s">
        <v>71</v>
      </c>
      <c r="C11" s="19" t="s">
        <v>72</v>
      </c>
      <c r="D11" s="61">
        <v>9</v>
      </c>
      <c r="E11" s="35">
        <v>366936</v>
      </c>
      <c r="F11" s="24" t="s">
        <v>944</v>
      </c>
      <c r="G11" s="24" t="s">
        <v>494</v>
      </c>
      <c r="H11" s="51">
        <v>1997</v>
      </c>
      <c r="I11" s="30">
        <v>38.200000000000003</v>
      </c>
      <c r="J11" s="19" t="s">
        <v>935</v>
      </c>
      <c r="K11" s="34" t="s">
        <v>69</v>
      </c>
      <c r="L11" s="31">
        <v>22</v>
      </c>
      <c r="M11" s="31">
        <v>26</v>
      </c>
      <c r="N11" s="31">
        <v>27</v>
      </c>
      <c r="O11" s="36">
        <f t="shared" si="1"/>
        <v>27</v>
      </c>
      <c r="P11" s="31">
        <v>27</v>
      </c>
      <c r="Q11" s="31">
        <v>31</v>
      </c>
      <c r="R11" s="31">
        <v>34</v>
      </c>
      <c r="S11" s="36">
        <f t="shared" si="2"/>
        <v>34</v>
      </c>
      <c r="T11" s="37">
        <f t="shared" si="3"/>
        <v>61</v>
      </c>
      <c r="U11" s="64">
        <f t="shared" si="4"/>
        <v>-15.400000000000006</v>
      </c>
      <c r="V11" s="41" t="str">
        <f t="shared" si="5"/>
        <v>DEP +</v>
      </c>
      <c r="W11" s="33">
        <f t="shared" si="6"/>
        <v>6</v>
      </c>
      <c r="X11" s="40" t="str">
        <f>IF(I11="","",IF(A11="H",IF(OR(H11="SEN",H11&lt;1995),VLOOKUP(I11,Feuil1!$A$11:$F$29,6),IF(AND(H11&gt;1994,H11&lt;1998),VLOOKUP(I11,Feuil1!$A$11:$F$29,5),IF(AND(H11&gt;1997,H11&lt;2000),VLOOKUP(I11,Feuil1!$A$11:$F$29,4),IF(AND(H11&gt;1999,H11&lt;2002),VLOOKUP(I11,Feuil1!$A$11:$F$29,3),VLOOKUP(I11,Feuil1!$A$11:$F$29,2))))),IF(OR(H11="SEN",H11&lt;1995),VLOOKUP(I11,Feuil1!$G$11:$L$25,6),IF(AND(H11&gt;1994,H11&lt;1998),VLOOKUP(I11,Feuil1!$G$11:$L$25,5),IF(AND(H11&gt;1997,H11&lt;2000),VLOOKUP(I11,Feuil1!$G$11:$L$25,4),IF(AND(H11&gt;1999,H11&lt;2002),VLOOKUP(I11,Feuil1!$G$11:$L$25,3),VLOOKUP(I11,Feuil1!$G$11:$L$25,2)))))))</f>
        <v>FJ48</v>
      </c>
      <c r="Y11" s="39">
        <f t="shared" si="7"/>
        <v>124.69304055394602</v>
      </c>
      <c r="Z11" s="45"/>
      <c r="AA11" s="45" t="s">
        <v>12</v>
      </c>
      <c r="AB11" s="3">
        <f>T11-HLOOKUP(X11,Feuil1!$C$1:$BL$10,2,FALSE)</f>
        <v>16</v>
      </c>
      <c r="AC11" s="3">
        <f>T11-HLOOKUP(X11,Feuil1!$C$1:$BL$10,3,FALSE)</f>
        <v>6</v>
      </c>
      <c r="AD11" s="3">
        <f>T11-HLOOKUP(X11,Feuil1!$C$1:$BL$10,4,FALSE)</f>
        <v>-4</v>
      </c>
      <c r="AE11" s="3">
        <f>T11-HLOOKUP(X11,Feuil1!$C$1:$BL$10,5,FALSE)</f>
        <v>-14</v>
      </c>
      <c r="AF11" s="3">
        <f>T11-HLOOKUP(X11,Feuil1!$C$1:$BL$10,6,FALSE)</f>
        <v>-24</v>
      </c>
      <c r="AG11" s="3">
        <f>T11-HLOOKUP(X11,Feuil1!$C$1:$BL$10,7,FALSE)</f>
        <v>-34</v>
      </c>
      <c r="AH11" s="3">
        <f>T11-HLOOKUP(X11,Feuil1!$C$1:$BL$10,8,FALSE)</f>
        <v>-49</v>
      </c>
      <c r="AI11" s="3">
        <f>T11-HLOOKUP(X11,Feuil1!$C$1:$BL$10,9,FALSE)</f>
        <v>-64</v>
      </c>
      <c r="AJ11" s="5">
        <f>T11-HLOOKUP(X11,Feuil1!$C$1:$BL$10,10,FALSE)</f>
        <v>-939</v>
      </c>
      <c r="AQ11" s="5" t="str">
        <f t="shared" si="8"/>
        <v>DEP +</v>
      </c>
    </row>
    <row r="12" spans="1:55" s="13" customFormat="1" ht="15" hidden="1" customHeight="1" thickBot="1" x14ac:dyDescent="0.25">
      <c r="A12" s="89"/>
      <c r="B12" s="90"/>
      <c r="C12" s="91"/>
      <c r="D12" s="92"/>
      <c r="E12" s="93"/>
      <c r="F12" s="94"/>
      <c r="G12" s="94"/>
      <c r="H12" s="95"/>
      <c r="I12" s="96"/>
      <c r="J12" s="91"/>
      <c r="K12" s="97"/>
      <c r="L12" s="98"/>
      <c r="M12" s="98"/>
      <c r="N12" s="98"/>
      <c r="O12" s="99"/>
      <c r="P12" s="98"/>
      <c r="Q12" s="98"/>
      <c r="R12" s="98"/>
      <c r="S12" s="99"/>
      <c r="T12" s="100"/>
      <c r="U12" s="101"/>
      <c r="V12" s="102"/>
      <c r="W12" s="103"/>
      <c r="X12" s="104"/>
      <c r="Y12" s="105"/>
      <c r="Z12" s="45"/>
      <c r="AA12" s="45" t="s">
        <v>12</v>
      </c>
      <c r="AB12" s="3" t="e">
        <f>T12-HLOOKUP(X12,Feuil1!$C$1:$BL$10,2,FALSE)</f>
        <v>#N/A</v>
      </c>
      <c r="AC12" s="3" t="e">
        <f>T12-HLOOKUP(X12,Feuil1!$C$1:$BL$10,3,FALSE)</f>
        <v>#N/A</v>
      </c>
      <c r="AD12" s="3" t="e">
        <f>T12-HLOOKUP(X12,Feuil1!$C$1:$BL$10,4,FALSE)</f>
        <v>#N/A</v>
      </c>
      <c r="AE12" s="3" t="e">
        <f>T12-HLOOKUP(X12,Feuil1!$C$1:$BL$10,5,FALSE)</f>
        <v>#N/A</v>
      </c>
      <c r="AF12" s="3" t="e">
        <f>T12-HLOOKUP(X12,Feuil1!$C$1:$BL$10,6,FALSE)</f>
        <v>#N/A</v>
      </c>
      <c r="AG12" s="3" t="e">
        <f>T12-HLOOKUP(X12,Feuil1!$C$1:$BL$10,7,FALSE)</f>
        <v>#N/A</v>
      </c>
      <c r="AH12" s="3" t="e">
        <f>T12-HLOOKUP(X12,Feuil1!$C$1:$BL$10,8,FALSE)</f>
        <v>#N/A</v>
      </c>
      <c r="AI12" s="3" t="e">
        <f>T12-HLOOKUP(X12,Feuil1!$C$1:$BL$10,9,FALSE)</f>
        <v>#N/A</v>
      </c>
      <c r="AJ12" s="3" t="e">
        <f>T12-HLOOKUP(X12,Feuil1!$C$1:$BL$10,10,FALSE)</f>
        <v>#N/A</v>
      </c>
      <c r="AK12" s="5"/>
      <c r="AL12" s="5"/>
      <c r="AM12" s="5"/>
      <c r="AN12" s="5"/>
      <c r="AO12" s="5"/>
      <c r="AP12" s="5"/>
      <c r="AQ12" s="5" t="e">
        <f t="shared" ref="AQ12" si="9">IF(AJ12&gt;=0,$AJ$1,IF(AI12&gt;=0,$AI$1,IF(AH12&gt;=0,$AH$1,IF(AG12&gt;=0,$AG$1,IF(AF12&gt;=0,$AF$1,IF(AE12&gt;=0,$AE$1,IF(AD12&gt;=0,$AD$1,IF(AC12&gt;=0,$AC$1,$AB$1))))))))</f>
        <v>#N/A</v>
      </c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21" x14ac:dyDescent="0.2">
      <c r="A13" s="12" t="s">
        <v>69</v>
      </c>
      <c r="B13" s="18" t="s">
        <v>108</v>
      </c>
      <c r="C13" s="19" t="s">
        <v>264</v>
      </c>
      <c r="D13" s="61">
        <v>1</v>
      </c>
      <c r="E13" s="35">
        <v>196470</v>
      </c>
      <c r="F13" s="20" t="s">
        <v>271</v>
      </c>
      <c r="G13" s="20" t="s">
        <v>272</v>
      </c>
      <c r="H13" s="51">
        <v>1996</v>
      </c>
      <c r="I13" s="30">
        <v>52.01</v>
      </c>
      <c r="J13" s="19" t="s">
        <v>267</v>
      </c>
      <c r="K13" s="34" t="s">
        <v>69</v>
      </c>
      <c r="L13" s="31">
        <v>-58</v>
      </c>
      <c r="M13" s="31">
        <v>58</v>
      </c>
      <c r="N13" s="31">
        <v>62</v>
      </c>
      <c r="O13" s="36">
        <f t="shared" ref="O13:O31" si="10">IF(H13="","",IF(MAXA(L13:N13)&lt;=0,0,MAXA(L13:N13)))</f>
        <v>62</v>
      </c>
      <c r="P13" s="31">
        <v>70</v>
      </c>
      <c r="Q13" s="31">
        <v>74</v>
      </c>
      <c r="R13" s="31">
        <v>-77</v>
      </c>
      <c r="S13" s="36">
        <f t="shared" ref="S13:S31" si="11">IF(H13="","",IF(MAXA(P13:R13)&lt;=0,0,MAXA(P13:R13)))</f>
        <v>74</v>
      </c>
      <c r="T13" s="37">
        <f t="shared" ref="T13:T31" si="12">IF(H13="","",IF(OR(O13=0,S13=0),0,O13+S13))</f>
        <v>136</v>
      </c>
      <c r="U13" s="64">
        <f t="shared" ref="U13:U31" si="13">T13-I13*2</f>
        <v>31.980000000000004</v>
      </c>
      <c r="V13" s="41" t="str">
        <f t="shared" ref="V13:V31" si="14">IF(H13="","",AQ13)</f>
        <v>INTA +</v>
      </c>
      <c r="W13" s="33">
        <f t="shared" ref="W13:W31" si="15">IF(AJ13&gt;=0,AJ13,IF(AI13&gt;=0,AI13,IF(AH13&gt;=0,AH13,IF(AG13&gt;=0,AG13,IF(AF13&gt;=0,AF13,IF(AE13&gt;=0,AE13,IF(AD13&gt;=0,AD13,IF(AC13&gt;=0,AC13,AB13))))))))</f>
        <v>1</v>
      </c>
      <c r="X13" s="40" t="str">
        <f>IF(I13="","",IF(A13="H",IF(OR(H13="SEN",H13&lt;1995),VLOOKUP(I13,Feuil1!$A$11:$F$29,6),IF(AND(H13&gt;1994,H13&lt;1998),VLOOKUP(I13,Feuil1!$A$11:$F$29,5),IF(AND(H13&gt;1997,H13&lt;2000),VLOOKUP(I13,Feuil1!$A$11:$F$29,4),IF(AND(H13&gt;1999,H13&lt;2002),VLOOKUP(I13,Feuil1!$A$11:$F$29,3),VLOOKUP(I13,Feuil1!$A$11:$F$29,2))))),IF(OR(H13="SEN",H13&lt;1995),VLOOKUP(I13,Feuil1!$G$11:$L$25,6),IF(AND(H13&gt;1994,H13&lt;1998),VLOOKUP(I13,Feuil1!$G$11:$L$25,5),IF(AND(H13&gt;1997,H13&lt;2000),VLOOKUP(I13,Feuil1!$G$11:$L$25,4),IF(AND(H13&gt;1999,H13&lt;2002),VLOOKUP(I13,Feuil1!$G$11:$L$25,3),VLOOKUP(I13,Feuil1!$G$11:$L$25,2)))))))</f>
        <v>FJ53</v>
      </c>
      <c r="Y13" s="39">
        <f t="shared" ref="Y13:Y31" si="16">IF(I13="","",IF(A13="H",10^(0.794358141*LOG(I13/174.393)^2)*T13,IF(A13="F",10^(0.89726074*LOG(I13/148.026)^2)*T13,"")))</f>
        <v>208.2971724783859</v>
      </c>
      <c r="Z13" s="45"/>
      <c r="AA13" s="45" t="s">
        <v>12</v>
      </c>
      <c r="AB13" s="3">
        <f>T13-HLOOKUP(X13,Feuil1!$C$1:$BL$10,2,FALSE)</f>
        <v>81</v>
      </c>
      <c r="AC13" s="3">
        <f>T13-HLOOKUP(X13,Feuil1!$C$1:$BL$10,3,FALSE)</f>
        <v>71</v>
      </c>
      <c r="AD13" s="3">
        <f>T13-HLOOKUP(X13,Feuil1!$C$1:$BL$10,4,FALSE)</f>
        <v>61</v>
      </c>
      <c r="AE13" s="3">
        <f>T13-HLOOKUP(X13,Feuil1!$C$1:$BL$10,5,FALSE)</f>
        <v>51</v>
      </c>
      <c r="AF13" s="3">
        <f>T13-HLOOKUP(X13,Feuil1!$C$1:$BL$10,6,FALSE)</f>
        <v>41</v>
      </c>
      <c r="AG13" s="3">
        <f>T13-HLOOKUP(X13,Feuil1!$C$1:$BL$10,7,FALSE)</f>
        <v>31</v>
      </c>
      <c r="AH13" s="3">
        <f>T13-HLOOKUP(X13,Feuil1!$C$1:$BL$10,8,FALSE)</f>
        <v>16</v>
      </c>
      <c r="AI13" s="3">
        <f>T13-HLOOKUP(X13,Feuil1!$C$1:$BL$10,9,FALSE)</f>
        <v>1</v>
      </c>
      <c r="AJ13" s="5">
        <f>T13-HLOOKUP(X13,Feuil1!$C$1:$BL$10,10,FALSE)</f>
        <v>-864</v>
      </c>
      <c r="AQ13" s="5" t="str">
        <f t="shared" ref="AQ13:AQ31" si="17">IF(AJ13&gt;=0,$AJ$1,IF(AI13&gt;=0,$AI$1,IF(AH13&gt;=0,$AH$1,IF(AG13&gt;=0,$AG$1,IF(AF13&gt;=0,$AF$1,IF(AE13&gt;=0,$AE$1,IF(AD13&gt;=0,$AD$1,IF(AC13&gt;=0,$AC$1,$AB$1))))))))</f>
        <v>INTA +</v>
      </c>
    </row>
    <row r="14" spans="1:55" ht="21" x14ac:dyDescent="0.2">
      <c r="A14" s="12" t="s">
        <v>69</v>
      </c>
      <c r="B14" s="18" t="s">
        <v>298</v>
      </c>
      <c r="C14" s="19" t="s">
        <v>476</v>
      </c>
      <c r="D14" s="61">
        <v>2</v>
      </c>
      <c r="E14" s="35">
        <v>280885</v>
      </c>
      <c r="F14" s="20" t="s">
        <v>497</v>
      </c>
      <c r="G14" s="20" t="s">
        <v>498</v>
      </c>
      <c r="H14" s="51">
        <v>1997</v>
      </c>
      <c r="I14" s="30">
        <v>52.86</v>
      </c>
      <c r="J14" s="19" t="s">
        <v>478</v>
      </c>
      <c r="K14" s="34" t="s">
        <v>69</v>
      </c>
      <c r="L14" s="31">
        <v>57</v>
      </c>
      <c r="M14" s="31">
        <v>-60</v>
      </c>
      <c r="N14" s="31">
        <v>60</v>
      </c>
      <c r="O14" s="36">
        <f t="shared" si="10"/>
        <v>60</v>
      </c>
      <c r="P14" s="31">
        <v>70</v>
      </c>
      <c r="Q14" s="31">
        <v>75</v>
      </c>
      <c r="R14" s="31">
        <v>-80</v>
      </c>
      <c r="S14" s="36">
        <f t="shared" si="11"/>
        <v>75</v>
      </c>
      <c r="T14" s="37">
        <f t="shared" si="12"/>
        <v>135</v>
      </c>
      <c r="U14" s="64">
        <f t="shared" si="13"/>
        <v>29.28</v>
      </c>
      <c r="V14" s="41" t="str">
        <f t="shared" si="14"/>
        <v>INTA +</v>
      </c>
      <c r="W14" s="33">
        <f t="shared" si="15"/>
        <v>0</v>
      </c>
      <c r="X14" s="40" t="str">
        <f>IF(I14="","",IF(A14="H",IF(OR(H14="SEN",H14&lt;1995),VLOOKUP(I14,Feuil1!$A$11:$F$29,6),IF(AND(H14&gt;1994,H14&lt;1998),VLOOKUP(I14,Feuil1!$A$11:$F$29,5),IF(AND(H14&gt;1997,H14&lt;2000),VLOOKUP(I14,Feuil1!$A$11:$F$29,4),IF(AND(H14&gt;1999,H14&lt;2002),VLOOKUP(I14,Feuil1!$A$11:$F$29,3),VLOOKUP(I14,Feuil1!$A$11:$F$29,2))))),IF(OR(H14="SEN",H14&lt;1995),VLOOKUP(I14,Feuil1!$G$11:$L$25,6),IF(AND(H14&gt;1994,H14&lt;1998),VLOOKUP(I14,Feuil1!$G$11:$L$25,5),IF(AND(H14&gt;1997,H14&lt;2000),VLOOKUP(I14,Feuil1!$G$11:$L$25,4),IF(AND(H14&gt;1999,H14&lt;2002),VLOOKUP(I14,Feuil1!$G$11:$L$25,3),VLOOKUP(I14,Feuil1!$G$11:$L$25,2)))))))</f>
        <v>FJ53</v>
      </c>
      <c r="Y14" s="39">
        <f t="shared" si="16"/>
        <v>204.07213544321601</v>
      </c>
      <c r="Z14" s="45"/>
      <c r="AA14" s="45" t="s">
        <v>12</v>
      </c>
      <c r="AB14" s="3">
        <f>T14-HLOOKUP(X14,Feuil1!$C$1:$BL$10,2,FALSE)</f>
        <v>80</v>
      </c>
      <c r="AC14" s="3">
        <f>T14-HLOOKUP(X14,Feuil1!$C$1:$BL$10,3,FALSE)</f>
        <v>70</v>
      </c>
      <c r="AD14" s="3">
        <f>T14-HLOOKUP(X14,Feuil1!$C$1:$BL$10,4,FALSE)</f>
        <v>60</v>
      </c>
      <c r="AE14" s="3">
        <f>T14-HLOOKUP(X14,Feuil1!$C$1:$BL$10,5,FALSE)</f>
        <v>50</v>
      </c>
      <c r="AF14" s="3">
        <f>T14-HLOOKUP(X14,Feuil1!$C$1:$BL$10,6,FALSE)</f>
        <v>40</v>
      </c>
      <c r="AG14" s="3">
        <f>T14-HLOOKUP(X14,Feuil1!$C$1:$BL$10,7,FALSE)</f>
        <v>30</v>
      </c>
      <c r="AH14" s="3">
        <f>T14-HLOOKUP(X14,Feuil1!$C$1:$BL$10,8,FALSE)</f>
        <v>15</v>
      </c>
      <c r="AI14" s="3">
        <f>T14-HLOOKUP(X14,Feuil1!$C$1:$BL$10,9,FALSE)</f>
        <v>0</v>
      </c>
      <c r="AJ14" s="5">
        <f>T14-HLOOKUP(X14,Feuil1!$C$1:$BL$10,10,FALSE)</f>
        <v>-865</v>
      </c>
      <c r="AQ14" s="5" t="str">
        <f t="shared" si="17"/>
        <v>INTA +</v>
      </c>
    </row>
    <row r="15" spans="1:55" ht="21" x14ac:dyDescent="0.2">
      <c r="A15" s="12" t="s">
        <v>69</v>
      </c>
      <c r="B15" s="18" t="s">
        <v>721</v>
      </c>
      <c r="C15" s="23" t="s">
        <v>775</v>
      </c>
      <c r="D15" s="61">
        <v>3</v>
      </c>
      <c r="E15" s="35">
        <v>357364</v>
      </c>
      <c r="F15" s="20" t="s">
        <v>776</v>
      </c>
      <c r="G15" s="20" t="s">
        <v>777</v>
      </c>
      <c r="H15" s="51">
        <v>1995</v>
      </c>
      <c r="I15" s="30">
        <v>52.7</v>
      </c>
      <c r="J15" s="19" t="s">
        <v>778</v>
      </c>
      <c r="K15" s="34" t="s">
        <v>69</v>
      </c>
      <c r="L15" s="31">
        <v>53</v>
      </c>
      <c r="M15" s="31">
        <v>56</v>
      </c>
      <c r="N15" s="31">
        <v>-59</v>
      </c>
      <c r="O15" s="36">
        <f t="shared" si="10"/>
        <v>56</v>
      </c>
      <c r="P15" s="31">
        <v>62</v>
      </c>
      <c r="Q15" s="31">
        <v>65</v>
      </c>
      <c r="R15" s="31">
        <v>68</v>
      </c>
      <c r="S15" s="36">
        <f t="shared" si="11"/>
        <v>68</v>
      </c>
      <c r="T15" s="37">
        <f t="shared" si="12"/>
        <v>124</v>
      </c>
      <c r="U15" s="64">
        <f t="shared" si="13"/>
        <v>18.599999999999994</v>
      </c>
      <c r="V15" s="41" t="str">
        <f t="shared" si="14"/>
        <v>INTB +</v>
      </c>
      <c r="W15" s="33">
        <f t="shared" si="15"/>
        <v>4</v>
      </c>
      <c r="X15" s="40" t="str">
        <f>IF(I15="","",IF(A15="H",IF(OR(H15="SEN",H15&lt;1995),VLOOKUP(I15,Feuil1!$A$11:$F$29,6),IF(AND(H15&gt;1994,H15&lt;1998),VLOOKUP(I15,Feuil1!$A$11:$F$29,5),IF(AND(H15&gt;1997,H15&lt;2000),VLOOKUP(I15,Feuil1!$A$11:$F$29,4),IF(AND(H15&gt;1999,H15&lt;2002),VLOOKUP(I15,Feuil1!$A$11:$F$29,3),VLOOKUP(I15,Feuil1!$A$11:$F$29,2))))),IF(OR(H15="SEN",H15&lt;1995),VLOOKUP(I15,Feuil1!$G$11:$L$25,6),IF(AND(H15&gt;1994,H15&lt;1998),VLOOKUP(I15,Feuil1!$G$11:$L$25,5),IF(AND(H15&gt;1997,H15&lt;2000),VLOOKUP(I15,Feuil1!$G$11:$L$25,4),IF(AND(H15&gt;1999,H15&lt;2002),VLOOKUP(I15,Feuil1!$G$11:$L$25,3),VLOOKUP(I15,Feuil1!$G$11:$L$25,2)))))))</f>
        <v>FJ53</v>
      </c>
      <c r="Y15" s="39">
        <f t="shared" si="16"/>
        <v>187.90128318692223</v>
      </c>
      <c r="Z15" s="45"/>
      <c r="AA15" s="45" t="s">
        <v>12</v>
      </c>
      <c r="AB15" s="3">
        <f>T15-HLOOKUP(X15,Feuil1!$C$1:$BL$10,2,FALSE)</f>
        <v>69</v>
      </c>
      <c r="AC15" s="3">
        <f>T15-HLOOKUP(X15,Feuil1!$C$1:$BL$10,3,FALSE)</f>
        <v>59</v>
      </c>
      <c r="AD15" s="3">
        <f>T15-HLOOKUP(X15,Feuil1!$C$1:$BL$10,4,FALSE)</f>
        <v>49</v>
      </c>
      <c r="AE15" s="3">
        <f>T15-HLOOKUP(X15,Feuil1!$C$1:$BL$10,5,FALSE)</f>
        <v>39</v>
      </c>
      <c r="AF15" s="3">
        <f>T15-HLOOKUP(X15,Feuil1!$C$1:$BL$10,6,FALSE)</f>
        <v>29</v>
      </c>
      <c r="AG15" s="3">
        <f>T15-HLOOKUP(X15,Feuil1!$C$1:$BL$10,7,FALSE)</f>
        <v>19</v>
      </c>
      <c r="AH15" s="3">
        <f>T15-HLOOKUP(X15,Feuil1!$C$1:$BL$10,8,FALSE)</f>
        <v>4</v>
      </c>
      <c r="AI15" s="3">
        <f>T15-HLOOKUP(X15,Feuil1!$C$1:$BL$10,9,FALSE)</f>
        <v>-11</v>
      </c>
      <c r="AJ15" s="5">
        <f>T15-HLOOKUP(X15,Feuil1!$C$1:$BL$10,10,FALSE)</f>
        <v>-876</v>
      </c>
      <c r="AQ15" s="5" t="str">
        <f t="shared" si="17"/>
        <v>INTB +</v>
      </c>
    </row>
    <row r="16" spans="1:55" ht="21" hidden="1" x14ac:dyDescent="0.2">
      <c r="A16" s="12" t="s">
        <v>69</v>
      </c>
      <c r="B16" s="18" t="s">
        <v>298</v>
      </c>
      <c r="C16" s="19" t="s">
        <v>476</v>
      </c>
      <c r="D16" s="61">
        <v>4</v>
      </c>
      <c r="E16" s="35">
        <v>187400</v>
      </c>
      <c r="F16" s="20" t="s">
        <v>499</v>
      </c>
      <c r="G16" s="20" t="s">
        <v>500</v>
      </c>
      <c r="H16" s="51">
        <v>1996</v>
      </c>
      <c r="I16" s="30">
        <v>52.46</v>
      </c>
      <c r="J16" s="19" t="s">
        <v>501</v>
      </c>
      <c r="K16" s="34" t="s">
        <v>69</v>
      </c>
      <c r="L16" s="31">
        <v>47</v>
      </c>
      <c r="M16" s="31">
        <v>50</v>
      </c>
      <c r="N16" s="31">
        <v>53</v>
      </c>
      <c r="O16" s="36">
        <f t="shared" si="10"/>
        <v>53</v>
      </c>
      <c r="P16" s="31">
        <v>55</v>
      </c>
      <c r="Q16" s="31">
        <v>60</v>
      </c>
      <c r="R16" s="31">
        <v>65</v>
      </c>
      <c r="S16" s="36">
        <f t="shared" si="11"/>
        <v>65</v>
      </c>
      <c r="T16" s="37">
        <f t="shared" si="12"/>
        <v>118</v>
      </c>
      <c r="U16" s="64">
        <f t="shared" si="13"/>
        <v>13.079999999999998</v>
      </c>
      <c r="V16" s="41" t="str">
        <f t="shared" si="14"/>
        <v>NAT +</v>
      </c>
      <c r="W16" s="33">
        <f t="shared" si="15"/>
        <v>13</v>
      </c>
      <c r="X16" s="40" t="str">
        <f>IF(I16="","",IF(A16="H",IF(OR(H16="SEN",H16&lt;1995),VLOOKUP(I16,Feuil1!$A$11:$F$29,6),IF(AND(H16&gt;1994,H16&lt;1998),VLOOKUP(I16,Feuil1!$A$11:$F$29,5),IF(AND(H16&gt;1997,H16&lt;2000),VLOOKUP(I16,Feuil1!$A$11:$F$29,4),IF(AND(H16&gt;1999,H16&lt;2002),VLOOKUP(I16,Feuil1!$A$11:$F$29,3),VLOOKUP(I16,Feuil1!$A$11:$F$29,2))))),IF(OR(H16="SEN",H16&lt;1995),VLOOKUP(I16,Feuil1!$G$11:$L$25,6),IF(AND(H16&gt;1994,H16&lt;1998),VLOOKUP(I16,Feuil1!$G$11:$L$25,5),IF(AND(H16&gt;1997,H16&lt;2000),VLOOKUP(I16,Feuil1!$G$11:$L$25,4),IF(AND(H16&gt;1999,H16&lt;2002),VLOOKUP(I16,Feuil1!$G$11:$L$25,3),VLOOKUP(I16,Feuil1!$G$11:$L$25,2)))))))</f>
        <v>FJ53</v>
      </c>
      <c r="Y16" s="39">
        <f t="shared" si="16"/>
        <v>179.46888091406777</v>
      </c>
      <c r="Z16" s="45"/>
      <c r="AA16" s="45" t="s">
        <v>12</v>
      </c>
      <c r="AB16" s="3">
        <f>T16-HLOOKUP(X16,Feuil1!$C$1:$BL$10,2,FALSE)</f>
        <v>63</v>
      </c>
      <c r="AC16" s="3">
        <f>T16-HLOOKUP(X16,Feuil1!$C$1:$BL$10,3,FALSE)</f>
        <v>53</v>
      </c>
      <c r="AD16" s="3">
        <f>T16-HLOOKUP(X16,Feuil1!$C$1:$BL$10,4,FALSE)</f>
        <v>43</v>
      </c>
      <c r="AE16" s="3">
        <f>T16-HLOOKUP(X16,Feuil1!$C$1:$BL$10,5,FALSE)</f>
        <v>33</v>
      </c>
      <c r="AF16" s="3">
        <f>T16-HLOOKUP(X16,Feuil1!$C$1:$BL$10,6,FALSE)</f>
        <v>23</v>
      </c>
      <c r="AG16" s="3">
        <f>T16-HLOOKUP(X16,Feuil1!$C$1:$BL$10,7,FALSE)</f>
        <v>13</v>
      </c>
      <c r="AH16" s="3">
        <f>T16-HLOOKUP(X16,Feuil1!$C$1:$BL$10,8,FALSE)</f>
        <v>-2</v>
      </c>
      <c r="AI16" s="3">
        <f>T16-HLOOKUP(X16,Feuil1!$C$1:$BL$10,9,FALSE)</f>
        <v>-17</v>
      </c>
      <c r="AJ16" s="5">
        <f>T16-HLOOKUP(X16,Feuil1!$C$1:$BL$10,10,FALSE)</f>
        <v>-882</v>
      </c>
      <c r="AQ16" s="5" t="str">
        <f t="shared" si="17"/>
        <v>NAT +</v>
      </c>
    </row>
    <row r="17" spans="1:55" ht="21" hidden="1" x14ac:dyDescent="0.2">
      <c r="A17" s="12" t="s">
        <v>69</v>
      </c>
      <c r="B17" s="67" t="s">
        <v>71</v>
      </c>
      <c r="C17" s="68" t="s">
        <v>883</v>
      </c>
      <c r="D17" s="69">
        <v>5</v>
      </c>
      <c r="E17" s="70">
        <v>361701</v>
      </c>
      <c r="F17" s="86" t="s">
        <v>889</v>
      </c>
      <c r="G17" s="86" t="s">
        <v>148</v>
      </c>
      <c r="H17" s="72">
        <v>1995</v>
      </c>
      <c r="I17" s="73">
        <v>48.1</v>
      </c>
      <c r="J17" s="68" t="s">
        <v>886</v>
      </c>
      <c r="K17" s="74"/>
      <c r="L17" s="75">
        <v>45</v>
      </c>
      <c r="M17" s="75">
        <v>47</v>
      </c>
      <c r="N17" s="75">
        <v>-50</v>
      </c>
      <c r="O17" s="76">
        <f t="shared" si="10"/>
        <v>47</v>
      </c>
      <c r="P17" s="75">
        <v>55</v>
      </c>
      <c r="Q17" s="75">
        <v>58</v>
      </c>
      <c r="R17" s="75">
        <v>62</v>
      </c>
      <c r="S17" s="76">
        <f t="shared" si="11"/>
        <v>62</v>
      </c>
      <c r="T17" s="77">
        <f t="shared" si="12"/>
        <v>109</v>
      </c>
      <c r="U17" s="83">
        <f t="shared" si="13"/>
        <v>12.799999999999997</v>
      </c>
      <c r="V17" s="79" t="str">
        <f t="shared" si="14"/>
        <v>NAT +</v>
      </c>
      <c r="W17" s="80">
        <f t="shared" si="15"/>
        <v>4</v>
      </c>
      <c r="X17" s="81" t="str">
        <f>IF(I17="","",IF(A17="H",IF(OR(H17="SEN",H17&lt;1995),VLOOKUP(I17,Feuil1!$A$11:$F$29,6),IF(AND(H17&gt;1994,H17&lt;1998),VLOOKUP(I17,Feuil1!$A$11:$F$29,5),IF(AND(H17&gt;1997,H17&lt;2000),VLOOKUP(I17,Feuil1!$A$11:$F$29,4),IF(AND(H17&gt;1999,H17&lt;2002),VLOOKUP(I17,Feuil1!$A$11:$F$29,3),VLOOKUP(I17,Feuil1!$A$11:$F$29,2))))),IF(OR(H17="SEN",H17&lt;1995),VLOOKUP(I17,Feuil1!$G$11:$L$25,6),IF(AND(H17&gt;1994,H17&lt;1998),VLOOKUP(I17,Feuil1!$G$11:$L$25,5),IF(AND(H17&gt;1997,H17&lt;2000),VLOOKUP(I17,Feuil1!$G$11:$L$25,4),IF(AND(H17&gt;1999,H17&lt;2002),VLOOKUP(I17,Feuil1!$G$11:$L$25,3),VLOOKUP(I17,Feuil1!$G$11:$L$25,2)))))))</f>
        <v>FJ53</v>
      </c>
      <c r="Y17" s="39">
        <f t="shared" si="16"/>
        <v>178.34984841202242</v>
      </c>
      <c r="Z17" s="45"/>
      <c r="AA17" s="45" t="s">
        <v>12</v>
      </c>
      <c r="AB17" s="3">
        <f>T17-HLOOKUP(X17,Feuil1!$C$1:$BL$10,2,FALSE)</f>
        <v>54</v>
      </c>
      <c r="AC17" s="3">
        <f>T17-HLOOKUP(X17,Feuil1!$C$1:$BL$10,3,FALSE)</f>
        <v>44</v>
      </c>
      <c r="AD17" s="3">
        <f>T17-HLOOKUP(X17,Feuil1!$C$1:$BL$10,4,FALSE)</f>
        <v>34</v>
      </c>
      <c r="AE17" s="3">
        <f>T17-HLOOKUP(X17,Feuil1!$C$1:$BL$10,5,FALSE)</f>
        <v>24</v>
      </c>
      <c r="AF17" s="3">
        <f>T17-HLOOKUP(X17,Feuil1!$C$1:$BL$10,6,FALSE)</f>
        <v>14</v>
      </c>
      <c r="AG17" s="3">
        <f>T17-HLOOKUP(X17,Feuil1!$C$1:$BL$10,7,FALSE)</f>
        <v>4</v>
      </c>
      <c r="AH17" s="3">
        <f>T17-HLOOKUP(X17,Feuil1!$C$1:$BL$10,8,FALSE)</f>
        <v>-11</v>
      </c>
      <c r="AI17" s="3">
        <f>T17-HLOOKUP(X17,Feuil1!$C$1:$BL$10,9,FALSE)</f>
        <v>-26</v>
      </c>
      <c r="AJ17" s="5">
        <f>T17-HLOOKUP(X17,Feuil1!$C$1:$BL$10,10,FALSE)</f>
        <v>-891</v>
      </c>
      <c r="AQ17" s="5" t="str">
        <f t="shared" si="17"/>
        <v>NAT +</v>
      </c>
    </row>
    <row r="18" spans="1:55" s="13" customFormat="1" ht="21" hidden="1" x14ac:dyDescent="0.2">
      <c r="A18" s="12" t="s">
        <v>69</v>
      </c>
      <c r="B18" s="18" t="s">
        <v>298</v>
      </c>
      <c r="C18" s="19" t="s">
        <v>476</v>
      </c>
      <c r="D18" s="61">
        <v>6</v>
      </c>
      <c r="E18" s="35">
        <v>309751</v>
      </c>
      <c r="F18" s="20" t="s">
        <v>513</v>
      </c>
      <c r="G18" s="20" t="s">
        <v>430</v>
      </c>
      <c r="H18" s="51">
        <v>1995</v>
      </c>
      <c r="I18" s="30">
        <v>52.4</v>
      </c>
      <c r="J18" s="19" t="s">
        <v>481</v>
      </c>
      <c r="K18" s="34" t="s">
        <v>69</v>
      </c>
      <c r="L18" s="31">
        <v>45</v>
      </c>
      <c r="M18" s="31">
        <v>-48</v>
      </c>
      <c r="N18" s="31">
        <v>48</v>
      </c>
      <c r="O18" s="36">
        <f t="shared" si="10"/>
        <v>48</v>
      </c>
      <c r="P18" s="31">
        <v>57</v>
      </c>
      <c r="Q18" s="31">
        <v>61</v>
      </c>
      <c r="R18" s="31">
        <v>-63</v>
      </c>
      <c r="S18" s="36">
        <f t="shared" si="11"/>
        <v>61</v>
      </c>
      <c r="T18" s="37">
        <f t="shared" si="12"/>
        <v>109</v>
      </c>
      <c r="U18" s="64">
        <f t="shared" si="13"/>
        <v>4.2000000000000028</v>
      </c>
      <c r="V18" s="41" t="str">
        <f t="shared" si="14"/>
        <v>NAT +</v>
      </c>
      <c r="W18" s="33">
        <f t="shared" si="15"/>
        <v>4</v>
      </c>
      <c r="X18" s="40" t="str">
        <f>IF(I18="","",IF(A18="H",IF(OR(H18="SEN",H18&lt;1995),VLOOKUP(I18,Feuil1!$A$11:$F$29,6),IF(AND(H18&gt;1994,H18&lt;1998),VLOOKUP(I18,Feuil1!$A$11:$F$29,5),IF(AND(H18&gt;1997,H18&lt;2000),VLOOKUP(I18,Feuil1!$A$11:$F$29,4),IF(AND(H18&gt;1999,H18&lt;2002),VLOOKUP(I18,Feuil1!$A$11:$F$29,3),VLOOKUP(I18,Feuil1!$A$11:$F$29,2))))),IF(OR(H18="SEN",H18&lt;1995),VLOOKUP(I18,Feuil1!$G$11:$L$25,6),IF(AND(H18&gt;1994,H18&lt;1998),VLOOKUP(I18,Feuil1!$G$11:$L$25,5),IF(AND(H18&gt;1997,H18&lt;2000),VLOOKUP(I18,Feuil1!$G$11:$L$25,4),IF(AND(H18&gt;1999,H18&lt;2002),VLOOKUP(I18,Feuil1!$G$11:$L$25,3),VLOOKUP(I18,Feuil1!$G$11:$L$25,2)))))))</f>
        <v>FJ53</v>
      </c>
      <c r="Y18" s="39">
        <f t="shared" si="16"/>
        <v>165.93410826693139</v>
      </c>
      <c r="Z18" s="45"/>
      <c r="AA18" s="45" t="s">
        <v>12</v>
      </c>
      <c r="AB18" s="3">
        <f>T18-HLOOKUP(X18,Feuil1!$C$1:$BL$10,2,FALSE)</f>
        <v>54</v>
      </c>
      <c r="AC18" s="3">
        <f>T18-HLOOKUP(X18,Feuil1!$C$1:$BL$10,3,FALSE)</f>
        <v>44</v>
      </c>
      <c r="AD18" s="3">
        <f>T18-HLOOKUP(X18,Feuil1!$C$1:$BL$10,4,FALSE)</f>
        <v>34</v>
      </c>
      <c r="AE18" s="3">
        <f>T18-HLOOKUP(X18,Feuil1!$C$1:$BL$10,5,FALSE)</f>
        <v>24</v>
      </c>
      <c r="AF18" s="3">
        <f>T18-HLOOKUP(X18,Feuil1!$C$1:$BL$10,6,FALSE)</f>
        <v>14</v>
      </c>
      <c r="AG18" s="3">
        <f>T18-HLOOKUP(X18,Feuil1!$C$1:$BL$10,7,FALSE)</f>
        <v>4</v>
      </c>
      <c r="AH18" s="3">
        <f>T18-HLOOKUP(X18,Feuil1!$C$1:$BL$10,8,FALSE)</f>
        <v>-11</v>
      </c>
      <c r="AI18" s="3">
        <f>T18-HLOOKUP(X18,Feuil1!$C$1:$BL$10,9,FALSE)</f>
        <v>-26</v>
      </c>
      <c r="AJ18" s="5">
        <f>T18-HLOOKUP(X18,Feuil1!$C$1:$BL$10,10,FALSE)</f>
        <v>-891</v>
      </c>
      <c r="AK18" s="5"/>
      <c r="AL18" s="5"/>
      <c r="AM18" s="5"/>
      <c r="AN18" s="5"/>
      <c r="AO18" s="5"/>
      <c r="AP18" s="5"/>
      <c r="AQ18" s="5" t="str">
        <f t="shared" si="17"/>
        <v>NAT +</v>
      </c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</row>
    <row r="19" spans="1:55" ht="21" hidden="1" x14ac:dyDescent="0.2">
      <c r="A19" s="12" t="s">
        <v>69</v>
      </c>
      <c r="B19" s="67" t="s">
        <v>721</v>
      </c>
      <c r="C19" s="68" t="s">
        <v>722</v>
      </c>
      <c r="D19" s="69">
        <v>7</v>
      </c>
      <c r="E19" s="70">
        <v>97644</v>
      </c>
      <c r="F19" s="86" t="s">
        <v>729</v>
      </c>
      <c r="G19" s="86" t="s">
        <v>117</v>
      </c>
      <c r="H19" s="72">
        <v>1996</v>
      </c>
      <c r="I19" s="73">
        <v>49.3</v>
      </c>
      <c r="J19" s="68" t="s">
        <v>728</v>
      </c>
      <c r="K19" s="74" t="s">
        <v>69</v>
      </c>
      <c r="L19" s="75">
        <v>44</v>
      </c>
      <c r="M19" s="75">
        <v>47</v>
      </c>
      <c r="N19" s="75">
        <v>49</v>
      </c>
      <c r="O19" s="76">
        <f t="shared" si="10"/>
        <v>49</v>
      </c>
      <c r="P19" s="75">
        <v>54</v>
      </c>
      <c r="Q19" s="75">
        <v>59</v>
      </c>
      <c r="R19" s="75">
        <v>-61</v>
      </c>
      <c r="S19" s="76">
        <f t="shared" si="11"/>
        <v>59</v>
      </c>
      <c r="T19" s="77">
        <f t="shared" si="12"/>
        <v>108</v>
      </c>
      <c r="U19" s="83">
        <f t="shared" si="13"/>
        <v>9.4000000000000057</v>
      </c>
      <c r="V19" s="79" t="str">
        <f t="shared" si="14"/>
        <v>NAT +</v>
      </c>
      <c r="W19" s="80">
        <f t="shared" si="15"/>
        <v>3</v>
      </c>
      <c r="X19" s="81" t="str">
        <f>IF(I19="","",IF(A19="H",IF(OR(H19="SEN",H19&lt;1995),VLOOKUP(I19,Feuil1!$A$11:$F$29,6),IF(AND(H19&gt;1994,H19&lt;1998),VLOOKUP(I19,Feuil1!$A$11:$F$29,5),IF(AND(H19&gt;1997,H19&lt;2000),VLOOKUP(I19,Feuil1!$A$11:$F$29,4),IF(AND(H19&gt;1999,H19&lt;2002),VLOOKUP(I19,Feuil1!$A$11:$F$29,3),VLOOKUP(I19,Feuil1!$A$11:$F$29,2))))),IF(OR(H19="SEN",H19&lt;1995),VLOOKUP(I19,Feuil1!$G$11:$L$25,6),IF(AND(H19&gt;1994,H19&lt;1998),VLOOKUP(I19,Feuil1!$G$11:$L$25,5),IF(AND(H19&gt;1997,H19&lt;2000),VLOOKUP(I19,Feuil1!$G$11:$L$25,4),IF(AND(H19&gt;1999,H19&lt;2002),VLOOKUP(I19,Feuil1!$G$11:$L$25,3),VLOOKUP(I19,Feuil1!$G$11:$L$25,2)))))))</f>
        <v>FJ53</v>
      </c>
      <c r="Y19" s="39">
        <f t="shared" si="16"/>
        <v>172.98050972484239</v>
      </c>
      <c r="Z19" s="45"/>
      <c r="AA19" s="45" t="s">
        <v>12</v>
      </c>
      <c r="AB19" s="3">
        <f>T19-HLOOKUP(X19,Feuil1!$C$1:$BL$10,2,FALSE)</f>
        <v>53</v>
      </c>
      <c r="AC19" s="3">
        <f>T19-HLOOKUP(X19,Feuil1!$C$1:$BL$10,3,FALSE)</f>
        <v>43</v>
      </c>
      <c r="AD19" s="3">
        <f>T19-HLOOKUP(X19,Feuil1!$C$1:$BL$10,4,FALSE)</f>
        <v>33</v>
      </c>
      <c r="AE19" s="3">
        <f>T19-HLOOKUP(X19,Feuil1!$C$1:$BL$10,5,FALSE)</f>
        <v>23</v>
      </c>
      <c r="AF19" s="3">
        <f>T19-HLOOKUP(X19,Feuil1!$C$1:$BL$10,6,FALSE)</f>
        <v>13</v>
      </c>
      <c r="AG19" s="3">
        <f>T19-HLOOKUP(X19,Feuil1!$C$1:$BL$10,7,FALSE)</f>
        <v>3</v>
      </c>
      <c r="AH19" s="3">
        <f>T19-HLOOKUP(X19,Feuil1!$C$1:$BL$10,8,FALSE)</f>
        <v>-12</v>
      </c>
      <c r="AI19" s="3">
        <f>T19-HLOOKUP(X19,Feuil1!$C$1:$BL$10,9,FALSE)</f>
        <v>-27</v>
      </c>
      <c r="AJ19" s="5">
        <f>T19-HLOOKUP(X19,Feuil1!$C$1:$BL$10,10,FALSE)</f>
        <v>-892</v>
      </c>
      <c r="AQ19" s="5" t="str">
        <f t="shared" si="17"/>
        <v>NAT +</v>
      </c>
    </row>
    <row r="20" spans="1:55" ht="21" hidden="1" x14ac:dyDescent="0.2">
      <c r="A20" s="12" t="s">
        <v>69</v>
      </c>
      <c r="B20" s="18" t="s">
        <v>536</v>
      </c>
      <c r="C20" s="19" t="s">
        <v>545</v>
      </c>
      <c r="D20" s="61">
        <v>8</v>
      </c>
      <c r="E20" s="35">
        <v>253454</v>
      </c>
      <c r="F20" s="21" t="s">
        <v>569</v>
      </c>
      <c r="G20" s="20" t="s">
        <v>570</v>
      </c>
      <c r="H20" s="51">
        <v>1995</v>
      </c>
      <c r="I20" s="30">
        <v>50.6</v>
      </c>
      <c r="J20" s="19" t="s">
        <v>551</v>
      </c>
      <c r="K20" s="34" t="s">
        <v>69</v>
      </c>
      <c r="L20" s="31">
        <v>40</v>
      </c>
      <c r="M20" s="31">
        <v>43</v>
      </c>
      <c r="N20" s="31">
        <v>45</v>
      </c>
      <c r="O20" s="36">
        <f t="shared" si="10"/>
        <v>45</v>
      </c>
      <c r="P20" s="31">
        <v>50</v>
      </c>
      <c r="Q20" s="31">
        <v>55</v>
      </c>
      <c r="R20" s="31">
        <v>60</v>
      </c>
      <c r="S20" s="36">
        <f t="shared" si="11"/>
        <v>60</v>
      </c>
      <c r="T20" s="37">
        <f t="shared" si="12"/>
        <v>105</v>
      </c>
      <c r="U20" s="64">
        <f t="shared" si="13"/>
        <v>3.7999999999999972</v>
      </c>
      <c r="V20" s="41" t="str">
        <f t="shared" si="14"/>
        <v>NAT +</v>
      </c>
      <c r="W20" s="33">
        <f t="shared" si="15"/>
        <v>0</v>
      </c>
      <c r="X20" s="40" t="str">
        <f>IF(I20="","",IF(A20="H",IF(OR(H20="SEN",H20&lt;1995),VLOOKUP(I20,Feuil1!$A$11:$F$29,6),IF(AND(H20&gt;1994,H20&lt;1998),VLOOKUP(I20,Feuil1!$A$11:$F$29,5),IF(AND(H20&gt;1997,H20&lt;2000),VLOOKUP(I20,Feuil1!$A$11:$F$29,4),IF(AND(H20&gt;1999,H20&lt;2002),VLOOKUP(I20,Feuil1!$A$11:$F$29,3),VLOOKUP(I20,Feuil1!$A$11:$F$29,2))))),IF(OR(H20="SEN",H20&lt;1995),VLOOKUP(I20,Feuil1!$G$11:$L$25,6),IF(AND(H20&gt;1994,H20&lt;1998),VLOOKUP(I20,Feuil1!$G$11:$L$25,5),IF(AND(H20&gt;1997,H20&lt;2000),VLOOKUP(I20,Feuil1!$G$11:$L$25,4),IF(AND(H20&gt;1999,H20&lt;2002),VLOOKUP(I20,Feuil1!$G$11:$L$25,3),VLOOKUP(I20,Feuil1!$G$11:$L$25,2)))))))</f>
        <v>FJ53</v>
      </c>
      <c r="Y20" s="39">
        <f t="shared" si="16"/>
        <v>164.50976014626144</v>
      </c>
      <c r="Z20" s="45"/>
      <c r="AA20" s="45" t="s">
        <v>12</v>
      </c>
      <c r="AB20" s="3">
        <f>T20-HLOOKUP(X20,Feuil1!$C$1:$BL$10,2,FALSE)</f>
        <v>50</v>
      </c>
      <c r="AC20" s="3">
        <f>T20-HLOOKUP(X20,Feuil1!$C$1:$BL$10,3,FALSE)</f>
        <v>40</v>
      </c>
      <c r="AD20" s="3">
        <f>T20-HLOOKUP(X20,Feuil1!$C$1:$BL$10,4,FALSE)</f>
        <v>30</v>
      </c>
      <c r="AE20" s="3">
        <f>T20-HLOOKUP(X20,Feuil1!$C$1:$BL$10,5,FALSE)</f>
        <v>20</v>
      </c>
      <c r="AF20" s="3">
        <f>T20-HLOOKUP(X20,Feuil1!$C$1:$BL$10,6,FALSE)</f>
        <v>10</v>
      </c>
      <c r="AG20" s="3">
        <f>T20-HLOOKUP(X20,Feuil1!$C$1:$BL$10,7,FALSE)</f>
        <v>0</v>
      </c>
      <c r="AH20" s="3">
        <f>T20-HLOOKUP(X20,Feuil1!$C$1:$BL$10,8,FALSE)</f>
        <v>-15</v>
      </c>
      <c r="AI20" s="3">
        <f>T20-HLOOKUP(X20,Feuil1!$C$1:$BL$10,9,FALSE)</f>
        <v>-30</v>
      </c>
      <c r="AJ20" s="5">
        <f>T20-HLOOKUP(X20,Feuil1!$C$1:$BL$10,10,FALSE)</f>
        <v>-895</v>
      </c>
      <c r="AQ20" s="5" t="str">
        <f t="shared" si="17"/>
        <v>NAT +</v>
      </c>
    </row>
    <row r="21" spans="1:55" ht="21" hidden="1" x14ac:dyDescent="0.2">
      <c r="A21" s="12" t="s">
        <v>69</v>
      </c>
      <c r="B21" s="18" t="s">
        <v>71</v>
      </c>
      <c r="C21" s="19" t="s">
        <v>801</v>
      </c>
      <c r="D21" s="61">
        <v>9</v>
      </c>
      <c r="E21" s="35">
        <v>323896</v>
      </c>
      <c r="F21" s="24" t="s">
        <v>823</v>
      </c>
      <c r="G21" s="24" t="s">
        <v>291</v>
      </c>
      <c r="H21" s="51">
        <v>1997</v>
      </c>
      <c r="I21" s="30">
        <v>53</v>
      </c>
      <c r="J21" s="19" t="s">
        <v>803</v>
      </c>
      <c r="K21" s="34" t="s">
        <v>69</v>
      </c>
      <c r="L21" s="31">
        <v>-46</v>
      </c>
      <c r="M21" s="31">
        <v>46</v>
      </c>
      <c r="N21" s="31">
        <v>-48</v>
      </c>
      <c r="O21" s="36">
        <f t="shared" si="10"/>
        <v>46</v>
      </c>
      <c r="P21" s="31">
        <v>53</v>
      </c>
      <c r="Q21" s="31">
        <v>56</v>
      </c>
      <c r="R21" s="31">
        <v>58</v>
      </c>
      <c r="S21" s="36">
        <f t="shared" si="11"/>
        <v>58</v>
      </c>
      <c r="T21" s="37">
        <f t="shared" si="12"/>
        <v>104</v>
      </c>
      <c r="U21" s="64">
        <f t="shared" si="13"/>
        <v>-2</v>
      </c>
      <c r="V21" s="41" t="str">
        <f t="shared" si="14"/>
        <v>FED +</v>
      </c>
      <c r="W21" s="33">
        <f t="shared" si="15"/>
        <v>9</v>
      </c>
      <c r="X21" s="40" t="str">
        <f>IF(I21="","",IF(A21="H",IF(OR(H21="SEN",H21&lt;1995),VLOOKUP(I21,Feuil1!$A$11:$F$29,6),IF(AND(H21&gt;1994,H21&lt;1998),VLOOKUP(I21,Feuil1!$A$11:$F$29,5),IF(AND(H21&gt;1997,H21&lt;2000),VLOOKUP(I21,Feuil1!$A$11:$F$29,4),IF(AND(H21&gt;1999,H21&lt;2002),VLOOKUP(I21,Feuil1!$A$11:$F$29,3),VLOOKUP(I21,Feuil1!$A$11:$F$29,2))))),IF(OR(H21="SEN",H21&lt;1995),VLOOKUP(I21,Feuil1!$G$11:$L$25,6),IF(AND(H21&gt;1994,H21&lt;1998),VLOOKUP(I21,Feuil1!$G$11:$L$25,5),IF(AND(H21&gt;1997,H21&lt;2000),VLOOKUP(I21,Feuil1!$G$11:$L$25,4),IF(AND(H21&gt;1999,H21&lt;2002),VLOOKUP(I21,Feuil1!$G$11:$L$25,3),VLOOKUP(I21,Feuil1!$G$11:$L$25,2)))))))</f>
        <v>FJ53</v>
      </c>
      <c r="Y21" s="39">
        <f t="shared" si="16"/>
        <v>156.8781970676591</v>
      </c>
      <c r="Z21" s="45"/>
      <c r="AA21" s="45" t="s">
        <v>12</v>
      </c>
      <c r="AB21" s="3">
        <f>T21-HLOOKUP(X21,Feuil1!$C$1:$BL$10,2,FALSE)</f>
        <v>49</v>
      </c>
      <c r="AC21" s="3">
        <f>T21-HLOOKUP(X21,Feuil1!$C$1:$BL$10,3,FALSE)</f>
        <v>39</v>
      </c>
      <c r="AD21" s="3">
        <f>T21-HLOOKUP(X21,Feuil1!$C$1:$BL$10,4,FALSE)</f>
        <v>29</v>
      </c>
      <c r="AE21" s="3">
        <f>T21-HLOOKUP(X21,Feuil1!$C$1:$BL$10,5,FALSE)</f>
        <v>19</v>
      </c>
      <c r="AF21" s="3">
        <f>T21-HLOOKUP(X21,Feuil1!$C$1:$BL$10,6,FALSE)</f>
        <v>9</v>
      </c>
      <c r="AG21" s="3">
        <f>T21-HLOOKUP(X21,Feuil1!$C$1:$BL$10,7,FALSE)</f>
        <v>-1</v>
      </c>
      <c r="AH21" s="3">
        <f>T21-HLOOKUP(X21,Feuil1!$C$1:$BL$10,8,FALSE)</f>
        <v>-16</v>
      </c>
      <c r="AI21" s="3">
        <f>T21-HLOOKUP(X21,Feuil1!$C$1:$BL$10,9,FALSE)</f>
        <v>-31</v>
      </c>
      <c r="AJ21" s="5">
        <f>T21-HLOOKUP(X21,Feuil1!$C$1:$BL$10,10,FALSE)</f>
        <v>-896</v>
      </c>
      <c r="AQ21" s="5" t="str">
        <f t="shared" si="17"/>
        <v>FED +</v>
      </c>
    </row>
    <row r="22" spans="1:55" ht="21" hidden="1" x14ac:dyDescent="0.2">
      <c r="A22" s="12" t="s">
        <v>69</v>
      </c>
      <c r="B22" s="67" t="s">
        <v>298</v>
      </c>
      <c r="C22" s="68" t="s">
        <v>299</v>
      </c>
      <c r="D22" s="69">
        <v>10</v>
      </c>
      <c r="E22" s="70">
        <v>364789</v>
      </c>
      <c r="F22" s="71" t="s">
        <v>305</v>
      </c>
      <c r="G22" s="71" t="s">
        <v>306</v>
      </c>
      <c r="H22" s="72">
        <v>1996</v>
      </c>
      <c r="I22" s="73">
        <v>51.2</v>
      </c>
      <c r="J22" s="68" t="s">
        <v>307</v>
      </c>
      <c r="K22" s="74" t="s">
        <v>69</v>
      </c>
      <c r="L22" s="75">
        <v>32</v>
      </c>
      <c r="M22" s="75">
        <v>36</v>
      </c>
      <c r="N22" s="75">
        <v>-39</v>
      </c>
      <c r="O22" s="76">
        <f t="shared" si="10"/>
        <v>36</v>
      </c>
      <c r="P22" s="75">
        <v>44</v>
      </c>
      <c r="Q22" s="75">
        <v>47</v>
      </c>
      <c r="R22" s="75">
        <v>50</v>
      </c>
      <c r="S22" s="76">
        <f t="shared" si="11"/>
        <v>50</v>
      </c>
      <c r="T22" s="77">
        <f t="shared" si="12"/>
        <v>86</v>
      </c>
      <c r="U22" s="83">
        <f t="shared" si="13"/>
        <v>-16.400000000000006</v>
      </c>
      <c r="V22" s="79" t="str">
        <f t="shared" si="14"/>
        <v>IRG +</v>
      </c>
      <c r="W22" s="80">
        <f t="shared" si="15"/>
        <v>1</v>
      </c>
      <c r="X22" s="81" t="str">
        <f>IF(I22="","",IF(A22="H",IF(OR(H22="SEN",H22&lt;1995),VLOOKUP(I22,Feuil1!$A$11:$F$29,6),IF(AND(H22&gt;1994,H22&lt;1998),VLOOKUP(I22,Feuil1!$A$11:$F$29,5),IF(AND(H22&gt;1997,H22&lt;2000),VLOOKUP(I22,Feuil1!$A$11:$F$29,4),IF(AND(H22&gt;1999,H22&lt;2002),VLOOKUP(I22,Feuil1!$A$11:$F$29,3),VLOOKUP(I22,Feuil1!$A$11:$F$29,2))))),IF(OR(H22="SEN",H22&lt;1995),VLOOKUP(I22,Feuil1!$G$11:$L$25,6),IF(AND(H22&gt;1994,H22&lt;1998),VLOOKUP(I22,Feuil1!$G$11:$L$25,5),IF(AND(H22&gt;1997,H22&lt;2000),VLOOKUP(I22,Feuil1!$G$11:$L$25,4),IF(AND(H22&gt;1999,H22&lt;2002),VLOOKUP(I22,Feuil1!$G$11:$L$25,3),VLOOKUP(I22,Feuil1!$G$11:$L$25,2)))))))</f>
        <v>FJ53</v>
      </c>
      <c r="Y22" s="39">
        <f t="shared" si="16"/>
        <v>133.42631603283752</v>
      </c>
      <c r="Z22" s="45"/>
      <c r="AA22" s="45" t="s">
        <v>12</v>
      </c>
      <c r="AB22" s="3">
        <f>T22-HLOOKUP(X22,Feuil1!$C$1:$BL$10,2,FALSE)</f>
        <v>31</v>
      </c>
      <c r="AC22" s="3">
        <f>T22-HLOOKUP(X22,Feuil1!$C$1:$BL$10,3,FALSE)</f>
        <v>21</v>
      </c>
      <c r="AD22" s="3">
        <f>T22-HLOOKUP(X22,Feuil1!$C$1:$BL$10,4,FALSE)</f>
        <v>11</v>
      </c>
      <c r="AE22" s="3">
        <f>T22-HLOOKUP(X22,Feuil1!$C$1:$BL$10,5,FALSE)</f>
        <v>1</v>
      </c>
      <c r="AF22" s="3">
        <f>T22-HLOOKUP(X22,Feuil1!$C$1:$BL$10,6,FALSE)</f>
        <v>-9</v>
      </c>
      <c r="AG22" s="3">
        <f>T22-HLOOKUP(X22,Feuil1!$C$1:$BL$10,7,FALSE)</f>
        <v>-19</v>
      </c>
      <c r="AH22" s="3">
        <f>T22-HLOOKUP(X22,Feuil1!$C$1:$BL$10,8,FALSE)</f>
        <v>-34</v>
      </c>
      <c r="AI22" s="3">
        <f>T22-HLOOKUP(X22,Feuil1!$C$1:$BL$10,9,FALSE)</f>
        <v>-49</v>
      </c>
      <c r="AJ22" s="5">
        <f>T22-HLOOKUP(X22,Feuil1!$C$1:$BL$10,10,FALSE)</f>
        <v>-914</v>
      </c>
      <c r="AQ22" s="5" t="str">
        <f t="shared" si="17"/>
        <v>IRG +</v>
      </c>
    </row>
    <row r="23" spans="1:55" ht="21" hidden="1" x14ac:dyDescent="0.2">
      <c r="A23" s="12" t="s">
        <v>69</v>
      </c>
      <c r="B23" s="18" t="s">
        <v>298</v>
      </c>
      <c r="C23" s="19" t="s">
        <v>404</v>
      </c>
      <c r="D23" s="61">
        <v>11</v>
      </c>
      <c r="E23" s="35">
        <v>381945</v>
      </c>
      <c r="F23" s="20" t="s">
        <v>432</v>
      </c>
      <c r="G23" s="20" t="s">
        <v>433</v>
      </c>
      <c r="H23" s="51">
        <v>1997</v>
      </c>
      <c r="I23" s="30">
        <v>50.2</v>
      </c>
      <c r="J23" s="19" t="s">
        <v>434</v>
      </c>
      <c r="K23" s="34" t="s">
        <v>69</v>
      </c>
      <c r="L23" s="31">
        <v>30</v>
      </c>
      <c r="M23" s="31">
        <v>33</v>
      </c>
      <c r="N23" s="31">
        <v>36</v>
      </c>
      <c r="O23" s="36">
        <f t="shared" si="10"/>
        <v>36</v>
      </c>
      <c r="P23" s="31">
        <v>45</v>
      </c>
      <c r="Q23" s="31">
        <v>49</v>
      </c>
      <c r="R23" s="31">
        <v>-51</v>
      </c>
      <c r="S23" s="36">
        <f t="shared" si="11"/>
        <v>49</v>
      </c>
      <c r="T23" s="37">
        <f t="shared" si="12"/>
        <v>85</v>
      </c>
      <c r="U23" s="64">
        <f t="shared" si="13"/>
        <v>-15.400000000000006</v>
      </c>
      <c r="V23" s="41" t="str">
        <f t="shared" si="14"/>
        <v>IRG +</v>
      </c>
      <c r="W23" s="33">
        <f t="shared" si="15"/>
        <v>0</v>
      </c>
      <c r="X23" s="40" t="str">
        <f>IF(I23="","",IF(A23="H",IF(OR(H23="SEN",H23&lt;1995),VLOOKUP(I23,Feuil1!$A$11:$F$29,6),IF(AND(H23&gt;1994,H23&lt;1998),VLOOKUP(I23,Feuil1!$A$11:$F$29,5),IF(AND(H23&gt;1997,H23&lt;2000),VLOOKUP(I23,Feuil1!$A$11:$F$29,4),IF(AND(H23&gt;1999,H23&lt;2002),VLOOKUP(I23,Feuil1!$A$11:$F$29,3),VLOOKUP(I23,Feuil1!$A$11:$F$29,2))))),IF(OR(H23="SEN",H23&lt;1995),VLOOKUP(I23,Feuil1!$G$11:$L$25,6),IF(AND(H23&gt;1994,H23&lt;1998),VLOOKUP(I23,Feuil1!$G$11:$L$25,5),IF(AND(H23&gt;1997,H23&lt;2000),VLOOKUP(I23,Feuil1!$G$11:$L$25,4),IF(AND(H23&gt;1999,H23&lt;2002),VLOOKUP(I23,Feuil1!$G$11:$L$25,3),VLOOKUP(I23,Feuil1!$G$11:$L$25,2)))))))</f>
        <v>FJ53</v>
      </c>
      <c r="Y23" s="39">
        <f t="shared" si="16"/>
        <v>134.06502430756416</v>
      </c>
      <c r="Z23" s="45"/>
      <c r="AA23" s="45" t="s">
        <v>12</v>
      </c>
      <c r="AB23" s="3">
        <f>T23-HLOOKUP(X23,Feuil1!$C$1:$BL$10,2,FALSE)</f>
        <v>30</v>
      </c>
      <c r="AC23" s="3">
        <f>T23-HLOOKUP(X23,Feuil1!$C$1:$BL$10,3,FALSE)</f>
        <v>20</v>
      </c>
      <c r="AD23" s="3">
        <f>T23-HLOOKUP(X23,Feuil1!$C$1:$BL$10,4,FALSE)</f>
        <v>10</v>
      </c>
      <c r="AE23" s="3">
        <f>T23-HLOOKUP(X23,Feuil1!$C$1:$BL$10,5,FALSE)</f>
        <v>0</v>
      </c>
      <c r="AF23" s="3">
        <f>T23-HLOOKUP(X23,Feuil1!$C$1:$BL$10,6,FALSE)</f>
        <v>-10</v>
      </c>
      <c r="AG23" s="3">
        <f>T23-HLOOKUP(X23,Feuil1!$C$1:$BL$10,7,FALSE)</f>
        <v>-20</v>
      </c>
      <c r="AH23" s="3">
        <f>T23-HLOOKUP(X23,Feuil1!$C$1:$BL$10,8,FALSE)</f>
        <v>-35</v>
      </c>
      <c r="AI23" s="3">
        <f>T23-HLOOKUP(X23,Feuil1!$C$1:$BL$10,9,FALSE)</f>
        <v>-50</v>
      </c>
      <c r="AJ23" s="5">
        <f>T23-HLOOKUP(X23,Feuil1!$C$1:$BL$10,10,FALSE)</f>
        <v>-915</v>
      </c>
      <c r="AQ23" s="5" t="str">
        <f t="shared" si="17"/>
        <v>IRG +</v>
      </c>
    </row>
    <row r="24" spans="1:55" ht="21" hidden="1" x14ac:dyDescent="0.2">
      <c r="A24" s="12" t="s">
        <v>69</v>
      </c>
      <c r="B24" s="18" t="s">
        <v>298</v>
      </c>
      <c r="C24" s="19" t="s">
        <v>404</v>
      </c>
      <c r="D24" s="61">
        <v>12</v>
      </c>
      <c r="E24" s="35">
        <v>211905</v>
      </c>
      <c r="F24" s="20" t="s">
        <v>439</v>
      </c>
      <c r="G24" s="20" t="s">
        <v>272</v>
      </c>
      <c r="H24" s="51">
        <v>1995</v>
      </c>
      <c r="I24" s="30">
        <v>52.4</v>
      </c>
      <c r="J24" s="19" t="s">
        <v>412</v>
      </c>
      <c r="K24" s="34" t="s">
        <v>69</v>
      </c>
      <c r="L24" s="31">
        <v>33</v>
      </c>
      <c r="M24" s="31">
        <v>36</v>
      </c>
      <c r="N24" s="31">
        <v>-38</v>
      </c>
      <c r="O24" s="36">
        <f t="shared" si="10"/>
        <v>36</v>
      </c>
      <c r="P24" s="31">
        <v>43</v>
      </c>
      <c r="Q24" s="31">
        <v>46</v>
      </c>
      <c r="R24" s="31">
        <v>49</v>
      </c>
      <c r="S24" s="36">
        <f t="shared" si="11"/>
        <v>49</v>
      </c>
      <c r="T24" s="37">
        <f t="shared" si="12"/>
        <v>85</v>
      </c>
      <c r="U24" s="64">
        <f t="shared" si="13"/>
        <v>-19.799999999999997</v>
      </c>
      <c r="V24" s="41" t="str">
        <f t="shared" si="14"/>
        <v>IRG +</v>
      </c>
      <c r="W24" s="33">
        <f t="shared" si="15"/>
        <v>0</v>
      </c>
      <c r="X24" s="40" t="str">
        <f>IF(I24="","",IF(A24="H",IF(OR(H24="SEN",H24&lt;1995),VLOOKUP(I24,Feuil1!$A$11:$F$29,6),IF(AND(H24&gt;1994,H24&lt;1998),VLOOKUP(I24,Feuil1!$A$11:$F$29,5),IF(AND(H24&gt;1997,H24&lt;2000),VLOOKUP(I24,Feuil1!$A$11:$F$29,4),IF(AND(H24&gt;1999,H24&lt;2002),VLOOKUP(I24,Feuil1!$A$11:$F$29,3),VLOOKUP(I24,Feuil1!$A$11:$F$29,2))))),IF(OR(H24="SEN",H24&lt;1995),VLOOKUP(I24,Feuil1!$G$11:$L$25,6),IF(AND(H24&gt;1994,H24&lt;1998),VLOOKUP(I24,Feuil1!$G$11:$L$25,5),IF(AND(H24&gt;1997,H24&lt;2000),VLOOKUP(I24,Feuil1!$G$11:$L$25,4),IF(AND(H24&gt;1999,H24&lt;2002),VLOOKUP(I24,Feuil1!$G$11:$L$25,3),VLOOKUP(I24,Feuil1!$G$11:$L$25,2)))))))</f>
        <v>FJ53</v>
      </c>
      <c r="Y24" s="39">
        <f t="shared" si="16"/>
        <v>129.3981578228364</v>
      </c>
      <c r="Z24" s="45"/>
      <c r="AA24" s="45" t="s">
        <v>12</v>
      </c>
      <c r="AB24" s="3">
        <f>T24-HLOOKUP(X24,Feuil1!$C$1:$BL$10,2,FALSE)</f>
        <v>30</v>
      </c>
      <c r="AC24" s="3">
        <f>T24-HLOOKUP(X24,Feuil1!$C$1:$BL$10,3,FALSE)</f>
        <v>20</v>
      </c>
      <c r="AD24" s="3">
        <f>T24-HLOOKUP(X24,Feuil1!$C$1:$BL$10,4,FALSE)</f>
        <v>10</v>
      </c>
      <c r="AE24" s="3">
        <f>T24-HLOOKUP(X24,Feuil1!$C$1:$BL$10,5,FALSE)</f>
        <v>0</v>
      </c>
      <c r="AF24" s="3">
        <f>T24-HLOOKUP(X24,Feuil1!$C$1:$BL$10,6,FALSE)</f>
        <v>-10</v>
      </c>
      <c r="AG24" s="3">
        <f>T24-HLOOKUP(X24,Feuil1!$C$1:$BL$10,7,FALSE)</f>
        <v>-20</v>
      </c>
      <c r="AH24" s="3">
        <f>T24-HLOOKUP(X24,Feuil1!$C$1:$BL$10,8,FALSE)</f>
        <v>-35</v>
      </c>
      <c r="AI24" s="3">
        <f>T24-HLOOKUP(X24,Feuil1!$C$1:$BL$10,9,FALSE)</f>
        <v>-50</v>
      </c>
      <c r="AJ24" s="5">
        <f>T24-HLOOKUP(X24,Feuil1!$C$1:$BL$10,10,FALSE)</f>
        <v>-915</v>
      </c>
      <c r="AQ24" s="5" t="str">
        <f t="shared" si="17"/>
        <v>IRG +</v>
      </c>
    </row>
    <row r="25" spans="1:55" ht="21" hidden="1" x14ac:dyDescent="0.2">
      <c r="A25" s="12" t="s">
        <v>69</v>
      </c>
      <c r="B25" s="18" t="s">
        <v>71</v>
      </c>
      <c r="C25" s="19" t="s">
        <v>72</v>
      </c>
      <c r="D25" s="61">
        <v>13</v>
      </c>
      <c r="E25" s="35">
        <v>385864</v>
      </c>
      <c r="F25" s="24" t="s">
        <v>941</v>
      </c>
      <c r="G25" s="24" t="s">
        <v>500</v>
      </c>
      <c r="H25" s="57">
        <v>1997</v>
      </c>
      <c r="I25" s="30">
        <v>52.6</v>
      </c>
      <c r="J25" s="19" t="s">
        <v>927</v>
      </c>
      <c r="K25" s="34" t="s">
        <v>69</v>
      </c>
      <c r="L25" s="31">
        <v>38</v>
      </c>
      <c r="M25" s="31">
        <v>-40</v>
      </c>
      <c r="N25" s="31">
        <v>40</v>
      </c>
      <c r="O25" s="36">
        <f t="shared" si="10"/>
        <v>40</v>
      </c>
      <c r="P25" s="31">
        <v>45</v>
      </c>
      <c r="Q25" s="31">
        <v>-50</v>
      </c>
      <c r="R25" s="31">
        <v>-50</v>
      </c>
      <c r="S25" s="36">
        <f t="shared" si="11"/>
        <v>45</v>
      </c>
      <c r="T25" s="37">
        <f t="shared" si="12"/>
        <v>85</v>
      </c>
      <c r="U25" s="64">
        <f t="shared" si="13"/>
        <v>-20.200000000000003</v>
      </c>
      <c r="V25" s="41" t="str">
        <f t="shared" si="14"/>
        <v>IRG +</v>
      </c>
      <c r="W25" s="33">
        <f t="shared" si="15"/>
        <v>0</v>
      </c>
      <c r="X25" s="40" t="str">
        <f>IF(I25="","",IF(A25="H",IF(OR(H25="SEN",H25&lt;1995),VLOOKUP(I25,Feuil1!$A$11:$F$29,6),IF(AND(H25&gt;1994,H25&lt;1998),VLOOKUP(I25,Feuil1!$A$11:$F$29,5),IF(AND(H25&gt;1997,H25&lt;2000),VLOOKUP(I25,Feuil1!$A$11:$F$29,4),IF(AND(H25&gt;1999,H25&lt;2002),VLOOKUP(I25,Feuil1!$A$11:$F$29,3),VLOOKUP(I25,Feuil1!$A$11:$F$29,2))))),IF(OR(H25="SEN",H25&lt;1995),VLOOKUP(I25,Feuil1!$G$11:$L$25,6),IF(AND(H25&gt;1994,H25&lt;1998),VLOOKUP(I25,Feuil1!$G$11:$L$25,5),IF(AND(H25&gt;1997,H25&lt;2000),VLOOKUP(I25,Feuil1!$G$11:$L$25,4),IF(AND(H25&gt;1999,H25&lt;2002),VLOOKUP(I25,Feuil1!$G$11:$L$25,3),VLOOKUP(I25,Feuil1!$G$11:$L$25,2)))))))</f>
        <v>FJ53</v>
      </c>
      <c r="Y25" s="39">
        <f t="shared" si="16"/>
        <v>129.00054025514771</v>
      </c>
      <c r="Z25" s="45"/>
      <c r="AA25" s="45" t="s">
        <v>12</v>
      </c>
      <c r="AB25" s="3">
        <f>T25-HLOOKUP(X25,Feuil1!$C$1:$BL$10,2,FALSE)</f>
        <v>30</v>
      </c>
      <c r="AC25" s="3">
        <f>T25-HLOOKUP(X25,Feuil1!$C$1:$BL$10,3,FALSE)</f>
        <v>20</v>
      </c>
      <c r="AD25" s="3">
        <f>T25-HLOOKUP(X25,Feuil1!$C$1:$BL$10,4,FALSE)</f>
        <v>10</v>
      </c>
      <c r="AE25" s="3">
        <f>T25-HLOOKUP(X25,Feuil1!$C$1:$BL$10,5,FALSE)</f>
        <v>0</v>
      </c>
      <c r="AF25" s="3">
        <f>T25-HLOOKUP(X25,Feuil1!$C$1:$BL$10,6,FALSE)</f>
        <v>-10</v>
      </c>
      <c r="AG25" s="3">
        <f>T25-HLOOKUP(X25,Feuil1!$C$1:$BL$10,7,FALSE)</f>
        <v>-20</v>
      </c>
      <c r="AH25" s="3">
        <f>T25-HLOOKUP(X25,Feuil1!$C$1:$BL$10,8,FALSE)</f>
        <v>-35</v>
      </c>
      <c r="AI25" s="3">
        <f>T25-HLOOKUP(X25,Feuil1!$C$1:$BL$10,9,FALSE)</f>
        <v>-50</v>
      </c>
      <c r="AJ25" s="5">
        <f>T25-HLOOKUP(X25,Feuil1!$C$1:$BL$10,10,FALSE)</f>
        <v>-915</v>
      </c>
      <c r="AQ25" s="5" t="str">
        <f t="shared" si="17"/>
        <v>IRG +</v>
      </c>
    </row>
    <row r="26" spans="1:55" ht="21" hidden="1" x14ac:dyDescent="0.2">
      <c r="A26" s="12" t="s">
        <v>69</v>
      </c>
      <c r="B26" s="67" t="s">
        <v>108</v>
      </c>
      <c r="C26" s="68" t="s">
        <v>119</v>
      </c>
      <c r="D26" s="69">
        <v>14</v>
      </c>
      <c r="E26" s="70">
        <v>316601</v>
      </c>
      <c r="F26" s="71" t="s">
        <v>160</v>
      </c>
      <c r="G26" s="71" t="s">
        <v>494</v>
      </c>
      <c r="H26" s="82">
        <v>1996</v>
      </c>
      <c r="I26" s="73">
        <v>48.8</v>
      </c>
      <c r="J26" s="68" t="s">
        <v>161</v>
      </c>
      <c r="K26" s="74" t="s">
        <v>69</v>
      </c>
      <c r="L26" s="75">
        <v>-32</v>
      </c>
      <c r="M26" s="75">
        <v>32</v>
      </c>
      <c r="N26" s="75">
        <v>35</v>
      </c>
      <c r="O26" s="76">
        <f t="shared" si="10"/>
        <v>35</v>
      </c>
      <c r="P26" s="75">
        <v>42</v>
      </c>
      <c r="Q26" s="75">
        <v>45</v>
      </c>
      <c r="R26" s="75">
        <v>48</v>
      </c>
      <c r="S26" s="76">
        <f t="shared" si="11"/>
        <v>48</v>
      </c>
      <c r="T26" s="77">
        <f t="shared" si="12"/>
        <v>83</v>
      </c>
      <c r="U26" s="83">
        <f t="shared" si="13"/>
        <v>-14.599999999999994</v>
      </c>
      <c r="V26" s="79" t="str">
        <f t="shared" si="14"/>
        <v>REG +</v>
      </c>
      <c r="W26" s="80">
        <f t="shared" si="15"/>
        <v>8</v>
      </c>
      <c r="X26" s="81" t="str">
        <f>IF(I26="","",IF(A26="H",IF(OR(H26="SEN",H26&lt;1995),VLOOKUP(I26,Feuil1!$A$11:$F$29,6),IF(AND(H26&gt;1994,H26&lt;1998),VLOOKUP(I26,Feuil1!$A$11:$F$29,5),IF(AND(H26&gt;1997,H26&lt;2000),VLOOKUP(I26,Feuil1!$A$11:$F$29,4),IF(AND(H26&gt;1999,H26&lt;2002),VLOOKUP(I26,Feuil1!$A$11:$F$29,3),VLOOKUP(I26,Feuil1!$A$11:$F$29,2))))),IF(OR(H26="SEN",H26&lt;1995),VLOOKUP(I26,Feuil1!$G$11:$L$25,6),IF(AND(H26&gt;1994,H26&lt;1998),VLOOKUP(I26,Feuil1!$G$11:$L$25,5),IF(AND(H26&gt;1997,H26&lt;2000),VLOOKUP(I26,Feuil1!$G$11:$L$25,4),IF(AND(H26&gt;1999,H26&lt;2002),VLOOKUP(I26,Feuil1!$G$11:$L$25,3),VLOOKUP(I26,Feuil1!$G$11:$L$25,2)))))))</f>
        <v>FJ53</v>
      </c>
      <c r="Y26" s="39">
        <f t="shared" si="16"/>
        <v>134.11042321040139</v>
      </c>
      <c r="Z26" s="45"/>
      <c r="AA26" s="45" t="s">
        <v>12</v>
      </c>
      <c r="AB26" s="3">
        <f>T26-HLOOKUP(X26,Feuil1!$C$1:$BL$10,2,FALSE)</f>
        <v>28</v>
      </c>
      <c r="AC26" s="3">
        <f>T26-HLOOKUP(X26,Feuil1!$C$1:$BL$10,3,FALSE)</f>
        <v>18</v>
      </c>
      <c r="AD26" s="3">
        <f>T26-HLOOKUP(X26,Feuil1!$C$1:$BL$10,4,FALSE)</f>
        <v>8</v>
      </c>
      <c r="AE26" s="3">
        <f>T26-HLOOKUP(X26,Feuil1!$C$1:$BL$10,5,FALSE)</f>
        <v>-2</v>
      </c>
      <c r="AF26" s="3">
        <f>T26-HLOOKUP(X26,Feuil1!$C$1:$BL$10,6,FALSE)</f>
        <v>-12</v>
      </c>
      <c r="AG26" s="3">
        <f>T26-HLOOKUP(X26,Feuil1!$C$1:$BL$10,7,FALSE)</f>
        <v>-22</v>
      </c>
      <c r="AH26" s="3">
        <f>T26-HLOOKUP(X26,Feuil1!$C$1:$BL$10,8,FALSE)</f>
        <v>-37</v>
      </c>
      <c r="AI26" s="3">
        <f>T26-HLOOKUP(X26,Feuil1!$C$1:$BL$10,9,FALSE)</f>
        <v>-52</v>
      </c>
      <c r="AJ26" s="5">
        <f>T26-HLOOKUP(X26,Feuil1!$C$1:$BL$10,10,FALSE)</f>
        <v>-917</v>
      </c>
      <c r="AQ26" s="5" t="str">
        <f t="shared" si="17"/>
        <v>REG +</v>
      </c>
    </row>
    <row r="27" spans="1:55" ht="21" hidden="1" x14ac:dyDescent="0.2">
      <c r="A27" s="12" t="s">
        <v>69</v>
      </c>
      <c r="B27" s="18" t="s">
        <v>298</v>
      </c>
      <c r="C27" s="19" t="s">
        <v>299</v>
      </c>
      <c r="D27" s="61">
        <v>15</v>
      </c>
      <c r="E27" s="35">
        <v>371173</v>
      </c>
      <c r="F27" s="21" t="s">
        <v>308</v>
      </c>
      <c r="G27" s="20" t="s">
        <v>143</v>
      </c>
      <c r="H27" s="51">
        <v>1997</v>
      </c>
      <c r="I27" s="30">
        <v>51.4</v>
      </c>
      <c r="J27" s="19" t="s">
        <v>309</v>
      </c>
      <c r="K27" s="34" t="s">
        <v>69</v>
      </c>
      <c r="L27" s="31">
        <v>30</v>
      </c>
      <c r="M27" s="31">
        <v>35</v>
      </c>
      <c r="N27" s="31">
        <v>37</v>
      </c>
      <c r="O27" s="36">
        <f t="shared" si="10"/>
        <v>37</v>
      </c>
      <c r="P27" s="31">
        <v>40</v>
      </c>
      <c r="Q27" s="31">
        <v>45</v>
      </c>
      <c r="R27" s="31">
        <v>-48</v>
      </c>
      <c r="S27" s="36">
        <f t="shared" si="11"/>
        <v>45</v>
      </c>
      <c r="T27" s="37">
        <f t="shared" si="12"/>
        <v>82</v>
      </c>
      <c r="U27" s="64">
        <f t="shared" si="13"/>
        <v>-20.799999999999997</v>
      </c>
      <c r="V27" s="41" t="str">
        <f t="shared" si="14"/>
        <v>REG +</v>
      </c>
      <c r="W27" s="33">
        <f t="shared" si="15"/>
        <v>7</v>
      </c>
      <c r="X27" s="40" t="str">
        <f>IF(I27="","",IF(A27="H",IF(OR(H27="SEN",H27&lt;1995),VLOOKUP(I27,Feuil1!$A$11:$F$29,6),IF(AND(H27&gt;1994,H27&lt;1998),VLOOKUP(I27,Feuil1!$A$11:$F$29,5),IF(AND(H27&gt;1997,H27&lt;2000),VLOOKUP(I27,Feuil1!$A$11:$F$29,4),IF(AND(H27&gt;1999,H27&lt;2002),VLOOKUP(I27,Feuil1!$A$11:$F$29,3),VLOOKUP(I27,Feuil1!$A$11:$F$29,2))))),IF(OR(H27="SEN",H27&lt;1995),VLOOKUP(I27,Feuil1!$G$11:$L$25,6),IF(AND(H27&gt;1994,H27&lt;1998),VLOOKUP(I27,Feuil1!$G$11:$L$25,5),IF(AND(H27&gt;1997,H27&lt;2000),VLOOKUP(I27,Feuil1!$G$11:$L$25,4),IF(AND(H27&gt;1999,H27&lt;2002),VLOOKUP(I27,Feuil1!$G$11:$L$25,3),VLOOKUP(I27,Feuil1!$G$11:$L$25,2)))))))</f>
        <v>FJ53</v>
      </c>
      <c r="Y27" s="39">
        <f t="shared" si="16"/>
        <v>126.81147541401454</v>
      </c>
      <c r="Z27" s="45"/>
      <c r="AA27" s="45" t="s">
        <v>12</v>
      </c>
      <c r="AB27" s="3">
        <f>T27-HLOOKUP(X27,Feuil1!$C$1:$BL$10,2,FALSE)</f>
        <v>27</v>
      </c>
      <c r="AC27" s="3">
        <f>T27-HLOOKUP(X27,Feuil1!$C$1:$BL$10,3,FALSE)</f>
        <v>17</v>
      </c>
      <c r="AD27" s="3">
        <f>T27-HLOOKUP(X27,Feuil1!$C$1:$BL$10,4,FALSE)</f>
        <v>7</v>
      </c>
      <c r="AE27" s="3">
        <f>T27-HLOOKUP(X27,Feuil1!$C$1:$BL$10,5,FALSE)</f>
        <v>-3</v>
      </c>
      <c r="AF27" s="3">
        <f>T27-HLOOKUP(X27,Feuil1!$C$1:$BL$10,6,FALSE)</f>
        <v>-13</v>
      </c>
      <c r="AG27" s="3">
        <f>T27-HLOOKUP(X27,Feuil1!$C$1:$BL$10,7,FALSE)</f>
        <v>-23</v>
      </c>
      <c r="AH27" s="3">
        <f>T27-HLOOKUP(X27,Feuil1!$C$1:$BL$10,8,FALSE)</f>
        <v>-38</v>
      </c>
      <c r="AI27" s="3">
        <f>T27-HLOOKUP(X27,Feuil1!$C$1:$BL$10,9,FALSE)</f>
        <v>-53</v>
      </c>
      <c r="AJ27" s="5">
        <f>T27-HLOOKUP(X27,Feuil1!$C$1:$BL$10,10,FALSE)</f>
        <v>-918</v>
      </c>
      <c r="AQ27" s="5" t="str">
        <f t="shared" si="17"/>
        <v>REG +</v>
      </c>
    </row>
    <row r="28" spans="1:55" ht="21" hidden="1" x14ac:dyDescent="0.2">
      <c r="A28" s="12" t="s">
        <v>69</v>
      </c>
      <c r="B28" s="18" t="s">
        <v>649</v>
      </c>
      <c r="C28" s="19" t="s">
        <v>669</v>
      </c>
      <c r="D28" s="61">
        <v>16</v>
      </c>
      <c r="E28" s="35">
        <v>383633</v>
      </c>
      <c r="F28" s="20" t="s">
        <v>679</v>
      </c>
      <c r="G28" s="20" t="s">
        <v>680</v>
      </c>
      <c r="H28" s="51">
        <v>1996</v>
      </c>
      <c r="I28" s="30">
        <v>52.1</v>
      </c>
      <c r="J28" s="19" t="s">
        <v>672</v>
      </c>
      <c r="K28" s="34" t="s">
        <v>69</v>
      </c>
      <c r="L28" s="31">
        <v>30</v>
      </c>
      <c r="M28" s="31">
        <v>34</v>
      </c>
      <c r="N28" s="31">
        <v>-36</v>
      </c>
      <c r="O28" s="36">
        <f t="shared" si="10"/>
        <v>34</v>
      </c>
      <c r="P28" s="31">
        <v>38</v>
      </c>
      <c r="Q28" s="31">
        <v>41</v>
      </c>
      <c r="R28" s="31">
        <v>-44</v>
      </c>
      <c r="S28" s="36">
        <f t="shared" si="11"/>
        <v>41</v>
      </c>
      <c r="T28" s="37">
        <f t="shared" si="12"/>
        <v>75</v>
      </c>
      <c r="U28" s="64">
        <f t="shared" si="13"/>
        <v>-29.200000000000003</v>
      </c>
      <c r="V28" s="41" t="str">
        <f t="shared" si="14"/>
        <v>REG +</v>
      </c>
      <c r="W28" s="33">
        <f t="shared" si="15"/>
        <v>0</v>
      </c>
      <c r="X28" s="40" t="str">
        <f>IF(I28="","",IF(A28="H",IF(OR(H28="SEN",H28&lt;1995),VLOOKUP(I28,Feuil1!$A$11:$F$29,6),IF(AND(H28&gt;1994,H28&lt;1998),VLOOKUP(I28,Feuil1!$A$11:$F$29,5),IF(AND(H28&gt;1997,H28&lt;2000),VLOOKUP(I28,Feuil1!$A$11:$F$29,4),IF(AND(H28&gt;1999,H28&lt;2002),VLOOKUP(I28,Feuil1!$A$11:$F$29,3),VLOOKUP(I28,Feuil1!$A$11:$F$29,2))))),IF(OR(H28="SEN",H28&lt;1995),VLOOKUP(I28,Feuil1!$G$11:$L$25,6),IF(AND(H28&gt;1994,H28&lt;1998),VLOOKUP(I28,Feuil1!$G$11:$L$25,5),IF(AND(H28&gt;1997,H28&lt;2000),VLOOKUP(I28,Feuil1!$G$11:$L$25,4),IF(AND(H28&gt;1999,H28&lt;2002),VLOOKUP(I28,Feuil1!$G$11:$L$25,3),VLOOKUP(I28,Feuil1!$G$11:$L$25,2)))))))</f>
        <v>FJ53</v>
      </c>
      <c r="Y28" s="39">
        <f t="shared" si="16"/>
        <v>114.70811794048728</v>
      </c>
      <c r="Z28" s="45"/>
      <c r="AA28" s="45" t="s">
        <v>12</v>
      </c>
      <c r="AB28" s="3">
        <f>T28-HLOOKUP(X28,Feuil1!$C$1:$BL$10,2,FALSE)</f>
        <v>20</v>
      </c>
      <c r="AC28" s="3">
        <f>T28-HLOOKUP(X28,Feuil1!$C$1:$BL$10,3,FALSE)</f>
        <v>10</v>
      </c>
      <c r="AD28" s="3">
        <f>T28-HLOOKUP(X28,Feuil1!$C$1:$BL$10,4,FALSE)</f>
        <v>0</v>
      </c>
      <c r="AE28" s="3">
        <f>T28-HLOOKUP(X28,Feuil1!$C$1:$BL$10,5,FALSE)</f>
        <v>-10</v>
      </c>
      <c r="AF28" s="3">
        <f>T28-HLOOKUP(X28,Feuil1!$C$1:$BL$10,6,FALSE)</f>
        <v>-20</v>
      </c>
      <c r="AG28" s="3">
        <f>T28-HLOOKUP(X28,Feuil1!$C$1:$BL$10,7,FALSE)</f>
        <v>-30</v>
      </c>
      <c r="AH28" s="3">
        <f>T28-HLOOKUP(X28,Feuil1!$C$1:$BL$10,8,FALSE)</f>
        <v>-45</v>
      </c>
      <c r="AI28" s="3">
        <f>T28-HLOOKUP(X28,Feuil1!$C$1:$BL$10,9,FALSE)</f>
        <v>-60</v>
      </c>
      <c r="AJ28" s="5">
        <f>T28-HLOOKUP(X28,Feuil1!$C$1:$BL$10,10,FALSE)</f>
        <v>-925</v>
      </c>
      <c r="AQ28" s="5" t="str">
        <f t="shared" si="17"/>
        <v>REG +</v>
      </c>
      <c r="BC28" s="13"/>
    </row>
    <row r="29" spans="1:55" ht="21" hidden="1" x14ac:dyDescent="0.2">
      <c r="A29" s="12" t="s">
        <v>69</v>
      </c>
      <c r="B29" s="18" t="s">
        <v>298</v>
      </c>
      <c r="C29" s="19" t="s">
        <v>476</v>
      </c>
      <c r="D29" s="61">
        <v>17</v>
      </c>
      <c r="E29" s="35">
        <v>386134</v>
      </c>
      <c r="F29" s="20" t="s">
        <v>509</v>
      </c>
      <c r="G29" s="20" t="s">
        <v>510</v>
      </c>
      <c r="H29" s="51">
        <v>1997</v>
      </c>
      <c r="I29" s="30">
        <v>52.9</v>
      </c>
      <c r="J29" s="19" t="s">
        <v>478</v>
      </c>
      <c r="K29" s="34" t="s">
        <v>69</v>
      </c>
      <c r="L29" s="31">
        <v>30</v>
      </c>
      <c r="M29" s="31">
        <v>-32</v>
      </c>
      <c r="N29" s="31">
        <v>-32</v>
      </c>
      <c r="O29" s="36">
        <f t="shared" si="10"/>
        <v>30</v>
      </c>
      <c r="P29" s="31">
        <v>41</v>
      </c>
      <c r="Q29" s="31">
        <v>-45</v>
      </c>
      <c r="R29" s="31">
        <v>45</v>
      </c>
      <c r="S29" s="36">
        <f t="shared" si="11"/>
        <v>45</v>
      </c>
      <c r="T29" s="37">
        <f t="shared" si="12"/>
        <v>75</v>
      </c>
      <c r="U29" s="64">
        <f t="shared" si="13"/>
        <v>-30.799999999999997</v>
      </c>
      <c r="V29" s="41" t="str">
        <f t="shared" si="14"/>
        <v>REG +</v>
      </c>
      <c r="W29" s="33">
        <f t="shared" si="15"/>
        <v>0</v>
      </c>
      <c r="X29" s="40" t="str">
        <f>IF(I29="","",IF(A29="H",IF(OR(H29="SEN",H29&lt;1995),VLOOKUP(I29,Feuil1!$A$11:$F$29,6),IF(AND(H29&gt;1994,H29&lt;1998),VLOOKUP(I29,Feuil1!$A$11:$F$29,5),IF(AND(H29&gt;1997,H29&lt;2000),VLOOKUP(I29,Feuil1!$A$11:$F$29,4),IF(AND(H29&gt;1999,H29&lt;2002),VLOOKUP(I29,Feuil1!$A$11:$F$29,3),VLOOKUP(I29,Feuil1!$A$11:$F$29,2))))),IF(OR(H29="SEN",H29&lt;1995),VLOOKUP(I29,Feuil1!$G$11:$L$25,6),IF(AND(H29&gt;1994,H29&lt;1998),VLOOKUP(I29,Feuil1!$G$11:$L$25,5),IF(AND(H29&gt;1997,H29&lt;2000),VLOOKUP(I29,Feuil1!$G$11:$L$25,4),IF(AND(H29&gt;1999,H29&lt;2002),VLOOKUP(I29,Feuil1!$G$11:$L$25,3),VLOOKUP(I29,Feuil1!$G$11:$L$25,2)))))))</f>
        <v>FJ53</v>
      </c>
      <c r="Y29" s="39">
        <f t="shared" si="16"/>
        <v>113.30463059430764</v>
      </c>
      <c r="Z29" s="45"/>
      <c r="AA29" s="45" t="s">
        <v>12</v>
      </c>
      <c r="AB29" s="3">
        <f>T29-HLOOKUP(X29,Feuil1!$C$1:$BL$10,2,FALSE)</f>
        <v>20</v>
      </c>
      <c r="AC29" s="3">
        <f>T29-HLOOKUP(X29,Feuil1!$C$1:$BL$10,3,FALSE)</f>
        <v>10</v>
      </c>
      <c r="AD29" s="3">
        <f>T29-HLOOKUP(X29,Feuil1!$C$1:$BL$10,4,FALSE)</f>
        <v>0</v>
      </c>
      <c r="AE29" s="3">
        <f>T29-HLOOKUP(X29,Feuil1!$C$1:$BL$10,5,FALSE)</f>
        <v>-10</v>
      </c>
      <c r="AF29" s="3">
        <f>T29-HLOOKUP(X29,Feuil1!$C$1:$BL$10,6,FALSE)</f>
        <v>-20</v>
      </c>
      <c r="AG29" s="3">
        <f>T29-HLOOKUP(X29,Feuil1!$C$1:$BL$10,7,FALSE)</f>
        <v>-30</v>
      </c>
      <c r="AH29" s="3">
        <f>T29-HLOOKUP(X29,Feuil1!$C$1:$BL$10,8,FALSE)</f>
        <v>-45</v>
      </c>
      <c r="AI29" s="3">
        <f>T29-HLOOKUP(X29,Feuil1!$C$1:$BL$10,9,FALSE)</f>
        <v>-60</v>
      </c>
      <c r="AJ29" s="5">
        <f>T29-HLOOKUP(X29,Feuil1!$C$1:$BL$10,10,FALSE)</f>
        <v>-925</v>
      </c>
      <c r="AQ29" s="5" t="str">
        <f t="shared" si="17"/>
        <v>REG +</v>
      </c>
      <c r="BC29" s="13"/>
    </row>
    <row r="30" spans="1:55" ht="21" hidden="1" x14ac:dyDescent="0.2">
      <c r="A30" s="12" t="s">
        <v>69</v>
      </c>
      <c r="B30" s="67" t="s">
        <v>71</v>
      </c>
      <c r="C30" s="68" t="s">
        <v>801</v>
      </c>
      <c r="D30" s="69">
        <v>18</v>
      </c>
      <c r="E30" s="70">
        <v>341745</v>
      </c>
      <c r="F30" s="86" t="s">
        <v>821</v>
      </c>
      <c r="G30" s="86" t="s">
        <v>822</v>
      </c>
      <c r="H30" s="72">
        <v>1997</v>
      </c>
      <c r="I30" s="73">
        <v>49.4</v>
      </c>
      <c r="J30" s="68" t="s">
        <v>807</v>
      </c>
      <c r="K30" s="74" t="s">
        <v>69</v>
      </c>
      <c r="L30" s="75">
        <v>27</v>
      </c>
      <c r="M30" s="75">
        <v>30</v>
      </c>
      <c r="N30" s="75">
        <v>-32</v>
      </c>
      <c r="O30" s="76">
        <f t="shared" si="10"/>
        <v>30</v>
      </c>
      <c r="P30" s="75">
        <v>33</v>
      </c>
      <c r="Q30" s="75">
        <v>36</v>
      </c>
      <c r="R30" s="75">
        <v>-38</v>
      </c>
      <c r="S30" s="76">
        <f t="shared" si="11"/>
        <v>36</v>
      </c>
      <c r="T30" s="77">
        <f t="shared" si="12"/>
        <v>66</v>
      </c>
      <c r="U30" s="83">
        <f t="shared" si="13"/>
        <v>-32.799999999999997</v>
      </c>
      <c r="V30" s="79" t="str">
        <f t="shared" si="14"/>
        <v>DEP +</v>
      </c>
      <c r="W30" s="80">
        <f t="shared" si="15"/>
        <v>1</v>
      </c>
      <c r="X30" s="81" t="str">
        <f>IF(I30="","",IF(A30="H",IF(OR(H30="SEN",H30&lt;1995),VLOOKUP(I30,Feuil1!$A$11:$F$29,6),IF(AND(H30&gt;1994,H30&lt;1998),VLOOKUP(I30,Feuil1!$A$11:$F$29,5),IF(AND(H30&gt;1997,H30&lt;2000),VLOOKUP(I30,Feuil1!$A$11:$F$29,4),IF(AND(H30&gt;1999,H30&lt;2002),VLOOKUP(I30,Feuil1!$A$11:$F$29,3),VLOOKUP(I30,Feuil1!$A$11:$F$29,2))))),IF(OR(H30="SEN",H30&lt;1995),VLOOKUP(I30,Feuil1!$G$11:$L$25,6),IF(AND(H30&gt;1994,H30&lt;1998),VLOOKUP(I30,Feuil1!$G$11:$L$25,5),IF(AND(H30&gt;1997,H30&lt;2000),VLOOKUP(I30,Feuil1!$G$11:$L$25,4),IF(AND(H30&gt;1999,H30&lt;2002),VLOOKUP(I30,Feuil1!$G$11:$L$25,3),VLOOKUP(I30,Feuil1!$G$11:$L$25,2)))))))</f>
        <v>FJ53</v>
      </c>
      <c r="Y30" s="39">
        <f t="shared" si="16"/>
        <v>105.5270938746802</v>
      </c>
      <c r="Z30" s="45"/>
      <c r="AA30" s="45" t="s">
        <v>12</v>
      </c>
      <c r="AB30" s="3">
        <f>T30-HLOOKUP(X30,Feuil1!$C$1:$BL$10,2,FALSE)</f>
        <v>11</v>
      </c>
      <c r="AC30" s="3">
        <f>T30-HLOOKUP(X30,Feuil1!$C$1:$BL$10,3,FALSE)</f>
        <v>1</v>
      </c>
      <c r="AD30" s="3">
        <f>T30-HLOOKUP(X30,Feuil1!$C$1:$BL$10,4,FALSE)</f>
        <v>-9</v>
      </c>
      <c r="AE30" s="3">
        <f>T30-HLOOKUP(X30,Feuil1!$C$1:$BL$10,5,FALSE)</f>
        <v>-19</v>
      </c>
      <c r="AF30" s="3">
        <f>T30-HLOOKUP(X30,Feuil1!$C$1:$BL$10,6,FALSE)</f>
        <v>-29</v>
      </c>
      <c r="AG30" s="3">
        <f>T30-HLOOKUP(X30,Feuil1!$C$1:$BL$10,7,FALSE)</f>
        <v>-39</v>
      </c>
      <c r="AH30" s="3">
        <f>T30-HLOOKUP(X30,Feuil1!$C$1:$BL$10,8,FALSE)</f>
        <v>-54</v>
      </c>
      <c r="AI30" s="3">
        <f>T30-HLOOKUP(X30,Feuil1!$C$1:$BL$10,9,FALSE)</f>
        <v>-69</v>
      </c>
      <c r="AJ30" s="5">
        <f>T30-HLOOKUP(X30,Feuil1!$C$1:$BL$10,10,FALSE)</f>
        <v>-934</v>
      </c>
      <c r="AQ30" s="5" t="str">
        <f t="shared" si="17"/>
        <v>DEP +</v>
      </c>
    </row>
    <row r="31" spans="1:55" ht="21" hidden="1" x14ac:dyDescent="0.2">
      <c r="A31" s="12" t="s">
        <v>69</v>
      </c>
      <c r="B31" s="18" t="s">
        <v>298</v>
      </c>
      <c r="C31" s="19" t="s">
        <v>299</v>
      </c>
      <c r="D31" s="61">
        <v>19</v>
      </c>
      <c r="E31" s="35">
        <v>380780</v>
      </c>
      <c r="F31" s="20" t="s">
        <v>300</v>
      </c>
      <c r="G31" s="20" t="s">
        <v>310</v>
      </c>
      <c r="H31" s="57">
        <v>1996</v>
      </c>
      <c r="I31" s="30">
        <v>50.1</v>
      </c>
      <c r="J31" s="19" t="s">
        <v>302</v>
      </c>
      <c r="K31" s="34" t="s">
        <v>69</v>
      </c>
      <c r="L31" s="31">
        <v>15</v>
      </c>
      <c r="M31" s="31">
        <v>18</v>
      </c>
      <c r="N31" s="31">
        <v>20</v>
      </c>
      <c r="O31" s="36">
        <f t="shared" si="10"/>
        <v>20</v>
      </c>
      <c r="P31" s="31">
        <v>20</v>
      </c>
      <c r="Q31" s="31">
        <v>23</v>
      </c>
      <c r="R31" s="31">
        <v>25</v>
      </c>
      <c r="S31" s="36">
        <f t="shared" si="11"/>
        <v>25</v>
      </c>
      <c r="T31" s="37">
        <f t="shared" si="12"/>
        <v>45</v>
      </c>
      <c r="U31" s="64">
        <f t="shared" si="13"/>
        <v>-55.2</v>
      </c>
      <c r="V31" s="41" t="str">
        <f t="shared" si="14"/>
        <v xml:space="preserve">DEB </v>
      </c>
      <c r="W31" s="33">
        <f t="shared" si="15"/>
        <v>-10</v>
      </c>
      <c r="X31" s="40" t="str">
        <f>IF(I31="","",IF(A31="H",IF(OR(H31="SEN",H31&lt;1995),VLOOKUP(I31,Feuil1!$A$11:$F$29,6),IF(AND(H31&gt;1994,H31&lt;1998),VLOOKUP(I31,Feuil1!$A$11:$F$29,5),IF(AND(H31&gt;1997,H31&lt;2000),VLOOKUP(I31,Feuil1!$A$11:$F$29,4),IF(AND(H31&gt;1999,H31&lt;2002),VLOOKUP(I31,Feuil1!$A$11:$F$29,3),VLOOKUP(I31,Feuil1!$A$11:$F$29,2))))),IF(OR(H31="SEN",H31&lt;1995),VLOOKUP(I31,Feuil1!$G$11:$L$25,6),IF(AND(H31&gt;1994,H31&lt;1998),VLOOKUP(I31,Feuil1!$G$11:$L$25,5),IF(AND(H31&gt;1997,H31&lt;2000),VLOOKUP(I31,Feuil1!$G$11:$L$25,4),IF(AND(H31&gt;1999,H31&lt;2002),VLOOKUP(I31,Feuil1!$G$11:$L$25,3),VLOOKUP(I31,Feuil1!$G$11:$L$25,2)))))))</f>
        <v>FJ53</v>
      </c>
      <c r="Y31" s="39">
        <f t="shared" si="16"/>
        <v>71.095085797572878</v>
      </c>
      <c r="Z31" s="45"/>
      <c r="AA31" s="45" t="s">
        <v>12</v>
      </c>
      <c r="AB31" s="3">
        <f>T31-HLOOKUP(X31,Feuil1!$C$1:$BL$10,2,FALSE)</f>
        <v>-10</v>
      </c>
      <c r="AC31" s="3">
        <f>T31-HLOOKUP(X31,Feuil1!$C$1:$BL$10,3,FALSE)</f>
        <v>-20</v>
      </c>
      <c r="AD31" s="3">
        <f>T31-HLOOKUP(X31,Feuil1!$C$1:$BL$10,4,FALSE)</f>
        <v>-30</v>
      </c>
      <c r="AE31" s="3">
        <f>T31-HLOOKUP(X31,Feuil1!$C$1:$BL$10,5,FALSE)</f>
        <v>-40</v>
      </c>
      <c r="AF31" s="3">
        <f>T31-HLOOKUP(X31,Feuil1!$C$1:$BL$10,6,FALSE)</f>
        <v>-50</v>
      </c>
      <c r="AG31" s="3">
        <f>T31-HLOOKUP(X31,Feuil1!$C$1:$BL$10,7,FALSE)</f>
        <v>-60</v>
      </c>
      <c r="AH31" s="3">
        <f>T31-HLOOKUP(X31,Feuil1!$C$1:$BL$10,8,FALSE)</f>
        <v>-75</v>
      </c>
      <c r="AI31" s="3">
        <f>T31-HLOOKUP(X31,Feuil1!$C$1:$BL$10,9,FALSE)</f>
        <v>-90</v>
      </c>
      <c r="AJ31" s="5">
        <f>T31-HLOOKUP(X31,Feuil1!$C$1:$BL$10,10,FALSE)</f>
        <v>-955</v>
      </c>
      <c r="AQ31" s="5" t="str">
        <f t="shared" si="17"/>
        <v xml:space="preserve">DEB </v>
      </c>
      <c r="BC31" s="13"/>
    </row>
    <row r="32" spans="1:55" s="13" customFormat="1" ht="15" hidden="1" customHeight="1" thickBot="1" x14ac:dyDescent="0.25">
      <c r="A32" s="89"/>
      <c r="B32" s="90"/>
      <c r="C32" s="91"/>
      <c r="D32" s="92"/>
      <c r="E32" s="93"/>
      <c r="F32" s="94"/>
      <c r="G32" s="94"/>
      <c r="H32" s="95"/>
      <c r="I32" s="96"/>
      <c r="J32" s="91"/>
      <c r="K32" s="97"/>
      <c r="L32" s="98"/>
      <c r="M32" s="98"/>
      <c r="N32" s="98"/>
      <c r="O32" s="99"/>
      <c r="P32" s="98"/>
      <c r="Q32" s="98"/>
      <c r="R32" s="98"/>
      <c r="S32" s="99"/>
      <c r="T32" s="100"/>
      <c r="U32" s="101"/>
      <c r="V32" s="102"/>
      <c r="W32" s="103"/>
      <c r="X32" s="104"/>
      <c r="Y32" s="105"/>
      <c r="Z32" s="45"/>
      <c r="AA32" s="45" t="s">
        <v>12</v>
      </c>
      <c r="AB32" s="3" t="e">
        <f>T32-HLOOKUP(X32,Feuil1!$C$1:$BL$10,2,FALSE)</f>
        <v>#N/A</v>
      </c>
      <c r="AC32" s="3" t="e">
        <f>T32-HLOOKUP(X32,Feuil1!$C$1:$BL$10,3,FALSE)</f>
        <v>#N/A</v>
      </c>
      <c r="AD32" s="3" t="e">
        <f>T32-HLOOKUP(X32,Feuil1!$C$1:$BL$10,4,FALSE)</f>
        <v>#N/A</v>
      </c>
      <c r="AE32" s="3" t="e">
        <f>T32-HLOOKUP(X32,Feuil1!$C$1:$BL$10,5,FALSE)</f>
        <v>#N/A</v>
      </c>
      <c r="AF32" s="3" t="e">
        <f>T32-HLOOKUP(X32,Feuil1!$C$1:$BL$10,6,FALSE)</f>
        <v>#N/A</v>
      </c>
      <c r="AG32" s="3" t="e">
        <f>T32-HLOOKUP(X32,Feuil1!$C$1:$BL$10,7,FALSE)</f>
        <v>#N/A</v>
      </c>
      <c r="AH32" s="3" t="e">
        <f>T32-HLOOKUP(X32,Feuil1!$C$1:$BL$10,8,FALSE)</f>
        <v>#N/A</v>
      </c>
      <c r="AI32" s="3" t="e">
        <f>T32-HLOOKUP(X32,Feuil1!$C$1:$BL$10,9,FALSE)</f>
        <v>#N/A</v>
      </c>
      <c r="AJ32" s="3" t="e">
        <f>T32-HLOOKUP(X32,Feuil1!$C$1:$BL$10,10,FALSE)</f>
        <v>#N/A</v>
      </c>
      <c r="AK32" s="5"/>
      <c r="AL32" s="5"/>
      <c r="AM32" s="5"/>
      <c r="AN32" s="5"/>
      <c r="AO32" s="5"/>
      <c r="AP32" s="5"/>
      <c r="AQ32" s="5" t="e">
        <f t="shared" ref="AQ32" si="18">IF(AJ32&gt;=0,$AJ$1,IF(AI32&gt;=0,$AI$1,IF(AH32&gt;=0,$AH$1,IF(AG32&gt;=0,$AG$1,IF(AF32&gt;=0,$AF$1,IF(AE32&gt;=0,$AE$1,IF(AD32&gt;=0,$AD$1,IF(AC32&gt;=0,$AC$1,$AB$1))))))))</f>
        <v>#N/A</v>
      </c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</row>
    <row r="33" spans="1:55" ht="21" x14ac:dyDescent="0.2">
      <c r="A33" s="12" t="s">
        <v>69</v>
      </c>
      <c r="B33" s="18" t="s">
        <v>298</v>
      </c>
      <c r="C33" s="19" t="s">
        <v>299</v>
      </c>
      <c r="D33" s="61">
        <v>1</v>
      </c>
      <c r="E33" s="35">
        <v>153936</v>
      </c>
      <c r="F33" s="20" t="s">
        <v>311</v>
      </c>
      <c r="G33" s="20" t="s">
        <v>312</v>
      </c>
      <c r="H33" s="51">
        <v>1995</v>
      </c>
      <c r="I33" s="30">
        <v>56.48</v>
      </c>
      <c r="J33" s="19" t="s">
        <v>307</v>
      </c>
      <c r="K33" s="34" t="s">
        <v>69</v>
      </c>
      <c r="L33" s="31">
        <v>80</v>
      </c>
      <c r="M33" s="31">
        <v>84</v>
      </c>
      <c r="N33" s="31">
        <v>87</v>
      </c>
      <c r="O33" s="36">
        <f t="shared" ref="O33:O60" si="19">IF(H33="","",IF(MAXA(L33:N33)&lt;=0,0,MAXA(L33:N33)))</f>
        <v>87</v>
      </c>
      <c r="P33" s="31">
        <v>96</v>
      </c>
      <c r="Q33" s="31">
        <v>100</v>
      </c>
      <c r="R33" s="31">
        <v>-104</v>
      </c>
      <c r="S33" s="36">
        <f t="shared" ref="S33:S60" si="20">IF(H33="","",IF(MAXA(P33:R33)&lt;=0,0,MAXA(P33:R33)))</f>
        <v>100</v>
      </c>
      <c r="T33" s="37">
        <f t="shared" ref="T33:T60" si="21">IF(H33="","",IF(OR(O33=0,S33=0),0,O33+S33))</f>
        <v>187</v>
      </c>
      <c r="U33" s="64">
        <f t="shared" ref="U33:U60" si="22">T33-I33*2</f>
        <v>74.040000000000006</v>
      </c>
      <c r="V33" s="41" t="str">
        <f t="shared" ref="V33:V60" si="23">IF(H33="","",AQ33)</f>
        <v>INTA +</v>
      </c>
      <c r="W33" s="33">
        <f t="shared" ref="W33:W60" si="24">IF(AJ33&gt;=0,AJ33,IF(AI33&gt;=0,AI33,IF(AH33&gt;=0,AH33,IF(AG33&gt;=0,AG33,IF(AF33&gt;=0,AF33,IF(AE33&gt;=0,AE33,IF(AD33&gt;=0,AD33,IF(AC33&gt;=0,AC33,AB33))))))))</f>
        <v>37</v>
      </c>
      <c r="X33" s="40" t="str">
        <f>IF(I33="","",IF(A33="H",IF(OR(H33="SEN",H33&lt;1995),VLOOKUP(I33,Feuil1!$A$11:$F$29,6),IF(AND(H33&gt;1994,H33&lt;1998),VLOOKUP(I33,Feuil1!$A$11:$F$29,5),IF(AND(H33&gt;1997,H33&lt;2000),VLOOKUP(I33,Feuil1!$A$11:$F$29,4),IF(AND(H33&gt;1999,H33&lt;2002),VLOOKUP(I33,Feuil1!$A$11:$F$29,3),VLOOKUP(I33,Feuil1!$A$11:$F$29,2))))),IF(OR(H33="SEN",H33&lt;1995),VLOOKUP(I33,Feuil1!$G$11:$L$25,6),IF(AND(H33&gt;1994,H33&lt;1998),VLOOKUP(I33,Feuil1!$G$11:$L$25,5),IF(AND(H33&gt;1997,H33&lt;2000),VLOOKUP(I33,Feuil1!$G$11:$L$25,4),IF(AND(H33&gt;1999,H33&lt;2002),VLOOKUP(I33,Feuil1!$G$11:$L$25,3),VLOOKUP(I33,Feuil1!$G$11:$L$25,2)))))))</f>
        <v>FJ58</v>
      </c>
      <c r="Y33" s="39">
        <f t="shared" ref="Y33:Y60" si="25">IF(I33="","",IF(A33="H",10^(0.794358141*LOG(I33/174.393)^2)*T33,IF(A33="F",10^(0.89726074*LOG(I33/148.026)^2)*T33,"")))</f>
        <v>268.50186330124143</v>
      </c>
      <c r="Z33" s="45"/>
      <c r="AA33" s="45" t="s">
        <v>12</v>
      </c>
      <c r="AB33" s="3">
        <f>T33-HLOOKUP(X33,Feuil1!$C$1:$BL$10,2,FALSE)</f>
        <v>127</v>
      </c>
      <c r="AC33" s="3">
        <f>T33-HLOOKUP(X33,Feuil1!$C$1:$BL$10,3,FALSE)</f>
        <v>117</v>
      </c>
      <c r="AD33" s="3">
        <f>T33-HLOOKUP(X33,Feuil1!$C$1:$BL$10,4,FALSE)</f>
        <v>107</v>
      </c>
      <c r="AE33" s="3">
        <f>T33-HLOOKUP(X33,Feuil1!$C$1:$BL$10,5,FALSE)</f>
        <v>97</v>
      </c>
      <c r="AF33" s="3">
        <f>T33-HLOOKUP(X33,Feuil1!$C$1:$BL$10,6,FALSE)</f>
        <v>87</v>
      </c>
      <c r="AG33" s="3">
        <f>T33-HLOOKUP(X33,Feuil1!$C$1:$BL$10,7,FALSE)</f>
        <v>72</v>
      </c>
      <c r="AH33" s="3">
        <f>T33-HLOOKUP(X33,Feuil1!$C$1:$BL$10,8,FALSE)</f>
        <v>57</v>
      </c>
      <c r="AI33" s="3">
        <f>T33-HLOOKUP(X33,Feuil1!$C$1:$BL$10,9,FALSE)</f>
        <v>37</v>
      </c>
      <c r="AJ33" s="5">
        <f>T33-HLOOKUP(X33,Feuil1!$C$1:$BL$10,10,FALSE)</f>
        <v>-813</v>
      </c>
      <c r="AQ33" s="5" t="str">
        <f t="shared" ref="AQ33:AQ60" si="26">IF(AJ33&gt;=0,$AJ$1,IF(AI33&gt;=0,$AI$1,IF(AH33&gt;=0,$AH$1,IF(AG33&gt;=0,$AG$1,IF(AF33&gt;=0,$AF$1,IF(AE33&gt;=0,$AE$1,IF(AD33&gt;=0,$AD$1,IF(AC33&gt;=0,$AC$1,$AB$1))))))))</f>
        <v>INTA +</v>
      </c>
    </row>
    <row r="34" spans="1:55" ht="21" x14ac:dyDescent="0.2">
      <c r="A34" s="12" t="s">
        <v>69</v>
      </c>
      <c r="B34" s="67" t="s">
        <v>298</v>
      </c>
      <c r="C34" s="68" t="s">
        <v>476</v>
      </c>
      <c r="D34" s="69">
        <v>2</v>
      </c>
      <c r="E34" s="70">
        <v>280885</v>
      </c>
      <c r="F34" s="71" t="s">
        <v>497</v>
      </c>
      <c r="G34" s="71" t="s">
        <v>498</v>
      </c>
      <c r="H34" s="72">
        <v>1997</v>
      </c>
      <c r="I34" s="73">
        <v>55.22</v>
      </c>
      <c r="J34" s="68" t="s">
        <v>478</v>
      </c>
      <c r="K34" s="74" t="s">
        <v>69</v>
      </c>
      <c r="L34" s="75">
        <v>57</v>
      </c>
      <c r="M34" s="75">
        <v>60</v>
      </c>
      <c r="N34" s="75">
        <v>63</v>
      </c>
      <c r="O34" s="76">
        <f t="shared" si="19"/>
        <v>63</v>
      </c>
      <c r="P34" s="75">
        <v>70</v>
      </c>
      <c r="Q34" s="75">
        <v>75</v>
      </c>
      <c r="R34" s="75">
        <v>-80</v>
      </c>
      <c r="S34" s="76">
        <f t="shared" si="20"/>
        <v>75</v>
      </c>
      <c r="T34" s="77">
        <f t="shared" si="21"/>
        <v>138</v>
      </c>
      <c r="U34" s="83">
        <f t="shared" si="22"/>
        <v>27.560000000000002</v>
      </c>
      <c r="V34" s="79" t="str">
        <f t="shared" si="23"/>
        <v>INTB +</v>
      </c>
      <c r="W34" s="80">
        <f t="shared" si="24"/>
        <v>8</v>
      </c>
      <c r="X34" s="81" t="str">
        <f>IF(I34="","",IF(A34="H",IF(OR(H34="SEN",H34&lt;1995),VLOOKUP(I34,Feuil1!$A$11:$F$29,6),IF(AND(H34&gt;1994,H34&lt;1998),VLOOKUP(I34,Feuil1!$A$11:$F$29,5),IF(AND(H34&gt;1997,H34&lt;2000),VLOOKUP(I34,Feuil1!$A$11:$F$29,4),IF(AND(H34&gt;1999,H34&lt;2002),VLOOKUP(I34,Feuil1!$A$11:$F$29,3),VLOOKUP(I34,Feuil1!$A$11:$F$29,2))))),IF(OR(H34="SEN",H34&lt;1995),VLOOKUP(I34,Feuil1!$G$11:$L$25,6),IF(AND(H34&gt;1994,H34&lt;1998),VLOOKUP(I34,Feuil1!$G$11:$L$25,5),IF(AND(H34&gt;1997,H34&lt;2000),VLOOKUP(I34,Feuil1!$G$11:$L$25,4),IF(AND(H34&gt;1999,H34&lt;2002),VLOOKUP(I34,Feuil1!$G$11:$L$25,3),VLOOKUP(I34,Feuil1!$G$11:$L$25,2)))))))</f>
        <v>FJ58</v>
      </c>
      <c r="Y34" s="39">
        <f t="shared" si="25"/>
        <v>201.57121489129219</v>
      </c>
      <c r="Z34" s="45"/>
      <c r="AA34" s="45" t="s">
        <v>12</v>
      </c>
      <c r="AB34" s="3">
        <f>T34-HLOOKUP(X34,Feuil1!$C$1:$BL$10,2,FALSE)</f>
        <v>78</v>
      </c>
      <c r="AC34" s="3">
        <f>T34-HLOOKUP(X34,Feuil1!$C$1:$BL$10,3,FALSE)</f>
        <v>68</v>
      </c>
      <c r="AD34" s="3">
        <f>T34-HLOOKUP(X34,Feuil1!$C$1:$BL$10,4,FALSE)</f>
        <v>58</v>
      </c>
      <c r="AE34" s="3">
        <f>T34-HLOOKUP(X34,Feuil1!$C$1:$BL$10,5,FALSE)</f>
        <v>48</v>
      </c>
      <c r="AF34" s="3">
        <f>T34-HLOOKUP(X34,Feuil1!$C$1:$BL$10,6,FALSE)</f>
        <v>38</v>
      </c>
      <c r="AG34" s="3">
        <f>T34-HLOOKUP(X34,Feuil1!$C$1:$BL$10,7,FALSE)</f>
        <v>23</v>
      </c>
      <c r="AH34" s="3">
        <f>T34-HLOOKUP(X34,Feuil1!$C$1:$BL$10,8,FALSE)</f>
        <v>8</v>
      </c>
      <c r="AI34" s="3">
        <f>T34-HLOOKUP(X34,Feuil1!$C$1:$BL$10,9,FALSE)</f>
        <v>-12</v>
      </c>
      <c r="AJ34" s="5">
        <f>T34-HLOOKUP(X34,Feuil1!$C$1:$BL$10,10,FALSE)</f>
        <v>-862</v>
      </c>
      <c r="AQ34" s="5" t="str">
        <f t="shared" si="26"/>
        <v>INTB +</v>
      </c>
    </row>
    <row r="35" spans="1:55" ht="21" x14ac:dyDescent="0.2">
      <c r="A35" s="12" t="s">
        <v>69</v>
      </c>
      <c r="B35" s="67" t="s">
        <v>721</v>
      </c>
      <c r="C35" s="68" t="s">
        <v>775</v>
      </c>
      <c r="D35" s="69">
        <v>3</v>
      </c>
      <c r="E35" s="70">
        <v>357364</v>
      </c>
      <c r="F35" s="71" t="s">
        <v>776</v>
      </c>
      <c r="G35" s="71" t="s">
        <v>777</v>
      </c>
      <c r="H35" s="72">
        <v>1995</v>
      </c>
      <c r="I35" s="73">
        <v>55.9</v>
      </c>
      <c r="J35" s="68" t="s">
        <v>778</v>
      </c>
      <c r="K35" s="74" t="s">
        <v>69</v>
      </c>
      <c r="L35" s="75">
        <v>55</v>
      </c>
      <c r="M35" s="75">
        <v>57</v>
      </c>
      <c r="N35" s="75">
        <v>59</v>
      </c>
      <c r="O35" s="76">
        <f t="shared" si="19"/>
        <v>59</v>
      </c>
      <c r="P35" s="75">
        <v>-68</v>
      </c>
      <c r="Q35" s="75">
        <v>68</v>
      </c>
      <c r="R35" s="75">
        <v>71</v>
      </c>
      <c r="S35" s="76">
        <f t="shared" si="20"/>
        <v>71</v>
      </c>
      <c r="T35" s="77">
        <f t="shared" si="21"/>
        <v>130</v>
      </c>
      <c r="U35" s="83">
        <f t="shared" si="22"/>
        <v>18.200000000000003</v>
      </c>
      <c r="V35" s="79" t="str">
        <f t="shared" si="23"/>
        <v>INTB +</v>
      </c>
      <c r="W35" s="80">
        <f t="shared" si="24"/>
        <v>0</v>
      </c>
      <c r="X35" s="81" t="str">
        <f>IF(I35="","",IF(A35="H",IF(OR(H35="SEN",H35&lt;1995),VLOOKUP(I35,Feuil1!$A$11:$F$29,6),IF(AND(H35&gt;1994,H35&lt;1998),VLOOKUP(I35,Feuil1!$A$11:$F$29,5),IF(AND(H35&gt;1997,H35&lt;2000),VLOOKUP(I35,Feuil1!$A$11:$F$29,4),IF(AND(H35&gt;1999,H35&lt;2002),VLOOKUP(I35,Feuil1!$A$11:$F$29,3),VLOOKUP(I35,Feuil1!$A$11:$F$29,2))))),IF(OR(H35="SEN",H35&lt;1995),VLOOKUP(I35,Feuil1!$G$11:$L$25,6),IF(AND(H35&gt;1994,H35&lt;1998),VLOOKUP(I35,Feuil1!$G$11:$L$25,5),IF(AND(H35&gt;1997,H35&lt;2000),VLOOKUP(I35,Feuil1!$G$11:$L$25,4),IF(AND(H35&gt;1999,H35&lt;2002),VLOOKUP(I35,Feuil1!$G$11:$L$25,3),VLOOKUP(I35,Feuil1!$G$11:$L$25,2)))))))</f>
        <v>FJ58</v>
      </c>
      <c r="Y35" s="39">
        <f t="shared" si="25"/>
        <v>188.11927686843555</v>
      </c>
      <c r="Z35" s="45"/>
      <c r="AA35" s="45" t="s">
        <v>12</v>
      </c>
      <c r="AB35" s="3">
        <f>T35-HLOOKUP(X35,Feuil1!$C$1:$BL$10,2,FALSE)</f>
        <v>70</v>
      </c>
      <c r="AC35" s="3">
        <f>T35-HLOOKUP(X35,Feuil1!$C$1:$BL$10,3,FALSE)</f>
        <v>60</v>
      </c>
      <c r="AD35" s="3">
        <f>T35-HLOOKUP(X35,Feuil1!$C$1:$BL$10,4,FALSE)</f>
        <v>50</v>
      </c>
      <c r="AE35" s="3">
        <f>T35-HLOOKUP(X35,Feuil1!$C$1:$BL$10,5,FALSE)</f>
        <v>40</v>
      </c>
      <c r="AF35" s="3">
        <f>T35-HLOOKUP(X35,Feuil1!$C$1:$BL$10,6,FALSE)</f>
        <v>30</v>
      </c>
      <c r="AG35" s="3">
        <f>T35-HLOOKUP(X35,Feuil1!$C$1:$BL$10,7,FALSE)</f>
        <v>15</v>
      </c>
      <c r="AH35" s="3">
        <f>T35-HLOOKUP(X35,Feuil1!$C$1:$BL$10,8,FALSE)</f>
        <v>0</v>
      </c>
      <c r="AI35" s="3">
        <f>T35-HLOOKUP(X35,Feuil1!$C$1:$BL$10,9,FALSE)</f>
        <v>-20</v>
      </c>
      <c r="AJ35" s="5">
        <f>T35-HLOOKUP(X35,Feuil1!$C$1:$BL$10,10,FALSE)</f>
        <v>-870</v>
      </c>
      <c r="AQ35" s="5" t="str">
        <f t="shared" si="26"/>
        <v>INTB +</v>
      </c>
    </row>
    <row r="36" spans="1:55" ht="21" hidden="1" x14ac:dyDescent="0.2">
      <c r="A36" s="12" t="s">
        <v>69</v>
      </c>
      <c r="B36" s="67" t="s">
        <v>298</v>
      </c>
      <c r="C36" s="68" t="s">
        <v>476</v>
      </c>
      <c r="D36" s="69">
        <v>4</v>
      </c>
      <c r="E36" s="70">
        <v>187400</v>
      </c>
      <c r="F36" s="71" t="s">
        <v>499</v>
      </c>
      <c r="G36" s="71" t="s">
        <v>500</v>
      </c>
      <c r="H36" s="72">
        <v>1996</v>
      </c>
      <c r="I36" s="73">
        <v>53.79</v>
      </c>
      <c r="J36" s="68" t="s">
        <v>501</v>
      </c>
      <c r="K36" s="74" t="s">
        <v>69</v>
      </c>
      <c r="L36" s="75">
        <v>50</v>
      </c>
      <c r="M36" s="75">
        <v>53</v>
      </c>
      <c r="N36" s="75">
        <v>55</v>
      </c>
      <c r="O36" s="76">
        <f t="shared" si="19"/>
        <v>55</v>
      </c>
      <c r="P36" s="75">
        <v>60</v>
      </c>
      <c r="Q36" s="75">
        <v>65</v>
      </c>
      <c r="R36" s="75">
        <v>67</v>
      </c>
      <c r="S36" s="76">
        <f t="shared" si="20"/>
        <v>67</v>
      </c>
      <c r="T36" s="77">
        <f t="shared" si="21"/>
        <v>122</v>
      </c>
      <c r="U36" s="83">
        <f t="shared" si="22"/>
        <v>14.420000000000002</v>
      </c>
      <c r="V36" s="79" t="str">
        <f t="shared" si="23"/>
        <v>NAT +</v>
      </c>
      <c r="W36" s="80">
        <f t="shared" si="24"/>
        <v>7</v>
      </c>
      <c r="X36" s="81" t="str">
        <f>IF(I36="","",IF(A36="H",IF(OR(H36="SEN",H36&lt;1995),VLOOKUP(I36,Feuil1!$A$11:$F$29,6),IF(AND(H36&gt;1994,H36&lt;1998),VLOOKUP(I36,Feuil1!$A$11:$F$29,5),IF(AND(H36&gt;1997,H36&lt;2000),VLOOKUP(I36,Feuil1!$A$11:$F$29,4),IF(AND(H36&gt;1999,H36&lt;2002),VLOOKUP(I36,Feuil1!$A$11:$F$29,3),VLOOKUP(I36,Feuil1!$A$11:$F$29,2))))),IF(OR(H36="SEN",H36&lt;1995),VLOOKUP(I36,Feuil1!$G$11:$L$25,6),IF(AND(H36&gt;1994,H36&lt;1998),VLOOKUP(I36,Feuil1!$G$11:$L$25,5),IF(AND(H36&gt;1997,H36&lt;2000),VLOOKUP(I36,Feuil1!$G$11:$L$25,4),IF(AND(H36&gt;1999,H36&lt;2002),VLOOKUP(I36,Feuil1!$G$11:$L$25,3),VLOOKUP(I36,Feuil1!$G$11:$L$25,2)))))))</f>
        <v>FJ58</v>
      </c>
      <c r="Y36" s="39">
        <f t="shared" si="25"/>
        <v>181.87900962047587</v>
      </c>
      <c r="Z36" s="45"/>
      <c r="AA36" s="45" t="s">
        <v>12</v>
      </c>
      <c r="AB36" s="3">
        <f>T36-HLOOKUP(X36,Feuil1!$C$1:$BL$10,2,FALSE)</f>
        <v>62</v>
      </c>
      <c r="AC36" s="3">
        <f>T36-HLOOKUP(X36,Feuil1!$C$1:$BL$10,3,FALSE)</f>
        <v>52</v>
      </c>
      <c r="AD36" s="3">
        <f>T36-HLOOKUP(X36,Feuil1!$C$1:$BL$10,4,FALSE)</f>
        <v>42</v>
      </c>
      <c r="AE36" s="3">
        <f>T36-HLOOKUP(X36,Feuil1!$C$1:$BL$10,5,FALSE)</f>
        <v>32</v>
      </c>
      <c r="AF36" s="3">
        <f>T36-HLOOKUP(X36,Feuil1!$C$1:$BL$10,6,FALSE)</f>
        <v>22</v>
      </c>
      <c r="AG36" s="3">
        <f>T36-HLOOKUP(X36,Feuil1!$C$1:$BL$10,7,FALSE)</f>
        <v>7</v>
      </c>
      <c r="AH36" s="3">
        <f>T36-HLOOKUP(X36,Feuil1!$C$1:$BL$10,8,FALSE)</f>
        <v>-8</v>
      </c>
      <c r="AI36" s="3">
        <f>T36-HLOOKUP(X36,Feuil1!$C$1:$BL$10,9,FALSE)</f>
        <v>-28</v>
      </c>
      <c r="AJ36" s="5">
        <f>T36-HLOOKUP(X36,Feuil1!$C$1:$BL$10,10,FALSE)</f>
        <v>-878</v>
      </c>
      <c r="AQ36" s="5" t="str">
        <f t="shared" si="26"/>
        <v>NAT +</v>
      </c>
    </row>
    <row r="37" spans="1:55" ht="21" hidden="1" x14ac:dyDescent="0.2">
      <c r="A37" s="12" t="s">
        <v>69</v>
      </c>
      <c r="B37" s="18" t="s">
        <v>71</v>
      </c>
      <c r="C37" s="19" t="s">
        <v>72</v>
      </c>
      <c r="D37" s="61">
        <v>5</v>
      </c>
      <c r="E37" s="35">
        <v>171425</v>
      </c>
      <c r="F37" s="20" t="s">
        <v>936</v>
      </c>
      <c r="G37" s="20" t="s">
        <v>937</v>
      </c>
      <c r="H37" s="51">
        <v>1997</v>
      </c>
      <c r="I37" s="30">
        <v>54.96</v>
      </c>
      <c r="J37" s="19" t="s">
        <v>938</v>
      </c>
      <c r="K37" s="34" t="s">
        <v>69</v>
      </c>
      <c r="L37" s="31">
        <v>50</v>
      </c>
      <c r="M37" s="31">
        <v>53</v>
      </c>
      <c r="N37" s="31">
        <v>-54</v>
      </c>
      <c r="O37" s="36">
        <f t="shared" si="19"/>
        <v>53</v>
      </c>
      <c r="P37" s="31">
        <v>64</v>
      </c>
      <c r="Q37" s="31">
        <v>-68</v>
      </c>
      <c r="R37" s="31">
        <v>68</v>
      </c>
      <c r="S37" s="36">
        <f t="shared" si="20"/>
        <v>68</v>
      </c>
      <c r="T37" s="37">
        <f t="shared" si="21"/>
        <v>121</v>
      </c>
      <c r="U37" s="64">
        <f t="shared" si="22"/>
        <v>11.079999999999998</v>
      </c>
      <c r="V37" s="41" t="str">
        <f t="shared" si="23"/>
        <v>NAT +</v>
      </c>
      <c r="W37" s="33">
        <f t="shared" si="24"/>
        <v>6</v>
      </c>
      <c r="X37" s="40" t="str">
        <f>IF(I37="","",IF(A37="H",IF(OR(H37="SEN",H37&lt;1995),VLOOKUP(I37,Feuil1!$A$11:$F$29,6),IF(AND(H37&gt;1994,H37&lt;1998),VLOOKUP(I37,Feuil1!$A$11:$F$29,5),IF(AND(H37&gt;1997,H37&lt;2000),VLOOKUP(I37,Feuil1!$A$11:$F$29,4),IF(AND(H37&gt;1999,H37&lt;2002),VLOOKUP(I37,Feuil1!$A$11:$F$29,3),VLOOKUP(I37,Feuil1!$A$11:$F$29,2))))),IF(OR(H37="SEN",H37&lt;1995),VLOOKUP(I37,Feuil1!$G$11:$L$25,6),IF(AND(H37&gt;1994,H37&lt;1998),VLOOKUP(I37,Feuil1!$G$11:$L$25,5),IF(AND(H37&gt;1997,H37&lt;2000),VLOOKUP(I37,Feuil1!$G$11:$L$25,4),IF(AND(H37&gt;1999,H37&lt;2002),VLOOKUP(I37,Feuil1!$G$11:$L$25,3),VLOOKUP(I37,Feuil1!$G$11:$L$25,2)))))))</f>
        <v>FJ58</v>
      </c>
      <c r="Y37" s="39">
        <f t="shared" si="25"/>
        <v>177.38370490870759</v>
      </c>
      <c r="Z37" s="45"/>
      <c r="AA37" s="45" t="s">
        <v>12</v>
      </c>
      <c r="AB37" s="3">
        <f>T37-HLOOKUP(X37,Feuil1!$C$1:$BL$10,2,FALSE)</f>
        <v>61</v>
      </c>
      <c r="AC37" s="3">
        <f>T37-HLOOKUP(X37,Feuil1!$C$1:$BL$10,3,FALSE)</f>
        <v>51</v>
      </c>
      <c r="AD37" s="3">
        <f>T37-HLOOKUP(X37,Feuil1!$C$1:$BL$10,4,FALSE)</f>
        <v>41</v>
      </c>
      <c r="AE37" s="3">
        <f>T37-HLOOKUP(X37,Feuil1!$C$1:$BL$10,5,FALSE)</f>
        <v>31</v>
      </c>
      <c r="AF37" s="3">
        <f>T37-HLOOKUP(X37,Feuil1!$C$1:$BL$10,6,FALSE)</f>
        <v>21</v>
      </c>
      <c r="AG37" s="3">
        <f>T37-HLOOKUP(X37,Feuil1!$C$1:$BL$10,7,FALSE)</f>
        <v>6</v>
      </c>
      <c r="AH37" s="3">
        <f>T37-HLOOKUP(X37,Feuil1!$C$1:$BL$10,8,FALSE)</f>
        <v>-9</v>
      </c>
      <c r="AI37" s="3">
        <f>T37-HLOOKUP(X37,Feuil1!$C$1:$BL$10,9,FALSE)</f>
        <v>-29</v>
      </c>
      <c r="AJ37" s="5">
        <f>T37-HLOOKUP(X37,Feuil1!$C$1:$BL$10,10,FALSE)</f>
        <v>-879</v>
      </c>
      <c r="AQ37" s="5" t="str">
        <f t="shared" si="26"/>
        <v>NAT +</v>
      </c>
    </row>
    <row r="38" spans="1:55" s="13" customFormat="1" ht="21" hidden="1" x14ac:dyDescent="0.2">
      <c r="A38" s="12" t="s">
        <v>69</v>
      </c>
      <c r="B38" s="18" t="s">
        <v>298</v>
      </c>
      <c r="C38" s="19" t="s">
        <v>476</v>
      </c>
      <c r="D38" s="61">
        <v>6</v>
      </c>
      <c r="E38" s="35">
        <v>140592</v>
      </c>
      <c r="F38" s="20" t="s">
        <v>496</v>
      </c>
      <c r="G38" s="20" t="s">
        <v>263</v>
      </c>
      <c r="H38" s="51">
        <v>1995</v>
      </c>
      <c r="I38" s="30">
        <v>56.8</v>
      </c>
      <c r="J38" s="19" t="s">
        <v>481</v>
      </c>
      <c r="K38" s="34" t="s">
        <v>69</v>
      </c>
      <c r="L38" s="31">
        <v>51</v>
      </c>
      <c r="M38" s="31">
        <v>54</v>
      </c>
      <c r="N38" s="31">
        <v>-56</v>
      </c>
      <c r="O38" s="36">
        <f t="shared" si="19"/>
        <v>54</v>
      </c>
      <c r="P38" s="31">
        <v>62</v>
      </c>
      <c r="Q38" s="31">
        <v>65</v>
      </c>
      <c r="R38" s="31">
        <v>67</v>
      </c>
      <c r="S38" s="36">
        <f t="shared" si="20"/>
        <v>67</v>
      </c>
      <c r="T38" s="37">
        <f t="shared" si="21"/>
        <v>121</v>
      </c>
      <c r="U38" s="64">
        <f t="shared" si="22"/>
        <v>7.4000000000000057</v>
      </c>
      <c r="V38" s="41" t="str">
        <f t="shared" si="23"/>
        <v>NAT +</v>
      </c>
      <c r="W38" s="33">
        <f t="shared" si="24"/>
        <v>6</v>
      </c>
      <c r="X38" s="40" t="str">
        <f>IF(I38="","",IF(A38="H",IF(OR(H38="SEN",H38&lt;1995),VLOOKUP(I38,Feuil1!$A$11:$F$29,6),IF(AND(H38&gt;1994,H38&lt;1998),VLOOKUP(I38,Feuil1!$A$11:$F$29,5),IF(AND(H38&gt;1997,H38&lt;2000),VLOOKUP(I38,Feuil1!$A$11:$F$29,4),IF(AND(H38&gt;1999,H38&lt;2002),VLOOKUP(I38,Feuil1!$A$11:$F$29,3),VLOOKUP(I38,Feuil1!$A$11:$F$29,2))))),IF(OR(H38="SEN",H38&lt;1995),VLOOKUP(I38,Feuil1!$G$11:$L$25,6),IF(AND(H38&gt;1994,H38&lt;1998),VLOOKUP(I38,Feuil1!$G$11:$L$25,5),IF(AND(H38&gt;1997,H38&lt;2000),VLOOKUP(I38,Feuil1!$G$11:$L$25,4),IF(AND(H38&gt;1999,H38&lt;2002),VLOOKUP(I38,Feuil1!$G$11:$L$25,3),VLOOKUP(I38,Feuil1!$G$11:$L$25,2)))))))</f>
        <v>FJ58</v>
      </c>
      <c r="Y38" s="39">
        <f t="shared" si="25"/>
        <v>173.00315048534537</v>
      </c>
      <c r="Z38" s="45"/>
      <c r="AA38" s="45" t="s">
        <v>12</v>
      </c>
      <c r="AB38" s="3">
        <f>T38-HLOOKUP(X38,Feuil1!$C$1:$BL$10,2,FALSE)</f>
        <v>61</v>
      </c>
      <c r="AC38" s="3">
        <f>T38-HLOOKUP(X38,Feuil1!$C$1:$BL$10,3,FALSE)</f>
        <v>51</v>
      </c>
      <c r="AD38" s="3">
        <f>T38-HLOOKUP(X38,Feuil1!$C$1:$BL$10,4,FALSE)</f>
        <v>41</v>
      </c>
      <c r="AE38" s="3">
        <f>T38-HLOOKUP(X38,Feuil1!$C$1:$BL$10,5,FALSE)</f>
        <v>31</v>
      </c>
      <c r="AF38" s="3">
        <f>T38-HLOOKUP(X38,Feuil1!$C$1:$BL$10,6,FALSE)</f>
        <v>21</v>
      </c>
      <c r="AG38" s="3">
        <f>T38-HLOOKUP(X38,Feuil1!$C$1:$BL$10,7,FALSE)</f>
        <v>6</v>
      </c>
      <c r="AH38" s="3">
        <f>T38-HLOOKUP(X38,Feuil1!$C$1:$BL$10,8,FALSE)</f>
        <v>-9</v>
      </c>
      <c r="AI38" s="3">
        <f>T38-HLOOKUP(X38,Feuil1!$C$1:$BL$10,9,FALSE)</f>
        <v>-29</v>
      </c>
      <c r="AJ38" s="5">
        <f>T38-HLOOKUP(X38,Feuil1!$C$1:$BL$10,10,FALSE)</f>
        <v>-879</v>
      </c>
      <c r="AK38" s="5"/>
      <c r="AL38" s="5"/>
      <c r="AM38" s="5"/>
      <c r="AN38" s="5"/>
      <c r="AO38" s="5"/>
      <c r="AP38" s="5"/>
      <c r="AQ38" s="5" t="str">
        <f t="shared" si="26"/>
        <v>NAT +</v>
      </c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</row>
    <row r="39" spans="1:55" ht="21" hidden="1" x14ac:dyDescent="0.2">
      <c r="A39" s="12" t="s">
        <v>69</v>
      </c>
      <c r="B39" s="18" t="s">
        <v>298</v>
      </c>
      <c r="C39" s="19" t="s">
        <v>476</v>
      </c>
      <c r="D39" s="61">
        <v>7</v>
      </c>
      <c r="E39" s="35">
        <v>219978</v>
      </c>
      <c r="F39" s="20" t="s">
        <v>502</v>
      </c>
      <c r="G39" s="20" t="s">
        <v>498</v>
      </c>
      <c r="H39" s="51">
        <v>1997</v>
      </c>
      <c r="I39" s="30">
        <v>57.15</v>
      </c>
      <c r="J39" s="19" t="s">
        <v>503</v>
      </c>
      <c r="K39" s="34" t="s">
        <v>69</v>
      </c>
      <c r="L39" s="31">
        <v>48</v>
      </c>
      <c r="M39" s="31">
        <v>50</v>
      </c>
      <c r="N39" s="31">
        <v>52</v>
      </c>
      <c r="O39" s="36">
        <f t="shared" si="19"/>
        <v>52</v>
      </c>
      <c r="P39" s="31">
        <v>63</v>
      </c>
      <c r="Q39" s="31">
        <v>-67</v>
      </c>
      <c r="R39" s="31">
        <v>67</v>
      </c>
      <c r="S39" s="36">
        <f t="shared" si="20"/>
        <v>67</v>
      </c>
      <c r="T39" s="37">
        <f t="shared" si="21"/>
        <v>119</v>
      </c>
      <c r="U39" s="64">
        <f t="shared" si="22"/>
        <v>4.7000000000000028</v>
      </c>
      <c r="V39" s="41" t="str">
        <f t="shared" si="23"/>
        <v>NAT +</v>
      </c>
      <c r="W39" s="33">
        <f t="shared" si="24"/>
        <v>4</v>
      </c>
      <c r="X39" s="40" t="str">
        <f>IF(I39="","",IF(A39="H",IF(OR(H39="SEN",H39&lt;1995),VLOOKUP(I39,Feuil1!$A$11:$F$29,6),IF(AND(H39&gt;1994,H39&lt;1998),VLOOKUP(I39,Feuil1!$A$11:$F$29,5),IF(AND(H39&gt;1997,H39&lt;2000),VLOOKUP(I39,Feuil1!$A$11:$F$29,4),IF(AND(H39&gt;1999,H39&lt;2002),VLOOKUP(I39,Feuil1!$A$11:$F$29,3),VLOOKUP(I39,Feuil1!$A$11:$F$29,2))))),IF(OR(H39="SEN",H39&lt;1995),VLOOKUP(I39,Feuil1!$G$11:$L$25,6),IF(AND(H39&gt;1994,H39&lt;1998),VLOOKUP(I39,Feuil1!$G$11:$L$25,5),IF(AND(H39&gt;1997,H39&lt;2000),VLOOKUP(I39,Feuil1!$G$11:$L$25,4),IF(AND(H39&gt;1999,H39&lt;2002),VLOOKUP(I39,Feuil1!$G$11:$L$25,3),VLOOKUP(I39,Feuil1!$G$11:$L$25,2)))))))</f>
        <v>FJ58</v>
      </c>
      <c r="Y39" s="39">
        <f t="shared" si="25"/>
        <v>169.36762455942326</v>
      </c>
      <c r="Z39" s="45"/>
      <c r="AA39" s="45" t="s">
        <v>12</v>
      </c>
      <c r="AB39" s="3">
        <f>T39-HLOOKUP(X39,Feuil1!$C$1:$BL$10,2,FALSE)</f>
        <v>59</v>
      </c>
      <c r="AC39" s="3">
        <f>T39-HLOOKUP(X39,Feuil1!$C$1:$BL$10,3,FALSE)</f>
        <v>49</v>
      </c>
      <c r="AD39" s="3">
        <f>T39-HLOOKUP(X39,Feuil1!$C$1:$BL$10,4,FALSE)</f>
        <v>39</v>
      </c>
      <c r="AE39" s="3">
        <f>T39-HLOOKUP(X39,Feuil1!$C$1:$BL$10,5,FALSE)</f>
        <v>29</v>
      </c>
      <c r="AF39" s="3">
        <f>T39-HLOOKUP(X39,Feuil1!$C$1:$BL$10,6,FALSE)</f>
        <v>19</v>
      </c>
      <c r="AG39" s="3">
        <f>T39-HLOOKUP(X39,Feuil1!$C$1:$BL$10,7,FALSE)</f>
        <v>4</v>
      </c>
      <c r="AH39" s="3">
        <f>T39-HLOOKUP(X39,Feuil1!$C$1:$BL$10,8,FALSE)</f>
        <v>-11</v>
      </c>
      <c r="AI39" s="3">
        <f>T39-HLOOKUP(X39,Feuil1!$C$1:$BL$10,9,FALSE)</f>
        <v>-31</v>
      </c>
      <c r="AJ39" s="5">
        <f>T39-HLOOKUP(X39,Feuil1!$C$1:$BL$10,10,FALSE)</f>
        <v>-881</v>
      </c>
      <c r="AQ39" s="5" t="str">
        <f t="shared" si="26"/>
        <v>NAT +</v>
      </c>
      <c r="BC39" s="13"/>
    </row>
    <row r="40" spans="1:55" ht="21" hidden="1" x14ac:dyDescent="0.2">
      <c r="A40" s="12" t="s">
        <v>69</v>
      </c>
      <c r="B40" s="67" t="s">
        <v>298</v>
      </c>
      <c r="C40" s="68" t="s">
        <v>476</v>
      </c>
      <c r="D40" s="69">
        <v>8</v>
      </c>
      <c r="E40" s="70">
        <v>309751</v>
      </c>
      <c r="F40" s="71" t="s">
        <v>513</v>
      </c>
      <c r="G40" s="71" t="s">
        <v>430</v>
      </c>
      <c r="H40" s="72">
        <v>1995</v>
      </c>
      <c r="I40" s="73">
        <v>53.6</v>
      </c>
      <c r="J40" s="68" t="s">
        <v>481</v>
      </c>
      <c r="K40" s="74" t="s">
        <v>69</v>
      </c>
      <c r="L40" s="75">
        <v>45</v>
      </c>
      <c r="M40" s="75">
        <v>-48</v>
      </c>
      <c r="N40" s="75">
        <v>48</v>
      </c>
      <c r="O40" s="76">
        <f t="shared" si="19"/>
        <v>48</v>
      </c>
      <c r="P40" s="75">
        <v>56</v>
      </c>
      <c r="Q40" s="75">
        <v>60</v>
      </c>
      <c r="R40" s="75">
        <v>-63</v>
      </c>
      <c r="S40" s="76">
        <f t="shared" si="20"/>
        <v>60</v>
      </c>
      <c r="T40" s="77">
        <f t="shared" si="21"/>
        <v>108</v>
      </c>
      <c r="U40" s="83">
        <f t="shared" si="22"/>
        <v>0.79999999999999716</v>
      </c>
      <c r="V40" s="79" t="str">
        <f t="shared" si="23"/>
        <v>FED +</v>
      </c>
      <c r="W40" s="80">
        <f t="shared" si="24"/>
        <v>8</v>
      </c>
      <c r="X40" s="81" t="str">
        <f>IF(I40="","",IF(A40="H",IF(OR(H40="SEN",H40&lt;1995),VLOOKUP(I40,Feuil1!$A$11:$F$29,6),IF(AND(H40&gt;1994,H40&lt;1998),VLOOKUP(I40,Feuil1!$A$11:$F$29,5),IF(AND(H40&gt;1997,H40&lt;2000),VLOOKUP(I40,Feuil1!$A$11:$F$29,4),IF(AND(H40&gt;1999,H40&lt;2002),VLOOKUP(I40,Feuil1!$A$11:$F$29,3),VLOOKUP(I40,Feuil1!$A$11:$F$29,2))))),IF(OR(H40="SEN",H40&lt;1995),VLOOKUP(I40,Feuil1!$G$11:$L$25,6),IF(AND(H40&gt;1994,H40&lt;1998),VLOOKUP(I40,Feuil1!$G$11:$L$25,5),IF(AND(H40&gt;1997,H40&lt;2000),VLOOKUP(I40,Feuil1!$G$11:$L$25,4),IF(AND(H40&gt;1999,H40&lt;2002),VLOOKUP(I40,Feuil1!$G$11:$L$25,3),VLOOKUP(I40,Feuil1!$G$11:$L$25,2)))))))</f>
        <v>FJ58</v>
      </c>
      <c r="Y40" s="39">
        <f t="shared" si="25"/>
        <v>161.45854227604664</v>
      </c>
      <c r="Z40" s="45"/>
      <c r="AA40" s="45" t="s">
        <v>12</v>
      </c>
      <c r="AB40" s="3">
        <f>T40-HLOOKUP(X40,Feuil1!$C$1:$BL$10,2,FALSE)</f>
        <v>48</v>
      </c>
      <c r="AC40" s="3">
        <f>T40-HLOOKUP(X40,Feuil1!$C$1:$BL$10,3,FALSE)</f>
        <v>38</v>
      </c>
      <c r="AD40" s="3">
        <f>T40-HLOOKUP(X40,Feuil1!$C$1:$BL$10,4,FALSE)</f>
        <v>28</v>
      </c>
      <c r="AE40" s="3">
        <f>T40-HLOOKUP(X40,Feuil1!$C$1:$BL$10,5,FALSE)</f>
        <v>18</v>
      </c>
      <c r="AF40" s="3">
        <f>T40-HLOOKUP(X40,Feuil1!$C$1:$BL$10,6,FALSE)</f>
        <v>8</v>
      </c>
      <c r="AG40" s="3">
        <f>T40-HLOOKUP(X40,Feuil1!$C$1:$BL$10,7,FALSE)</f>
        <v>-7</v>
      </c>
      <c r="AH40" s="3">
        <f>T40-HLOOKUP(X40,Feuil1!$C$1:$BL$10,8,FALSE)</f>
        <v>-22</v>
      </c>
      <c r="AI40" s="3">
        <f>T40-HLOOKUP(X40,Feuil1!$C$1:$BL$10,9,FALSE)</f>
        <v>-42</v>
      </c>
      <c r="AJ40" s="5">
        <f>T40-HLOOKUP(X40,Feuil1!$C$1:$BL$10,10,FALSE)</f>
        <v>-892</v>
      </c>
      <c r="AQ40" s="5" t="str">
        <f t="shared" si="26"/>
        <v>FED +</v>
      </c>
      <c r="BC40" s="13"/>
    </row>
    <row r="41" spans="1:55" ht="21" hidden="1" x14ac:dyDescent="0.2">
      <c r="A41" s="12" t="s">
        <v>69</v>
      </c>
      <c r="B41" s="18" t="s">
        <v>536</v>
      </c>
      <c r="C41" s="23" t="s">
        <v>545</v>
      </c>
      <c r="D41" s="61">
        <v>9</v>
      </c>
      <c r="E41" s="35">
        <v>302368</v>
      </c>
      <c r="F41" s="20" t="s">
        <v>572</v>
      </c>
      <c r="G41" s="20" t="s">
        <v>272</v>
      </c>
      <c r="H41" s="51">
        <v>1995</v>
      </c>
      <c r="I41" s="30">
        <v>57</v>
      </c>
      <c r="J41" s="19" t="s">
        <v>555</v>
      </c>
      <c r="K41" s="34" t="s">
        <v>69</v>
      </c>
      <c r="L41" s="31">
        <v>47</v>
      </c>
      <c r="M41" s="31">
        <v>51</v>
      </c>
      <c r="N41" s="31">
        <v>-54</v>
      </c>
      <c r="O41" s="36">
        <f t="shared" si="19"/>
        <v>51</v>
      </c>
      <c r="P41" s="31">
        <v>57</v>
      </c>
      <c r="Q41" s="31">
        <v>-61</v>
      </c>
      <c r="R41" s="31">
        <v>-64</v>
      </c>
      <c r="S41" s="36">
        <f t="shared" si="20"/>
        <v>57</v>
      </c>
      <c r="T41" s="37">
        <f t="shared" si="21"/>
        <v>108</v>
      </c>
      <c r="U41" s="64">
        <f t="shared" si="22"/>
        <v>-6</v>
      </c>
      <c r="V41" s="41" t="str">
        <f t="shared" si="23"/>
        <v>FED +</v>
      </c>
      <c r="W41" s="33">
        <f t="shared" si="24"/>
        <v>8</v>
      </c>
      <c r="X41" s="40" t="str">
        <f>IF(I41="","",IF(A41="H",IF(OR(H41="SEN",H41&lt;1995),VLOOKUP(I41,Feuil1!$A$11:$F$29,6),IF(AND(H41&gt;1994,H41&lt;1998),VLOOKUP(I41,Feuil1!$A$11:$F$29,5),IF(AND(H41&gt;1997,H41&lt;2000),VLOOKUP(I41,Feuil1!$A$11:$F$29,4),IF(AND(H41&gt;1999,H41&lt;2002),VLOOKUP(I41,Feuil1!$A$11:$F$29,3),VLOOKUP(I41,Feuil1!$A$11:$F$29,2))))),IF(OR(H41="SEN",H41&lt;1995),VLOOKUP(I41,Feuil1!$G$11:$L$25,6),IF(AND(H41&gt;1994,H41&lt;1998),VLOOKUP(I41,Feuil1!$G$11:$L$25,5),IF(AND(H41&gt;1997,H41&lt;2000),VLOOKUP(I41,Feuil1!$G$11:$L$25,4),IF(AND(H41&gt;1999,H41&lt;2002),VLOOKUP(I41,Feuil1!$G$11:$L$25,3),VLOOKUP(I41,Feuil1!$G$11:$L$25,2)))))))</f>
        <v>FJ58</v>
      </c>
      <c r="Y41" s="39">
        <f t="shared" si="25"/>
        <v>154.01213352383942</v>
      </c>
      <c r="Z41" s="45"/>
      <c r="AA41" s="45" t="s">
        <v>12</v>
      </c>
      <c r="AB41" s="3">
        <f>T41-HLOOKUP(X41,Feuil1!$C$1:$BL$10,2,FALSE)</f>
        <v>48</v>
      </c>
      <c r="AC41" s="3">
        <f>T41-HLOOKUP(X41,Feuil1!$C$1:$BL$10,3,FALSE)</f>
        <v>38</v>
      </c>
      <c r="AD41" s="3">
        <f>T41-HLOOKUP(X41,Feuil1!$C$1:$BL$10,4,FALSE)</f>
        <v>28</v>
      </c>
      <c r="AE41" s="3">
        <f>T41-HLOOKUP(X41,Feuil1!$C$1:$BL$10,5,FALSE)</f>
        <v>18</v>
      </c>
      <c r="AF41" s="3">
        <f>T41-HLOOKUP(X41,Feuil1!$C$1:$BL$10,6,FALSE)</f>
        <v>8</v>
      </c>
      <c r="AG41" s="3">
        <f>T41-HLOOKUP(X41,Feuil1!$C$1:$BL$10,7,FALSE)</f>
        <v>-7</v>
      </c>
      <c r="AH41" s="3">
        <f>T41-HLOOKUP(X41,Feuil1!$C$1:$BL$10,8,FALSE)</f>
        <v>-22</v>
      </c>
      <c r="AI41" s="3">
        <f>T41-HLOOKUP(X41,Feuil1!$C$1:$BL$10,9,FALSE)</f>
        <v>-42</v>
      </c>
      <c r="AJ41" s="5">
        <f>T41-HLOOKUP(X41,Feuil1!$C$1:$BL$10,10,FALSE)</f>
        <v>-892</v>
      </c>
      <c r="AQ41" s="5" t="str">
        <f t="shared" si="26"/>
        <v>FED +</v>
      </c>
    </row>
    <row r="42" spans="1:55" ht="21" hidden="1" x14ac:dyDescent="0.2">
      <c r="A42" s="12" t="s">
        <v>69</v>
      </c>
      <c r="B42" s="67" t="s">
        <v>71</v>
      </c>
      <c r="C42" s="68" t="s">
        <v>801</v>
      </c>
      <c r="D42" s="69">
        <v>10</v>
      </c>
      <c r="E42" s="70">
        <v>323896</v>
      </c>
      <c r="F42" s="86" t="s">
        <v>823</v>
      </c>
      <c r="G42" s="86" t="s">
        <v>291</v>
      </c>
      <c r="H42" s="72">
        <v>1997</v>
      </c>
      <c r="I42" s="73">
        <v>53.2</v>
      </c>
      <c r="J42" s="68" t="s">
        <v>803</v>
      </c>
      <c r="K42" s="74" t="s">
        <v>69</v>
      </c>
      <c r="L42" s="75">
        <v>46</v>
      </c>
      <c r="M42" s="75">
        <v>48</v>
      </c>
      <c r="N42" s="75">
        <v>-50</v>
      </c>
      <c r="O42" s="76">
        <f t="shared" si="19"/>
        <v>48</v>
      </c>
      <c r="P42" s="75">
        <v>53</v>
      </c>
      <c r="Q42" s="75">
        <v>56</v>
      </c>
      <c r="R42" s="75">
        <v>58</v>
      </c>
      <c r="S42" s="76">
        <f t="shared" si="20"/>
        <v>58</v>
      </c>
      <c r="T42" s="77">
        <f t="shared" si="21"/>
        <v>106</v>
      </c>
      <c r="U42" s="83">
        <f t="shared" si="22"/>
        <v>-0.40000000000000568</v>
      </c>
      <c r="V42" s="79" t="str">
        <f t="shared" si="23"/>
        <v>FED +</v>
      </c>
      <c r="W42" s="80">
        <f t="shared" si="24"/>
        <v>6</v>
      </c>
      <c r="X42" s="81" t="str">
        <f>IF(I42="","",IF(A42="H",IF(OR(H42="SEN",H42&lt;1995),VLOOKUP(I42,Feuil1!$A$11:$F$29,6),IF(AND(H42&gt;1994,H42&lt;1998),VLOOKUP(I42,Feuil1!$A$11:$F$29,5),IF(AND(H42&gt;1997,H42&lt;2000),VLOOKUP(I42,Feuil1!$A$11:$F$29,4),IF(AND(H42&gt;1999,H42&lt;2002),VLOOKUP(I42,Feuil1!$A$11:$F$29,3),VLOOKUP(I42,Feuil1!$A$11:$F$29,2))))),IF(OR(H42="SEN",H42&lt;1995),VLOOKUP(I42,Feuil1!$G$11:$L$25,6),IF(AND(H42&gt;1994,H42&lt;1998),VLOOKUP(I42,Feuil1!$G$11:$L$25,5),IF(AND(H42&gt;1997,H42&lt;2000),VLOOKUP(I42,Feuil1!$G$11:$L$25,4),IF(AND(H42&gt;1999,H42&lt;2002),VLOOKUP(I42,Feuil1!$G$11:$L$25,3),VLOOKUP(I42,Feuil1!$G$11:$L$25,2)))))))</f>
        <v>FJ58</v>
      </c>
      <c r="Y42" s="39">
        <f t="shared" si="25"/>
        <v>159.41461714642094</v>
      </c>
      <c r="Z42" s="45"/>
      <c r="AA42" s="45" t="s">
        <v>12</v>
      </c>
      <c r="AB42" s="3">
        <f>T42-HLOOKUP(X42,Feuil1!$C$1:$BL$10,2,FALSE)</f>
        <v>46</v>
      </c>
      <c r="AC42" s="3">
        <f>T42-HLOOKUP(X42,Feuil1!$C$1:$BL$10,3,FALSE)</f>
        <v>36</v>
      </c>
      <c r="AD42" s="3">
        <f>T42-HLOOKUP(X42,Feuil1!$C$1:$BL$10,4,FALSE)</f>
        <v>26</v>
      </c>
      <c r="AE42" s="3">
        <f>T42-HLOOKUP(X42,Feuil1!$C$1:$BL$10,5,FALSE)</f>
        <v>16</v>
      </c>
      <c r="AF42" s="3">
        <f>T42-HLOOKUP(X42,Feuil1!$C$1:$BL$10,6,FALSE)</f>
        <v>6</v>
      </c>
      <c r="AG42" s="3">
        <f>T42-HLOOKUP(X42,Feuil1!$C$1:$BL$10,7,FALSE)</f>
        <v>-9</v>
      </c>
      <c r="AH42" s="3">
        <f>T42-HLOOKUP(X42,Feuil1!$C$1:$BL$10,8,FALSE)</f>
        <v>-24</v>
      </c>
      <c r="AI42" s="3">
        <f>T42-HLOOKUP(X42,Feuil1!$C$1:$BL$10,9,FALSE)</f>
        <v>-44</v>
      </c>
      <c r="AJ42" s="5">
        <f>T42-HLOOKUP(X42,Feuil1!$C$1:$BL$10,10,FALSE)</f>
        <v>-894</v>
      </c>
      <c r="AQ42" s="5" t="str">
        <f t="shared" si="26"/>
        <v>FED +</v>
      </c>
    </row>
    <row r="43" spans="1:55" ht="21" hidden="1" x14ac:dyDescent="0.2">
      <c r="A43" s="12" t="s">
        <v>69</v>
      </c>
      <c r="B43" s="18" t="s">
        <v>721</v>
      </c>
      <c r="C43" s="19" t="s">
        <v>689</v>
      </c>
      <c r="D43" s="61">
        <v>11</v>
      </c>
      <c r="E43" s="35">
        <v>146079</v>
      </c>
      <c r="F43" s="20" t="s">
        <v>702</v>
      </c>
      <c r="G43" s="20" t="s">
        <v>703</v>
      </c>
      <c r="H43" s="57">
        <v>1996</v>
      </c>
      <c r="I43" s="30">
        <v>53.83</v>
      </c>
      <c r="J43" s="19" t="s">
        <v>692</v>
      </c>
      <c r="K43" s="34" t="s">
        <v>69</v>
      </c>
      <c r="L43" s="31">
        <v>45</v>
      </c>
      <c r="M43" s="31">
        <v>48</v>
      </c>
      <c r="N43" s="31">
        <v>-50</v>
      </c>
      <c r="O43" s="36">
        <f t="shared" si="19"/>
        <v>48</v>
      </c>
      <c r="P43" s="31">
        <v>52</v>
      </c>
      <c r="Q43" s="31">
        <v>56</v>
      </c>
      <c r="R43" s="31">
        <v>58</v>
      </c>
      <c r="S43" s="36">
        <f t="shared" si="20"/>
        <v>58</v>
      </c>
      <c r="T43" s="37">
        <f t="shared" si="21"/>
        <v>106</v>
      </c>
      <c r="U43" s="64">
        <f t="shared" si="22"/>
        <v>-1.6599999999999966</v>
      </c>
      <c r="V43" s="41" t="str">
        <f t="shared" si="23"/>
        <v>FED +</v>
      </c>
      <c r="W43" s="33">
        <f t="shared" si="24"/>
        <v>6</v>
      </c>
      <c r="X43" s="40" t="str">
        <f>IF(I43="","",IF(A43="H",IF(OR(H43="SEN",H43&lt;1995),VLOOKUP(I43,Feuil1!$A$11:$F$29,6),IF(AND(H43&gt;1994,H43&lt;1998),VLOOKUP(I43,Feuil1!$A$11:$F$29,5),IF(AND(H43&gt;1997,H43&lt;2000),VLOOKUP(I43,Feuil1!$A$11:$F$29,4),IF(AND(H43&gt;1999,H43&lt;2002),VLOOKUP(I43,Feuil1!$A$11:$F$29,3),VLOOKUP(I43,Feuil1!$A$11:$F$29,2))))),IF(OR(H43="SEN",H43&lt;1995),VLOOKUP(I43,Feuil1!$G$11:$L$25,6),IF(AND(H43&gt;1994,H43&lt;1998),VLOOKUP(I43,Feuil1!$G$11:$L$25,5),IF(AND(H43&gt;1997,H43&lt;2000),VLOOKUP(I43,Feuil1!$G$11:$L$25,4),IF(AND(H43&gt;1999,H43&lt;2002),VLOOKUP(I43,Feuil1!$G$11:$L$25,3),VLOOKUP(I43,Feuil1!$G$11:$L$25,2)))))))</f>
        <v>FJ58</v>
      </c>
      <c r="Y43" s="39">
        <f t="shared" si="25"/>
        <v>157.93340977672801</v>
      </c>
      <c r="Z43" s="45"/>
      <c r="AA43" s="45" t="s">
        <v>12</v>
      </c>
      <c r="AB43" s="3">
        <f>T43-HLOOKUP(X43,Feuil1!$C$1:$BL$10,2,FALSE)</f>
        <v>46</v>
      </c>
      <c r="AC43" s="3">
        <f>T43-HLOOKUP(X43,Feuil1!$C$1:$BL$10,3,FALSE)</f>
        <v>36</v>
      </c>
      <c r="AD43" s="3">
        <f>T43-HLOOKUP(X43,Feuil1!$C$1:$BL$10,4,FALSE)</f>
        <v>26</v>
      </c>
      <c r="AE43" s="3">
        <f>T43-HLOOKUP(X43,Feuil1!$C$1:$BL$10,5,FALSE)</f>
        <v>16</v>
      </c>
      <c r="AF43" s="3">
        <f>T43-HLOOKUP(X43,Feuil1!$C$1:$BL$10,6,FALSE)</f>
        <v>6</v>
      </c>
      <c r="AG43" s="3">
        <f>T43-HLOOKUP(X43,Feuil1!$C$1:$BL$10,7,FALSE)</f>
        <v>-9</v>
      </c>
      <c r="AH43" s="3">
        <f>T43-HLOOKUP(X43,Feuil1!$C$1:$BL$10,8,FALSE)</f>
        <v>-24</v>
      </c>
      <c r="AI43" s="3">
        <f>T43-HLOOKUP(X43,Feuil1!$C$1:$BL$10,9,FALSE)</f>
        <v>-44</v>
      </c>
      <c r="AJ43" s="5">
        <f>T43-HLOOKUP(X43,Feuil1!$C$1:$BL$10,10,FALSE)</f>
        <v>-894</v>
      </c>
      <c r="AQ43" s="5" t="str">
        <f t="shared" si="26"/>
        <v>FED +</v>
      </c>
    </row>
    <row r="44" spans="1:55" ht="21" hidden="1" x14ac:dyDescent="0.2">
      <c r="A44" s="12" t="s">
        <v>69</v>
      </c>
      <c r="B44" s="18" t="s">
        <v>298</v>
      </c>
      <c r="C44" s="19" t="s">
        <v>404</v>
      </c>
      <c r="D44" s="61">
        <v>12</v>
      </c>
      <c r="E44" s="35">
        <v>345628</v>
      </c>
      <c r="F44" s="20" t="s">
        <v>429</v>
      </c>
      <c r="G44" s="20" t="s">
        <v>430</v>
      </c>
      <c r="H44" s="58">
        <v>1995</v>
      </c>
      <c r="I44" s="30">
        <v>55.6</v>
      </c>
      <c r="J44" s="19" t="s">
        <v>431</v>
      </c>
      <c r="K44" s="34" t="s">
        <v>69</v>
      </c>
      <c r="L44" s="31">
        <v>42</v>
      </c>
      <c r="M44" s="31">
        <v>45</v>
      </c>
      <c r="N44" s="31">
        <v>-47</v>
      </c>
      <c r="O44" s="36">
        <f t="shared" si="19"/>
        <v>45</v>
      </c>
      <c r="P44" s="31">
        <v>54</v>
      </c>
      <c r="Q44" s="31">
        <v>56</v>
      </c>
      <c r="R44" s="31">
        <v>-60</v>
      </c>
      <c r="S44" s="36">
        <f t="shared" si="20"/>
        <v>56</v>
      </c>
      <c r="T44" s="37">
        <f t="shared" si="21"/>
        <v>101</v>
      </c>
      <c r="U44" s="64">
        <f t="shared" si="22"/>
        <v>-10.200000000000003</v>
      </c>
      <c r="V44" s="41" t="str">
        <f t="shared" si="23"/>
        <v>FED +</v>
      </c>
      <c r="W44" s="33">
        <f t="shared" si="24"/>
        <v>1</v>
      </c>
      <c r="X44" s="40" t="str">
        <f>IF(I44="","",IF(A44="H",IF(OR(H44="SEN",H44&lt;1995),VLOOKUP(I44,Feuil1!$A$11:$F$29,6),IF(AND(H44&gt;1994,H44&lt;1998),VLOOKUP(I44,Feuil1!$A$11:$F$29,5),IF(AND(H44&gt;1997,H44&lt;2000),VLOOKUP(I44,Feuil1!$A$11:$F$29,4),IF(AND(H44&gt;1999,H44&lt;2002),VLOOKUP(I44,Feuil1!$A$11:$F$29,3),VLOOKUP(I44,Feuil1!$A$11:$F$29,2))))),IF(OR(H44="SEN",H44&lt;1995),VLOOKUP(I44,Feuil1!$G$11:$L$25,6),IF(AND(H44&gt;1994,H44&lt;1998),VLOOKUP(I44,Feuil1!$G$11:$L$25,5),IF(AND(H44&gt;1997,H44&lt;2000),VLOOKUP(I44,Feuil1!$G$11:$L$25,4),IF(AND(H44&gt;1999,H44&lt;2002),VLOOKUP(I44,Feuil1!$G$11:$L$25,3),VLOOKUP(I44,Feuil1!$G$11:$L$25,2)))))))</f>
        <v>FJ58</v>
      </c>
      <c r="Y44" s="39">
        <f t="shared" si="25"/>
        <v>146.75398448064229</v>
      </c>
      <c r="Z44" s="45"/>
      <c r="AA44" s="45" t="s">
        <v>12</v>
      </c>
      <c r="AB44" s="3">
        <f>T44-HLOOKUP(X44,Feuil1!$C$1:$BL$10,2,FALSE)</f>
        <v>41</v>
      </c>
      <c r="AC44" s="3">
        <f>T44-HLOOKUP(X44,Feuil1!$C$1:$BL$10,3,FALSE)</f>
        <v>31</v>
      </c>
      <c r="AD44" s="3">
        <f>T44-HLOOKUP(X44,Feuil1!$C$1:$BL$10,4,FALSE)</f>
        <v>21</v>
      </c>
      <c r="AE44" s="3">
        <f>T44-HLOOKUP(X44,Feuil1!$C$1:$BL$10,5,FALSE)</f>
        <v>11</v>
      </c>
      <c r="AF44" s="3">
        <f>T44-HLOOKUP(X44,Feuil1!$C$1:$BL$10,6,FALSE)</f>
        <v>1</v>
      </c>
      <c r="AG44" s="3">
        <f>T44-HLOOKUP(X44,Feuil1!$C$1:$BL$10,7,FALSE)</f>
        <v>-14</v>
      </c>
      <c r="AH44" s="3">
        <f>T44-HLOOKUP(X44,Feuil1!$C$1:$BL$10,8,FALSE)</f>
        <v>-29</v>
      </c>
      <c r="AI44" s="3">
        <f>T44-HLOOKUP(X44,Feuil1!$C$1:$BL$10,9,FALSE)</f>
        <v>-49</v>
      </c>
      <c r="AJ44" s="5">
        <f>T44-HLOOKUP(X44,Feuil1!$C$1:$BL$10,10,FALSE)</f>
        <v>-899</v>
      </c>
      <c r="AQ44" s="5" t="str">
        <f t="shared" si="26"/>
        <v>FED +</v>
      </c>
    </row>
    <row r="45" spans="1:55" ht="21" hidden="1" x14ac:dyDescent="0.2">
      <c r="A45" s="12" t="s">
        <v>69</v>
      </c>
      <c r="B45" s="18" t="s">
        <v>108</v>
      </c>
      <c r="C45" s="19" t="s">
        <v>264</v>
      </c>
      <c r="D45" s="61">
        <v>13</v>
      </c>
      <c r="E45" s="35">
        <v>154500</v>
      </c>
      <c r="F45" s="20" t="s">
        <v>273</v>
      </c>
      <c r="G45" s="20" t="s">
        <v>178</v>
      </c>
      <c r="H45" s="51">
        <v>1995</v>
      </c>
      <c r="I45" s="30">
        <v>54.6</v>
      </c>
      <c r="J45" s="19" t="s">
        <v>274</v>
      </c>
      <c r="K45" s="34" t="s">
        <v>69</v>
      </c>
      <c r="L45" s="31">
        <v>45</v>
      </c>
      <c r="M45" s="31">
        <v>-47</v>
      </c>
      <c r="N45" s="31">
        <v>47</v>
      </c>
      <c r="O45" s="36">
        <f t="shared" si="19"/>
        <v>47</v>
      </c>
      <c r="P45" s="31">
        <v>53</v>
      </c>
      <c r="Q45" s="31">
        <v>-57</v>
      </c>
      <c r="R45" s="31">
        <v>-58</v>
      </c>
      <c r="S45" s="36">
        <f t="shared" si="20"/>
        <v>53</v>
      </c>
      <c r="T45" s="37">
        <f t="shared" si="21"/>
        <v>100</v>
      </c>
      <c r="U45" s="64">
        <f t="shared" si="22"/>
        <v>-9.2000000000000028</v>
      </c>
      <c r="V45" s="41" t="str">
        <f t="shared" si="23"/>
        <v>FED +</v>
      </c>
      <c r="W45" s="33">
        <f t="shared" si="24"/>
        <v>0</v>
      </c>
      <c r="X45" s="40" t="str">
        <f>IF(I45="","",IF(A45="H",IF(OR(H45="SEN",H45&lt;1995),VLOOKUP(I45,Feuil1!$A$11:$F$29,6),IF(AND(H45&gt;1994,H45&lt;1998),VLOOKUP(I45,Feuil1!$A$11:$F$29,5),IF(AND(H45&gt;1997,H45&lt;2000),VLOOKUP(I45,Feuil1!$A$11:$F$29,4),IF(AND(H45&gt;1999,H45&lt;2002),VLOOKUP(I45,Feuil1!$A$11:$F$29,3),VLOOKUP(I45,Feuil1!$A$11:$F$29,2))))),IF(OR(H45="SEN",H45&lt;1995),VLOOKUP(I45,Feuil1!$G$11:$L$25,6),IF(AND(H45&gt;1994,H45&lt;1998),VLOOKUP(I45,Feuil1!$G$11:$L$25,5),IF(AND(H45&gt;1997,H45&lt;2000),VLOOKUP(I45,Feuil1!$G$11:$L$25,4),IF(AND(H45&gt;1999,H45&lt;2002),VLOOKUP(I45,Feuil1!$G$11:$L$25,3),VLOOKUP(I45,Feuil1!$G$11:$L$25,2)))))))</f>
        <v>FJ58</v>
      </c>
      <c r="Y45" s="39">
        <f t="shared" si="25"/>
        <v>147.34638568801054</v>
      </c>
      <c r="Z45" s="45"/>
      <c r="AA45" s="45" t="s">
        <v>12</v>
      </c>
      <c r="AB45" s="3">
        <f>T45-HLOOKUP(X45,Feuil1!$C$1:$BL$10,2,FALSE)</f>
        <v>40</v>
      </c>
      <c r="AC45" s="3">
        <f>T45-HLOOKUP(X45,Feuil1!$C$1:$BL$10,3,FALSE)</f>
        <v>30</v>
      </c>
      <c r="AD45" s="3">
        <f>T45-HLOOKUP(X45,Feuil1!$C$1:$BL$10,4,FALSE)</f>
        <v>20</v>
      </c>
      <c r="AE45" s="3">
        <f>T45-HLOOKUP(X45,Feuil1!$C$1:$BL$10,5,FALSE)</f>
        <v>10</v>
      </c>
      <c r="AF45" s="3">
        <f>T45-HLOOKUP(X45,Feuil1!$C$1:$BL$10,6,FALSE)</f>
        <v>0</v>
      </c>
      <c r="AG45" s="3">
        <f>T45-HLOOKUP(X45,Feuil1!$C$1:$BL$10,7,FALSE)</f>
        <v>-15</v>
      </c>
      <c r="AH45" s="3">
        <f>T45-HLOOKUP(X45,Feuil1!$C$1:$BL$10,8,FALSE)</f>
        <v>-30</v>
      </c>
      <c r="AI45" s="3">
        <f>T45-HLOOKUP(X45,Feuil1!$C$1:$BL$10,9,FALSE)</f>
        <v>-50</v>
      </c>
      <c r="AJ45" s="5">
        <f>T45-HLOOKUP(X45,Feuil1!$C$1:$BL$10,10,FALSE)</f>
        <v>-900</v>
      </c>
      <c r="AQ45" s="5" t="str">
        <f t="shared" si="26"/>
        <v>FED +</v>
      </c>
    </row>
    <row r="46" spans="1:55" ht="21" hidden="1" x14ac:dyDescent="0.2">
      <c r="A46" s="12" t="s">
        <v>69</v>
      </c>
      <c r="B46" s="18" t="s">
        <v>108</v>
      </c>
      <c r="C46" s="19" t="s">
        <v>119</v>
      </c>
      <c r="D46" s="61">
        <v>14</v>
      </c>
      <c r="E46" s="35">
        <v>327036</v>
      </c>
      <c r="F46" s="20" t="s">
        <v>162</v>
      </c>
      <c r="G46" s="20" t="s">
        <v>163</v>
      </c>
      <c r="H46" s="51">
        <v>1997</v>
      </c>
      <c r="I46" s="30">
        <v>56.1</v>
      </c>
      <c r="J46" s="19" t="s">
        <v>161</v>
      </c>
      <c r="K46" s="34" t="s">
        <v>69</v>
      </c>
      <c r="L46" s="31">
        <v>40</v>
      </c>
      <c r="M46" s="31">
        <v>43</v>
      </c>
      <c r="N46" s="31">
        <v>45</v>
      </c>
      <c r="O46" s="36">
        <f t="shared" si="19"/>
        <v>45</v>
      </c>
      <c r="P46" s="31">
        <v>52</v>
      </c>
      <c r="Q46" s="31">
        <v>55</v>
      </c>
      <c r="R46" s="31">
        <v>-57</v>
      </c>
      <c r="S46" s="36">
        <f t="shared" si="20"/>
        <v>55</v>
      </c>
      <c r="T46" s="37">
        <f t="shared" si="21"/>
        <v>100</v>
      </c>
      <c r="U46" s="64">
        <f t="shared" si="22"/>
        <v>-12.200000000000003</v>
      </c>
      <c r="V46" s="41" t="str">
        <f t="shared" si="23"/>
        <v>FED +</v>
      </c>
      <c r="W46" s="33">
        <f t="shared" si="24"/>
        <v>0</v>
      </c>
      <c r="X46" s="40" t="str">
        <f>IF(I46="","",IF(A46="H",IF(OR(H46="SEN",H46&lt;1995),VLOOKUP(I46,Feuil1!$A$11:$F$29,6),IF(AND(H46&gt;1994,H46&lt;1998),VLOOKUP(I46,Feuil1!$A$11:$F$29,5),IF(AND(H46&gt;1997,H46&lt;2000),VLOOKUP(I46,Feuil1!$A$11:$F$29,4),IF(AND(H46&gt;1999,H46&lt;2002),VLOOKUP(I46,Feuil1!$A$11:$F$29,3),VLOOKUP(I46,Feuil1!$A$11:$F$29,2))))),IF(OR(H46="SEN",H46&lt;1995),VLOOKUP(I46,Feuil1!$G$11:$L$25,6),IF(AND(H46&gt;1994,H46&lt;1998),VLOOKUP(I46,Feuil1!$G$11:$L$25,5),IF(AND(H46&gt;1997,H46&lt;2000),VLOOKUP(I46,Feuil1!$G$11:$L$25,4),IF(AND(H46&gt;1999,H46&lt;2002),VLOOKUP(I46,Feuil1!$G$11:$L$25,3),VLOOKUP(I46,Feuil1!$G$11:$L$25,2)))))))</f>
        <v>FJ58</v>
      </c>
      <c r="Y46" s="39">
        <f t="shared" si="25"/>
        <v>144.31615010627868</v>
      </c>
      <c r="Z46" s="45"/>
      <c r="AA46" s="45" t="s">
        <v>12</v>
      </c>
      <c r="AB46" s="3">
        <f>T46-HLOOKUP(X46,Feuil1!$C$1:$BL$10,2,FALSE)</f>
        <v>40</v>
      </c>
      <c r="AC46" s="3">
        <f>T46-HLOOKUP(X46,Feuil1!$C$1:$BL$10,3,FALSE)</f>
        <v>30</v>
      </c>
      <c r="AD46" s="3">
        <f>T46-HLOOKUP(X46,Feuil1!$C$1:$BL$10,4,FALSE)</f>
        <v>20</v>
      </c>
      <c r="AE46" s="3">
        <f>T46-HLOOKUP(X46,Feuil1!$C$1:$BL$10,5,FALSE)</f>
        <v>10</v>
      </c>
      <c r="AF46" s="3">
        <f>T46-HLOOKUP(X46,Feuil1!$C$1:$BL$10,6,FALSE)</f>
        <v>0</v>
      </c>
      <c r="AG46" s="3">
        <f>T46-HLOOKUP(X46,Feuil1!$C$1:$BL$10,7,FALSE)</f>
        <v>-15</v>
      </c>
      <c r="AH46" s="3">
        <f>T46-HLOOKUP(X46,Feuil1!$C$1:$BL$10,8,FALSE)</f>
        <v>-30</v>
      </c>
      <c r="AI46" s="3">
        <f>T46-HLOOKUP(X46,Feuil1!$C$1:$BL$10,9,FALSE)</f>
        <v>-50</v>
      </c>
      <c r="AJ46" s="5">
        <f>T46-HLOOKUP(X46,Feuil1!$C$1:$BL$10,10,FALSE)</f>
        <v>-900</v>
      </c>
      <c r="AQ46" s="5" t="str">
        <f t="shared" si="26"/>
        <v>FED +</v>
      </c>
    </row>
    <row r="47" spans="1:55" ht="21" hidden="1" x14ac:dyDescent="0.2">
      <c r="A47" s="12" t="s">
        <v>69</v>
      </c>
      <c r="B47" s="18" t="s">
        <v>298</v>
      </c>
      <c r="C47" s="19" t="s">
        <v>404</v>
      </c>
      <c r="D47" s="61">
        <v>15</v>
      </c>
      <c r="E47" s="35">
        <v>192187</v>
      </c>
      <c r="F47" s="20" t="s">
        <v>437</v>
      </c>
      <c r="G47" s="20" t="s">
        <v>438</v>
      </c>
      <c r="H47" s="51">
        <v>1995</v>
      </c>
      <c r="I47" s="30">
        <v>54.25</v>
      </c>
      <c r="J47" s="19" t="s">
        <v>412</v>
      </c>
      <c r="K47" s="34" t="s">
        <v>69</v>
      </c>
      <c r="L47" s="31">
        <v>40</v>
      </c>
      <c r="M47" s="31">
        <v>43</v>
      </c>
      <c r="N47" s="31">
        <v>-45</v>
      </c>
      <c r="O47" s="36">
        <f t="shared" si="19"/>
        <v>43</v>
      </c>
      <c r="P47" s="31">
        <v>50</v>
      </c>
      <c r="Q47" s="31">
        <v>54</v>
      </c>
      <c r="R47" s="31">
        <v>-57</v>
      </c>
      <c r="S47" s="36">
        <f t="shared" si="20"/>
        <v>54</v>
      </c>
      <c r="T47" s="37">
        <f t="shared" si="21"/>
        <v>97</v>
      </c>
      <c r="U47" s="64">
        <f t="shared" si="22"/>
        <v>-11.5</v>
      </c>
      <c r="V47" s="41" t="str">
        <f t="shared" si="23"/>
        <v>IRG +</v>
      </c>
      <c r="W47" s="33">
        <f t="shared" si="24"/>
        <v>7</v>
      </c>
      <c r="X47" s="40" t="str">
        <f>IF(I47="","",IF(A47="H",IF(OR(H47="SEN",H47&lt;1995),VLOOKUP(I47,Feuil1!$A$11:$F$29,6),IF(AND(H47&gt;1994,H47&lt;1998),VLOOKUP(I47,Feuil1!$A$11:$F$29,5),IF(AND(H47&gt;1997,H47&lt;2000),VLOOKUP(I47,Feuil1!$A$11:$F$29,4),IF(AND(H47&gt;1999,H47&lt;2002),VLOOKUP(I47,Feuil1!$A$11:$F$29,3),VLOOKUP(I47,Feuil1!$A$11:$F$29,2))))),IF(OR(H47="SEN",H47&lt;1995),VLOOKUP(I47,Feuil1!$G$11:$L$25,6),IF(AND(H47&gt;1994,H47&lt;1998),VLOOKUP(I47,Feuil1!$G$11:$L$25,5),IF(AND(H47&gt;1997,H47&lt;2000),VLOOKUP(I47,Feuil1!$G$11:$L$25,4),IF(AND(H47&gt;1999,H47&lt;2002),VLOOKUP(I47,Feuil1!$G$11:$L$25,3),VLOOKUP(I47,Feuil1!$G$11:$L$25,2)))))))</f>
        <v>FJ58</v>
      </c>
      <c r="Y47" s="39">
        <f t="shared" si="25"/>
        <v>143.64453578152725</v>
      </c>
      <c r="Z47" s="45"/>
      <c r="AA47" s="45" t="s">
        <v>12</v>
      </c>
      <c r="AB47" s="3">
        <f>T47-HLOOKUP(X47,Feuil1!$C$1:$BL$10,2,FALSE)</f>
        <v>37</v>
      </c>
      <c r="AC47" s="3">
        <f>T47-HLOOKUP(X47,Feuil1!$C$1:$BL$10,3,FALSE)</f>
        <v>27</v>
      </c>
      <c r="AD47" s="3">
        <f>T47-HLOOKUP(X47,Feuil1!$C$1:$BL$10,4,FALSE)</f>
        <v>17</v>
      </c>
      <c r="AE47" s="3">
        <f>T47-HLOOKUP(X47,Feuil1!$C$1:$BL$10,5,FALSE)</f>
        <v>7</v>
      </c>
      <c r="AF47" s="3">
        <f>T47-HLOOKUP(X47,Feuil1!$C$1:$BL$10,6,FALSE)</f>
        <v>-3</v>
      </c>
      <c r="AG47" s="3">
        <f>T47-HLOOKUP(X47,Feuil1!$C$1:$BL$10,7,FALSE)</f>
        <v>-18</v>
      </c>
      <c r="AH47" s="3">
        <f>T47-HLOOKUP(X47,Feuil1!$C$1:$BL$10,8,FALSE)</f>
        <v>-33</v>
      </c>
      <c r="AI47" s="3">
        <f>T47-HLOOKUP(X47,Feuil1!$C$1:$BL$10,9,FALSE)</f>
        <v>-53</v>
      </c>
      <c r="AJ47" s="5">
        <f>T47-HLOOKUP(X47,Feuil1!$C$1:$BL$10,10,FALSE)</f>
        <v>-903</v>
      </c>
      <c r="AQ47" s="5" t="str">
        <f t="shared" si="26"/>
        <v>IRG +</v>
      </c>
    </row>
    <row r="48" spans="1:55" ht="21" hidden="1" x14ac:dyDescent="0.2">
      <c r="A48" s="12" t="s">
        <v>69</v>
      </c>
      <c r="B48" s="67" t="s">
        <v>71</v>
      </c>
      <c r="C48" s="68" t="s">
        <v>72</v>
      </c>
      <c r="D48" s="69">
        <v>16</v>
      </c>
      <c r="E48" s="70">
        <v>385864</v>
      </c>
      <c r="F48" s="71" t="s">
        <v>941</v>
      </c>
      <c r="G48" s="71" t="s">
        <v>500</v>
      </c>
      <c r="H48" s="72">
        <v>1997</v>
      </c>
      <c r="I48" s="73">
        <v>54.3</v>
      </c>
      <c r="J48" s="68" t="s">
        <v>927</v>
      </c>
      <c r="K48" s="74" t="s">
        <v>69</v>
      </c>
      <c r="L48" s="75">
        <v>-39</v>
      </c>
      <c r="M48" s="75">
        <v>39</v>
      </c>
      <c r="N48" s="75">
        <v>41</v>
      </c>
      <c r="O48" s="76">
        <f t="shared" si="19"/>
        <v>41</v>
      </c>
      <c r="P48" s="75">
        <v>48</v>
      </c>
      <c r="Q48" s="75">
        <v>51</v>
      </c>
      <c r="R48" s="75">
        <v>55</v>
      </c>
      <c r="S48" s="76">
        <f t="shared" si="20"/>
        <v>55</v>
      </c>
      <c r="T48" s="77">
        <f t="shared" si="21"/>
        <v>96</v>
      </c>
      <c r="U48" s="83">
        <f t="shared" si="22"/>
        <v>-12.599999999999994</v>
      </c>
      <c r="V48" s="87" t="str">
        <f t="shared" si="23"/>
        <v>IRG +</v>
      </c>
      <c r="W48" s="80">
        <f t="shared" si="24"/>
        <v>6</v>
      </c>
      <c r="X48" s="81" t="str">
        <f>IF(I48="","",IF(A48="H",IF(OR(H48="SEN",H48&lt;1995),VLOOKUP(I48,Feuil1!$A$11:$F$29,6),IF(AND(H48&gt;1994,H48&lt;1998),VLOOKUP(I48,Feuil1!$A$11:$F$29,5),IF(AND(H48&gt;1997,H48&lt;2000),VLOOKUP(I48,Feuil1!$A$11:$F$29,4),IF(AND(H48&gt;1999,H48&lt;2002),VLOOKUP(I48,Feuil1!$A$11:$F$29,3),VLOOKUP(I48,Feuil1!$A$11:$F$29,2))))),IF(OR(H48="SEN",H48&lt;1995),VLOOKUP(I48,Feuil1!$G$11:$L$25,6),IF(AND(H48&gt;1994,H48&lt;1998),VLOOKUP(I48,Feuil1!$G$11:$L$25,5),IF(AND(H48&gt;1997,H48&lt;2000),VLOOKUP(I48,Feuil1!$G$11:$L$25,4),IF(AND(H48&gt;1999,H48&lt;2002),VLOOKUP(I48,Feuil1!$G$11:$L$25,3),VLOOKUP(I48,Feuil1!$G$11:$L$25,2)))))))</f>
        <v>FJ58</v>
      </c>
      <c r="Y48" s="39">
        <f t="shared" si="25"/>
        <v>142.06129333357072</v>
      </c>
      <c r="Z48" s="45"/>
      <c r="AA48" s="45" t="s">
        <v>12</v>
      </c>
      <c r="AB48" s="3">
        <f>T48-HLOOKUP(X48,Feuil1!$C$1:$BL$10,2,FALSE)</f>
        <v>36</v>
      </c>
      <c r="AC48" s="3">
        <f>T48-HLOOKUP(X48,Feuil1!$C$1:$BL$10,3,FALSE)</f>
        <v>26</v>
      </c>
      <c r="AD48" s="3">
        <f>T48-HLOOKUP(X48,Feuil1!$C$1:$BL$10,4,FALSE)</f>
        <v>16</v>
      </c>
      <c r="AE48" s="3">
        <f>T48-HLOOKUP(X48,Feuil1!$C$1:$BL$10,5,FALSE)</f>
        <v>6</v>
      </c>
      <c r="AF48" s="3">
        <f>T48-HLOOKUP(X48,Feuil1!$C$1:$BL$10,6,FALSE)</f>
        <v>-4</v>
      </c>
      <c r="AG48" s="3">
        <f>T48-HLOOKUP(X48,Feuil1!$C$1:$BL$10,7,FALSE)</f>
        <v>-19</v>
      </c>
      <c r="AH48" s="3">
        <f>T48-HLOOKUP(X48,Feuil1!$C$1:$BL$10,8,FALSE)</f>
        <v>-34</v>
      </c>
      <c r="AI48" s="3">
        <f>T48-HLOOKUP(X48,Feuil1!$C$1:$BL$10,9,FALSE)</f>
        <v>-54</v>
      </c>
      <c r="AJ48" s="5">
        <f>T48-HLOOKUP(X48,Feuil1!$C$1:$BL$10,10,FALSE)</f>
        <v>-904</v>
      </c>
      <c r="AQ48" s="5" t="str">
        <f t="shared" si="26"/>
        <v>IRG +</v>
      </c>
    </row>
    <row r="49" spans="1:55" ht="21" hidden="1" x14ac:dyDescent="0.2">
      <c r="A49" s="12" t="s">
        <v>69</v>
      </c>
      <c r="B49" s="18" t="s">
        <v>721</v>
      </c>
      <c r="C49" s="19" t="s">
        <v>689</v>
      </c>
      <c r="D49" s="61">
        <v>17</v>
      </c>
      <c r="E49" s="35">
        <v>389192</v>
      </c>
      <c r="F49" s="24" t="s">
        <v>704</v>
      </c>
      <c r="G49" s="24" t="s">
        <v>705</v>
      </c>
      <c r="H49" s="51">
        <v>1997</v>
      </c>
      <c r="I49" s="30">
        <v>58</v>
      </c>
      <c r="J49" s="19" t="s">
        <v>694</v>
      </c>
      <c r="K49" s="34" t="s">
        <v>69</v>
      </c>
      <c r="L49" s="31">
        <v>39</v>
      </c>
      <c r="M49" s="31">
        <v>42</v>
      </c>
      <c r="N49" s="31">
        <v>-45</v>
      </c>
      <c r="O49" s="36">
        <f t="shared" si="19"/>
        <v>42</v>
      </c>
      <c r="P49" s="31">
        <v>48</v>
      </c>
      <c r="Q49" s="31">
        <v>53</v>
      </c>
      <c r="R49" s="31">
        <v>-58</v>
      </c>
      <c r="S49" s="36">
        <f t="shared" si="20"/>
        <v>53</v>
      </c>
      <c r="T49" s="37">
        <f t="shared" si="21"/>
        <v>95</v>
      </c>
      <c r="U49" s="64">
        <f t="shared" si="22"/>
        <v>-21</v>
      </c>
      <c r="V49" s="41" t="str">
        <f t="shared" si="23"/>
        <v>IRG +</v>
      </c>
      <c r="W49" s="33">
        <f t="shared" si="24"/>
        <v>5</v>
      </c>
      <c r="X49" s="40" t="str">
        <f>IF(I49="","",IF(A49="H",IF(OR(H49="SEN",H49&lt;1995),VLOOKUP(I49,Feuil1!$A$11:$F$29,6),IF(AND(H49&gt;1994,H49&lt;1998),VLOOKUP(I49,Feuil1!$A$11:$F$29,5),IF(AND(H49&gt;1997,H49&lt;2000),VLOOKUP(I49,Feuil1!$A$11:$F$29,4),IF(AND(H49&gt;1999,H49&lt;2002),VLOOKUP(I49,Feuil1!$A$11:$F$29,3),VLOOKUP(I49,Feuil1!$A$11:$F$29,2))))),IF(OR(H49="SEN",H49&lt;1995),VLOOKUP(I49,Feuil1!$G$11:$L$25,6),IF(AND(H49&gt;1994,H49&lt;1998),VLOOKUP(I49,Feuil1!$G$11:$L$25,5),IF(AND(H49&gt;1997,H49&lt;2000),VLOOKUP(I49,Feuil1!$G$11:$L$25,4),IF(AND(H49&gt;1999,H49&lt;2002),VLOOKUP(I49,Feuil1!$G$11:$L$25,3),VLOOKUP(I49,Feuil1!$G$11:$L$25,2)))))))</f>
        <v>FJ58</v>
      </c>
      <c r="Y49" s="39">
        <f t="shared" si="25"/>
        <v>133.7482877682763</v>
      </c>
      <c r="Z49" s="45"/>
      <c r="AA49" s="45" t="s">
        <v>12</v>
      </c>
      <c r="AB49" s="3">
        <f>T49-HLOOKUP(X49,Feuil1!$C$1:$BL$10,2,FALSE)</f>
        <v>35</v>
      </c>
      <c r="AC49" s="3">
        <f>T49-HLOOKUP(X49,Feuil1!$C$1:$BL$10,3,FALSE)</f>
        <v>25</v>
      </c>
      <c r="AD49" s="3">
        <f>T49-HLOOKUP(X49,Feuil1!$C$1:$BL$10,4,FALSE)</f>
        <v>15</v>
      </c>
      <c r="AE49" s="3">
        <f>T49-HLOOKUP(X49,Feuil1!$C$1:$BL$10,5,FALSE)</f>
        <v>5</v>
      </c>
      <c r="AF49" s="3">
        <f>T49-HLOOKUP(X49,Feuil1!$C$1:$BL$10,6,FALSE)</f>
        <v>-5</v>
      </c>
      <c r="AG49" s="3">
        <f>T49-HLOOKUP(X49,Feuil1!$C$1:$BL$10,7,FALSE)</f>
        <v>-20</v>
      </c>
      <c r="AH49" s="3">
        <f>T49-HLOOKUP(X49,Feuil1!$C$1:$BL$10,8,FALSE)</f>
        <v>-35</v>
      </c>
      <c r="AI49" s="3">
        <f>T49-HLOOKUP(X49,Feuil1!$C$1:$BL$10,9,FALSE)</f>
        <v>-55</v>
      </c>
      <c r="AJ49" s="5">
        <f>T49-HLOOKUP(X49,Feuil1!$C$1:$BL$10,10,FALSE)</f>
        <v>-905</v>
      </c>
      <c r="AQ49" s="5" t="str">
        <f t="shared" si="26"/>
        <v>IRG +</v>
      </c>
    </row>
    <row r="50" spans="1:55" ht="21" hidden="1" x14ac:dyDescent="0.2">
      <c r="A50" s="12" t="s">
        <v>69</v>
      </c>
      <c r="B50" s="18" t="s">
        <v>71</v>
      </c>
      <c r="C50" s="19" t="s">
        <v>872</v>
      </c>
      <c r="D50" s="61">
        <v>18</v>
      </c>
      <c r="E50" s="35">
        <v>279459</v>
      </c>
      <c r="F50" s="24" t="s">
        <v>873</v>
      </c>
      <c r="G50" s="24" t="s">
        <v>779</v>
      </c>
      <c r="H50" s="51">
        <v>1996</v>
      </c>
      <c r="I50" s="30">
        <v>54.2</v>
      </c>
      <c r="J50" s="19" t="s">
        <v>874</v>
      </c>
      <c r="K50" s="34" t="s">
        <v>69</v>
      </c>
      <c r="L50" s="31">
        <v>35</v>
      </c>
      <c r="M50" s="31">
        <v>38</v>
      </c>
      <c r="N50" s="31">
        <v>40</v>
      </c>
      <c r="O50" s="36">
        <f t="shared" si="19"/>
        <v>40</v>
      </c>
      <c r="P50" s="31">
        <v>45</v>
      </c>
      <c r="Q50" s="31">
        <v>50</v>
      </c>
      <c r="R50" s="31">
        <v>53</v>
      </c>
      <c r="S50" s="36">
        <f t="shared" si="20"/>
        <v>53</v>
      </c>
      <c r="T50" s="37">
        <f t="shared" si="21"/>
        <v>93</v>
      </c>
      <c r="U50" s="64">
        <f t="shared" si="22"/>
        <v>-15.400000000000006</v>
      </c>
      <c r="V50" s="41" t="str">
        <f t="shared" si="23"/>
        <v>IRG +</v>
      </c>
      <c r="W50" s="33">
        <f t="shared" si="24"/>
        <v>3</v>
      </c>
      <c r="X50" s="40" t="str">
        <f>IF(I50="","",IF(A50="H",IF(OR(H50="SEN",H50&lt;1995),VLOOKUP(I50,Feuil1!$A$11:$F$29,6),IF(AND(H50&gt;1994,H50&lt;1998),VLOOKUP(I50,Feuil1!$A$11:$F$29,5),IF(AND(H50&gt;1997,H50&lt;2000),VLOOKUP(I50,Feuil1!$A$11:$F$29,4),IF(AND(H50&gt;1999,H50&lt;2002),VLOOKUP(I50,Feuil1!$A$11:$F$29,3),VLOOKUP(I50,Feuil1!$A$11:$F$29,2))))),IF(OR(H50="SEN",H50&lt;1995),VLOOKUP(I50,Feuil1!$G$11:$L$25,6),IF(AND(H50&gt;1994,H50&lt;1998),VLOOKUP(I50,Feuil1!$G$11:$L$25,5),IF(AND(H50&gt;1997,H50&lt;2000),VLOOKUP(I50,Feuil1!$G$11:$L$25,4),IF(AND(H50&gt;1999,H50&lt;2002),VLOOKUP(I50,Feuil1!$G$11:$L$25,3),VLOOKUP(I50,Feuil1!$G$11:$L$25,2)))))))</f>
        <v>FJ58</v>
      </c>
      <c r="Y50" s="39">
        <f t="shared" si="25"/>
        <v>137.82047591343118</v>
      </c>
      <c r="Z50" s="45"/>
      <c r="AA50" s="45" t="s">
        <v>12</v>
      </c>
      <c r="AB50" s="3">
        <f>T50-HLOOKUP(X50,Feuil1!$C$1:$BL$10,2,FALSE)</f>
        <v>33</v>
      </c>
      <c r="AC50" s="3">
        <f>T50-HLOOKUP(X50,Feuil1!$C$1:$BL$10,3,FALSE)</f>
        <v>23</v>
      </c>
      <c r="AD50" s="3">
        <f>T50-HLOOKUP(X50,Feuil1!$C$1:$BL$10,4,FALSE)</f>
        <v>13</v>
      </c>
      <c r="AE50" s="3">
        <f>T50-HLOOKUP(X50,Feuil1!$C$1:$BL$10,5,FALSE)</f>
        <v>3</v>
      </c>
      <c r="AF50" s="3">
        <f>T50-HLOOKUP(X50,Feuil1!$C$1:$BL$10,6,FALSE)</f>
        <v>-7</v>
      </c>
      <c r="AG50" s="3">
        <f>T50-HLOOKUP(X50,Feuil1!$C$1:$BL$10,7,FALSE)</f>
        <v>-22</v>
      </c>
      <c r="AH50" s="3">
        <f>T50-HLOOKUP(X50,Feuil1!$C$1:$BL$10,8,FALSE)</f>
        <v>-37</v>
      </c>
      <c r="AI50" s="3">
        <f>T50-HLOOKUP(X50,Feuil1!$C$1:$BL$10,9,FALSE)</f>
        <v>-57</v>
      </c>
      <c r="AJ50" s="5">
        <f>T50-HLOOKUP(X50,Feuil1!$C$1:$BL$10,10,FALSE)</f>
        <v>-907</v>
      </c>
      <c r="AQ50" s="5" t="str">
        <f t="shared" si="26"/>
        <v>IRG +</v>
      </c>
    </row>
    <row r="51" spans="1:55" ht="21" hidden="1" x14ac:dyDescent="0.2">
      <c r="A51" s="12" t="s">
        <v>69</v>
      </c>
      <c r="B51" s="18" t="s">
        <v>71</v>
      </c>
      <c r="C51" s="19" t="s">
        <v>72</v>
      </c>
      <c r="D51" s="61">
        <v>19</v>
      </c>
      <c r="E51" s="35">
        <v>142218</v>
      </c>
      <c r="F51" s="20" t="s">
        <v>939</v>
      </c>
      <c r="G51" s="20" t="s">
        <v>574</v>
      </c>
      <c r="H51" s="57">
        <v>1997</v>
      </c>
      <c r="I51" s="30">
        <v>57.54</v>
      </c>
      <c r="J51" s="19" t="s">
        <v>940</v>
      </c>
      <c r="K51" s="34" t="s">
        <v>69</v>
      </c>
      <c r="L51" s="31">
        <v>38</v>
      </c>
      <c r="M51" s="31">
        <v>41</v>
      </c>
      <c r="N51" s="31">
        <v>43</v>
      </c>
      <c r="O51" s="36">
        <f t="shared" si="19"/>
        <v>43</v>
      </c>
      <c r="P51" s="31">
        <v>44</v>
      </c>
      <c r="Q51" s="31">
        <v>47</v>
      </c>
      <c r="R51" s="31">
        <v>50</v>
      </c>
      <c r="S51" s="36">
        <f t="shared" si="20"/>
        <v>50</v>
      </c>
      <c r="T51" s="37">
        <f t="shared" si="21"/>
        <v>93</v>
      </c>
      <c r="U51" s="64">
        <f t="shared" si="22"/>
        <v>-22.08</v>
      </c>
      <c r="V51" s="41" t="str">
        <f t="shared" si="23"/>
        <v>IRG +</v>
      </c>
      <c r="W51" s="33">
        <f t="shared" si="24"/>
        <v>3</v>
      </c>
      <c r="X51" s="40" t="str">
        <f>IF(I51="","",IF(A51="H",IF(OR(H51="SEN",H51&lt;1995),VLOOKUP(I51,Feuil1!$A$11:$F$29,6),IF(AND(H51&gt;1994,H51&lt;1998),VLOOKUP(I51,Feuil1!$A$11:$F$29,5),IF(AND(H51&gt;1997,H51&lt;2000),VLOOKUP(I51,Feuil1!$A$11:$F$29,4),IF(AND(H51&gt;1999,H51&lt;2002),VLOOKUP(I51,Feuil1!$A$11:$F$29,3),VLOOKUP(I51,Feuil1!$A$11:$F$29,2))))),IF(OR(H51="SEN",H51&lt;1995),VLOOKUP(I51,Feuil1!$G$11:$L$25,6),IF(AND(H51&gt;1994,H51&lt;1998),VLOOKUP(I51,Feuil1!$G$11:$L$25,5),IF(AND(H51&gt;1997,H51&lt;2000),VLOOKUP(I51,Feuil1!$G$11:$L$25,4),IF(AND(H51&gt;1999,H51&lt;2002),VLOOKUP(I51,Feuil1!$G$11:$L$25,3),VLOOKUP(I51,Feuil1!$G$11:$L$25,2)))))))</f>
        <v>FJ58</v>
      </c>
      <c r="Y51" s="39">
        <f t="shared" si="25"/>
        <v>131.69929964490248</v>
      </c>
      <c r="Z51" s="45"/>
      <c r="AA51" s="45" t="s">
        <v>12</v>
      </c>
      <c r="AB51" s="3">
        <f>T51-HLOOKUP(X51,Feuil1!$C$1:$BL$10,2,FALSE)</f>
        <v>33</v>
      </c>
      <c r="AC51" s="3">
        <f>T51-HLOOKUP(X51,Feuil1!$C$1:$BL$10,3,FALSE)</f>
        <v>23</v>
      </c>
      <c r="AD51" s="3">
        <f>T51-HLOOKUP(X51,Feuil1!$C$1:$BL$10,4,FALSE)</f>
        <v>13</v>
      </c>
      <c r="AE51" s="3">
        <f>T51-HLOOKUP(X51,Feuil1!$C$1:$BL$10,5,FALSE)</f>
        <v>3</v>
      </c>
      <c r="AF51" s="3">
        <f>T51-HLOOKUP(X51,Feuil1!$C$1:$BL$10,6,FALSE)</f>
        <v>-7</v>
      </c>
      <c r="AG51" s="3">
        <f>T51-HLOOKUP(X51,Feuil1!$C$1:$BL$10,7,FALSE)</f>
        <v>-22</v>
      </c>
      <c r="AH51" s="3">
        <f>T51-HLOOKUP(X51,Feuil1!$C$1:$BL$10,8,FALSE)</f>
        <v>-37</v>
      </c>
      <c r="AI51" s="3">
        <f>T51-HLOOKUP(X51,Feuil1!$C$1:$BL$10,9,FALSE)</f>
        <v>-57</v>
      </c>
      <c r="AJ51" s="5">
        <f>T51-HLOOKUP(X51,Feuil1!$C$1:$BL$10,10,FALSE)</f>
        <v>-907</v>
      </c>
      <c r="AQ51" s="5" t="str">
        <f t="shared" si="26"/>
        <v>IRG +</v>
      </c>
    </row>
    <row r="52" spans="1:55" ht="21" hidden="1" x14ac:dyDescent="0.2">
      <c r="A52" s="12" t="s">
        <v>69</v>
      </c>
      <c r="B52" s="18" t="s">
        <v>71</v>
      </c>
      <c r="C52" s="19" t="s">
        <v>72</v>
      </c>
      <c r="D52" s="61">
        <v>20</v>
      </c>
      <c r="E52" s="35">
        <v>279492</v>
      </c>
      <c r="F52" s="24" t="s">
        <v>947</v>
      </c>
      <c r="G52" s="24" t="s">
        <v>585</v>
      </c>
      <c r="H52" s="58">
        <v>1996</v>
      </c>
      <c r="I52" s="30">
        <v>56.95</v>
      </c>
      <c r="J52" s="19" t="s">
        <v>948</v>
      </c>
      <c r="K52" s="34" t="s">
        <v>69</v>
      </c>
      <c r="L52" s="31">
        <v>35</v>
      </c>
      <c r="M52" s="31">
        <v>40</v>
      </c>
      <c r="N52" s="31">
        <v>43</v>
      </c>
      <c r="O52" s="36">
        <f t="shared" si="19"/>
        <v>43</v>
      </c>
      <c r="P52" s="31">
        <v>40</v>
      </c>
      <c r="Q52" s="31">
        <v>45</v>
      </c>
      <c r="R52" s="31">
        <v>48</v>
      </c>
      <c r="S52" s="36">
        <f t="shared" si="20"/>
        <v>48</v>
      </c>
      <c r="T52" s="37">
        <f t="shared" si="21"/>
        <v>91</v>
      </c>
      <c r="U52" s="64">
        <f t="shared" si="22"/>
        <v>-22.900000000000006</v>
      </c>
      <c r="V52" s="41" t="str">
        <f t="shared" si="23"/>
        <v>IRG +</v>
      </c>
      <c r="W52" s="33">
        <f t="shared" si="24"/>
        <v>1</v>
      </c>
      <c r="X52" s="40" t="str">
        <f>IF(I52="","",IF(A52="H",IF(OR(H52="SEN",H52&lt;1995),VLOOKUP(I52,Feuil1!$A$11:$F$29,6),IF(AND(H52&gt;1994,H52&lt;1998),VLOOKUP(I52,Feuil1!$A$11:$F$29,5),IF(AND(H52&gt;1997,H52&lt;2000),VLOOKUP(I52,Feuil1!$A$11:$F$29,4),IF(AND(H52&gt;1999,H52&lt;2002),VLOOKUP(I52,Feuil1!$A$11:$F$29,3),VLOOKUP(I52,Feuil1!$A$11:$F$29,2))))),IF(OR(H52="SEN",H52&lt;1995),VLOOKUP(I52,Feuil1!$G$11:$L$25,6),IF(AND(H52&gt;1994,H52&lt;1998),VLOOKUP(I52,Feuil1!$G$11:$L$25,5),IF(AND(H52&gt;1997,H52&lt;2000),VLOOKUP(I52,Feuil1!$G$11:$L$25,4),IF(AND(H52&gt;1999,H52&lt;2002),VLOOKUP(I52,Feuil1!$G$11:$L$25,3),VLOOKUP(I52,Feuil1!$G$11:$L$25,2)))))))</f>
        <v>FJ58</v>
      </c>
      <c r="Y52" s="39">
        <f t="shared" si="25"/>
        <v>129.85425133741771</v>
      </c>
      <c r="Z52" s="45"/>
      <c r="AA52" s="45" t="s">
        <v>12</v>
      </c>
      <c r="AB52" s="3">
        <f>T52-HLOOKUP(X52,Feuil1!$C$1:$BL$10,2,FALSE)</f>
        <v>31</v>
      </c>
      <c r="AC52" s="3">
        <f>T52-HLOOKUP(X52,Feuil1!$C$1:$BL$10,3,FALSE)</f>
        <v>21</v>
      </c>
      <c r="AD52" s="3">
        <f>T52-HLOOKUP(X52,Feuil1!$C$1:$BL$10,4,FALSE)</f>
        <v>11</v>
      </c>
      <c r="AE52" s="3">
        <f>T52-HLOOKUP(X52,Feuil1!$C$1:$BL$10,5,FALSE)</f>
        <v>1</v>
      </c>
      <c r="AF52" s="3">
        <f>T52-HLOOKUP(X52,Feuil1!$C$1:$BL$10,6,FALSE)</f>
        <v>-9</v>
      </c>
      <c r="AG52" s="3">
        <f>T52-HLOOKUP(X52,Feuil1!$C$1:$BL$10,7,FALSE)</f>
        <v>-24</v>
      </c>
      <c r="AH52" s="3">
        <f>T52-HLOOKUP(X52,Feuil1!$C$1:$BL$10,8,FALSE)</f>
        <v>-39</v>
      </c>
      <c r="AI52" s="3">
        <f>T52-HLOOKUP(X52,Feuil1!$C$1:$BL$10,9,FALSE)</f>
        <v>-59</v>
      </c>
      <c r="AJ52" s="5">
        <f>T52-HLOOKUP(X52,Feuil1!$C$1:$BL$10,10,FALSE)</f>
        <v>-909</v>
      </c>
      <c r="AQ52" s="5" t="str">
        <f t="shared" si="26"/>
        <v>IRG +</v>
      </c>
    </row>
    <row r="53" spans="1:55" ht="21" hidden="1" x14ac:dyDescent="0.2">
      <c r="A53" s="12" t="s">
        <v>69</v>
      </c>
      <c r="B53" s="18" t="s">
        <v>721</v>
      </c>
      <c r="C53" s="19" t="s">
        <v>775</v>
      </c>
      <c r="D53" s="61">
        <v>21</v>
      </c>
      <c r="E53" s="35">
        <v>381459</v>
      </c>
      <c r="F53" s="24" t="s">
        <v>273</v>
      </c>
      <c r="G53" s="24" t="s">
        <v>779</v>
      </c>
      <c r="H53" s="51">
        <v>1995</v>
      </c>
      <c r="I53" s="30">
        <v>56.8</v>
      </c>
      <c r="J53" s="19" t="s">
        <v>780</v>
      </c>
      <c r="K53" s="34" t="s">
        <v>69</v>
      </c>
      <c r="L53" s="31">
        <v>37</v>
      </c>
      <c r="M53" s="31">
        <v>-40</v>
      </c>
      <c r="N53" s="31">
        <v>-40</v>
      </c>
      <c r="O53" s="36">
        <f t="shared" si="19"/>
        <v>37</v>
      </c>
      <c r="P53" s="31">
        <v>-45</v>
      </c>
      <c r="Q53" s="31">
        <v>47</v>
      </c>
      <c r="R53" s="31">
        <v>50</v>
      </c>
      <c r="S53" s="36">
        <f t="shared" si="20"/>
        <v>50</v>
      </c>
      <c r="T53" s="37">
        <f t="shared" si="21"/>
        <v>87</v>
      </c>
      <c r="U53" s="64">
        <f t="shared" si="22"/>
        <v>-26.599999999999994</v>
      </c>
      <c r="V53" s="41" t="str">
        <f t="shared" si="23"/>
        <v>REG +</v>
      </c>
      <c r="W53" s="33">
        <f t="shared" si="24"/>
        <v>7</v>
      </c>
      <c r="X53" s="40" t="str">
        <f>IF(I53="","",IF(A53="H",IF(OR(H53="SEN",H53&lt;1995),VLOOKUP(I53,Feuil1!$A$11:$F$29,6),IF(AND(H53&gt;1994,H53&lt;1998),VLOOKUP(I53,Feuil1!$A$11:$F$29,5),IF(AND(H53&gt;1997,H53&lt;2000),VLOOKUP(I53,Feuil1!$A$11:$F$29,4),IF(AND(H53&gt;1999,H53&lt;2002),VLOOKUP(I53,Feuil1!$A$11:$F$29,3),VLOOKUP(I53,Feuil1!$A$11:$F$29,2))))),IF(OR(H53="SEN",H53&lt;1995),VLOOKUP(I53,Feuil1!$G$11:$L$25,6),IF(AND(H53&gt;1994,H53&lt;1998),VLOOKUP(I53,Feuil1!$G$11:$L$25,5),IF(AND(H53&gt;1997,H53&lt;2000),VLOOKUP(I53,Feuil1!$G$11:$L$25,4),IF(AND(H53&gt;1999,H53&lt;2002),VLOOKUP(I53,Feuil1!$G$11:$L$25,3),VLOOKUP(I53,Feuil1!$G$11:$L$25,2)))))))</f>
        <v>FJ58</v>
      </c>
      <c r="Y53" s="39">
        <f t="shared" si="25"/>
        <v>124.39069497706652</v>
      </c>
      <c r="Z53" s="45"/>
      <c r="AA53" s="45" t="s">
        <v>12</v>
      </c>
      <c r="AB53" s="3">
        <f>T53-HLOOKUP(X53,Feuil1!$C$1:$BL$10,2,FALSE)</f>
        <v>27</v>
      </c>
      <c r="AC53" s="3">
        <f>T53-HLOOKUP(X53,Feuil1!$C$1:$BL$10,3,FALSE)</f>
        <v>17</v>
      </c>
      <c r="AD53" s="3">
        <f>T53-HLOOKUP(X53,Feuil1!$C$1:$BL$10,4,FALSE)</f>
        <v>7</v>
      </c>
      <c r="AE53" s="3">
        <f>T53-HLOOKUP(X53,Feuil1!$C$1:$BL$10,5,FALSE)</f>
        <v>-3</v>
      </c>
      <c r="AF53" s="3">
        <f>T53-HLOOKUP(X53,Feuil1!$C$1:$BL$10,6,FALSE)</f>
        <v>-13</v>
      </c>
      <c r="AG53" s="3">
        <f>T53-HLOOKUP(X53,Feuil1!$C$1:$BL$10,7,FALSE)</f>
        <v>-28</v>
      </c>
      <c r="AH53" s="3">
        <f>T53-HLOOKUP(X53,Feuil1!$C$1:$BL$10,8,FALSE)</f>
        <v>-43</v>
      </c>
      <c r="AI53" s="3">
        <f>T53-HLOOKUP(X53,Feuil1!$C$1:$BL$10,9,FALSE)</f>
        <v>-63</v>
      </c>
      <c r="AJ53" s="5">
        <f>T53-HLOOKUP(X53,Feuil1!$C$1:$BL$10,10,FALSE)</f>
        <v>-913</v>
      </c>
      <c r="AQ53" s="5" t="str">
        <f t="shared" si="26"/>
        <v>REG +</v>
      </c>
    </row>
    <row r="54" spans="1:55" ht="21" hidden="1" x14ac:dyDescent="0.2">
      <c r="A54" s="12" t="s">
        <v>69</v>
      </c>
      <c r="B54" s="18" t="s">
        <v>536</v>
      </c>
      <c r="C54" s="19" t="s">
        <v>545</v>
      </c>
      <c r="D54" s="61">
        <v>22</v>
      </c>
      <c r="E54" s="35">
        <v>383457</v>
      </c>
      <c r="F54" s="20" t="s">
        <v>573</v>
      </c>
      <c r="G54" s="20" t="s">
        <v>574</v>
      </c>
      <c r="H54" s="51">
        <v>1995</v>
      </c>
      <c r="I54" s="30">
        <v>55.8</v>
      </c>
      <c r="J54" s="19" t="s">
        <v>557</v>
      </c>
      <c r="K54" s="34" t="s">
        <v>69</v>
      </c>
      <c r="L54" s="31">
        <v>-31</v>
      </c>
      <c r="M54" s="31">
        <v>-32</v>
      </c>
      <c r="N54" s="31">
        <v>34</v>
      </c>
      <c r="O54" s="36">
        <f t="shared" si="19"/>
        <v>34</v>
      </c>
      <c r="P54" s="31">
        <v>36</v>
      </c>
      <c r="Q54" s="31">
        <v>41</v>
      </c>
      <c r="R54" s="31">
        <v>46</v>
      </c>
      <c r="S54" s="36">
        <f t="shared" si="20"/>
        <v>46</v>
      </c>
      <c r="T54" s="37">
        <f t="shared" si="21"/>
        <v>80</v>
      </c>
      <c r="U54" s="64">
        <f t="shared" si="22"/>
        <v>-31.599999999999994</v>
      </c>
      <c r="V54" s="41" t="str">
        <f t="shared" si="23"/>
        <v>REG +</v>
      </c>
      <c r="W54" s="33">
        <f t="shared" si="24"/>
        <v>0</v>
      </c>
      <c r="X54" s="40" t="str">
        <f>IF(I54="","",IF(A54="H",IF(OR(H54="SEN",H54&lt;1995),VLOOKUP(I54,Feuil1!$A$11:$F$29,6),IF(AND(H54&gt;1994,H54&lt;1998),VLOOKUP(I54,Feuil1!$A$11:$F$29,5),IF(AND(H54&gt;1997,H54&lt;2000),VLOOKUP(I54,Feuil1!$A$11:$F$29,4),IF(AND(H54&gt;1999,H54&lt;2002),VLOOKUP(I54,Feuil1!$A$11:$F$29,3),VLOOKUP(I54,Feuil1!$A$11:$F$29,2))))),IF(OR(H54="SEN",H54&lt;1995),VLOOKUP(I54,Feuil1!$G$11:$L$25,6),IF(AND(H54&gt;1994,H54&lt;1998),VLOOKUP(I54,Feuil1!$G$11:$L$25,5),IF(AND(H54&gt;1997,H54&lt;2000),VLOOKUP(I54,Feuil1!$G$11:$L$25,4),IF(AND(H54&gt;1999,H54&lt;2002),VLOOKUP(I54,Feuil1!$G$11:$L$25,3),VLOOKUP(I54,Feuil1!$G$11:$L$25,2)))))))</f>
        <v>FJ58</v>
      </c>
      <c r="Y54" s="39">
        <f t="shared" si="25"/>
        <v>115.92327559348152</v>
      </c>
      <c r="Z54" s="45"/>
      <c r="AA54" s="45" t="s">
        <v>12</v>
      </c>
      <c r="AB54" s="3">
        <f>T54-HLOOKUP(X54,Feuil1!$C$1:$BL$10,2,FALSE)</f>
        <v>20</v>
      </c>
      <c r="AC54" s="3">
        <f>T54-HLOOKUP(X54,Feuil1!$C$1:$BL$10,3,FALSE)</f>
        <v>10</v>
      </c>
      <c r="AD54" s="3">
        <f>T54-HLOOKUP(X54,Feuil1!$C$1:$BL$10,4,FALSE)</f>
        <v>0</v>
      </c>
      <c r="AE54" s="3">
        <f>T54-HLOOKUP(X54,Feuil1!$C$1:$BL$10,5,FALSE)</f>
        <v>-10</v>
      </c>
      <c r="AF54" s="3">
        <f>T54-HLOOKUP(X54,Feuil1!$C$1:$BL$10,6,FALSE)</f>
        <v>-20</v>
      </c>
      <c r="AG54" s="3">
        <f>T54-HLOOKUP(X54,Feuil1!$C$1:$BL$10,7,FALSE)</f>
        <v>-35</v>
      </c>
      <c r="AH54" s="3">
        <f>T54-HLOOKUP(X54,Feuil1!$C$1:$BL$10,8,FALSE)</f>
        <v>-50</v>
      </c>
      <c r="AI54" s="3">
        <f>T54-HLOOKUP(X54,Feuil1!$C$1:$BL$10,9,FALSE)</f>
        <v>-70</v>
      </c>
      <c r="AJ54" s="5">
        <f>T54-HLOOKUP(X54,Feuil1!$C$1:$BL$10,10,FALSE)</f>
        <v>-920</v>
      </c>
      <c r="AQ54" s="5" t="str">
        <f t="shared" si="26"/>
        <v>REG +</v>
      </c>
    </row>
    <row r="55" spans="1:55" ht="21" hidden="1" x14ac:dyDescent="0.2">
      <c r="A55" s="12" t="s">
        <v>69</v>
      </c>
      <c r="B55" s="18" t="s">
        <v>298</v>
      </c>
      <c r="C55" s="19" t="s">
        <v>404</v>
      </c>
      <c r="D55" s="61">
        <v>23</v>
      </c>
      <c r="E55" s="35">
        <v>362262</v>
      </c>
      <c r="F55" s="20" t="s">
        <v>440</v>
      </c>
      <c r="G55" s="20" t="s">
        <v>441</v>
      </c>
      <c r="H55" s="51">
        <v>1997</v>
      </c>
      <c r="I55" s="30">
        <v>55.1</v>
      </c>
      <c r="J55" s="19" t="s">
        <v>412</v>
      </c>
      <c r="K55" s="34" t="s">
        <v>69</v>
      </c>
      <c r="L55" s="31">
        <v>27</v>
      </c>
      <c r="M55" s="31">
        <v>30</v>
      </c>
      <c r="N55" s="31">
        <v>-32</v>
      </c>
      <c r="O55" s="36">
        <f t="shared" si="19"/>
        <v>30</v>
      </c>
      <c r="P55" s="31">
        <v>44</v>
      </c>
      <c r="Q55" s="31">
        <v>-47</v>
      </c>
      <c r="R55" s="31">
        <v>48</v>
      </c>
      <c r="S55" s="36">
        <f t="shared" si="20"/>
        <v>48</v>
      </c>
      <c r="T55" s="37">
        <f t="shared" si="21"/>
        <v>78</v>
      </c>
      <c r="U55" s="64">
        <f t="shared" si="22"/>
        <v>-32.200000000000003</v>
      </c>
      <c r="V55" s="41" t="str">
        <f t="shared" si="23"/>
        <v>DEP +</v>
      </c>
      <c r="W55" s="33">
        <f t="shared" si="24"/>
        <v>8</v>
      </c>
      <c r="X55" s="40" t="str">
        <f>IF(I55="","",IF(A55="H",IF(OR(H55="SEN",H55&lt;1995),VLOOKUP(I55,Feuil1!$A$11:$F$29,6),IF(AND(H55&gt;1994,H55&lt;1998),VLOOKUP(I55,Feuil1!$A$11:$F$29,5),IF(AND(H55&gt;1997,H55&lt;2000),VLOOKUP(I55,Feuil1!$A$11:$F$29,4),IF(AND(H55&gt;1999,H55&lt;2002),VLOOKUP(I55,Feuil1!$A$11:$F$29,3),VLOOKUP(I55,Feuil1!$A$11:$F$29,2))))),IF(OR(H55="SEN",H55&lt;1995),VLOOKUP(I55,Feuil1!$G$11:$L$25,6),IF(AND(H55&gt;1994,H55&lt;1998),VLOOKUP(I55,Feuil1!$G$11:$L$25,5),IF(AND(H55&gt;1997,H55&lt;2000),VLOOKUP(I55,Feuil1!$G$11:$L$25,4),IF(AND(H55&gt;1999,H55&lt;2002),VLOOKUP(I55,Feuil1!$G$11:$L$25,3),VLOOKUP(I55,Feuil1!$G$11:$L$25,2)))))))</f>
        <v>FJ58</v>
      </c>
      <c r="Y55" s="39">
        <f t="shared" si="25"/>
        <v>114.12240133959217</v>
      </c>
      <c r="Z55" s="45"/>
      <c r="AA55" s="45" t="s">
        <v>12</v>
      </c>
      <c r="AB55" s="3">
        <f>T55-HLOOKUP(X55,Feuil1!$C$1:$BL$10,2,FALSE)</f>
        <v>18</v>
      </c>
      <c r="AC55" s="3">
        <f>T55-HLOOKUP(X55,Feuil1!$C$1:$BL$10,3,FALSE)</f>
        <v>8</v>
      </c>
      <c r="AD55" s="3">
        <f>T55-HLOOKUP(X55,Feuil1!$C$1:$BL$10,4,FALSE)</f>
        <v>-2</v>
      </c>
      <c r="AE55" s="3">
        <f>T55-HLOOKUP(X55,Feuil1!$C$1:$BL$10,5,FALSE)</f>
        <v>-12</v>
      </c>
      <c r="AF55" s="3">
        <f>T55-HLOOKUP(X55,Feuil1!$C$1:$BL$10,6,FALSE)</f>
        <v>-22</v>
      </c>
      <c r="AG55" s="3">
        <f>T55-HLOOKUP(X55,Feuil1!$C$1:$BL$10,7,FALSE)</f>
        <v>-37</v>
      </c>
      <c r="AH55" s="3">
        <f>T55-HLOOKUP(X55,Feuil1!$C$1:$BL$10,8,FALSE)</f>
        <v>-52</v>
      </c>
      <c r="AI55" s="3">
        <f>T55-HLOOKUP(X55,Feuil1!$C$1:$BL$10,9,FALSE)</f>
        <v>-72</v>
      </c>
      <c r="AJ55" s="5">
        <f>T55-HLOOKUP(X55,Feuil1!$C$1:$BL$10,10,FALSE)</f>
        <v>-922</v>
      </c>
      <c r="AQ55" s="5" t="str">
        <f t="shared" si="26"/>
        <v>DEP +</v>
      </c>
    </row>
    <row r="56" spans="1:55" ht="21" hidden="1" x14ac:dyDescent="0.2">
      <c r="A56" s="12" t="s">
        <v>69</v>
      </c>
      <c r="B56" s="67" t="s">
        <v>298</v>
      </c>
      <c r="C56" s="68" t="s">
        <v>476</v>
      </c>
      <c r="D56" s="69">
        <v>24</v>
      </c>
      <c r="E56" s="70">
        <v>386134</v>
      </c>
      <c r="F56" s="71" t="s">
        <v>509</v>
      </c>
      <c r="G56" s="71" t="s">
        <v>510</v>
      </c>
      <c r="H56" s="72">
        <v>1997</v>
      </c>
      <c r="I56" s="73">
        <v>53.4</v>
      </c>
      <c r="J56" s="68" t="s">
        <v>478</v>
      </c>
      <c r="K56" s="74" t="s">
        <v>69</v>
      </c>
      <c r="L56" s="75">
        <v>30</v>
      </c>
      <c r="M56" s="75">
        <v>-32</v>
      </c>
      <c r="N56" s="75">
        <v>32</v>
      </c>
      <c r="O56" s="76">
        <f t="shared" si="19"/>
        <v>32</v>
      </c>
      <c r="P56" s="75">
        <v>42</v>
      </c>
      <c r="Q56" s="75">
        <v>45</v>
      </c>
      <c r="R56" s="75">
        <v>-48</v>
      </c>
      <c r="S56" s="76">
        <f t="shared" si="20"/>
        <v>45</v>
      </c>
      <c r="T56" s="77">
        <f t="shared" si="21"/>
        <v>77</v>
      </c>
      <c r="U56" s="83">
        <f t="shared" si="22"/>
        <v>-29.799999999999997</v>
      </c>
      <c r="V56" s="79" t="str">
        <f t="shared" si="23"/>
        <v>DEP +</v>
      </c>
      <c r="W56" s="80">
        <f t="shared" si="24"/>
        <v>7</v>
      </c>
      <c r="X56" s="81" t="str">
        <f>IF(I56="","",IF(A56="H",IF(OR(H56="SEN",H56&lt;1995),VLOOKUP(I56,Feuil1!$A$11:$F$29,6),IF(AND(H56&gt;1994,H56&lt;1998),VLOOKUP(I56,Feuil1!$A$11:$F$29,5),IF(AND(H56&gt;1997,H56&lt;2000),VLOOKUP(I56,Feuil1!$A$11:$F$29,4),IF(AND(H56&gt;1999,H56&lt;2002),VLOOKUP(I56,Feuil1!$A$11:$F$29,3),VLOOKUP(I56,Feuil1!$A$11:$F$29,2))))),IF(OR(H56="SEN",H56&lt;1995),VLOOKUP(I56,Feuil1!$G$11:$L$25,6),IF(AND(H56&gt;1994,H56&lt;1998),VLOOKUP(I56,Feuil1!$G$11:$L$25,5),IF(AND(H56&gt;1997,H56&lt;2000),VLOOKUP(I56,Feuil1!$G$11:$L$25,4),IF(AND(H56&gt;1999,H56&lt;2002),VLOOKUP(I56,Feuil1!$G$11:$L$25,3),VLOOKUP(I56,Feuil1!$G$11:$L$25,2)))))))</f>
        <v>FJ58</v>
      </c>
      <c r="Y56" s="39">
        <f t="shared" si="25"/>
        <v>115.45578654602501</v>
      </c>
      <c r="Z56" s="45"/>
      <c r="AA56" s="45" t="s">
        <v>12</v>
      </c>
      <c r="AB56" s="3">
        <f>T56-HLOOKUP(X56,Feuil1!$C$1:$BL$10,2,FALSE)</f>
        <v>17</v>
      </c>
      <c r="AC56" s="3">
        <f>T56-HLOOKUP(X56,Feuil1!$C$1:$BL$10,3,FALSE)</f>
        <v>7</v>
      </c>
      <c r="AD56" s="3">
        <f>T56-HLOOKUP(X56,Feuil1!$C$1:$BL$10,4,FALSE)</f>
        <v>-3</v>
      </c>
      <c r="AE56" s="3">
        <f>T56-HLOOKUP(X56,Feuil1!$C$1:$BL$10,5,FALSE)</f>
        <v>-13</v>
      </c>
      <c r="AF56" s="3">
        <f>T56-HLOOKUP(X56,Feuil1!$C$1:$BL$10,6,FALSE)</f>
        <v>-23</v>
      </c>
      <c r="AG56" s="3">
        <f>T56-HLOOKUP(X56,Feuil1!$C$1:$BL$10,7,FALSE)</f>
        <v>-38</v>
      </c>
      <c r="AH56" s="3">
        <f>T56-HLOOKUP(X56,Feuil1!$C$1:$BL$10,8,FALSE)</f>
        <v>-53</v>
      </c>
      <c r="AI56" s="3">
        <f>T56-HLOOKUP(X56,Feuil1!$C$1:$BL$10,9,FALSE)</f>
        <v>-73</v>
      </c>
      <c r="AJ56" s="5">
        <f>T56-HLOOKUP(X56,Feuil1!$C$1:$BL$10,10,FALSE)</f>
        <v>-923</v>
      </c>
      <c r="AQ56" s="5" t="str">
        <f t="shared" si="26"/>
        <v>DEP +</v>
      </c>
      <c r="BC56" s="13"/>
    </row>
    <row r="57" spans="1:55" ht="21" hidden="1" x14ac:dyDescent="0.2">
      <c r="A57" s="12" t="s">
        <v>69</v>
      </c>
      <c r="B57" s="18" t="s">
        <v>649</v>
      </c>
      <c r="C57" s="23" t="s">
        <v>648</v>
      </c>
      <c r="D57" s="61">
        <v>25</v>
      </c>
      <c r="E57" s="35">
        <v>391831</v>
      </c>
      <c r="F57" s="20" t="s">
        <v>643</v>
      </c>
      <c r="G57" s="20" t="s">
        <v>208</v>
      </c>
      <c r="H57" s="51">
        <v>1996</v>
      </c>
      <c r="I57" s="30">
        <v>53.74</v>
      </c>
      <c r="J57" s="19" t="s">
        <v>644</v>
      </c>
      <c r="K57" s="34" t="s">
        <v>69</v>
      </c>
      <c r="L57" s="31">
        <v>25</v>
      </c>
      <c r="M57" s="31">
        <v>28</v>
      </c>
      <c r="N57" s="31">
        <v>30</v>
      </c>
      <c r="O57" s="36">
        <f t="shared" si="19"/>
        <v>30</v>
      </c>
      <c r="P57" s="31">
        <v>30</v>
      </c>
      <c r="Q57" s="31">
        <v>35</v>
      </c>
      <c r="R57" s="31">
        <v>40</v>
      </c>
      <c r="S57" s="36">
        <f t="shared" si="20"/>
        <v>40</v>
      </c>
      <c r="T57" s="37">
        <f t="shared" si="21"/>
        <v>70</v>
      </c>
      <c r="U57" s="64">
        <f t="shared" si="22"/>
        <v>-37.480000000000004</v>
      </c>
      <c r="V57" s="41" t="str">
        <f t="shared" si="23"/>
        <v>DEP +</v>
      </c>
      <c r="W57" s="33">
        <f t="shared" si="24"/>
        <v>0</v>
      </c>
      <c r="X57" s="40" t="str">
        <f>IF(I57="","",IF(A57="H",IF(OR(H57="SEN",H57&lt;1995),VLOOKUP(I57,Feuil1!$A$11:$F$29,6),IF(AND(H57&gt;1994,H57&lt;1998),VLOOKUP(I57,Feuil1!$A$11:$F$29,5),IF(AND(H57&gt;1997,H57&lt;2000),VLOOKUP(I57,Feuil1!$A$11:$F$29,4),IF(AND(H57&gt;1999,H57&lt;2002),VLOOKUP(I57,Feuil1!$A$11:$F$29,3),VLOOKUP(I57,Feuil1!$A$11:$F$29,2))))),IF(OR(H57="SEN",H57&lt;1995),VLOOKUP(I57,Feuil1!$G$11:$L$25,6),IF(AND(H57&gt;1994,H57&lt;1998),VLOOKUP(I57,Feuil1!$G$11:$L$25,5),IF(AND(H57&gt;1997,H57&lt;2000),VLOOKUP(I57,Feuil1!$G$11:$L$25,4),IF(AND(H57&gt;1999,H57&lt;2002),VLOOKUP(I57,Feuil1!$G$11:$L$25,3),VLOOKUP(I57,Feuil1!$G$11:$L$25,2)))))))</f>
        <v>FJ58</v>
      </c>
      <c r="Y57" s="39">
        <f t="shared" si="25"/>
        <v>104.43343766161037</v>
      </c>
      <c r="Z57" s="45"/>
      <c r="AA57" s="45" t="s">
        <v>12</v>
      </c>
      <c r="AB57" s="3">
        <f>T57-HLOOKUP(X57,Feuil1!$C$1:$BL$10,2,FALSE)</f>
        <v>10</v>
      </c>
      <c r="AC57" s="3">
        <f>T57-HLOOKUP(X57,Feuil1!$C$1:$BL$10,3,FALSE)</f>
        <v>0</v>
      </c>
      <c r="AD57" s="3">
        <f>T57-HLOOKUP(X57,Feuil1!$C$1:$BL$10,4,FALSE)</f>
        <v>-10</v>
      </c>
      <c r="AE57" s="3">
        <f>T57-HLOOKUP(X57,Feuil1!$C$1:$BL$10,5,FALSE)</f>
        <v>-20</v>
      </c>
      <c r="AF57" s="3">
        <f>T57-HLOOKUP(X57,Feuil1!$C$1:$BL$10,6,FALSE)</f>
        <v>-30</v>
      </c>
      <c r="AG57" s="3">
        <f>T57-HLOOKUP(X57,Feuil1!$C$1:$BL$10,7,FALSE)</f>
        <v>-45</v>
      </c>
      <c r="AH57" s="3">
        <f>T57-HLOOKUP(X57,Feuil1!$C$1:$BL$10,8,FALSE)</f>
        <v>-60</v>
      </c>
      <c r="AI57" s="3">
        <f>T57-HLOOKUP(X57,Feuil1!$C$1:$BL$10,9,FALSE)</f>
        <v>-80</v>
      </c>
      <c r="AJ57" s="5">
        <f>T57-HLOOKUP(X57,Feuil1!$C$1:$BL$10,10,FALSE)</f>
        <v>-930</v>
      </c>
      <c r="AQ57" s="5" t="str">
        <f t="shared" si="26"/>
        <v>DEP +</v>
      </c>
    </row>
    <row r="58" spans="1:55" ht="21" hidden="1" x14ac:dyDescent="0.2">
      <c r="A58" s="12" t="s">
        <v>69</v>
      </c>
      <c r="B58" s="18" t="s">
        <v>298</v>
      </c>
      <c r="C58" s="19" t="s">
        <v>299</v>
      </c>
      <c r="D58" s="61">
        <v>26</v>
      </c>
      <c r="E58" s="35">
        <v>390557</v>
      </c>
      <c r="F58" s="20" t="s">
        <v>313</v>
      </c>
      <c r="G58" s="20" t="s">
        <v>314</v>
      </c>
      <c r="H58" s="51">
        <v>1995</v>
      </c>
      <c r="I58" s="30">
        <v>56.7</v>
      </c>
      <c r="J58" s="19" t="s">
        <v>315</v>
      </c>
      <c r="K58" s="34" t="s">
        <v>69</v>
      </c>
      <c r="L58" s="31">
        <v>25</v>
      </c>
      <c r="M58" s="31">
        <v>30</v>
      </c>
      <c r="N58" s="31">
        <v>-33</v>
      </c>
      <c r="O58" s="36">
        <f t="shared" si="19"/>
        <v>30</v>
      </c>
      <c r="P58" s="31">
        <v>32</v>
      </c>
      <c r="Q58" s="31">
        <v>35</v>
      </c>
      <c r="R58" s="31">
        <v>40</v>
      </c>
      <c r="S58" s="36">
        <f t="shared" si="20"/>
        <v>40</v>
      </c>
      <c r="T58" s="37">
        <f t="shared" si="21"/>
        <v>70</v>
      </c>
      <c r="U58" s="64">
        <f t="shared" si="22"/>
        <v>-43.400000000000006</v>
      </c>
      <c r="V58" s="41" t="str">
        <f t="shared" si="23"/>
        <v>DEP +</v>
      </c>
      <c r="W58" s="33">
        <f t="shared" si="24"/>
        <v>0</v>
      </c>
      <c r="X58" s="40" t="str">
        <f>IF(I58="","",IF(A58="H",IF(OR(H58="SEN",H58&lt;1995),VLOOKUP(I58,Feuil1!$A$11:$F$29,6),IF(AND(H58&gt;1994,H58&lt;1998),VLOOKUP(I58,Feuil1!$A$11:$F$29,5),IF(AND(H58&gt;1997,H58&lt;2000),VLOOKUP(I58,Feuil1!$A$11:$F$29,4),IF(AND(H58&gt;1999,H58&lt;2002),VLOOKUP(I58,Feuil1!$A$11:$F$29,3),VLOOKUP(I58,Feuil1!$A$11:$F$29,2))))),IF(OR(H58="SEN",H58&lt;1995),VLOOKUP(I58,Feuil1!$G$11:$L$25,6),IF(AND(H58&gt;1994,H58&lt;1998),VLOOKUP(I58,Feuil1!$G$11:$L$25,5),IF(AND(H58&gt;1997,H58&lt;2000),VLOOKUP(I58,Feuil1!$G$11:$L$25,4),IF(AND(H58&gt;1999,H58&lt;2002),VLOOKUP(I58,Feuil1!$G$11:$L$25,3),VLOOKUP(I58,Feuil1!$G$11:$L$25,2)))))))</f>
        <v>FJ58</v>
      </c>
      <c r="Y58" s="39">
        <f t="shared" si="25"/>
        <v>100.21632852502846</v>
      </c>
      <c r="Z58" s="45"/>
      <c r="AA58" s="45" t="s">
        <v>12</v>
      </c>
      <c r="AB58" s="3">
        <f>T58-HLOOKUP(X58,Feuil1!$C$1:$BL$10,2,FALSE)</f>
        <v>10</v>
      </c>
      <c r="AC58" s="3">
        <f>T58-HLOOKUP(X58,Feuil1!$C$1:$BL$10,3,FALSE)</f>
        <v>0</v>
      </c>
      <c r="AD58" s="3">
        <f>T58-HLOOKUP(X58,Feuil1!$C$1:$BL$10,4,FALSE)</f>
        <v>-10</v>
      </c>
      <c r="AE58" s="3">
        <f>T58-HLOOKUP(X58,Feuil1!$C$1:$BL$10,5,FALSE)</f>
        <v>-20</v>
      </c>
      <c r="AF58" s="3">
        <f>T58-HLOOKUP(X58,Feuil1!$C$1:$BL$10,6,FALSE)</f>
        <v>-30</v>
      </c>
      <c r="AG58" s="3">
        <f>T58-HLOOKUP(X58,Feuil1!$C$1:$BL$10,7,FALSE)</f>
        <v>-45</v>
      </c>
      <c r="AH58" s="3">
        <f>T58-HLOOKUP(X58,Feuil1!$C$1:$BL$10,8,FALSE)</f>
        <v>-60</v>
      </c>
      <c r="AI58" s="3">
        <f>T58-HLOOKUP(X58,Feuil1!$C$1:$BL$10,9,FALSE)</f>
        <v>-80</v>
      </c>
      <c r="AJ58" s="5">
        <f>T58-HLOOKUP(X58,Feuil1!$C$1:$BL$10,10,FALSE)</f>
        <v>-930</v>
      </c>
      <c r="AQ58" s="5" t="str">
        <f t="shared" si="26"/>
        <v>DEP +</v>
      </c>
    </row>
    <row r="59" spans="1:55" ht="21" hidden="1" x14ac:dyDescent="0.2">
      <c r="A59" s="12" t="s">
        <v>69</v>
      </c>
      <c r="B59" s="18" t="s">
        <v>108</v>
      </c>
      <c r="C59" s="19" t="s">
        <v>146</v>
      </c>
      <c r="D59" s="61">
        <v>27</v>
      </c>
      <c r="E59" s="35">
        <v>392420</v>
      </c>
      <c r="F59" s="20" t="s">
        <v>175</v>
      </c>
      <c r="G59" s="20" t="s">
        <v>176</v>
      </c>
      <c r="H59" s="51">
        <v>1995</v>
      </c>
      <c r="I59" s="30">
        <v>55.5</v>
      </c>
      <c r="J59" s="19" t="s">
        <v>149</v>
      </c>
      <c r="K59" s="34" t="s">
        <v>69</v>
      </c>
      <c r="L59" s="31">
        <v>25</v>
      </c>
      <c r="M59" s="31">
        <v>27</v>
      </c>
      <c r="N59" s="31">
        <v>29</v>
      </c>
      <c r="O59" s="36">
        <f t="shared" si="19"/>
        <v>29</v>
      </c>
      <c r="P59" s="31">
        <v>30</v>
      </c>
      <c r="Q59" s="31">
        <v>-33</v>
      </c>
      <c r="R59" s="31">
        <v>33</v>
      </c>
      <c r="S59" s="36">
        <f t="shared" si="20"/>
        <v>33</v>
      </c>
      <c r="T59" s="37">
        <f t="shared" si="21"/>
        <v>62</v>
      </c>
      <c r="U59" s="64">
        <f t="shared" si="22"/>
        <v>-49</v>
      </c>
      <c r="V59" s="41" t="str">
        <f t="shared" si="23"/>
        <v xml:space="preserve">DEB </v>
      </c>
      <c r="W59" s="33">
        <f t="shared" si="24"/>
        <v>2</v>
      </c>
      <c r="X59" s="40" t="str">
        <f>IF(I59="","",IF(A59="H",IF(OR(H59="SEN",H59&lt;1995),VLOOKUP(I59,Feuil1!$A$11:$F$29,6),IF(AND(H59&gt;1994,H59&lt;1998),VLOOKUP(I59,Feuil1!$A$11:$F$29,5),IF(AND(H59&gt;1997,H59&lt;2000),VLOOKUP(I59,Feuil1!$A$11:$F$29,4),IF(AND(H59&gt;1999,H59&lt;2002),VLOOKUP(I59,Feuil1!$A$11:$F$29,3),VLOOKUP(I59,Feuil1!$A$11:$F$29,2))))),IF(OR(H59="SEN",H59&lt;1995),VLOOKUP(I59,Feuil1!$G$11:$L$25,6),IF(AND(H59&gt;1994,H59&lt;1998),VLOOKUP(I59,Feuil1!$G$11:$L$25,5),IF(AND(H59&gt;1997,H59&lt;2000),VLOOKUP(I59,Feuil1!$G$11:$L$25,4),IF(AND(H59&gt;1999,H59&lt;2002),VLOOKUP(I59,Feuil1!$G$11:$L$25,3),VLOOKUP(I59,Feuil1!$G$11:$L$25,2)))))))</f>
        <v>FJ58</v>
      </c>
      <c r="Y59" s="39">
        <f t="shared" si="25"/>
        <v>90.210563999849271</v>
      </c>
      <c r="Z59" s="45"/>
      <c r="AA59" s="45" t="s">
        <v>12</v>
      </c>
      <c r="AB59" s="3">
        <f>T59-HLOOKUP(X59,Feuil1!$C$1:$BL$10,2,FALSE)</f>
        <v>2</v>
      </c>
      <c r="AC59" s="3">
        <f>T59-HLOOKUP(X59,Feuil1!$C$1:$BL$10,3,FALSE)</f>
        <v>-8</v>
      </c>
      <c r="AD59" s="3">
        <f>T59-HLOOKUP(X59,Feuil1!$C$1:$BL$10,4,FALSE)</f>
        <v>-18</v>
      </c>
      <c r="AE59" s="3">
        <f>T59-HLOOKUP(X59,Feuil1!$C$1:$BL$10,5,FALSE)</f>
        <v>-28</v>
      </c>
      <c r="AF59" s="3">
        <f>T59-HLOOKUP(X59,Feuil1!$C$1:$BL$10,6,FALSE)</f>
        <v>-38</v>
      </c>
      <c r="AG59" s="3">
        <f>T59-HLOOKUP(X59,Feuil1!$C$1:$BL$10,7,FALSE)</f>
        <v>-53</v>
      </c>
      <c r="AH59" s="3">
        <f>T59-HLOOKUP(X59,Feuil1!$C$1:$BL$10,8,FALSE)</f>
        <v>-68</v>
      </c>
      <c r="AI59" s="3">
        <f>T59-HLOOKUP(X59,Feuil1!$C$1:$BL$10,9,FALSE)</f>
        <v>-88</v>
      </c>
      <c r="AJ59" s="5">
        <f>T59-HLOOKUP(X59,Feuil1!$C$1:$BL$10,10,FALSE)</f>
        <v>-938</v>
      </c>
      <c r="AQ59" s="5" t="str">
        <f t="shared" si="26"/>
        <v xml:space="preserve">DEB </v>
      </c>
    </row>
    <row r="60" spans="1:55" ht="21" hidden="1" x14ac:dyDescent="0.2">
      <c r="A60" s="12" t="s">
        <v>69</v>
      </c>
      <c r="B60" s="18" t="s">
        <v>721</v>
      </c>
      <c r="C60" s="19" t="s">
        <v>689</v>
      </c>
      <c r="D60" s="61">
        <v>28</v>
      </c>
      <c r="E60" s="35">
        <v>380873</v>
      </c>
      <c r="F60" s="20" t="s">
        <v>706</v>
      </c>
      <c r="G60" s="20" t="s">
        <v>707</v>
      </c>
      <c r="H60" s="51">
        <v>1996</v>
      </c>
      <c r="I60" s="30">
        <v>54.7</v>
      </c>
      <c r="J60" s="19" t="s">
        <v>692</v>
      </c>
      <c r="K60" s="34" t="s">
        <v>69</v>
      </c>
      <c r="L60" s="31">
        <v>23</v>
      </c>
      <c r="M60" s="31">
        <v>-25</v>
      </c>
      <c r="N60" s="31">
        <v>27</v>
      </c>
      <c r="O60" s="36">
        <f t="shared" si="19"/>
        <v>27</v>
      </c>
      <c r="P60" s="31">
        <v>28</v>
      </c>
      <c r="Q60" s="31">
        <v>-33</v>
      </c>
      <c r="R60" s="31">
        <v>-33</v>
      </c>
      <c r="S60" s="36">
        <f t="shared" si="20"/>
        <v>28</v>
      </c>
      <c r="T60" s="37">
        <f t="shared" si="21"/>
        <v>55</v>
      </c>
      <c r="U60" s="64">
        <f t="shared" si="22"/>
        <v>-54.400000000000006</v>
      </c>
      <c r="V60" s="41" t="str">
        <f t="shared" si="23"/>
        <v xml:space="preserve">DEB </v>
      </c>
      <c r="W60" s="33">
        <f t="shared" si="24"/>
        <v>-5</v>
      </c>
      <c r="X60" s="40" t="str">
        <f>IF(I60="","",IF(A60="H",IF(OR(H60="SEN",H60&lt;1995),VLOOKUP(I60,Feuil1!$A$11:$F$29,6),IF(AND(H60&gt;1994,H60&lt;1998),VLOOKUP(I60,Feuil1!$A$11:$F$29,5),IF(AND(H60&gt;1997,H60&lt;2000),VLOOKUP(I60,Feuil1!$A$11:$F$29,4),IF(AND(H60&gt;1999,H60&lt;2002),VLOOKUP(I60,Feuil1!$A$11:$F$29,3),VLOOKUP(I60,Feuil1!$A$11:$F$29,2))))),IF(OR(H60="SEN",H60&lt;1995),VLOOKUP(I60,Feuil1!$G$11:$L$25,6),IF(AND(H60&gt;1994,H60&lt;1998),VLOOKUP(I60,Feuil1!$G$11:$L$25,5),IF(AND(H60&gt;1997,H60&lt;2000),VLOOKUP(I60,Feuil1!$G$11:$L$25,4),IF(AND(H60&gt;1999,H60&lt;2002),VLOOKUP(I60,Feuil1!$G$11:$L$25,3),VLOOKUP(I60,Feuil1!$G$11:$L$25,2)))))))</f>
        <v>FJ58</v>
      </c>
      <c r="Y60" s="39">
        <f t="shared" si="25"/>
        <v>80.925435440938472</v>
      </c>
      <c r="Z60" s="45"/>
      <c r="AA60" s="45" t="s">
        <v>12</v>
      </c>
      <c r="AB60" s="3">
        <f>T60-HLOOKUP(X60,Feuil1!$C$1:$BL$10,2,FALSE)</f>
        <v>-5</v>
      </c>
      <c r="AC60" s="3">
        <f>T60-HLOOKUP(X60,Feuil1!$C$1:$BL$10,3,FALSE)</f>
        <v>-15</v>
      </c>
      <c r="AD60" s="3">
        <f>T60-HLOOKUP(X60,Feuil1!$C$1:$BL$10,4,FALSE)</f>
        <v>-25</v>
      </c>
      <c r="AE60" s="3">
        <f>T60-HLOOKUP(X60,Feuil1!$C$1:$BL$10,5,FALSE)</f>
        <v>-35</v>
      </c>
      <c r="AF60" s="3">
        <f>T60-HLOOKUP(X60,Feuil1!$C$1:$BL$10,6,FALSE)</f>
        <v>-45</v>
      </c>
      <c r="AG60" s="3">
        <f>T60-HLOOKUP(X60,Feuil1!$C$1:$BL$10,7,FALSE)</f>
        <v>-60</v>
      </c>
      <c r="AH60" s="3">
        <f>T60-HLOOKUP(X60,Feuil1!$C$1:$BL$10,8,FALSE)</f>
        <v>-75</v>
      </c>
      <c r="AI60" s="3">
        <f>T60-HLOOKUP(X60,Feuil1!$C$1:$BL$10,9,FALSE)</f>
        <v>-95</v>
      </c>
      <c r="AJ60" s="5">
        <f>T60-HLOOKUP(X60,Feuil1!$C$1:$BL$10,10,FALSE)</f>
        <v>-945</v>
      </c>
      <c r="AQ60" s="5" t="str">
        <f t="shared" si="26"/>
        <v xml:space="preserve">DEB </v>
      </c>
    </row>
    <row r="61" spans="1:55" s="13" customFormat="1" ht="15" hidden="1" customHeight="1" thickBot="1" x14ac:dyDescent="0.25">
      <c r="A61" s="89"/>
      <c r="B61" s="90"/>
      <c r="C61" s="91"/>
      <c r="D61" s="92"/>
      <c r="E61" s="93"/>
      <c r="F61" s="94"/>
      <c r="G61" s="94"/>
      <c r="H61" s="95"/>
      <c r="I61" s="96"/>
      <c r="J61" s="91"/>
      <c r="K61" s="97"/>
      <c r="L61" s="98"/>
      <c r="M61" s="98"/>
      <c r="N61" s="98"/>
      <c r="O61" s="99"/>
      <c r="P61" s="98"/>
      <c r="Q61" s="98"/>
      <c r="R61" s="98"/>
      <c r="S61" s="99"/>
      <c r="T61" s="100"/>
      <c r="U61" s="101"/>
      <c r="V61" s="102"/>
      <c r="W61" s="103"/>
      <c r="X61" s="104"/>
      <c r="Y61" s="105"/>
      <c r="Z61" s="45"/>
      <c r="AA61" s="45" t="s">
        <v>12</v>
      </c>
      <c r="AB61" s="3" t="e">
        <f>T61-HLOOKUP(X61,Feuil1!$C$1:$BL$10,2,FALSE)</f>
        <v>#N/A</v>
      </c>
      <c r="AC61" s="3" t="e">
        <f>T61-HLOOKUP(X61,Feuil1!$C$1:$BL$10,3,FALSE)</f>
        <v>#N/A</v>
      </c>
      <c r="AD61" s="3" t="e">
        <f>T61-HLOOKUP(X61,Feuil1!$C$1:$BL$10,4,FALSE)</f>
        <v>#N/A</v>
      </c>
      <c r="AE61" s="3" t="e">
        <f>T61-HLOOKUP(X61,Feuil1!$C$1:$BL$10,5,FALSE)</f>
        <v>#N/A</v>
      </c>
      <c r="AF61" s="3" t="e">
        <f>T61-HLOOKUP(X61,Feuil1!$C$1:$BL$10,6,FALSE)</f>
        <v>#N/A</v>
      </c>
      <c r="AG61" s="3" t="e">
        <f>T61-HLOOKUP(X61,Feuil1!$C$1:$BL$10,7,FALSE)</f>
        <v>#N/A</v>
      </c>
      <c r="AH61" s="3" t="e">
        <f>T61-HLOOKUP(X61,Feuil1!$C$1:$BL$10,8,FALSE)</f>
        <v>#N/A</v>
      </c>
      <c r="AI61" s="3" t="e">
        <f>T61-HLOOKUP(X61,Feuil1!$C$1:$BL$10,9,FALSE)</f>
        <v>#N/A</v>
      </c>
      <c r="AJ61" s="3" t="e">
        <f>T61-HLOOKUP(X61,Feuil1!$C$1:$BL$10,10,FALSE)</f>
        <v>#N/A</v>
      </c>
      <c r="AK61" s="5"/>
      <c r="AL61" s="5"/>
      <c r="AM61" s="5"/>
      <c r="AN61" s="5"/>
      <c r="AO61" s="5"/>
      <c r="AP61" s="5"/>
      <c r="AQ61" s="5" t="e">
        <f t="shared" ref="AQ61" si="27">IF(AJ61&gt;=0,$AJ$1,IF(AI61&gt;=0,$AI$1,IF(AH61&gt;=0,$AH$1,IF(AG61&gt;=0,$AG$1,IF(AF61&gt;=0,$AF$1,IF(AE61&gt;=0,$AE$1,IF(AD61&gt;=0,$AD$1,IF(AC61&gt;=0,$AC$1,$AB$1))))))))</f>
        <v>#N/A</v>
      </c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</row>
    <row r="62" spans="1:55" s="13" customFormat="1" ht="21" hidden="1" x14ac:dyDescent="0.2">
      <c r="A62" s="12" t="s">
        <v>69</v>
      </c>
      <c r="B62" s="18" t="s">
        <v>108</v>
      </c>
      <c r="C62" s="19" t="s">
        <v>109</v>
      </c>
      <c r="D62" s="61">
        <v>1</v>
      </c>
      <c r="E62" s="35">
        <v>274946</v>
      </c>
      <c r="F62" s="20" t="s">
        <v>156</v>
      </c>
      <c r="G62" s="20" t="s">
        <v>157</v>
      </c>
      <c r="H62" s="51">
        <v>1997</v>
      </c>
      <c r="I62" s="30">
        <v>61.9</v>
      </c>
      <c r="J62" s="19" t="s">
        <v>112</v>
      </c>
      <c r="K62" s="34" t="s">
        <v>69</v>
      </c>
      <c r="L62" s="31">
        <v>57</v>
      </c>
      <c r="M62" s="31">
        <v>60</v>
      </c>
      <c r="N62" s="31">
        <v>63</v>
      </c>
      <c r="O62" s="36">
        <f t="shared" ref="O62:O78" si="28">IF(H62="","",IF(MAXA(L62:N62)&lt;=0,0,MAXA(L62:N62)))</f>
        <v>63</v>
      </c>
      <c r="P62" s="31">
        <v>67</v>
      </c>
      <c r="Q62" s="31">
        <v>-72</v>
      </c>
      <c r="R62" s="31">
        <v>74</v>
      </c>
      <c r="S62" s="36">
        <f t="shared" ref="S62:S78" si="29">IF(H62="","",IF(MAXA(P62:R62)&lt;=0,0,MAXA(P62:R62)))</f>
        <v>74</v>
      </c>
      <c r="T62" s="37">
        <f t="shared" ref="T62:T78" si="30">IF(H62="","",IF(OR(O62=0,S62=0),0,O62+S62))</f>
        <v>137</v>
      </c>
      <c r="U62" s="64">
        <f t="shared" ref="U62:U78" si="31">T62-I62*2</f>
        <v>13.200000000000003</v>
      </c>
      <c r="V62" s="41" t="str">
        <f t="shared" ref="V62:V78" si="32">IF(H62="","",AQ62)</f>
        <v>NAT +</v>
      </c>
      <c r="W62" s="33">
        <f t="shared" ref="W62:W78" si="33">IF(AJ62&gt;=0,AJ62,IF(AI62&gt;=0,AI62,IF(AH62&gt;=0,AH62,IF(AG62&gt;=0,AG62,IF(AF62&gt;=0,AF62,IF(AE62&gt;=0,AE62,IF(AD62&gt;=0,AD62,IF(AC62&gt;=0,AC62,AB62))))))))</f>
        <v>12</v>
      </c>
      <c r="X62" s="40" t="str">
        <f>IF(I62="","",IF(A62="H",IF(OR(H62="SEN",H62&lt;1995),VLOOKUP(I62,Feuil1!$A$11:$F$29,6),IF(AND(H62&gt;1994,H62&lt;1998),VLOOKUP(I62,Feuil1!$A$11:$F$29,5),IF(AND(H62&gt;1997,H62&lt;2000),VLOOKUP(I62,Feuil1!$A$11:$F$29,4),IF(AND(H62&gt;1999,H62&lt;2002),VLOOKUP(I62,Feuil1!$A$11:$F$29,3),VLOOKUP(I62,Feuil1!$A$11:$F$29,2))))),IF(OR(H62="SEN",H62&lt;1995),VLOOKUP(I62,Feuil1!$G$11:$L$25,6),IF(AND(H62&gt;1994,H62&lt;1998),VLOOKUP(I62,Feuil1!$G$11:$L$25,5),IF(AND(H62&gt;1997,H62&lt;2000),VLOOKUP(I62,Feuil1!$G$11:$L$25,4),IF(AND(H62&gt;1999,H62&lt;2002),VLOOKUP(I62,Feuil1!$G$11:$L$25,3),VLOOKUP(I62,Feuil1!$G$11:$L$25,2)))))))</f>
        <v>FJ63</v>
      </c>
      <c r="Y62" s="39">
        <f t="shared" ref="Y62:Y78" si="34">IF(I62="","",IF(A62="H",10^(0.794358141*LOG(I62/174.393)^2)*T62,IF(A62="F",10^(0.89726074*LOG(I62/148.026)^2)*T62,"")))</f>
        <v>184.23166041137546</v>
      </c>
      <c r="Z62" s="45"/>
      <c r="AA62" s="45" t="s">
        <v>12</v>
      </c>
      <c r="AB62" s="3">
        <f>T62-HLOOKUP(X62,Feuil1!$C$1:$BL$10,2,FALSE)</f>
        <v>72</v>
      </c>
      <c r="AC62" s="3">
        <f>T62-HLOOKUP(X62,Feuil1!$C$1:$BL$10,3,FALSE)</f>
        <v>62</v>
      </c>
      <c r="AD62" s="3">
        <f>T62-HLOOKUP(X62,Feuil1!$C$1:$BL$10,4,FALSE)</f>
        <v>52</v>
      </c>
      <c r="AE62" s="3">
        <f>T62-HLOOKUP(X62,Feuil1!$C$1:$BL$10,5,FALSE)</f>
        <v>42</v>
      </c>
      <c r="AF62" s="3">
        <f>T62-HLOOKUP(X62,Feuil1!$C$1:$BL$10,6,FALSE)</f>
        <v>27</v>
      </c>
      <c r="AG62" s="3">
        <f>T62-HLOOKUP(X62,Feuil1!$C$1:$BL$10,7,FALSE)</f>
        <v>12</v>
      </c>
      <c r="AH62" s="3">
        <f>T62-HLOOKUP(X62,Feuil1!$C$1:$BL$10,8,FALSE)</f>
        <v>-3</v>
      </c>
      <c r="AI62" s="3">
        <f>T62-HLOOKUP(X62,Feuil1!$C$1:$BL$10,9,FALSE)</f>
        <v>-23</v>
      </c>
      <c r="AJ62" s="5">
        <f>T62-HLOOKUP(X62,Feuil1!$C$1:$BL$10,10,FALSE)</f>
        <v>-863</v>
      </c>
      <c r="AK62" s="5"/>
      <c r="AL62" s="5"/>
      <c r="AM62" s="5"/>
      <c r="AN62" s="5"/>
      <c r="AO62" s="5"/>
      <c r="AP62" s="5"/>
      <c r="AQ62" s="5" t="str">
        <f t="shared" ref="AQ62:AQ78" si="35">IF(AJ62&gt;=0,$AJ$1,IF(AI62&gt;=0,$AI$1,IF(AH62&gt;=0,$AH$1,IF(AG62&gt;=0,$AG$1,IF(AF62&gt;=0,$AF$1,IF(AE62&gt;=0,$AE$1,IF(AD62&gt;=0,$AD$1,IF(AC62&gt;=0,$AC$1,$AB$1))))))))</f>
        <v>NAT +</v>
      </c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</row>
    <row r="63" spans="1:55" s="13" customFormat="1" ht="21" hidden="1" x14ac:dyDescent="0.2">
      <c r="A63" s="12" t="s">
        <v>69</v>
      </c>
      <c r="B63" s="18" t="s">
        <v>298</v>
      </c>
      <c r="C63" s="19" t="s">
        <v>299</v>
      </c>
      <c r="D63" s="61">
        <v>2</v>
      </c>
      <c r="E63" s="35">
        <v>379288</v>
      </c>
      <c r="F63" s="20" t="s">
        <v>316</v>
      </c>
      <c r="G63" s="20" t="s">
        <v>165</v>
      </c>
      <c r="H63" s="51">
        <v>1995</v>
      </c>
      <c r="I63" s="30">
        <v>60.2</v>
      </c>
      <c r="J63" s="19" t="s">
        <v>315</v>
      </c>
      <c r="K63" s="34" t="s">
        <v>317</v>
      </c>
      <c r="L63" s="31">
        <v>50</v>
      </c>
      <c r="M63" s="31">
        <v>55</v>
      </c>
      <c r="N63" s="31">
        <v>-57</v>
      </c>
      <c r="O63" s="36">
        <f t="shared" si="28"/>
        <v>55</v>
      </c>
      <c r="P63" s="31">
        <v>67</v>
      </c>
      <c r="Q63" s="31">
        <v>-70</v>
      </c>
      <c r="R63" s="31">
        <v>70</v>
      </c>
      <c r="S63" s="36">
        <f t="shared" si="29"/>
        <v>70</v>
      </c>
      <c r="T63" s="37">
        <f t="shared" si="30"/>
        <v>125</v>
      </c>
      <c r="U63" s="64">
        <f t="shared" si="31"/>
        <v>4.5999999999999943</v>
      </c>
      <c r="V63" s="41" t="str">
        <f t="shared" si="32"/>
        <v>NAT +</v>
      </c>
      <c r="W63" s="33">
        <f t="shared" si="33"/>
        <v>0</v>
      </c>
      <c r="X63" s="40" t="str">
        <f>IF(I63="","",IF(A63="H",IF(OR(H63="SEN",H63&lt;1995),VLOOKUP(I63,Feuil1!$A$11:$F$29,6),IF(AND(H63&gt;1994,H63&lt;1998),VLOOKUP(I63,Feuil1!$A$11:$F$29,5),IF(AND(H63&gt;1997,H63&lt;2000),VLOOKUP(I63,Feuil1!$A$11:$F$29,4),IF(AND(H63&gt;1999,H63&lt;2002),VLOOKUP(I63,Feuil1!$A$11:$F$29,3),VLOOKUP(I63,Feuil1!$A$11:$F$29,2))))),IF(OR(H63="SEN",H63&lt;1995),VLOOKUP(I63,Feuil1!$G$11:$L$25,6),IF(AND(H63&gt;1994,H63&lt;1998),VLOOKUP(I63,Feuil1!$G$11:$L$25,5),IF(AND(H63&gt;1997,H63&lt;2000),VLOOKUP(I63,Feuil1!$G$11:$L$25,4),IF(AND(H63&gt;1999,H63&lt;2002),VLOOKUP(I63,Feuil1!$G$11:$L$25,3),VLOOKUP(I63,Feuil1!$G$11:$L$25,2)))))))</f>
        <v>FJ63</v>
      </c>
      <c r="Y63" s="39">
        <f t="shared" si="34"/>
        <v>171.35738354333972</v>
      </c>
      <c r="Z63" s="45"/>
      <c r="AA63" s="45" t="s">
        <v>12</v>
      </c>
      <c r="AB63" s="3">
        <f>T63-HLOOKUP(X63,Feuil1!$C$1:$BL$10,2,FALSE)</f>
        <v>60</v>
      </c>
      <c r="AC63" s="3">
        <f>T63-HLOOKUP(X63,Feuil1!$C$1:$BL$10,3,FALSE)</f>
        <v>50</v>
      </c>
      <c r="AD63" s="3">
        <f>T63-HLOOKUP(X63,Feuil1!$C$1:$BL$10,4,FALSE)</f>
        <v>40</v>
      </c>
      <c r="AE63" s="3">
        <f>T63-HLOOKUP(X63,Feuil1!$C$1:$BL$10,5,FALSE)</f>
        <v>30</v>
      </c>
      <c r="AF63" s="3">
        <f>T63-HLOOKUP(X63,Feuil1!$C$1:$BL$10,6,FALSE)</f>
        <v>15</v>
      </c>
      <c r="AG63" s="3">
        <f>T63-HLOOKUP(X63,Feuil1!$C$1:$BL$10,7,FALSE)</f>
        <v>0</v>
      </c>
      <c r="AH63" s="3">
        <f>T63-HLOOKUP(X63,Feuil1!$C$1:$BL$10,8,FALSE)</f>
        <v>-15</v>
      </c>
      <c r="AI63" s="3">
        <f>T63-HLOOKUP(X63,Feuil1!$C$1:$BL$10,9,FALSE)</f>
        <v>-35</v>
      </c>
      <c r="AJ63" s="5">
        <f>T63-HLOOKUP(X63,Feuil1!$C$1:$BL$10,10,FALSE)</f>
        <v>-875</v>
      </c>
      <c r="AK63" s="5"/>
      <c r="AL63" s="5"/>
      <c r="AM63" s="5"/>
      <c r="AN63" s="5"/>
      <c r="AO63" s="5"/>
      <c r="AP63" s="5"/>
      <c r="AQ63" s="5" t="str">
        <f t="shared" si="35"/>
        <v>NAT +</v>
      </c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</row>
    <row r="64" spans="1:55" s="13" customFormat="1" ht="21" hidden="1" x14ac:dyDescent="0.2">
      <c r="A64" s="12" t="s">
        <v>69</v>
      </c>
      <c r="B64" s="18" t="s">
        <v>71</v>
      </c>
      <c r="C64" s="19" t="s">
        <v>801</v>
      </c>
      <c r="D64" s="61">
        <v>3</v>
      </c>
      <c r="E64" s="35">
        <v>231757</v>
      </c>
      <c r="F64" s="24" t="s">
        <v>826</v>
      </c>
      <c r="G64" s="24" t="s">
        <v>827</v>
      </c>
      <c r="H64" s="51">
        <v>1995</v>
      </c>
      <c r="I64" s="30">
        <v>62.7</v>
      </c>
      <c r="J64" s="19" t="s">
        <v>813</v>
      </c>
      <c r="K64" s="34" t="s">
        <v>69</v>
      </c>
      <c r="L64" s="31">
        <v>-55</v>
      </c>
      <c r="M64" s="31">
        <v>-58</v>
      </c>
      <c r="N64" s="31">
        <v>58</v>
      </c>
      <c r="O64" s="36">
        <f t="shared" si="28"/>
        <v>58</v>
      </c>
      <c r="P64" s="31">
        <v>63</v>
      </c>
      <c r="Q64" s="31">
        <v>67</v>
      </c>
      <c r="R64" s="31">
        <v>-70</v>
      </c>
      <c r="S64" s="36">
        <f t="shared" si="29"/>
        <v>67</v>
      </c>
      <c r="T64" s="37">
        <f t="shared" si="30"/>
        <v>125</v>
      </c>
      <c r="U64" s="64">
        <f t="shared" si="31"/>
        <v>-0.40000000000000568</v>
      </c>
      <c r="V64" s="41" t="str">
        <f t="shared" si="32"/>
        <v>NAT +</v>
      </c>
      <c r="W64" s="33">
        <f t="shared" si="33"/>
        <v>0</v>
      </c>
      <c r="X64" s="40" t="str">
        <f>IF(I64="","",IF(A64="H",IF(OR(H64="SEN",H64&lt;1995),VLOOKUP(I64,Feuil1!$A$11:$F$29,6),IF(AND(H64&gt;1994,H64&lt;1998),VLOOKUP(I64,Feuil1!$A$11:$F$29,5),IF(AND(H64&gt;1997,H64&lt;2000),VLOOKUP(I64,Feuil1!$A$11:$F$29,4),IF(AND(H64&gt;1999,H64&lt;2002),VLOOKUP(I64,Feuil1!$A$11:$F$29,3),VLOOKUP(I64,Feuil1!$A$11:$F$29,2))))),IF(OR(H64="SEN",H64&lt;1995),VLOOKUP(I64,Feuil1!$G$11:$L$25,6),IF(AND(H64&gt;1994,H64&lt;1998),VLOOKUP(I64,Feuil1!$G$11:$L$25,5),IF(AND(H64&gt;1997,H64&lt;2000),VLOOKUP(I64,Feuil1!$G$11:$L$25,4),IF(AND(H64&gt;1999,H64&lt;2002),VLOOKUP(I64,Feuil1!$G$11:$L$25,3),VLOOKUP(I64,Feuil1!$G$11:$L$25,2)))))))</f>
        <v>FJ63</v>
      </c>
      <c r="Y64" s="39">
        <f t="shared" si="34"/>
        <v>166.64495551049347</v>
      </c>
      <c r="Z64" s="45"/>
      <c r="AA64" s="45" t="s">
        <v>12</v>
      </c>
      <c r="AB64" s="3">
        <f>T64-HLOOKUP(X64,Feuil1!$C$1:$BL$10,2,FALSE)</f>
        <v>60</v>
      </c>
      <c r="AC64" s="3">
        <f>T64-HLOOKUP(X64,Feuil1!$C$1:$BL$10,3,FALSE)</f>
        <v>50</v>
      </c>
      <c r="AD64" s="3">
        <f>T64-HLOOKUP(X64,Feuil1!$C$1:$BL$10,4,FALSE)</f>
        <v>40</v>
      </c>
      <c r="AE64" s="3">
        <f>T64-HLOOKUP(X64,Feuil1!$C$1:$BL$10,5,FALSE)</f>
        <v>30</v>
      </c>
      <c r="AF64" s="3">
        <f>T64-HLOOKUP(X64,Feuil1!$C$1:$BL$10,6,FALSE)</f>
        <v>15</v>
      </c>
      <c r="AG64" s="3">
        <f>T64-HLOOKUP(X64,Feuil1!$C$1:$BL$10,7,FALSE)</f>
        <v>0</v>
      </c>
      <c r="AH64" s="3">
        <f>T64-HLOOKUP(X64,Feuil1!$C$1:$BL$10,8,FALSE)</f>
        <v>-15</v>
      </c>
      <c r="AI64" s="3">
        <f>T64-HLOOKUP(X64,Feuil1!$C$1:$BL$10,9,FALSE)</f>
        <v>-35</v>
      </c>
      <c r="AJ64" s="5">
        <f>T64-HLOOKUP(X64,Feuil1!$C$1:$BL$10,10,FALSE)</f>
        <v>-875</v>
      </c>
      <c r="AK64" s="5"/>
      <c r="AL64" s="5"/>
      <c r="AM64" s="5"/>
      <c r="AN64" s="5"/>
      <c r="AO64" s="5"/>
      <c r="AP64" s="5"/>
      <c r="AQ64" s="5" t="str">
        <f t="shared" si="35"/>
        <v>NAT +</v>
      </c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</row>
    <row r="65" spans="1:55" s="13" customFormat="1" ht="21" hidden="1" x14ac:dyDescent="0.2">
      <c r="A65" s="12" t="s">
        <v>69</v>
      </c>
      <c r="B65" s="67" t="s">
        <v>298</v>
      </c>
      <c r="C65" s="68" t="s">
        <v>476</v>
      </c>
      <c r="D65" s="69">
        <v>4</v>
      </c>
      <c r="E65" s="70">
        <v>140592</v>
      </c>
      <c r="F65" s="71" t="s">
        <v>496</v>
      </c>
      <c r="G65" s="71" t="s">
        <v>263</v>
      </c>
      <c r="H65" s="72">
        <v>1995</v>
      </c>
      <c r="I65" s="73">
        <v>58.1</v>
      </c>
      <c r="J65" s="68" t="s">
        <v>481</v>
      </c>
      <c r="K65" s="74" t="s">
        <v>69</v>
      </c>
      <c r="L65" s="75">
        <v>-52</v>
      </c>
      <c r="M65" s="75">
        <v>52</v>
      </c>
      <c r="N65" s="75">
        <v>55</v>
      </c>
      <c r="O65" s="76">
        <f t="shared" si="28"/>
        <v>55</v>
      </c>
      <c r="P65" s="75">
        <v>63</v>
      </c>
      <c r="Q65" s="75">
        <v>67</v>
      </c>
      <c r="R65" s="75">
        <v>-68</v>
      </c>
      <c r="S65" s="76">
        <f t="shared" si="29"/>
        <v>67</v>
      </c>
      <c r="T65" s="77">
        <f t="shared" si="30"/>
        <v>122</v>
      </c>
      <c r="U65" s="83">
        <f t="shared" si="31"/>
        <v>5.7999999999999972</v>
      </c>
      <c r="V65" s="79" t="str">
        <f t="shared" si="32"/>
        <v>FED +</v>
      </c>
      <c r="W65" s="80">
        <f t="shared" si="33"/>
        <v>12</v>
      </c>
      <c r="X65" s="81" t="str">
        <f>IF(I65="","",IF(A65="H",IF(OR(H65="SEN",H65&lt;1995),VLOOKUP(I65,Feuil1!$A$11:$F$29,6),IF(AND(H65&gt;1994,H65&lt;1998),VLOOKUP(I65,Feuil1!$A$11:$F$29,5),IF(AND(H65&gt;1997,H65&lt;2000),VLOOKUP(I65,Feuil1!$A$11:$F$29,4),IF(AND(H65&gt;1999,H65&lt;2002),VLOOKUP(I65,Feuil1!$A$11:$F$29,3),VLOOKUP(I65,Feuil1!$A$11:$F$29,2))))),IF(OR(H65="SEN",H65&lt;1995),VLOOKUP(I65,Feuil1!$G$11:$L$25,6),IF(AND(H65&gt;1994,H65&lt;1998),VLOOKUP(I65,Feuil1!$G$11:$L$25,5),IF(AND(H65&gt;1997,H65&lt;2000),VLOOKUP(I65,Feuil1!$G$11:$L$25,4),IF(AND(H65&gt;1999,H65&lt;2002),VLOOKUP(I65,Feuil1!$G$11:$L$25,3),VLOOKUP(I65,Feuil1!$G$11:$L$25,2)))))))</f>
        <v>FJ63</v>
      </c>
      <c r="Y65" s="39">
        <f t="shared" si="34"/>
        <v>171.54523571740054</v>
      </c>
      <c r="Z65" s="45"/>
      <c r="AA65" s="45" t="s">
        <v>12</v>
      </c>
      <c r="AB65" s="3">
        <f>T65-HLOOKUP(X65,Feuil1!$C$1:$BL$10,2,FALSE)</f>
        <v>57</v>
      </c>
      <c r="AC65" s="3">
        <f>T65-HLOOKUP(X65,Feuil1!$C$1:$BL$10,3,FALSE)</f>
        <v>47</v>
      </c>
      <c r="AD65" s="3">
        <f>T65-HLOOKUP(X65,Feuil1!$C$1:$BL$10,4,FALSE)</f>
        <v>37</v>
      </c>
      <c r="AE65" s="3">
        <f>T65-HLOOKUP(X65,Feuil1!$C$1:$BL$10,5,FALSE)</f>
        <v>27</v>
      </c>
      <c r="AF65" s="3">
        <f>T65-HLOOKUP(X65,Feuil1!$C$1:$BL$10,6,FALSE)</f>
        <v>12</v>
      </c>
      <c r="AG65" s="3">
        <f>T65-HLOOKUP(X65,Feuil1!$C$1:$BL$10,7,FALSE)</f>
        <v>-3</v>
      </c>
      <c r="AH65" s="3">
        <f>T65-HLOOKUP(X65,Feuil1!$C$1:$BL$10,8,FALSE)</f>
        <v>-18</v>
      </c>
      <c r="AI65" s="3">
        <f>T65-HLOOKUP(X65,Feuil1!$C$1:$BL$10,9,FALSE)</f>
        <v>-38</v>
      </c>
      <c r="AJ65" s="5">
        <f>T65-HLOOKUP(X65,Feuil1!$C$1:$BL$10,10,FALSE)</f>
        <v>-878</v>
      </c>
      <c r="AK65" s="5"/>
      <c r="AL65" s="5"/>
      <c r="AM65" s="5"/>
      <c r="AN65" s="5"/>
      <c r="AO65" s="5"/>
      <c r="AP65" s="5"/>
      <c r="AQ65" s="5" t="str">
        <f t="shared" si="35"/>
        <v>FED +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</row>
    <row r="66" spans="1:55" s="13" customFormat="1" ht="21" hidden="1" x14ac:dyDescent="0.2">
      <c r="A66" s="12" t="s">
        <v>69</v>
      </c>
      <c r="B66" s="22" t="s">
        <v>536</v>
      </c>
      <c r="C66" s="19" t="s">
        <v>545</v>
      </c>
      <c r="D66" s="61">
        <v>5</v>
      </c>
      <c r="E66" s="35">
        <v>253453</v>
      </c>
      <c r="F66" s="20" t="s">
        <v>569</v>
      </c>
      <c r="G66" s="20" t="s">
        <v>571</v>
      </c>
      <c r="H66" s="51">
        <v>1995</v>
      </c>
      <c r="I66" s="30">
        <v>62.8</v>
      </c>
      <c r="J66" s="19" t="s">
        <v>551</v>
      </c>
      <c r="K66" s="34" t="s">
        <v>69</v>
      </c>
      <c r="L66" s="31">
        <v>45</v>
      </c>
      <c r="M66" s="31">
        <v>-50</v>
      </c>
      <c r="N66" s="31">
        <v>50</v>
      </c>
      <c r="O66" s="36">
        <f t="shared" si="28"/>
        <v>50</v>
      </c>
      <c r="P66" s="31">
        <v>60</v>
      </c>
      <c r="Q66" s="31">
        <v>65</v>
      </c>
      <c r="R66" s="31">
        <v>70</v>
      </c>
      <c r="S66" s="36">
        <f t="shared" si="29"/>
        <v>70</v>
      </c>
      <c r="T66" s="37">
        <f t="shared" si="30"/>
        <v>120</v>
      </c>
      <c r="U66" s="64">
        <f t="shared" si="31"/>
        <v>-5.5999999999999943</v>
      </c>
      <c r="V66" s="41" t="str">
        <f t="shared" si="32"/>
        <v>FED +</v>
      </c>
      <c r="W66" s="33">
        <f t="shared" si="33"/>
        <v>10</v>
      </c>
      <c r="X66" s="40" t="str">
        <f>IF(I66="","",IF(A66="H",IF(OR(H66="SEN",H66&lt;1995),VLOOKUP(I66,Feuil1!$A$11:$F$29,6),IF(AND(H66&gt;1994,H66&lt;1998),VLOOKUP(I66,Feuil1!$A$11:$F$29,5),IF(AND(H66&gt;1997,H66&lt;2000),VLOOKUP(I66,Feuil1!$A$11:$F$29,4),IF(AND(H66&gt;1999,H66&lt;2002),VLOOKUP(I66,Feuil1!$A$11:$F$29,3),VLOOKUP(I66,Feuil1!$A$11:$F$29,2))))),IF(OR(H66="SEN",H66&lt;1995),VLOOKUP(I66,Feuil1!$G$11:$L$25,6),IF(AND(H66&gt;1994,H66&lt;1998),VLOOKUP(I66,Feuil1!$G$11:$L$25,5),IF(AND(H66&gt;1997,H66&lt;2000),VLOOKUP(I66,Feuil1!$G$11:$L$25,4),IF(AND(H66&gt;1999,H66&lt;2002),VLOOKUP(I66,Feuil1!$G$11:$L$25,3),VLOOKUP(I66,Feuil1!$G$11:$L$25,2)))))))</f>
        <v>FJ63</v>
      </c>
      <c r="Y66" s="39">
        <f t="shared" si="34"/>
        <v>159.80872384407496</v>
      </c>
      <c r="Z66" s="45"/>
      <c r="AA66" s="45" t="s">
        <v>12</v>
      </c>
      <c r="AB66" s="3">
        <f>T66-HLOOKUP(X66,Feuil1!$C$1:$BL$10,2,FALSE)</f>
        <v>55</v>
      </c>
      <c r="AC66" s="3">
        <f>T66-HLOOKUP(X66,Feuil1!$C$1:$BL$10,3,FALSE)</f>
        <v>45</v>
      </c>
      <c r="AD66" s="3">
        <f>T66-HLOOKUP(X66,Feuil1!$C$1:$BL$10,4,FALSE)</f>
        <v>35</v>
      </c>
      <c r="AE66" s="3">
        <f>T66-HLOOKUP(X66,Feuil1!$C$1:$BL$10,5,FALSE)</f>
        <v>25</v>
      </c>
      <c r="AF66" s="3">
        <f>T66-HLOOKUP(X66,Feuil1!$C$1:$BL$10,6,FALSE)</f>
        <v>10</v>
      </c>
      <c r="AG66" s="3">
        <f>T66-HLOOKUP(X66,Feuil1!$C$1:$BL$10,7,FALSE)</f>
        <v>-5</v>
      </c>
      <c r="AH66" s="3">
        <f>T66-HLOOKUP(X66,Feuil1!$C$1:$BL$10,8,FALSE)</f>
        <v>-20</v>
      </c>
      <c r="AI66" s="3">
        <f>T66-HLOOKUP(X66,Feuil1!$C$1:$BL$10,9,FALSE)</f>
        <v>-40</v>
      </c>
      <c r="AJ66" s="5">
        <f>T66-HLOOKUP(X66,Feuil1!$C$1:$BL$10,10,FALSE)</f>
        <v>-880</v>
      </c>
      <c r="AK66" s="5"/>
      <c r="AL66" s="5"/>
      <c r="AM66" s="5"/>
      <c r="AN66" s="5"/>
      <c r="AO66" s="5"/>
      <c r="AP66" s="5"/>
      <c r="AQ66" s="5" t="str">
        <f t="shared" si="35"/>
        <v>FED +</v>
      </c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</row>
    <row r="67" spans="1:55" s="13" customFormat="1" ht="21" hidden="1" x14ac:dyDescent="0.2">
      <c r="A67" s="12" t="s">
        <v>69</v>
      </c>
      <c r="B67" s="18" t="s">
        <v>298</v>
      </c>
      <c r="C67" s="19" t="s">
        <v>299</v>
      </c>
      <c r="D67" s="61">
        <v>6</v>
      </c>
      <c r="E67" s="35">
        <v>326999</v>
      </c>
      <c r="F67" s="20" t="s">
        <v>318</v>
      </c>
      <c r="G67" s="20" t="s">
        <v>319</v>
      </c>
      <c r="H67" s="51">
        <v>1997</v>
      </c>
      <c r="I67" s="30">
        <v>62.75</v>
      </c>
      <c r="J67" s="19" t="s">
        <v>307</v>
      </c>
      <c r="K67" s="34" t="s">
        <v>69</v>
      </c>
      <c r="L67" s="31">
        <v>-50</v>
      </c>
      <c r="M67" s="31">
        <v>-50</v>
      </c>
      <c r="N67" s="31">
        <v>51</v>
      </c>
      <c r="O67" s="36">
        <f t="shared" si="28"/>
        <v>51</v>
      </c>
      <c r="P67" s="31">
        <v>59</v>
      </c>
      <c r="Q67" s="31">
        <v>62</v>
      </c>
      <c r="R67" s="31">
        <v>-65</v>
      </c>
      <c r="S67" s="36">
        <f t="shared" si="29"/>
        <v>62</v>
      </c>
      <c r="T67" s="37">
        <f t="shared" si="30"/>
        <v>113</v>
      </c>
      <c r="U67" s="64">
        <f t="shared" si="31"/>
        <v>-12.5</v>
      </c>
      <c r="V67" s="41" t="str">
        <f t="shared" si="32"/>
        <v>FED +</v>
      </c>
      <c r="W67" s="33">
        <f t="shared" si="33"/>
        <v>3</v>
      </c>
      <c r="X67" s="40" t="str">
        <f>IF(I67="","",IF(A67="H",IF(OR(H67="SEN",H67&lt;1995),VLOOKUP(I67,Feuil1!$A$11:$F$29,6),IF(AND(H67&gt;1994,H67&lt;1998),VLOOKUP(I67,Feuil1!$A$11:$F$29,5),IF(AND(H67&gt;1997,H67&lt;2000),VLOOKUP(I67,Feuil1!$A$11:$F$29,4),IF(AND(H67&gt;1999,H67&lt;2002),VLOOKUP(I67,Feuil1!$A$11:$F$29,3),VLOOKUP(I67,Feuil1!$A$11:$F$29,2))))),IF(OR(H67="SEN",H67&lt;1995),VLOOKUP(I67,Feuil1!$G$11:$L$25,6),IF(AND(H67&gt;1994,H67&lt;1998),VLOOKUP(I67,Feuil1!$G$11:$L$25,5),IF(AND(H67&gt;1997,H67&lt;2000),VLOOKUP(I67,Feuil1!$G$11:$L$25,4),IF(AND(H67&gt;1999,H67&lt;2002),VLOOKUP(I67,Feuil1!$G$11:$L$25,3),VLOOKUP(I67,Feuil1!$G$11:$L$25,2)))))))</f>
        <v>FJ63</v>
      </c>
      <c r="Y67" s="39">
        <f t="shared" si="34"/>
        <v>150.56670342820445</v>
      </c>
      <c r="Z67" s="45"/>
      <c r="AA67" s="45" t="s">
        <v>12</v>
      </c>
      <c r="AB67" s="3">
        <f>T67-HLOOKUP(X67,Feuil1!$C$1:$BL$10,2,FALSE)</f>
        <v>48</v>
      </c>
      <c r="AC67" s="3">
        <f>T67-HLOOKUP(X67,Feuil1!$C$1:$BL$10,3,FALSE)</f>
        <v>38</v>
      </c>
      <c r="AD67" s="3">
        <f>T67-HLOOKUP(X67,Feuil1!$C$1:$BL$10,4,FALSE)</f>
        <v>28</v>
      </c>
      <c r="AE67" s="3">
        <f>T67-HLOOKUP(X67,Feuil1!$C$1:$BL$10,5,FALSE)</f>
        <v>18</v>
      </c>
      <c r="AF67" s="3">
        <f>T67-HLOOKUP(X67,Feuil1!$C$1:$BL$10,6,FALSE)</f>
        <v>3</v>
      </c>
      <c r="AG67" s="3">
        <f>T67-HLOOKUP(X67,Feuil1!$C$1:$BL$10,7,FALSE)</f>
        <v>-12</v>
      </c>
      <c r="AH67" s="3">
        <f>T67-HLOOKUP(X67,Feuil1!$C$1:$BL$10,8,FALSE)</f>
        <v>-27</v>
      </c>
      <c r="AI67" s="3">
        <f>T67-HLOOKUP(X67,Feuil1!$C$1:$BL$10,9,FALSE)</f>
        <v>-47</v>
      </c>
      <c r="AJ67" s="5">
        <f>T67-HLOOKUP(X67,Feuil1!$C$1:$BL$10,10,FALSE)</f>
        <v>-887</v>
      </c>
      <c r="AK67" s="5"/>
      <c r="AL67" s="5"/>
      <c r="AM67" s="5"/>
      <c r="AN67" s="5"/>
      <c r="AO67" s="5"/>
      <c r="AP67" s="5"/>
      <c r="AQ67" s="5" t="str">
        <f t="shared" si="35"/>
        <v>FED +</v>
      </c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</row>
    <row r="68" spans="1:55" s="13" customFormat="1" ht="21" hidden="1" x14ac:dyDescent="0.2">
      <c r="A68" s="12" t="s">
        <v>69</v>
      </c>
      <c r="B68" s="18" t="s">
        <v>71</v>
      </c>
      <c r="C68" s="23" t="s">
        <v>883</v>
      </c>
      <c r="D68" s="61">
        <v>7</v>
      </c>
      <c r="E68" s="35">
        <v>375285</v>
      </c>
      <c r="F68" s="20" t="s">
        <v>890</v>
      </c>
      <c r="G68" s="20" t="s">
        <v>524</v>
      </c>
      <c r="H68" s="51">
        <v>1996</v>
      </c>
      <c r="I68" s="30">
        <v>61</v>
      </c>
      <c r="J68" s="19" t="s">
        <v>891</v>
      </c>
      <c r="K68" s="34" t="s">
        <v>69</v>
      </c>
      <c r="L68" s="31">
        <v>40</v>
      </c>
      <c r="M68" s="31">
        <v>-45</v>
      </c>
      <c r="N68" s="31">
        <v>50</v>
      </c>
      <c r="O68" s="36">
        <f t="shared" si="28"/>
        <v>50</v>
      </c>
      <c r="P68" s="31">
        <v>52</v>
      </c>
      <c r="Q68" s="31">
        <v>57</v>
      </c>
      <c r="R68" s="31">
        <v>62</v>
      </c>
      <c r="S68" s="36">
        <f t="shared" si="29"/>
        <v>62</v>
      </c>
      <c r="T68" s="37">
        <f t="shared" si="30"/>
        <v>112</v>
      </c>
      <c r="U68" s="64">
        <f t="shared" si="31"/>
        <v>-10</v>
      </c>
      <c r="V68" s="41" t="str">
        <f t="shared" si="32"/>
        <v>FED +</v>
      </c>
      <c r="W68" s="33">
        <f t="shared" si="33"/>
        <v>2</v>
      </c>
      <c r="X68" s="40" t="str">
        <f>IF(I68="","",IF(A68="H",IF(OR(H68="SEN",H68&lt;1995),VLOOKUP(I68,Feuil1!$A$11:$F$29,6),IF(AND(H68&gt;1994,H68&lt;1998),VLOOKUP(I68,Feuil1!$A$11:$F$29,5),IF(AND(H68&gt;1997,H68&lt;2000),VLOOKUP(I68,Feuil1!$A$11:$F$29,4),IF(AND(H68&gt;1999,H68&lt;2002),VLOOKUP(I68,Feuil1!$A$11:$F$29,3),VLOOKUP(I68,Feuil1!$A$11:$F$29,2))))),IF(OR(H68="SEN",H68&lt;1995),VLOOKUP(I68,Feuil1!$G$11:$L$25,6),IF(AND(H68&gt;1994,H68&lt;1998),VLOOKUP(I68,Feuil1!$G$11:$L$25,5),IF(AND(H68&gt;1997,H68&lt;2000),VLOOKUP(I68,Feuil1!$G$11:$L$25,4),IF(AND(H68&gt;1999,H68&lt;2002),VLOOKUP(I68,Feuil1!$G$11:$L$25,3),VLOOKUP(I68,Feuil1!$G$11:$L$25,2)))))))</f>
        <v>FJ63</v>
      </c>
      <c r="Y68" s="39">
        <f t="shared" si="34"/>
        <v>152.13184755800987</v>
      </c>
      <c r="Z68" s="45"/>
      <c r="AA68" s="45" t="s">
        <v>12</v>
      </c>
      <c r="AB68" s="3">
        <f>T68-HLOOKUP(X68,Feuil1!$C$1:$BL$10,2,FALSE)</f>
        <v>47</v>
      </c>
      <c r="AC68" s="3">
        <f>T68-HLOOKUP(X68,Feuil1!$C$1:$BL$10,3,FALSE)</f>
        <v>37</v>
      </c>
      <c r="AD68" s="3">
        <f>T68-HLOOKUP(X68,Feuil1!$C$1:$BL$10,4,FALSE)</f>
        <v>27</v>
      </c>
      <c r="AE68" s="3">
        <f>T68-HLOOKUP(X68,Feuil1!$C$1:$BL$10,5,FALSE)</f>
        <v>17</v>
      </c>
      <c r="AF68" s="3">
        <f>T68-HLOOKUP(X68,Feuil1!$C$1:$BL$10,6,FALSE)</f>
        <v>2</v>
      </c>
      <c r="AG68" s="3">
        <f>T68-HLOOKUP(X68,Feuil1!$C$1:$BL$10,7,FALSE)</f>
        <v>-13</v>
      </c>
      <c r="AH68" s="3">
        <f>T68-HLOOKUP(X68,Feuil1!$C$1:$BL$10,8,FALSE)</f>
        <v>-28</v>
      </c>
      <c r="AI68" s="3">
        <f>T68-HLOOKUP(X68,Feuil1!$C$1:$BL$10,9,FALSE)</f>
        <v>-48</v>
      </c>
      <c r="AJ68" s="5">
        <f>T68-HLOOKUP(X68,Feuil1!$C$1:$BL$10,10,FALSE)</f>
        <v>-888</v>
      </c>
      <c r="AK68" s="5"/>
      <c r="AL68" s="5"/>
      <c r="AM68" s="5"/>
      <c r="AN68" s="5"/>
      <c r="AO68" s="5"/>
      <c r="AP68" s="5"/>
      <c r="AQ68" s="5" t="str">
        <f t="shared" si="35"/>
        <v>FED +</v>
      </c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</row>
    <row r="69" spans="1:55" s="13" customFormat="1" ht="21" hidden="1" x14ac:dyDescent="0.2">
      <c r="A69" s="12" t="s">
        <v>69</v>
      </c>
      <c r="B69" s="18" t="s">
        <v>649</v>
      </c>
      <c r="C69" s="19" t="s">
        <v>648</v>
      </c>
      <c r="D69" s="61">
        <v>8</v>
      </c>
      <c r="E69" s="35">
        <v>250369</v>
      </c>
      <c r="F69" s="20" t="s">
        <v>645</v>
      </c>
      <c r="G69" s="20" t="s">
        <v>646</v>
      </c>
      <c r="H69" s="51">
        <v>1997</v>
      </c>
      <c r="I69" s="30">
        <v>62.53</v>
      </c>
      <c r="J69" s="19" t="s">
        <v>647</v>
      </c>
      <c r="K69" s="34" t="s">
        <v>69</v>
      </c>
      <c r="L69" s="31">
        <v>45</v>
      </c>
      <c r="M69" s="31">
        <v>50</v>
      </c>
      <c r="N69" s="31">
        <v>-53</v>
      </c>
      <c r="O69" s="36">
        <f t="shared" si="28"/>
        <v>50</v>
      </c>
      <c r="P69" s="31">
        <v>52</v>
      </c>
      <c r="Q69" s="31">
        <v>55</v>
      </c>
      <c r="R69" s="31">
        <v>-60</v>
      </c>
      <c r="S69" s="36">
        <f t="shared" si="29"/>
        <v>55</v>
      </c>
      <c r="T69" s="37">
        <f t="shared" si="30"/>
        <v>105</v>
      </c>
      <c r="U69" s="64">
        <f t="shared" si="31"/>
        <v>-20.060000000000002</v>
      </c>
      <c r="V69" s="41" t="str">
        <f t="shared" si="32"/>
        <v>IRG +</v>
      </c>
      <c r="W69" s="33">
        <f t="shared" si="33"/>
        <v>10</v>
      </c>
      <c r="X69" s="40" t="str">
        <f>IF(I69="","",IF(A69="H",IF(OR(H69="SEN",H69&lt;1995),VLOOKUP(I69,Feuil1!$A$11:$F$29,6),IF(AND(H69&gt;1994,H69&lt;1998),VLOOKUP(I69,Feuil1!$A$11:$F$29,5),IF(AND(H69&gt;1997,H69&lt;2000),VLOOKUP(I69,Feuil1!$A$11:$F$29,4),IF(AND(H69&gt;1999,H69&lt;2002),VLOOKUP(I69,Feuil1!$A$11:$F$29,3),VLOOKUP(I69,Feuil1!$A$11:$F$29,2))))),IF(OR(H69="SEN",H69&lt;1995),VLOOKUP(I69,Feuil1!$G$11:$L$25,6),IF(AND(H69&gt;1994,H69&lt;1998),VLOOKUP(I69,Feuil1!$G$11:$L$25,5),IF(AND(H69&gt;1997,H69&lt;2000),VLOOKUP(I69,Feuil1!$G$11:$L$25,4),IF(AND(H69&gt;1999,H69&lt;2002),VLOOKUP(I69,Feuil1!$G$11:$L$25,3),VLOOKUP(I69,Feuil1!$G$11:$L$25,2)))))))</f>
        <v>FJ63</v>
      </c>
      <c r="Y69" s="39">
        <f t="shared" si="34"/>
        <v>140.23683471548784</v>
      </c>
      <c r="Z69" s="45"/>
      <c r="AA69" s="45" t="s">
        <v>12</v>
      </c>
      <c r="AB69" s="3">
        <f>T69-HLOOKUP(X69,Feuil1!$C$1:$BL$10,2,FALSE)</f>
        <v>40</v>
      </c>
      <c r="AC69" s="3">
        <f>T69-HLOOKUP(X69,Feuil1!$C$1:$BL$10,3,FALSE)</f>
        <v>30</v>
      </c>
      <c r="AD69" s="3">
        <f>T69-HLOOKUP(X69,Feuil1!$C$1:$BL$10,4,FALSE)</f>
        <v>20</v>
      </c>
      <c r="AE69" s="3">
        <f>T69-HLOOKUP(X69,Feuil1!$C$1:$BL$10,5,FALSE)</f>
        <v>10</v>
      </c>
      <c r="AF69" s="3">
        <f>T69-HLOOKUP(X69,Feuil1!$C$1:$BL$10,6,FALSE)</f>
        <v>-5</v>
      </c>
      <c r="AG69" s="3">
        <f>T69-HLOOKUP(X69,Feuil1!$C$1:$BL$10,7,FALSE)</f>
        <v>-20</v>
      </c>
      <c r="AH69" s="3">
        <f>T69-HLOOKUP(X69,Feuil1!$C$1:$BL$10,8,FALSE)</f>
        <v>-35</v>
      </c>
      <c r="AI69" s="3">
        <f>T69-HLOOKUP(X69,Feuil1!$C$1:$BL$10,9,FALSE)</f>
        <v>-55</v>
      </c>
      <c r="AJ69" s="5">
        <f>T69-HLOOKUP(X69,Feuil1!$C$1:$BL$10,10,FALSE)</f>
        <v>-895</v>
      </c>
      <c r="AK69" s="5"/>
      <c r="AL69" s="5"/>
      <c r="AM69" s="5"/>
      <c r="AN69" s="5"/>
      <c r="AO69" s="5"/>
      <c r="AP69" s="5"/>
      <c r="AQ69" s="5" t="str">
        <f t="shared" si="35"/>
        <v>IRG +</v>
      </c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</row>
    <row r="70" spans="1:55" ht="21" hidden="1" x14ac:dyDescent="0.2">
      <c r="A70" s="12" t="s">
        <v>69</v>
      </c>
      <c r="B70" s="18" t="s">
        <v>71</v>
      </c>
      <c r="C70" s="23" t="s">
        <v>72</v>
      </c>
      <c r="D70" s="61">
        <v>9</v>
      </c>
      <c r="E70" s="35">
        <v>356024</v>
      </c>
      <c r="F70" s="20" t="s">
        <v>949</v>
      </c>
      <c r="G70" s="20" t="s">
        <v>950</v>
      </c>
      <c r="H70" s="51">
        <v>1995</v>
      </c>
      <c r="I70" s="30">
        <v>62.6</v>
      </c>
      <c r="J70" s="19" t="s">
        <v>923</v>
      </c>
      <c r="K70" s="34" t="s">
        <v>69</v>
      </c>
      <c r="L70" s="31">
        <v>-40</v>
      </c>
      <c r="M70" s="31">
        <v>-40</v>
      </c>
      <c r="N70" s="31">
        <v>40</v>
      </c>
      <c r="O70" s="36">
        <f t="shared" si="28"/>
        <v>40</v>
      </c>
      <c r="P70" s="31">
        <v>50</v>
      </c>
      <c r="Q70" s="31">
        <v>55</v>
      </c>
      <c r="R70" s="31">
        <v>-60</v>
      </c>
      <c r="S70" s="36">
        <f t="shared" si="29"/>
        <v>55</v>
      </c>
      <c r="T70" s="37">
        <f t="shared" si="30"/>
        <v>95</v>
      </c>
      <c r="U70" s="64">
        <f t="shared" si="31"/>
        <v>-30.200000000000003</v>
      </c>
      <c r="V70" s="41" t="str">
        <f t="shared" si="32"/>
        <v>IRG +</v>
      </c>
      <c r="W70" s="33">
        <f t="shared" si="33"/>
        <v>0</v>
      </c>
      <c r="X70" s="40" t="str">
        <f>IF(I70="","",IF(A70="H",IF(OR(H70="SEN",H70&lt;1995),VLOOKUP(I70,Feuil1!$A$11:$F$29,6),IF(AND(H70&gt;1994,H70&lt;1998),VLOOKUP(I70,Feuil1!$A$11:$F$29,5),IF(AND(H70&gt;1997,H70&lt;2000),VLOOKUP(I70,Feuil1!$A$11:$F$29,4),IF(AND(H70&gt;1999,H70&lt;2002),VLOOKUP(I70,Feuil1!$A$11:$F$29,3),VLOOKUP(I70,Feuil1!$A$11:$F$29,2))))),IF(OR(H70="SEN",H70&lt;1995),VLOOKUP(I70,Feuil1!$G$11:$L$25,6),IF(AND(H70&gt;1994,H70&lt;1998),VLOOKUP(I70,Feuil1!$G$11:$L$25,5),IF(AND(H70&gt;1997,H70&lt;2000),VLOOKUP(I70,Feuil1!$G$11:$L$25,4),IF(AND(H70&gt;1999,H70&lt;2002),VLOOKUP(I70,Feuil1!$G$11:$L$25,3),VLOOKUP(I70,Feuil1!$G$11:$L$25,2)))))))</f>
        <v>FJ63</v>
      </c>
      <c r="Y70" s="39">
        <f t="shared" si="34"/>
        <v>126.78570381776743</v>
      </c>
      <c r="Z70" s="45"/>
      <c r="AA70" s="45" t="s">
        <v>12</v>
      </c>
      <c r="AB70" s="3">
        <f>T70-HLOOKUP(X70,Feuil1!$C$1:$BL$10,2,FALSE)</f>
        <v>30</v>
      </c>
      <c r="AC70" s="3">
        <f>T70-HLOOKUP(X70,Feuil1!$C$1:$BL$10,3,FALSE)</f>
        <v>20</v>
      </c>
      <c r="AD70" s="3">
        <f>T70-HLOOKUP(X70,Feuil1!$C$1:$BL$10,4,FALSE)</f>
        <v>10</v>
      </c>
      <c r="AE70" s="3">
        <f>T70-HLOOKUP(X70,Feuil1!$C$1:$BL$10,5,FALSE)</f>
        <v>0</v>
      </c>
      <c r="AF70" s="3">
        <f>T70-HLOOKUP(X70,Feuil1!$C$1:$BL$10,6,FALSE)</f>
        <v>-15</v>
      </c>
      <c r="AG70" s="3">
        <f>T70-HLOOKUP(X70,Feuil1!$C$1:$BL$10,7,FALSE)</f>
        <v>-30</v>
      </c>
      <c r="AH70" s="3">
        <f>T70-HLOOKUP(X70,Feuil1!$C$1:$BL$10,8,FALSE)</f>
        <v>-45</v>
      </c>
      <c r="AI70" s="3">
        <f>T70-HLOOKUP(X70,Feuil1!$C$1:$BL$10,9,FALSE)</f>
        <v>-65</v>
      </c>
      <c r="AJ70" s="5">
        <f>T70-HLOOKUP(X70,Feuil1!$C$1:$BL$10,10,FALSE)</f>
        <v>-905</v>
      </c>
      <c r="AQ70" s="5" t="str">
        <f t="shared" si="35"/>
        <v>IRG +</v>
      </c>
    </row>
    <row r="71" spans="1:55" ht="21" hidden="1" x14ac:dyDescent="0.2">
      <c r="A71" s="12" t="s">
        <v>69</v>
      </c>
      <c r="B71" s="67" t="s">
        <v>721</v>
      </c>
      <c r="C71" s="68" t="s">
        <v>775</v>
      </c>
      <c r="D71" s="69">
        <v>10</v>
      </c>
      <c r="E71" s="70">
        <v>381459</v>
      </c>
      <c r="F71" s="106" t="s">
        <v>273</v>
      </c>
      <c r="G71" s="86" t="s">
        <v>779</v>
      </c>
      <c r="H71" s="72">
        <v>1995</v>
      </c>
      <c r="I71" s="73">
        <v>58.4</v>
      </c>
      <c r="J71" s="68" t="s">
        <v>780</v>
      </c>
      <c r="K71" s="74" t="s">
        <v>69</v>
      </c>
      <c r="L71" s="75">
        <v>35</v>
      </c>
      <c r="M71" s="75">
        <v>-38</v>
      </c>
      <c r="N71" s="75">
        <v>-38</v>
      </c>
      <c r="O71" s="76">
        <f t="shared" si="28"/>
        <v>35</v>
      </c>
      <c r="P71" s="75">
        <v>48</v>
      </c>
      <c r="Q71" s="75">
        <v>50</v>
      </c>
      <c r="R71" s="75">
        <v>52</v>
      </c>
      <c r="S71" s="76">
        <f t="shared" si="29"/>
        <v>52</v>
      </c>
      <c r="T71" s="77">
        <f t="shared" si="30"/>
        <v>87</v>
      </c>
      <c r="U71" s="83">
        <f t="shared" si="31"/>
        <v>-29.799999999999997</v>
      </c>
      <c r="V71" s="79" t="str">
        <f t="shared" si="32"/>
        <v>REG +</v>
      </c>
      <c r="W71" s="80">
        <f t="shared" si="33"/>
        <v>2</v>
      </c>
      <c r="X71" s="81" t="str">
        <f>IF(I71="","",IF(A71="H",IF(OR(H71="SEN",H71&lt;1995),VLOOKUP(I71,Feuil1!$A$11:$F$29,6),IF(AND(H71&gt;1994,H71&lt;1998),VLOOKUP(I71,Feuil1!$A$11:$F$29,5),IF(AND(H71&gt;1997,H71&lt;2000),VLOOKUP(I71,Feuil1!$A$11:$F$29,4),IF(AND(H71&gt;1999,H71&lt;2002),VLOOKUP(I71,Feuil1!$A$11:$F$29,3),VLOOKUP(I71,Feuil1!$A$11:$F$29,2))))),IF(OR(H71="SEN",H71&lt;1995),VLOOKUP(I71,Feuil1!$G$11:$L$25,6),IF(AND(H71&gt;1994,H71&lt;1998),VLOOKUP(I71,Feuil1!$G$11:$L$25,5),IF(AND(H71&gt;1997,H71&lt;2000),VLOOKUP(I71,Feuil1!$G$11:$L$25,4),IF(AND(H71&gt;1999,H71&lt;2002),VLOOKUP(I71,Feuil1!$G$11:$L$25,3),VLOOKUP(I71,Feuil1!$G$11:$L$25,2)))))))</f>
        <v>FJ63</v>
      </c>
      <c r="Y71" s="39">
        <f t="shared" si="34"/>
        <v>121.87434821049382</v>
      </c>
      <c r="Z71" s="45"/>
      <c r="AA71" s="45" t="s">
        <v>12</v>
      </c>
      <c r="AB71" s="3">
        <f>T71-HLOOKUP(X71,Feuil1!$C$1:$BL$10,2,FALSE)</f>
        <v>22</v>
      </c>
      <c r="AC71" s="3">
        <f>T71-HLOOKUP(X71,Feuil1!$C$1:$BL$10,3,FALSE)</f>
        <v>12</v>
      </c>
      <c r="AD71" s="3">
        <f>T71-HLOOKUP(X71,Feuil1!$C$1:$BL$10,4,FALSE)</f>
        <v>2</v>
      </c>
      <c r="AE71" s="3">
        <f>T71-HLOOKUP(X71,Feuil1!$C$1:$BL$10,5,FALSE)</f>
        <v>-8</v>
      </c>
      <c r="AF71" s="3">
        <f>T71-HLOOKUP(X71,Feuil1!$C$1:$BL$10,6,FALSE)</f>
        <v>-23</v>
      </c>
      <c r="AG71" s="3">
        <f>T71-HLOOKUP(X71,Feuil1!$C$1:$BL$10,7,FALSE)</f>
        <v>-38</v>
      </c>
      <c r="AH71" s="3">
        <f>T71-HLOOKUP(X71,Feuil1!$C$1:$BL$10,8,FALSE)</f>
        <v>-53</v>
      </c>
      <c r="AI71" s="3">
        <f>T71-HLOOKUP(X71,Feuil1!$C$1:$BL$10,9,FALSE)</f>
        <v>-73</v>
      </c>
      <c r="AJ71" s="5">
        <f>T71-HLOOKUP(X71,Feuil1!$C$1:$BL$10,10,FALSE)</f>
        <v>-913</v>
      </c>
      <c r="AQ71" s="5" t="str">
        <f t="shared" si="35"/>
        <v>REG +</v>
      </c>
    </row>
    <row r="72" spans="1:55" ht="21" hidden="1" customHeight="1" x14ac:dyDescent="0.2">
      <c r="A72" s="12" t="s">
        <v>69</v>
      </c>
      <c r="B72" s="18" t="s">
        <v>71</v>
      </c>
      <c r="C72" s="19" t="s">
        <v>801</v>
      </c>
      <c r="D72" s="61">
        <v>11</v>
      </c>
      <c r="E72" s="35">
        <v>375353</v>
      </c>
      <c r="F72" s="24" t="s">
        <v>824</v>
      </c>
      <c r="G72" s="24" t="s">
        <v>825</v>
      </c>
      <c r="H72" s="51">
        <v>1997</v>
      </c>
      <c r="I72" s="30">
        <v>62.2</v>
      </c>
      <c r="J72" s="19" t="s">
        <v>807</v>
      </c>
      <c r="K72" s="34" t="s">
        <v>69</v>
      </c>
      <c r="L72" s="31">
        <v>-34</v>
      </c>
      <c r="M72" s="31">
        <v>34</v>
      </c>
      <c r="N72" s="31">
        <v>-36</v>
      </c>
      <c r="O72" s="36">
        <f t="shared" si="28"/>
        <v>34</v>
      </c>
      <c r="P72" s="31">
        <v>49</v>
      </c>
      <c r="Q72" s="31">
        <v>-51</v>
      </c>
      <c r="R72" s="31">
        <v>51</v>
      </c>
      <c r="S72" s="36">
        <f t="shared" si="29"/>
        <v>51</v>
      </c>
      <c r="T72" s="37">
        <f t="shared" si="30"/>
        <v>85</v>
      </c>
      <c r="U72" s="64">
        <f t="shared" si="31"/>
        <v>-39.400000000000006</v>
      </c>
      <c r="V72" s="41" t="str">
        <f t="shared" si="32"/>
        <v>REG +</v>
      </c>
      <c r="W72" s="33">
        <f t="shared" si="33"/>
        <v>0</v>
      </c>
      <c r="X72" s="40" t="str">
        <f>IF(I72="","",IF(A72="H",IF(OR(H72="SEN",H72&lt;1995),VLOOKUP(I72,Feuil1!$A$11:$F$29,6),IF(AND(H72&gt;1994,H72&lt;1998),VLOOKUP(I72,Feuil1!$A$11:$F$29,5),IF(AND(H72&gt;1997,H72&lt;2000),VLOOKUP(I72,Feuil1!$A$11:$F$29,4),IF(AND(H72&gt;1999,H72&lt;2002),VLOOKUP(I72,Feuil1!$A$11:$F$29,3),VLOOKUP(I72,Feuil1!$A$11:$F$29,2))))),IF(OR(H72="SEN",H72&lt;1995),VLOOKUP(I72,Feuil1!$G$11:$L$25,6),IF(AND(H72&gt;1994,H72&lt;1998),VLOOKUP(I72,Feuil1!$G$11:$L$25,5),IF(AND(H72&gt;1997,H72&lt;2000),VLOOKUP(I72,Feuil1!$G$11:$L$25,4),IF(AND(H72&gt;1999,H72&lt;2002),VLOOKUP(I72,Feuil1!$G$11:$L$25,3),VLOOKUP(I72,Feuil1!$G$11:$L$25,2)))))))</f>
        <v>FJ63</v>
      </c>
      <c r="Y72" s="39">
        <f t="shared" si="34"/>
        <v>113.93045443120899</v>
      </c>
      <c r="Z72" s="45"/>
      <c r="AA72" s="45" t="s">
        <v>12</v>
      </c>
      <c r="AB72" s="3">
        <f>T72-HLOOKUP(X72,Feuil1!$C$1:$BL$10,2,FALSE)</f>
        <v>20</v>
      </c>
      <c r="AC72" s="3">
        <f>T72-HLOOKUP(X72,Feuil1!$C$1:$BL$10,3,FALSE)</f>
        <v>10</v>
      </c>
      <c r="AD72" s="3">
        <f>T72-HLOOKUP(X72,Feuil1!$C$1:$BL$10,4,FALSE)</f>
        <v>0</v>
      </c>
      <c r="AE72" s="3">
        <f>T72-HLOOKUP(X72,Feuil1!$C$1:$BL$10,5,FALSE)</f>
        <v>-10</v>
      </c>
      <c r="AF72" s="3">
        <f>T72-HLOOKUP(X72,Feuil1!$C$1:$BL$10,6,FALSE)</f>
        <v>-25</v>
      </c>
      <c r="AG72" s="3">
        <f>T72-HLOOKUP(X72,Feuil1!$C$1:$BL$10,7,FALSE)</f>
        <v>-40</v>
      </c>
      <c r="AH72" s="3">
        <f>T72-HLOOKUP(X72,Feuil1!$C$1:$BL$10,8,FALSE)</f>
        <v>-55</v>
      </c>
      <c r="AI72" s="3">
        <f>T72-HLOOKUP(X72,Feuil1!$C$1:$BL$10,9,FALSE)</f>
        <v>-75</v>
      </c>
      <c r="AJ72" s="5">
        <f>T72-HLOOKUP(X72,Feuil1!$C$1:$BL$10,10,FALSE)</f>
        <v>-915</v>
      </c>
      <c r="AQ72" s="5" t="str">
        <f t="shared" si="35"/>
        <v>REG +</v>
      </c>
    </row>
    <row r="73" spans="1:55" ht="21" hidden="1" x14ac:dyDescent="0.2">
      <c r="A73" s="12" t="s">
        <v>69</v>
      </c>
      <c r="B73" s="18" t="s">
        <v>649</v>
      </c>
      <c r="C73" s="19" t="s">
        <v>669</v>
      </c>
      <c r="D73" s="61">
        <v>12</v>
      </c>
      <c r="E73" s="35">
        <v>392883</v>
      </c>
      <c r="F73" s="20" t="s">
        <v>681</v>
      </c>
      <c r="G73" s="20" t="s">
        <v>245</v>
      </c>
      <c r="H73" s="51">
        <v>1996</v>
      </c>
      <c r="I73" s="30">
        <v>63</v>
      </c>
      <c r="J73" s="19" t="s">
        <v>672</v>
      </c>
      <c r="K73" s="34" t="s">
        <v>69</v>
      </c>
      <c r="L73" s="31">
        <v>30</v>
      </c>
      <c r="M73" s="31">
        <v>35</v>
      </c>
      <c r="N73" s="31">
        <v>37</v>
      </c>
      <c r="O73" s="36">
        <f t="shared" si="28"/>
        <v>37</v>
      </c>
      <c r="P73" s="31">
        <v>40</v>
      </c>
      <c r="Q73" s="31">
        <v>45</v>
      </c>
      <c r="R73" s="31">
        <v>48</v>
      </c>
      <c r="S73" s="36">
        <f t="shared" si="29"/>
        <v>48</v>
      </c>
      <c r="T73" s="37">
        <f t="shared" si="30"/>
        <v>85</v>
      </c>
      <c r="U73" s="64">
        <f t="shared" si="31"/>
        <v>-41</v>
      </c>
      <c r="V73" s="41" t="str">
        <f t="shared" si="32"/>
        <v>REG +</v>
      </c>
      <c r="W73" s="33">
        <f t="shared" si="33"/>
        <v>0</v>
      </c>
      <c r="X73" s="40" t="str">
        <f>IF(I73="","",IF(A73="H",IF(OR(H73="SEN",H73&lt;1995),VLOOKUP(I73,Feuil1!$A$11:$F$29,6),IF(AND(H73&gt;1994,H73&lt;1998),VLOOKUP(I73,Feuil1!$A$11:$F$29,5),IF(AND(H73&gt;1997,H73&lt;2000),VLOOKUP(I73,Feuil1!$A$11:$F$29,4),IF(AND(H73&gt;1999,H73&lt;2002),VLOOKUP(I73,Feuil1!$A$11:$F$29,3),VLOOKUP(I73,Feuil1!$A$11:$F$29,2))))),IF(OR(H73="SEN",H73&lt;1995),VLOOKUP(I73,Feuil1!$G$11:$L$25,6),IF(AND(H73&gt;1994,H73&lt;1998),VLOOKUP(I73,Feuil1!$G$11:$L$25,5),IF(AND(H73&gt;1997,H73&lt;2000),VLOOKUP(I73,Feuil1!$G$11:$L$25,4),IF(AND(H73&gt;1999,H73&lt;2002),VLOOKUP(I73,Feuil1!$G$11:$L$25,3),VLOOKUP(I73,Feuil1!$G$11:$L$25,2)))))))</f>
        <v>FJ63</v>
      </c>
      <c r="Y73" s="39">
        <f t="shared" si="34"/>
        <v>112.95802654150714</v>
      </c>
      <c r="Z73" s="45"/>
      <c r="AA73" s="45" t="s">
        <v>12</v>
      </c>
      <c r="AB73" s="3">
        <f>T73-HLOOKUP(X73,Feuil1!$C$1:$BL$10,2,FALSE)</f>
        <v>20</v>
      </c>
      <c r="AC73" s="3">
        <f>T73-HLOOKUP(X73,Feuil1!$C$1:$BL$10,3,FALSE)</f>
        <v>10</v>
      </c>
      <c r="AD73" s="3">
        <f>T73-HLOOKUP(X73,Feuil1!$C$1:$BL$10,4,FALSE)</f>
        <v>0</v>
      </c>
      <c r="AE73" s="3">
        <f>T73-HLOOKUP(X73,Feuil1!$C$1:$BL$10,5,FALSE)</f>
        <v>-10</v>
      </c>
      <c r="AF73" s="3">
        <f>T73-HLOOKUP(X73,Feuil1!$C$1:$BL$10,6,FALSE)</f>
        <v>-25</v>
      </c>
      <c r="AG73" s="3">
        <f>T73-HLOOKUP(X73,Feuil1!$C$1:$BL$10,7,FALSE)</f>
        <v>-40</v>
      </c>
      <c r="AH73" s="3">
        <f>T73-HLOOKUP(X73,Feuil1!$C$1:$BL$10,8,FALSE)</f>
        <v>-55</v>
      </c>
      <c r="AI73" s="3">
        <f>T73-HLOOKUP(X73,Feuil1!$C$1:$BL$10,9,FALSE)</f>
        <v>-75</v>
      </c>
      <c r="AJ73" s="5">
        <f>T73-HLOOKUP(X73,Feuil1!$C$1:$BL$10,10,FALSE)</f>
        <v>-915</v>
      </c>
      <c r="AQ73" s="5" t="str">
        <f t="shared" si="35"/>
        <v>REG +</v>
      </c>
      <c r="BC73" s="13"/>
    </row>
    <row r="74" spans="1:55" ht="21" hidden="1" x14ac:dyDescent="0.2">
      <c r="A74" s="12" t="s">
        <v>69</v>
      </c>
      <c r="B74" s="18" t="s">
        <v>71</v>
      </c>
      <c r="C74" s="19" t="s">
        <v>801</v>
      </c>
      <c r="D74" s="61">
        <v>13</v>
      </c>
      <c r="E74" s="35">
        <v>392168</v>
      </c>
      <c r="F74" s="20" t="s">
        <v>830</v>
      </c>
      <c r="G74" s="20" t="s">
        <v>831</v>
      </c>
      <c r="H74" s="51">
        <v>1997</v>
      </c>
      <c r="I74" s="30">
        <v>59.1</v>
      </c>
      <c r="J74" s="19" t="s">
        <v>803</v>
      </c>
      <c r="K74" s="34" t="s">
        <v>69</v>
      </c>
      <c r="L74" s="31">
        <v>27</v>
      </c>
      <c r="M74" s="31">
        <v>30</v>
      </c>
      <c r="N74" s="31">
        <v>-33</v>
      </c>
      <c r="O74" s="36">
        <f t="shared" si="28"/>
        <v>30</v>
      </c>
      <c r="P74" s="31">
        <v>35</v>
      </c>
      <c r="Q74" s="31">
        <v>38</v>
      </c>
      <c r="R74" s="31">
        <v>-41</v>
      </c>
      <c r="S74" s="36">
        <f t="shared" si="29"/>
        <v>38</v>
      </c>
      <c r="T74" s="37">
        <f t="shared" si="30"/>
        <v>68</v>
      </c>
      <c r="U74" s="64">
        <f t="shared" si="31"/>
        <v>-50.2</v>
      </c>
      <c r="V74" s="41" t="str">
        <f t="shared" si="32"/>
        <v xml:space="preserve">DEB </v>
      </c>
      <c r="W74" s="33">
        <f t="shared" si="33"/>
        <v>3</v>
      </c>
      <c r="X74" s="40" t="str">
        <f>IF(I74="","",IF(A74="H",IF(OR(H74="SEN",H74&lt;1995),VLOOKUP(I74,Feuil1!$A$11:$F$29,6),IF(AND(H74&gt;1994,H74&lt;1998),VLOOKUP(I74,Feuil1!$A$11:$F$29,5),IF(AND(H74&gt;1997,H74&lt;2000),VLOOKUP(I74,Feuil1!$A$11:$F$29,4),IF(AND(H74&gt;1999,H74&lt;2002),VLOOKUP(I74,Feuil1!$A$11:$F$29,3),VLOOKUP(I74,Feuil1!$A$11:$F$29,2))))),IF(OR(H74="SEN",H74&lt;1995),VLOOKUP(I74,Feuil1!$G$11:$L$25,6),IF(AND(H74&gt;1994,H74&lt;1998),VLOOKUP(I74,Feuil1!$G$11:$L$25,5),IF(AND(H74&gt;1997,H74&lt;2000),VLOOKUP(I74,Feuil1!$G$11:$L$25,4),IF(AND(H74&gt;1999,H74&lt;2002),VLOOKUP(I74,Feuil1!$G$11:$L$25,3),VLOOKUP(I74,Feuil1!$G$11:$L$25,2)))))))</f>
        <v>FJ63</v>
      </c>
      <c r="Y74" s="39">
        <f t="shared" si="34"/>
        <v>94.444168295501086</v>
      </c>
      <c r="Z74" s="45"/>
      <c r="AA74" s="45" t="s">
        <v>12</v>
      </c>
      <c r="AB74" s="3">
        <f>T74-HLOOKUP(X74,Feuil1!$C$1:$BL$10,2,FALSE)</f>
        <v>3</v>
      </c>
      <c r="AC74" s="3">
        <f>T74-HLOOKUP(X74,Feuil1!$C$1:$BL$10,3,FALSE)</f>
        <v>-7</v>
      </c>
      <c r="AD74" s="3">
        <f>T74-HLOOKUP(X74,Feuil1!$C$1:$BL$10,4,FALSE)</f>
        <v>-17</v>
      </c>
      <c r="AE74" s="3">
        <f>T74-HLOOKUP(X74,Feuil1!$C$1:$BL$10,5,FALSE)</f>
        <v>-27</v>
      </c>
      <c r="AF74" s="3">
        <f>T74-HLOOKUP(X74,Feuil1!$C$1:$BL$10,6,FALSE)</f>
        <v>-42</v>
      </c>
      <c r="AG74" s="3">
        <f>T74-HLOOKUP(X74,Feuil1!$C$1:$BL$10,7,FALSE)</f>
        <v>-57</v>
      </c>
      <c r="AH74" s="3">
        <f>T74-HLOOKUP(X74,Feuil1!$C$1:$BL$10,8,FALSE)</f>
        <v>-72</v>
      </c>
      <c r="AI74" s="3">
        <f>T74-HLOOKUP(X74,Feuil1!$C$1:$BL$10,9,FALSE)</f>
        <v>-92</v>
      </c>
      <c r="AJ74" s="5">
        <f>T74-HLOOKUP(X74,Feuil1!$C$1:$BL$10,10,FALSE)</f>
        <v>-932</v>
      </c>
      <c r="AQ74" s="5" t="str">
        <f t="shared" si="35"/>
        <v xml:space="preserve">DEB </v>
      </c>
    </row>
    <row r="75" spans="1:55" ht="21" hidden="1" x14ac:dyDescent="0.2">
      <c r="A75" s="12" t="s">
        <v>69</v>
      </c>
      <c r="B75" s="18" t="s">
        <v>71</v>
      </c>
      <c r="C75" s="19" t="s">
        <v>72</v>
      </c>
      <c r="D75" s="61">
        <v>14</v>
      </c>
      <c r="E75" s="35">
        <v>379663</v>
      </c>
      <c r="F75" s="24" t="s">
        <v>942</v>
      </c>
      <c r="G75" s="24" t="s">
        <v>943</v>
      </c>
      <c r="H75" s="51">
        <v>1997</v>
      </c>
      <c r="I75" s="30">
        <v>58.2</v>
      </c>
      <c r="J75" s="19" t="s">
        <v>935</v>
      </c>
      <c r="K75" s="34" t="s">
        <v>69</v>
      </c>
      <c r="L75" s="31">
        <v>24</v>
      </c>
      <c r="M75" s="31">
        <v>26</v>
      </c>
      <c r="N75" s="31">
        <v>28</v>
      </c>
      <c r="O75" s="36">
        <f t="shared" si="28"/>
        <v>28</v>
      </c>
      <c r="P75" s="31">
        <v>34</v>
      </c>
      <c r="Q75" s="31">
        <v>-36</v>
      </c>
      <c r="R75" s="31">
        <v>-38</v>
      </c>
      <c r="S75" s="36">
        <f t="shared" si="29"/>
        <v>34</v>
      </c>
      <c r="T75" s="37">
        <f t="shared" si="30"/>
        <v>62</v>
      </c>
      <c r="U75" s="64">
        <f t="shared" si="31"/>
        <v>-54.400000000000006</v>
      </c>
      <c r="V75" s="41" t="str">
        <f t="shared" si="32"/>
        <v xml:space="preserve">DEB </v>
      </c>
      <c r="W75" s="33">
        <f t="shared" si="33"/>
        <v>-3</v>
      </c>
      <c r="X75" s="40" t="str">
        <f>IF(I75="","",IF(A75="H",IF(OR(H75="SEN",H75&lt;1995),VLOOKUP(I75,Feuil1!$A$11:$F$29,6),IF(AND(H75&gt;1994,H75&lt;1998),VLOOKUP(I75,Feuil1!$A$11:$F$29,5),IF(AND(H75&gt;1997,H75&lt;2000),VLOOKUP(I75,Feuil1!$A$11:$F$29,4),IF(AND(H75&gt;1999,H75&lt;2002),VLOOKUP(I75,Feuil1!$A$11:$F$29,3),VLOOKUP(I75,Feuil1!$A$11:$F$29,2))))),IF(OR(H75="SEN",H75&lt;1995),VLOOKUP(I75,Feuil1!$G$11:$L$25,6),IF(AND(H75&gt;1994,H75&lt;1998),VLOOKUP(I75,Feuil1!$G$11:$L$25,5),IF(AND(H75&gt;1997,H75&lt;2000),VLOOKUP(I75,Feuil1!$G$11:$L$25,4),IF(AND(H75&gt;1999,H75&lt;2002),VLOOKUP(I75,Feuil1!$G$11:$L$25,3),VLOOKUP(I75,Feuil1!$G$11:$L$25,2)))))))</f>
        <v>FJ63</v>
      </c>
      <c r="Y75" s="39">
        <f t="shared" si="34"/>
        <v>87.069623183985584</v>
      </c>
      <c r="Z75" s="45"/>
      <c r="AA75" s="45" t="s">
        <v>12</v>
      </c>
      <c r="AB75" s="3">
        <f>T75-HLOOKUP(X75,Feuil1!$C$1:$BL$10,2,FALSE)</f>
        <v>-3</v>
      </c>
      <c r="AC75" s="3">
        <f>T75-HLOOKUP(X75,Feuil1!$C$1:$BL$10,3,FALSE)</f>
        <v>-13</v>
      </c>
      <c r="AD75" s="3">
        <f>T75-HLOOKUP(X75,Feuil1!$C$1:$BL$10,4,FALSE)</f>
        <v>-23</v>
      </c>
      <c r="AE75" s="3">
        <f>T75-HLOOKUP(X75,Feuil1!$C$1:$BL$10,5,FALSE)</f>
        <v>-33</v>
      </c>
      <c r="AF75" s="3">
        <f>T75-HLOOKUP(X75,Feuil1!$C$1:$BL$10,6,FALSE)</f>
        <v>-48</v>
      </c>
      <c r="AG75" s="3">
        <f>T75-HLOOKUP(X75,Feuil1!$C$1:$BL$10,7,FALSE)</f>
        <v>-63</v>
      </c>
      <c r="AH75" s="3">
        <f>T75-HLOOKUP(X75,Feuil1!$C$1:$BL$10,8,FALSE)</f>
        <v>-78</v>
      </c>
      <c r="AI75" s="3">
        <f>T75-HLOOKUP(X75,Feuil1!$C$1:$BL$10,9,FALSE)</f>
        <v>-98</v>
      </c>
      <c r="AJ75" s="5">
        <f>T75-HLOOKUP(X75,Feuil1!$C$1:$BL$10,10,FALSE)</f>
        <v>-938</v>
      </c>
      <c r="AQ75" s="5" t="str">
        <f t="shared" si="35"/>
        <v xml:space="preserve">DEB </v>
      </c>
    </row>
    <row r="76" spans="1:55" ht="21" hidden="1" x14ac:dyDescent="0.2">
      <c r="A76" s="12" t="s">
        <v>69</v>
      </c>
      <c r="B76" s="18" t="s">
        <v>71</v>
      </c>
      <c r="C76" s="19" t="s">
        <v>72</v>
      </c>
      <c r="D76" s="61">
        <v>15</v>
      </c>
      <c r="E76" s="35">
        <v>366671</v>
      </c>
      <c r="F76" s="24" t="s">
        <v>945</v>
      </c>
      <c r="G76" s="24" t="s">
        <v>946</v>
      </c>
      <c r="H76" s="51">
        <v>1997</v>
      </c>
      <c r="I76" s="30">
        <v>58.95</v>
      </c>
      <c r="J76" s="19" t="s">
        <v>935</v>
      </c>
      <c r="K76" s="34" t="s">
        <v>69</v>
      </c>
      <c r="L76" s="31">
        <v>-27</v>
      </c>
      <c r="M76" s="31">
        <v>27</v>
      </c>
      <c r="N76" s="31">
        <v>-31</v>
      </c>
      <c r="O76" s="36">
        <f t="shared" si="28"/>
        <v>27</v>
      </c>
      <c r="P76" s="31">
        <v>32</v>
      </c>
      <c r="Q76" s="31">
        <v>-35</v>
      </c>
      <c r="R76" s="31">
        <v>35</v>
      </c>
      <c r="S76" s="36">
        <f t="shared" si="29"/>
        <v>35</v>
      </c>
      <c r="T76" s="37">
        <f t="shared" si="30"/>
        <v>62</v>
      </c>
      <c r="U76" s="64">
        <f t="shared" si="31"/>
        <v>-55.900000000000006</v>
      </c>
      <c r="V76" s="41" t="str">
        <f t="shared" si="32"/>
        <v xml:space="preserve">DEB </v>
      </c>
      <c r="W76" s="33">
        <f t="shared" si="33"/>
        <v>-3</v>
      </c>
      <c r="X76" s="40" t="str">
        <f>IF(I76="","",IF(A76="H",IF(OR(H76="SEN",H76&lt;1995),VLOOKUP(I76,Feuil1!$A$11:$F$29,6),IF(AND(H76&gt;1994,H76&lt;1998),VLOOKUP(I76,Feuil1!$A$11:$F$29,5),IF(AND(H76&gt;1997,H76&lt;2000),VLOOKUP(I76,Feuil1!$A$11:$F$29,4),IF(AND(H76&gt;1999,H76&lt;2002),VLOOKUP(I76,Feuil1!$A$11:$F$29,3),VLOOKUP(I76,Feuil1!$A$11:$F$29,2))))),IF(OR(H76="SEN",H76&lt;1995),VLOOKUP(I76,Feuil1!$G$11:$L$25,6),IF(AND(H76&gt;1994,H76&lt;1998),VLOOKUP(I76,Feuil1!$G$11:$L$25,5),IF(AND(H76&gt;1997,H76&lt;2000),VLOOKUP(I76,Feuil1!$G$11:$L$25,4),IF(AND(H76&gt;1999,H76&lt;2002),VLOOKUP(I76,Feuil1!$G$11:$L$25,3),VLOOKUP(I76,Feuil1!$G$11:$L$25,2)))))))</f>
        <v>FJ63</v>
      </c>
      <c r="Y76" s="39">
        <f t="shared" si="34"/>
        <v>86.267808648219557</v>
      </c>
      <c r="Z76" s="45"/>
      <c r="AA76" s="45" t="s">
        <v>12</v>
      </c>
      <c r="AB76" s="3">
        <f>T76-HLOOKUP(X76,Feuil1!$C$1:$BL$10,2,FALSE)</f>
        <v>-3</v>
      </c>
      <c r="AC76" s="3">
        <f>T76-HLOOKUP(X76,Feuil1!$C$1:$BL$10,3,FALSE)</f>
        <v>-13</v>
      </c>
      <c r="AD76" s="3">
        <f>T76-HLOOKUP(X76,Feuil1!$C$1:$BL$10,4,FALSE)</f>
        <v>-23</v>
      </c>
      <c r="AE76" s="3">
        <f>T76-HLOOKUP(X76,Feuil1!$C$1:$BL$10,5,FALSE)</f>
        <v>-33</v>
      </c>
      <c r="AF76" s="3">
        <f>T76-HLOOKUP(X76,Feuil1!$C$1:$BL$10,6,FALSE)</f>
        <v>-48</v>
      </c>
      <c r="AG76" s="3">
        <f>T76-HLOOKUP(X76,Feuil1!$C$1:$BL$10,7,FALSE)</f>
        <v>-63</v>
      </c>
      <c r="AH76" s="3">
        <f>T76-HLOOKUP(X76,Feuil1!$C$1:$BL$10,8,FALSE)</f>
        <v>-78</v>
      </c>
      <c r="AI76" s="3">
        <f>T76-HLOOKUP(X76,Feuil1!$C$1:$BL$10,9,FALSE)</f>
        <v>-98</v>
      </c>
      <c r="AJ76" s="5">
        <f>T76-HLOOKUP(X76,Feuil1!$C$1:$BL$10,10,FALSE)</f>
        <v>-938</v>
      </c>
      <c r="AQ76" s="5" t="str">
        <f t="shared" si="35"/>
        <v xml:space="preserve">DEB </v>
      </c>
    </row>
    <row r="77" spans="1:55" ht="21" hidden="1" x14ac:dyDescent="0.2">
      <c r="A77" s="12" t="s">
        <v>69</v>
      </c>
      <c r="B77" s="18" t="s">
        <v>108</v>
      </c>
      <c r="C77" s="19" t="s">
        <v>264</v>
      </c>
      <c r="D77" s="61">
        <v>16</v>
      </c>
      <c r="E77" s="35">
        <v>336127</v>
      </c>
      <c r="F77" s="20" t="s">
        <v>275</v>
      </c>
      <c r="G77" s="20" t="s">
        <v>276</v>
      </c>
      <c r="H77" s="51">
        <v>97</v>
      </c>
      <c r="I77" s="30">
        <v>61.6</v>
      </c>
      <c r="J77" s="19" t="s">
        <v>277</v>
      </c>
      <c r="K77" s="34" t="s">
        <v>69</v>
      </c>
      <c r="L77" s="31">
        <v>20</v>
      </c>
      <c r="M77" s="31">
        <v>23</v>
      </c>
      <c r="N77" s="31">
        <v>-26</v>
      </c>
      <c r="O77" s="36">
        <f t="shared" si="28"/>
        <v>23</v>
      </c>
      <c r="P77" s="31">
        <v>33</v>
      </c>
      <c r="Q77" s="31">
        <v>-36</v>
      </c>
      <c r="R77" s="31">
        <v>39</v>
      </c>
      <c r="S77" s="36">
        <f t="shared" si="29"/>
        <v>39</v>
      </c>
      <c r="T77" s="37">
        <f t="shared" si="30"/>
        <v>62</v>
      </c>
      <c r="U77" s="64">
        <f t="shared" si="31"/>
        <v>-61.2</v>
      </c>
      <c r="V77" s="41" t="str">
        <f t="shared" si="32"/>
        <v xml:space="preserve">DEB </v>
      </c>
      <c r="W77" s="33">
        <f t="shared" si="33"/>
        <v>-13</v>
      </c>
      <c r="X77" s="40" t="str">
        <f>IF(I77="","",IF(A77="H",IF(OR(H77="SEN",H77&lt;1995),VLOOKUP(I77,Feuil1!$A$11:$F$29,6),IF(AND(H77&gt;1994,H77&lt;1998),VLOOKUP(I77,Feuil1!$A$11:$F$29,5),IF(AND(H77&gt;1997,H77&lt;2000),VLOOKUP(I77,Feuil1!$A$11:$F$29,4),IF(AND(H77&gt;1999,H77&lt;2002),VLOOKUP(I77,Feuil1!$A$11:$F$29,3),VLOOKUP(I77,Feuil1!$A$11:$F$29,2))))),IF(OR(H77="SEN",H77&lt;1995),VLOOKUP(I77,Feuil1!$G$11:$L$25,6),IF(AND(H77&gt;1994,H77&lt;1998),VLOOKUP(I77,Feuil1!$G$11:$L$25,5),IF(AND(H77&gt;1997,H77&lt;2000),VLOOKUP(I77,Feuil1!$G$11:$L$25,4),IF(AND(H77&gt;1999,H77&lt;2002),VLOOKUP(I77,Feuil1!$G$11:$L$25,3),VLOOKUP(I77,Feuil1!$G$11:$L$25,2)))))))</f>
        <v>FS63</v>
      </c>
      <c r="Y77" s="39">
        <f t="shared" si="34"/>
        <v>83.651371491634364</v>
      </c>
      <c r="Z77" s="45"/>
      <c r="AA77" s="45" t="s">
        <v>12</v>
      </c>
      <c r="AB77" s="3">
        <f>T77-HLOOKUP(X77,Feuil1!$C$1:$BL$10,2,FALSE)</f>
        <v>-13</v>
      </c>
      <c r="AC77" s="3">
        <f>T77-HLOOKUP(X77,Feuil1!$C$1:$BL$10,3,FALSE)</f>
        <v>-23</v>
      </c>
      <c r="AD77" s="3">
        <f>T77-HLOOKUP(X77,Feuil1!$C$1:$BL$10,4,FALSE)</f>
        <v>-33</v>
      </c>
      <c r="AE77" s="3">
        <f>T77-HLOOKUP(X77,Feuil1!$C$1:$BL$10,5,FALSE)</f>
        <v>-48</v>
      </c>
      <c r="AF77" s="3">
        <f>T77-HLOOKUP(X77,Feuil1!$C$1:$BL$10,6,FALSE)</f>
        <v>-63</v>
      </c>
      <c r="AG77" s="3">
        <f>T77-HLOOKUP(X77,Feuil1!$C$1:$BL$10,7,FALSE)</f>
        <v>-78</v>
      </c>
      <c r="AH77" s="3">
        <f>T77-HLOOKUP(X77,Feuil1!$C$1:$BL$10,8,FALSE)</f>
        <v>-98</v>
      </c>
      <c r="AI77" s="3">
        <f>T77-HLOOKUP(X77,Feuil1!$C$1:$BL$10,9,FALSE)</f>
        <v>-118</v>
      </c>
      <c r="AJ77" s="5">
        <f>T77-HLOOKUP(X77,Feuil1!$C$1:$BL$10,10,FALSE)</f>
        <v>-138</v>
      </c>
      <c r="AQ77" s="5" t="str">
        <f t="shared" si="35"/>
        <v xml:space="preserve">DEB </v>
      </c>
    </row>
    <row r="78" spans="1:55" ht="21" hidden="1" x14ac:dyDescent="0.2">
      <c r="A78" s="12" t="s">
        <v>69</v>
      </c>
      <c r="B78" s="18" t="s">
        <v>108</v>
      </c>
      <c r="C78" s="19" t="s">
        <v>119</v>
      </c>
      <c r="D78" s="61">
        <v>17</v>
      </c>
      <c r="E78" s="35">
        <v>369423</v>
      </c>
      <c r="F78" s="20" t="s">
        <v>164</v>
      </c>
      <c r="G78" s="20" t="s">
        <v>165</v>
      </c>
      <c r="H78" s="51">
        <v>1997</v>
      </c>
      <c r="I78" s="30">
        <v>59.35</v>
      </c>
      <c r="J78" s="19" t="s">
        <v>161</v>
      </c>
      <c r="K78" s="34" t="s">
        <v>69</v>
      </c>
      <c r="L78" s="31">
        <v>23</v>
      </c>
      <c r="M78" s="31">
        <v>25</v>
      </c>
      <c r="N78" s="31">
        <v>-27</v>
      </c>
      <c r="O78" s="36">
        <f t="shared" si="28"/>
        <v>25</v>
      </c>
      <c r="P78" s="31">
        <v>27</v>
      </c>
      <c r="Q78" s="31">
        <v>-30</v>
      </c>
      <c r="R78" s="31">
        <v>30</v>
      </c>
      <c r="S78" s="36">
        <f t="shared" si="29"/>
        <v>30</v>
      </c>
      <c r="T78" s="37">
        <f t="shared" si="30"/>
        <v>55</v>
      </c>
      <c r="U78" s="64">
        <f t="shared" si="31"/>
        <v>-63.7</v>
      </c>
      <c r="V78" s="41" t="str">
        <f t="shared" si="32"/>
        <v xml:space="preserve">DEB </v>
      </c>
      <c r="W78" s="33">
        <f t="shared" si="33"/>
        <v>-10</v>
      </c>
      <c r="X78" s="40" t="str">
        <f>IF(I78="","",IF(A78="H",IF(OR(H78="SEN",H78&lt;1995),VLOOKUP(I78,Feuil1!$A$11:$F$29,6),IF(AND(H78&gt;1994,H78&lt;1998),VLOOKUP(I78,Feuil1!$A$11:$F$29,5),IF(AND(H78&gt;1997,H78&lt;2000),VLOOKUP(I78,Feuil1!$A$11:$F$29,4),IF(AND(H78&gt;1999,H78&lt;2002),VLOOKUP(I78,Feuil1!$A$11:$F$29,3),VLOOKUP(I78,Feuil1!$A$11:$F$29,2))))),IF(OR(H78="SEN",H78&lt;1995),VLOOKUP(I78,Feuil1!$G$11:$L$25,6),IF(AND(H78&gt;1994,H78&lt;1998),VLOOKUP(I78,Feuil1!$G$11:$L$25,5),IF(AND(H78&gt;1997,H78&lt;2000),VLOOKUP(I78,Feuil1!$G$11:$L$25,4),IF(AND(H78&gt;1999,H78&lt;2002),VLOOKUP(I78,Feuil1!$G$11:$L$25,3),VLOOKUP(I78,Feuil1!$G$11:$L$25,2)))))))</f>
        <v>FJ63</v>
      </c>
      <c r="Y78" s="39">
        <f t="shared" si="34"/>
        <v>76.158806949545806</v>
      </c>
      <c r="Z78" s="45"/>
      <c r="AA78" s="45" t="s">
        <v>12</v>
      </c>
      <c r="AB78" s="3">
        <f>T78-HLOOKUP(X78,Feuil1!$C$1:$BL$10,2,FALSE)</f>
        <v>-10</v>
      </c>
      <c r="AC78" s="3">
        <f>T78-HLOOKUP(X78,Feuil1!$C$1:$BL$10,3,FALSE)</f>
        <v>-20</v>
      </c>
      <c r="AD78" s="3">
        <f>T78-HLOOKUP(X78,Feuil1!$C$1:$BL$10,4,FALSE)</f>
        <v>-30</v>
      </c>
      <c r="AE78" s="3">
        <f>T78-HLOOKUP(X78,Feuil1!$C$1:$BL$10,5,FALSE)</f>
        <v>-40</v>
      </c>
      <c r="AF78" s="3">
        <f>T78-HLOOKUP(X78,Feuil1!$C$1:$BL$10,6,FALSE)</f>
        <v>-55</v>
      </c>
      <c r="AG78" s="3">
        <f>T78-HLOOKUP(X78,Feuil1!$C$1:$BL$10,7,FALSE)</f>
        <v>-70</v>
      </c>
      <c r="AH78" s="3">
        <f>T78-HLOOKUP(X78,Feuil1!$C$1:$BL$10,8,FALSE)</f>
        <v>-85</v>
      </c>
      <c r="AI78" s="3">
        <f>T78-HLOOKUP(X78,Feuil1!$C$1:$BL$10,9,FALSE)</f>
        <v>-105</v>
      </c>
      <c r="AJ78" s="5">
        <f>T78-HLOOKUP(X78,Feuil1!$C$1:$BL$10,10,FALSE)</f>
        <v>-945</v>
      </c>
      <c r="AQ78" s="5" t="str">
        <f t="shared" si="35"/>
        <v xml:space="preserve">DEB </v>
      </c>
    </row>
    <row r="79" spans="1:55" s="13" customFormat="1" ht="15" hidden="1" customHeight="1" thickBot="1" x14ac:dyDescent="0.25">
      <c r="A79" s="89"/>
      <c r="B79" s="90"/>
      <c r="C79" s="91"/>
      <c r="D79" s="92"/>
      <c r="E79" s="93"/>
      <c r="F79" s="94"/>
      <c r="G79" s="94"/>
      <c r="H79" s="95"/>
      <c r="I79" s="96"/>
      <c r="J79" s="91"/>
      <c r="K79" s="97"/>
      <c r="L79" s="98"/>
      <c r="M79" s="98"/>
      <c r="N79" s="98"/>
      <c r="O79" s="99"/>
      <c r="P79" s="98"/>
      <c r="Q79" s="98"/>
      <c r="R79" s="98"/>
      <c r="S79" s="99"/>
      <c r="T79" s="100"/>
      <c r="U79" s="101"/>
      <c r="V79" s="102"/>
      <c r="W79" s="103"/>
      <c r="X79" s="104"/>
      <c r="Y79" s="105"/>
      <c r="Z79" s="45"/>
      <c r="AA79" s="45" t="s">
        <v>12</v>
      </c>
      <c r="AB79" s="3" t="e">
        <f>T79-HLOOKUP(X79,Feuil1!$C$1:$BL$10,2,FALSE)</f>
        <v>#N/A</v>
      </c>
      <c r="AC79" s="3" t="e">
        <f>T79-HLOOKUP(X79,Feuil1!$C$1:$BL$10,3,FALSE)</f>
        <v>#N/A</v>
      </c>
      <c r="AD79" s="3" t="e">
        <f>T79-HLOOKUP(X79,Feuil1!$C$1:$BL$10,4,FALSE)</f>
        <v>#N/A</v>
      </c>
      <c r="AE79" s="3" t="e">
        <f>T79-HLOOKUP(X79,Feuil1!$C$1:$BL$10,5,FALSE)</f>
        <v>#N/A</v>
      </c>
      <c r="AF79" s="3" t="e">
        <f>T79-HLOOKUP(X79,Feuil1!$C$1:$BL$10,6,FALSE)</f>
        <v>#N/A</v>
      </c>
      <c r="AG79" s="3" t="e">
        <f>T79-HLOOKUP(X79,Feuil1!$C$1:$BL$10,7,FALSE)</f>
        <v>#N/A</v>
      </c>
      <c r="AH79" s="3" t="e">
        <f>T79-HLOOKUP(X79,Feuil1!$C$1:$BL$10,8,FALSE)</f>
        <v>#N/A</v>
      </c>
      <c r="AI79" s="3" t="e">
        <f>T79-HLOOKUP(X79,Feuil1!$C$1:$BL$10,9,FALSE)</f>
        <v>#N/A</v>
      </c>
      <c r="AJ79" s="3" t="e">
        <f>T79-HLOOKUP(X79,Feuil1!$C$1:$BL$10,10,FALSE)</f>
        <v>#N/A</v>
      </c>
      <c r="AK79" s="5"/>
      <c r="AL79" s="5"/>
      <c r="AM79" s="5"/>
      <c r="AN79" s="5"/>
      <c r="AO79" s="5"/>
      <c r="AP79" s="5"/>
      <c r="AQ79" s="5" t="e">
        <f t="shared" ref="AQ79:AQ103" si="36">IF(AJ79&gt;=0,$AJ$1,IF(AI79&gt;=0,$AI$1,IF(AH79&gt;=0,$AH$1,IF(AG79&gt;=0,$AG$1,IF(AF79&gt;=0,$AF$1,IF(AE79&gt;=0,$AE$1,IF(AD79&gt;=0,$AD$1,IF(AC79&gt;=0,$AC$1,$AB$1))))))))</f>
        <v>#N/A</v>
      </c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</row>
    <row r="80" spans="1:55" ht="21" x14ac:dyDescent="0.2">
      <c r="A80" s="12" t="s">
        <v>69</v>
      </c>
      <c r="B80" s="18" t="s">
        <v>649</v>
      </c>
      <c r="C80" s="19" t="s">
        <v>669</v>
      </c>
      <c r="D80" s="61">
        <v>1</v>
      </c>
      <c r="E80" s="35">
        <v>183203</v>
      </c>
      <c r="F80" s="20" t="s">
        <v>682</v>
      </c>
      <c r="G80" s="20" t="s">
        <v>417</v>
      </c>
      <c r="H80" s="51">
        <v>1996</v>
      </c>
      <c r="I80" s="30">
        <v>68.8</v>
      </c>
      <c r="J80" s="19" t="s">
        <v>672</v>
      </c>
      <c r="K80" s="34" t="s">
        <v>69</v>
      </c>
      <c r="L80" s="31">
        <v>65</v>
      </c>
      <c r="M80" s="31">
        <v>70</v>
      </c>
      <c r="N80" s="31">
        <v>72</v>
      </c>
      <c r="O80" s="36">
        <f t="shared" ref="O80:O89" si="37">IF(H80="","",IF(MAXA(L80:N80)&lt;=0,0,MAXA(L80:N80)))</f>
        <v>72</v>
      </c>
      <c r="P80" s="31">
        <v>80</v>
      </c>
      <c r="Q80" s="31">
        <v>85</v>
      </c>
      <c r="R80" s="31">
        <v>-89</v>
      </c>
      <c r="S80" s="36">
        <f t="shared" ref="S80:S89" si="38">IF(H80="","",IF(MAXA(P80:R80)&lt;=0,0,MAXA(P80:R80)))</f>
        <v>85</v>
      </c>
      <c r="T80" s="37">
        <f t="shared" ref="T80:T89" si="39">IF(H80="","",IF(OR(O80=0,S80=0),0,O80+S80))</f>
        <v>157</v>
      </c>
      <c r="U80" s="64">
        <f t="shared" ref="U80:U89" si="40">T80-I80*2</f>
        <v>19.400000000000006</v>
      </c>
      <c r="V80" s="41" t="str">
        <f t="shared" ref="V80:V89" si="41">IF(H80="","",AQ80)</f>
        <v>INTB +</v>
      </c>
      <c r="W80" s="33">
        <f t="shared" ref="W80:W89" si="42">IF(AJ80&gt;=0,AJ80,IF(AI80&gt;=0,AI80,IF(AH80&gt;=0,AH80,IF(AG80&gt;=0,AG80,IF(AF80&gt;=0,AF80,IF(AE80&gt;=0,AE80,IF(AD80&gt;=0,AD80,IF(AC80&gt;=0,AC80,AB80))))))))</f>
        <v>7</v>
      </c>
      <c r="X80" s="40" t="str">
        <f>IF(I80="","",IF(A80="H",IF(OR(H80="SEN",H80&lt;1995),VLOOKUP(I80,Feuil1!$A$11:$F$29,6),IF(AND(H80&gt;1994,H80&lt;1998),VLOOKUP(I80,Feuil1!$A$11:$F$29,5),IF(AND(H80&gt;1997,H80&lt;2000),VLOOKUP(I80,Feuil1!$A$11:$F$29,4),IF(AND(H80&gt;1999,H80&lt;2002),VLOOKUP(I80,Feuil1!$A$11:$F$29,3),VLOOKUP(I80,Feuil1!$A$11:$F$29,2))))),IF(OR(H80="SEN",H80&lt;1995),VLOOKUP(I80,Feuil1!$G$11:$L$25,6),IF(AND(H80&gt;1994,H80&lt;1998),VLOOKUP(I80,Feuil1!$G$11:$L$25,5),IF(AND(H80&gt;1997,H80&lt;2000),VLOOKUP(I80,Feuil1!$G$11:$L$25,4),IF(AND(H80&gt;1999,H80&lt;2002),VLOOKUP(I80,Feuil1!$G$11:$L$25,3),VLOOKUP(I80,Feuil1!$G$11:$L$25,2)))))))</f>
        <v>FJ69</v>
      </c>
      <c r="Y80" s="39">
        <f t="shared" ref="Y80:Y89" si="43">IF(I80="","",IF(A80="H",10^(0.794358141*LOG(I80/174.393)^2)*T80,IF(A80="F",10^(0.89726074*LOG(I80/148.026)^2)*T80,"")))</f>
        <v>197.35421272392091</v>
      </c>
      <c r="Z80" s="45"/>
      <c r="AA80" s="45" t="s">
        <v>12</v>
      </c>
      <c r="AB80" s="3">
        <f>T80-HLOOKUP(X80,Feuil1!$C$1:$BL$10,2,FALSE)</f>
        <v>87</v>
      </c>
      <c r="AC80" s="3">
        <f>T80-HLOOKUP(X80,Feuil1!$C$1:$BL$10,3,FALSE)</f>
        <v>77</v>
      </c>
      <c r="AD80" s="3">
        <f>T80-HLOOKUP(X80,Feuil1!$C$1:$BL$10,4,FALSE)</f>
        <v>67</v>
      </c>
      <c r="AE80" s="3">
        <f>T80-HLOOKUP(X80,Feuil1!$C$1:$BL$10,5,FALSE)</f>
        <v>52</v>
      </c>
      <c r="AF80" s="3">
        <f>T80-HLOOKUP(X80,Feuil1!$C$1:$BL$10,6,FALSE)</f>
        <v>37</v>
      </c>
      <c r="AG80" s="3">
        <f>T80-HLOOKUP(X80,Feuil1!$C$1:$BL$10,7,FALSE)</f>
        <v>22</v>
      </c>
      <c r="AH80" s="3">
        <f>T80-HLOOKUP(X80,Feuil1!$C$1:$BL$10,8,FALSE)</f>
        <v>7</v>
      </c>
      <c r="AI80" s="3">
        <f>T80-HLOOKUP(X80,Feuil1!$C$1:$BL$10,9,FALSE)</f>
        <v>-13</v>
      </c>
      <c r="AJ80" s="5">
        <f>T80-HLOOKUP(X80,Feuil1!$C$1:$BL$10,10,FALSE)</f>
        <v>-843</v>
      </c>
      <c r="AQ80" s="5" t="str">
        <f t="shared" ref="AQ80:AQ89" si="44">IF(AJ80&gt;=0,$AJ$1,IF(AI80&gt;=0,$AI$1,IF(AH80&gt;=0,$AH$1,IF(AG80&gt;=0,$AG$1,IF(AF80&gt;=0,$AF$1,IF(AE80&gt;=0,$AE$1,IF(AD80&gt;=0,$AD$1,IF(AC80&gt;=0,$AC$1,$AB$1))))))))</f>
        <v>INTB +</v>
      </c>
      <c r="BC80" s="13"/>
    </row>
    <row r="81" spans="1:55" ht="21" hidden="1" x14ac:dyDescent="0.2">
      <c r="A81" s="12" t="s">
        <v>69</v>
      </c>
      <c r="B81" s="18" t="s">
        <v>108</v>
      </c>
      <c r="C81" s="19" t="s">
        <v>119</v>
      </c>
      <c r="D81" s="61">
        <v>2</v>
      </c>
      <c r="E81" s="35">
        <v>298196</v>
      </c>
      <c r="F81" s="20" t="s">
        <v>166</v>
      </c>
      <c r="G81" s="20" t="s">
        <v>167</v>
      </c>
      <c r="H81" s="51">
        <v>1997</v>
      </c>
      <c r="I81" s="30">
        <v>65.7</v>
      </c>
      <c r="J81" s="19" t="s">
        <v>161</v>
      </c>
      <c r="K81" s="34" t="s">
        <v>69</v>
      </c>
      <c r="L81" s="31">
        <v>53</v>
      </c>
      <c r="M81" s="31">
        <v>57</v>
      </c>
      <c r="N81" s="31">
        <v>-60</v>
      </c>
      <c r="O81" s="36">
        <f t="shared" si="37"/>
        <v>57</v>
      </c>
      <c r="P81" s="31">
        <v>73</v>
      </c>
      <c r="Q81" s="31">
        <v>-77</v>
      </c>
      <c r="R81" s="31">
        <v>77</v>
      </c>
      <c r="S81" s="36">
        <f t="shared" si="38"/>
        <v>77</v>
      </c>
      <c r="T81" s="37">
        <f t="shared" si="39"/>
        <v>134</v>
      </c>
      <c r="U81" s="64">
        <f t="shared" si="40"/>
        <v>2.5999999999999943</v>
      </c>
      <c r="V81" s="41" t="str">
        <f t="shared" si="41"/>
        <v>FED +</v>
      </c>
      <c r="W81" s="33">
        <f t="shared" si="42"/>
        <v>14</v>
      </c>
      <c r="X81" s="40" t="str">
        <f>IF(I81="","",IF(A81="H",IF(OR(H81="SEN",H81&lt;1995),VLOOKUP(I81,Feuil1!$A$11:$F$29,6),IF(AND(H81&gt;1994,H81&lt;1998),VLOOKUP(I81,Feuil1!$A$11:$F$29,5),IF(AND(H81&gt;1997,H81&lt;2000),VLOOKUP(I81,Feuil1!$A$11:$F$29,4),IF(AND(H81&gt;1999,H81&lt;2002),VLOOKUP(I81,Feuil1!$A$11:$F$29,3),VLOOKUP(I81,Feuil1!$A$11:$F$29,2))))),IF(OR(H81="SEN",H81&lt;1995),VLOOKUP(I81,Feuil1!$G$11:$L$25,6),IF(AND(H81&gt;1994,H81&lt;1998),VLOOKUP(I81,Feuil1!$G$11:$L$25,5),IF(AND(H81&gt;1997,H81&lt;2000),VLOOKUP(I81,Feuil1!$G$11:$L$25,4),IF(AND(H81&gt;1999,H81&lt;2002),VLOOKUP(I81,Feuil1!$G$11:$L$25,3),VLOOKUP(I81,Feuil1!$G$11:$L$25,2)))))))</f>
        <v>FJ69</v>
      </c>
      <c r="Y81" s="39">
        <f t="shared" si="43"/>
        <v>173.28763704939607</v>
      </c>
      <c r="Z81" s="45"/>
      <c r="AA81" s="45" t="s">
        <v>12</v>
      </c>
      <c r="AB81" s="3">
        <f>T81-HLOOKUP(X81,Feuil1!$C$1:$BL$10,2,FALSE)</f>
        <v>64</v>
      </c>
      <c r="AC81" s="3">
        <f>T81-HLOOKUP(X81,Feuil1!$C$1:$BL$10,3,FALSE)</f>
        <v>54</v>
      </c>
      <c r="AD81" s="3">
        <f>T81-HLOOKUP(X81,Feuil1!$C$1:$BL$10,4,FALSE)</f>
        <v>44</v>
      </c>
      <c r="AE81" s="3">
        <f>T81-HLOOKUP(X81,Feuil1!$C$1:$BL$10,5,FALSE)</f>
        <v>29</v>
      </c>
      <c r="AF81" s="3">
        <f>T81-HLOOKUP(X81,Feuil1!$C$1:$BL$10,6,FALSE)</f>
        <v>14</v>
      </c>
      <c r="AG81" s="3">
        <f>T81-HLOOKUP(X81,Feuil1!$C$1:$BL$10,7,FALSE)</f>
        <v>-1</v>
      </c>
      <c r="AH81" s="3">
        <f>T81-HLOOKUP(X81,Feuil1!$C$1:$BL$10,8,FALSE)</f>
        <v>-16</v>
      </c>
      <c r="AI81" s="3">
        <f>T81-HLOOKUP(X81,Feuil1!$C$1:$BL$10,9,FALSE)</f>
        <v>-36</v>
      </c>
      <c r="AJ81" s="5">
        <f>T81-HLOOKUP(X81,Feuil1!$C$1:$BL$10,10,FALSE)</f>
        <v>-866</v>
      </c>
      <c r="AQ81" s="5" t="str">
        <f t="shared" si="44"/>
        <v>FED +</v>
      </c>
    </row>
    <row r="82" spans="1:55" ht="21" hidden="1" x14ac:dyDescent="0.2">
      <c r="A82" s="12" t="s">
        <v>69</v>
      </c>
      <c r="B82" s="18" t="s">
        <v>108</v>
      </c>
      <c r="C82" s="19" t="s">
        <v>119</v>
      </c>
      <c r="D82" s="61">
        <v>3</v>
      </c>
      <c r="E82" s="35">
        <v>348083</v>
      </c>
      <c r="F82" s="20" t="s">
        <v>168</v>
      </c>
      <c r="G82" s="20" t="s">
        <v>169</v>
      </c>
      <c r="H82" s="51">
        <v>1997</v>
      </c>
      <c r="I82" s="30">
        <v>68.099999999999994</v>
      </c>
      <c r="J82" s="19" t="s">
        <v>170</v>
      </c>
      <c r="K82" s="34" t="s">
        <v>69</v>
      </c>
      <c r="L82" s="31">
        <v>-54</v>
      </c>
      <c r="M82" s="31">
        <v>-54</v>
      </c>
      <c r="N82" s="31">
        <v>54</v>
      </c>
      <c r="O82" s="36">
        <f t="shared" si="37"/>
        <v>54</v>
      </c>
      <c r="P82" s="31">
        <v>74</v>
      </c>
      <c r="Q82" s="31">
        <v>77</v>
      </c>
      <c r="R82" s="31">
        <v>-79</v>
      </c>
      <c r="S82" s="36">
        <f t="shared" si="38"/>
        <v>77</v>
      </c>
      <c r="T82" s="37">
        <f t="shared" si="39"/>
        <v>131</v>
      </c>
      <c r="U82" s="64">
        <f t="shared" si="40"/>
        <v>-5.1999999999999886</v>
      </c>
      <c r="V82" s="41" t="str">
        <f t="shared" si="41"/>
        <v>FED +</v>
      </c>
      <c r="W82" s="33">
        <f t="shared" si="42"/>
        <v>11</v>
      </c>
      <c r="X82" s="40" t="str">
        <f>IF(I82="","",IF(A82="H",IF(OR(H82="SEN",H82&lt;1995),VLOOKUP(I82,Feuil1!$A$11:$F$29,6),IF(AND(H82&gt;1994,H82&lt;1998),VLOOKUP(I82,Feuil1!$A$11:$F$29,5),IF(AND(H82&gt;1997,H82&lt;2000),VLOOKUP(I82,Feuil1!$A$11:$F$29,4),IF(AND(H82&gt;1999,H82&lt;2002),VLOOKUP(I82,Feuil1!$A$11:$F$29,3),VLOOKUP(I82,Feuil1!$A$11:$F$29,2))))),IF(OR(H82="SEN",H82&lt;1995),VLOOKUP(I82,Feuil1!$G$11:$L$25,6),IF(AND(H82&gt;1994,H82&lt;1998),VLOOKUP(I82,Feuil1!$G$11:$L$25,5),IF(AND(H82&gt;1997,H82&lt;2000),VLOOKUP(I82,Feuil1!$G$11:$L$25,4),IF(AND(H82&gt;1999,H82&lt;2002),VLOOKUP(I82,Feuil1!$G$11:$L$25,3),VLOOKUP(I82,Feuil1!$G$11:$L$25,2)))))))</f>
        <v>FJ69</v>
      </c>
      <c r="Y82" s="39">
        <f t="shared" si="43"/>
        <v>165.68674871774004</v>
      </c>
      <c r="Z82" s="45"/>
      <c r="AA82" s="45" t="s">
        <v>12</v>
      </c>
      <c r="AB82" s="3">
        <f>T82-HLOOKUP(X82,Feuil1!$C$1:$BL$10,2,FALSE)</f>
        <v>61</v>
      </c>
      <c r="AC82" s="3">
        <f>T82-HLOOKUP(X82,Feuil1!$C$1:$BL$10,3,FALSE)</f>
        <v>51</v>
      </c>
      <c r="AD82" s="3">
        <f>T82-HLOOKUP(X82,Feuil1!$C$1:$BL$10,4,FALSE)</f>
        <v>41</v>
      </c>
      <c r="AE82" s="3">
        <f>T82-HLOOKUP(X82,Feuil1!$C$1:$BL$10,5,FALSE)</f>
        <v>26</v>
      </c>
      <c r="AF82" s="3">
        <f>T82-HLOOKUP(X82,Feuil1!$C$1:$BL$10,6,FALSE)</f>
        <v>11</v>
      </c>
      <c r="AG82" s="3">
        <f>T82-HLOOKUP(X82,Feuil1!$C$1:$BL$10,7,FALSE)</f>
        <v>-4</v>
      </c>
      <c r="AH82" s="3">
        <f>T82-HLOOKUP(X82,Feuil1!$C$1:$BL$10,8,FALSE)</f>
        <v>-19</v>
      </c>
      <c r="AI82" s="3">
        <f>T82-HLOOKUP(X82,Feuil1!$C$1:$BL$10,9,FALSE)</f>
        <v>-39</v>
      </c>
      <c r="AJ82" s="5">
        <f>T82-HLOOKUP(X82,Feuil1!$C$1:$BL$10,10,FALSE)</f>
        <v>-869</v>
      </c>
      <c r="AQ82" s="5" t="str">
        <f t="shared" si="44"/>
        <v>FED +</v>
      </c>
      <c r="BC82" s="13"/>
    </row>
    <row r="83" spans="1:55" ht="21" hidden="1" x14ac:dyDescent="0.2">
      <c r="A83" s="12" t="s">
        <v>69</v>
      </c>
      <c r="B83" s="67" t="s">
        <v>71</v>
      </c>
      <c r="C83" s="68" t="s">
        <v>801</v>
      </c>
      <c r="D83" s="69">
        <v>4</v>
      </c>
      <c r="E83" s="70">
        <v>231757</v>
      </c>
      <c r="F83" s="86" t="s">
        <v>826</v>
      </c>
      <c r="G83" s="86" t="s">
        <v>827</v>
      </c>
      <c r="H83" s="72">
        <v>1995</v>
      </c>
      <c r="I83" s="73">
        <v>65</v>
      </c>
      <c r="J83" s="68" t="s">
        <v>813</v>
      </c>
      <c r="K83" s="74" t="s">
        <v>69</v>
      </c>
      <c r="L83" s="75">
        <v>51</v>
      </c>
      <c r="M83" s="75">
        <v>55</v>
      </c>
      <c r="N83" s="75">
        <v>57</v>
      </c>
      <c r="O83" s="76">
        <f t="shared" si="37"/>
        <v>57</v>
      </c>
      <c r="P83" s="75">
        <v>60</v>
      </c>
      <c r="Q83" s="75">
        <v>63</v>
      </c>
      <c r="R83" s="75">
        <v>66</v>
      </c>
      <c r="S83" s="76">
        <f t="shared" si="38"/>
        <v>66</v>
      </c>
      <c r="T83" s="77">
        <f t="shared" si="39"/>
        <v>123</v>
      </c>
      <c r="U83" s="83">
        <f t="shared" si="40"/>
        <v>-7</v>
      </c>
      <c r="V83" s="79" t="str">
        <f t="shared" si="41"/>
        <v>FED +</v>
      </c>
      <c r="W83" s="80">
        <f t="shared" si="42"/>
        <v>3</v>
      </c>
      <c r="X83" s="81" t="str">
        <f>IF(I83="","",IF(A83="H",IF(OR(H83="SEN",H83&lt;1995),VLOOKUP(I83,Feuil1!$A$11:$F$29,6),IF(AND(H83&gt;1994,H83&lt;1998),VLOOKUP(I83,Feuil1!$A$11:$F$29,5),IF(AND(H83&gt;1997,H83&lt;2000),VLOOKUP(I83,Feuil1!$A$11:$F$29,4),IF(AND(H83&gt;1999,H83&lt;2002),VLOOKUP(I83,Feuil1!$A$11:$F$29,3),VLOOKUP(I83,Feuil1!$A$11:$F$29,2))))),IF(OR(H83="SEN",H83&lt;1995),VLOOKUP(I83,Feuil1!$G$11:$L$25,6),IF(AND(H83&gt;1994,H83&lt;1998),VLOOKUP(I83,Feuil1!$G$11:$L$25,5),IF(AND(H83&gt;1997,H83&lt;2000),VLOOKUP(I83,Feuil1!$G$11:$L$25,4),IF(AND(H83&gt;1999,H83&lt;2002),VLOOKUP(I83,Feuil1!$G$11:$L$25,3),VLOOKUP(I83,Feuil1!$G$11:$L$25,2)))))))</f>
        <v>FJ69</v>
      </c>
      <c r="Y83" s="39">
        <f t="shared" si="43"/>
        <v>160.15197727306952</v>
      </c>
      <c r="Z83" s="45"/>
      <c r="AA83" s="45" t="s">
        <v>12</v>
      </c>
      <c r="AB83" s="3">
        <f>T83-HLOOKUP(X83,Feuil1!$C$1:$BL$10,2,FALSE)</f>
        <v>53</v>
      </c>
      <c r="AC83" s="3">
        <f>T83-HLOOKUP(X83,Feuil1!$C$1:$BL$10,3,FALSE)</f>
        <v>43</v>
      </c>
      <c r="AD83" s="3">
        <f>T83-HLOOKUP(X83,Feuil1!$C$1:$BL$10,4,FALSE)</f>
        <v>33</v>
      </c>
      <c r="AE83" s="3">
        <f>T83-HLOOKUP(X83,Feuil1!$C$1:$BL$10,5,FALSE)</f>
        <v>18</v>
      </c>
      <c r="AF83" s="3">
        <f>T83-HLOOKUP(X83,Feuil1!$C$1:$BL$10,6,FALSE)</f>
        <v>3</v>
      </c>
      <c r="AG83" s="3">
        <f>T83-HLOOKUP(X83,Feuil1!$C$1:$BL$10,7,FALSE)</f>
        <v>-12</v>
      </c>
      <c r="AH83" s="3">
        <f>T83-HLOOKUP(X83,Feuil1!$C$1:$BL$10,8,FALSE)</f>
        <v>-27</v>
      </c>
      <c r="AI83" s="3">
        <f>T83-HLOOKUP(X83,Feuil1!$C$1:$BL$10,9,FALSE)</f>
        <v>-47</v>
      </c>
      <c r="AJ83" s="5">
        <f>T83-HLOOKUP(X83,Feuil1!$C$1:$BL$10,10,FALSE)</f>
        <v>-877</v>
      </c>
      <c r="AQ83" s="5" t="str">
        <f t="shared" si="44"/>
        <v>FED +</v>
      </c>
    </row>
    <row r="84" spans="1:55" ht="21" hidden="1" x14ac:dyDescent="0.2">
      <c r="A84" s="12" t="s">
        <v>69</v>
      </c>
      <c r="B84" s="67" t="s">
        <v>536</v>
      </c>
      <c r="C84" s="68" t="s">
        <v>545</v>
      </c>
      <c r="D84" s="69">
        <v>5</v>
      </c>
      <c r="E84" s="70">
        <v>253453</v>
      </c>
      <c r="F84" s="71" t="s">
        <v>569</v>
      </c>
      <c r="G84" s="71" t="s">
        <v>571</v>
      </c>
      <c r="H84" s="72">
        <v>1995</v>
      </c>
      <c r="I84" s="73">
        <v>65.3</v>
      </c>
      <c r="J84" s="68" t="s">
        <v>551</v>
      </c>
      <c r="K84" s="74" t="s">
        <v>69</v>
      </c>
      <c r="L84" s="75">
        <v>45</v>
      </c>
      <c r="M84" s="75">
        <v>50</v>
      </c>
      <c r="N84" s="75">
        <v>-55</v>
      </c>
      <c r="O84" s="76">
        <f t="shared" si="37"/>
        <v>50</v>
      </c>
      <c r="P84" s="75">
        <v>67</v>
      </c>
      <c r="Q84" s="75">
        <v>70</v>
      </c>
      <c r="R84" s="75">
        <v>-73</v>
      </c>
      <c r="S84" s="76">
        <f t="shared" si="38"/>
        <v>70</v>
      </c>
      <c r="T84" s="77">
        <f t="shared" si="39"/>
        <v>120</v>
      </c>
      <c r="U84" s="83">
        <f t="shared" si="40"/>
        <v>-10.599999999999994</v>
      </c>
      <c r="V84" s="79" t="str">
        <f t="shared" si="41"/>
        <v>FED +</v>
      </c>
      <c r="W84" s="80">
        <f t="shared" si="42"/>
        <v>0</v>
      </c>
      <c r="X84" s="81" t="str">
        <f>IF(I84="","",IF(A84="H",IF(OR(H84="SEN",H84&lt;1995),VLOOKUP(I84,Feuil1!$A$11:$F$29,6),IF(AND(H84&gt;1994,H84&lt;1998),VLOOKUP(I84,Feuil1!$A$11:$F$29,5),IF(AND(H84&gt;1997,H84&lt;2000),VLOOKUP(I84,Feuil1!$A$11:$F$29,4),IF(AND(H84&gt;1999,H84&lt;2002),VLOOKUP(I84,Feuil1!$A$11:$F$29,3),VLOOKUP(I84,Feuil1!$A$11:$F$29,2))))),IF(OR(H84="SEN",H84&lt;1995),VLOOKUP(I84,Feuil1!$G$11:$L$25,6),IF(AND(H84&gt;1994,H84&lt;1998),VLOOKUP(I84,Feuil1!$G$11:$L$25,5),IF(AND(H84&gt;1997,H84&lt;2000),VLOOKUP(I84,Feuil1!$G$11:$L$25,4),IF(AND(H84&gt;1999,H84&lt;2002),VLOOKUP(I84,Feuil1!$G$11:$L$25,3),VLOOKUP(I84,Feuil1!$G$11:$L$25,2)))))))</f>
        <v>FJ69</v>
      </c>
      <c r="Y84" s="39">
        <f t="shared" si="43"/>
        <v>155.78632342018841</v>
      </c>
      <c r="Z84" s="45"/>
      <c r="AA84" s="45" t="s">
        <v>12</v>
      </c>
      <c r="AB84" s="3">
        <f>T84-HLOOKUP(X84,Feuil1!$C$1:$BL$10,2,FALSE)</f>
        <v>50</v>
      </c>
      <c r="AC84" s="3">
        <f>T84-HLOOKUP(X84,Feuil1!$C$1:$BL$10,3,FALSE)</f>
        <v>40</v>
      </c>
      <c r="AD84" s="3">
        <f>T84-HLOOKUP(X84,Feuil1!$C$1:$BL$10,4,FALSE)</f>
        <v>30</v>
      </c>
      <c r="AE84" s="3">
        <f>T84-HLOOKUP(X84,Feuil1!$C$1:$BL$10,5,FALSE)</f>
        <v>15</v>
      </c>
      <c r="AF84" s="3">
        <f>T84-HLOOKUP(X84,Feuil1!$C$1:$BL$10,6,FALSE)</f>
        <v>0</v>
      </c>
      <c r="AG84" s="3">
        <f>T84-HLOOKUP(X84,Feuil1!$C$1:$BL$10,7,FALSE)</f>
        <v>-15</v>
      </c>
      <c r="AH84" s="3">
        <f>T84-HLOOKUP(X84,Feuil1!$C$1:$BL$10,8,FALSE)</f>
        <v>-30</v>
      </c>
      <c r="AI84" s="3">
        <f>T84-HLOOKUP(X84,Feuil1!$C$1:$BL$10,9,FALSE)</f>
        <v>-50</v>
      </c>
      <c r="AJ84" s="5">
        <f>T84-HLOOKUP(X84,Feuil1!$C$1:$BL$10,10,FALSE)</f>
        <v>-880</v>
      </c>
      <c r="AQ84" s="5" t="str">
        <f t="shared" si="44"/>
        <v>FED +</v>
      </c>
    </row>
    <row r="85" spans="1:55" ht="21" hidden="1" x14ac:dyDescent="0.2">
      <c r="A85" s="12" t="s">
        <v>69</v>
      </c>
      <c r="B85" s="67" t="s">
        <v>298</v>
      </c>
      <c r="C85" s="68" t="s">
        <v>299</v>
      </c>
      <c r="D85" s="69">
        <v>6</v>
      </c>
      <c r="E85" s="70">
        <v>326999</v>
      </c>
      <c r="F85" s="71" t="s">
        <v>318</v>
      </c>
      <c r="G85" s="71" t="s">
        <v>319</v>
      </c>
      <c r="H85" s="72">
        <v>1997</v>
      </c>
      <c r="I85" s="73">
        <v>63.6</v>
      </c>
      <c r="J85" s="68" t="s">
        <v>307</v>
      </c>
      <c r="K85" s="74" t="s">
        <v>69</v>
      </c>
      <c r="L85" s="75">
        <v>40</v>
      </c>
      <c r="M85" s="75">
        <v>45</v>
      </c>
      <c r="N85" s="75">
        <v>49</v>
      </c>
      <c r="O85" s="76">
        <f t="shared" si="37"/>
        <v>49</v>
      </c>
      <c r="P85" s="75">
        <v>53</v>
      </c>
      <c r="Q85" s="75">
        <v>58</v>
      </c>
      <c r="R85" s="75">
        <v>-60</v>
      </c>
      <c r="S85" s="76">
        <f t="shared" si="38"/>
        <v>58</v>
      </c>
      <c r="T85" s="77">
        <f t="shared" si="39"/>
        <v>107</v>
      </c>
      <c r="U85" s="83">
        <f t="shared" si="40"/>
        <v>-20.200000000000003</v>
      </c>
      <c r="V85" s="79" t="str">
        <f t="shared" si="41"/>
        <v>IRG +</v>
      </c>
      <c r="W85" s="80">
        <f t="shared" si="42"/>
        <v>2</v>
      </c>
      <c r="X85" s="81" t="str">
        <f>IF(I85="","",IF(A85="H",IF(OR(H85="SEN",H85&lt;1995),VLOOKUP(I85,Feuil1!$A$11:$F$29,6),IF(AND(H85&gt;1994,H85&lt;1998),VLOOKUP(I85,Feuil1!$A$11:$F$29,5),IF(AND(H85&gt;1997,H85&lt;2000),VLOOKUP(I85,Feuil1!$A$11:$F$29,4),IF(AND(H85&gt;1999,H85&lt;2002),VLOOKUP(I85,Feuil1!$A$11:$F$29,3),VLOOKUP(I85,Feuil1!$A$11:$F$29,2))))),IF(OR(H85="SEN",H85&lt;1995),VLOOKUP(I85,Feuil1!$G$11:$L$25,6),IF(AND(H85&gt;1994,H85&lt;1998),VLOOKUP(I85,Feuil1!$G$11:$L$25,5),IF(AND(H85&gt;1997,H85&lt;2000),VLOOKUP(I85,Feuil1!$G$11:$L$25,4),IF(AND(H85&gt;1999,H85&lt;2002),VLOOKUP(I85,Feuil1!$G$11:$L$25,3),VLOOKUP(I85,Feuil1!$G$11:$L$25,2)))))))</f>
        <v>FJ69</v>
      </c>
      <c r="Y85" s="39">
        <f t="shared" si="43"/>
        <v>141.30466387973715</v>
      </c>
      <c r="Z85" s="45"/>
      <c r="AA85" s="45" t="s">
        <v>12</v>
      </c>
      <c r="AB85" s="3">
        <f>T85-HLOOKUP(X85,Feuil1!$C$1:$BL$10,2,FALSE)</f>
        <v>37</v>
      </c>
      <c r="AC85" s="3">
        <f>T85-HLOOKUP(X85,Feuil1!$C$1:$BL$10,3,FALSE)</f>
        <v>27</v>
      </c>
      <c r="AD85" s="3">
        <f>T85-HLOOKUP(X85,Feuil1!$C$1:$BL$10,4,FALSE)</f>
        <v>17</v>
      </c>
      <c r="AE85" s="3">
        <f>T85-HLOOKUP(X85,Feuil1!$C$1:$BL$10,5,FALSE)</f>
        <v>2</v>
      </c>
      <c r="AF85" s="3">
        <f>T85-HLOOKUP(X85,Feuil1!$C$1:$BL$10,6,FALSE)</f>
        <v>-13</v>
      </c>
      <c r="AG85" s="3">
        <f>T85-HLOOKUP(X85,Feuil1!$C$1:$BL$10,7,FALSE)</f>
        <v>-28</v>
      </c>
      <c r="AH85" s="3">
        <f>T85-HLOOKUP(X85,Feuil1!$C$1:$BL$10,8,FALSE)</f>
        <v>-43</v>
      </c>
      <c r="AI85" s="3">
        <f>T85-HLOOKUP(X85,Feuil1!$C$1:$BL$10,9,FALSE)</f>
        <v>-63</v>
      </c>
      <c r="AJ85" s="5">
        <f>T85-HLOOKUP(X85,Feuil1!$C$1:$BL$10,10,FALSE)</f>
        <v>-893</v>
      </c>
      <c r="AQ85" s="5" t="str">
        <f t="shared" si="44"/>
        <v>IRG +</v>
      </c>
    </row>
    <row r="86" spans="1:55" ht="21" hidden="1" x14ac:dyDescent="0.2">
      <c r="A86" s="12" t="s">
        <v>69</v>
      </c>
      <c r="B86" s="18" t="s">
        <v>536</v>
      </c>
      <c r="C86" s="19" t="s">
        <v>541</v>
      </c>
      <c r="D86" s="61">
        <v>7</v>
      </c>
      <c r="E86" s="35">
        <v>332615</v>
      </c>
      <c r="F86" s="20" t="s">
        <v>575</v>
      </c>
      <c r="G86" s="20" t="s">
        <v>272</v>
      </c>
      <c r="H86" s="51">
        <v>1997</v>
      </c>
      <c r="I86" s="30">
        <v>66.569999999999993</v>
      </c>
      <c r="J86" s="19" t="s">
        <v>544</v>
      </c>
      <c r="K86" s="34" t="s">
        <v>69</v>
      </c>
      <c r="L86" s="31">
        <v>40</v>
      </c>
      <c r="M86" s="31">
        <v>45</v>
      </c>
      <c r="N86" s="31">
        <v>-47</v>
      </c>
      <c r="O86" s="36">
        <f t="shared" si="37"/>
        <v>45</v>
      </c>
      <c r="P86" s="31">
        <v>50</v>
      </c>
      <c r="Q86" s="31">
        <v>55</v>
      </c>
      <c r="R86" s="31">
        <v>-59</v>
      </c>
      <c r="S86" s="36">
        <f t="shared" si="38"/>
        <v>55</v>
      </c>
      <c r="T86" s="37">
        <f t="shared" si="39"/>
        <v>100</v>
      </c>
      <c r="U86" s="64">
        <f t="shared" si="40"/>
        <v>-33.139999999999986</v>
      </c>
      <c r="V86" s="41" t="str">
        <f t="shared" si="41"/>
        <v>REG +</v>
      </c>
      <c r="W86" s="33">
        <f t="shared" si="42"/>
        <v>10</v>
      </c>
      <c r="X86" s="40" t="str">
        <f>IF(I86="","",IF(A86="H",IF(OR(H86="SEN",H86&lt;1995),VLOOKUP(I86,Feuil1!$A$11:$F$29,6),IF(AND(H86&gt;1994,H86&lt;1998),VLOOKUP(I86,Feuil1!$A$11:$F$29,5),IF(AND(H86&gt;1997,H86&lt;2000),VLOOKUP(I86,Feuil1!$A$11:$F$29,4),IF(AND(H86&gt;1999,H86&lt;2002),VLOOKUP(I86,Feuil1!$A$11:$F$29,3),VLOOKUP(I86,Feuil1!$A$11:$F$29,2))))),IF(OR(H86="SEN",H86&lt;1995),VLOOKUP(I86,Feuil1!$G$11:$L$25,6),IF(AND(H86&gt;1994,H86&lt;1998),VLOOKUP(I86,Feuil1!$G$11:$L$25,5),IF(AND(H86&gt;1997,H86&lt;2000),VLOOKUP(I86,Feuil1!$G$11:$L$25,4),IF(AND(H86&gt;1999,H86&lt;2002),VLOOKUP(I86,Feuil1!$G$11:$L$25,3),VLOOKUP(I86,Feuil1!$G$11:$L$25,2)))))))</f>
        <v>FJ69</v>
      </c>
      <c r="Y86" s="39">
        <f t="shared" si="43"/>
        <v>128.25529059644433</v>
      </c>
      <c r="Z86" s="45"/>
      <c r="AA86" s="45" t="s">
        <v>12</v>
      </c>
      <c r="AB86" s="3">
        <f>T86-HLOOKUP(X86,Feuil1!$C$1:$BL$10,2,FALSE)</f>
        <v>30</v>
      </c>
      <c r="AC86" s="3">
        <f>T86-HLOOKUP(X86,Feuil1!$C$1:$BL$10,3,FALSE)</f>
        <v>20</v>
      </c>
      <c r="AD86" s="3">
        <f>T86-HLOOKUP(X86,Feuil1!$C$1:$BL$10,4,FALSE)</f>
        <v>10</v>
      </c>
      <c r="AE86" s="3">
        <f>T86-HLOOKUP(X86,Feuil1!$C$1:$BL$10,5,FALSE)</f>
        <v>-5</v>
      </c>
      <c r="AF86" s="3">
        <f>T86-HLOOKUP(X86,Feuil1!$C$1:$BL$10,6,FALSE)</f>
        <v>-20</v>
      </c>
      <c r="AG86" s="3">
        <f>T86-HLOOKUP(X86,Feuil1!$C$1:$BL$10,7,FALSE)</f>
        <v>-35</v>
      </c>
      <c r="AH86" s="3">
        <f>T86-HLOOKUP(X86,Feuil1!$C$1:$BL$10,8,FALSE)</f>
        <v>-50</v>
      </c>
      <c r="AI86" s="3">
        <f>T86-HLOOKUP(X86,Feuil1!$C$1:$BL$10,9,FALSE)</f>
        <v>-70</v>
      </c>
      <c r="AJ86" s="5">
        <f>T86-HLOOKUP(X86,Feuil1!$C$1:$BL$10,10,FALSE)</f>
        <v>-900</v>
      </c>
      <c r="AQ86" s="5" t="str">
        <f t="shared" si="44"/>
        <v>REG +</v>
      </c>
    </row>
    <row r="87" spans="1:55" s="13" customFormat="1" ht="21" hidden="1" x14ac:dyDescent="0.2">
      <c r="A87" s="12" t="s">
        <v>69</v>
      </c>
      <c r="B87" s="67" t="s">
        <v>71</v>
      </c>
      <c r="C87" s="68" t="s">
        <v>72</v>
      </c>
      <c r="D87" s="69">
        <v>8</v>
      </c>
      <c r="E87" s="70">
        <v>356024</v>
      </c>
      <c r="F87" s="86" t="s">
        <v>949</v>
      </c>
      <c r="G87" s="86" t="s">
        <v>950</v>
      </c>
      <c r="H87" s="72">
        <v>1995</v>
      </c>
      <c r="I87" s="73">
        <v>63.5</v>
      </c>
      <c r="J87" s="68" t="s">
        <v>923</v>
      </c>
      <c r="K87" s="74" t="s">
        <v>69</v>
      </c>
      <c r="L87" s="75">
        <v>-40</v>
      </c>
      <c r="M87" s="75">
        <v>40</v>
      </c>
      <c r="N87" s="75">
        <v>-44</v>
      </c>
      <c r="O87" s="76">
        <f t="shared" si="37"/>
        <v>40</v>
      </c>
      <c r="P87" s="75">
        <v>-55</v>
      </c>
      <c r="Q87" s="75">
        <v>56</v>
      </c>
      <c r="R87" s="75">
        <v>-63</v>
      </c>
      <c r="S87" s="76">
        <f t="shared" si="38"/>
        <v>56</v>
      </c>
      <c r="T87" s="77">
        <f t="shared" si="39"/>
        <v>96</v>
      </c>
      <c r="U87" s="83">
        <f t="shared" si="40"/>
        <v>-31</v>
      </c>
      <c r="V87" s="79" t="str">
        <f t="shared" si="41"/>
        <v>REG +</v>
      </c>
      <c r="W87" s="80">
        <f t="shared" si="42"/>
        <v>6</v>
      </c>
      <c r="X87" s="81" t="str">
        <f>IF(I87="","",IF(A87="H",IF(OR(H87="SEN",H87&lt;1995),VLOOKUP(I87,Feuil1!$A$11:$F$29,6),IF(AND(H87&gt;1994,H87&lt;1998),VLOOKUP(I87,Feuil1!$A$11:$F$29,5),IF(AND(H87&gt;1997,H87&lt;2000),VLOOKUP(I87,Feuil1!$A$11:$F$29,4),IF(AND(H87&gt;1999,H87&lt;2002),VLOOKUP(I87,Feuil1!$A$11:$F$29,3),VLOOKUP(I87,Feuil1!$A$11:$F$29,2))))),IF(OR(H87="SEN",H87&lt;1995),VLOOKUP(I87,Feuil1!$G$11:$L$25,6),IF(AND(H87&gt;1994,H87&lt;1998),VLOOKUP(I87,Feuil1!$G$11:$L$25,5),IF(AND(H87&gt;1997,H87&lt;2000),VLOOKUP(I87,Feuil1!$G$11:$L$25,4),IF(AND(H87&gt;1999,H87&lt;2002),VLOOKUP(I87,Feuil1!$G$11:$L$25,3),VLOOKUP(I87,Feuil1!$G$11:$L$25,2)))))))</f>
        <v>FJ69</v>
      </c>
      <c r="Y87" s="39">
        <f t="shared" si="43"/>
        <v>126.90954828135125</v>
      </c>
      <c r="Z87" s="45"/>
      <c r="AA87" s="45" t="s">
        <v>12</v>
      </c>
      <c r="AB87" s="3">
        <f>T87-HLOOKUP(X87,Feuil1!$C$1:$BL$10,2,FALSE)</f>
        <v>26</v>
      </c>
      <c r="AC87" s="3">
        <f>T87-HLOOKUP(X87,Feuil1!$C$1:$BL$10,3,FALSE)</f>
        <v>16</v>
      </c>
      <c r="AD87" s="3">
        <f>T87-HLOOKUP(X87,Feuil1!$C$1:$BL$10,4,FALSE)</f>
        <v>6</v>
      </c>
      <c r="AE87" s="3">
        <f>T87-HLOOKUP(X87,Feuil1!$C$1:$BL$10,5,FALSE)</f>
        <v>-9</v>
      </c>
      <c r="AF87" s="3">
        <f>T87-HLOOKUP(X87,Feuil1!$C$1:$BL$10,6,FALSE)</f>
        <v>-24</v>
      </c>
      <c r="AG87" s="3">
        <f>T87-HLOOKUP(X87,Feuil1!$C$1:$BL$10,7,FALSE)</f>
        <v>-39</v>
      </c>
      <c r="AH87" s="3">
        <f>T87-HLOOKUP(X87,Feuil1!$C$1:$BL$10,8,FALSE)</f>
        <v>-54</v>
      </c>
      <c r="AI87" s="3">
        <f>T87-HLOOKUP(X87,Feuil1!$C$1:$BL$10,9,FALSE)</f>
        <v>-74</v>
      </c>
      <c r="AJ87" s="5">
        <f>T87-HLOOKUP(X87,Feuil1!$C$1:$BL$10,10,FALSE)</f>
        <v>-904</v>
      </c>
      <c r="AK87" s="5"/>
      <c r="AL87" s="5"/>
      <c r="AM87" s="5"/>
      <c r="AN87" s="5"/>
      <c r="AO87" s="5"/>
      <c r="AP87" s="5"/>
      <c r="AQ87" s="5" t="str">
        <f t="shared" si="44"/>
        <v>REG +</v>
      </c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</row>
    <row r="88" spans="1:55" s="13" customFormat="1" ht="21" hidden="1" x14ac:dyDescent="0.2">
      <c r="A88" s="12" t="s">
        <v>69</v>
      </c>
      <c r="B88" s="18" t="s">
        <v>536</v>
      </c>
      <c r="C88" s="19" t="s">
        <v>541</v>
      </c>
      <c r="D88" s="61">
        <v>9</v>
      </c>
      <c r="E88" s="35">
        <v>300660</v>
      </c>
      <c r="F88" s="24" t="s">
        <v>576</v>
      </c>
      <c r="G88" s="24" t="s">
        <v>577</v>
      </c>
      <c r="H88" s="51">
        <v>1997</v>
      </c>
      <c r="I88" s="30">
        <v>64.150000000000006</v>
      </c>
      <c r="J88" s="19" t="s">
        <v>578</v>
      </c>
      <c r="K88" s="34" t="s">
        <v>69</v>
      </c>
      <c r="L88" s="31">
        <v>33</v>
      </c>
      <c r="M88" s="31">
        <v>35</v>
      </c>
      <c r="N88" s="31">
        <v>37</v>
      </c>
      <c r="O88" s="36">
        <f t="shared" si="37"/>
        <v>37</v>
      </c>
      <c r="P88" s="31">
        <v>52</v>
      </c>
      <c r="Q88" s="31">
        <v>-55</v>
      </c>
      <c r="R88" s="31">
        <v>55</v>
      </c>
      <c r="S88" s="36">
        <f t="shared" si="38"/>
        <v>55</v>
      </c>
      <c r="T88" s="37">
        <f t="shared" si="39"/>
        <v>92</v>
      </c>
      <c r="U88" s="64">
        <f t="shared" si="40"/>
        <v>-36.300000000000011</v>
      </c>
      <c r="V88" s="41" t="str">
        <f t="shared" si="41"/>
        <v>REG +</v>
      </c>
      <c r="W88" s="33">
        <f t="shared" si="42"/>
        <v>2</v>
      </c>
      <c r="X88" s="40" t="str">
        <f>IF(I88="","",IF(A88="H",IF(OR(H88="SEN",H88&lt;1995),VLOOKUP(I88,Feuil1!$A$11:$F$29,6),IF(AND(H88&gt;1994,H88&lt;1998),VLOOKUP(I88,Feuil1!$A$11:$F$29,5),IF(AND(H88&gt;1997,H88&lt;2000),VLOOKUP(I88,Feuil1!$A$11:$F$29,4),IF(AND(H88&gt;1999,H88&lt;2002),VLOOKUP(I88,Feuil1!$A$11:$F$29,3),VLOOKUP(I88,Feuil1!$A$11:$F$29,2))))),IF(OR(H88="SEN",H88&lt;1995),VLOOKUP(I88,Feuil1!$G$11:$L$25,6),IF(AND(H88&gt;1994,H88&lt;1998),VLOOKUP(I88,Feuil1!$G$11:$L$25,5),IF(AND(H88&gt;1997,H88&lt;2000),VLOOKUP(I88,Feuil1!$G$11:$L$25,4),IF(AND(H88&gt;1999,H88&lt;2002),VLOOKUP(I88,Feuil1!$G$11:$L$25,3),VLOOKUP(I88,Feuil1!$G$11:$L$25,2)))))))</f>
        <v>FJ69</v>
      </c>
      <c r="Y88" s="39">
        <f t="shared" si="43"/>
        <v>120.81227655073607</v>
      </c>
      <c r="Z88" s="45"/>
      <c r="AA88" s="45" t="s">
        <v>12</v>
      </c>
      <c r="AB88" s="3">
        <f>T88-HLOOKUP(X88,Feuil1!$C$1:$BL$10,2,FALSE)</f>
        <v>22</v>
      </c>
      <c r="AC88" s="3">
        <f>T88-HLOOKUP(X88,Feuil1!$C$1:$BL$10,3,FALSE)</f>
        <v>12</v>
      </c>
      <c r="AD88" s="3">
        <f>T88-HLOOKUP(X88,Feuil1!$C$1:$BL$10,4,FALSE)</f>
        <v>2</v>
      </c>
      <c r="AE88" s="3">
        <f>T88-HLOOKUP(X88,Feuil1!$C$1:$BL$10,5,FALSE)</f>
        <v>-13</v>
      </c>
      <c r="AF88" s="3">
        <f>T88-HLOOKUP(X88,Feuil1!$C$1:$BL$10,6,FALSE)</f>
        <v>-28</v>
      </c>
      <c r="AG88" s="3">
        <f>T88-HLOOKUP(X88,Feuil1!$C$1:$BL$10,7,FALSE)</f>
        <v>-43</v>
      </c>
      <c r="AH88" s="3">
        <f>T88-HLOOKUP(X88,Feuil1!$C$1:$BL$10,8,FALSE)</f>
        <v>-58</v>
      </c>
      <c r="AI88" s="3">
        <f>T88-HLOOKUP(X88,Feuil1!$C$1:$BL$10,9,FALSE)</f>
        <v>-78</v>
      </c>
      <c r="AJ88" s="5">
        <f>T88-HLOOKUP(X88,Feuil1!$C$1:$BL$10,10,FALSE)</f>
        <v>-908</v>
      </c>
      <c r="AK88" s="5"/>
      <c r="AL88" s="5"/>
      <c r="AM88" s="5"/>
      <c r="AN88" s="5"/>
      <c r="AO88" s="5"/>
      <c r="AP88" s="5"/>
      <c r="AQ88" s="5" t="str">
        <f t="shared" si="44"/>
        <v>REG +</v>
      </c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</row>
    <row r="89" spans="1:55" s="13" customFormat="1" ht="21" hidden="1" x14ac:dyDescent="0.2">
      <c r="A89" s="12" t="s">
        <v>69</v>
      </c>
      <c r="B89" s="18" t="s">
        <v>298</v>
      </c>
      <c r="C89" s="19" t="s">
        <v>476</v>
      </c>
      <c r="D89" s="61">
        <v>10</v>
      </c>
      <c r="E89" s="35">
        <v>387839</v>
      </c>
      <c r="F89" s="20" t="s">
        <v>511</v>
      </c>
      <c r="G89" s="20" t="s">
        <v>512</v>
      </c>
      <c r="H89" s="51">
        <v>1995</v>
      </c>
      <c r="I89" s="30">
        <v>65.599999999999994</v>
      </c>
      <c r="J89" s="19" t="s">
        <v>484</v>
      </c>
      <c r="K89" s="34" t="s">
        <v>69</v>
      </c>
      <c r="L89" s="31">
        <v>30</v>
      </c>
      <c r="M89" s="31">
        <v>33</v>
      </c>
      <c r="N89" s="31">
        <v>-35</v>
      </c>
      <c r="O89" s="36">
        <f t="shared" si="37"/>
        <v>33</v>
      </c>
      <c r="P89" s="31">
        <v>40</v>
      </c>
      <c r="Q89" s="31">
        <v>43</v>
      </c>
      <c r="R89" s="31">
        <v>46</v>
      </c>
      <c r="S89" s="36">
        <f t="shared" si="38"/>
        <v>46</v>
      </c>
      <c r="T89" s="37">
        <f t="shared" si="39"/>
        <v>79</v>
      </c>
      <c r="U89" s="64">
        <f t="shared" si="40"/>
        <v>-52.199999999999989</v>
      </c>
      <c r="V89" s="41" t="str">
        <f t="shared" si="41"/>
        <v xml:space="preserve">DEB </v>
      </c>
      <c r="W89" s="33">
        <f t="shared" si="42"/>
        <v>9</v>
      </c>
      <c r="X89" s="40" t="str">
        <f>IF(I89="","",IF(A89="H",IF(OR(H89="SEN",H89&lt;1995),VLOOKUP(I89,Feuil1!$A$11:$F$29,6),IF(AND(H89&gt;1994,H89&lt;1998),VLOOKUP(I89,Feuil1!$A$11:$F$29,5),IF(AND(H89&gt;1997,H89&lt;2000),VLOOKUP(I89,Feuil1!$A$11:$F$29,4),IF(AND(H89&gt;1999,H89&lt;2002),VLOOKUP(I89,Feuil1!$A$11:$F$29,3),VLOOKUP(I89,Feuil1!$A$11:$F$29,2))))),IF(OR(H89="SEN",H89&lt;1995),VLOOKUP(I89,Feuil1!$G$11:$L$25,6),IF(AND(H89&gt;1994,H89&lt;1998),VLOOKUP(I89,Feuil1!$G$11:$L$25,5),IF(AND(H89&gt;1997,H89&lt;2000),VLOOKUP(I89,Feuil1!$G$11:$L$25,4),IF(AND(H89&gt;1999,H89&lt;2002),VLOOKUP(I89,Feuil1!$G$11:$L$25,3),VLOOKUP(I89,Feuil1!$G$11:$L$25,2)))))))</f>
        <v>FJ69</v>
      </c>
      <c r="Y89" s="39">
        <f t="shared" si="43"/>
        <v>102.26076853743477</v>
      </c>
      <c r="Z89" s="45"/>
      <c r="AA89" s="45" t="s">
        <v>12</v>
      </c>
      <c r="AB89" s="3">
        <f>T89-HLOOKUP(X89,Feuil1!$C$1:$BL$10,2,FALSE)</f>
        <v>9</v>
      </c>
      <c r="AC89" s="3">
        <f>T89-HLOOKUP(X89,Feuil1!$C$1:$BL$10,3,FALSE)</f>
        <v>-1</v>
      </c>
      <c r="AD89" s="3">
        <f>T89-HLOOKUP(X89,Feuil1!$C$1:$BL$10,4,FALSE)</f>
        <v>-11</v>
      </c>
      <c r="AE89" s="3">
        <f>T89-HLOOKUP(X89,Feuil1!$C$1:$BL$10,5,FALSE)</f>
        <v>-26</v>
      </c>
      <c r="AF89" s="3">
        <f>T89-HLOOKUP(X89,Feuil1!$C$1:$BL$10,6,FALSE)</f>
        <v>-41</v>
      </c>
      <c r="AG89" s="3">
        <f>T89-HLOOKUP(X89,Feuil1!$C$1:$BL$10,7,FALSE)</f>
        <v>-56</v>
      </c>
      <c r="AH89" s="3">
        <f>T89-HLOOKUP(X89,Feuil1!$C$1:$BL$10,8,FALSE)</f>
        <v>-71</v>
      </c>
      <c r="AI89" s="3">
        <f>T89-HLOOKUP(X89,Feuil1!$C$1:$BL$10,9,FALSE)</f>
        <v>-91</v>
      </c>
      <c r="AJ89" s="5">
        <f>T89-HLOOKUP(X89,Feuil1!$C$1:$BL$10,10,FALSE)</f>
        <v>-921</v>
      </c>
      <c r="AK89" s="5"/>
      <c r="AL89" s="5"/>
      <c r="AM89" s="5"/>
      <c r="AN89" s="5"/>
      <c r="AO89" s="5"/>
      <c r="AP89" s="5"/>
      <c r="AQ89" s="5" t="str">
        <f t="shared" si="44"/>
        <v xml:space="preserve">DEB </v>
      </c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</row>
    <row r="90" spans="1:55" s="13" customFormat="1" ht="15" hidden="1" customHeight="1" thickBot="1" x14ac:dyDescent="0.25">
      <c r="A90" s="89"/>
      <c r="B90" s="90"/>
      <c r="C90" s="91"/>
      <c r="D90" s="92"/>
      <c r="E90" s="93"/>
      <c r="F90" s="94"/>
      <c r="G90" s="94"/>
      <c r="H90" s="95"/>
      <c r="I90" s="96"/>
      <c r="J90" s="91"/>
      <c r="K90" s="97"/>
      <c r="L90" s="98"/>
      <c r="M90" s="98"/>
      <c r="N90" s="98"/>
      <c r="O90" s="99"/>
      <c r="P90" s="98"/>
      <c r="Q90" s="98"/>
      <c r="R90" s="98"/>
      <c r="S90" s="99"/>
      <c r="T90" s="100"/>
      <c r="U90" s="101"/>
      <c r="V90" s="102"/>
      <c r="W90" s="103"/>
      <c r="X90" s="104"/>
      <c r="Y90" s="105"/>
      <c r="Z90" s="45"/>
      <c r="AA90" s="45" t="s">
        <v>12</v>
      </c>
      <c r="AB90" s="3" t="e">
        <f>T90-HLOOKUP(X90,Feuil1!$C$1:$BL$10,2,FALSE)</f>
        <v>#N/A</v>
      </c>
      <c r="AC90" s="3" t="e">
        <f>T90-HLOOKUP(X90,Feuil1!$C$1:$BL$10,3,FALSE)</f>
        <v>#N/A</v>
      </c>
      <c r="AD90" s="3" t="e">
        <f>T90-HLOOKUP(X90,Feuil1!$C$1:$BL$10,4,FALSE)</f>
        <v>#N/A</v>
      </c>
      <c r="AE90" s="3" t="e">
        <f>T90-HLOOKUP(X90,Feuil1!$C$1:$BL$10,5,FALSE)</f>
        <v>#N/A</v>
      </c>
      <c r="AF90" s="3" t="e">
        <f>T90-HLOOKUP(X90,Feuil1!$C$1:$BL$10,6,FALSE)</f>
        <v>#N/A</v>
      </c>
      <c r="AG90" s="3" t="e">
        <f>T90-HLOOKUP(X90,Feuil1!$C$1:$BL$10,7,FALSE)</f>
        <v>#N/A</v>
      </c>
      <c r="AH90" s="3" t="e">
        <f>T90-HLOOKUP(X90,Feuil1!$C$1:$BL$10,8,FALSE)</f>
        <v>#N/A</v>
      </c>
      <c r="AI90" s="3" t="e">
        <f>T90-HLOOKUP(X90,Feuil1!$C$1:$BL$10,9,FALSE)</f>
        <v>#N/A</v>
      </c>
      <c r="AJ90" s="3" t="e">
        <f>T90-HLOOKUP(X90,Feuil1!$C$1:$BL$10,10,FALSE)</f>
        <v>#N/A</v>
      </c>
      <c r="AK90" s="5"/>
      <c r="AL90" s="5"/>
      <c r="AM90" s="5"/>
      <c r="AN90" s="5"/>
      <c r="AO90" s="5"/>
      <c r="AP90" s="5"/>
      <c r="AQ90" s="5" t="e">
        <f t="shared" ref="AQ90" si="45">IF(AJ90&gt;=0,$AJ$1,IF(AI90&gt;=0,$AI$1,IF(AH90&gt;=0,$AH$1,IF(AG90&gt;=0,$AG$1,IF(AF90&gt;=0,$AF$1,IF(AE90&gt;=0,$AE$1,IF(AD90&gt;=0,$AD$1,IF(AC90&gt;=0,$AC$1,$AB$1))))))))</f>
        <v>#N/A</v>
      </c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</row>
    <row r="91" spans="1:55" s="13" customFormat="1" ht="21" x14ac:dyDescent="0.2">
      <c r="A91" s="12" t="s">
        <v>69</v>
      </c>
      <c r="B91" s="67" t="s">
        <v>649</v>
      </c>
      <c r="C91" s="68" t="s">
        <v>669</v>
      </c>
      <c r="D91" s="69">
        <v>1</v>
      </c>
      <c r="E91" s="70">
        <v>183203</v>
      </c>
      <c r="F91" s="71" t="s">
        <v>682</v>
      </c>
      <c r="G91" s="71" t="s">
        <v>417</v>
      </c>
      <c r="H91" s="72">
        <v>1996</v>
      </c>
      <c r="I91" s="73">
        <v>70</v>
      </c>
      <c r="J91" s="68" t="s">
        <v>672</v>
      </c>
      <c r="K91" s="74" t="s">
        <v>69</v>
      </c>
      <c r="L91" s="75">
        <v>65</v>
      </c>
      <c r="M91" s="75">
        <v>70</v>
      </c>
      <c r="N91" s="75">
        <v>74</v>
      </c>
      <c r="O91" s="76">
        <f t="shared" ref="O91:O98" si="46">IF(H91="","",IF(MAXA(L91:N91)&lt;=0,0,MAXA(L91:N91)))</f>
        <v>74</v>
      </c>
      <c r="P91" s="75">
        <v>85</v>
      </c>
      <c r="Q91" s="75">
        <v>90</v>
      </c>
      <c r="R91" s="75">
        <v>-92</v>
      </c>
      <c r="S91" s="76">
        <f t="shared" ref="S91:S98" si="47">IF(H91="","",IF(MAXA(P91:R91)&lt;=0,0,MAXA(P91:R91)))</f>
        <v>90</v>
      </c>
      <c r="T91" s="77">
        <f t="shared" ref="T91:T98" si="48">IF(H91="","",IF(OR(O91=0,S91=0),0,O91+S91))</f>
        <v>164</v>
      </c>
      <c r="U91" s="83">
        <f t="shared" ref="U91:U98" si="49">T91-I91*2</f>
        <v>24</v>
      </c>
      <c r="V91" s="79" t="str">
        <f t="shared" ref="V91:V98" si="50">IF(H91="","",AQ91)</f>
        <v>INTB +</v>
      </c>
      <c r="W91" s="80">
        <f t="shared" ref="W91:W98" si="51">IF(AJ91&gt;=0,AJ91,IF(AI91&gt;=0,AI91,IF(AH91&gt;=0,AH91,IF(AG91&gt;=0,AG91,IF(AF91&gt;=0,AF91,IF(AE91&gt;=0,AE91,IF(AD91&gt;=0,AD91,IF(AC91&gt;=0,AC91,AB91))))))))</f>
        <v>4</v>
      </c>
      <c r="X91" s="81" t="str">
        <f>IF(I91="","",IF(A91="H",IF(OR(H91="SEN",H91&lt;1995),VLOOKUP(I91,Feuil1!$A$11:$F$29,6),IF(AND(H91&gt;1994,H91&lt;1998),VLOOKUP(I91,Feuil1!$A$11:$F$29,5),IF(AND(H91&gt;1997,H91&lt;2000),VLOOKUP(I91,Feuil1!$A$11:$F$29,4),IF(AND(H91&gt;1999,H91&lt;2002),VLOOKUP(I91,Feuil1!$A$11:$F$29,3),VLOOKUP(I91,Feuil1!$A$11:$F$29,2))))),IF(OR(H91="SEN",H91&lt;1995),VLOOKUP(I91,Feuil1!$G$11:$L$25,6),IF(AND(H91&gt;1994,H91&lt;1998),VLOOKUP(I91,Feuil1!$G$11:$L$25,5),IF(AND(H91&gt;1997,H91&lt;2000),VLOOKUP(I91,Feuil1!$G$11:$L$25,4),IF(AND(H91&gt;1999,H91&lt;2002),VLOOKUP(I91,Feuil1!$G$11:$L$25,3),VLOOKUP(I91,Feuil1!$G$11:$L$25,2)))))))</f>
        <v>FJ75</v>
      </c>
      <c r="Y91" s="39">
        <f t="shared" ref="Y91:Y98" si="52">IF(I91="","",IF(A91="H",10^(0.794358141*LOG(I91/174.393)^2)*T91,IF(A91="F",10^(0.89726074*LOG(I91/148.026)^2)*T91,"")))</f>
        <v>204.05959335039677</v>
      </c>
      <c r="Z91" s="45"/>
      <c r="AA91" s="45" t="s">
        <v>12</v>
      </c>
      <c r="AB91" s="3">
        <f>T91-HLOOKUP(X91,Feuil1!$C$1:$BL$10,2,FALSE)</f>
        <v>84</v>
      </c>
      <c r="AC91" s="3">
        <f>T91-HLOOKUP(X91,Feuil1!$C$1:$BL$10,3,FALSE)</f>
        <v>69</v>
      </c>
      <c r="AD91" s="3">
        <f>T91-HLOOKUP(X91,Feuil1!$C$1:$BL$10,4,FALSE)</f>
        <v>59</v>
      </c>
      <c r="AE91" s="3">
        <f>T91-HLOOKUP(X91,Feuil1!$C$1:$BL$10,5,FALSE)</f>
        <v>49</v>
      </c>
      <c r="AF91" s="3">
        <f>T91-HLOOKUP(X91,Feuil1!$C$1:$BL$10,6,FALSE)</f>
        <v>34</v>
      </c>
      <c r="AG91" s="3">
        <f>T91-HLOOKUP(X91,Feuil1!$C$1:$BL$10,7,FALSE)</f>
        <v>19</v>
      </c>
      <c r="AH91" s="3">
        <f>T91-HLOOKUP(X91,Feuil1!$C$1:$BL$10,8,FALSE)</f>
        <v>4</v>
      </c>
      <c r="AI91" s="3">
        <f>T91-HLOOKUP(X91,Feuil1!$C$1:$BL$10,9,FALSE)</f>
        <v>-16</v>
      </c>
      <c r="AJ91" s="5">
        <f>T91-HLOOKUP(X91,Feuil1!$C$1:$BL$10,10,FALSE)</f>
        <v>-836</v>
      </c>
      <c r="AK91" s="5"/>
      <c r="AL91" s="5"/>
      <c r="AM91" s="5"/>
      <c r="AN91" s="5"/>
      <c r="AO91" s="5"/>
      <c r="AP91" s="5"/>
      <c r="AQ91" s="5" t="str">
        <f t="shared" ref="AQ91:AQ98" si="53">IF(AJ91&gt;=0,$AJ$1,IF(AI91&gt;=0,$AI$1,IF(AH91&gt;=0,$AH$1,IF(AG91&gt;=0,$AG$1,IF(AF91&gt;=0,$AF$1,IF(AE91&gt;=0,$AE$1,IF(AD91&gt;=0,$AD$1,IF(AC91&gt;=0,$AC$1,$AB$1))))))))</f>
        <v>INTB +</v>
      </c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</row>
    <row r="92" spans="1:55" ht="21" hidden="1" x14ac:dyDescent="0.2">
      <c r="A92" s="12" t="s">
        <v>69</v>
      </c>
      <c r="B92" s="18" t="s">
        <v>649</v>
      </c>
      <c r="C92" s="19" t="s">
        <v>669</v>
      </c>
      <c r="D92" s="61">
        <v>2</v>
      </c>
      <c r="E92" s="35">
        <v>212730</v>
      </c>
      <c r="F92" s="20" t="s">
        <v>683</v>
      </c>
      <c r="G92" s="20" t="s">
        <v>684</v>
      </c>
      <c r="H92" s="51">
        <v>1996</v>
      </c>
      <c r="I92" s="30">
        <v>74.7</v>
      </c>
      <c r="J92" s="19" t="s">
        <v>672</v>
      </c>
      <c r="K92" s="34" t="s">
        <v>69</v>
      </c>
      <c r="L92" s="31">
        <v>60</v>
      </c>
      <c r="M92" s="31">
        <v>65</v>
      </c>
      <c r="N92" s="31">
        <v>67</v>
      </c>
      <c r="O92" s="36">
        <f t="shared" si="46"/>
        <v>67</v>
      </c>
      <c r="P92" s="31">
        <v>80</v>
      </c>
      <c r="Q92" s="31">
        <v>85</v>
      </c>
      <c r="R92" s="31">
        <v>-90</v>
      </c>
      <c r="S92" s="36">
        <f t="shared" si="47"/>
        <v>85</v>
      </c>
      <c r="T92" s="37">
        <f t="shared" si="48"/>
        <v>152</v>
      </c>
      <c r="U92" s="64">
        <f t="shared" si="49"/>
        <v>2.5999999999999943</v>
      </c>
      <c r="V92" s="41" t="str">
        <f t="shared" si="50"/>
        <v>NAT +</v>
      </c>
      <c r="W92" s="33">
        <f t="shared" si="51"/>
        <v>7</v>
      </c>
      <c r="X92" s="40" t="str">
        <f>IF(I92="","",IF(A92="H",IF(OR(H92="SEN",H92&lt;1995),VLOOKUP(I92,Feuil1!$A$11:$F$29,6),IF(AND(H92&gt;1994,H92&lt;1998),VLOOKUP(I92,Feuil1!$A$11:$F$29,5),IF(AND(H92&gt;1997,H92&lt;2000),VLOOKUP(I92,Feuil1!$A$11:$F$29,4),IF(AND(H92&gt;1999,H92&lt;2002),VLOOKUP(I92,Feuil1!$A$11:$F$29,3),VLOOKUP(I92,Feuil1!$A$11:$F$29,2))))),IF(OR(H92="SEN",H92&lt;1995),VLOOKUP(I92,Feuil1!$G$11:$L$25,6),IF(AND(H92&gt;1994,H92&lt;1998),VLOOKUP(I92,Feuil1!$G$11:$L$25,5),IF(AND(H92&gt;1997,H92&lt;2000),VLOOKUP(I92,Feuil1!$G$11:$L$25,4),IF(AND(H92&gt;1999,H92&lt;2002),VLOOKUP(I92,Feuil1!$G$11:$L$25,3),VLOOKUP(I92,Feuil1!$G$11:$L$25,2)))))))</f>
        <v>FJ75</v>
      </c>
      <c r="Y92" s="39">
        <f t="shared" si="52"/>
        <v>182.38929118396118</v>
      </c>
      <c r="Z92" s="45"/>
      <c r="AA92" s="45" t="s">
        <v>12</v>
      </c>
      <c r="AB92" s="3">
        <f>T92-HLOOKUP(X92,Feuil1!$C$1:$BL$10,2,FALSE)</f>
        <v>72</v>
      </c>
      <c r="AC92" s="3">
        <f>T92-HLOOKUP(X92,Feuil1!$C$1:$BL$10,3,FALSE)</f>
        <v>57</v>
      </c>
      <c r="AD92" s="3">
        <f>T92-HLOOKUP(X92,Feuil1!$C$1:$BL$10,4,FALSE)</f>
        <v>47</v>
      </c>
      <c r="AE92" s="3">
        <f>T92-HLOOKUP(X92,Feuil1!$C$1:$BL$10,5,FALSE)</f>
        <v>37</v>
      </c>
      <c r="AF92" s="3">
        <f>T92-HLOOKUP(X92,Feuil1!$C$1:$BL$10,6,FALSE)</f>
        <v>22</v>
      </c>
      <c r="AG92" s="3">
        <f>T92-HLOOKUP(X92,Feuil1!$C$1:$BL$10,7,FALSE)</f>
        <v>7</v>
      </c>
      <c r="AH92" s="3">
        <f>T92-HLOOKUP(X92,Feuil1!$C$1:$BL$10,8,FALSE)</f>
        <v>-8</v>
      </c>
      <c r="AI92" s="3">
        <f>T92-HLOOKUP(X92,Feuil1!$C$1:$BL$10,9,FALSE)</f>
        <v>-28</v>
      </c>
      <c r="AJ92" s="5">
        <f>T92-HLOOKUP(X92,Feuil1!$C$1:$BL$10,10,FALSE)</f>
        <v>-848</v>
      </c>
      <c r="AQ92" s="5" t="str">
        <f t="shared" si="53"/>
        <v>NAT +</v>
      </c>
    </row>
    <row r="93" spans="1:55" ht="21" hidden="1" x14ac:dyDescent="0.2">
      <c r="A93" s="12" t="s">
        <v>69</v>
      </c>
      <c r="B93" s="18" t="s">
        <v>108</v>
      </c>
      <c r="C93" s="19" t="s">
        <v>119</v>
      </c>
      <c r="D93" s="61">
        <v>3</v>
      </c>
      <c r="E93" s="35">
        <v>217169</v>
      </c>
      <c r="F93" s="21" t="s">
        <v>171</v>
      </c>
      <c r="G93" s="20" t="s">
        <v>172</v>
      </c>
      <c r="H93" s="51">
        <v>1997</v>
      </c>
      <c r="I93" s="30">
        <v>72.8</v>
      </c>
      <c r="J93" s="19" t="s">
        <v>173</v>
      </c>
      <c r="K93" s="34" t="s">
        <v>69</v>
      </c>
      <c r="L93" s="31">
        <v>52</v>
      </c>
      <c r="M93" s="31">
        <v>57</v>
      </c>
      <c r="N93" s="31">
        <v>-60</v>
      </c>
      <c r="O93" s="36">
        <f t="shared" si="46"/>
        <v>57</v>
      </c>
      <c r="P93" s="31">
        <v>67</v>
      </c>
      <c r="Q93" s="31">
        <v>71</v>
      </c>
      <c r="R93" s="31">
        <v>-75</v>
      </c>
      <c r="S93" s="36">
        <f t="shared" si="47"/>
        <v>71</v>
      </c>
      <c r="T93" s="37">
        <f t="shared" si="48"/>
        <v>128</v>
      </c>
      <c r="U93" s="64">
        <f t="shared" si="49"/>
        <v>-17.599999999999994</v>
      </c>
      <c r="V93" s="41" t="str">
        <f t="shared" si="50"/>
        <v>IRG +</v>
      </c>
      <c r="W93" s="33">
        <f t="shared" si="51"/>
        <v>13</v>
      </c>
      <c r="X93" s="40" t="str">
        <f>IF(I93="","",IF(A93="H",IF(OR(H93="SEN",H93&lt;1995),VLOOKUP(I93,Feuil1!$A$11:$F$29,6),IF(AND(H93&gt;1994,H93&lt;1998),VLOOKUP(I93,Feuil1!$A$11:$F$29,5),IF(AND(H93&gt;1997,H93&lt;2000),VLOOKUP(I93,Feuil1!$A$11:$F$29,4),IF(AND(H93&gt;1999,H93&lt;2002),VLOOKUP(I93,Feuil1!$A$11:$F$29,3),VLOOKUP(I93,Feuil1!$A$11:$F$29,2))))),IF(OR(H93="SEN",H93&lt;1995),VLOOKUP(I93,Feuil1!$G$11:$L$25,6),IF(AND(H93&gt;1994,H93&lt;1998),VLOOKUP(I93,Feuil1!$G$11:$L$25,5),IF(AND(H93&gt;1997,H93&lt;2000),VLOOKUP(I93,Feuil1!$G$11:$L$25,4),IF(AND(H93&gt;1999,H93&lt;2002),VLOOKUP(I93,Feuil1!$G$11:$L$25,3),VLOOKUP(I93,Feuil1!$G$11:$L$25,2)))))))</f>
        <v>FJ75</v>
      </c>
      <c r="Y93" s="39">
        <f t="shared" si="52"/>
        <v>155.75498477160914</v>
      </c>
      <c r="Z93" s="45"/>
      <c r="AA93" s="45" t="s">
        <v>12</v>
      </c>
      <c r="AB93" s="3">
        <f>T93-HLOOKUP(X93,Feuil1!$C$1:$BL$10,2,FALSE)</f>
        <v>48</v>
      </c>
      <c r="AC93" s="3">
        <f>T93-HLOOKUP(X93,Feuil1!$C$1:$BL$10,3,FALSE)</f>
        <v>33</v>
      </c>
      <c r="AD93" s="3">
        <f>T93-HLOOKUP(X93,Feuil1!$C$1:$BL$10,4,FALSE)</f>
        <v>23</v>
      </c>
      <c r="AE93" s="3">
        <f>T93-HLOOKUP(X93,Feuil1!$C$1:$BL$10,5,FALSE)</f>
        <v>13</v>
      </c>
      <c r="AF93" s="3">
        <f>T93-HLOOKUP(X93,Feuil1!$C$1:$BL$10,6,FALSE)</f>
        <v>-2</v>
      </c>
      <c r="AG93" s="3">
        <f>T93-HLOOKUP(X93,Feuil1!$C$1:$BL$10,7,FALSE)</f>
        <v>-17</v>
      </c>
      <c r="AH93" s="3">
        <f>T93-HLOOKUP(X93,Feuil1!$C$1:$BL$10,8,FALSE)</f>
        <v>-32</v>
      </c>
      <c r="AI93" s="3">
        <f>T93-HLOOKUP(X93,Feuil1!$C$1:$BL$10,9,FALSE)</f>
        <v>-52</v>
      </c>
      <c r="AJ93" s="5">
        <f>T93-HLOOKUP(X93,Feuil1!$C$1:$BL$10,10,FALSE)</f>
        <v>-872</v>
      </c>
      <c r="AQ93" s="5" t="str">
        <f t="shared" si="53"/>
        <v>IRG +</v>
      </c>
    </row>
    <row r="94" spans="1:55" ht="21" hidden="1" x14ac:dyDescent="0.2">
      <c r="A94" s="12" t="s">
        <v>69</v>
      </c>
      <c r="B94" s="67" t="s">
        <v>108</v>
      </c>
      <c r="C94" s="68" t="s">
        <v>119</v>
      </c>
      <c r="D94" s="69">
        <v>4</v>
      </c>
      <c r="E94" s="70">
        <v>348083</v>
      </c>
      <c r="F94" s="71" t="s">
        <v>168</v>
      </c>
      <c r="G94" s="71" t="s">
        <v>169</v>
      </c>
      <c r="H94" s="72">
        <v>1997</v>
      </c>
      <c r="I94" s="73">
        <v>69.2</v>
      </c>
      <c r="J94" s="68" t="s">
        <v>170</v>
      </c>
      <c r="K94" s="74" t="s">
        <v>69</v>
      </c>
      <c r="L94" s="75">
        <v>50</v>
      </c>
      <c r="M94" s="75">
        <v>54</v>
      </c>
      <c r="N94" s="75">
        <v>-57</v>
      </c>
      <c r="O94" s="76">
        <f t="shared" si="46"/>
        <v>54</v>
      </c>
      <c r="P94" s="75">
        <v>70</v>
      </c>
      <c r="Q94" s="75">
        <v>-73</v>
      </c>
      <c r="R94" s="75">
        <v>-73</v>
      </c>
      <c r="S94" s="76">
        <f t="shared" si="47"/>
        <v>70</v>
      </c>
      <c r="T94" s="77">
        <f t="shared" si="48"/>
        <v>124</v>
      </c>
      <c r="U94" s="83">
        <f t="shared" si="49"/>
        <v>-14.400000000000006</v>
      </c>
      <c r="V94" s="79" t="str">
        <f t="shared" si="50"/>
        <v>IRG +</v>
      </c>
      <c r="W94" s="80">
        <f t="shared" si="51"/>
        <v>9</v>
      </c>
      <c r="X94" s="81" t="str">
        <f>IF(I94="","",IF(A94="H",IF(OR(H94="SEN",H94&lt;1995),VLOOKUP(I94,Feuil1!$A$11:$F$29,6),IF(AND(H94&gt;1994,H94&lt;1998),VLOOKUP(I94,Feuil1!$A$11:$F$29,5),IF(AND(H94&gt;1997,H94&lt;2000),VLOOKUP(I94,Feuil1!$A$11:$F$29,4),IF(AND(H94&gt;1999,H94&lt;2002),VLOOKUP(I94,Feuil1!$A$11:$F$29,3),VLOOKUP(I94,Feuil1!$A$11:$F$29,2))))),IF(OR(H94="SEN",H94&lt;1995),VLOOKUP(I94,Feuil1!$G$11:$L$25,6),IF(AND(H94&gt;1994,H94&lt;1998),VLOOKUP(I94,Feuil1!$G$11:$L$25,5),IF(AND(H94&gt;1997,H94&lt;2000),VLOOKUP(I94,Feuil1!$G$11:$L$25,4),IF(AND(H94&gt;1999,H94&lt;2002),VLOOKUP(I94,Feuil1!$G$11:$L$25,3),VLOOKUP(I94,Feuil1!$G$11:$L$25,2)))))))</f>
        <v>FJ75</v>
      </c>
      <c r="Y94" s="39">
        <f t="shared" si="52"/>
        <v>155.33551542379823</v>
      </c>
      <c r="Z94" s="45"/>
      <c r="AA94" s="45" t="s">
        <v>12</v>
      </c>
      <c r="AB94" s="3">
        <f>T94-HLOOKUP(X94,Feuil1!$C$1:$BL$10,2,FALSE)</f>
        <v>44</v>
      </c>
      <c r="AC94" s="3">
        <f>T94-HLOOKUP(X94,Feuil1!$C$1:$BL$10,3,FALSE)</f>
        <v>29</v>
      </c>
      <c r="AD94" s="3">
        <f>T94-HLOOKUP(X94,Feuil1!$C$1:$BL$10,4,FALSE)</f>
        <v>19</v>
      </c>
      <c r="AE94" s="3">
        <f>T94-HLOOKUP(X94,Feuil1!$C$1:$BL$10,5,FALSE)</f>
        <v>9</v>
      </c>
      <c r="AF94" s="3">
        <f>T94-HLOOKUP(X94,Feuil1!$C$1:$BL$10,6,FALSE)</f>
        <v>-6</v>
      </c>
      <c r="AG94" s="3">
        <f>T94-HLOOKUP(X94,Feuil1!$C$1:$BL$10,7,FALSE)</f>
        <v>-21</v>
      </c>
      <c r="AH94" s="3">
        <f>T94-HLOOKUP(X94,Feuil1!$C$1:$BL$10,8,FALSE)</f>
        <v>-36</v>
      </c>
      <c r="AI94" s="3">
        <f>T94-HLOOKUP(X94,Feuil1!$C$1:$BL$10,9,FALSE)</f>
        <v>-56</v>
      </c>
      <c r="AJ94" s="5">
        <f>T94-HLOOKUP(X94,Feuil1!$C$1:$BL$10,10,FALSE)</f>
        <v>-876</v>
      </c>
      <c r="AQ94" s="5" t="str">
        <f t="shared" si="53"/>
        <v>IRG +</v>
      </c>
    </row>
    <row r="95" spans="1:55" ht="21" hidden="1" x14ac:dyDescent="0.2">
      <c r="A95" s="12" t="s">
        <v>69</v>
      </c>
      <c r="B95" s="18" t="s">
        <v>108</v>
      </c>
      <c r="C95" s="19" t="s">
        <v>109</v>
      </c>
      <c r="D95" s="61">
        <v>5</v>
      </c>
      <c r="E95" s="35">
        <v>247364</v>
      </c>
      <c r="F95" s="20" t="s">
        <v>158</v>
      </c>
      <c r="G95" s="20" t="s">
        <v>159</v>
      </c>
      <c r="H95" s="51">
        <v>1996</v>
      </c>
      <c r="I95" s="30">
        <v>74.099999999999994</v>
      </c>
      <c r="J95" s="19" t="s">
        <v>112</v>
      </c>
      <c r="K95" s="34" t="s">
        <v>69</v>
      </c>
      <c r="L95" s="31">
        <v>51</v>
      </c>
      <c r="M95" s="31">
        <v>53</v>
      </c>
      <c r="N95" s="31">
        <v>-55</v>
      </c>
      <c r="O95" s="36">
        <f t="shared" si="46"/>
        <v>53</v>
      </c>
      <c r="P95" s="31">
        <v>62</v>
      </c>
      <c r="Q95" s="31">
        <v>66</v>
      </c>
      <c r="R95" s="31">
        <v>68</v>
      </c>
      <c r="S95" s="36">
        <f t="shared" si="47"/>
        <v>68</v>
      </c>
      <c r="T95" s="37">
        <f t="shared" si="48"/>
        <v>121</v>
      </c>
      <c r="U95" s="64">
        <f t="shared" si="49"/>
        <v>-27.199999999999989</v>
      </c>
      <c r="V95" s="41" t="str">
        <f t="shared" si="50"/>
        <v>IRG +</v>
      </c>
      <c r="W95" s="33">
        <f t="shared" si="51"/>
        <v>6</v>
      </c>
      <c r="X95" s="40" t="str">
        <f>IF(I95="","",IF(A95="H",IF(OR(H95="SEN",H95&lt;1995),VLOOKUP(I95,Feuil1!$A$11:$F$29,6),IF(AND(H95&gt;1994,H95&lt;1998),VLOOKUP(I95,Feuil1!$A$11:$F$29,5),IF(AND(H95&gt;1997,H95&lt;2000),VLOOKUP(I95,Feuil1!$A$11:$F$29,4),IF(AND(H95&gt;1999,H95&lt;2002),VLOOKUP(I95,Feuil1!$A$11:$F$29,3),VLOOKUP(I95,Feuil1!$A$11:$F$29,2))))),IF(OR(H95="SEN",H95&lt;1995),VLOOKUP(I95,Feuil1!$G$11:$L$25,6),IF(AND(H95&gt;1994,H95&lt;1998),VLOOKUP(I95,Feuil1!$G$11:$L$25,5),IF(AND(H95&gt;1997,H95&lt;2000),VLOOKUP(I95,Feuil1!$G$11:$L$25,4),IF(AND(H95&gt;1999,H95&lt;2002),VLOOKUP(I95,Feuil1!$G$11:$L$25,3),VLOOKUP(I95,Feuil1!$G$11:$L$25,2)))))))</f>
        <v>FJ75</v>
      </c>
      <c r="Y95" s="39">
        <f t="shared" si="52"/>
        <v>145.8206113604343</v>
      </c>
      <c r="Z95" s="45"/>
      <c r="AA95" s="45" t="s">
        <v>12</v>
      </c>
      <c r="AB95" s="3">
        <f>T95-HLOOKUP(X95,Feuil1!$C$1:$BL$10,2,FALSE)</f>
        <v>41</v>
      </c>
      <c r="AC95" s="3">
        <f>T95-HLOOKUP(X95,Feuil1!$C$1:$BL$10,3,FALSE)</f>
        <v>26</v>
      </c>
      <c r="AD95" s="3">
        <f>T95-HLOOKUP(X95,Feuil1!$C$1:$BL$10,4,FALSE)</f>
        <v>16</v>
      </c>
      <c r="AE95" s="3">
        <f>T95-HLOOKUP(X95,Feuil1!$C$1:$BL$10,5,FALSE)</f>
        <v>6</v>
      </c>
      <c r="AF95" s="3">
        <f>T95-HLOOKUP(X95,Feuil1!$C$1:$BL$10,6,FALSE)</f>
        <v>-9</v>
      </c>
      <c r="AG95" s="3">
        <f>T95-HLOOKUP(X95,Feuil1!$C$1:$BL$10,7,FALSE)</f>
        <v>-24</v>
      </c>
      <c r="AH95" s="3">
        <f>T95-HLOOKUP(X95,Feuil1!$C$1:$BL$10,8,FALSE)</f>
        <v>-39</v>
      </c>
      <c r="AI95" s="3">
        <f>T95-HLOOKUP(X95,Feuil1!$C$1:$BL$10,9,FALSE)</f>
        <v>-59</v>
      </c>
      <c r="AJ95" s="5">
        <f>T95-HLOOKUP(X95,Feuil1!$C$1:$BL$10,10,FALSE)</f>
        <v>-879</v>
      </c>
      <c r="AQ95" s="5" t="str">
        <f t="shared" si="53"/>
        <v>IRG +</v>
      </c>
    </row>
    <row r="96" spans="1:55" ht="21" hidden="1" x14ac:dyDescent="0.2">
      <c r="A96" s="12" t="s">
        <v>69</v>
      </c>
      <c r="B96" s="67" t="s">
        <v>536</v>
      </c>
      <c r="C96" s="68" t="s">
        <v>541</v>
      </c>
      <c r="D96" s="69">
        <v>6</v>
      </c>
      <c r="E96" s="70">
        <v>300660</v>
      </c>
      <c r="F96" s="86" t="s">
        <v>576</v>
      </c>
      <c r="G96" s="86" t="s">
        <v>577</v>
      </c>
      <c r="H96" s="72">
        <v>1997</v>
      </c>
      <c r="I96" s="73">
        <v>69.8</v>
      </c>
      <c r="J96" s="68" t="s">
        <v>578</v>
      </c>
      <c r="K96" s="74" t="s">
        <v>69</v>
      </c>
      <c r="L96" s="75">
        <v>28</v>
      </c>
      <c r="M96" s="75">
        <v>-30</v>
      </c>
      <c r="N96" s="75">
        <v>30</v>
      </c>
      <c r="O96" s="76">
        <f t="shared" si="46"/>
        <v>30</v>
      </c>
      <c r="P96" s="75">
        <v>35</v>
      </c>
      <c r="Q96" s="75">
        <v>38</v>
      </c>
      <c r="R96" s="75">
        <v>40</v>
      </c>
      <c r="S96" s="76">
        <f t="shared" si="47"/>
        <v>40</v>
      </c>
      <c r="T96" s="77">
        <f t="shared" si="48"/>
        <v>70</v>
      </c>
      <c r="U96" s="83">
        <f t="shared" si="49"/>
        <v>-69.599999999999994</v>
      </c>
      <c r="V96" s="79" t="str">
        <f t="shared" si="50"/>
        <v xml:space="preserve">DEB </v>
      </c>
      <c r="W96" s="80">
        <f t="shared" si="51"/>
        <v>-10</v>
      </c>
      <c r="X96" s="81" t="str">
        <f>IF(I96="","",IF(A96="H",IF(OR(H96="SEN",H96&lt;1995),VLOOKUP(I96,Feuil1!$A$11:$F$29,6),IF(AND(H96&gt;1994,H96&lt;1998),VLOOKUP(I96,Feuil1!$A$11:$F$29,5),IF(AND(H96&gt;1997,H96&lt;2000),VLOOKUP(I96,Feuil1!$A$11:$F$29,4),IF(AND(H96&gt;1999,H96&lt;2002),VLOOKUP(I96,Feuil1!$A$11:$F$29,3),VLOOKUP(I96,Feuil1!$A$11:$F$29,2))))),IF(OR(H96="SEN",H96&lt;1995),VLOOKUP(I96,Feuil1!$G$11:$L$25,6),IF(AND(H96&gt;1994,H96&lt;1998),VLOOKUP(I96,Feuil1!$G$11:$L$25,5),IF(AND(H96&gt;1997,H96&lt;2000),VLOOKUP(I96,Feuil1!$G$11:$L$25,4),IF(AND(H96&gt;1999,H96&lt;2002),VLOOKUP(I96,Feuil1!$G$11:$L$25,3),VLOOKUP(I96,Feuil1!$G$11:$L$25,2)))))))</f>
        <v>FJ75</v>
      </c>
      <c r="Y96" s="39">
        <f t="shared" si="52"/>
        <v>87.244457815150597</v>
      </c>
      <c r="Z96" s="45"/>
      <c r="AA96" s="45" t="s">
        <v>12</v>
      </c>
      <c r="AB96" s="3">
        <f>T96-HLOOKUP(X96,Feuil1!$C$1:$BL$10,2,FALSE)</f>
        <v>-10</v>
      </c>
      <c r="AC96" s="3">
        <f>T96-HLOOKUP(X96,Feuil1!$C$1:$BL$10,3,FALSE)</f>
        <v>-25</v>
      </c>
      <c r="AD96" s="3">
        <f>T96-HLOOKUP(X96,Feuil1!$C$1:$BL$10,4,FALSE)</f>
        <v>-35</v>
      </c>
      <c r="AE96" s="3">
        <f>T96-HLOOKUP(X96,Feuil1!$C$1:$BL$10,5,FALSE)</f>
        <v>-45</v>
      </c>
      <c r="AF96" s="3">
        <f>T96-HLOOKUP(X96,Feuil1!$C$1:$BL$10,6,FALSE)</f>
        <v>-60</v>
      </c>
      <c r="AG96" s="3">
        <f>T96-HLOOKUP(X96,Feuil1!$C$1:$BL$10,7,FALSE)</f>
        <v>-75</v>
      </c>
      <c r="AH96" s="3">
        <f>T96-HLOOKUP(X96,Feuil1!$C$1:$BL$10,8,FALSE)</f>
        <v>-90</v>
      </c>
      <c r="AI96" s="3">
        <f>T96-HLOOKUP(X96,Feuil1!$C$1:$BL$10,9,FALSE)</f>
        <v>-110</v>
      </c>
      <c r="AJ96" s="5">
        <f>T96-HLOOKUP(X96,Feuil1!$C$1:$BL$10,10,FALSE)</f>
        <v>-930</v>
      </c>
      <c r="AQ96" s="5" t="str">
        <f t="shared" si="53"/>
        <v xml:space="preserve">DEB </v>
      </c>
    </row>
    <row r="97" spans="1:55" ht="21" hidden="1" x14ac:dyDescent="0.2">
      <c r="A97" s="12" t="s">
        <v>69</v>
      </c>
      <c r="B97" s="18" t="s">
        <v>298</v>
      </c>
      <c r="C97" s="19" t="s">
        <v>476</v>
      </c>
      <c r="D97" s="61">
        <v>7</v>
      </c>
      <c r="E97" s="35">
        <v>386785</v>
      </c>
      <c r="F97" s="20" t="s">
        <v>504</v>
      </c>
      <c r="G97" s="20" t="s">
        <v>505</v>
      </c>
      <c r="H97" s="51">
        <v>1997</v>
      </c>
      <c r="I97" s="30">
        <v>70.8</v>
      </c>
      <c r="J97" s="19" t="s">
        <v>503</v>
      </c>
      <c r="K97" s="34" t="s">
        <v>69</v>
      </c>
      <c r="L97" s="31">
        <v>27</v>
      </c>
      <c r="M97" s="31">
        <v>30</v>
      </c>
      <c r="N97" s="31">
        <v>33</v>
      </c>
      <c r="O97" s="36">
        <f t="shared" si="46"/>
        <v>33</v>
      </c>
      <c r="P97" s="31">
        <v>34</v>
      </c>
      <c r="Q97" s="31">
        <v>37</v>
      </c>
      <c r="R97" s="31">
        <v>-40</v>
      </c>
      <c r="S97" s="36">
        <f t="shared" si="47"/>
        <v>37</v>
      </c>
      <c r="T97" s="37">
        <f t="shared" si="48"/>
        <v>70</v>
      </c>
      <c r="U97" s="64">
        <f t="shared" si="49"/>
        <v>-71.599999999999994</v>
      </c>
      <c r="V97" s="41" t="str">
        <f t="shared" si="50"/>
        <v xml:space="preserve">DEB </v>
      </c>
      <c r="W97" s="33">
        <f t="shared" si="51"/>
        <v>-10</v>
      </c>
      <c r="X97" s="40" t="str">
        <f>IF(I97="","",IF(A97="H",IF(OR(H97="SEN",H97&lt;1995),VLOOKUP(I97,Feuil1!$A$11:$F$29,6),IF(AND(H97&gt;1994,H97&lt;1998),VLOOKUP(I97,Feuil1!$A$11:$F$29,5),IF(AND(H97&gt;1997,H97&lt;2000),VLOOKUP(I97,Feuil1!$A$11:$F$29,4),IF(AND(H97&gt;1999,H97&lt;2002),VLOOKUP(I97,Feuil1!$A$11:$F$29,3),VLOOKUP(I97,Feuil1!$A$11:$F$29,2))))),IF(OR(H97="SEN",H97&lt;1995),VLOOKUP(I97,Feuil1!$G$11:$L$25,6),IF(AND(H97&gt;1994,H97&lt;1998),VLOOKUP(I97,Feuil1!$G$11:$L$25,5),IF(AND(H97&gt;1997,H97&lt;2000),VLOOKUP(I97,Feuil1!$G$11:$L$25,4),IF(AND(H97&gt;1999,H97&lt;2002),VLOOKUP(I97,Feuil1!$G$11:$L$25,3),VLOOKUP(I97,Feuil1!$G$11:$L$25,2)))))))</f>
        <v>FJ75</v>
      </c>
      <c r="Y97" s="39">
        <f t="shared" si="52"/>
        <v>86.527194475464469</v>
      </c>
      <c r="Z97" s="45"/>
      <c r="AA97" s="45" t="s">
        <v>12</v>
      </c>
      <c r="AB97" s="3">
        <f>T97-HLOOKUP(X97,Feuil1!$C$1:$BL$10,2,FALSE)</f>
        <v>-10</v>
      </c>
      <c r="AC97" s="3">
        <f>T97-HLOOKUP(X97,Feuil1!$C$1:$BL$10,3,FALSE)</f>
        <v>-25</v>
      </c>
      <c r="AD97" s="3">
        <f>T97-HLOOKUP(X97,Feuil1!$C$1:$BL$10,4,FALSE)</f>
        <v>-35</v>
      </c>
      <c r="AE97" s="3">
        <f>T97-HLOOKUP(X97,Feuil1!$C$1:$BL$10,5,FALSE)</f>
        <v>-45</v>
      </c>
      <c r="AF97" s="3">
        <f>T97-HLOOKUP(X97,Feuil1!$C$1:$BL$10,6,FALSE)</f>
        <v>-60</v>
      </c>
      <c r="AG97" s="3">
        <f>T97-HLOOKUP(X97,Feuil1!$C$1:$BL$10,7,FALSE)</f>
        <v>-75</v>
      </c>
      <c r="AH97" s="3">
        <f>T97-HLOOKUP(X97,Feuil1!$C$1:$BL$10,8,FALSE)</f>
        <v>-90</v>
      </c>
      <c r="AI97" s="3">
        <f>T97-HLOOKUP(X97,Feuil1!$C$1:$BL$10,9,FALSE)</f>
        <v>-110</v>
      </c>
      <c r="AJ97" s="5">
        <f>T97-HLOOKUP(X97,Feuil1!$C$1:$BL$10,10,FALSE)</f>
        <v>-930</v>
      </c>
      <c r="AQ97" s="5" t="str">
        <f t="shared" si="53"/>
        <v xml:space="preserve">DEB </v>
      </c>
      <c r="BC97" s="13"/>
    </row>
    <row r="98" spans="1:55" ht="21" hidden="1" x14ac:dyDescent="0.2">
      <c r="A98" s="12" t="s">
        <v>69</v>
      </c>
      <c r="B98" s="18" t="s">
        <v>71</v>
      </c>
      <c r="C98" s="19" t="s">
        <v>801</v>
      </c>
      <c r="D98" s="61">
        <v>8</v>
      </c>
      <c r="E98" s="35">
        <v>374710</v>
      </c>
      <c r="F98" s="20" t="s">
        <v>828</v>
      </c>
      <c r="G98" s="20" t="s">
        <v>829</v>
      </c>
      <c r="H98" s="51">
        <v>1996</v>
      </c>
      <c r="I98" s="30">
        <v>72.599999999999994</v>
      </c>
      <c r="J98" s="19" t="s">
        <v>803</v>
      </c>
      <c r="K98" s="34" t="s">
        <v>69</v>
      </c>
      <c r="L98" s="31">
        <v>24</v>
      </c>
      <c r="M98" s="31">
        <v>27</v>
      </c>
      <c r="N98" s="31">
        <v>30</v>
      </c>
      <c r="O98" s="36">
        <f t="shared" si="46"/>
        <v>30</v>
      </c>
      <c r="P98" s="31">
        <v>36</v>
      </c>
      <c r="Q98" s="31">
        <v>-39</v>
      </c>
      <c r="R98" s="31">
        <v>-39</v>
      </c>
      <c r="S98" s="36">
        <f t="shared" si="47"/>
        <v>36</v>
      </c>
      <c r="T98" s="37">
        <f t="shared" si="48"/>
        <v>66</v>
      </c>
      <c r="U98" s="64">
        <f t="shared" si="49"/>
        <v>-79.199999999999989</v>
      </c>
      <c r="V98" s="41" t="str">
        <f t="shared" si="50"/>
        <v xml:space="preserve">DEB </v>
      </c>
      <c r="W98" s="33">
        <f t="shared" si="51"/>
        <v>-14</v>
      </c>
      <c r="X98" s="40" t="str">
        <f>IF(I98="","",IF(A98="H",IF(OR(H98="SEN",H98&lt;1995),VLOOKUP(I98,Feuil1!$A$11:$F$29,6),IF(AND(H98&gt;1994,H98&lt;1998),VLOOKUP(I98,Feuil1!$A$11:$F$29,5),IF(AND(H98&gt;1997,H98&lt;2000),VLOOKUP(I98,Feuil1!$A$11:$F$29,4),IF(AND(H98&gt;1999,H98&lt;2002),VLOOKUP(I98,Feuil1!$A$11:$F$29,3),VLOOKUP(I98,Feuil1!$A$11:$F$29,2))))),IF(OR(H98="SEN",H98&lt;1995),VLOOKUP(I98,Feuil1!$G$11:$L$25,6),IF(AND(H98&gt;1994,H98&lt;1998),VLOOKUP(I98,Feuil1!$G$11:$L$25,5),IF(AND(H98&gt;1997,H98&lt;2000),VLOOKUP(I98,Feuil1!$G$11:$L$25,4),IF(AND(H98&gt;1999,H98&lt;2002),VLOOKUP(I98,Feuil1!$G$11:$L$25,3),VLOOKUP(I98,Feuil1!$G$11:$L$25,2)))))))</f>
        <v>FJ75</v>
      </c>
      <c r="Y98" s="39">
        <f t="shared" si="52"/>
        <v>80.433691769256825</v>
      </c>
      <c r="Z98" s="45"/>
      <c r="AA98" s="45" t="s">
        <v>12</v>
      </c>
      <c r="AB98" s="3">
        <f>T98-HLOOKUP(X98,Feuil1!$C$1:$BL$10,2,FALSE)</f>
        <v>-14</v>
      </c>
      <c r="AC98" s="3">
        <f>T98-HLOOKUP(X98,Feuil1!$C$1:$BL$10,3,FALSE)</f>
        <v>-29</v>
      </c>
      <c r="AD98" s="3">
        <f>T98-HLOOKUP(X98,Feuil1!$C$1:$BL$10,4,FALSE)</f>
        <v>-39</v>
      </c>
      <c r="AE98" s="3">
        <f>T98-HLOOKUP(X98,Feuil1!$C$1:$BL$10,5,FALSE)</f>
        <v>-49</v>
      </c>
      <c r="AF98" s="3">
        <f>T98-HLOOKUP(X98,Feuil1!$C$1:$BL$10,6,FALSE)</f>
        <v>-64</v>
      </c>
      <c r="AG98" s="3">
        <f>T98-HLOOKUP(X98,Feuil1!$C$1:$BL$10,7,FALSE)</f>
        <v>-79</v>
      </c>
      <c r="AH98" s="3">
        <f>T98-HLOOKUP(X98,Feuil1!$C$1:$BL$10,8,FALSE)</f>
        <v>-94</v>
      </c>
      <c r="AI98" s="3">
        <f>T98-HLOOKUP(X98,Feuil1!$C$1:$BL$10,9,FALSE)</f>
        <v>-114</v>
      </c>
      <c r="AJ98" s="5">
        <f>T98-HLOOKUP(X98,Feuil1!$C$1:$BL$10,10,FALSE)</f>
        <v>-934</v>
      </c>
      <c r="AQ98" s="5" t="str">
        <f t="shared" si="53"/>
        <v xml:space="preserve">DEB </v>
      </c>
    </row>
    <row r="99" spans="1:55" s="13" customFormat="1" ht="15" hidden="1" customHeight="1" thickBot="1" x14ac:dyDescent="0.25">
      <c r="A99" s="89"/>
      <c r="B99" s="90"/>
      <c r="C99" s="91"/>
      <c r="D99" s="92"/>
      <c r="E99" s="93"/>
      <c r="F99" s="94"/>
      <c r="G99" s="94"/>
      <c r="H99" s="95"/>
      <c r="I99" s="96"/>
      <c r="J99" s="91"/>
      <c r="K99" s="97"/>
      <c r="L99" s="98"/>
      <c r="M99" s="98"/>
      <c r="N99" s="98"/>
      <c r="O99" s="99"/>
      <c r="P99" s="98"/>
      <c r="Q99" s="98"/>
      <c r="R99" s="98"/>
      <c r="S99" s="99"/>
      <c r="T99" s="100"/>
      <c r="U99" s="101"/>
      <c r="V99" s="102"/>
      <c r="W99" s="103"/>
      <c r="X99" s="104"/>
      <c r="Y99" s="105"/>
      <c r="Z99" s="45"/>
      <c r="AA99" s="45" t="s">
        <v>12</v>
      </c>
      <c r="AB99" s="3" t="e">
        <f>T99-HLOOKUP(X99,Feuil1!$C$1:$BL$10,2,FALSE)</f>
        <v>#N/A</v>
      </c>
      <c r="AC99" s="3" t="e">
        <f>T99-HLOOKUP(X99,Feuil1!$C$1:$BL$10,3,FALSE)</f>
        <v>#N/A</v>
      </c>
      <c r="AD99" s="3" t="e">
        <f>T99-HLOOKUP(X99,Feuil1!$C$1:$BL$10,4,FALSE)</f>
        <v>#N/A</v>
      </c>
      <c r="AE99" s="3" t="e">
        <f>T99-HLOOKUP(X99,Feuil1!$C$1:$BL$10,5,FALSE)</f>
        <v>#N/A</v>
      </c>
      <c r="AF99" s="3" t="e">
        <f>T99-HLOOKUP(X99,Feuil1!$C$1:$BL$10,6,FALSE)</f>
        <v>#N/A</v>
      </c>
      <c r="AG99" s="3" t="e">
        <f>T99-HLOOKUP(X99,Feuil1!$C$1:$BL$10,7,FALSE)</f>
        <v>#N/A</v>
      </c>
      <c r="AH99" s="3" t="e">
        <f>T99-HLOOKUP(X99,Feuil1!$C$1:$BL$10,8,FALSE)</f>
        <v>#N/A</v>
      </c>
      <c r="AI99" s="3" t="e">
        <f>T99-HLOOKUP(X99,Feuil1!$C$1:$BL$10,9,FALSE)</f>
        <v>#N/A</v>
      </c>
      <c r="AJ99" s="3" t="e">
        <f>T99-HLOOKUP(X99,Feuil1!$C$1:$BL$10,10,FALSE)</f>
        <v>#N/A</v>
      </c>
      <c r="AK99" s="5"/>
      <c r="AL99" s="5"/>
      <c r="AM99" s="5"/>
      <c r="AN99" s="5"/>
      <c r="AO99" s="5"/>
      <c r="AP99" s="5"/>
      <c r="AQ99" s="5" t="e">
        <f t="shared" si="36"/>
        <v>#N/A</v>
      </c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</row>
    <row r="100" spans="1:55" ht="21" hidden="1" x14ac:dyDescent="0.2">
      <c r="A100" s="12" t="s">
        <v>69</v>
      </c>
      <c r="B100" s="67" t="s">
        <v>649</v>
      </c>
      <c r="C100" s="68" t="s">
        <v>669</v>
      </c>
      <c r="D100" s="69">
        <v>1</v>
      </c>
      <c r="E100" s="70">
        <v>212730</v>
      </c>
      <c r="F100" s="71" t="s">
        <v>683</v>
      </c>
      <c r="G100" s="71" t="s">
        <v>684</v>
      </c>
      <c r="H100" s="72">
        <v>1996</v>
      </c>
      <c r="I100" s="73">
        <v>80</v>
      </c>
      <c r="J100" s="68" t="s">
        <v>672</v>
      </c>
      <c r="K100" s="74" t="s">
        <v>69</v>
      </c>
      <c r="L100" s="75">
        <v>60</v>
      </c>
      <c r="M100" s="75">
        <v>65</v>
      </c>
      <c r="N100" s="75">
        <v>-70</v>
      </c>
      <c r="O100" s="76">
        <f t="shared" ref="O100" si="54">IF(H100="","",IF(MAXA(L100:N100)&lt;=0,0,MAXA(L100:N100)))</f>
        <v>65</v>
      </c>
      <c r="P100" s="75">
        <v>83</v>
      </c>
      <c r="Q100" s="75">
        <v>-86</v>
      </c>
      <c r="R100" s="75">
        <v>88</v>
      </c>
      <c r="S100" s="76">
        <f t="shared" ref="S100" si="55">IF(H100="","",IF(MAXA(P100:R100)&lt;=0,0,MAXA(P100:R100)))</f>
        <v>88</v>
      </c>
      <c r="T100" s="77">
        <f t="shared" ref="T100" si="56">IF(H100="","",IF(OR(O100=0,S100=0),0,O100+S100))</f>
        <v>153</v>
      </c>
      <c r="U100" s="83">
        <f t="shared" ref="U100" si="57">T100-I100*2</f>
        <v>-7</v>
      </c>
      <c r="V100" s="79" t="str">
        <f t="shared" ref="V100" si="58">IF(H100="","",AQ100)</f>
        <v>NAT +</v>
      </c>
      <c r="W100" s="80">
        <f t="shared" ref="W100" si="59">IF(AJ100&gt;=0,AJ100,IF(AI100&gt;=0,AI100,IF(AH100&gt;=0,AH100,IF(AG100&gt;=0,AG100,IF(AF100&gt;=0,AF100,IF(AE100&gt;=0,AE100,IF(AD100&gt;=0,AD100,IF(AC100&gt;=0,AC100,AB100))))))))</f>
        <v>3</v>
      </c>
      <c r="X100" s="81" t="str">
        <f>IF(I100="","",IF(A100="H",IF(OR(H100="SEN",H100&lt;1995),VLOOKUP(I100,Feuil1!$A$11:$F$29,6),IF(AND(H100&gt;1994,H100&lt;1998),VLOOKUP(I100,Feuil1!$A$11:$F$29,5),IF(AND(H100&gt;1997,H100&lt;2000),VLOOKUP(I100,Feuil1!$A$11:$F$29,4),IF(AND(H100&gt;1999,H100&lt;2002),VLOOKUP(I100,Feuil1!$A$11:$F$29,3),VLOOKUP(I100,Feuil1!$A$11:$F$29,2))))),IF(OR(H100="SEN",H100&lt;1995),VLOOKUP(I100,Feuil1!$G$11:$L$25,6),IF(AND(H100&gt;1994,H100&lt;1998),VLOOKUP(I100,Feuil1!$G$11:$L$25,5),IF(AND(H100&gt;1997,H100&lt;2000),VLOOKUP(I100,Feuil1!$G$11:$L$25,4),IF(AND(H100&gt;1999,H100&lt;2002),VLOOKUP(I100,Feuil1!$G$11:$L$25,3),VLOOKUP(I100,Feuil1!$G$11:$L$25,2)))))))</f>
        <v>FJ+75</v>
      </c>
      <c r="Y100" s="39">
        <f t="shared" ref="Y100" si="60">IF(I100="","",IF(A100="H",10^(0.794358141*LOG(I100/174.393)^2)*T100,IF(A100="F",10^(0.89726074*LOG(I100/148.026)^2)*T100,"")))</f>
        <v>177.32711193776782</v>
      </c>
      <c r="Z100" s="45"/>
      <c r="AA100" s="45" t="s">
        <v>12</v>
      </c>
      <c r="AB100" s="3">
        <f>T100-HLOOKUP(X100,Feuil1!$C$1:$BL$10,2,FALSE)</f>
        <v>63</v>
      </c>
      <c r="AC100" s="3">
        <f>T100-HLOOKUP(X100,Feuil1!$C$1:$BL$10,3,FALSE)</f>
        <v>53</v>
      </c>
      <c r="AD100" s="3">
        <f>T100-HLOOKUP(X100,Feuil1!$C$1:$BL$10,4,FALSE)</f>
        <v>43</v>
      </c>
      <c r="AE100" s="3">
        <f>T100-HLOOKUP(X100,Feuil1!$C$1:$BL$10,5,FALSE)</f>
        <v>28</v>
      </c>
      <c r="AF100" s="3">
        <f>T100-HLOOKUP(X100,Feuil1!$C$1:$BL$10,6,FALSE)</f>
        <v>13</v>
      </c>
      <c r="AG100" s="3">
        <f>T100-HLOOKUP(X100,Feuil1!$C$1:$BL$10,7,FALSE)</f>
        <v>3</v>
      </c>
      <c r="AH100" s="3">
        <f>T100-HLOOKUP(X100,Feuil1!$C$1:$BL$10,8,FALSE)</f>
        <v>-17</v>
      </c>
      <c r="AI100" s="3">
        <f>T100-HLOOKUP(X100,Feuil1!$C$1:$BL$10,9,FALSE)</f>
        <v>-37</v>
      </c>
      <c r="AJ100" s="5">
        <f>T100-HLOOKUP(X100,Feuil1!$C$1:$BL$10,10,FALSE)</f>
        <v>-847</v>
      </c>
      <c r="AQ100" s="5" t="str">
        <f t="shared" ref="AQ100" si="61">IF(AJ100&gt;=0,$AJ$1,IF(AI100&gt;=0,$AI$1,IF(AH100&gt;=0,$AH$1,IF(AG100&gt;=0,$AG$1,IF(AF100&gt;=0,$AF$1,IF(AE100&gt;=0,$AE$1,IF(AD100&gt;=0,$AD$1,IF(AC100&gt;=0,$AC$1,$AB$1))))))))</f>
        <v>NAT +</v>
      </c>
    </row>
    <row r="101" spans="1:55" ht="21" hidden="1" x14ac:dyDescent="0.2">
      <c r="A101" s="12" t="s">
        <v>69</v>
      </c>
      <c r="B101" s="18" t="s">
        <v>108</v>
      </c>
      <c r="C101" s="19" t="s">
        <v>119</v>
      </c>
      <c r="D101" s="61">
        <v>2</v>
      </c>
      <c r="E101" s="35">
        <v>219700</v>
      </c>
      <c r="F101" s="20" t="s">
        <v>174</v>
      </c>
      <c r="G101" s="20" t="s">
        <v>430</v>
      </c>
      <c r="H101" s="51">
        <v>1995</v>
      </c>
      <c r="I101" s="30">
        <v>78.75</v>
      </c>
      <c r="J101" s="19" t="s">
        <v>161</v>
      </c>
      <c r="K101" s="34" t="s">
        <v>69</v>
      </c>
      <c r="L101" s="31">
        <v>39</v>
      </c>
      <c r="M101" s="31">
        <v>-42</v>
      </c>
      <c r="N101" s="31">
        <v>42</v>
      </c>
      <c r="O101" s="36">
        <f t="shared" ref="O101:O102" si="62">IF(H101="","",IF(MAXA(L101:N101)&lt;=0,0,MAXA(L101:N101)))</f>
        <v>42</v>
      </c>
      <c r="P101" s="31">
        <v>55</v>
      </c>
      <c r="Q101" s="31">
        <v>-58</v>
      </c>
      <c r="R101" s="31">
        <v>60</v>
      </c>
      <c r="S101" s="36">
        <f t="shared" ref="S101:S102" si="63">IF(H101="","",IF(MAXA(P101:R101)&lt;=0,0,MAXA(P101:R101)))</f>
        <v>60</v>
      </c>
      <c r="T101" s="37">
        <f t="shared" ref="T101:T102" si="64">IF(H101="","",IF(OR(O101=0,S101=0),0,O101+S101))</f>
        <v>102</v>
      </c>
      <c r="U101" s="64">
        <f t="shared" ref="U101:U102" si="65">T101-I101*2</f>
        <v>-55.5</v>
      </c>
      <c r="V101" s="41" t="str">
        <f t="shared" ref="V101:V102" si="66">IF(H101="","",AQ101)</f>
        <v>DEP +</v>
      </c>
      <c r="W101" s="33">
        <f t="shared" ref="W101:W102" si="67">IF(AJ101&gt;=0,AJ101,IF(AI101&gt;=0,AI101,IF(AH101&gt;=0,AH101,IF(AG101&gt;=0,AG101,IF(AF101&gt;=0,AF101,IF(AE101&gt;=0,AE101,IF(AD101&gt;=0,AD101,IF(AC101&gt;=0,AC101,AB101))))))))</f>
        <v>2</v>
      </c>
      <c r="X101" s="40" t="str">
        <f>IF(I101="","",IF(A101="H",IF(OR(H101="SEN",H101&lt;1995),VLOOKUP(I101,Feuil1!$A$11:$F$29,6),IF(AND(H101&gt;1994,H101&lt;1998),VLOOKUP(I101,Feuil1!$A$11:$F$29,5),IF(AND(H101&gt;1997,H101&lt;2000),VLOOKUP(I101,Feuil1!$A$11:$F$29,4),IF(AND(H101&gt;1999,H101&lt;2002),VLOOKUP(I101,Feuil1!$A$11:$F$29,3),VLOOKUP(I101,Feuil1!$A$11:$F$29,2))))),IF(OR(H101="SEN",H101&lt;1995),VLOOKUP(I101,Feuil1!$G$11:$L$25,6),IF(AND(H101&gt;1994,H101&lt;1998),VLOOKUP(I101,Feuil1!$G$11:$L$25,5),IF(AND(H101&gt;1997,H101&lt;2000),VLOOKUP(I101,Feuil1!$G$11:$L$25,4),IF(AND(H101&gt;1999,H101&lt;2002),VLOOKUP(I101,Feuil1!$G$11:$L$25,3),VLOOKUP(I101,Feuil1!$G$11:$L$25,2)))))))</f>
        <v>FJ+75</v>
      </c>
      <c r="Y101" s="39">
        <f t="shared" ref="Y101:Y102" si="68">IF(I101="","",IF(A101="H",10^(0.794358141*LOG(I101/174.393)^2)*T101,IF(A101="F",10^(0.89726074*LOG(I101/148.026)^2)*T101,"")))</f>
        <v>119.12582481948786</v>
      </c>
      <c r="Z101" s="45"/>
      <c r="AA101" s="45" t="s">
        <v>12</v>
      </c>
      <c r="AB101" s="3">
        <f>T101-HLOOKUP(X101,Feuil1!$C$1:$BL$10,2,FALSE)</f>
        <v>12</v>
      </c>
      <c r="AC101" s="3">
        <f>T101-HLOOKUP(X101,Feuil1!$C$1:$BL$10,3,FALSE)</f>
        <v>2</v>
      </c>
      <c r="AD101" s="3">
        <f>T101-HLOOKUP(X101,Feuil1!$C$1:$BL$10,4,FALSE)</f>
        <v>-8</v>
      </c>
      <c r="AE101" s="3">
        <f>T101-HLOOKUP(X101,Feuil1!$C$1:$BL$10,5,FALSE)</f>
        <v>-23</v>
      </c>
      <c r="AF101" s="3">
        <f>T101-HLOOKUP(X101,Feuil1!$C$1:$BL$10,6,FALSE)</f>
        <v>-38</v>
      </c>
      <c r="AG101" s="3">
        <f>T101-HLOOKUP(X101,Feuil1!$C$1:$BL$10,7,FALSE)</f>
        <v>-48</v>
      </c>
      <c r="AH101" s="3">
        <f>T101-HLOOKUP(X101,Feuil1!$C$1:$BL$10,8,FALSE)</f>
        <v>-68</v>
      </c>
      <c r="AI101" s="3">
        <f>T101-HLOOKUP(X101,Feuil1!$C$1:$BL$10,9,FALSE)</f>
        <v>-88</v>
      </c>
      <c r="AJ101" s="5">
        <f>T101-HLOOKUP(X101,Feuil1!$C$1:$BL$10,10,FALSE)</f>
        <v>-898</v>
      </c>
      <c r="AQ101" s="5" t="str">
        <f t="shared" si="36"/>
        <v>DEP +</v>
      </c>
    </row>
    <row r="102" spans="1:55" ht="21" hidden="1" x14ac:dyDescent="0.2">
      <c r="A102" s="12" t="s">
        <v>69</v>
      </c>
      <c r="B102" s="18" t="s">
        <v>298</v>
      </c>
      <c r="C102" s="19" t="s">
        <v>404</v>
      </c>
      <c r="D102" s="61">
        <v>3</v>
      </c>
      <c r="E102" s="35">
        <v>362647</v>
      </c>
      <c r="F102" s="20" t="s">
        <v>435</v>
      </c>
      <c r="G102" s="20" t="s">
        <v>436</v>
      </c>
      <c r="H102" s="51">
        <v>1996</v>
      </c>
      <c r="I102" s="30">
        <v>82.2</v>
      </c>
      <c r="J102" s="19" t="s">
        <v>406</v>
      </c>
      <c r="K102" s="34" t="s">
        <v>69</v>
      </c>
      <c r="L102" s="31">
        <v>24</v>
      </c>
      <c r="M102" s="31">
        <v>27</v>
      </c>
      <c r="N102" s="31">
        <v>30</v>
      </c>
      <c r="O102" s="36">
        <f t="shared" si="62"/>
        <v>30</v>
      </c>
      <c r="P102" s="31">
        <v>-31</v>
      </c>
      <c r="Q102" s="31">
        <v>35</v>
      </c>
      <c r="R102" s="31">
        <v>40</v>
      </c>
      <c r="S102" s="36">
        <f t="shared" si="63"/>
        <v>40</v>
      </c>
      <c r="T102" s="37">
        <f t="shared" si="64"/>
        <v>70</v>
      </c>
      <c r="U102" s="64">
        <f t="shared" si="65"/>
        <v>-94.4</v>
      </c>
      <c r="V102" s="41" t="str">
        <f t="shared" si="66"/>
        <v xml:space="preserve">DEB </v>
      </c>
      <c r="W102" s="33">
        <f t="shared" si="67"/>
        <v>-20</v>
      </c>
      <c r="X102" s="40" t="str">
        <f>IF(I102="","",IF(A102="H",IF(OR(H102="SEN",H102&lt;1995),VLOOKUP(I102,Feuil1!$A$11:$F$29,6),IF(AND(H102&gt;1994,H102&lt;1998),VLOOKUP(I102,Feuil1!$A$11:$F$29,5),IF(AND(H102&gt;1997,H102&lt;2000),VLOOKUP(I102,Feuil1!$A$11:$F$29,4),IF(AND(H102&gt;1999,H102&lt;2002),VLOOKUP(I102,Feuil1!$A$11:$F$29,3),VLOOKUP(I102,Feuil1!$A$11:$F$29,2))))),IF(OR(H102="SEN",H102&lt;1995),VLOOKUP(I102,Feuil1!$G$11:$L$25,6),IF(AND(H102&gt;1994,H102&lt;1998),VLOOKUP(I102,Feuil1!$G$11:$L$25,5),IF(AND(H102&gt;1997,H102&lt;2000),VLOOKUP(I102,Feuil1!$G$11:$L$25,4),IF(AND(H102&gt;1999,H102&lt;2002),VLOOKUP(I102,Feuil1!$G$11:$L$25,3),VLOOKUP(I102,Feuil1!$G$11:$L$25,2)))))))</f>
        <v>FJ+75</v>
      </c>
      <c r="Y102" s="39">
        <f t="shared" si="68"/>
        <v>80.104320870409381</v>
      </c>
      <c r="Z102" s="45"/>
      <c r="AA102" s="45" t="s">
        <v>12</v>
      </c>
      <c r="AB102" s="3">
        <f>T102-HLOOKUP(X102,Feuil1!$C$1:$BL$10,2,FALSE)</f>
        <v>-20</v>
      </c>
      <c r="AC102" s="3">
        <f>T102-HLOOKUP(X102,Feuil1!$C$1:$BL$10,3,FALSE)</f>
        <v>-30</v>
      </c>
      <c r="AD102" s="3">
        <f>T102-HLOOKUP(X102,Feuil1!$C$1:$BL$10,4,FALSE)</f>
        <v>-40</v>
      </c>
      <c r="AE102" s="3">
        <f>T102-HLOOKUP(X102,Feuil1!$C$1:$BL$10,5,FALSE)</f>
        <v>-55</v>
      </c>
      <c r="AF102" s="3">
        <f>T102-HLOOKUP(X102,Feuil1!$C$1:$BL$10,6,FALSE)</f>
        <v>-70</v>
      </c>
      <c r="AG102" s="3">
        <f>T102-HLOOKUP(X102,Feuil1!$C$1:$BL$10,7,FALSE)</f>
        <v>-80</v>
      </c>
      <c r="AH102" s="3">
        <f>T102-HLOOKUP(X102,Feuil1!$C$1:$BL$10,8,FALSE)</f>
        <v>-100</v>
      </c>
      <c r="AI102" s="3">
        <f>T102-HLOOKUP(X102,Feuil1!$C$1:$BL$10,9,FALSE)</f>
        <v>-120</v>
      </c>
      <c r="AJ102" s="5">
        <f>T102-HLOOKUP(X102,Feuil1!$C$1:$BL$10,10,FALSE)</f>
        <v>-930</v>
      </c>
      <c r="AQ102" s="5" t="str">
        <f t="shared" si="36"/>
        <v xml:space="preserve">DEB </v>
      </c>
    </row>
    <row r="103" spans="1:55" s="13" customFormat="1" ht="15" hidden="1" customHeight="1" thickBot="1" x14ac:dyDescent="0.25">
      <c r="A103" s="89"/>
      <c r="B103" s="90"/>
      <c r="C103" s="91"/>
      <c r="D103" s="92"/>
      <c r="E103" s="93"/>
      <c r="F103" s="94"/>
      <c r="G103" s="94"/>
      <c r="H103" s="95"/>
      <c r="I103" s="96"/>
      <c r="J103" s="91"/>
      <c r="K103" s="97"/>
      <c r="L103" s="98"/>
      <c r="M103" s="98"/>
      <c r="N103" s="98"/>
      <c r="O103" s="99"/>
      <c r="P103" s="98"/>
      <c r="Q103" s="98"/>
      <c r="R103" s="98"/>
      <c r="S103" s="99"/>
      <c r="T103" s="100"/>
      <c r="U103" s="101"/>
      <c r="V103" s="102"/>
      <c r="W103" s="103"/>
      <c r="X103" s="104"/>
      <c r="Y103" s="105"/>
      <c r="Z103" s="45"/>
      <c r="AA103" s="45" t="s">
        <v>12</v>
      </c>
      <c r="AB103" s="3" t="e">
        <f>T103-HLOOKUP(X103,Feuil1!$C$1:$BL$10,2,FALSE)</f>
        <v>#N/A</v>
      </c>
      <c r="AC103" s="3" t="e">
        <f>T103-HLOOKUP(X103,Feuil1!$C$1:$BL$10,3,FALSE)</f>
        <v>#N/A</v>
      </c>
      <c r="AD103" s="3" t="e">
        <f>T103-HLOOKUP(X103,Feuil1!$C$1:$BL$10,4,FALSE)</f>
        <v>#N/A</v>
      </c>
      <c r="AE103" s="3" t="e">
        <f>T103-HLOOKUP(X103,Feuil1!$C$1:$BL$10,5,FALSE)</f>
        <v>#N/A</v>
      </c>
      <c r="AF103" s="3" t="e">
        <f>T103-HLOOKUP(X103,Feuil1!$C$1:$BL$10,6,FALSE)</f>
        <v>#N/A</v>
      </c>
      <c r="AG103" s="3" t="e">
        <f>T103-HLOOKUP(X103,Feuil1!$C$1:$BL$10,7,FALSE)</f>
        <v>#N/A</v>
      </c>
      <c r="AH103" s="3" t="e">
        <f>T103-HLOOKUP(X103,Feuil1!$C$1:$BL$10,8,FALSE)</f>
        <v>#N/A</v>
      </c>
      <c r="AI103" s="3" t="e">
        <f>T103-HLOOKUP(X103,Feuil1!$C$1:$BL$10,9,FALSE)</f>
        <v>#N/A</v>
      </c>
      <c r="AJ103" s="3" t="e">
        <f>T103-HLOOKUP(X103,Feuil1!$C$1:$BL$10,10,FALSE)</f>
        <v>#N/A</v>
      </c>
      <c r="AK103" s="5"/>
      <c r="AL103" s="5"/>
      <c r="AM103" s="5"/>
      <c r="AN103" s="5"/>
      <c r="AO103" s="5"/>
      <c r="AP103" s="5"/>
      <c r="AQ103" s="5" t="e">
        <f t="shared" si="36"/>
        <v>#N/A</v>
      </c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</row>
    <row r="104" spans="1:55" ht="16.5" hidden="1" thickTop="1" x14ac:dyDescent="0.2">
      <c r="B104" s="25"/>
      <c r="C104" s="25"/>
      <c r="D104" s="62"/>
      <c r="E104" s="25"/>
      <c r="F104" s="26"/>
      <c r="G104" s="27"/>
      <c r="H104" s="27"/>
      <c r="I104" s="27"/>
      <c r="J104" s="27"/>
      <c r="K104" s="27"/>
      <c r="L104" s="28"/>
      <c r="M104" s="29" t="s">
        <v>12</v>
      </c>
      <c r="N104" s="29" t="s">
        <v>12</v>
      </c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42"/>
      <c r="AA104" s="42"/>
      <c r="AQ104" s="5" t="s">
        <v>12</v>
      </c>
    </row>
    <row r="105" spans="1:55" hidden="1" x14ac:dyDescent="0.2"/>
    <row r="106" spans="1:55" hidden="1" x14ac:dyDescent="0.2"/>
    <row r="107" spans="1:55" hidden="1" x14ac:dyDescent="0.2"/>
    <row r="108" spans="1:55" hidden="1" x14ac:dyDescent="0.2"/>
    <row r="109" spans="1:55" hidden="1" x14ac:dyDescent="0.2"/>
    <row r="110" spans="1:55" hidden="1" x14ac:dyDescent="0.2"/>
    <row r="111" spans="1:55" hidden="1" x14ac:dyDescent="0.2"/>
    <row r="112" spans="1:55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spans="28:51" hidden="1" x14ac:dyDescent="0.2"/>
    <row r="594" spans="28:51" hidden="1" x14ac:dyDescent="0.2"/>
    <row r="595" spans="28:51" hidden="1" x14ac:dyDescent="0.2"/>
    <row r="596" spans="28:51" hidden="1" x14ac:dyDescent="0.2"/>
    <row r="597" spans="28:51" hidden="1" x14ac:dyDescent="0.2"/>
    <row r="598" spans="28:51" hidden="1" x14ac:dyDescent="0.2"/>
    <row r="599" spans="28:51" hidden="1" x14ac:dyDescent="0.2"/>
    <row r="600" spans="28:51" hidden="1" x14ac:dyDescent="0.2"/>
    <row r="601" spans="28:51" hidden="1" x14ac:dyDescent="0.2"/>
    <row r="602" spans="28:51" hidden="1" x14ac:dyDescent="0.2"/>
    <row r="603" spans="28:51" hidden="1" x14ac:dyDescent="0.2"/>
    <row r="604" spans="28:51" hidden="1" x14ac:dyDescent="0.2"/>
    <row r="605" spans="28:51" hidden="1" x14ac:dyDescent="0.2">
      <c r="AB605" s="15" t="s">
        <v>30</v>
      </c>
      <c r="AC605" s="15" t="s">
        <v>31</v>
      </c>
      <c r="AD605" s="15" t="s">
        <v>32</v>
      </c>
      <c r="AE605" s="15" t="s">
        <v>33</v>
      </c>
      <c r="AF605" s="15" t="s">
        <v>34</v>
      </c>
      <c r="AG605" s="15"/>
      <c r="AH605" s="15" t="s">
        <v>27</v>
      </c>
      <c r="AI605" s="15" t="s">
        <v>28</v>
      </c>
      <c r="AJ605" s="15" t="s">
        <v>29</v>
      </c>
      <c r="AK605" s="15" t="s">
        <v>30</v>
      </c>
      <c r="AL605" s="15" t="s">
        <v>31</v>
      </c>
      <c r="AM605" s="15" t="s">
        <v>32</v>
      </c>
      <c r="AN605" s="15" t="s">
        <v>33</v>
      </c>
      <c r="AO605" s="15" t="s">
        <v>34</v>
      </c>
      <c r="AP605" s="15"/>
      <c r="AQ605" s="15" t="s">
        <v>35</v>
      </c>
      <c r="AR605" s="15" t="s">
        <v>36</v>
      </c>
      <c r="AS605" s="15" t="s">
        <v>37</v>
      </c>
      <c r="AT605" s="15" t="s">
        <v>38</v>
      </c>
      <c r="AU605" s="15" t="s">
        <v>39</v>
      </c>
      <c r="AV605" s="15" t="s">
        <v>40</v>
      </c>
      <c r="AW605" s="15" t="s">
        <v>41</v>
      </c>
      <c r="AX605" s="15" t="s">
        <v>42</v>
      </c>
      <c r="AY605" s="15"/>
    </row>
    <row r="606" spans="28:51" hidden="1" x14ac:dyDescent="0.2">
      <c r="AB606" s="16">
        <v>145</v>
      </c>
      <c r="AC606" s="16">
        <v>160</v>
      </c>
      <c r="AD606" s="16">
        <v>170</v>
      </c>
      <c r="AE606" s="16">
        <v>180</v>
      </c>
      <c r="AF606" s="16">
        <v>190</v>
      </c>
      <c r="AG606" s="16"/>
      <c r="AH606" s="16">
        <v>100</v>
      </c>
      <c r="AI606" s="16">
        <v>115</v>
      </c>
      <c r="AJ606" s="16">
        <v>130</v>
      </c>
      <c r="AK606" s="16">
        <v>145</v>
      </c>
      <c r="AL606" s="16">
        <v>160</v>
      </c>
      <c r="AM606" s="16">
        <v>170</v>
      </c>
      <c r="AN606" s="16">
        <v>180</v>
      </c>
      <c r="AO606" s="16">
        <v>190</v>
      </c>
      <c r="AP606" s="16"/>
      <c r="AQ606" s="16">
        <v>115</v>
      </c>
      <c r="AR606" s="16">
        <v>135</v>
      </c>
      <c r="AS606" s="16">
        <v>150</v>
      </c>
      <c r="AT606" s="16">
        <v>165</v>
      </c>
      <c r="AU606" s="16">
        <v>180</v>
      </c>
      <c r="AV606" s="16">
        <v>190</v>
      </c>
      <c r="AW606" s="16">
        <v>200</v>
      </c>
      <c r="AX606" s="16">
        <v>210</v>
      </c>
      <c r="AY606" s="16"/>
    </row>
    <row r="607" spans="28:51" hidden="1" x14ac:dyDescent="0.2">
      <c r="AB607" s="16">
        <v>165</v>
      </c>
      <c r="AC607" s="16">
        <v>180</v>
      </c>
      <c r="AD607" s="16">
        <v>190</v>
      </c>
      <c r="AE607" s="16">
        <v>200</v>
      </c>
      <c r="AF607" s="16">
        <v>210</v>
      </c>
      <c r="AG607" s="16"/>
      <c r="AH607" s="16">
        <v>115</v>
      </c>
      <c r="AI607" s="16">
        <v>135</v>
      </c>
      <c r="AJ607" s="16">
        <v>150</v>
      </c>
      <c r="AK607" s="16">
        <v>165</v>
      </c>
      <c r="AL607" s="16">
        <v>180</v>
      </c>
      <c r="AM607" s="16">
        <v>190</v>
      </c>
      <c r="AN607" s="16">
        <v>200</v>
      </c>
      <c r="AO607" s="16">
        <v>210</v>
      </c>
      <c r="AP607" s="16"/>
      <c r="AQ607" s="16">
        <v>130</v>
      </c>
      <c r="AR607" s="16">
        <v>150</v>
      </c>
      <c r="AS607" s="16">
        <v>165</v>
      </c>
      <c r="AT607" s="16">
        <v>185</v>
      </c>
      <c r="AU607" s="16">
        <v>200</v>
      </c>
      <c r="AV607" s="16">
        <v>210</v>
      </c>
      <c r="AW607" s="16">
        <v>220</v>
      </c>
      <c r="AX607" s="16">
        <v>230</v>
      </c>
      <c r="AY607" s="16"/>
    </row>
    <row r="608" spans="28:51" hidden="1" x14ac:dyDescent="0.2">
      <c r="AB608" s="16">
        <v>185</v>
      </c>
      <c r="AC608" s="16">
        <v>200</v>
      </c>
      <c r="AD608" s="16">
        <v>210</v>
      </c>
      <c r="AE608" s="16">
        <v>220</v>
      </c>
      <c r="AF608" s="16">
        <v>230</v>
      </c>
      <c r="AG608" s="16"/>
      <c r="AH608" s="16">
        <v>130</v>
      </c>
      <c r="AI608" s="16">
        <v>150</v>
      </c>
      <c r="AJ608" s="16">
        <v>165</v>
      </c>
      <c r="AK608" s="16">
        <v>185</v>
      </c>
      <c r="AL608" s="16">
        <v>200</v>
      </c>
      <c r="AM608" s="16">
        <v>210</v>
      </c>
      <c r="AN608" s="16">
        <v>220</v>
      </c>
      <c r="AO608" s="16">
        <v>230</v>
      </c>
      <c r="AP608" s="16"/>
      <c r="AQ608" s="16">
        <v>145</v>
      </c>
      <c r="AR608" s="16">
        <v>165</v>
      </c>
      <c r="AS608" s="16">
        <v>180</v>
      </c>
      <c r="AT608" s="16">
        <v>200</v>
      </c>
      <c r="AU608" s="16">
        <v>220</v>
      </c>
      <c r="AV608" s="16">
        <v>230</v>
      </c>
      <c r="AW608" s="16">
        <v>240</v>
      </c>
      <c r="AX608" s="16">
        <v>250</v>
      </c>
      <c r="AY608" s="16"/>
    </row>
    <row r="609" spans="28:51" hidden="1" x14ac:dyDescent="0.2">
      <c r="AB609" s="16">
        <v>200</v>
      </c>
      <c r="AC609" s="16">
        <v>220</v>
      </c>
      <c r="AD609" s="16">
        <v>230</v>
      </c>
      <c r="AE609" s="16">
        <v>240</v>
      </c>
      <c r="AF609" s="16">
        <v>250</v>
      </c>
      <c r="AG609" s="16"/>
      <c r="AH609" s="16">
        <v>145</v>
      </c>
      <c r="AI609" s="16">
        <v>165</v>
      </c>
      <c r="AJ609" s="16">
        <v>180</v>
      </c>
      <c r="AK609" s="16">
        <v>200</v>
      </c>
      <c r="AL609" s="16">
        <v>220</v>
      </c>
      <c r="AM609" s="16">
        <v>230</v>
      </c>
      <c r="AN609" s="16">
        <v>240</v>
      </c>
      <c r="AO609" s="16">
        <v>250</v>
      </c>
      <c r="AP609" s="16"/>
      <c r="AQ609" s="16">
        <v>175</v>
      </c>
      <c r="AR609" s="16">
        <v>195</v>
      </c>
      <c r="AS609" s="16">
        <v>215</v>
      </c>
      <c r="AT609" s="16">
        <v>235</v>
      </c>
      <c r="AU609" s="16">
        <v>250</v>
      </c>
      <c r="AV609" s="16">
        <v>260</v>
      </c>
      <c r="AW609" s="16">
        <v>275</v>
      </c>
      <c r="AX609" s="16">
        <v>280</v>
      </c>
      <c r="AY609" s="16"/>
    </row>
    <row r="610" spans="28:51" hidden="1" x14ac:dyDescent="0.2">
      <c r="AB610" s="16">
        <v>235</v>
      </c>
      <c r="AC610" s="16">
        <v>250</v>
      </c>
      <c r="AD610" s="16">
        <v>260</v>
      </c>
      <c r="AE610" s="16">
        <v>275</v>
      </c>
      <c r="AF610" s="16">
        <v>280</v>
      </c>
      <c r="AG610" s="16"/>
      <c r="AH610" s="16">
        <v>175</v>
      </c>
      <c r="AI610" s="16">
        <v>195</v>
      </c>
      <c r="AJ610" s="16">
        <v>215</v>
      </c>
      <c r="AK610" s="16">
        <v>235</v>
      </c>
      <c r="AL610" s="16">
        <v>250</v>
      </c>
      <c r="AM610" s="16">
        <v>260</v>
      </c>
      <c r="AN610" s="16">
        <v>275</v>
      </c>
      <c r="AO610" s="16">
        <v>280</v>
      </c>
      <c r="AP610" s="16"/>
      <c r="AQ610" s="16">
        <v>210</v>
      </c>
      <c r="AR610" s="16">
        <v>230</v>
      </c>
      <c r="AS610" s="16">
        <v>250</v>
      </c>
      <c r="AT610" s="16">
        <v>270</v>
      </c>
      <c r="AU610" s="16">
        <v>290</v>
      </c>
      <c r="AV610" s="16">
        <v>300</v>
      </c>
      <c r="AW610" s="16">
        <v>310</v>
      </c>
      <c r="AX610" s="16">
        <v>325</v>
      </c>
      <c r="AY610" s="16"/>
    </row>
    <row r="611" spans="28:51" hidden="1" x14ac:dyDescent="0.2">
      <c r="AB611" s="16">
        <v>270</v>
      </c>
      <c r="AC611" s="16">
        <v>290</v>
      </c>
      <c r="AD611" s="16">
        <v>300</v>
      </c>
      <c r="AE611" s="16">
        <v>310</v>
      </c>
      <c r="AF611" s="16">
        <v>325</v>
      </c>
      <c r="AG611" s="16"/>
      <c r="AH611" s="16">
        <v>210</v>
      </c>
      <c r="AI611" s="16">
        <v>230</v>
      </c>
      <c r="AJ611" s="16">
        <v>250</v>
      </c>
      <c r="AK611" s="16">
        <v>270</v>
      </c>
      <c r="AL611" s="16">
        <v>290</v>
      </c>
      <c r="AM611" s="16">
        <v>300</v>
      </c>
      <c r="AN611" s="16">
        <v>310</v>
      </c>
      <c r="AO611" s="16">
        <v>325</v>
      </c>
      <c r="AP611" s="16"/>
      <c r="AQ611" s="16">
        <v>230</v>
      </c>
      <c r="AR611" s="16">
        <v>255</v>
      </c>
      <c r="AS611" s="16">
        <v>275</v>
      </c>
      <c r="AT611" s="16">
        <v>300</v>
      </c>
      <c r="AU611" s="16">
        <v>315</v>
      </c>
      <c r="AV611" s="16">
        <v>335</v>
      </c>
      <c r="AW611" s="16">
        <v>345</v>
      </c>
      <c r="AX611" s="16">
        <v>355</v>
      </c>
      <c r="AY611" s="16"/>
    </row>
    <row r="612" spans="28:51" hidden="1" x14ac:dyDescent="0.2">
      <c r="AB612" s="16">
        <v>320</v>
      </c>
      <c r="AC612" s="16">
        <v>335</v>
      </c>
      <c r="AD612" s="16">
        <v>355</v>
      </c>
      <c r="AE612" s="16">
        <v>370</v>
      </c>
      <c r="AF612" s="16">
        <v>380</v>
      </c>
      <c r="AG612" s="16"/>
      <c r="AH612" s="16">
        <v>245</v>
      </c>
      <c r="AI612" s="16">
        <v>270</v>
      </c>
      <c r="AJ612" s="16">
        <v>295</v>
      </c>
      <c r="AK612" s="16">
        <v>320</v>
      </c>
      <c r="AL612" s="16">
        <v>335</v>
      </c>
      <c r="AM612" s="16">
        <v>355</v>
      </c>
      <c r="AN612" s="16">
        <v>370</v>
      </c>
      <c r="AO612" s="16">
        <v>380</v>
      </c>
      <c r="AP612" s="16"/>
      <c r="AQ612" s="16">
        <v>245</v>
      </c>
      <c r="AR612" s="16">
        <v>270</v>
      </c>
      <c r="AS612" s="16">
        <v>295</v>
      </c>
      <c r="AT612" s="16">
        <v>320</v>
      </c>
      <c r="AU612" s="16">
        <v>335</v>
      </c>
      <c r="AV612" s="16">
        <v>355</v>
      </c>
      <c r="AW612" s="16">
        <v>370</v>
      </c>
      <c r="AX612" s="16">
        <v>380</v>
      </c>
      <c r="AY612" s="16"/>
    </row>
    <row r="613" spans="28:51" hidden="1" x14ac:dyDescent="0.2"/>
    <row r="614" spans="28:51" hidden="1" x14ac:dyDescent="0.2"/>
    <row r="615" spans="28:51" hidden="1" x14ac:dyDescent="0.2"/>
    <row r="616" spans="28:51" hidden="1" x14ac:dyDescent="0.2"/>
    <row r="617" spans="28:51" hidden="1" x14ac:dyDescent="0.2"/>
    <row r="618" spans="28:51" hidden="1" x14ac:dyDescent="0.2"/>
    <row r="619" spans="28:51" hidden="1" x14ac:dyDescent="0.2"/>
    <row r="620" spans="28:51" hidden="1" x14ac:dyDescent="0.2"/>
    <row r="621" spans="28:51" hidden="1" x14ac:dyDescent="0.2"/>
    <row r="622" spans="28:51" hidden="1" x14ac:dyDescent="0.2"/>
    <row r="623" spans="28:51" hidden="1" x14ac:dyDescent="0.2"/>
    <row r="624" spans="28:51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  <row r="660" hidden="1" x14ac:dyDescent="0.2"/>
    <row r="661" hidden="1" x14ac:dyDescent="0.2"/>
    <row r="662" hidden="1" x14ac:dyDescent="0.2"/>
    <row r="663" hidden="1" x14ac:dyDescent="0.2"/>
    <row r="664" hidden="1" x14ac:dyDescent="0.2"/>
    <row r="665" hidden="1" x14ac:dyDescent="0.2"/>
    <row r="666" hidden="1" x14ac:dyDescent="0.2"/>
    <row r="667" hidden="1" x14ac:dyDescent="0.2"/>
    <row r="668" hidden="1" x14ac:dyDescent="0.2"/>
    <row r="669" hidden="1" x14ac:dyDescent="0.2"/>
    <row r="670" hidden="1" x14ac:dyDescent="0.2"/>
    <row r="671" hidden="1" x14ac:dyDescent="0.2"/>
    <row r="672" hidden="1" x14ac:dyDescent="0.2"/>
    <row r="673" hidden="1" x14ac:dyDescent="0.2"/>
    <row r="674" hidden="1" x14ac:dyDescent="0.2"/>
    <row r="675" hidden="1" x14ac:dyDescent="0.2"/>
    <row r="676" hidden="1" x14ac:dyDescent="0.2"/>
    <row r="677" hidden="1" x14ac:dyDescent="0.2"/>
    <row r="678" hidden="1" x14ac:dyDescent="0.2"/>
    <row r="679" hidden="1" x14ac:dyDescent="0.2"/>
    <row r="680" hidden="1" x14ac:dyDescent="0.2"/>
    <row r="681" hidden="1" x14ac:dyDescent="0.2"/>
    <row r="682" hidden="1" x14ac:dyDescent="0.2"/>
    <row r="683" hidden="1" x14ac:dyDescent="0.2"/>
    <row r="684" hidden="1" x14ac:dyDescent="0.2"/>
    <row r="685" hidden="1" x14ac:dyDescent="0.2"/>
    <row r="686" hidden="1" x14ac:dyDescent="0.2"/>
    <row r="687" hidden="1" x14ac:dyDescent="0.2"/>
    <row r="688" hidden="1" x14ac:dyDescent="0.2"/>
    <row r="689" hidden="1" x14ac:dyDescent="0.2"/>
    <row r="690" hidden="1" x14ac:dyDescent="0.2"/>
    <row r="691" hidden="1" x14ac:dyDescent="0.2"/>
    <row r="692" hidden="1" x14ac:dyDescent="0.2"/>
    <row r="693" hidden="1" x14ac:dyDescent="0.2"/>
    <row r="694" hidden="1" x14ac:dyDescent="0.2"/>
    <row r="695" hidden="1" x14ac:dyDescent="0.2"/>
    <row r="696" hidden="1" x14ac:dyDescent="0.2"/>
    <row r="697" hidden="1" x14ac:dyDescent="0.2"/>
    <row r="698" hidden="1" x14ac:dyDescent="0.2"/>
    <row r="699" hidden="1" x14ac:dyDescent="0.2"/>
    <row r="700" hidden="1" x14ac:dyDescent="0.2"/>
    <row r="701" hidden="1" x14ac:dyDescent="0.2"/>
    <row r="702" hidden="1" x14ac:dyDescent="0.2"/>
    <row r="703" hidden="1" x14ac:dyDescent="0.2"/>
    <row r="704" hidden="1" x14ac:dyDescent="0.2"/>
    <row r="705" hidden="1" x14ac:dyDescent="0.2"/>
    <row r="706" hidden="1" x14ac:dyDescent="0.2"/>
    <row r="707" hidden="1" x14ac:dyDescent="0.2"/>
    <row r="708" hidden="1" x14ac:dyDescent="0.2"/>
    <row r="709" hidden="1" x14ac:dyDescent="0.2"/>
    <row r="710" hidden="1" x14ac:dyDescent="0.2"/>
    <row r="711" hidden="1" x14ac:dyDescent="0.2"/>
    <row r="712" hidden="1" x14ac:dyDescent="0.2"/>
    <row r="713" hidden="1" x14ac:dyDescent="0.2"/>
    <row r="714" hidden="1" x14ac:dyDescent="0.2"/>
    <row r="715" hidden="1" x14ac:dyDescent="0.2"/>
    <row r="716" hidden="1" x14ac:dyDescent="0.2"/>
    <row r="717" hidden="1" x14ac:dyDescent="0.2"/>
    <row r="718" hidden="1" x14ac:dyDescent="0.2"/>
    <row r="719" hidden="1" x14ac:dyDescent="0.2"/>
    <row r="720" hidden="1" x14ac:dyDescent="0.2"/>
    <row r="721" hidden="1" x14ac:dyDescent="0.2"/>
    <row r="722" hidden="1" x14ac:dyDescent="0.2"/>
    <row r="723" hidden="1" x14ac:dyDescent="0.2"/>
    <row r="724" hidden="1" x14ac:dyDescent="0.2"/>
    <row r="725" hidden="1" x14ac:dyDescent="0.2"/>
    <row r="726" hidden="1" x14ac:dyDescent="0.2"/>
    <row r="727" hidden="1" x14ac:dyDescent="0.2"/>
    <row r="728" hidden="1" x14ac:dyDescent="0.2"/>
    <row r="729" hidden="1" x14ac:dyDescent="0.2"/>
    <row r="730" hidden="1" x14ac:dyDescent="0.2"/>
    <row r="731" hidden="1" x14ac:dyDescent="0.2"/>
    <row r="732" hidden="1" x14ac:dyDescent="0.2"/>
    <row r="733" hidden="1" x14ac:dyDescent="0.2"/>
    <row r="734" hidden="1" x14ac:dyDescent="0.2"/>
    <row r="735" hidden="1" x14ac:dyDescent="0.2"/>
    <row r="736" hidden="1" x14ac:dyDescent="0.2"/>
    <row r="737" hidden="1" x14ac:dyDescent="0.2"/>
    <row r="738" hidden="1" x14ac:dyDescent="0.2"/>
    <row r="739" hidden="1" x14ac:dyDescent="0.2"/>
    <row r="740" hidden="1" x14ac:dyDescent="0.2"/>
    <row r="741" hidden="1" x14ac:dyDescent="0.2"/>
    <row r="742" hidden="1" x14ac:dyDescent="0.2"/>
    <row r="743" hidden="1" x14ac:dyDescent="0.2"/>
    <row r="744" hidden="1" x14ac:dyDescent="0.2"/>
    <row r="745" hidden="1" x14ac:dyDescent="0.2"/>
    <row r="746" hidden="1" x14ac:dyDescent="0.2"/>
    <row r="747" hidden="1" x14ac:dyDescent="0.2"/>
    <row r="748" hidden="1" x14ac:dyDescent="0.2"/>
    <row r="749" hidden="1" x14ac:dyDescent="0.2"/>
    <row r="750" hidden="1" x14ac:dyDescent="0.2"/>
    <row r="751" hidden="1" x14ac:dyDescent="0.2"/>
    <row r="752" hidden="1" x14ac:dyDescent="0.2"/>
    <row r="753" hidden="1" x14ac:dyDescent="0.2"/>
    <row r="754" hidden="1" x14ac:dyDescent="0.2"/>
    <row r="755" hidden="1" x14ac:dyDescent="0.2"/>
    <row r="756" hidden="1" x14ac:dyDescent="0.2"/>
    <row r="757" hidden="1" x14ac:dyDescent="0.2"/>
    <row r="758" hidden="1" x14ac:dyDescent="0.2"/>
    <row r="759" hidden="1" x14ac:dyDescent="0.2"/>
    <row r="760" hidden="1" x14ac:dyDescent="0.2"/>
    <row r="761" hidden="1" x14ac:dyDescent="0.2"/>
    <row r="762" hidden="1" x14ac:dyDescent="0.2"/>
    <row r="763" hidden="1" x14ac:dyDescent="0.2"/>
    <row r="764" hidden="1" x14ac:dyDescent="0.2"/>
    <row r="765" hidden="1" x14ac:dyDescent="0.2"/>
    <row r="766" hidden="1" x14ac:dyDescent="0.2"/>
    <row r="767" hidden="1" x14ac:dyDescent="0.2"/>
    <row r="768" hidden="1" x14ac:dyDescent="0.2"/>
    <row r="769" hidden="1" x14ac:dyDescent="0.2"/>
    <row r="770" hidden="1" x14ac:dyDescent="0.2"/>
    <row r="771" hidden="1" x14ac:dyDescent="0.2"/>
    <row r="772" hidden="1" x14ac:dyDescent="0.2"/>
    <row r="773" hidden="1" x14ac:dyDescent="0.2"/>
    <row r="774" hidden="1" x14ac:dyDescent="0.2"/>
    <row r="775" hidden="1" x14ac:dyDescent="0.2"/>
    <row r="776" hidden="1" x14ac:dyDescent="0.2"/>
    <row r="777" hidden="1" x14ac:dyDescent="0.2"/>
    <row r="778" hidden="1" x14ac:dyDescent="0.2"/>
    <row r="779" hidden="1" x14ac:dyDescent="0.2"/>
    <row r="780" hidden="1" x14ac:dyDescent="0.2"/>
    <row r="781" hidden="1" x14ac:dyDescent="0.2"/>
    <row r="782" hidden="1" x14ac:dyDescent="0.2"/>
    <row r="783" hidden="1" x14ac:dyDescent="0.2"/>
    <row r="784" hidden="1" x14ac:dyDescent="0.2"/>
    <row r="785" hidden="1" x14ac:dyDescent="0.2"/>
    <row r="786" hidden="1" x14ac:dyDescent="0.2"/>
    <row r="787" hidden="1" x14ac:dyDescent="0.2"/>
    <row r="788" hidden="1" x14ac:dyDescent="0.2"/>
    <row r="789" hidden="1" x14ac:dyDescent="0.2"/>
    <row r="790" hidden="1" x14ac:dyDescent="0.2"/>
    <row r="791" hidden="1" x14ac:dyDescent="0.2"/>
    <row r="792" hidden="1" x14ac:dyDescent="0.2"/>
    <row r="793" hidden="1" x14ac:dyDescent="0.2"/>
    <row r="794" hidden="1" x14ac:dyDescent="0.2"/>
    <row r="795" hidden="1" x14ac:dyDescent="0.2"/>
    <row r="796" hidden="1" x14ac:dyDescent="0.2"/>
    <row r="797" hidden="1" x14ac:dyDescent="0.2"/>
    <row r="798" hidden="1" x14ac:dyDescent="0.2"/>
    <row r="799" hidden="1" x14ac:dyDescent="0.2"/>
    <row r="800" hidden="1" x14ac:dyDescent="0.2"/>
    <row r="801" hidden="1" x14ac:dyDescent="0.2"/>
    <row r="802" hidden="1" x14ac:dyDescent="0.2"/>
    <row r="803" hidden="1" x14ac:dyDescent="0.2"/>
    <row r="804" hidden="1" x14ac:dyDescent="0.2"/>
    <row r="805" hidden="1" x14ac:dyDescent="0.2"/>
    <row r="806" hidden="1" x14ac:dyDescent="0.2"/>
    <row r="807" hidden="1" x14ac:dyDescent="0.2"/>
    <row r="808" hidden="1" x14ac:dyDescent="0.2"/>
    <row r="809" hidden="1" x14ac:dyDescent="0.2"/>
    <row r="810" hidden="1" x14ac:dyDescent="0.2"/>
    <row r="811" hidden="1" x14ac:dyDescent="0.2"/>
    <row r="812" hidden="1" x14ac:dyDescent="0.2"/>
    <row r="813" hidden="1" x14ac:dyDescent="0.2"/>
    <row r="814" hidden="1" x14ac:dyDescent="0.2"/>
    <row r="815" hidden="1" x14ac:dyDescent="0.2"/>
    <row r="816" hidden="1" x14ac:dyDescent="0.2"/>
    <row r="817" hidden="1" x14ac:dyDescent="0.2"/>
    <row r="818" hidden="1" x14ac:dyDescent="0.2"/>
    <row r="819" hidden="1" x14ac:dyDescent="0.2"/>
    <row r="820" hidden="1" x14ac:dyDescent="0.2"/>
    <row r="821" hidden="1" x14ac:dyDescent="0.2"/>
    <row r="822" hidden="1" x14ac:dyDescent="0.2"/>
    <row r="823" hidden="1" x14ac:dyDescent="0.2"/>
    <row r="824" hidden="1" x14ac:dyDescent="0.2"/>
    <row r="825" hidden="1" x14ac:dyDescent="0.2"/>
    <row r="826" hidden="1" x14ac:dyDescent="0.2"/>
    <row r="827" hidden="1" x14ac:dyDescent="0.2"/>
    <row r="828" hidden="1" x14ac:dyDescent="0.2"/>
    <row r="829" hidden="1" x14ac:dyDescent="0.2"/>
    <row r="830" hidden="1" x14ac:dyDescent="0.2"/>
    <row r="831" hidden="1" x14ac:dyDescent="0.2"/>
    <row r="832" hidden="1" x14ac:dyDescent="0.2"/>
    <row r="833" hidden="1" x14ac:dyDescent="0.2"/>
    <row r="834" hidden="1" x14ac:dyDescent="0.2"/>
    <row r="835" hidden="1" x14ac:dyDescent="0.2"/>
    <row r="836" hidden="1" x14ac:dyDescent="0.2"/>
    <row r="837" hidden="1" x14ac:dyDescent="0.2"/>
    <row r="838" hidden="1" x14ac:dyDescent="0.2"/>
    <row r="839" hidden="1" x14ac:dyDescent="0.2"/>
    <row r="840" hidden="1" x14ac:dyDescent="0.2"/>
    <row r="841" hidden="1" x14ac:dyDescent="0.2"/>
    <row r="842" hidden="1" x14ac:dyDescent="0.2"/>
    <row r="843" hidden="1" x14ac:dyDescent="0.2"/>
    <row r="844" hidden="1" x14ac:dyDescent="0.2"/>
    <row r="845" hidden="1" x14ac:dyDescent="0.2"/>
    <row r="846" hidden="1" x14ac:dyDescent="0.2"/>
    <row r="847" hidden="1" x14ac:dyDescent="0.2"/>
    <row r="848" hidden="1" x14ac:dyDescent="0.2"/>
    <row r="849" hidden="1" x14ac:dyDescent="0.2"/>
    <row r="850" hidden="1" x14ac:dyDescent="0.2"/>
    <row r="851" hidden="1" x14ac:dyDescent="0.2"/>
    <row r="852" hidden="1" x14ac:dyDescent="0.2"/>
    <row r="853" hidden="1" x14ac:dyDescent="0.2"/>
    <row r="854" hidden="1" x14ac:dyDescent="0.2"/>
    <row r="855" hidden="1" x14ac:dyDescent="0.2"/>
    <row r="856" hidden="1" x14ac:dyDescent="0.2"/>
    <row r="857" hidden="1" x14ac:dyDescent="0.2"/>
    <row r="858" hidden="1" x14ac:dyDescent="0.2"/>
    <row r="859" hidden="1" x14ac:dyDescent="0.2"/>
    <row r="860" hidden="1" x14ac:dyDescent="0.2"/>
    <row r="861" hidden="1" x14ac:dyDescent="0.2"/>
    <row r="862" hidden="1" x14ac:dyDescent="0.2"/>
    <row r="863" hidden="1" x14ac:dyDescent="0.2"/>
    <row r="864" hidden="1" x14ac:dyDescent="0.2"/>
    <row r="865" hidden="1" x14ac:dyDescent="0.2"/>
    <row r="866" hidden="1" x14ac:dyDescent="0.2"/>
    <row r="867" hidden="1" x14ac:dyDescent="0.2"/>
    <row r="868" hidden="1" x14ac:dyDescent="0.2"/>
    <row r="869" hidden="1" x14ac:dyDescent="0.2"/>
    <row r="870" hidden="1" x14ac:dyDescent="0.2"/>
    <row r="871" hidden="1" x14ac:dyDescent="0.2"/>
    <row r="872" hidden="1" x14ac:dyDescent="0.2"/>
    <row r="873" hidden="1" x14ac:dyDescent="0.2"/>
    <row r="874" hidden="1" x14ac:dyDescent="0.2"/>
    <row r="875" hidden="1" x14ac:dyDescent="0.2"/>
    <row r="876" hidden="1" x14ac:dyDescent="0.2"/>
    <row r="877" hidden="1" x14ac:dyDescent="0.2"/>
    <row r="878" hidden="1" x14ac:dyDescent="0.2"/>
    <row r="879" hidden="1" x14ac:dyDescent="0.2"/>
    <row r="880" hidden="1" x14ac:dyDescent="0.2"/>
    <row r="881" hidden="1" x14ac:dyDescent="0.2"/>
    <row r="882" hidden="1" x14ac:dyDescent="0.2"/>
    <row r="883" hidden="1" x14ac:dyDescent="0.2"/>
    <row r="884" hidden="1" x14ac:dyDescent="0.2"/>
    <row r="885" hidden="1" x14ac:dyDescent="0.2"/>
    <row r="886" hidden="1" x14ac:dyDescent="0.2"/>
    <row r="887" hidden="1" x14ac:dyDescent="0.2"/>
    <row r="888" hidden="1" x14ac:dyDescent="0.2"/>
    <row r="889" hidden="1" x14ac:dyDescent="0.2"/>
    <row r="890" hidden="1" x14ac:dyDescent="0.2"/>
    <row r="891" hidden="1" x14ac:dyDescent="0.2"/>
    <row r="892" hidden="1" x14ac:dyDescent="0.2"/>
    <row r="893" hidden="1" x14ac:dyDescent="0.2"/>
    <row r="894" hidden="1" x14ac:dyDescent="0.2"/>
    <row r="895" hidden="1" x14ac:dyDescent="0.2"/>
    <row r="896" hidden="1" x14ac:dyDescent="0.2"/>
    <row r="897" hidden="1" x14ac:dyDescent="0.2"/>
    <row r="898" hidden="1" x14ac:dyDescent="0.2"/>
    <row r="899" hidden="1" x14ac:dyDescent="0.2"/>
    <row r="900" hidden="1" x14ac:dyDescent="0.2"/>
    <row r="901" hidden="1" x14ac:dyDescent="0.2"/>
    <row r="902" hidden="1" x14ac:dyDescent="0.2"/>
    <row r="903" hidden="1" x14ac:dyDescent="0.2"/>
    <row r="904" hidden="1" x14ac:dyDescent="0.2"/>
    <row r="905" hidden="1" x14ac:dyDescent="0.2"/>
    <row r="906" hidden="1" x14ac:dyDescent="0.2"/>
    <row r="907" hidden="1" x14ac:dyDescent="0.2"/>
    <row r="908" hidden="1" x14ac:dyDescent="0.2"/>
    <row r="909" hidden="1" x14ac:dyDescent="0.2"/>
    <row r="910" hidden="1" x14ac:dyDescent="0.2"/>
    <row r="911" hidden="1" x14ac:dyDescent="0.2"/>
    <row r="912" hidden="1" x14ac:dyDescent="0.2"/>
    <row r="913" hidden="1" x14ac:dyDescent="0.2"/>
    <row r="914" hidden="1" x14ac:dyDescent="0.2"/>
    <row r="915" hidden="1" x14ac:dyDescent="0.2"/>
    <row r="916" hidden="1" x14ac:dyDescent="0.2"/>
    <row r="917" hidden="1" x14ac:dyDescent="0.2"/>
    <row r="918" hidden="1" x14ac:dyDescent="0.2"/>
    <row r="919" hidden="1" x14ac:dyDescent="0.2"/>
    <row r="920" hidden="1" x14ac:dyDescent="0.2"/>
    <row r="921" hidden="1" x14ac:dyDescent="0.2"/>
    <row r="922" hidden="1" x14ac:dyDescent="0.2"/>
    <row r="923" hidden="1" x14ac:dyDescent="0.2"/>
    <row r="924" hidden="1" x14ac:dyDescent="0.2"/>
    <row r="925" hidden="1" x14ac:dyDescent="0.2"/>
    <row r="926" hidden="1" x14ac:dyDescent="0.2"/>
    <row r="927" hidden="1" x14ac:dyDescent="0.2"/>
    <row r="928" hidden="1" x14ac:dyDescent="0.2"/>
    <row r="929" hidden="1" x14ac:dyDescent="0.2"/>
    <row r="930" hidden="1" x14ac:dyDescent="0.2"/>
    <row r="931" hidden="1" x14ac:dyDescent="0.2"/>
    <row r="932" hidden="1" x14ac:dyDescent="0.2"/>
    <row r="933" hidden="1" x14ac:dyDescent="0.2"/>
    <row r="934" hidden="1" x14ac:dyDescent="0.2"/>
    <row r="935" hidden="1" x14ac:dyDescent="0.2"/>
    <row r="936" hidden="1" x14ac:dyDescent="0.2"/>
    <row r="937" hidden="1" x14ac:dyDescent="0.2"/>
    <row r="938" hidden="1" x14ac:dyDescent="0.2"/>
    <row r="939" hidden="1" x14ac:dyDescent="0.2"/>
    <row r="940" hidden="1" x14ac:dyDescent="0.2"/>
    <row r="941" hidden="1" x14ac:dyDescent="0.2"/>
    <row r="942" hidden="1" x14ac:dyDescent="0.2"/>
    <row r="943" hidden="1" x14ac:dyDescent="0.2"/>
    <row r="944" hidden="1" x14ac:dyDescent="0.2"/>
    <row r="945" hidden="1" x14ac:dyDescent="0.2"/>
    <row r="946" hidden="1" x14ac:dyDescent="0.2"/>
    <row r="947" hidden="1" x14ac:dyDescent="0.2"/>
    <row r="948" hidden="1" x14ac:dyDescent="0.2"/>
    <row r="949" hidden="1" x14ac:dyDescent="0.2"/>
    <row r="950" hidden="1" x14ac:dyDescent="0.2"/>
    <row r="951" hidden="1" x14ac:dyDescent="0.2"/>
    <row r="952" hidden="1" x14ac:dyDescent="0.2"/>
    <row r="953" hidden="1" x14ac:dyDescent="0.2"/>
    <row r="954" hidden="1" x14ac:dyDescent="0.2"/>
    <row r="955" hidden="1" x14ac:dyDescent="0.2"/>
    <row r="956" hidden="1" x14ac:dyDescent="0.2"/>
    <row r="957" hidden="1" x14ac:dyDescent="0.2"/>
    <row r="958" hidden="1" x14ac:dyDescent="0.2"/>
    <row r="959" hidden="1" x14ac:dyDescent="0.2"/>
    <row r="960" hidden="1" x14ac:dyDescent="0.2"/>
    <row r="961" hidden="1" x14ac:dyDescent="0.2"/>
    <row r="962" hidden="1" x14ac:dyDescent="0.2"/>
    <row r="963" hidden="1" x14ac:dyDescent="0.2"/>
    <row r="964" hidden="1" x14ac:dyDescent="0.2"/>
    <row r="965" hidden="1" x14ac:dyDescent="0.2"/>
    <row r="966" hidden="1" x14ac:dyDescent="0.2"/>
    <row r="967" hidden="1" x14ac:dyDescent="0.2"/>
    <row r="968" hidden="1" x14ac:dyDescent="0.2"/>
    <row r="969" hidden="1" x14ac:dyDescent="0.2"/>
    <row r="970" hidden="1" x14ac:dyDescent="0.2"/>
    <row r="971" hidden="1" x14ac:dyDescent="0.2"/>
    <row r="972" hidden="1" x14ac:dyDescent="0.2"/>
    <row r="973" hidden="1" x14ac:dyDescent="0.2"/>
    <row r="974" hidden="1" x14ac:dyDescent="0.2"/>
    <row r="975" hidden="1" x14ac:dyDescent="0.2"/>
    <row r="976" hidden="1" x14ac:dyDescent="0.2"/>
    <row r="977" hidden="1" x14ac:dyDescent="0.2"/>
    <row r="978" hidden="1" x14ac:dyDescent="0.2"/>
    <row r="979" hidden="1" x14ac:dyDescent="0.2"/>
    <row r="980" hidden="1" x14ac:dyDescent="0.2"/>
    <row r="981" hidden="1" x14ac:dyDescent="0.2"/>
    <row r="982" hidden="1" x14ac:dyDescent="0.2"/>
    <row r="983" hidden="1" x14ac:dyDescent="0.2"/>
    <row r="984" hidden="1" x14ac:dyDescent="0.2"/>
    <row r="985" hidden="1" x14ac:dyDescent="0.2"/>
    <row r="986" hidden="1" x14ac:dyDescent="0.2"/>
    <row r="987" hidden="1" x14ac:dyDescent="0.2"/>
    <row r="988" hidden="1" x14ac:dyDescent="0.2"/>
    <row r="989" hidden="1" x14ac:dyDescent="0.2"/>
    <row r="990" hidden="1" x14ac:dyDescent="0.2"/>
    <row r="991" hidden="1" x14ac:dyDescent="0.2"/>
    <row r="992" hidden="1" x14ac:dyDescent="0.2"/>
    <row r="993" hidden="1" x14ac:dyDescent="0.2"/>
    <row r="994" hidden="1" x14ac:dyDescent="0.2"/>
    <row r="995" hidden="1" x14ac:dyDescent="0.2"/>
    <row r="996" hidden="1" x14ac:dyDescent="0.2"/>
    <row r="997" hidden="1" x14ac:dyDescent="0.2"/>
    <row r="998" hidden="1" x14ac:dyDescent="0.2"/>
    <row r="999" hidden="1" x14ac:dyDescent="0.2"/>
    <row r="1000" hidden="1" x14ac:dyDescent="0.2"/>
    <row r="1001" hidden="1" x14ac:dyDescent="0.2"/>
    <row r="1002" hidden="1" x14ac:dyDescent="0.2"/>
    <row r="1003" hidden="1" x14ac:dyDescent="0.2"/>
    <row r="1004" hidden="1" x14ac:dyDescent="0.2"/>
    <row r="1005" hidden="1" x14ac:dyDescent="0.2"/>
    <row r="1006" hidden="1" x14ac:dyDescent="0.2"/>
    <row r="1007" hidden="1" x14ac:dyDescent="0.2"/>
    <row r="1008" hidden="1" x14ac:dyDescent="0.2"/>
    <row r="1009" hidden="1" x14ac:dyDescent="0.2"/>
    <row r="1010" hidden="1" x14ac:dyDescent="0.2"/>
    <row r="1011" hidden="1" x14ac:dyDescent="0.2"/>
    <row r="1012" hidden="1" x14ac:dyDescent="0.2"/>
    <row r="1013" hidden="1" x14ac:dyDescent="0.2"/>
    <row r="1014" hidden="1" x14ac:dyDescent="0.2"/>
    <row r="1015" hidden="1" x14ac:dyDescent="0.2"/>
    <row r="1016" hidden="1" x14ac:dyDescent="0.2"/>
    <row r="1017" hidden="1" x14ac:dyDescent="0.2"/>
    <row r="1018" hidden="1" x14ac:dyDescent="0.2"/>
    <row r="1019" hidden="1" x14ac:dyDescent="0.2"/>
    <row r="1020" hidden="1" x14ac:dyDescent="0.2"/>
    <row r="1021" hidden="1" x14ac:dyDescent="0.2"/>
    <row r="1022" hidden="1" x14ac:dyDescent="0.2"/>
    <row r="1023" hidden="1" x14ac:dyDescent="0.2"/>
    <row r="1024" hidden="1" x14ac:dyDescent="0.2"/>
    <row r="1025" hidden="1" x14ac:dyDescent="0.2"/>
    <row r="1026" hidden="1" x14ac:dyDescent="0.2"/>
    <row r="1027" hidden="1" x14ac:dyDescent="0.2"/>
    <row r="1028" hidden="1" x14ac:dyDescent="0.2"/>
    <row r="1029" hidden="1" x14ac:dyDescent="0.2"/>
    <row r="1030" hidden="1" x14ac:dyDescent="0.2"/>
    <row r="1031" hidden="1" x14ac:dyDescent="0.2"/>
    <row r="1032" hidden="1" x14ac:dyDescent="0.2"/>
    <row r="1033" hidden="1" x14ac:dyDescent="0.2"/>
    <row r="1034" hidden="1" x14ac:dyDescent="0.2"/>
    <row r="1035" hidden="1" x14ac:dyDescent="0.2"/>
    <row r="1036" hidden="1" x14ac:dyDescent="0.2"/>
    <row r="1037" hidden="1" x14ac:dyDescent="0.2"/>
    <row r="1038" hidden="1" x14ac:dyDescent="0.2"/>
    <row r="1039" hidden="1" x14ac:dyDescent="0.2"/>
    <row r="1040" hidden="1" x14ac:dyDescent="0.2"/>
    <row r="1041" hidden="1" x14ac:dyDescent="0.2"/>
    <row r="1042" hidden="1" x14ac:dyDescent="0.2"/>
    <row r="1043" hidden="1" x14ac:dyDescent="0.2"/>
    <row r="1044" hidden="1" x14ac:dyDescent="0.2"/>
    <row r="1045" hidden="1" x14ac:dyDescent="0.2"/>
    <row r="1046" hidden="1" x14ac:dyDescent="0.2"/>
    <row r="1047" hidden="1" x14ac:dyDescent="0.2"/>
    <row r="1048" hidden="1" x14ac:dyDescent="0.2"/>
    <row r="1049" hidden="1" x14ac:dyDescent="0.2"/>
    <row r="1050" hidden="1" x14ac:dyDescent="0.2"/>
    <row r="1051" hidden="1" x14ac:dyDescent="0.2"/>
    <row r="1052" hidden="1" x14ac:dyDescent="0.2"/>
    <row r="1053" hidden="1" x14ac:dyDescent="0.2"/>
    <row r="1054" hidden="1" x14ac:dyDescent="0.2"/>
    <row r="1055" hidden="1" x14ac:dyDescent="0.2"/>
    <row r="1056" hidden="1" x14ac:dyDescent="0.2"/>
    <row r="1057" hidden="1" x14ac:dyDescent="0.2"/>
    <row r="1058" hidden="1" x14ac:dyDescent="0.2"/>
    <row r="1059" hidden="1" x14ac:dyDescent="0.2"/>
    <row r="1060" hidden="1" x14ac:dyDescent="0.2"/>
    <row r="1061" hidden="1" x14ac:dyDescent="0.2"/>
    <row r="1062" hidden="1" x14ac:dyDescent="0.2"/>
    <row r="1063" hidden="1" x14ac:dyDescent="0.2"/>
    <row r="1064" hidden="1" x14ac:dyDescent="0.2"/>
    <row r="1065" hidden="1" x14ac:dyDescent="0.2"/>
    <row r="1066" hidden="1" x14ac:dyDescent="0.2"/>
    <row r="1067" hidden="1" x14ac:dyDescent="0.2"/>
    <row r="1068" hidden="1" x14ac:dyDescent="0.2"/>
    <row r="1069" hidden="1" x14ac:dyDescent="0.2"/>
    <row r="1070" hidden="1" x14ac:dyDescent="0.2"/>
    <row r="1071" hidden="1" x14ac:dyDescent="0.2"/>
    <row r="1072" hidden="1" x14ac:dyDescent="0.2"/>
    <row r="1073" hidden="1" x14ac:dyDescent="0.2"/>
    <row r="1074" hidden="1" x14ac:dyDescent="0.2"/>
    <row r="1075" hidden="1" x14ac:dyDescent="0.2"/>
    <row r="1076" hidden="1" x14ac:dyDescent="0.2"/>
    <row r="1077" hidden="1" x14ac:dyDescent="0.2"/>
    <row r="1078" hidden="1" x14ac:dyDescent="0.2"/>
    <row r="1079" hidden="1" x14ac:dyDescent="0.2"/>
    <row r="1080" hidden="1" x14ac:dyDescent="0.2"/>
    <row r="1081" hidden="1" x14ac:dyDescent="0.2"/>
    <row r="1082" hidden="1" x14ac:dyDescent="0.2"/>
    <row r="1083" hidden="1" x14ac:dyDescent="0.2"/>
    <row r="1084" hidden="1" x14ac:dyDescent="0.2"/>
    <row r="1085" hidden="1" x14ac:dyDescent="0.2"/>
    <row r="1086" hidden="1" x14ac:dyDescent="0.2"/>
    <row r="1087" hidden="1" x14ac:dyDescent="0.2"/>
    <row r="1088" hidden="1" x14ac:dyDescent="0.2"/>
    <row r="1089" hidden="1" x14ac:dyDescent="0.2"/>
    <row r="1090" hidden="1" x14ac:dyDescent="0.2"/>
    <row r="1091" hidden="1" x14ac:dyDescent="0.2"/>
    <row r="1092" hidden="1" x14ac:dyDescent="0.2"/>
    <row r="1093" hidden="1" x14ac:dyDescent="0.2"/>
    <row r="1094" hidden="1" x14ac:dyDescent="0.2"/>
    <row r="1095" hidden="1" x14ac:dyDescent="0.2"/>
    <row r="1096" hidden="1" x14ac:dyDescent="0.2"/>
    <row r="1097" hidden="1" x14ac:dyDescent="0.2"/>
    <row r="1098" hidden="1" x14ac:dyDescent="0.2"/>
    <row r="1099" hidden="1" x14ac:dyDescent="0.2"/>
    <row r="1100" hidden="1" x14ac:dyDescent="0.2"/>
    <row r="1101" hidden="1" x14ac:dyDescent="0.2"/>
    <row r="1102" hidden="1" x14ac:dyDescent="0.2"/>
    <row r="1103" hidden="1" x14ac:dyDescent="0.2"/>
    <row r="1104" hidden="1" x14ac:dyDescent="0.2"/>
    <row r="1105" hidden="1" x14ac:dyDescent="0.2"/>
    <row r="1106" hidden="1" x14ac:dyDescent="0.2"/>
    <row r="1107" hidden="1" x14ac:dyDescent="0.2"/>
    <row r="1108" hidden="1" x14ac:dyDescent="0.2"/>
    <row r="1109" hidden="1" x14ac:dyDescent="0.2"/>
    <row r="1110" hidden="1" x14ac:dyDescent="0.2"/>
    <row r="1111" hidden="1" x14ac:dyDescent="0.2"/>
    <row r="1112" hidden="1" x14ac:dyDescent="0.2"/>
    <row r="1113" hidden="1" x14ac:dyDescent="0.2"/>
    <row r="1114" hidden="1" x14ac:dyDescent="0.2"/>
    <row r="1115" hidden="1" x14ac:dyDescent="0.2"/>
    <row r="1116" hidden="1" x14ac:dyDescent="0.2"/>
    <row r="1117" hidden="1" x14ac:dyDescent="0.2"/>
    <row r="1118" hidden="1" x14ac:dyDescent="0.2"/>
    <row r="1119" hidden="1" x14ac:dyDescent="0.2"/>
    <row r="1120" hidden="1" x14ac:dyDescent="0.2"/>
    <row r="1121" hidden="1" x14ac:dyDescent="0.2"/>
    <row r="1122" hidden="1" x14ac:dyDescent="0.2"/>
    <row r="1123" hidden="1" x14ac:dyDescent="0.2"/>
    <row r="1124" hidden="1" x14ac:dyDescent="0.2"/>
    <row r="1125" hidden="1" x14ac:dyDescent="0.2"/>
    <row r="1126" hidden="1" x14ac:dyDescent="0.2"/>
    <row r="1127" hidden="1" x14ac:dyDescent="0.2"/>
    <row r="1128" hidden="1" x14ac:dyDescent="0.2"/>
    <row r="1129" hidden="1" x14ac:dyDescent="0.2"/>
    <row r="1130" hidden="1" x14ac:dyDescent="0.2"/>
    <row r="1131" hidden="1" x14ac:dyDescent="0.2"/>
    <row r="1132" hidden="1" x14ac:dyDescent="0.2"/>
    <row r="1133" hidden="1" x14ac:dyDescent="0.2"/>
    <row r="1134" hidden="1" x14ac:dyDescent="0.2"/>
    <row r="1135" hidden="1" x14ac:dyDescent="0.2"/>
    <row r="1136" hidden="1" x14ac:dyDescent="0.2"/>
    <row r="1137" hidden="1" x14ac:dyDescent="0.2"/>
    <row r="1138" hidden="1" x14ac:dyDescent="0.2"/>
    <row r="1139" hidden="1" x14ac:dyDescent="0.2"/>
    <row r="1140" hidden="1" x14ac:dyDescent="0.2"/>
    <row r="1141" hidden="1" x14ac:dyDescent="0.2"/>
    <row r="1142" hidden="1" x14ac:dyDescent="0.2"/>
    <row r="1143" hidden="1" x14ac:dyDescent="0.2"/>
    <row r="1144" hidden="1" x14ac:dyDescent="0.2"/>
    <row r="1145" hidden="1" x14ac:dyDescent="0.2"/>
    <row r="1146" hidden="1" x14ac:dyDescent="0.2"/>
    <row r="1147" hidden="1" x14ac:dyDescent="0.2"/>
    <row r="1148" hidden="1" x14ac:dyDescent="0.2"/>
    <row r="1149" hidden="1" x14ac:dyDescent="0.2"/>
    <row r="1150" hidden="1" x14ac:dyDescent="0.2"/>
    <row r="1151" hidden="1" x14ac:dyDescent="0.2"/>
    <row r="1152" hidden="1" x14ac:dyDescent="0.2"/>
    <row r="1153" hidden="1" x14ac:dyDescent="0.2"/>
    <row r="1154" hidden="1" x14ac:dyDescent="0.2"/>
    <row r="1155" hidden="1" x14ac:dyDescent="0.2"/>
    <row r="1156" hidden="1" x14ac:dyDescent="0.2"/>
    <row r="1157" hidden="1" x14ac:dyDescent="0.2"/>
    <row r="1158" hidden="1" x14ac:dyDescent="0.2"/>
    <row r="1159" hidden="1" x14ac:dyDescent="0.2"/>
    <row r="1160" hidden="1" x14ac:dyDescent="0.2"/>
    <row r="1161" hidden="1" x14ac:dyDescent="0.2"/>
    <row r="1162" hidden="1" x14ac:dyDescent="0.2"/>
    <row r="1163" hidden="1" x14ac:dyDescent="0.2"/>
    <row r="1164" hidden="1" x14ac:dyDescent="0.2"/>
    <row r="1165" hidden="1" x14ac:dyDescent="0.2"/>
    <row r="1166" hidden="1" x14ac:dyDescent="0.2"/>
    <row r="1167" hidden="1" x14ac:dyDescent="0.2"/>
    <row r="1168" hidden="1" x14ac:dyDescent="0.2"/>
    <row r="1169" hidden="1" x14ac:dyDescent="0.2"/>
    <row r="1170" hidden="1" x14ac:dyDescent="0.2"/>
    <row r="1171" hidden="1" x14ac:dyDescent="0.2"/>
    <row r="1172" hidden="1" x14ac:dyDescent="0.2"/>
    <row r="1173" hidden="1" x14ac:dyDescent="0.2"/>
    <row r="1174" hidden="1" x14ac:dyDescent="0.2"/>
    <row r="1175" hidden="1" x14ac:dyDescent="0.2"/>
    <row r="1176" hidden="1" x14ac:dyDescent="0.2"/>
    <row r="1177" hidden="1" x14ac:dyDescent="0.2"/>
    <row r="1178" hidden="1" x14ac:dyDescent="0.2"/>
    <row r="1179" hidden="1" x14ac:dyDescent="0.2"/>
    <row r="1180" hidden="1" x14ac:dyDescent="0.2"/>
    <row r="1181" hidden="1" x14ac:dyDescent="0.2"/>
    <row r="1182" hidden="1" x14ac:dyDescent="0.2"/>
    <row r="1183" hidden="1" x14ac:dyDescent="0.2"/>
    <row r="1184" hidden="1" x14ac:dyDescent="0.2"/>
    <row r="1185" hidden="1" x14ac:dyDescent="0.2"/>
    <row r="1186" hidden="1" x14ac:dyDescent="0.2"/>
    <row r="1187" hidden="1" x14ac:dyDescent="0.2"/>
    <row r="1188" hidden="1" x14ac:dyDescent="0.2"/>
    <row r="1189" hidden="1" x14ac:dyDescent="0.2"/>
    <row r="1190" hidden="1" x14ac:dyDescent="0.2"/>
    <row r="1191" hidden="1" x14ac:dyDescent="0.2"/>
    <row r="1192" hidden="1" x14ac:dyDescent="0.2"/>
    <row r="1193" hidden="1" x14ac:dyDescent="0.2"/>
    <row r="1194" hidden="1" x14ac:dyDescent="0.2"/>
    <row r="1195" hidden="1" x14ac:dyDescent="0.2"/>
    <row r="1196" hidden="1" x14ac:dyDescent="0.2"/>
    <row r="1197" hidden="1" x14ac:dyDescent="0.2"/>
    <row r="1198" hidden="1" x14ac:dyDescent="0.2"/>
    <row r="1199" hidden="1" x14ac:dyDescent="0.2"/>
    <row r="1200" hidden="1" x14ac:dyDescent="0.2"/>
    <row r="1201" hidden="1" x14ac:dyDescent="0.2"/>
    <row r="1202" hidden="1" x14ac:dyDescent="0.2"/>
    <row r="1203" hidden="1" x14ac:dyDescent="0.2"/>
    <row r="1204" hidden="1" x14ac:dyDescent="0.2"/>
    <row r="1205" hidden="1" x14ac:dyDescent="0.2"/>
    <row r="1206" hidden="1" x14ac:dyDescent="0.2"/>
    <row r="1207" hidden="1" x14ac:dyDescent="0.2"/>
    <row r="1208" hidden="1" x14ac:dyDescent="0.2"/>
    <row r="1209" hidden="1" x14ac:dyDescent="0.2"/>
    <row r="1210" hidden="1" x14ac:dyDescent="0.2"/>
    <row r="1211" hidden="1" x14ac:dyDescent="0.2"/>
    <row r="1212" hidden="1" x14ac:dyDescent="0.2"/>
    <row r="1213" hidden="1" x14ac:dyDescent="0.2"/>
    <row r="1214" hidden="1" x14ac:dyDescent="0.2"/>
    <row r="1215" hidden="1" x14ac:dyDescent="0.2"/>
    <row r="1216" hidden="1" x14ac:dyDescent="0.2"/>
    <row r="1217" hidden="1" x14ac:dyDescent="0.2"/>
    <row r="1218" hidden="1" x14ac:dyDescent="0.2"/>
    <row r="1219" hidden="1" x14ac:dyDescent="0.2"/>
    <row r="1220" hidden="1" x14ac:dyDescent="0.2"/>
    <row r="1221" hidden="1" x14ac:dyDescent="0.2"/>
    <row r="1222" hidden="1" x14ac:dyDescent="0.2"/>
    <row r="1223" hidden="1" x14ac:dyDescent="0.2"/>
    <row r="1224" hidden="1" x14ac:dyDescent="0.2"/>
    <row r="1225" hidden="1" x14ac:dyDescent="0.2"/>
    <row r="1226" hidden="1" x14ac:dyDescent="0.2"/>
    <row r="1227" hidden="1" x14ac:dyDescent="0.2"/>
    <row r="1228" hidden="1" x14ac:dyDescent="0.2"/>
    <row r="1229" hidden="1" x14ac:dyDescent="0.2"/>
    <row r="1230" hidden="1" x14ac:dyDescent="0.2"/>
    <row r="1231" hidden="1" x14ac:dyDescent="0.2"/>
    <row r="1232" hidden="1" x14ac:dyDescent="0.2"/>
    <row r="1233" hidden="1" x14ac:dyDescent="0.2"/>
    <row r="1234" hidden="1" x14ac:dyDescent="0.2"/>
    <row r="1235" hidden="1" x14ac:dyDescent="0.2"/>
    <row r="1236" hidden="1" x14ac:dyDescent="0.2"/>
    <row r="1237" hidden="1" x14ac:dyDescent="0.2"/>
    <row r="1238" hidden="1" x14ac:dyDescent="0.2"/>
    <row r="1239" hidden="1" x14ac:dyDescent="0.2"/>
    <row r="1240" hidden="1" x14ac:dyDescent="0.2"/>
    <row r="1241" hidden="1" x14ac:dyDescent="0.2"/>
    <row r="1242" hidden="1" x14ac:dyDescent="0.2"/>
    <row r="1243" hidden="1" x14ac:dyDescent="0.2"/>
    <row r="1244" hidden="1" x14ac:dyDescent="0.2"/>
    <row r="1245" hidden="1" x14ac:dyDescent="0.2"/>
    <row r="1246" hidden="1" x14ac:dyDescent="0.2"/>
    <row r="1247" hidden="1" x14ac:dyDescent="0.2"/>
    <row r="1248" hidden="1" x14ac:dyDescent="0.2"/>
    <row r="1249" hidden="1" x14ac:dyDescent="0.2"/>
    <row r="1250" hidden="1" x14ac:dyDescent="0.2"/>
    <row r="1251" hidden="1" x14ac:dyDescent="0.2"/>
    <row r="1252" hidden="1" x14ac:dyDescent="0.2"/>
    <row r="1253" hidden="1" x14ac:dyDescent="0.2"/>
    <row r="1254" hidden="1" x14ac:dyDescent="0.2"/>
    <row r="1255" hidden="1" x14ac:dyDescent="0.2"/>
    <row r="1256" hidden="1" x14ac:dyDescent="0.2"/>
    <row r="1257" hidden="1" x14ac:dyDescent="0.2"/>
    <row r="1258" hidden="1" x14ac:dyDescent="0.2"/>
    <row r="1259" hidden="1" x14ac:dyDescent="0.2"/>
    <row r="1260" hidden="1" x14ac:dyDescent="0.2"/>
    <row r="1261" hidden="1" x14ac:dyDescent="0.2"/>
    <row r="1262" hidden="1" x14ac:dyDescent="0.2"/>
    <row r="1263" hidden="1" x14ac:dyDescent="0.2"/>
    <row r="1264" hidden="1" x14ac:dyDescent="0.2"/>
    <row r="1265" hidden="1" x14ac:dyDescent="0.2"/>
    <row r="1266" hidden="1" x14ac:dyDescent="0.2"/>
    <row r="1267" hidden="1" x14ac:dyDescent="0.2"/>
    <row r="1268" hidden="1" x14ac:dyDescent="0.2"/>
    <row r="1269" hidden="1" x14ac:dyDescent="0.2"/>
    <row r="1270" hidden="1" x14ac:dyDescent="0.2"/>
    <row r="1271" hidden="1" x14ac:dyDescent="0.2"/>
    <row r="1272" hidden="1" x14ac:dyDescent="0.2"/>
    <row r="1273" hidden="1" x14ac:dyDescent="0.2"/>
    <row r="1274" hidden="1" x14ac:dyDescent="0.2"/>
    <row r="1275" hidden="1" x14ac:dyDescent="0.2"/>
    <row r="1276" hidden="1" x14ac:dyDescent="0.2"/>
    <row r="1277" hidden="1" x14ac:dyDescent="0.2"/>
    <row r="1278" hidden="1" x14ac:dyDescent="0.2"/>
    <row r="1279" hidden="1" x14ac:dyDescent="0.2"/>
    <row r="1280" hidden="1" x14ac:dyDescent="0.2"/>
    <row r="1281" hidden="1" x14ac:dyDescent="0.2"/>
    <row r="1282" hidden="1" x14ac:dyDescent="0.2"/>
    <row r="1283" hidden="1" x14ac:dyDescent="0.2"/>
    <row r="1284" hidden="1" x14ac:dyDescent="0.2"/>
    <row r="1285" hidden="1" x14ac:dyDescent="0.2"/>
    <row r="1286" hidden="1" x14ac:dyDescent="0.2"/>
    <row r="1287" hidden="1" x14ac:dyDescent="0.2"/>
    <row r="1288" hidden="1" x14ac:dyDescent="0.2"/>
    <row r="1289" hidden="1" x14ac:dyDescent="0.2"/>
    <row r="1290" hidden="1" x14ac:dyDescent="0.2"/>
    <row r="1291" hidden="1" x14ac:dyDescent="0.2"/>
    <row r="1292" hidden="1" x14ac:dyDescent="0.2"/>
    <row r="1293" hidden="1" x14ac:dyDescent="0.2"/>
    <row r="1294" hidden="1" x14ac:dyDescent="0.2"/>
    <row r="1295" hidden="1" x14ac:dyDescent="0.2"/>
    <row r="1296" hidden="1" x14ac:dyDescent="0.2"/>
    <row r="1297" hidden="1" x14ac:dyDescent="0.2"/>
    <row r="1298" hidden="1" x14ac:dyDescent="0.2"/>
    <row r="1299" hidden="1" x14ac:dyDescent="0.2"/>
    <row r="1300" hidden="1" x14ac:dyDescent="0.2"/>
    <row r="1301" hidden="1" x14ac:dyDescent="0.2"/>
    <row r="1302" hidden="1" x14ac:dyDescent="0.2"/>
    <row r="1303" hidden="1" x14ac:dyDescent="0.2"/>
    <row r="1304" hidden="1" x14ac:dyDescent="0.2"/>
    <row r="1305" hidden="1" x14ac:dyDescent="0.2"/>
    <row r="1306" hidden="1" x14ac:dyDescent="0.2"/>
    <row r="1307" hidden="1" x14ac:dyDescent="0.2"/>
    <row r="1308" hidden="1" x14ac:dyDescent="0.2"/>
    <row r="1309" hidden="1" x14ac:dyDescent="0.2"/>
    <row r="1310" hidden="1" x14ac:dyDescent="0.2"/>
    <row r="1311" hidden="1" x14ac:dyDescent="0.2"/>
    <row r="1312" hidden="1" x14ac:dyDescent="0.2"/>
    <row r="1313" hidden="1" x14ac:dyDescent="0.2"/>
    <row r="1314" hidden="1" x14ac:dyDescent="0.2"/>
    <row r="1315" hidden="1" x14ac:dyDescent="0.2"/>
    <row r="1316" hidden="1" x14ac:dyDescent="0.2"/>
    <row r="1317" hidden="1" x14ac:dyDescent="0.2"/>
    <row r="1318" hidden="1" x14ac:dyDescent="0.2"/>
    <row r="1319" hidden="1" x14ac:dyDescent="0.2"/>
    <row r="1320" hidden="1" x14ac:dyDescent="0.2"/>
    <row r="1321" hidden="1" x14ac:dyDescent="0.2"/>
    <row r="1322" hidden="1" x14ac:dyDescent="0.2"/>
    <row r="1323" hidden="1" x14ac:dyDescent="0.2"/>
    <row r="1324" hidden="1" x14ac:dyDescent="0.2"/>
    <row r="1325" hidden="1" x14ac:dyDescent="0.2"/>
    <row r="1326" hidden="1" x14ac:dyDescent="0.2"/>
    <row r="1327" hidden="1" x14ac:dyDescent="0.2"/>
    <row r="1328" hidden="1" x14ac:dyDescent="0.2"/>
    <row r="1329" hidden="1" x14ac:dyDescent="0.2"/>
    <row r="1330" hidden="1" x14ac:dyDescent="0.2"/>
    <row r="1331" hidden="1" x14ac:dyDescent="0.2"/>
    <row r="1332" hidden="1" x14ac:dyDescent="0.2"/>
    <row r="1333" hidden="1" x14ac:dyDescent="0.2"/>
    <row r="1334" hidden="1" x14ac:dyDescent="0.2"/>
    <row r="1335" hidden="1" x14ac:dyDescent="0.2"/>
    <row r="1336" hidden="1" x14ac:dyDescent="0.2"/>
    <row r="1337" hidden="1" x14ac:dyDescent="0.2"/>
    <row r="1338" hidden="1" x14ac:dyDescent="0.2"/>
    <row r="1339" hidden="1" x14ac:dyDescent="0.2"/>
    <row r="1340" hidden="1" x14ac:dyDescent="0.2"/>
    <row r="1341" hidden="1" x14ac:dyDescent="0.2"/>
    <row r="1342" hidden="1" x14ac:dyDescent="0.2"/>
    <row r="1343" hidden="1" x14ac:dyDescent="0.2"/>
    <row r="1344" hidden="1" x14ac:dyDescent="0.2"/>
    <row r="1345" hidden="1" x14ac:dyDescent="0.2"/>
    <row r="1346" hidden="1" x14ac:dyDescent="0.2"/>
    <row r="1347" hidden="1" x14ac:dyDescent="0.2"/>
    <row r="1348" hidden="1" x14ac:dyDescent="0.2"/>
    <row r="1349" hidden="1" x14ac:dyDescent="0.2"/>
    <row r="1350" hidden="1" x14ac:dyDescent="0.2"/>
    <row r="1351" hidden="1" x14ac:dyDescent="0.2"/>
    <row r="1352" hidden="1" x14ac:dyDescent="0.2"/>
    <row r="1353" hidden="1" x14ac:dyDescent="0.2"/>
    <row r="1354" hidden="1" x14ac:dyDescent="0.2"/>
    <row r="1355" hidden="1" x14ac:dyDescent="0.2"/>
    <row r="1356" hidden="1" x14ac:dyDescent="0.2"/>
    <row r="1357" hidden="1" x14ac:dyDescent="0.2"/>
    <row r="1358" hidden="1" x14ac:dyDescent="0.2"/>
    <row r="1359" hidden="1" x14ac:dyDescent="0.2"/>
    <row r="1360" hidden="1" x14ac:dyDescent="0.2"/>
    <row r="1361" hidden="1" x14ac:dyDescent="0.2"/>
    <row r="1362" hidden="1" x14ac:dyDescent="0.2"/>
    <row r="1363" hidden="1" x14ac:dyDescent="0.2"/>
    <row r="1364" hidden="1" x14ac:dyDescent="0.2"/>
    <row r="1365" hidden="1" x14ac:dyDescent="0.2"/>
    <row r="1366" hidden="1" x14ac:dyDescent="0.2"/>
    <row r="1367" hidden="1" x14ac:dyDescent="0.2"/>
    <row r="1368" hidden="1" x14ac:dyDescent="0.2"/>
    <row r="1369" hidden="1" x14ac:dyDescent="0.2"/>
    <row r="1370" hidden="1" x14ac:dyDescent="0.2"/>
    <row r="1371" hidden="1" x14ac:dyDescent="0.2"/>
    <row r="1372" hidden="1" x14ac:dyDescent="0.2"/>
    <row r="1373" hidden="1" x14ac:dyDescent="0.2"/>
    <row r="1374" hidden="1" x14ac:dyDescent="0.2"/>
    <row r="1375" hidden="1" x14ac:dyDescent="0.2"/>
    <row r="1376" hidden="1" x14ac:dyDescent="0.2"/>
    <row r="1377" hidden="1" x14ac:dyDescent="0.2"/>
    <row r="1378" hidden="1" x14ac:dyDescent="0.2"/>
    <row r="1379" hidden="1" x14ac:dyDescent="0.2"/>
    <row r="1380" hidden="1" x14ac:dyDescent="0.2"/>
    <row r="1381" hidden="1" x14ac:dyDescent="0.2"/>
    <row r="1382" hidden="1" x14ac:dyDescent="0.2"/>
    <row r="1383" hidden="1" x14ac:dyDescent="0.2"/>
    <row r="1384" hidden="1" x14ac:dyDescent="0.2"/>
    <row r="1385" hidden="1" x14ac:dyDescent="0.2"/>
    <row r="1386" hidden="1" x14ac:dyDescent="0.2"/>
    <row r="1387" hidden="1" x14ac:dyDescent="0.2"/>
    <row r="1388" hidden="1" x14ac:dyDescent="0.2"/>
    <row r="1389" hidden="1" x14ac:dyDescent="0.2"/>
    <row r="1390" hidden="1" x14ac:dyDescent="0.2"/>
    <row r="1391" hidden="1" x14ac:dyDescent="0.2"/>
    <row r="1392" hidden="1" x14ac:dyDescent="0.2"/>
    <row r="1393" hidden="1" x14ac:dyDescent="0.2"/>
    <row r="1394" hidden="1" x14ac:dyDescent="0.2"/>
    <row r="1395" hidden="1" x14ac:dyDescent="0.2"/>
    <row r="1396" hidden="1" x14ac:dyDescent="0.2"/>
    <row r="1397" hidden="1" x14ac:dyDescent="0.2"/>
    <row r="1398" hidden="1" x14ac:dyDescent="0.2"/>
    <row r="1399" hidden="1" x14ac:dyDescent="0.2"/>
    <row r="1400" hidden="1" x14ac:dyDescent="0.2"/>
    <row r="1401" hidden="1" x14ac:dyDescent="0.2"/>
    <row r="1402" hidden="1" x14ac:dyDescent="0.2"/>
    <row r="1403" hidden="1" x14ac:dyDescent="0.2"/>
    <row r="1404" hidden="1" x14ac:dyDescent="0.2"/>
    <row r="1405" hidden="1" x14ac:dyDescent="0.2"/>
    <row r="1406" hidden="1" x14ac:dyDescent="0.2"/>
    <row r="1407" hidden="1" x14ac:dyDescent="0.2"/>
    <row r="1408" hidden="1" x14ac:dyDescent="0.2"/>
    <row r="1409" hidden="1" x14ac:dyDescent="0.2"/>
    <row r="1410" hidden="1" x14ac:dyDescent="0.2"/>
    <row r="1411" hidden="1" x14ac:dyDescent="0.2"/>
    <row r="1412" hidden="1" x14ac:dyDescent="0.2"/>
    <row r="1413" hidden="1" x14ac:dyDescent="0.2"/>
    <row r="1414" hidden="1" x14ac:dyDescent="0.2"/>
    <row r="1415" hidden="1" x14ac:dyDescent="0.2"/>
    <row r="1416" hidden="1" x14ac:dyDescent="0.2"/>
    <row r="1417" hidden="1" x14ac:dyDescent="0.2"/>
    <row r="1418" hidden="1" x14ac:dyDescent="0.2"/>
    <row r="1419" hidden="1" x14ac:dyDescent="0.2"/>
    <row r="1420" hidden="1" x14ac:dyDescent="0.2"/>
    <row r="1421" hidden="1" x14ac:dyDescent="0.2"/>
    <row r="1422" hidden="1" x14ac:dyDescent="0.2"/>
    <row r="1423" hidden="1" x14ac:dyDescent="0.2"/>
    <row r="1424" hidden="1" x14ac:dyDescent="0.2"/>
    <row r="1425" hidden="1" x14ac:dyDescent="0.2"/>
    <row r="1426" hidden="1" x14ac:dyDescent="0.2"/>
    <row r="1427" hidden="1" x14ac:dyDescent="0.2"/>
    <row r="1428" hidden="1" x14ac:dyDescent="0.2"/>
    <row r="1429" hidden="1" x14ac:dyDescent="0.2"/>
    <row r="1430" hidden="1" x14ac:dyDescent="0.2"/>
    <row r="1431" hidden="1" x14ac:dyDescent="0.2"/>
    <row r="1432" hidden="1" x14ac:dyDescent="0.2"/>
    <row r="1433" hidden="1" x14ac:dyDescent="0.2"/>
    <row r="1434" hidden="1" x14ac:dyDescent="0.2"/>
    <row r="1435" hidden="1" x14ac:dyDescent="0.2"/>
    <row r="1436" hidden="1" x14ac:dyDescent="0.2"/>
    <row r="1437" hidden="1" x14ac:dyDescent="0.2"/>
    <row r="1438" hidden="1" x14ac:dyDescent="0.2"/>
    <row r="1439" hidden="1" x14ac:dyDescent="0.2"/>
    <row r="1440" hidden="1" x14ac:dyDescent="0.2"/>
    <row r="1441" hidden="1" x14ac:dyDescent="0.2"/>
    <row r="1442" hidden="1" x14ac:dyDescent="0.2"/>
    <row r="1443" hidden="1" x14ac:dyDescent="0.2"/>
    <row r="1444" hidden="1" x14ac:dyDescent="0.2"/>
    <row r="1445" hidden="1" x14ac:dyDescent="0.2"/>
    <row r="1446" hidden="1" x14ac:dyDescent="0.2"/>
    <row r="1447" hidden="1" x14ac:dyDescent="0.2"/>
    <row r="1448" hidden="1" x14ac:dyDescent="0.2"/>
    <row r="1449" hidden="1" x14ac:dyDescent="0.2"/>
    <row r="1450" hidden="1" x14ac:dyDescent="0.2"/>
    <row r="1451" hidden="1" x14ac:dyDescent="0.2"/>
    <row r="1452" hidden="1" x14ac:dyDescent="0.2"/>
    <row r="1453" hidden="1" x14ac:dyDescent="0.2"/>
    <row r="1454" hidden="1" x14ac:dyDescent="0.2"/>
    <row r="1455" hidden="1" x14ac:dyDescent="0.2"/>
    <row r="1456" hidden="1" x14ac:dyDescent="0.2"/>
    <row r="1457" hidden="1" x14ac:dyDescent="0.2"/>
    <row r="1458" hidden="1" x14ac:dyDescent="0.2"/>
    <row r="1459" hidden="1" x14ac:dyDescent="0.2"/>
    <row r="1460" hidden="1" x14ac:dyDescent="0.2"/>
    <row r="1461" hidden="1" x14ac:dyDescent="0.2"/>
    <row r="1462" hidden="1" x14ac:dyDescent="0.2"/>
    <row r="1463" hidden="1" x14ac:dyDescent="0.2"/>
    <row r="1464" hidden="1" x14ac:dyDescent="0.2"/>
    <row r="1465" hidden="1" x14ac:dyDescent="0.2"/>
    <row r="1466" hidden="1" x14ac:dyDescent="0.2"/>
    <row r="1467" hidden="1" x14ac:dyDescent="0.2"/>
    <row r="1468" hidden="1" x14ac:dyDescent="0.2"/>
    <row r="1469" hidden="1" x14ac:dyDescent="0.2"/>
    <row r="1470" hidden="1" x14ac:dyDescent="0.2"/>
    <row r="1471" hidden="1" x14ac:dyDescent="0.2"/>
    <row r="1472" hidden="1" x14ac:dyDescent="0.2"/>
    <row r="1473" hidden="1" x14ac:dyDescent="0.2"/>
    <row r="1474" hidden="1" x14ac:dyDescent="0.2"/>
    <row r="1475" hidden="1" x14ac:dyDescent="0.2"/>
    <row r="1476" hidden="1" x14ac:dyDescent="0.2"/>
    <row r="1477" hidden="1" x14ac:dyDescent="0.2"/>
    <row r="1478" hidden="1" x14ac:dyDescent="0.2"/>
    <row r="1479" hidden="1" x14ac:dyDescent="0.2"/>
    <row r="1480" hidden="1" x14ac:dyDescent="0.2"/>
    <row r="1481" hidden="1" x14ac:dyDescent="0.2"/>
    <row r="1482" hidden="1" x14ac:dyDescent="0.2"/>
    <row r="1483" hidden="1" x14ac:dyDescent="0.2"/>
    <row r="1484" hidden="1" x14ac:dyDescent="0.2"/>
    <row r="1485" hidden="1" x14ac:dyDescent="0.2"/>
    <row r="1486" hidden="1" x14ac:dyDescent="0.2"/>
    <row r="1487" hidden="1" x14ac:dyDescent="0.2"/>
    <row r="1488" hidden="1" x14ac:dyDescent="0.2"/>
    <row r="1489" hidden="1" x14ac:dyDescent="0.2"/>
    <row r="1490" hidden="1" x14ac:dyDescent="0.2"/>
    <row r="1491" hidden="1" x14ac:dyDescent="0.2"/>
    <row r="1492" hidden="1" x14ac:dyDescent="0.2"/>
    <row r="1493" hidden="1" x14ac:dyDescent="0.2"/>
    <row r="1494" hidden="1" x14ac:dyDescent="0.2"/>
    <row r="1495" hidden="1" x14ac:dyDescent="0.2"/>
    <row r="1496" hidden="1" x14ac:dyDescent="0.2"/>
    <row r="1497" hidden="1" x14ac:dyDescent="0.2"/>
    <row r="1498" hidden="1" x14ac:dyDescent="0.2"/>
    <row r="1499" hidden="1" x14ac:dyDescent="0.2"/>
    <row r="1500" hidden="1" x14ac:dyDescent="0.2"/>
    <row r="1501" hidden="1" x14ac:dyDescent="0.2"/>
    <row r="1502" hidden="1" x14ac:dyDescent="0.2"/>
    <row r="1503" hidden="1" x14ac:dyDescent="0.2"/>
    <row r="1504" hidden="1" x14ac:dyDescent="0.2"/>
    <row r="1505" hidden="1" x14ac:dyDescent="0.2"/>
    <row r="1506" hidden="1" x14ac:dyDescent="0.2"/>
    <row r="1507" hidden="1" x14ac:dyDescent="0.2"/>
    <row r="1508" hidden="1" x14ac:dyDescent="0.2"/>
    <row r="1509" hidden="1" x14ac:dyDescent="0.2"/>
    <row r="1510" hidden="1" x14ac:dyDescent="0.2"/>
    <row r="1511" hidden="1" x14ac:dyDescent="0.2"/>
    <row r="1512" hidden="1" x14ac:dyDescent="0.2"/>
    <row r="1513" hidden="1" x14ac:dyDescent="0.2"/>
    <row r="1514" hidden="1" x14ac:dyDescent="0.2"/>
    <row r="1515" hidden="1" x14ac:dyDescent="0.2"/>
    <row r="1516" hidden="1" x14ac:dyDescent="0.2"/>
    <row r="1517" hidden="1" x14ac:dyDescent="0.2"/>
    <row r="1518" hidden="1" x14ac:dyDescent="0.2"/>
    <row r="1519" hidden="1" x14ac:dyDescent="0.2"/>
    <row r="1520" hidden="1" x14ac:dyDescent="0.2"/>
    <row r="1521" hidden="1" x14ac:dyDescent="0.2"/>
    <row r="1522" hidden="1" x14ac:dyDescent="0.2"/>
    <row r="1523" hidden="1" x14ac:dyDescent="0.2"/>
    <row r="1524" hidden="1" x14ac:dyDescent="0.2"/>
    <row r="1525" hidden="1" x14ac:dyDescent="0.2"/>
    <row r="1526" hidden="1" x14ac:dyDescent="0.2"/>
    <row r="1527" hidden="1" x14ac:dyDescent="0.2"/>
    <row r="1528" hidden="1" x14ac:dyDescent="0.2"/>
    <row r="1529" hidden="1" x14ac:dyDescent="0.2"/>
    <row r="1530" hidden="1" x14ac:dyDescent="0.2"/>
    <row r="1531" hidden="1" x14ac:dyDescent="0.2"/>
    <row r="1532" hidden="1" x14ac:dyDescent="0.2"/>
    <row r="1533" hidden="1" x14ac:dyDescent="0.2"/>
    <row r="1534" hidden="1" x14ac:dyDescent="0.2"/>
    <row r="1535" hidden="1" x14ac:dyDescent="0.2"/>
    <row r="1536" hidden="1" x14ac:dyDescent="0.2"/>
    <row r="1537" hidden="1" x14ac:dyDescent="0.2"/>
    <row r="1538" hidden="1" x14ac:dyDescent="0.2"/>
    <row r="1539" hidden="1" x14ac:dyDescent="0.2"/>
    <row r="1540" hidden="1" x14ac:dyDescent="0.2"/>
    <row r="1541" hidden="1" x14ac:dyDescent="0.2"/>
    <row r="1542" hidden="1" x14ac:dyDescent="0.2"/>
    <row r="1543" hidden="1" x14ac:dyDescent="0.2"/>
    <row r="1544" hidden="1" x14ac:dyDescent="0.2"/>
    <row r="1545" hidden="1" x14ac:dyDescent="0.2"/>
    <row r="1546" hidden="1" x14ac:dyDescent="0.2"/>
    <row r="1547" hidden="1" x14ac:dyDescent="0.2"/>
    <row r="1548" hidden="1" x14ac:dyDescent="0.2"/>
    <row r="1549" hidden="1" x14ac:dyDescent="0.2"/>
    <row r="1550" hidden="1" x14ac:dyDescent="0.2"/>
    <row r="1551" hidden="1" x14ac:dyDescent="0.2"/>
    <row r="1552" hidden="1" x14ac:dyDescent="0.2"/>
    <row r="1553" hidden="1" x14ac:dyDescent="0.2"/>
    <row r="1554" hidden="1" x14ac:dyDescent="0.2"/>
    <row r="1555" hidden="1" x14ac:dyDescent="0.2"/>
    <row r="1556" hidden="1" x14ac:dyDescent="0.2"/>
    <row r="1557" hidden="1" x14ac:dyDescent="0.2"/>
    <row r="1558" hidden="1" x14ac:dyDescent="0.2"/>
    <row r="1559" hidden="1" x14ac:dyDescent="0.2"/>
    <row r="1560" hidden="1" x14ac:dyDescent="0.2"/>
    <row r="1561" hidden="1" x14ac:dyDescent="0.2"/>
    <row r="1562" hidden="1" x14ac:dyDescent="0.2"/>
    <row r="1563" hidden="1" x14ac:dyDescent="0.2"/>
    <row r="1564" hidden="1" x14ac:dyDescent="0.2"/>
    <row r="1565" hidden="1" x14ac:dyDescent="0.2"/>
    <row r="1566" hidden="1" x14ac:dyDescent="0.2"/>
    <row r="1567" hidden="1" x14ac:dyDescent="0.2"/>
    <row r="1568" hidden="1" x14ac:dyDescent="0.2"/>
    <row r="1569" hidden="1" x14ac:dyDescent="0.2"/>
    <row r="1570" hidden="1" x14ac:dyDescent="0.2"/>
    <row r="1571" hidden="1" x14ac:dyDescent="0.2"/>
    <row r="1572" hidden="1" x14ac:dyDescent="0.2"/>
    <row r="1573" hidden="1" x14ac:dyDescent="0.2"/>
    <row r="1574" hidden="1" x14ac:dyDescent="0.2"/>
    <row r="1575" hidden="1" x14ac:dyDescent="0.2"/>
    <row r="1576" hidden="1" x14ac:dyDescent="0.2"/>
    <row r="1577" hidden="1" x14ac:dyDescent="0.2"/>
    <row r="1578" hidden="1" x14ac:dyDescent="0.2"/>
    <row r="1579" hidden="1" x14ac:dyDescent="0.2"/>
    <row r="1580" hidden="1" x14ac:dyDescent="0.2"/>
    <row r="1581" hidden="1" x14ac:dyDescent="0.2"/>
    <row r="1582" hidden="1" x14ac:dyDescent="0.2"/>
    <row r="1583" hidden="1" x14ac:dyDescent="0.2"/>
    <row r="1584" hidden="1" x14ac:dyDescent="0.2"/>
    <row r="1585" hidden="1" x14ac:dyDescent="0.2"/>
    <row r="1586" hidden="1" x14ac:dyDescent="0.2"/>
    <row r="1587" hidden="1" x14ac:dyDescent="0.2"/>
    <row r="1588" hidden="1" x14ac:dyDescent="0.2"/>
    <row r="1589" hidden="1" x14ac:dyDescent="0.2"/>
    <row r="1590" hidden="1" x14ac:dyDescent="0.2"/>
    <row r="1591" hidden="1" x14ac:dyDescent="0.2"/>
    <row r="1592" hidden="1" x14ac:dyDescent="0.2"/>
    <row r="1593" hidden="1" x14ac:dyDescent="0.2"/>
    <row r="1594" hidden="1" x14ac:dyDescent="0.2"/>
    <row r="1595" hidden="1" x14ac:dyDescent="0.2"/>
    <row r="1596" hidden="1" x14ac:dyDescent="0.2"/>
    <row r="1597" hidden="1" x14ac:dyDescent="0.2"/>
    <row r="1598" hidden="1" x14ac:dyDescent="0.2"/>
    <row r="1599" hidden="1" x14ac:dyDescent="0.2"/>
    <row r="1600" hidden="1" x14ac:dyDescent="0.2"/>
    <row r="1601" hidden="1" x14ac:dyDescent="0.2"/>
    <row r="1602" hidden="1" x14ac:dyDescent="0.2"/>
    <row r="1603" hidden="1" x14ac:dyDescent="0.2"/>
    <row r="1604" hidden="1" x14ac:dyDescent="0.2"/>
    <row r="1605" hidden="1" x14ac:dyDescent="0.2"/>
    <row r="1606" hidden="1" x14ac:dyDescent="0.2"/>
    <row r="1607" hidden="1" x14ac:dyDescent="0.2"/>
    <row r="1608" hidden="1" x14ac:dyDescent="0.2"/>
    <row r="1609" hidden="1" x14ac:dyDescent="0.2"/>
    <row r="1610" hidden="1" x14ac:dyDescent="0.2"/>
    <row r="1611" hidden="1" x14ac:dyDescent="0.2"/>
    <row r="1612" hidden="1" x14ac:dyDescent="0.2"/>
    <row r="1613" hidden="1" x14ac:dyDescent="0.2"/>
    <row r="1614" hidden="1" x14ac:dyDescent="0.2"/>
    <row r="1615" hidden="1" x14ac:dyDescent="0.2"/>
    <row r="1616" hidden="1" x14ac:dyDescent="0.2"/>
    <row r="1617" hidden="1" x14ac:dyDescent="0.2"/>
    <row r="1618" hidden="1" x14ac:dyDescent="0.2"/>
    <row r="1619" hidden="1" x14ac:dyDescent="0.2"/>
    <row r="1620" hidden="1" x14ac:dyDescent="0.2"/>
    <row r="1621" hidden="1" x14ac:dyDescent="0.2"/>
    <row r="1622" hidden="1" x14ac:dyDescent="0.2"/>
    <row r="1623" hidden="1" x14ac:dyDescent="0.2"/>
    <row r="1624" hidden="1" x14ac:dyDescent="0.2"/>
    <row r="1625" hidden="1" x14ac:dyDescent="0.2"/>
    <row r="1626" hidden="1" x14ac:dyDescent="0.2"/>
    <row r="1627" hidden="1" x14ac:dyDescent="0.2"/>
    <row r="1628" hidden="1" x14ac:dyDescent="0.2"/>
    <row r="1629" hidden="1" x14ac:dyDescent="0.2"/>
    <row r="1630" hidden="1" x14ac:dyDescent="0.2"/>
    <row r="1631" hidden="1" x14ac:dyDescent="0.2"/>
    <row r="1632" hidden="1" x14ac:dyDescent="0.2"/>
    <row r="1633" hidden="1" x14ac:dyDescent="0.2"/>
    <row r="1634" hidden="1" x14ac:dyDescent="0.2"/>
    <row r="1635" hidden="1" x14ac:dyDescent="0.2"/>
    <row r="1636" hidden="1" x14ac:dyDescent="0.2"/>
    <row r="1637" hidden="1" x14ac:dyDescent="0.2"/>
    <row r="1638" hidden="1" x14ac:dyDescent="0.2"/>
    <row r="1639" hidden="1" x14ac:dyDescent="0.2"/>
    <row r="1640" hidden="1" x14ac:dyDescent="0.2"/>
    <row r="1641" hidden="1" x14ac:dyDescent="0.2"/>
    <row r="1642" hidden="1" x14ac:dyDescent="0.2"/>
    <row r="1643" hidden="1" x14ac:dyDescent="0.2"/>
    <row r="1644" hidden="1" x14ac:dyDescent="0.2"/>
    <row r="1645" hidden="1" x14ac:dyDescent="0.2"/>
    <row r="1646" hidden="1" x14ac:dyDescent="0.2"/>
    <row r="1647" hidden="1" x14ac:dyDescent="0.2"/>
    <row r="1648" hidden="1" x14ac:dyDescent="0.2"/>
    <row r="1649" hidden="1" x14ac:dyDescent="0.2"/>
    <row r="1650" hidden="1" x14ac:dyDescent="0.2"/>
    <row r="1651" hidden="1" x14ac:dyDescent="0.2"/>
    <row r="1652" hidden="1" x14ac:dyDescent="0.2"/>
    <row r="1653" hidden="1" x14ac:dyDescent="0.2"/>
    <row r="1654" hidden="1" x14ac:dyDescent="0.2"/>
    <row r="1655" hidden="1" x14ac:dyDescent="0.2"/>
    <row r="1656" hidden="1" x14ac:dyDescent="0.2"/>
    <row r="1657" hidden="1" x14ac:dyDescent="0.2"/>
    <row r="1658" hidden="1" x14ac:dyDescent="0.2"/>
    <row r="1659" hidden="1" x14ac:dyDescent="0.2"/>
    <row r="1660" hidden="1" x14ac:dyDescent="0.2"/>
    <row r="1661" hidden="1" x14ac:dyDescent="0.2"/>
    <row r="1662" hidden="1" x14ac:dyDescent="0.2"/>
    <row r="1663" hidden="1" x14ac:dyDescent="0.2"/>
    <row r="1664" hidden="1" x14ac:dyDescent="0.2"/>
    <row r="1665" hidden="1" x14ac:dyDescent="0.2"/>
    <row r="1666" hidden="1" x14ac:dyDescent="0.2"/>
    <row r="1667" hidden="1" x14ac:dyDescent="0.2"/>
    <row r="1668" hidden="1" x14ac:dyDescent="0.2"/>
    <row r="1669" hidden="1" x14ac:dyDescent="0.2"/>
    <row r="1670" hidden="1" x14ac:dyDescent="0.2"/>
    <row r="1671" hidden="1" x14ac:dyDescent="0.2"/>
    <row r="1672" hidden="1" x14ac:dyDescent="0.2"/>
    <row r="1673" hidden="1" x14ac:dyDescent="0.2"/>
    <row r="1674" hidden="1" x14ac:dyDescent="0.2"/>
    <row r="1675" hidden="1" x14ac:dyDescent="0.2"/>
    <row r="1676" hidden="1" x14ac:dyDescent="0.2"/>
    <row r="1677" hidden="1" x14ac:dyDescent="0.2"/>
    <row r="1678" hidden="1" x14ac:dyDescent="0.2"/>
    <row r="1679" hidden="1" x14ac:dyDescent="0.2"/>
    <row r="1680" hidden="1" x14ac:dyDescent="0.2"/>
    <row r="1681" hidden="1" x14ac:dyDescent="0.2"/>
    <row r="1682" hidden="1" x14ac:dyDescent="0.2"/>
    <row r="1683" hidden="1" x14ac:dyDescent="0.2"/>
    <row r="1684" hidden="1" x14ac:dyDescent="0.2"/>
    <row r="1685" hidden="1" x14ac:dyDescent="0.2"/>
    <row r="1686" hidden="1" x14ac:dyDescent="0.2"/>
    <row r="1687" hidden="1" x14ac:dyDescent="0.2"/>
    <row r="1688" hidden="1" x14ac:dyDescent="0.2"/>
    <row r="1689" hidden="1" x14ac:dyDescent="0.2"/>
    <row r="1690" hidden="1" x14ac:dyDescent="0.2"/>
    <row r="1691" hidden="1" x14ac:dyDescent="0.2"/>
    <row r="1692" hidden="1" x14ac:dyDescent="0.2"/>
    <row r="1693" hidden="1" x14ac:dyDescent="0.2"/>
    <row r="1694" hidden="1" x14ac:dyDescent="0.2"/>
    <row r="1695" hidden="1" x14ac:dyDescent="0.2"/>
    <row r="1696" hidden="1" x14ac:dyDescent="0.2"/>
    <row r="1697" hidden="1" x14ac:dyDescent="0.2"/>
    <row r="1698" hidden="1" x14ac:dyDescent="0.2"/>
    <row r="1699" hidden="1" x14ac:dyDescent="0.2"/>
    <row r="1700" hidden="1" x14ac:dyDescent="0.2"/>
    <row r="1701" hidden="1" x14ac:dyDescent="0.2"/>
    <row r="1702" hidden="1" x14ac:dyDescent="0.2"/>
    <row r="1703" hidden="1" x14ac:dyDescent="0.2"/>
    <row r="1704" hidden="1" x14ac:dyDescent="0.2"/>
    <row r="1705" hidden="1" x14ac:dyDescent="0.2"/>
    <row r="1706" hidden="1" x14ac:dyDescent="0.2"/>
    <row r="1707" hidden="1" x14ac:dyDescent="0.2"/>
    <row r="1708" hidden="1" x14ac:dyDescent="0.2"/>
    <row r="1709" hidden="1" x14ac:dyDescent="0.2"/>
    <row r="1710" hidden="1" x14ac:dyDescent="0.2"/>
    <row r="1711" hidden="1" x14ac:dyDescent="0.2"/>
    <row r="1712" hidden="1" x14ac:dyDescent="0.2"/>
    <row r="1713" hidden="1" x14ac:dyDescent="0.2"/>
    <row r="1714" hidden="1" x14ac:dyDescent="0.2"/>
    <row r="1715" hidden="1" x14ac:dyDescent="0.2"/>
    <row r="1716" hidden="1" x14ac:dyDescent="0.2"/>
    <row r="1717" hidden="1" x14ac:dyDescent="0.2"/>
    <row r="1718" hidden="1" x14ac:dyDescent="0.2"/>
    <row r="1719" hidden="1" x14ac:dyDescent="0.2"/>
    <row r="1720" hidden="1" x14ac:dyDescent="0.2"/>
    <row r="1721" hidden="1" x14ac:dyDescent="0.2"/>
    <row r="1722" hidden="1" x14ac:dyDescent="0.2"/>
    <row r="1723" hidden="1" x14ac:dyDescent="0.2"/>
    <row r="1724" hidden="1" x14ac:dyDescent="0.2"/>
    <row r="1725" hidden="1" x14ac:dyDescent="0.2"/>
    <row r="1726" hidden="1" x14ac:dyDescent="0.2"/>
    <row r="1727" hidden="1" x14ac:dyDescent="0.2"/>
    <row r="1728" hidden="1" x14ac:dyDescent="0.2"/>
    <row r="1729" hidden="1" x14ac:dyDescent="0.2"/>
    <row r="1730" hidden="1" x14ac:dyDescent="0.2"/>
    <row r="1731" hidden="1" x14ac:dyDescent="0.2"/>
    <row r="1732" hidden="1" x14ac:dyDescent="0.2"/>
    <row r="1733" hidden="1" x14ac:dyDescent="0.2"/>
    <row r="1734" hidden="1" x14ac:dyDescent="0.2"/>
    <row r="1735" hidden="1" x14ac:dyDescent="0.2"/>
    <row r="1736" hidden="1" x14ac:dyDescent="0.2"/>
    <row r="1737" hidden="1" x14ac:dyDescent="0.2"/>
    <row r="1738" hidden="1" x14ac:dyDescent="0.2"/>
    <row r="1739" hidden="1" x14ac:dyDescent="0.2"/>
    <row r="1740" hidden="1" x14ac:dyDescent="0.2"/>
    <row r="1741" hidden="1" x14ac:dyDescent="0.2"/>
    <row r="1742" hidden="1" x14ac:dyDescent="0.2"/>
    <row r="1743" hidden="1" x14ac:dyDescent="0.2"/>
    <row r="1744" hidden="1" x14ac:dyDescent="0.2"/>
    <row r="1745" hidden="1" x14ac:dyDescent="0.2"/>
    <row r="1746" hidden="1" x14ac:dyDescent="0.2"/>
    <row r="1747" hidden="1" x14ac:dyDescent="0.2"/>
    <row r="1748" hidden="1" x14ac:dyDescent="0.2"/>
    <row r="1749" hidden="1" x14ac:dyDescent="0.2"/>
    <row r="1750" hidden="1" x14ac:dyDescent="0.2"/>
    <row r="1751" hidden="1" x14ac:dyDescent="0.2"/>
    <row r="1752" hidden="1" x14ac:dyDescent="0.2"/>
    <row r="1753" hidden="1" x14ac:dyDescent="0.2"/>
    <row r="1754" hidden="1" x14ac:dyDescent="0.2"/>
    <row r="1755" hidden="1" x14ac:dyDescent="0.2"/>
    <row r="1756" hidden="1" x14ac:dyDescent="0.2"/>
    <row r="1757" hidden="1" x14ac:dyDescent="0.2"/>
    <row r="1758" hidden="1" x14ac:dyDescent="0.2"/>
    <row r="1759" hidden="1" x14ac:dyDescent="0.2"/>
    <row r="1760" hidden="1" x14ac:dyDescent="0.2"/>
    <row r="1761" hidden="1" x14ac:dyDescent="0.2"/>
    <row r="1762" hidden="1" x14ac:dyDescent="0.2"/>
    <row r="1763" hidden="1" x14ac:dyDescent="0.2"/>
    <row r="1764" hidden="1" x14ac:dyDescent="0.2"/>
    <row r="1765" hidden="1" x14ac:dyDescent="0.2"/>
    <row r="1766" hidden="1" x14ac:dyDescent="0.2"/>
    <row r="1767" hidden="1" x14ac:dyDescent="0.2"/>
    <row r="1768" hidden="1" x14ac:dyDescent="0.2"/>
    <row r="1769" hidden="1" x14ac:dyDescent="0.2"/>
    <row r="1770" hidden="1" x14ac:dyDescent="0.2"/>
    <row r="1771" hidden="1" x14ac:dyDescent="0.2"/>
    <row r="1772" hidden="1" x14ac:dyDescent="0.2"/>
    <row r="1773" hidden="1" x14ac:dyDescent="0.2"/>
    <row r="1774" hidden="1" x14ac:dyDescent="0.2"/>
    <row r="1775" hidden="1" x14ac:dyDescent="0.2"/>
    <row r="1776" hidden="1" x14ac:dyDescent="0.2"/>
    <row r="1777" hidden="1" x14ac:dyDescent="0.2"/>
    <row r="1778" hidden="1" x14ac:dyDescent="0.2"/>
    <row r="1779" hidden="1" x14ac:dyDescent="0.2"/>
    <row r="1780" hidden="1" x14ac:dyDescent="0.2"/>
    <row r="1781" hidden="1" x14ac:dyDescent="0.2"/>
    <row r="1782" hidden="1" x14ac:dyDescent="0.2"/>
    <row r="1783" hidden="1" x14ac:dyDescent="0.2"/>
    <row r="1784" hidden="1" x14ac:dyDescent="0.2"/>
    <row r="1785" hidden="1" x14ac:dyDescent="0.2"/>
    <row r="1786" hidden="1" x14ac:dyDescent="0.2"/>
    <row r="1787" hidden="1" x14ac:dyDescent="0.2"/>
    <row r="1788" hidden="1" x14ac:dyDescent="0.2"/>
    <row r="1789" hidden="1" x14ac:dyDescent="0.2"/>
    <row r="1790" hidden="1" x14ac:dyDescent="0.2"/>
    <row r="1791" hidden="1" x14ac:dyDescent="0.2"/>
    <row r="1792" hidden="1" x14ac:dyDescent="0.2"/>
    <row r="1793" hidden="1" x14ac:dyDescent="0.2"/>
    <row r="1794" hidden="1" x14ac:dyDescent="0.2"/>
    <row r="1795" hidden="1" x14ac:dyDescent="0.2"/>
    <row r="1796" hidden="1" x14ac:dyDescent="0.2"/>
    <row r="1797" hidden="1" x14ac:dyDescent="0.2"/>
    <row r="1798" hidden="1" x14ac:dyDescent="0.2"/>
    <row r="1799" hidden="1" x14ac:dyDescent="0.2"/>
    <row r="1800" hidden="1" x14ac:dyDescent="0.2"/>
    <row r="1801" hidden="1" x14ac:dyDescent="0.2"/>
    <row r="1802" hidden="1" x14ac:dyDescent="0.2"/>
    <row r="1803" hidden="1" x14ac:dyDescent="0.2"/>
    <row r="1804" hidden="1" x14ac:dyDescent="0.2"/>
    <row r="1805" hidden="1" x14ac:dyDescent="0.2"/>
    <row r="1806" hidden="1" x14ac:dyDescent="0.2"/>
    <row r="1807" hidden="1" x14ac:dyDescent="0.2"/>
    <row r="1808" hidden="1" x14ac:dyDescent="0.2"/>
    <row r="1809" hidden="1" x14ac:dyDescent="0.2"/>
    <row r="1810" hidden="1" x14ac:dyDescent="0.2"/>
    <row r="1811" hidden="1" x14ac:dyDescent="0.2"/>
    <row r="1812" hidden="1" x14ac:dyDescent="0.2"/>
    <row r="1813" hidden="1" x14ac:dyDescent="0.2"/>
    <row r="1814" hidden="1" x14ac:dyDescent="0.2"/>
    <row r="1815" hidden="1" x14ac:dyDescent="0.2"/>
    <row r="1816" hidden="1" x14ac:dyDescent="0.2"/>
    <row r="1817" hidden="1" x14ac:dyDescent="0.2"/>
    <row r="1818" hidden="1" x14ac:dyDescent="0.2"/>
    <row r="1819" hidden="1" x14ac:dyDescent="0.2"/>
    <row r="1820" hidden="1" x14ac:dyDescent="0.2"/>
    <row r="1821" hidden="1" x14ac:dyDescent="0.2"/>
    <row r="1822" hidden="1" x14ac:dyDescent="0.2"/>
    <row r="1823" hidden="1" x14ac:dyDescent="0.2"/>
    <row r="1824" hidden="1" x14ac:dyDescent="0.2"/>
    <row r="1825" hidden="1" x14ac:dyDescent="0.2"/>
    <row r="1826" hidden="1" x14ac:dyDescent="0.2"/>
    <row r="1827" hidden="1" x14ac:dyDescent="0.2"/>
    <row r="1828" hidden="1" x14ac:dyDescent="0.2"/>
    <row r="1829" hidden="1" x14ac:dyDescent="0.2"/>
    <row r="1830" hidden="1" x14ac:dyDescent="0.2"/>
    <row r="1831" hidden="1" x14ac:dyDescent="0.2"/>
    <row r="1832" hidden="1" x14ac:dyDescent="0.2"/>
    <row r="1833" hidden="1" x14ac:dyDescent="0.2"/>
    <row r="1834" hidden="1" x14ac:dyDescent="0.2"/>
    <row r="1835" hidden="1" x14ac:dyDescent="0.2"/>
    <row r="1836" hidden="1" x14ac:dyDescent="0.2"/>
    <row r="1837" hidden="1" x14ac:dyDescent="0.2"/>
    <row r="1838" hidden="1" x14ac:dyDescent="0.2"/>
    <row r="1839" hidden="1" x14ac:dyDescent="0.2"/>
    <row r="1840" hidden="1" x14ac:dyDescent="0.2"/>
    <row r="1841" hidden="1" x14ac:dyDescent="0.2"/>
    <row r="1842" hidden="1" x14ac:dyDescent="0.2"/>
    <row r="1843" hidden="1" x14ac:dyDescent="0.2"/>
    <row r="1844" hidden="1" x14ac:dyDescent="0.2"/>
    <row r="1845" hidden="1" x14ac:dyDescent="0.2"/>
    <row r="1846" hidden="1" x14ac:dyDescent="0.2"/>
    <row r="1847" hidden="1" x14ac:dyDescent="0.2"/>
    <row r="1848" hidden="1" x14ac:dyDescent="0.2"/>
    <row r="1849" hidden="1" x14ac:dyDescent="0.2"/>
    <row r="1850" hidden="1" x14ac:dyDescent="0.2"/>
    <row r="1851" hidden="1" x14ac:dyDescent="0.2"/>
    <row r="1852" hidden="1" x14ac:dyDescent="0.2"/>
    <row r="1853" hidden="1" x14ac:dyDescent="0.2"/>
    <row r="1854" hidden="1" x14ac:dyDescent="0.2"/>
    <row r="1855" hidden="1" x14ac:dyDescent="0.2"/>
    <row r="1856" hidden="1" x14ac:dyDescent="0.2"/>
    <row r="1857" hidden="1" x14ac:dyDescent="0.2"/>
    <row r="1858" hidden="1" x14ac:dyDescent="0.2"/>
    <row r="1859" hidden="1" x14ac:dyDescent="0.2"/>
    <row r="1860" hidden="1" x14ac:dyDescent="0.2"/>
    <row r="1861" hidden="1" x14ac:dyDescent="0.2"/>
    <row r="1862" hidden="1" x14ac:dyDescent="0.2"/>
    <row r="1863" hidden="1" x14ac:dyDescent="0.2"/>
    <row r="1864" hidden="1" x14ac:dyDescent="0.2"/>
    <row r="1865" hidden="1" x14ac:dyDescent="0.2"/>
    <row r="1866" hidden="1" x14ac:dyDescent="0.2"/>
    <row r="1867" hidden="1" x14ac:dyDescent="0.2"/>
    <row r="1868" hidden="1" x14ac:dyDescent="0.2"/>
    <row r="1869" hidden="1" x14ac:dyDescent="0.2"/>
    <row r="1870" hidden="1" x14ac:dyDescent="0.2"/>
    <row r="1871" hidden="1" x14ac:dyDescent="0.2"/>
    <row r="1872" hidden="1" x14ac:dyDescent="0.2"/>
    <row r="1873" hidden="1" x14ac:dyDescent="0.2"/>
    <row r="1874" hidden="1" x14ac:dyDescent="0.2"/>
    <row r="1875" hidden="1" x14ac:dyDescent="0.2"/>
    <row r="1876" hidden="1" x14ac:dyDescent="0.2"/>
    <row r="1877" hidden="1" x14ac:dyDescent="0.2"/>
    <row r="1878" hidden="1" x14ac:dyDescent="0.2"/>
    <row r="1879" hidden="1" x14ac:dyDescent="0.2"/>
    <row r="1880" hidden="1" x14ac:dyDescent="0.2"/>
    <row r="1881" hidden="1" x14ac:dyDescent="0.2"/>
    <row r="1882" hidden="1" x14ac:dyDescent="0.2"/>
    <row r="1883" hidden="1" x14ac:dyDescent="0.2"/>
    <row r="1884" hidden="1" x14ac:dyDescent="0.2"/>
    <row r="1885" hidden="1" x14ac:dyDescent="0.2"/>
    <row r="1886" hidden="1" x14ac:dyDescent="0.2"/>
    <row r="1887" hidden="1" x14ac:dyDescent="0.2"/>
    <row r="1888" hidden="1" x14ac:dyDescent="0.2"/>
    <row r="1889" hidden="1" x14ac:dyDescent="0.2"/>
  </sheetData>
  <autoFilter ref="A1:BC1889" xr:uid="{00000000-0001-0000-0300-000000000000}">
    <filterColumn colId="21" showButton="0">
      <filters>
        <filter val="INTA +"/>
        <filter val="INTB +"/>
      </filters>
    </filterColumn>
  </autoFilter>
  <sortState xmlns:xlrd2="http://schemas.microsoft.com/office/spreadsheetml/2017/richdata2" ref="A91:BC98">
    <sortCondition descending="1" ref="T91:T98"/>
  </sortState>
  <mergeCells count="1">
    <mergeCell ref="V1:W1"/>
  </mergeCells>
  <conditionalFormatting sqref="E9:E11 E7 E4 E30:E31 E43:E50 E87:E89 E97:E98 E13:E17 E33:E41 E91:E94 E101:E102">
    <cfRule type="cellIs" dxfId="1025" priority="392" stopIfTrue="1" operator="notBetween">
      <formula>1</formula>
      <formula>100000</formula>
    </cfRule>
  </conditionalFormatting>
  <conditionalFormatting sqref="A11 A7 A4 A27:A31 A45:A50 A86:A89 A97:A98 A13:A17 A33:A42 A91:A94 A101:A102">
    <cfRule type="containsText" dxfId="1024" priority="390" stopIfTrue="1" operator="containsText" text="H">
      <formula>NOT(ISERROR(SEARCH("H",A4)))</formula>
    </cfRule>
    <cfRule type="containsText" dxfId="1023" priority="391" stopIfTrue="1" operator="containsText" text="F">
      <formula>NOT(ISERROR(SEARCH("F",A4)))</formula>
    </cfRule>
  </conditionalFormatting>
  <conditionalFormatting sqref="K9:K11 K7 K4 K30:K31 K43:K50 K87:K89 K97:K98 K13:K17 K33:K41 K91:K94 K101:K102">
    <cfRule type="cellIs" dxfId="1022" priority="389" stopIfTrue="1" operator="notEqual">
      <formula>"F"</formula>
    </cfRule>
  </conditionalFormatting>
  <conditionalFormatting sqref="P9:R11 L9:N11 L7:N7 P7:R7 L4:N4 P4:R4 L30:N31 P30:R31 L43:N50 P43:R50 L87:N89 P87:R89 L97:N98 P97:R98 L13:N17 P13:R17 P33:R41 L33:N41 P91:R94 L91:N94 P101:R102 L101:N102 L104:N65438 L1:N1">
    <cfRule type="cellIs" dxfId="1021" priority="388" stopIfTrue="1" operator="lessThan">
      <formula>0</formula>
    </cfRule>
  </conditionalFormatting>
  <conditionalFormatting sqref="E42 E51:E59 E86">
    <cfRule type="cellIs" dxfId="1020" priority="386" stopIfTrue="1" operator="notBetween">
      <formula>1</formula>
      <formula>100000</formula>
    </cfRule>
  </conditionalFormatting>
  <conditionalFormatting sqref="A53:A59">
    <cfRule type="containsText" dxfId="1019" priority="384" stopIfTrue="1" operator="containsText" text="H">
      <formula>NOT(ISERROR(SEARCH("H",A53)))</formula>
    </cfRule>
    <cfRule type="containsText" dxfId="1018" priority="385" stopIfTrue="1" operator="containsText" text="F">
      <formula>NOT(ISERROR(SEARCH("F",A53)))</formula>
    </cfRule>
  </conditionalFormatting>
  <conditionalFormatting sqref="K42 K51:K59 K86">
    <cfRule type="cellIs" dxfId="1017" priority="383" stopIfTrue="1" operator="notEqual">
      <formula>"F"</formula>
    </cfRule>
  </conditionalFormatting>
  <conditionalFormatting sqref="L42:N42 L51:N59 L86:N86">
    <cfRule type="cellIs" dxfId="1016" priority="382" stopIfTrue="1" operator="lessThan">
      <formula>0</formula>
    </cfRule>
  </conditionalFormatting>
  <conditionalFormatting sqref="P42:R42 P51:R59 P86:R86">
    <cfRule type="cellIs" dxfId="1015" priority="381" stopIfTrue="1" operator="lessThan">
      <formula>0</formula>
    </cfRule>
  </conditionalFormatting>
  <conditionalFormatting sqref="P3:R3 P27:R29">
    <cfRule type="cellIs" dxfId="1014" priority="344" stopIfTrue="1" operator="lessThan">
      <formula>0</formula>
    </cfRule>
  </conditionalFormatting>
  <conditionalFormatting sqref="H423:H65438 H9:H11 H7 H4:H5 H27:H31 H86:H89 H97:H98 H13:H17 H33:H59 H91:H94 H101:H102 H1">
    <cfRule type="cellIs" dxfId="1013" priority="351" stopIfTrue="1" operator="between">
      <formula>2000</formula>
      <formula>2001</formula>
    </cfRule>
    <cfRule type="cellIs" dxfId="1012" priority="352" stopIfTrue="1" operator="between">
      <formula>2002</formula>
      <formula>2020</formula>
    </cfRule>
    <cfRule type="cellIs" dxfId="1011" priority="353" stopIfTrue="1" operator="between">
      <formula>1998</formula>
      <formula>1999</formula>
    </cfRule>
    <cfRule type="cellIs" dxfId="1010" priority="354" stopIfTrue="1" operator="between">
      <formula>1995</formula>
      <formula>1997</formula>
    </cfRule>
    <cfRule type="cellIs" dxfId="1009" priority="355" stopIfTrue="1" operator="lessThan">
      <formula>1995</formula>
    </cfRule>
  </conditionalFormatting>
  <conditionalFormatting sqref="W9:W11 W7 W4:W5 W27:W31 W86:W89 W97:W98 W13:W17 W33:W59 W91:W94 W101:W102 W104:W1048576 W1">
    <cfRule type="cellIs" dxfId="1008" priority="350" operator="lessThan">
      <formula>0</formula>
    </cfRule>
  </conditionalFormatting>
  <conditionalFormatting sqref="A51:A52">
    <cfRule type="containsText" dxfId="1007" priority="348" stopIfTrue="1" operator="containsText" text="H">
      <formula>NOT(ISERROR(SEARCH("H",A51)))</formula>
    </cfRule>
    <cfRule type="containsText" dxfId="1006" priority="349" stopIfTrue="1" operator="containsText" text="F">
      <formula>NOT(ISERROR(SEARCH("F",A51)))</formula>
    </cfRule>
  </conditionalFormatting>
  <conditionalFormatting sqref="E3 E27:E29">
    <cfRule type="cellIs" dxfId="1005" priority="347" stopIfTrue="1" operator="notBetween">
      <formula>1</formula>
      <formula>100000</formula>
    </cfRule>
  </conditionalFormatting>
  <conditionalFormatting sqref="K3 K27:K29">
    <cfRule type="cellIs" dxfId="1004" priority="346" stopIfTrue="1" operator="notEqual">
      <formula>"F"</formula>
    </cfRule>
  </conditionalFormatting>
  <conditionalFormatting sqref="L3:N3 L27:N29">
    <cfRule type="cellIs" dxfId="1003" priority="345" stopIfTrue="1" operator="lessThan">
      <formula>0</formula>
    </cfRule>
  </conditionalFormatting>
  <conditionalFormatting sqref="L8:N8 P8:R8">
    <cfRule type="cellIs" dxfId="1002" priority="260" stopIfTrue="1" operator="lessThan">
      <formula>0</formula>
    </cfRule>
  </conditionalFormatting>
  <conditionalFormatting sqref="H3">
    <cfRule type="cellIs" dxfId="1001" priority="333" stopIfTrue="1" operator="between">
      <formula>2000</formula>
      <formula>2001</formula>
    </cfRule>
    <cfRule type="cellIs" dxfId="1000" priority="334" stopIfTrue="1" operator="between">
      <formula>2002</formula>
      <formula>2020</formula>
    </cfRule>
    <cfRule type="cellIs" dxfId="999" priority="335" stopIfTrue="1" operator="between">
      <formula>1998</formula>
      <formula>1999</formula>
    </cfRule>
    <cfRule type="cellIs" dxfId="998" priority="336" stopIfTrue="1" operator="between">
      <formula>1995</formula>
      <formula>1997</formula>
    </cfRule>
    <cfRule type="cellIs" dxfId="997" priority="337" stopIfTrue="1" operator="lessThan">
      <formula>1995</formula>
    </cfRule>
  </conditionalFormatting>
  <conditionalFormatting sqref="W3">
    <cfRule type="cellIs" dxfId="996" priority="332" operator="lessThan">
      <formula>0</formula>
    </cfRule>
  </conditionalFormatting>
  <conditionalFormatting sqref="A3">
    <cfRule type="containsText" dxfId="995" priority="330" stopIfTrue="1" operator="containsText" text="H">
      <formula>NOT(ISERROR(SEARCH("H",A3)))</formula>
    </cfRule>
    <cfRule type="containsText" dxfId="994" priority="331" stopIfTrue="1" operator="containsText" text="F">
      <formula>NOT(ISERROR(SEARCH("F",A3)))</formula>
    </cfRule>
  </conditionalFormatting>
  <conditionalFormatting sqref="E18:E22">
    <cfRule type="cellIs" dxfId="993" priority="329" stopIfTrue="1" operator="notBetween">
      <formula>1</formula>
      <formula>100000</formula>
    </cfRule>
  </conditionalFormatting>
  <conditionalFormatting sqref="K18:K22">
    <cfRule type="cellIs" dxfId="992" priority="328" stopIfTrue="1" operator="notEqual">
      <formula>"F"</formula>
    </cfRule>
  </conditionalFormatting>
  <conditionalFormatting sqref="L18:N22">
    <cfRule type="cellIs" dxfId="991" priority="327" stopIfTrue="1" operator="lessThan">
      <formula>0</formula>
    </cfRule>
  </conditionalFormatting>
  <conditionalFormatting sqref="P18:R22">
    <cfRule type="cellIs" dxfId="990" priority="326" stopIfTrue="1" operator="lessThan">
      <formula>0</formula>
    </cfRule>
  </conditionalFormatting>
  <conditionalFormatting sqref="E23:E26">
    <cfRule type="cellIs" dxfId="989" priority="325" stopIfTrue="1" operator="notBetween">
      <formula>1</formula>
      <formula>100000</formula>
    </cfRule>
  </conditionalFormatting>
  <conditionalFormatting sqref="K23:K26">
    <cfRule type="cellIs" dxfId="988" priority="324" stopIfTrue="1" operator="notEqual">
      <formula>"F"</formula>
    </cfRule>
  </conditionalFormatting>
  <conditionalFormatting sqref="L23:N26">
    <cfRule type="cellIs" dxfId="987" priority="323" stopIfTrue="1" operator="lessThan">
      <formula>0</formula>
    </cfRule>
  </conditionalFormatting>
  <conditionalFormatting sqref="P23:R26">
    <cfRule type="cellIs" dxfId="986" priority="322" stopIfTrue="1" operator="lessThan">
      <formula>0</formula>
    </cfRule>
  </conditionalFormatting>
  <conditionalFormatting sqref="H18:H26">
    <cfRule type="cellIs" dxfId="985" priority="317" stopIfTrue="1" operator="between">
      <formula>2000</formula>
      <formula>2001</formula>
    </cfRule>
    <cfRule type="cellIs" dxfId="984" priority="318" stopIfTrue="1" operator="between">
      <formula>2002</formula>
      <formula>2020</formula>
    </cfRule>
    <cfRule type="cellIs" dxfId="983" priority="319" stopIfTrue="1" operator="between">
      <formula>1998</formula>
      <formula>1999</formula>
    </cfRule>
    <cfRule type="cellIs" dxfId="982" priority="320" stopIfTrue="1" operator="between">
      <formula>1995</formula>
      <formula>1997</formula>
    </cfRule>
    <cfRule type="cellIs" dxfId="981" priority="321" stopIfTrue="1" operator="lessThan">
      <formula>1995</formula>
    </cfRule>
  </conditionalFormatting>
  <conditionalFormatting sqref="W18:W26">
    <cfRule type="cellIs" dxfId="980" priority="316" operator="lessThan">
      <formula>0</formula>
    </cfRule>
  </conditionalFormatting>
  <conditionalFormatting sqref="A18:A26">
    <cfRule type="containsText" dxfId="979" priority="314" stopIfTrue="1" operator="containsText" text="H">
      <formula>NOT(ISERROR(SEARCH("H",A18)))</formula>
    </cfRule>
    <cfRule type="containsText" dxfId="978" priority="315" stopIfTrue="1" operator="containsText" text="F">
      <formula>NOT(ISERROR(SEARCH("F",A18)))</formula>
    </cfRule>
  </conditionalFormatting>
  <conditionalFormatting sqref="E5">
    <cfRule type="cellIs" dxfId="977" priority="313" stopIfTrue="1" operator="notBetween">
      <formula>1</formula>
      <formula>100000</formula>
    </cfRule>
  </conditionalFormatting>
  <conditionalFormatting sqref="K5">
    <cfRule type="cellIs" dxfId="976" priority="312" stopIfTrue="1" operator="notEqual">
      <formula>"F"</formula>
    </cfRule>
  </conditionalFormatting>
  <conditionalFormatting sqref="L5:N5">
    <cfRule type="cellIs" dxfId="975" priority="311" stopIfTrue="1" operator="lessThan">
      <formula>0</formula>
    </cfRule>
  </conditionalFormatting>
  <conditionalFormatting sqref="P5:R5">
    <cfRule type="cellIs" dxfId="974" priority="310" stopIfTrue="1" operator="lessThan">
      <formula>0</formula>
    </cfRule>
  </conditionalFormatting>
  <conditionalFormatting sqref="A5 A9:A10">
    <cfRule type="containsText" dxfId="973" priority="296" stopIfTrue="1" operator="containsText" text="H">
      <formula>NOT(ISERROR(SEARCH("H",A5)))</formula>
    </cfRule>
    <cfRule type="containsText" dxfId="972" priority="297" stopIfTrue="1" operator="containsText" text="F">
      <formula>NOT(ISERROR(SEARCH("F",A5)))</formula>
    </cfRule>
  </conditionalFormatting>
  <conditionalFormatting sqref="E6">
    <cfRule type="cellIs" dxfId="971" priority="273" stopIfTrue="1" operator="notBetween">
      <formula>1</formula>
      <formula>100000</formula>
    </cfRule>
  </conditionalFormatting>
  <conditionalFormatting sqref="A6">
    <cfRule type="containsText" dxfId="970" priority="271" stopIfTrue="1" operator="containsText" text="H">
      <formula>NOT(ISERROR(SEARCH("H",A6)))</formula>
    </cfRule>
    <cfRule type="containsText" dxfId="969" priority="272" stopIfTrue="1" operator="containsText" text="F">
      <formula>NOT(ISERROR(SEARCH("F",A6)))</formula>
    </cfRule>
  </conditionalFormatting>
  <conditionalFormatting sqref="K6">
    <cfRule type="cellIs" dxfId="968" priority="270" stopIfTrue="1" operator="notEqual">
      <formula>"F"</formula>
    </cfRule>
  </conditionalFormatting>
  <conditionalFormatting sqref="L6:N6 P6:R6">
    <cfRule type="cellIs" dxfId="967" priority="269" stopIfTrue="1" operator="lessThan">
      <formula>0</formula>
    </cfRule>
  </conditionalFormatting>
  <conditionalFormatting sqref="H6">
    <cfRule type="cellIs" dxfId="966" priority="264" stopIfTrue="1" operator="between">
      <formula>2000</formula>
      <formula>2001</formula>
    </cfRule>
    <cfRule type="cellIs" dxfId="965" priority="265" stopIfTrue="1" operator="between">
      <formula>2002</formula>
      <formula>2020</formula>
    </cfRule>
    <cfRule type="cellIs" dxfId="964" priority="266" stopIfTrue="1" operator="between">
      <formula>1998</formula>
      <formula>1999</formula>
    </cfRule>
    <cfRule type="cellIs" dxfId="963" priority="267" stopIfTrue="1" operator="between">
      <formula>1995</formula>
      <formula>1997</formula>
    </cfRule>
    <cfRule type="cellIs" dxfId="962" priority="268" stopIfTrue="1" operator="lessThan">
      <formula>1995</formula>
    </cfRule>
  </conditionalFormatting>
  <conditionalFormatting sqref="W6">
    <cfRule type="cellIs" dxfId="961" priority="263" operator="lessThan">
      <formula>0</formula>
    </cfRule>
  </conditionalFormatting>
  <conditionalFormatting sqref="E8">
    <cfRule type="cellIs" dxfId="960" priority="262" stopIfTrue="1" operator="notBetween">
      <formula>1</formula>
      <formula>100000</formula>
    </cfRule>
  </conditionalFormatting>
  <conditionalFormatting sqref="K8">
    <cfRule type="cellIs" dxfId="959" priority="261" stopIfTrue="1" operator="notEqual">
      <formula>"F"</formula>
    </cfRule>
  </conditionalFormatting>
  <conditionalFormatting sqref="H8">
    <cfRule type="cellIs" dxfId="958" priority="255" stopIfTrue="1" operator="between">
      <formula>2000</formula>
      <formula>2001</formula>
    </cfRule>
    <cfRule type="cellIs" dxfId="957" priority="256" stopIfTrue="1" operator="between">
      <formula>2002</formula>
      <formula>2020</formula>
    </cfRule>
    <cfRule type="cellIs" dxfId="956" priority="257" stopIfTrue="1" operator="between">
      <formula>1998</formula>
      <formula>1999</formula>
    </cfRule>
    <cfRule type="cellIs" dxfId="955" priority="258" stopIfTrue="1" operator="between">
      <formula>1995</formula>
      <formula>1997</formula>
    </cfRule>
    <cfRule type="cellIs" dxfId="954" priority="259" stopIfTrue="1" operator="lessThan">
      <formula>1995</formula>
    </cfRule>
  </conditionalFormatting>
  <conditionalFormatting sqref="W8">
    <cfRule type="cellIs" dxfId="953" priority="254" operator="lessThan">
      <formula>0</formula>
    </cfRule>
  </conditionalFormatting>
  <conditionalFormatting sqref="A8">
    <cfRule type="containsText" dxfId="952" priority="252" stopIfTrue="1" operator="containsText" text="H">
      <formula>NOT(ISERROR(SEARCH("H",A8)))</formula>
    </cfRule>
    <cfRule type="containsText" dxfId="951" priority="253" stopIfTrue="1" operator="containsText" text="F">
      <formula>NOT(ISERROR(SEARCH("F",A8)))</formula>
    </cfRule>
  </conditionalFormatting>
  <conditionalFormatting sqref="A43:A44">
    <cfRule type="containsText" dxfId="950" priority="172" stopIfTrue="1" operator="containsText" text="H">
      <formula>NOT(ISERROR(SEARCH("H",A43)))</formula>
    </cfRule>
    <cfRule type="containsText" dxfId="949" priority="173" stopIfTrue="1" operator="containsText" text="F">
      <formula>NOT(ISERROR(SEARCH("F",A43)))</formula>
    </cfRule>
  </conditionalFormatting>
  <conditionalFormatting sqref="E62:E78 E80:E85">
    <cfRule type="cellIs" dxfId="948" priority="169" stopIfTrue="1" operator="notBetween">
      <formula>1</formula>
      <formula>100000</formula>
    </cfRule>
  </conditionalFormatting>
  <conditionalFormatting sqref="K62:K78 K80:K85">
    <cfRule type="cellIs" dxfId="947" priority="168" stopIfTrue="1" operator="notEqual">
      <formula>"F"</formula>
    </cfRule>
  </conditionalFormatting>
  <conditionalFormatting sqref="P62:R68 L62:N78 L80:N85">
    <cfRule type="cellIs" dxfId="946" priority="167" stopIfTrue="1" operator="lessThan">
      <formula>0</formula>
    </cfRule>
  </conditionalFormatting>
  <conditionalFormatting sqref="P69:R78 P80:R85">
    <cfRule type="cellIs" dxfId="945" priority="166" stopIfTrue="1" operator="lessThan">
      <formula>0</formula>
    </cfRule>
  </conditionalFormatting>
  <conditionalFormatting sqref="E60">
    <cfRule type="cellIs" dxfId="944" priority="165" stopIfTrue="1" operator="notBetween">
      <formula>1</formula>
      <formula>100000</formula>
    </cfRule>
  </conditionalFormatting>
  <conditionalFormatting sqref="K60">
    <cfRule type="cellIs" dxfId="943" priority="164" stopIfTrue="1" operator="notEqual">
      <formula>"F"</formula>
    </cfRule>
  </conditionalFormatting>
  <conditionalFormatting sqref="L60:N60">
    <cfRule type="cellIs" dxfId="942" priority="163" stopIfTrue="1" operator="lessThan">
      <formula>0</formula>
    </cfRule>
  </conditionalFormatting>
  <conditionalFormatting sqref="P60:R60">
    <cfRule type="cellIs" dxfId="941" priority="162" stopIfTrue="1" operator="lessThan">
      <formula>0</formula>
    </cfRule>
  </conditionalFormatting>
  <conditionalFormatting sqref="H60 H62:H78 H80:H85">
    <cfRule type="cellIs" dxfId="940" priority="157" stopIfTrue="1" operator="between">
      <formula>2000</formula>
      <formula>2001</formula>
    </cfRule>
    <cfRule type="cellIs" dxfId="939" priority="158" stopIfTrue="1" operator="between">
      <formula>2002</formula>
      <formula>2020</formula>
    </cfRule>
    <cfRule type="cellIs" dxfId="938" priority="159" stopIfTrue="1" operator="between">
      <formula>1998</formula>
      <formula>1999</formula>
    </cfRule>
    <cfRule type="cellIs" dxfId="937" priority="160" stopIfTrue="1" operator="between">
      <formula>1995</formula>
      <formula>1997</formula>
    </cfRule>
    <cfRule type="cellIs" dxfId="936" priority="161" stopIfTrue="1" operator="lessThan">
      <formula>1995</formula>
    </cfRule>
  </conditionalFormatting>
  <conditionalFormatting sqref="W60 W62:W78 W80:W85">
    <cfRule type="cellIs" dxfId="935" priority="156" operator="lessThan">
      <formula>0</formula>
    </cfRule>
  </conditionalFormatting>
  <conditionalFormatting sqref="A60 A62:A78 A80:A85">
    <cfRule type="containsText" dxfId="934" priority="154" stopIfTrue="1" operator="containsText" text="H">
      <formula>NOT(ISERROR(SEARCH("H",A60)))</formula>
    </cfRule>
    <cfRule type="containsText" dxfId="933" priority="155" stopIfTrue="1" operator="containsText" text="F">
      <formula>NOT(ISERROR(SEARCH("F",A60)))</formula>
    </cfRule>
  </conditionalFormatting>
  <conditionalFormatting sqref="E95:E96">
    <cfRule type="cellIs" dxfId="932" priority="153" stopIfTrue="1" operator="notBetween">
      <formula>1</formula>
      <formula>100000</formula>
    </cfRule>
  </conditionalFormatting>
  <conditionalFormatting sqref="A95:A96">
    <cfRule type="containsText" dxfId="931" priority="151" stopIfTrue="1" operator="containsText" text="H">
      <formula>NOT(ISERROR(SEARCH("H",A95)))</formula>
    </cfRule>
    <cfRule type="containsText" dxfId="930" priority="152" stopIfTrue="1" operator="containsText" text="F">
      <formula>NOT(ISERROR(SEARCH("F",A95)))</formula>
    </cfRule>
  </conditionalFormatting>
  <conditionalFormatting sqref="K95:K96">
    <cfRule type="cellIs" dxfId="929" priority="150" stopIfTrue="1" operator="notEqual">
      <formula>"F"</formula>
    </cfRule>
  </conditionalFormatting>
  <conditionalFormatting sqref="P95:R96 L95:N96">
    <cfRule type="cellIs" dxfId="928" priority="149" stopIfTrue="1" operator="lessThan">
      <formula>0</formula>
    </cfRule>
  </conditionalFormatting>
  <conditionalFormatting sqref="H95:H96">
    <cfRule type="cellIs" dxfId="927" priority="144" stopIfTrue="1" operator="between">
      <formula>2000</formula>
      <formula>2001</formula>
    </cfRule>
    <cfRule type="cellIs" dxfId="926" priority="145" stopIfTrue="1" operator="between">
      <formula>2002</formula>
      <formula>2020</formula>
    </cfRule>
    <cfRule type="cellIs" dxfId="925" priority="146" stopIfTrue="1" operator="between">
      <formula>1998</formula>
      <formula>1999</formula>
    </cfRule>
    <cfRule type="cellIs" dxfId="924" priority="147" stopIfTrue="1" operator="between">
      <formula>1995</formula>
      <formula>1997</formula>
    </cfRule>
    <cfRule type="cellIs" dxfId="923" priority="148" stopIfTrue="1" operator="lessThan">
      <formula>1995</formula>
    </cfRule>
  </conditionalFormatting>
  <conditionalFormatting sqref="W95:W96">
    <cfRule type="cellIs" dxfId="922" priority="143" operator="lessThan">
      <formula>0</formula>
    </cfRule>
  </conditionalFormatting>
  <conditionalFormatting sqref="E2">
    <cfRule type="cellIs" dxfId="921" priority="109" stopIfTrue="1" operator="notBetween">
      <formula>1</formula>
      <formula>100000</formula>
    </cfRule>
  </conditionalFormatting>
  <conditionalFormatting sqref="A2">
    <cfRule type="containsText" dxfId="920" priority="107" stopIfTrue="1" operator="containsText" text="H">
      <formula>NOT(ISERROR(SEARCH("H",A2)))</formula>
    </cfRule>
    <cfRule type="containsText" dxfId="919" priority="108" stopIfTrue="1" operator="containsText" text="F">
      <formula>NOT(ISERROR(SEARCH("F",A2)))</formula>
    </cfRule>
  </conditionalFormatting>
  <conditionalFormatting sqref="K2">
    <cfRule type="cellIs" dxfId="918" priority="106" stopIfTrue="1" operator="notEqual">
      <formula>"F"</formula>
    </cfRule>
  </conditionalFormatting>
  <conditionalFormatting sqref="L2:N2 P2:R2">
    <cfRule type="cellIs" dxfId="917" priority="105" stopIfTrue="1" operator="lessThan">
      <formula>0</formula>
    </cfRule>
  </conditionalFormatting>
  <conditionalFormatting sqref="H2">
    <cfRule type="cellIs" dxfId="916" priority="100" stopIfTrue="1" operator="between">
      <formula>2000</formula>
      <formula>2001</formula>
    </cfRule>
    <cfRule type="cellIs" dxfId="915" priority="101" stopIfTrue="1" operator="between">
      <formula>2002</formula>
      <formula>2020</formula>
    </cfRule>
    <cfRule type="cellIs" dxfId="914" priority="102" stopIfTrue="1" operator="between">
      <formula>1998</formula>
      <formula>1999</formula>
    </cfRule>
    <cfRule type="cellIs" dxfId="913" priority="103" stopIfTrue="1" operator="between">
      <formula>1995</formula>
      <formula>1997</formula>
    </cfRule>
    <cfRule type="cellIs" dxfId="912" priority="104" stopIfTrue="1" operator="lessThan">
      <formula>1995</formula>
    </cfRule>
  </conditionalFormatting>
  <conditionalFormatting sqref="W2">
    <cfRule type="cellIs" dxfId="911" priority="99" operator="lessThan">
      <formula>0</formula>
    </cfRule>
  </conditionalFormatting>
  <conditionalFormatting sqref="V2">
    <cfRule type="cellIs" dxfId="910" priority="98" operator="equal">
      <formula>"DEB"</formula>
    </cfRule>
  </conditionalFormatting>
  <conditionalFormatting sqref="E12">
    <cfRule type="cellIs" dxfId="909" priority="97" stopIfTrue="1" operator="notBetween">
      <formula>1</formula>
      <formula>100000</formula>
    </cfRule>
  </conditionalFormatting>
  <conditionalFormatting sqref="A12">
    <cfRule type="containsText" dxfId="908" priority="95" stopIfTrue="1" operator="containsText" text="H">
      <formula>NOT(ISERROR(SEARCH("H",A12)))</formula>
    </cfRule>
    <cfRule type="containsText" dxfId="907" priority="96" stopIfTrue="1" operator="containsText" text="F">
      <formula>NOT(ISERROR(SEARCH("F",A12)))</formula>
    </cfRule>
  </conditionalFormatting>
  <conditionalFormatting sqref="K12">
    <cfRule type="cellIs" dxfId="906" priority="94" stopIfTrue="1" operator="notEqual">
      <formula>"F"</formula>
    </cfRule>
  </conditionalFormatting>
  <conditionalFormatting sqref="L12:N12 P12:R12">
    <cfRule type="cellIs" dxfId="905" priority="93" stopIfTrue="1" operator="lessThan">
      <formula>0</formula>
    </cfRule>
  </conditionalFormatting>
  <conditionalFormatting sqref="H12">
    <cfRule type="cellIs" dxfId="904" priority="88" stopIfTrue="1" operator="between">
      <formula>2000</formula>
      <formula>2001</formula>
    </cfRule>
    <cfRule type="cellIs" dxfId="903" priority="89" stopIfTrue="1" operator="between">
      <formula>2002</formula>
      <formula>2020</formula>
    </cfRule>
    <cfRule type="cellIs" dxfId="902" priority="90" stopIfTrue="1" operator="between">
      <formula>1998</formula>
      <formula>1999</formula>
    </cfRule>
    <cfRule type="cellIs" dxfId="901" priority="91" stopIfTrue="1" operator="between">
      <formula>1995</formula>
      <formula>1997</formula>
    </cfRule>
    <cfRule type="cellIs" dxfId="900" priority="92" stopIfTrue="1" operator="lessThan">
      <formula>1995</formula>
    </cfRule>
  </conditionalFormatting>
  <conditionalFormatting sqref="W12">
    <cfRule type="cellIs" dxfId="899" priority="87" operator="lessThan">
      <formula>0</formula>
    </cfRule>
  </conditionalFormatting>
  <conditionalFormatting sqref="V12">
    <cfRule type="cellIs" dxfId="898" priority="86" operator="equal">
      <formula>"DEB"</formula>
    </cfRule>
  </conditionalFormatting>
  <conditionalFormatting sqref="E32">
    <cfRule type="cellIs" dxfId="897" priority="85" stopIfTrue="1" operator="notBetween">
      <formula>1</formula>
      <formula>100000</formula>
    </cfRule>
  </conditionalFormatting>
  <conditionalFormatting sqref="A32">
    <cfRule type="containsText" dxfId="896" priority="83" stopIfTrue="1" operator="containsText" text="H">
      <formula>NOT(ISERROR(SEARCH("H",A32)))</formula>
    </cfRule>
    <cfRule type="containsText" dxfId="895" priority="84" stopIfTrue="1" operator="containsText" text="F">
      <formula>NOT(ISERROR(SEARCH("F",A32)))</formula>
    </cfRule>
  </conditionalFormatting>
  <conditionalFormatting sqref="K32">
    <cfRule type="cellIs" dxfId="894" priority="82" stopIfTrue="1" operator="notEqual">
      <formula>"F"</formula>
    </cfRule>
  </conditionalFormatting>
  <conditionalFormatting sqref="L32:N32 P32:R32">
    <cfRule type="cellIs" dxfId="893" priority="81" stopIfTrue="1" operator="lessThan">
      <formula>0</formula>
    </cfRule>
  </conditionalFormatting>
  <conditionalFormatting sqref="H32">
    <cfRule type="cellIs" dxfId="892" priority="76" stopIfTrue="1" operator="between">
      <formula>2000</formula>
      <formula>2001</formula>
    </cfRule>
    <cfRule type="cellIs" dxfId="891" priority="77" stopIfTrue="1" operator="between">
      <formula>2002</formula>
      <formula>2020</formula>
    </cfRule>
    <cfRule type="cellIs" dxfId="890" priority="78" stopIfTrue="1" operator="between">
      <formula>1998</formula>
      <formula>1999</formula>
    </cfRule>
    <cfRule type="cellIs" dxfId="889" priority="79" stopIfTrue="1" operator="between">
      <formula>1995</formula>
      <formula>1997</formula>
    </cfRule>
    <cfRule type="cellIs" dxfId="888" priority="80" stopIfTrue="1" operator="lessThan">
      <formula>1995</formula>
    </cfRule>
  </conditionalFormatting>
  <conditionalFormatting sqref="W32">
    <cfRule type="cellIs" dxfId="887" priority="75" operator="lessThan">
      <formula>0</formula>
    </cfRule>
  </conditionalFormatting>
  <conditionalFormatting sqref="V32">
    <cfRule type="cellIs" dxfId="886" priority="74" operator="equal">
      <formula>"DEB"</formula>
    </cfRule>
  </conditionalFormatting>
  <conditionalFormatting sqref="E61">
    <cfRule type="cellIs" dxfId="885" priority="73" stopIfTrue="1" operator="notBetween">
      <formula>1</formula>
      <formula>100000</formula>
    </cfRule>
  </conditionalFormatting>
  <conditionalFormatting sqref="A61">
    <cfRule type="containsText" dxfId="884" priority="71" stopIfTrue="1" operator="containsText" text="H">
      <formula>NOT(ISERROR(SEARCH("H",A61)))</formula>
    </cfRule>
    <cfRule type="containsText" dxfId="883" priority="72" stopIfTrue="1" operator="containsText" text="F">
      <formula>NOT(ISERROR(SEARCH("F",A61)))</formula>
    </cfRule>
  </conditionalFormatting>
  <conditionalFormatting sqref="K61">
    <cfRule type="cellIs" dxfId="882" priority="70" stopIfTrue="1" operator="notEqual">
      <formula>"F"</formula>
    </cfRule>
  </conditionalFormatting>
  <conditionalFormatting sqref="L61:N61 P61:R61">
    <cfRule type="cellIs" dxfId="881" priority="69" stopIfTrue="1" operator="lessThan">
      <formula>0</formula>
    </cfRule>
  </conditionalFormatting>
  <conditionalFormatting sqref="H61">
    <cfRule type="cellIs" dxfId="880" priority="64" stopIfTrue="1" operator="between">
      <formula>2000</formula>
      <formula>2001</formula>
    </cfRule>
    <cfRule type="cellIs" dxfId="879" priority="65" stopIfTrue="1" operator="between">
      <formula>2002</formula>
      <formula>2020</formula>
    </cfRule>
    <cfRule type="cellIs" dxfId="878" priority="66" stopIfTrue="1" operator="between">
      <formula>1998</formula>
      <formula>1999</formula>
    </cfRule>
    <cfRule type="cellIs" dxfId="877" priority="67" stopIfTrue="1" operator="between">
      <formula>1995</formula>
      <formula>1997</formula>
    </cfRule>
    <cfRule type="cellIs" dxfId="876" priority="68" stopIfTrue="1" operator="lessThan">
      <formula>1995</formula>
    </cfRule>
  </conditionalFormatting>
  <conditionalFormatting sqref="W61">
    <cfRule type="cellIs" dxfId="875" priority="63" operator="lessThan">
      <formula>0</formula>
    </cfRule>
  </conditionalFormatting>
  <conditionalFormatting sqref="V61">
    <cfRule type="cellIs" dxfId="874" priority="62" operator="equal">
      <formula>"DEB"</formula>
    </cfRule>
  </conditionalFormatting>
  <conditionalFormatting sqref="E79">
    <cfRule type="cellIs" dxfId="873" priority="61" stopIfTrue="1" operator="notBetween">
      <formula>1</formula>
      <formula>100000</formula>
    </cfRule>
  </conditionalFormatting>
  <conditionalFormatting sqref="A79">
    <cfRule type="containsText" dxfId="872" priority="59" stopIfTrue="1" operator="containsText" text="H">
      <formula>NOT(ISERROR(SEARCH("H",A79)))</formula>
    </cfRule>
    <cfRule type="containsText" dxfId="871" priority="60" stopIfTrue="1" operator="containsText" text="F">
      <formula>NOT(ISERROR(SEARCH("F",A79)))</formula>
    </cfRule>
  </conditionalFormatting>
  <conditionalFormatting sqref="K79">
    <cfRule type="cellIs" dxfId="870" priority="58" stopIfTrue="1" operator="notEqual">
      <formula>"F"</formula>
    </cfRule>
  </conditionalFormatting>
  <conditionalFormatting sqref="L79:N79 P79:R79">
    <cfRule type="cellIs" dxfId="869" priority="57" stopIfTrue="1" operator="lessThan">
      <formula>0</formula>
    </cfRule>
  </conditionalFormatting>
  <conditionalFormatting sqref="H79">
    <cfRule type="cellIs" dxfId="868" priority="52" stopIfTrue="1" operator="between">
      <formula>2000</formula>
      <formula>2001</formula>
    </cfRule>
    <cfRule type="cellIs" dxfId="867" priority="53" stopIfTrue="1" operator="between">
      <formula>2002</formula>
      <formula>2020</formula>
    </cfRule>
    <cfRule type="cellIs" dxfId="866" priority="54" stopIfTrue="1" operator="between">
      <formula>1998</formula>
      <formula>1999</formula>
    </cfRule>
    <cfRule type="cellIs" dxfId="865" priority="55" stopIfTrue="1" operator="between">
      <formula>1995</formula>
      <formula>1997</formula>
    </cfRule>
    <cfRule type="cellIs" dxfId="864" priority="56" stopIfTrue="1" operator="lessThan">
      <formula>1995</formula>
    </cfRule>
  </conditionalFormatting>
  <conditionalFormatting sqref="W79">
    <cfRule type="cellIs" dxfId="863" priority="51" operator="lessThan">
      <formula>0</formula>
    </cfRule>
  </conditionalFormatting>
  <conditionalFormatting sqref="V79">
    <cfRule type="cellIs" dxfId="862" priority="50" operator="equal">
      <formula>"DEB"</formula>
    </cfRule>
  </conditionalFormatting>
  <conditionalFormatting sqref="E90">
    <cfRule type="cellIs" dxfId="861" priority="49" stopIfTrue="1" operator="notBetween">
      <formula>1</formula>
      <formula>100000</formula>
    </cfRule>
  </conditionalFormatting>
  <conditionalFormatting sqref="A90">
    <cfRule type="containsText" dxfId="860" priority="47" stopIfTrue="1" operator="containsText" text="H">
      <formula>NOT(ISERROR(SEARCH("H",A90)))</formula>
    </cfRule>
    <cfRule type="containsText" dxfId="859" priority="48" stopIfTrue="1" operator="containsText" text="F">
      <formula>NOT(ISERROR(SEARCH("F",A90)))</formula>
    </cfRule>
  </conditionalFormatting>
  <conditionalFormatting sqref="K90">
    <cfRule type="cellIs" dxfId="858" priority="46" stopIfTrue="1" operator="notEqual">
      <formula>"F"</formula>
    </cfRule>
  </conditionalFormatting>
  <conditionalFormatting sqref="L90:N90 P90:R90">
    <cfRule type="cellIs" dxfId="857" priority="45" stopIfTrue="1" operator="lessThan">
      <formula>0</formula>
    </cfRule>
  </conditionalFormatting>
  <conditionalFormatting sqref="H90">
    <cfRule type="cellIs" dxfId="856" priority="40" stopIfTrue="1" operator="between">
      <formula>2000</formula>
      <formula>2001</formula>
    </cfRule>
    <cfRule type="cellIs" dxfId="855" priority="41" stopIfTrue="1" operator="between">
      <formula>2002</formula>
      <formula>2020</formula>
    </cfRule>
    <cfRule type="cellIs" dxfId="854" priority="42" stopIfTrue="1" operator="between">
      <formula>1998</formula>
      <formula>1999</formula>
    </cfRule>
    <cfRule type="cellIs" dxfId="853" priority="43" stopIfTrue="1" operator="between">
      <formula>1995</formula>
      <formula>1997</formula>
    </cfRule>
    <cfRule type="cellIs" dxfId="852" priority="44" stopIfTrue="1" operator="lessThan">
      <formula>1995</formula>
    </cfRule>
  </conditionalFormatting>
  <conditionalFormatting sqref="W90">
    <cfRule type="cellIs" dxfId="851" priority="39" operator="lessThan">
      <formula>0</formula>
    </cfRule>
  </conditionalFormatting>
  <conditionalFormatting sqref="V90">
    <cfRule type="cellIs" dxfId="850" priority="38" operator="equal">
      <formula>"DEB"</formula>
    </cfRule>
  </conditionalFormatting>
  <conditionalFormatting sqref="E99">
    <cfRule type="cellIs" dxfId="849" priority="37" stopIfTrue="1" operator="notBetween">
      <formula>1</formula>
      <formula>100000</formula>
    </cfRule>
  </conditionalFormatting>
  <conditionalFormatting sqref="A99">
    <cfRule type="containsText" dxfId="848" priority="35" stopIfTrue="1" operator="containsText" text="H">
      <formula>NOT(ISERROR(SEARCH("H",A99)))</formula>
    </cfRule>
    <cfRule type="containsText" dxfId="847" priority="36" stopIfTrue="1" operator="containsText" text="F">
      <formula>NOT(ISERROR(SEARCH("F",A99)))</formula>
    </cfRule>
  </conditionalFormatting>
  <conditionalFormatting sqref="K99">
    <cfRule type="cellIs" dxfId="846" priority="34" stopIfTrue="1" operator="notEqual">
      <formula>"F"</formula>
    </cfRule>
  </conditionalFormatting>
  <conditionalFormatting sqref="L99:N99 P99:R99">
    <cfRule type="cellIs" dxfId="845" priority="33" stopIfTrue="1" operator="lessThan">
      <formula>0</formula>
    </cfRule>
  </conditionalFormatting>
  <conditionalFormatting sqref="H99">
    <cfRule type="cellIs" dxfId="844" priority="28" stopIfTrue="1" operator="between">
      <formula>2000</formula>
      <formula>2001</formula>
    </cfRule>
    <cfRule type="cellIs" dxfId="843" priority="29" stopIfTrue="1" operator="between">
      <formula>2002</formula>
      <formula>2020</formula>
    </cfRule>
    <cfRule type="cellIs" dxfId="842" priority="30" stopIfTrue="1" operator="between">
      <formula>1998</formula>
      <formula>1999</formula>
    </cfRule>
    <cfRule type="cellIs" dxfId="841" priority="31" stopIfTrue="1" operator="between">
      <formula>1995</formula>
      <formula>1997</formula>
    </cfRule>
    <cfRule type="cellIs" dxfId="840" priority="32" stopIfTrue="1" operator="lessThan">
      <formula>1995</formula>
    </cfRule>
  </conditionalFormatting>
  <conditionalFormatting sqref="W99">
    <cfRule type="cellIs" dxfId="839" priority="27" operator="lessThan">
      <formula>0</formula>
    </cfRule>
  </conditionalFormatting>
  <conditionalFormatting sqref="V99">
    <cfRule type="cellIs" dxfId="838" priority="26" operator="equal">
      <formula>"DEB"</formula>
    </cfRule>
  </conditionalFormatting>
  <conditionalFormatting sqref="E103">
    <cfRule type="cellIs" dxfId="837" priority="25" stopIfTrue="1" operator="notBetween">
      <formula>1</formula>
      <formula>100000</formula>
    </cfRule>
  </conditionalFormatting>
  <conditionalFormatting sqref="A103">
    <cfRule type="containsText" dxfId="836" priority="23" stopIfTrue="1" operator="containsText" text="H">
      <formula>NOT(ISERROR(SEARCH("H",A103)))</formula>
    </cfRule>
    <cfRule type="containsText" dxfId="835" priority="24" stopIfTrue="1" operator="containsText" text="F">
      <formula>NOT(ISERROR(SEARCH("F",A103)))</formula>
    </cfRule>
  </conditionalFormatting>
  <conditionalFormatting sqref="K103">
    <cfRule type="cellIs" dxfId="834" priority="22" stopIfTrue="1" operator="notEqual">
      <formula>"F"</formula>
    </cfRule>
  </conditionalFormatting>
  <conditionalFormatting sqref="L103:N103 P103:R103">
    <cfRule type="cellIs" dxfId="833" priority="21" stopIfTrue="1" operator="lessThan">
      <formula>0</formula>
    </cfRule>
  </conditionalFormatting>
  <conditionalFormatting sqref="H103">
    <cfRule type="cellIs" dxfId="832" priority="16" stopIfTrue="1" operator="between">
      <formula>2000</formula>
      <formula>2001</formula>
    </cfRule>
    <cfRule type="cellIs" dxfId="831" priority="17" stopIfTrue="1" operator="between">
      <formula>2002</formula>
      <formula>2020</formula>
    </cfRule>
    <cfRule type="cellIs" dxfId="830" priority="18" stopIfTrue="1" operator="between">
      <formula>1998</formula>
      <formula>1999</formula>
    </cfRule>
    <cfRule type="cellIs" dxfId="829" priority="19" stopIfTrue="1" operator="between">
      <formula>1995</formula>
      <formula>1997</formula>
    </cfRule>
    <cfRule type="cellIs" dxfId="828" priority="20" stopIfTrue="1" operator="lessThan">
      <formula>1995</formula>
    </cfRule>
  </conditionalFormatting>
  <conditionalFormatting sqref="W103">
    <cfRule type="cellIs" dxfId="827" priority="15" operator="lessThan">
      <formula>0</formula>
    </cfRule>
  </conditionalFormatting>
  <conditionalFormatting sqref="V103">
    <cfRule type="cellIs" dxfId="826" priority="14" operator="equal">
      <formula>"DEB"</formula>
    </cfRule>
  </conditionalFormatting>
  <conditionalFormatting sqref="E100">
    <cfRule type="cellIs" dxfId="825" priority="13" stopIfTrue="1" operator="notBetween">
      <formula>1</formula>
      <formula>100000</formula>
    </cfRule>
  </conditionalFormatting>
  <conditionalFormatting sqref="A100">
    <cfRule type="containsText" dxfId="824" priority="11" stopIfTrue="1" operator="containsText" text="H">
      <formula>NOT(ISERROR(SEARCH("H",A100)))</formula>
    </cfRule>
    <cfRule type="containsText" dxfId="823" priority="12" stopIfTrue="1" operator="containsText" text="F">
      <formula>NOT(ISERROR(SEARCH("F",A100)))</formula>
    </cfRule>
  </conditionalFormatting>
  <conditionalFormatting sqref="K100">
    <cfRule type="cellIs" dxfId="822" priority="10" stopIfTrue="1" operator="notEqual">
      <formula>"F"</formula>
    </cfRule>
  </conditionalFormatting>
  <conditionalFormatting sqref="P100:R100 L100:N100">
    <cfRule type="cellIs" dxfId="821" priority="9" stopIfTrue="1" operator="lessThan">
      <formula>0</formula>
    </cfRule>
  </conditionalFormatting>
  <conditionalFormatting sqref="H100">
    <cfRule type="cellIs" dxfId="820" priority="4" stopIfTrue="1" operator="between">
      <formula>2000</formula>
      <formula>2001</formula>
    </cfRule>
    <cfRule type="cellIs" dxfId="819" priority="5" stopIfTrue="1" operator="between">
      <formula>2002</formula>
      <formula>2020</formula>
    </cfRule>
    <cfRule type="cellIs" dxfId="818" priority="6" stopIfTrue="1" operator="between">
      <formula>1998</formula>
      <formula>1999</formula>
    </cfRule>
    <cfRule type="cellIs" dxfId="817" priority="7" stopIfTrue="1" operator="between">
      <formula>1995</formula>
      <formula>1997</formula>
    </cfRule>
    <cfRule type="cellIs" dxfId="816" priority="8" stopIfTrue="1" operator="lessThan">
      <formula>1995</formula>
    </cfRule>
  </conditionalFormatting>
  <conditionalFormatting sqref="W100">
    <cfRule type="cellIs" dxfId="815" priority="3" operator="lessThan">
      <formula>0</formula>
    </cfRule>
  </conditionalFormatting>
  <dataValidations count="1">
    <dataValidation type="list" allowBlank="1" showInputMessage="1" showErrorMessage="1" sqref="A2:A103" xr:uid="{00000000-0002-0000-0300-000000000000}">
      <formula1>"H,F"</formula1>
    </dataValidation>
  </dataValidations>
  <printOptions horizontalCentered="1" verticalCentered="1"/>
  <pageMargins left="0" right="0" top="0" bottom="0" header="0" footer="0"/>
  <pageSetup paperSize="9" scale="45" orientation="portrait" r:id="rId1"/>
  <headerFooter alignWithMargins="0"/>
  <rowBreaks count="1" manualBreakCount="1">
    <brk id="78" max="24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 filterMode="1">
    <tabColor rgb="FF00B050"/>
  </sheetPr>
  <dimension ref="A1:BC2013"/>
  <sheetViews>
    <sheetView zoomScale="75" zoomScaleNormal="75" zoomScaleSheetLayoutView="80" workbookViewId="0">
      <selection activeCell="Y310" sqref="A4:Y310"/>
    </sheetView>
  </sheetViews>
  <sheetFormatPr baseColWidth="10" defaultRowHeight="12.75" x14ac:dyDescent="0.2"/>
  <cols>
    <col min="1" max="1" width="7.5703125" style="4" bestFit="1" customWidth="1"/>
    <col min="2" max="2" width="6.5703125" style="4" bestFit="1" customWidth="1"/>
    <col min="3" max="3" width="6.28515625" style="4" customWidth="1"/>
    <col min="4" max="4" width="6.28515625" style="59" customWidth="1"/>
    <col min="5" max="5" width="10.140625" style="4" customWidth="1"/>
    <col min="6" max="6" width="25" style="5" customWidth="1"/>
    <col min="7" max="7" width="16.140625" style="5" customWidth="1"/>
    <col min="8" max="8" width="7" style="5" bestFit="1" customWidth="1"/>
    <col min="9" max="9" width="9.42578125" style="5" customWidth="1"/>
    <col min="10" max="10" width="27.28515625" style="14" customWidth="1"/>
    <col min="11" max="11" width="5.7109375" style="5" customWidth="1"/>
    <col min="12" max="14" width="6.7109375" style="5" customWidth="1"/>
    <col min="15" max="15" width="8.140625" style="5" customWidth="1"/>
    <col min="16" max="19" width="6.7109375" style="5" customWidth="1"/>
    <col min="20" max="21" width="8.85546875" style="5" customWidth="1"/>
    <col min="22" max="22" width="7.85546875" style="5" customWidth="1"/>
    <col min="23" max="23" width="5.28515625" style="15" customWidth="1"/>
    <col min="24" max="24" width="8.85546875" style="14" customWidth="1"/>
    <col min="25" max="25" width="8.85546875" style="5" customWidth="1"/>
    <col min="26" max="27" width="8.85546875" style="5" hidden="1" customWidth="1"/>
    <col min="28" max="44" width="18.28515625" style="5" hidden="1" customWidth="1"/>
    <col min="45" max="52" width="11.42578125" style="5" hidden="1" customWidth="1"/>
    <col min="53" max="55" width="11.42578125" style="5" customWidth="1"/>
    <col min="56" max="16384" width="11.42578125" style="5"/>
  </cols>
  <sheetData>
    <row r="1" spans="1:55" s="11" customFormat="1" ht="13.5" customHeight="1" thickTop="1" thickBot="1" x14ac:dyDescent="0.25">
      <c r="A1" s="6" t="s">
        <v>54</v>
      </c>
      <c r="B1" s="7" t="s">
        <v>70</v>
      </c>
      <c r="C1" s="8" t="s">
        <v>0</v>
      </c>
      <c r="D1" s="60" t="s">
        <v>68</v>
      </c>
      <c r="E1" s="9" t="s">
        <v>1</v>
      </c>
      <c r="F1" s="10" t="s">
        <v>3</v>
      </c>
      <c r="G1" s="10" t="s">
        <v>4</v>
      </c>
      <c r="H1" s="10" t="s">
        <v>67</v>
      </c>
      <c r="I1" s="10" t="s">
        <v>6</v>
      </c>
      <c r="J1" s="10" t="s">
        <v>5</v>
      </c>
      <c r="K1" s="10" t="s">
        <v>2</v>
      </c>
      <c r="L1" s="10">
        <v>1</v>
      </c>
      <c r="M1" s="10">
        <v>2</v>
      </c>
      <c r="N1" s="10">
        <v>3</v>
      </c>
      <c r="O1" s="10" t="s">
        <v>7</v>
      </c>
      <c r="P1" s="10">
        <v>1</v>
      </c>
      <c r="Q1" s="10">
        <v>2</v>
      </c>
      <c r="R1" s="10">
        <v>3</v>
      </c>
      <c r="S1" s="10" t="s">
        <v>8</v>
      </c>
      <c r="T1" s="10" t="s">
        <v>9</v>
      </c>
      <c r="U1" s="38" t="s">
        <v>105</v>
      </c>
      <c r="V1" s="107" t="s">
        <v>66</v>
      </c>
      <c r="W1" s="108"/>
      <c r="X1" s="10" t="s">
        <v>11</v>
      </c>
      <c r="Y1" s="43" t="s">
        <v>10</v>
      </c>
      <c r="Z1" s="44"/>
      <c r="AA1" s="17" t="s">
        <v>12</v>
      </c>
      <c r="AB1" s="17" t="s">
        <v>104</v>
      </c>
      <c r="AC1" s="17" t="s">
        <v>55</v>
      </c>
      <c r="AD1" s="17" t="s">
        <v>56</v>
      </c>
      <c r="AE1" s="17" t="s">
        <v>57</v>
      </c>
      <c r="AF1" s="17" t="s">
        <v>58</v>
      </c>
      <c r="AG1" s="17" t="s">
        <v>59</v>
      </c>
      <c r="AH1" s="17" t="s">
        <v>60</v>
      </c>
      <c r="AI1" s="17" t="s">
        <v>61</v>
      </c>
      <c r="AJ1" s="17" t="s">
        <v>62</v>
      </c>
    </row>
    <row r="2" spans="1:55" s="13" customFormat="1" ht="15" hidden="1" customHeight="1" thickBot="1" x14ac:dyDescent="0.25">
      <c r="A2" s="89"/>
      <c r="B2" s="90"/>
      <c r="C2" s="91"/>
      <c r="D2" s="92"/>
      <c r="E2" s="93"/>
      <c r="F2" s="94"/>
      <c r="G2" s="94"/>
      <c r="H2" s="95"/>
      <c r="I2" s="96"/>
      <c r="J2" s="91"/>
      <c r="K2" s="97"/>
      <c r="L2" s="98"/>
      <c r="M2" s="98"/>
      <c r="N2" s="98"/>
      <c r="O2" s="99"/>
      <c r="P2" s="98"/>
      <c r="Q2" s="98"/>
      <c r="R2" s="98"/>
      <c r="S2" s="99"/>
      <c r="T2" s="100"/>
      <c r="U2" s="101"/>
      <c r="V2" s="102"/>
      <c r="W2" s="103"/>
      <c r="X2" s="104"/>
      <c r="Y2" s="105"/>
      <c r="Z2" s="45"/>
      <c r="AA2" s="45" t="s">
        <v>12</v>
      </c>
      <c r="AB2" s="3" t="e">
        <f>T2-HLOOKUP(X2,Feuil1!$C$1:$BL$10,2,FALSE)</f>
        <v>#N/A</v>
      </c>
      <c r="AC2" s="3" t="e">
        <f>T2-HLOOKUP(X2,Feuil1!$C$1:$BL$10,3,FALSE)</f>
        <v>#N/A</v>
      </c>
      <c r="AD2" s="3" t="e">
        <f>T2-HLOOKUP(X2,Feuil1!$C$1:$BL$10,4,FALSE)</f>
        <v>#N/A</v>
      </c>
      <c r="AE2" s="3" t="e">
        <f>T2-HLOOKUP(X2,Feuil1!$C$1:$BL$10,5,FALSE)</f>
        <v>#N/A</v>
      </c>
      <c r="AF2" s="3" t="e">
        <f>T2-HLOOKUP(X2,Feuil1!$C$1:$BL$10,6,FALSE)</f>
        <v>#N/A</v>
      </c>
      <c r="AG2" s="3" t="e">
        <f>T2-HLOOKUP(X2,Feuil1!$C$1:$BL$10,7,FALSE)</f>
        <v>#N/A</v>
      </c>
      <c r="AH2" s="3" t="e">
        <f>T2-HLOOKUP(X2,Feuil1!$C$1:$BL$10,8,FALSE)</f>
        <v>#N/A</v>
      </c>
      <c r="AI2" s="3" t="e">
        <f>T2-HLOOKUP(X2,Feuil1!$C$1:$BL$10,9,FALSE)</f>
        <v>#N/A</v>
      </c>
      <c r="AJ2" s="3" t="e">
        <f>T2-HLOOKUP(X2,Feuil1!$C$1:$BL$10,10,FALSE)</f>
        <v>#N/A</v>
      </c>
      <c r="AK2" s="5"/>
      <c r="AL2" s="5"/>
      <c r="AM2" s="5"/>
      <c r="AN2" s="5"/>
      <c r="AO2" s="5"/>
      <c r="AP2" s="5"/>
      <c r="AQ2" s="5" t="e">
        <f t="shared" ref="AQ2" si="0">IF(AJ2&gt;=0,$AJ$1,IF(AI2&gt;=0,$AI$1,IF(AH2&gt;=0,$AH$1,IF(AG2&gt;=0,$AG$1,IF(AF2&gt;=0,$AF$1,IF(AE2&gt;=0,$AE$1,IF(AD2&gt;=0,$AD$1,IF(AC2&gt;=0,$AC$1,$AB$1))))))))</f>
        <v>#N/A</v>
      </c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</row>
    <row r="3" spans="1:55" s="13" customFormat="1" ht="21" hidden="1" x14ac:dyDescent="0.2">
      <c r="A3" s="12" t="s">
        <v>69</v>
      </c>
      <c r="B3" s="18" t="s">
        <v>721</v>
      </c>
      <c r="C3" s="19" t="s">
        <v>775</v>
      </c>
      <c r="D3" s="61">
        <v>1</v>
      </c>
      <c r="E3" s="35">
        <v>129989</v>
      </c>
      <c r="F3" s="20" t="s">
        <v>781</v>
      </c>
      <c r="G3" s="20" t="s">
        <v>782</v>
      </c>
      <c r="H3" s="51">
        <v>1988</v>
      </c>
      <c r="I3" s="30">
        <v>47.82</v>
      </c>
      <c r="J3" s="19" t="s">
        <v>778</v>
      </c>
      <c r="K3" s="34" t="s">
        <v>69</v>
      </c>
      <c r="L3" s="31">
        <v>73</v>
      </c>
      <c r="M3" s="31">
        <v>75</v>
      </c>
      <c r="N3" s="31">
        <v>-77</v>
      </c>
      <c r="O3" s="36">
        <f t="shared" ref="O3:O23" si="1">IF(H3="","",IF(MAXA(L3:N3)&lt;=0,0,MAXA(L3:N3)))</f>
        <v>75</v>
      </c>
      <c r="P3" s="31">
        <v>93</v>
      </c>
      <c r="Q3" s="31">
        <v>96</v>
      </c>
      <c r="R3" s="31">
        <v>-98</v>
      </c>
      <c r="S3" s="36">
        <f t="shared" ref="S3:S23" si="2">IF(H3="","",IF(MAXA(P3:R3)&lt;=0,0,MAXA(P3:R3)))</f>
        <v>96</v>
      </c>
      <c r="T3" s="37">
        <f t="shared" ref="T3:T23" si="3">IF(H3="","",IF(OR(O3=0,S3=0),0,O3+S3))</f>
        <v>171</v>
      </c>
      <c r="U3" s="65">
        <f t="shared" ref="U3:U23" si="4">T3-I3*2</f>
        <v>75.36</v>
      </c>
      <c r="V3" s="41" t="str">
        <f t="shared" ref="V3:V23" si="5">IF(H3="","",AQ3)</f>
        <v>OLY +</v>
      </c>
      <c r="W3" s="33">
        <f t="shared" ref="W3:W23" si="6">IF(AJ3&gt;=0,AJ3,IF(AI3&gt;=0,AI3,IF(AH3&gt;=0,AH3,IF(AG3&gt;=0,AG3,IF(AF3&gt;=0,AF3,IF(AE3&gt;=0,AE3,IF(AD3&gt;=0,AD3,IF(AC3&gt;=0,AC3,AB3))))))))</f>
        <v>16</v>
      </c>
      <c r="X3" s="40" t="str">
        <f>IF(I3="","",IF(A3="H",IF(OR(H3="SEN",H3&lt;1995),VLOOKUP(I3,Feuil1!$A$11:$F$29,6),IF(AND(H3&gt;1994,H3&lt;1998),VLOOKUP(I3,Feuil1!$A$11:$F$29,5),IF(AND(H3&gt;1997,H3&lt;2000),VLOOKUP(I3,Feuil1!$A$11:$F$29,4),IF(AND(H3&gt;1999,H3&lt;2002),VLOOKUP(I3,Feuil1!$A$11:$F$29,3),VLOOKUP(I3,Feuil1!$A$11:$F$29,2))))),IF(OR(H3="SEN",H3&lt;1995),VLOOKUP(I3,Feuil1!$G$11:$L$25,6),IF(AND(H3&gt;1994,H3&lt;1998),VLOOKUP(I3,Feuil1!$G$11:$L$25,5),IF(AND(H3&gt;1997,H3&lt;2000),VLOOKUP(I3,Feuil1!$G$11:$L$25,4),IF(AND(H3&gt;1999,H3&lt;2002),VLOOKUP(I3,Feuil1!$G$11:$L$25,3),VLOOKUP(I3,Feuil1!$G$11:$L$25,2)))))))</f>
        <v>FS48</v>
      </c>
      <c r="Y3" s="39">
        <f t="shared" ref="Y3:Y23" si="7">IF(I3="","",IF(A3="H",10^(0.794358141*LOG(I3/174.393)^2)*T3,IF(A3="F",10^(0.89726074*LOG(I3/148.026)^2)*T3,"")))</f>
        <v>281.23502817293343</v>
      </c>
      <c r="Z3" s="45"/>
      <c r="AA3" s="49" t="s">
        <v>12</v>
      </c>
      <c r="AB3" s="3">
        <f>T3-HLOOKUP(X3,Feuil1!$C$1:$BL$10,2,FALSE)</f>
        <v>116</v>
      </c>
      <c r="AC3" s="3">
        <f>T3-HLOOKUP(X3,Feuil1!$C$1:$BL$10,3,FALSE)</f>
        <v>106</v>
      </c>
      <c r="AD3" s="3">
        <f>T3-HLOOKUP(X3,Feuil1!$C$1:$BL$10,4,FALSE)</f>
        <v>96</v>
      </c>
      <c r="AE3" s="3">
        <f>T3-HLOOKUP(X3,Feuil1!$C$1:$BL$10,5,FALSE)</f>
        <v>86</v>
      </c>
      <c r="AF3" s="3">
        <f>T3-HLOOKUP(X3,Feuil1!$C$1:$BL$10,6,FALSE)</f>
        <v>76</v>
      </c>
      <c r="AG3" s="3">
        <f>T3-HLOOKUP(X3,Feuil1!$C$1:$BL$10,7,FALSE)</f>
        <v>61</v>
      </c>
      <c r="AH3" s="3">
        <f>T3-HLOOKUP(X3,Feuil1!$C$1:$BL$10,8,FALSE)</f>
        <v>46</v>
      </c>
      <c r="AI3" s="3">
        <f>T3-HLOOKUP(X3,Feuil1!$C$1:$BL$10,9,FALSE)</f>
        <v>31</v>
      </c>
      <c r="AJ3" s="3">
        <f>T3-HLOOKUP(X3,Feuil1!$C$1:$BL$10,10,FALSE)</f>
        <v>16</v>
      </c>
      <c r="AK3" s="5"/>
      <c r="AL3" s="5"/>
      <c r="AM3" s="5"/>
      <c r="AN3" s="5"/>
      <c r="AO3" s="5"/>
      <c r="AP3" s="5"/>
      <c r="AQ3" s="5" t="str">
        <f t="shared" ref="AQ3:AQ23" si="8">IF(AJ3&gt;=0,$AJ$1,IF(AI3&gt;=0,$AI$1,IF(AH3&gt;=0,$AH$1,IF(AG3&gt;=0,$AG$1,IF(AF3&gt;=0,$AF$1,IF(AE3&gt;=0,$AE$1,IF(AD3&gt;=0,$AD$1,IF(AC3&gt;=0,$AC$1,$AB$1))))))))</f>
        <v>OLY +</v>
      </c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</row>
    <row r="4" spans="1:55" ht="21" x14ac:dyDescent="0.2">
      <c r="A4" s="12" t="s">
        <v>69</v>
      </c>
      <c r="B4" s="18" t="s">
        <v>71</v>
      </c>
      <c r="C4" s="19" t="s">
        <v>72</v>
      </c>
      <c r="D4" s="61">
        <v>2</v>
      </c>
      <c r="E4" s="35">
        <v>79011</v>
      </c>
      <c r="F4" s="20" t="s">
        <v>951</v>
      </c>
      <c r="G4" s="20" t="s">
        <v>968</v>
      </c>
      <c r="H4" s="51">
        <v>1990</v>
      </c>
      <c r="I4" s="30">
        <v>46.9</v>
      </c>
      <c r="J4" s="19" t="s">
        <v>938</v>
      </c>
      <c r="K4" s="34" t="s">
        <v>69</v>
      </c>
      <c r="L4" s="31">
        <v>57</v>
      </c>
      <c r="M4" s="31">
        <v>-60</v>
      </c>
      <c r="N4" s="31">
        <v>60</v>
      </c>
      <c r="O4" s="36">
        <f t="shared" si="1"/>
        <v>60</v>
      </c>
      <c r="P4" s="31">
        <v>75</v>
      </c>
      <c r="Q4" s="31">
        <v>78</v>
      </c>
      <c r="R4" s="31">
        <v>80</v>
      </c>
      <c r="S4" s="36">
        <f t="shared" si="2"/>
        <v>80</v>
      </c>
      <c r="T4" s="37">
        <f t="shared" si="3"/>
        <v>140</v>
      </c>
      <c r="U4" s="65">
        <f t="shared" si="4"/>
        <v>46.2</v>
      </c>
      <c r="V4" s="32" t="str">
        <f t="shared" si="5"/>
        <v>INTA +</v>
      </c>
      <c r="W4" s="33">
        <f t="shared" si="6"/>
        <v>0</v>
      </c>
      <c r="X4" s="40" t="str">
        <f>IF(I4="","",IF(A4="H",IF(OR(H4="SEN",H4&lt;1995),VLOOKUP(I4,Feuil1!$A$11:$F$29,6),IF(AND(H4&gt;1994,H4&lt;1998),VLOOKUP(I4,Feuil1!$A$11:$F$29,5),IF(AND(H4&gt;1997,H4&lt;2000),VLOOKUP(I4,Feuil1!$A$11:$F$29,4),IF(AND(H4&gt;1999,H4&lt;2002),VLOOKUP(I4,Feuil1!$A$11:$F$29,3),VLOOKUP(I4,Feuil1!$A$11:$F$29,2))))),IF(OR(H4="SEN",H4&lt;1995),VLOOKUP(I4,Feuil1!$G$11:$L$25,6),IF(AND(H4&gt;1994,H4&lt;1998),VLOOKUP(I4,Feuil1!$G$11:$L$25,5),IF(AND(H4&gt;1997,H4&lt;2000),VLOOKUP(I4,Feuil1!$G$11:$L$25,4),IF(AND(H4&gt;1999,H4&lt;2002),VLOOKUP(I4,Feuil1!$G$11:$L$25,3),VLOOKUP(I4,Feuil1!$G$11:$L$25,2)))))))</f>
        <v>FS48</v>
      </c>
      <c r="Y4" s="39">
        <f t="shared" si="7"/>
        <v>234.25818695348539</v>
      </c>
      <c r="Z4" s="45"/>
      <c r="AA4" s="49" t="s">
        <v>12</v>
      </c>
      <c r="AB4" s="3">
        <f>T4-HLOOKUP(X4,Feuil1!$C$1:$BL$10,2,FALSE)</f>
        <v>85</v>
      </c>
      <c r="AC4" s="3">
        <f>T4-HLOOKUP(X4,Feuil1!$C$1:$BL$10,3,FALSE)</f>
        <v>75</v>
      </c>
      <c r="AD4" s="3">
        <f>T4-HLOOKUP(X4,Feuil1!$C$1:$BL$10,4,FALSE)</f>
        <v>65</v>
      </c>
      <c r="AE4" s="3">
        <f>T4-HLOOKUP(X4,Feuil1!$C$1:$BL$10,5,FALSE)</f>
        <v>55</v>
      </c>
      <c r="AF4" s="3">
        <f>T4-HLOOKUP(X4,Feuil1!$C$1:$BL$10,6,FALSE)</f>
        <v>45</v>
      </c>
      <c r="AG4" s="3">
        <f>T4-HLOOKUP(X4,Feuil1!$C$1:$BL$10,7,FALSE)</f>
        <v>30</v>
      </c>
      <c r="AH4" s="3">
        <f>T4-HLOOKUP(X4,Feuil1!$C$1:$BL$10,8,FALSE)</f>
        <v>15</v>
      </c>
      <c r="AI4" s="3">
        <f>T4-HLOOKUP(X4,Feuil1!$C$1:$BL$10,9,FALSE)</f>
        <v>0</v>
      </c>
      <c r="AJ4" s="3">
        <f>T4-HLOOKUP(X4,Feuil1!$C$1:$BL$10,10,FALSE)</f>
        <v>-15</v>
      </c>
      <c r="AQ4" s="5" t="str">
        <f t="shared" si="8"/>
        <v>INTA +</v>
      </c>
    </row>
    <row r="5" spans="1:55" ht="21" x14ac:dyDescent="0.2">
      <c r="A5" s="12" t="s">
        <v>69</v>
      </c>
      <c r="B5" s="18" t="s">
        <v>649</v>
      </c>
      <c r="C5" s="19" t="s">
        <v>648</v>
      </c>
      <c r="D5" s="61">
        <v>3</v>
      </c>
      <c r="E5" s="35">
        <v>94140</v>
      </c>
      <c r="F5" s="20" t="s">
        <v>650</v>
      </c>
      <c r="G5" s="20" t="s">
        <v>651</v>
      </c>
      <c r="H5" s="51">
        <v>1978</v>
      </c>
      <c r="I5" s="30">
        <v>48</v>
      </c>
      <c r="J5" s="19" t="s">
        <v>652</v>
      </c>
      <c r="K5" s="34" t="s">
        <v>69</v>
      </c>
      <c r="L5" s="31">
        <v>55</v>
      </c>
      <c r="M5" s="31">
        <v>60</v>
      </c>
      <c r="N5" s="31">
        <v>-65</v>
      </c>
      <c r="O5" s="36">
        <f t="shared" si="1"/>
        <v>60</v>
      </c>
      <c r="P5" s="31">
        <v>65</v>
      </c>
      <c r="Q5" s="31">
        <v>70</v>
      </c>
      <c r="R5" s="31">
        <v>-75</v>
      </c>
      <c r="S5" s="36">
        <f t="shared" si="2"/>
        <v>70</v>
      </c>
      <c r="T5" s="37">
        <f t="shared" si="3"/>
        <v>130</v>
      </c>
      <c r="U5" s="65">
        <f t="shared" si="4"/>
        <v>34</v>
      </c>
      <c r="V5" s="41" t="str">
        <f t="shared" si="5"/>
        <v>INTB +</v>
      </c>
      <c r="W5" s="33">
        <f t="shared" si="6"/>
        <v>5</v>
      </c>
      <c r="X5" s="40" t="str">
        <f>IF(I5="","",IF(A5="H",IF(OR(H5="SEN",H5&lt;1995),VLOOKUP(I5,Feuil1!$A$11:$F$29,6),IF(AND(H5&gt;1994,H5&lt;1998),VLOOKUP(I5,Feuil1!$A$11:$F$29,5),IF(AND(H5&gt;1997,H5&lt;2000),VLOOKUP(I5,Feuil1!$A$11:$F$29,4),IF(AND(H5&gt;1999,H5&lt;2002),VLOOKUP(I5,Feuil1!$A$11:$F$29,3),VLOOKUP(I5,Feuil1!$A$11:$F$29,2))))),IF(OR(H5="SEN",H5&lt;1995),VLOOKUP(I5,Feuil1!$G$11:$L$25,6),IF(AND(H5&gt;1994,H5&lt;1998),VLOOKUP(I5,Feuil1!$G$11:$L$25,5),IF(AND(H5&gt;1997,H5&lt;2000),VLOOKUP(I5,Feuil1!$G$11:$L$25,4),IF(AND(H5&gt;1999,H5&lt;2002),VLOOKUP(I5,Feuil1!$G$11:$L$25,3),VLOOKUP(I5,Feuil1!$G$11:$L$25,2)))))))</f>
        <v>FS48</v>
      </c>
      <c r="Y5" s="39">
        <f t="shared" si="7"/>
        <v>213.09936744472682</v>
      </c>
      <c r="Z5" s="45"/>
      <c r="AA5" s="49" t="s">
        <v>12</v>
      </c>
      <c r="AB5" s="3">
        <f>T5-HLOOKUP(X5,Feuil1!$C$1:$BL$10,2,FALSE)</f>
        <v>75</v>
      </c>
      <c r="AC5" s="3">
        <f>T5-HLOOKUP(X5,Feuil1!$C$1:$BL$10,3,FALSE)</f>
        <v>65</v>
      </c>
      <c r="AD5" s="3">
        <f>T5-HLOOKUP(X5,Feuil1!$C$1:$BL$10,4,FALSE)</f>
        <v>55</v>
      </c>
      <c r="AE5" s="3">
        <f>T5-HLOOKUP(X5,Feuil1!$C$1:$BL$10,5,FALSE)</f>
        <v>45</v>
      </c>
      <c r="AF5" s="3">
        <f>T5-HLOOKUP(X5,Feuil1!$C$1:$BL$10,6,FALSE)</f>
        <v>35</v>
      </c>
      <c r="AG5" s="3">
        <f>T5-HLOOKUP(X5,Feuil1!$C$1:$BL$10,7,FALSE)</f>
        <v>20</v>
      </c>
      <c r="AH5" s="3">
        <f>T5-HLOOKUP(X5,Feuil1!$C$1:$BL$10,8,FALSE)</f>
        <v>5</v>
      </c>
      <c r="AI5" s="3">
        <f>T5-HLOOKUP(X5,Feuil1!$C$1:$BL$10,9,FALSE)</f>
        <v>-10</v>
      </c>
      <c r="AJ5" s="3">
        <f>T5-HLOOKUP(X5,Feuil1!$C$1:$BL$10,10,FALSE)</f>
        <v>-25</v>
      </c>
      <c r="AQ5" s="5" t="str">
        <f t="shared" si="8"/>
        <v>INTB +</v>
      </c>
      <c r="BC5" s="13"/>
    </row>
    <row r="6" spans="1:55" ht="21" hidden="1" x14ac:dyDescent="0.2">
      <c r="A6" s="12" t="s">
        <v>69</v>
      </c>
      <c r="B6" s="18" t="s">
        <v>71</v>
      </c>
      <c r="C6" s="19" t="s">
        <v>72</v>
      </c>
      <c r="D6" s="61">
        <v>4</v>
      </c>
      <c r="E6" s="35">
        <v>21779</v>
      </c>
      <c r="F6" s="21" t="s">
        <v>988</v>
      </c>
      <c r="G6" s="20" t="s">
        <v>989</v>
      </c>
      <c r="H6" s="51">
        <v>1972</v>
      </c>
      <c r="I6" s="30">
        <v>47.8</v>
      </c>
      <c r="J6" s="19" t="s">
        <v>990</v>
      </c>
      <c r="K6" s="34" t="s">
        <v>69</v>
      </c>
      <c r="L6" s="31">
        <v>44</v>
      </c>
      <c r="M6" s="31">
        <v>46</v>
      </c>
      <c r="N6" s="31">
        <v>49</v>
      </c>
      <c r="O6" s="36">
        <f t="shared" si="1"/>
        <v>49</v>
      </c>
      <c r="P6" s="31">
        <v>58</v>
      </c>
      <c r="Q6" s="31">
        <v>61</v>
      </c>
      <c r="R6" s="31">
        <v>-63</v>
      </c>
      <c r="S6" s="36">
        <f t="shared" si="2"/>
        <v>61</v>
      </c>
      <c r="T6" s="37">
        <f t="shared" si="3"/>
        <v>110</v>
      </c>
      <c r="U6" s="65">
        <f t="shared" si="4"/>
        <v>14.400000000000006</v>
      </c>
      <c r="V6" s="32" t="str">
        <f t="shared" si="5"/>
        <v>NAT +</v>
      </c>
      <c r="W6" s="33">
        <f t="shared" si="6"/>
        <v>0</v>
      </c>
      <c r="X6" s="40" t="str">
        <f>IF(I6="","",IF(A6="H",IF(OR(H6="SEN",H6&lt;1995),VLOOKUP(I6,Feuil1!$A$11:$F$29,6),IF(AND(H6&gt;1994,H6&lt;1998),VLOOKUP(I6,Feuil1!$A$11:$F$29,5),IF(AND(H6&gt;1997,H6&lt;2000),VLOOKUP(I6,Feuil1!$A$11:$F$29,4),IF(AND(H6&gt;1999,H6&lt;2002),VLOOKUP(I6,Feuil1!$A$11:$F$29,3),VLOOKUP(I6,Feuil1!$A$11:$F$29,2))))),IF(OR(H6="SEN",H6&lt;1995),VLOOKUP(I6,Feuil1!$G$11:$L$25,6),IF(AND(H6&gt;1994,H6&lt;1998),VLOOKUP(I6,Feuil1!$G$11:$L$25,5),IF(AND(H6&gt;1997,H6&lt;2000),VLOOKUP(I6,Feuil1!$G$11:$L$25,4),IF(AND(H6&gt;1999,H6&lt;2002),VLOOKUP(I6,Feuil1!$G$11:$L$25,3),VLOOKUP(I6,Feuil1!$G$11:$L$25,2)))))))</f>
        <v>FS48</v>
      </c>
      <c r="Y6" s="39">
        <f t="shared" si="7"/>
        <v>180.97809118135024</v>
      </c>
      <c r="Z6" s="45"/>
      <c r="AA6" s="49" t="s">
        <v>12</v>
      </c>
      <c r="AB6" s="3">
        <f>T6-HLOOKUP(X6,Feuil1!$C$1:$BL$10,2,FALSE)</f>
        <v>55</v>
      </c>
      <c r="AC6" s="3">
        <f>T6-HLOOKUP(X6,Feuil1!$C$1:$BL$10,3,FALSE)</f>
        <v>45</v>
      </c>
      <c r="AD6" s="3">
        <f>T6-HLOOKUP(X6,Feuil1!$C$1:$BL$10,4,FALSE)</f>
        <v>35</v>
      </c>
      <c r="AE6" s="3">
        <f>T6-HLOOKUP(X6,Feuil1!$C$1:$BL$10,5,FALSE)</f>
        <v>25</v>
      </c>
      <c r="AF6" s="3">
        <f>T6-HLOOKUP(X6,Feuil1!$C$1:$BL$10,6,FALSE)</f>
        <v>15</v>
      </c>
      <c r="AG6" s="3">
        <f>T6-HLOOKUP(X6,Feuil1!$C$1:$BL$10,7,FALSE)</f>
        <v>0</v>
      </c>
      <c r="AH6" s="3">
        <f>T6-HLOOKUP(X6,Feuil1!$C$1:$BL$10,8,FALSE)</f>
        <v>-15</v>
      </c>
      <c r="AI6" s="3">
        <f>T6-HLOOKUP(X6,Feuil1!$C$1:$BL$10,9,FALSE)</f>
        <v>-30</v>
      </c>
      <c r="AJ6" s="3">
        <f>T6-HLOOKUP(X6,Feuil1!$C$1:$BL$10,10,FALSE)</f>
        <v>-45</v>
      </c>
      <c r="AQ6" s="5" t="str">
        <f t="shared" si="8"/>
        <v>NAT +</v>
      </c>
    </row>
    <row r="7" spans="1:55" ht="21" hidden="1" x14ac:dyDescent="0.2">
      <c r="A7" s="12" t="s">
        <v>69</v>
      </c>
      <c r="B7" s="18" t="s">
        <v>298</v>
      </c>
      <c r="C7" s="19" t="s">
        <v>476</v>
      </c>
      <c r="D7" s="61">
        <v>5</v>
      </c>
      <c r="E7" s="35">
        <v>167624</v>
      </c>
      <c r="F7" s="20" t="s">
        <v>526</v>
      </c>
      <c r="G7" s="20" t="s">
        <v>486</v>
      </c>
      <c r="H7" s="51">
        <v>1990</v>
      </c>
      <c r="I7" s="30">
        <v>46.2</v>
      </c>
      <c r="J7" s="19" t="s">
        <v>503</v>
      </c>
      <c r="K7" s="34" t="s">
        <v>69</v>
      </c>
      <c r="L7" s="31">
        <v>42</v>
      </c>
      <c r="M7" s="31">
        <v>45</v>
      </c>
      <c r="N7" s="31">
        <v>47</v>
      </c>
      <c r="O7" s="36">
        <f t="shared" si="1"/>
        <v>47</v>
      </c>
      <c r="P7" s="31">
        <v>52</v>
      </c>
      <c r="Q7" s="31">
        <v>55</v>
      </c>
      <c r="R7" s="31">
        <v>57</v>
      </c>
      <c r="S7" s="36">
        <f t="shared" si="2"/>
        <v>57</v>
      </c>
      <c r="T7" s="37">
        <f t="shared" si="3"/>
        <v>104</v>
      </c>
      <c r="U7" s="65">
        <f t="shared" si="4"/>
        <v>11.599999999999994</v>
      </c>
      <c r="V7" s="41" t="str">
        <f t="shared" si="5"/>
        <v>FED +</v>
      </c>
      <c r="W7" s="33">
        <f t="shared" si="6"/>
        <v>9</v>
      </c>
      <c r="X7" s="40" t="str">
        <f>IF(I7="","",IF(A7="H",IF(OR(H7="SEN",H7&lt;1995),VLOOKUP(I7,Feuil1!$A$11:$F$29,6),IF(AND(H7&gt;1994,H7&lt;1998),VLOOKUP(I7,Feuil1!$A$11:$F$29,5),IF(AND(H7&gt;1997,H7&lt;2000),VLOOKUP(I7,Feuil1!$A$11:$F$29,4),IF(AND(H7&gt;1999,H7&lt;2002),VLOOKUP(I7,Feuil1!$A$11:$F$29,3),VLOOKUP(I7,Feuil1!$A$11:$F$29,2))))),IF(OR(H7="SEN",H7&lt;1995),VLOOKUP(I7,Feuil1!$G$11:$L$25,6),IF(AND(H7&gt;1994,H7&lt;1998),VLOOKUP(I7,Feuil1!$G$11:$L$25,5),IF(AND(H7&gt;1997,H7&lt;2000),VLOOKUP(I7,Feuil1!$G$11:$L$25,4),IF(AND(H7&gt;1999,H7&lt;2002),VLOOKUP(I7,Feuil1!$G$11:$L$25,3),VLOOKUP(I7,Feuil1!$G$11:$L$25,2)))))))</f>
        <v>FS48</v>
      </c>
      <c r="Y7" s="39">
        <f t="shared" si="7"/>
        <v>176.39588844685454</v>
      </c>
      <c r="Z7" s="45"/>
      <c r="AA7" s="49" t="s">
        <v>12</v>
      </c>
      <c r="AB7" s="3">
        <f>T7-HLOOKUP(X7,Feuil1!$C$1:$BL$10,2,FALSE)</f>
        <v>49</v>
      </c>
      <c r="AC7" s="3">
        <f>T7-HLOOKUP(X7,Feuil1!$C$1:$BL$10,3,FALSE)</f>
        <v>39</v>
      </c>
      <c r="AD7" s="3">
        <f>T7-HLOOKUP(X7,Feuil1!$C$1:$BL$10,4,FALSE)</f>
        <v>29</v>
      </c>
      <c r="AE7" s="3">
        <f>T7-HLOOKUP(X7,Feuil1!$C$1:$BL$10,5,FALSE)</f>
        <v>19</v>
      </c>
      <c r="AF7" s="3">
        <f>T7-HLOOKUP(X7,Feuil1!$C$1:$BL$10,6,FALSE)</f>
        <v>9</v>
      </c>
      <c r="AG7" s="3">
        <f>T7-HLOOKUP(X7,Feuil1!$C$1:$BL$10,7,FALSE)</f>
        <v>-6</v>
      </c>
      <c r="AH7" s="3">
        <f>T7-HLOOKUP(X7,Feuil1!$C$1:$BL$10,8,FALSE)</f>
        <v>-21</v>
      </c>
      <c r="AI7" s="3">
        <f>T7-HLOOKUP(X7,Feuil1!$C$1:$BL$10,9,FALSE)</f>
        <v>-36</v>
      </c>
      <c r="AJ7" s="3">
        <f>T7-HLOOKUP(X7,Feuil1!$C$1:$BL$10,10,FALSE)</f>
        <v>-51</v>
      </c>
      <c r="AQ7" s="5" t="str">
        <f t="shared" si="8"/>
        <v>FED +</v>
      </c>
      <c r="BC7" s="13"/>
    </row>
    <row r="8" spans="1:55" ht="21" hidden="1" x14ac:dyDescent="0.2">
      <c r="A8" s="12" t="s">
        <v>69</v>
      </c>
      <c r="B8" s="18" t="s">
        <v>298</v>
      </c>
      <c r="C8" s="19" t="s">
        <v>404</v>
      </c>
      <c r="D8" s="61">
        <v>6</v>
      </c>
      <c r="E8" s="35">
        <v>368810</v>
      </c>
      <c r="F8" s="20" t="s">
        <v>444</v>
      </c>
      <c r="G8" s="20" t="s">
        <v>445</v>
      </c>
      <c r="H8" s="51">
        <v>1989</v>
      </c>
      <c r="I8" s="30">
        <v>48</v>
      </c>
      <c r="J8" s="19" t="s">
        <v>406</v>
      </c>
      <c r="K8" s="34" t="s">
        <v>446</v>
      </c>
      <c r="L8" s="31">
        <v>-47</v>
      </c>
      <c r="M8" s="31">
        <v>47</v>
      </c>
      <c r="N8" s="31">
        <v>-50</v>
      </c>
      <c r="O8" s="36">
        <f t="shared" si="1"/>
        <v>47</v>
      </c>
      <c r="P8" s="31">
        <v>50</v>
      </c>
      <c r="Q8" s="31">
        <v>54</v>
      </c>
      <c r="R8" s="31">
        <v>-58</v>
      </c>
      <c r="S8" s="36">
        <f t="shared" si="2"/>
        <v>54</v>
      </c>
      <c r="T8" s="37">
        <f t="shared" si="3"/>
        <v>101</v>
      </c>
      <c r="U8" s="65">
        <f t="shared" si="4"/>
        <v>5</v>
      </c>
      <c r="V8" s="41" t="str">
        <f t="shared" si="5"/>
        <v>FED +</v>
      </c>
      <c r="W8" s="33">
        <f t="shared" si="6"/>
        <v>6</v>
      </c>
      <c r="X8" s="40" t="str">
        <f>IF(I8="","",IF(A8="H",IF(OR(H8="SEN",H8&lt;1995),VLOOKUP(I8,Feuil1!$A$11:$F$29,6),IF(AND(H8&gt;1994,H8&lt;1998),VLOOKUP(I8,Feuil1!$A$11:$F$29,5),IF(AND(H8&gt;1997,H8&lt;2000),VLOOKUP(I8,Feuil1!$A$11:$F$29,4),IF(AND(H8&gt;1999,H8&lt;2002),VLOOKUP(I8,Feuil1!$A$11:$F$29,3),VLOOKUP(I8,Feuil1!$A$11:$F$29,2))))),IF(OR(H8="SEN",H8&lt;1995),VLOOKUP(I8,Feuil1!$G$11:$L$25,6),IF(AND(H8&gt;1994,H8&lt;1998),VLOOKUP(I8,Feuil1!$G$11:$L$25,5),IF(AND(H8&gt;1997,H8&lt;2000),VLOOKUP(I8,Feuil1!$G$11:$L$25,4),IF(AND(H8&gt;1999,H8&lt;2002),VLOOKUP(I8,Feuil1!$G$11:$L$25,3),VLOOKUP(I8,Feuil1!$G$11:$L$25,2)))))))</f>
        <v>FS48</v>
      </c>
      <c r="Y8" s="39">
        <f t="shared" si="7"/>
        <v>165.56181624551851</v>
      </c>
      <c r="Z8" s="45"/>
      <c r="AA8" s="49" t="s">
        <v>12</v>
      </c>
      <c r="AB8" s="3">
        <f>T8-HLOOKUP(X8,Feuil1!$C$1:$BL$10,2,FALSE)</f>
        <v>46</v>
      </c>
      <c r="AC8" s="3">
        <f>T8-HLOOKUP(X8,Feuil1!$C$1:$BL$10,3,FALSE)</f>
        <v>36</v>
      </c>
      <c r="AD8" s="3">
        <f>T8-HLOOKUP(X8,Feuil1!$C$1:$BL$10,4,FALSE)</f>
        <v>26</v>
      </c>
      <c r="AE8" s="3">
        <f>T8-HLOOKUP(X8,Feuil1!$C$1:$BL$10,5,FALSE)</f>
        <v>16</v>
      </c>
      <c r="AF8" s="3">
        <f>T8-HLOOKUP(X8,Feuil1!$C$1:$BL$10,6,FALSE)</f>
        <v>6</v>
      </c>
      <c r="AG8" s="3">
        <f>T8-HLOOKUP(X8,Feuil1!$C$1:$BL$10,7,FALSE)</f>
        <v>-9</v>
      </c>
      <c r="AH8" s="3">
        <f>T8-HLOOKUP(X8,Feuil1!$C$1:$BL$10,8,FALSE)</f>
        <v>-24</v>
      </c>
      <c r="AI8" s="3">
        <f>T8-HLOOKUP(X8,Feuil1!$C$1:$BL$10,9,FALSE)</f>
        <v>-39</v>
      </c>
      <c r="AJ8" s="3">
        <f>T8-HLOOKUP(X8,Feuil1!$C$1:$BL$10,10,FALSE)</f>
        <v>-54</v>
      </c>
      <c r="AQ8" s="5" t="str">
        <f t="shared" si="8"/>
        <v>FED +</v>
      </c>
    </row>
    <row r="9" spans="1:55" ht="21" hidden="1" x14ac:dyDescent="0.2">
      <c r="A9" s="12" t="s">
        <v>69</v>
      </c>
      <c r="B9" s="18" t="s">
        <v>536</v>
      </c>
      <c r="C9" s="19" t="s">
        <v>621</v>
      </c>
      <c r="D9" s="61">
        <v>7</v>
      </c>
      <c r="E9" s="35">
        <v>86179</v>
      </c>
      <c r="F9" s="20" t="s">
        <v>624</v>
      </c>
      <c r="G9" s="20" t="s">
        <v>625</v>
      </c>
      <c r="H9" s="51">
        <v>1983</v>
      </c>
      <c r="I9" s="30">
        <v>44.1</v>
      </c>
      <c r="J9" s="19" t="s">
        <v>626</v>
      </c>
      <c r="K9" s="34" t="s">
        <v>69</v>
      </c>
      <c r="L9" s="31">
        <v>43</v>
      </c>
      <c r="M9" s="31">
        <v>45</v>
      </c>
      <c r="N9" s="31">
        <v>46</v>
      </c>
      <c r="O9" s="36">
        <f t="shared" si="1"/>
        <v>46</v>
      </c>
      <c r="P9" s="31">
        <v>50</v>
      </c>
      <c r="Q9" s="31">
        <v>53</v>
      </c>
      <c r="R9" s="31">
        <v>-55</v>
      </c>
      <c r="S9" s="36">
        <f t="shared" si="2"/>
        <v>53</v>
      </c>
      <c r="T9" s="37">
        <f t="shared" si="3"/>
        <v>99</v>
      </c>
      <c r="U9" s="65">
        <f t="shared" si="4"/>
        <v>10.799999999999997</v>
      </c>
      <c r="V9" s="41" t="str">
        <f t="shared" si="5"/>
        <v>FED +</v>
      </c>
      <c r="W9" s="33">
        <f t="shared" si="6"/>
        <v>4</v>
      </c>
      <c r="X9" s="40" t="str">
        <f>IF(I9="","",IF(A9="H",IF(OR(H9="SEN",H9&lt;1995),VLOOKUP(I9,Feuil1!$A$11:$F$29,6),IF(AND(H9&gt;1994,H9&lt;1998),VLOOKUP(I9,Feuil1!$A$11:$F$29,5),IF(AND(H9&gt;1997,H9&lt;2000),VLOOKUP(I9,Feuil1!$A$11:$F$29,4),IF(AND(H9&gt;1999,H9&lt;2002),VLOOKUP(I9,Feuil1!$A$11:$F$29,3),VLOOKUP(I9,Feuil1!$A$11:$F$29,2))))),IF(OR(H9="SEN",H9&lt;1995),VLOOKUP(I9,Feuil1!$G$11:$L$25,6),IF(AND(H9&gt;1994,H9&lt;1998),VLOOKUP(I9,Feuil1!$G$11:$L$25,5),IF(AND(H9&gt;1997,H9&lt;2000),VLOOKUP(I9,Feuil1!$G$11:$L$25,4),IF(AND(H9&gt;1999,H9&lt;2002),VLOOKUP(I9,Feuil1!$G$11:$L$25,3),VLOOKUP(I9,Feuil1!$G$11:$L$25,2)))))))</f>
        <v>FS48</v>
      </c>
      <c r="Y9" s="39">
        <f t="shared" si="7"/>
        <v>175.30357442082504</v>
      </c>
      <c r="Z9" s="45"/>
      <c r="AA9" s="49" t="s">
        <v>12</v>
      </c>
      <c r="AB9" s="3">
        <f>T9-HLOOKUP(X9,Feuil1!$C$1:$BL$10,2,FALSE)</f>
        <v>44</v>
      </c>
      <c r="AC9" s="3">
        <f>T9-HLOOKUP(X9,Feuil1!$C$1:$BL$10,3,FALSE)</f>
        <v>34</v>
      </c>
      <c r="AD9" s="3">
        <f>T9-HLOOKUP(X9,Feuil1!$C$1:$BL$10,4,FALSE)</f>
        <v>24</v>
      </c>
      <c r="AE9" s="3">
        <f>T9-HLOOKUP(X9,Feuil1!$C$1:$BL$10,5,FALSE)</f>
        <v>14</v>
      </c>
      <c r="AF9" s="3">
        <f>T9-HLOOKUP(X9,Feuil1!$C$1:$BL$10,6,FALSE)</f>
        <v>4</v>
      </c>
      <c r="AG9" s="3">
        <f>T9-HLOOKUP(X9,Feuil1!$C$1:$BL$10,7,FALSE)</f>
        <v>-11</v>
      </c>
      <c r="AH9" s="3">
        <f>T9-HLOOKUP(X9,Feuil1!$C$1:$BL$10,8,FALSE)</f>
        <v>-26</v>
      </c>
      <c r="AI9" s="3">
        <f>T9-HLOOKUP(X9,Feuil1!$C$1:$BL$10,9,FALSE)</f>
        <v>-41</v>
      </c>
      <c r="AJ9" s="3">
        <f>T9-HLOOKUP(X9,Feuil1!$C$1:$BL$10,10,FALSE)</f>
        <v>-56</v>
      </c>
      <c r="AQ9" s="5" t="str">
        <f t="shared" si="8"/>
        <v>FED +</v>
      </c>
      <c r="BC9" s="13"/>
    </row>
    <row r="10" spans="1:55" ht="21" hidden="1" x14ac:dyDescent="0.2">
      <c r="A10" s="12" t="s">
        <v>69</v>
      </c>
      <c r="B10" s="18" t="s">
        <v>721</v>
      </c>
      <c r="C10" s="19" t="s">
        <v>745</v>
      </c>
      <c r="D10" s="61">
        <v>8</v>
      </c>
      <c r="E10" s="35">
        <v>270512</v>
      </c>
      <c r="F10" s="20" t="s">
        <v>757</v>
      </c>
      <c r="G10" s="20" t="s">
        <v>758</v>
      </c>
      <c r="H10" s="57">
        <v>1965</v>
      </c>
      <c r="I10" s="30">
        <v>47.9</v>
      </c>
      <c r="J10" s="19" t="s">
        <v>748</v>
      </c>
      <c r="K10" s="34" t="s">
        <v>69</v>
      </c>
      <c r="L10" s="31">
        <v>40</v>
      </c>
      <c r="M10" s="31">
        <v>42</v>
      </c>
      <c r="N10" s="31">
        <v>44</v>
      </c>
      <c r="O10" s="36">
        <f t="shared" si="1"/>
        <v>44</v>
      </c>
      <c r="P10" s="31">
        <v>47</v>
      </c>
      <c r="Q10" s="31">
        <v>50</v>
      </c>
      <c r="R10" s="31">
        <v>-51</v>
      </c>
      <c r="S10" s="36">
        <f t="shared" si="2"/>
        <v>50</v>
      </c>
      <c r="T10" s="37">
        <f t="shared" si="3"/>
        <v>94</v>
      </c>
      <c r="U10" s="65">
        <f t="shared" si="4"/>
        <v>-1.7999999999999972</v>
      </c>
      <c r="V10" s="41" t="str">
        <f t="shared" si="5"/>
        <v>IRG +</v>
      </c>
      <c r="W10" s="33">
        <f t="shared" si="6"/>
        <v>9</v>
      </c>
      <c r="X10" s="40" t="str">
        <f>IF(I10="","",IF(A10="H",IF(OR(H10="SEN",H10&lt;1995),VLOOKUP(I10,Feuil1!$A$11:$F$29,6),IF(AND(H10&gt;1994,H10&lt;1998),VLOOKUP(I10,Feuil1!$A$11:$F$29,5),IF(AND(H10&gt;1997,H10&lt;2000),VLOOKUP(I10,Feuil1!$A$11:$F$29,4),IF(AND(H10&gt;1999,H10&lt;2002),VLOOKUP(I10,Feuil1!$A$11:$F$29,3),VLOOKUP(I10,Feuil1!$A$11:$F$29,2))))),IF(OR(H10="SEN",H10&lt;1995),VLOOKUP(I10,Feuil1!$G$11:$L$25,6),IF(AND(H10&gt;1994,H10&lt;1998),VLOOKUP(I10,Feuil1!$G$11:$L$25,5),IF(AND(H10&gt;1997,H10&lt;2000),VLOOKUP(I10,Feuil1!$G$11:$L$25,4),IF(AND(H10&gt;1999,H10&lt;2002),VLOOKUP(I10,Feuil1!$G$11:$L$25,3),VLOOKUP(I10,Feuil1!$G$11:$L$25,2)))))))</f>
        <v>FS48</v>
      </c>
      <c r="Y10" s="39">
        <f t="shared" si="7"/>
        <v>154.36980195836958</v>
      </c>
      <c r="Z10" s="45"/>
      <c r="AA10" s="49" t="s">
        <v>12</v>
      </c>
      <c r="AB10" s="3">
        <f>T10-HLOOKUP(X10,Feuil1!$C$1:$BL$10,2,FALSE)</f>
        <v>39</v>
      </c>
      <c r="AC10" s="3">
        <f>T10-HLOOKUP(X10,Feuil1!$C$1:$BL$10,3,FALSE)</f>
        <v>29</v>
      </c>
      <c r="AD10" s="3">
        <f>T10-HLOOKUP(X10,Feuil1!$C$1:$BL$10,4,FALSE)</f>
        <v>19</v>
      </c>
      <c r="AE10" s="3">
        <f>T10-HLOOKUP(X10,Feuil1!$C$1:$BL$10,5,FALSE)</f>
        <v>9</v>
      </c>
      <c r="AF10" s="3">
        <f>T10-HLOOKUP(X10,Feuil1!$C$1:$BL$10,6,FALSE)</f>
        <v>-1</v>
      </c>
      <c r="AG10" s="3">
        <f>T10-HLOOKUP(X10,Feuil1!$C$1:$BL$10,7,FALSE)</f>
        <v>-16</v>
      </c>
      <c r="AH10" s="3">
        <f>T10-HLOOKUP(X10,Feuil1!$C$1:$BL$10,8,FALSE)</f>
        <v>-31</v>
      </c>
      <c r="AI10" s="3">
        <f>T10-HLOOKUP(X10,Feuil1!$C$1:$BL$10,9,FALSE)</f>
        <v>-46</v>
      </c>
      <c r="AJ10" s="3">
        <f>T10-HLOOKUP(X10,Feuil1!$C$1:$BL$10,10,FALSE)</f>
        <v>-61</v>
      </c>
      <c r="AQ10" s="5" t="str">
        <f t="shared" si="8"/>
        <v>IRG +</v>
      </c>
    </row>
    <row r="11" spans="1:55" ht="21" hidden="1" x14ac:dyDescent="0.2">
      <c r="A11" s="12" t="s">
        <v>69</v>
      </c>
      <c r="B11" s="18" t="s">
        <v>298</v>
      </c>
      <c r="C11" s="19" t="s">
        <v>299</v>
      </c>
      <c r="D11" s="61">
        <v>9</v>
      </c>
      <c r="E11" s="35">
        <v>304799</v>
      </c>
      <c r="F11" s="20" t="s">
        <v>320</v>
      </c>
      <c r="G11" s="20" t="s">
        <v>321</v>
      </c>
      <c r="H11" s="51">
        <v>1977</v>
      </c>
      <c r="I11" s="30">
        <v>48</v>
      </c>
      <c r="J11" s="19" t="s">
        <v>322</v>
      </c>
      <c r="K11" s="34" t="s">
        <v>69</v>
      </c>
      <c r="L11" s="31">
        <v>35</v>
      </c>
      <c r="M11" s="31">
        <v>37</v>
      </c>
      <c r="N11" s="31">
        <v>38</v>
      </c>
      <c r="O11" s="36">
        <f t="shared" si="1"/>
        <v>38</v>
      </c>
      <c r="P11" s="31">
        <v>45</v>
      </c>
      <c r="Q11" s="31">
        <v>47</v>
      </c>
      <c r="R11" s="31">
        <v>-49</v>
      </c>
      <c r="S11" s="36">
        <f t="shared" si="2"/>
        <v>47</v>
      </c>
      <c r="T11" s="37">
        <f t="shared" si="3"/>
        <v>85</v>
      </c>
      <c r="U11" s="65">
        <f t="shared" si="4"/>
        <v>-11</v>
      </c>
      <c r="V11" s="41" t="str">
        <f t="shared" si="5"/>
        <v>IRG +</v>
      </c>
      <c r="W11" s="33">
        <f t="shared" si="6"/>
        <v>0</v>
      </c>
      <c r="X11" s="40" t="str">
        <f>IF(I11="","",IF(A11="H",IF(OR(H11="SEN",H11&lt;1995),VLOOKUP(I11,Feuil1!$A$11:$F$29,6),IF(AND(H11&gt;1994,H11&lt;1998),VLOOKUP(I11,Feuil1!$A$11:$F$29,5),IF(AND(H11&gt;1997,H11&lt;2000),VLOOKUP(I11,Feuil1!$A$11:$F$29,4),IF(AND(H11&gt;1999,H11&lt;2002),VLOOKUP(I11,Feuil1!$A$11:$F$29,3),VLOOKUP(I11,Feuil1!$A$11:$F$29,2))))),IF(OR(H11="SEN",H11&lt;1995),VLOOKUP(I11,Feuil1!$G$11:$L$25,6),IF(AND(H11&gt;1994,H11&lt;1998),VLOOKUP(I11,Feuil1!$G$11:$L$25,5),IF(AND(H11&gt;1997,H11&lt;2000),VLOOKUP(I11,Feuil1!$G$11:$L$25,4),IF(AND(H11&gt;1999,H11&lt;2002),VLOOKUP(I11,Feuil1!$G$11:$L$25,3),VLOOKUP(I11,Feuil1!$G$11:$L$25,2)))))))</f>
        <v>FS48</v>
      </c>
      <c r="Y11" s="39">
        <f t="shared" si="7"/>
        <v>139.33420179078291</v>
      </c>
      <c r="Z11" s="45"/>
      <c r="AA11" s="49" t="s">
        <v>12</v>
      </c>
      <c r="AB11" s="3">
        <f>T11-HLOOKUP(X11,Feuil1!$C$1:$BL$10,2,FALSE)</f>
        <v>30</v>
      </c>
      <c r="AC11" s="3">
        <f>T11-HLOOKUP(X11,Feuil1!$C$1:$BL$10,3,FALSE)</f>
        <v>20</v>
      </c>
      <c r="AD11" s="3">
        <f>T11-HLOOKUP(X11,Feuil1!$C$1:$BL$10,4,FALSE)</f>
        <v>10</v>
      </c>
      <c r="AE11" s="3">
        <f>T11-HLOOKUP(X11,Feuil1!$C$1:$BL$10,5,FALSE)</f>
        <v>0</v>
      </c>
      <c r="AF11" s="3">
        <f>T11-HLOOKUP(X11,Feuil1!$C$1:$BL$10,6,FALSE)</f>
        <v>-10</v>
      </c>
      <c r="AG11" s="3">
        <f>T11-HLOOKUP(X11,Feuil1!$C$1:$BL$10,7,FALSE)</f>
        <v>-25</v>
      </c>
      <c r="AH11" s="3">
        <f>T11-HLOOKUP(X11,Feuil1!$C$1:$BL$10,8,FALSE)</f>
        <v>-40</v>
      </c>
      <c r="AI11" s="3">
        <f>T11-HLOOKUP(X11,Feuil1!$C$1:$BL$10,9,FALSE)</f>
        <v>-55</v>
      </c>
      <c r="AJ11" s="3">
        <f>T11-HLOOKUP(X11,Feuil1!$C$1:$BL$10,10,FALSE)</f>
        <v>-70</v>
      </c>
      <c r="AQ11" s="5" t="str">
        <f t="shared" si="8"/>
        <v>IRG +</v>
      </c>
    </row>
    <row r="12" spans="1:55" ht="21" hidden="1" x14ac:dyDescent="0.2">
      <c r="A12" s="12" t="s">
        <v>69</v>
      </c>
      <c r="B12" s="18" t="s">
        <v>298</v>
      </c>
      <c r="C12" s="19" t="s">
        <v>299</v>
      </c>
      <c r="D12" s="61">
        <v>10</v>
      </c>
      <c r="E12" s="35">
        <v>222560</v>
      </c>
      <c r="F12" s="20" t="s">
        <v>323</v>
      </c>
      <c r="G12" s="20" t="s">
        <v>324</v>
      </c>
      <c r="H12" s="58">
        <v>1967</v>
      </c>
      <c r="I12" s="30">
        <v>46.9</v>
      </c>
      <c r="J12" s="19" t="s">
        <v>325</v>
      </c>
      <c r="K12" s="34" t="s">
        <v>69</v>
      </c>
      <c r="L12" s="31">
        <v>32</v>
      </c>
      <c r="M12" s="31">
        <v>35</v>
      </c>
      <c r="N12" s="31">
        <v>37</v>
      </c>
      <c r="O12" s="36">
        <f t="shared" si="1"/>
        <v>37</v>
      </c>
      <c r="P12" s="31">
        <v>42</v>
      </c>
      <c r="Q12" s="31">
        <v>45</v>
      </c>
      <c r="R12" s="31">
        <v>47</v>
      </c>
      <c r="S12" s="36">
        <f t="shared" si="2"/>
        <v>47</v>
      </c>
      <c r="T12" s="37">
        <f t="shared" si="3"/>
        <v>84</v>
      </c>
      <c r="U12" s="65">
        <f t="shared" si="4"/>
        <v>-9.7999999999999972</v>
      </c>
      <c r="V12" s="41" t="str">
        <f t="shared" si="5"/>
        <v>REG +</v>
      </c>
      <c r="W12" s="33">
        <f t="shared" si="6"/>
        <v>9</v>
      </c>
      <c r="X12" s="40" t="str">
        <f>IF(I12="","",IF(A12="H",IF(OR(H12="SEN",H12&lt;1995),VLOOKUP(I12,Feuil1!$A$11:$F$29,6),IF(AND(H12&gt;1994,H12&lt;1998),VLOOKUP(I12,Feuil1!$A$11:$F$29,5),IF(AND(H12&gt;1997,H12&lt;2000),VLOOKUP(I12,Feuil1!$A$11:$F$29,4),IF(AND(H12&gt;1999,H12&lt;2002),VLOOKUP(I12,Feuil1!$A$11:$F$29,3),VLOOKUP(I12,Feuil1!$A$11:$F$29,2))))),IF(OR(H12="SEN",H12&lt;1995),VLOOKUP(I12,Feuil1!$G$11:$L$25,6),IF(AND(H12&gt;1994,H12&lt;1998),VLOOKUP(I12,Feuil1!$G$11:$L$25,5),IF(AND(H12&gt;1997,H12&lt;2000),VLOOKUP(I12,Feuil1!$G$11:$L$25,4),IF(AND(H12&gt;1999,H12&lt;2002),VLOOKUP(I12,Feuil1!$G$11:$L$25,3),VLOOKUP(I12,Feuil1!$G$11:$L$25,2)))))))</f>
        <v>FS48</v>
      </c>
      <c r="Y12" s="39">
        <f t="shared" si="7"/>
        <v>140.55491217209124</v>
      </c>
      <c r="Z12" s="45"/>
      <c r="AA12" s="49" t="s">
        <v>12</v>
      </c>
      <c r="AB12" s="3">
        <f>T12-HLOOKUP(X12,Feuil1!$C$1:$BL$10,2,FALSE)</f>
        <v>29</v>
      </c>
      <c r="AC12" s="3">
        <f>T12-HLOOKUP(X12,Feuil1!$C$1:$BL$10,3,FALSE)</f>
        <v>19</v>
      </c>
      <c r="AD12" s="3">
        <f>T12-HLOOKUP(X12,Feuil1!$C$1:$BL$10,4,FALSE)</f>
        <v>9</v>
      </c>
      <c r="AE12" s="3">
        <f>T12-HLOOKUP(X12,Feuil1!$C$1:$BL$10,5,FALSE)</f>
        <v>-1</v>
      </c>
      <c r="AF12" s="3">
        <f>T12-HLOOKUP(X12,Feuil1!$C$1:$BL$10,6,FALSE)</f>
        <v>-11</v>
      </c>
      <c r="AG12" s="3">
        <f>T12-HLOOKUP(X12,Feuil1!$C$1:$BL$10,7,FALSE)</f>
        <v>-26</v>
      </c>
      <c r="AH12" s="3">
        <f>T12-HLOOKUP(X12,Feuil1!$C$1:$BL$10,8,FALSE)</f>
        <v>-41</v>
      </c>
      <c r="AI12" s="3">
        <f>T12-HLOOKUP(X12,Feuil1!$C$1:$BL$10,9,FALSE)</f>
        <v>-56</v>
      </c>
      <c r="AJ12" s="3">
        <f>T12-HLOOKUP(X12,Feuil1!$C$1:$BL$10,10,FALSE)</f>
        <v>-71</v>
      </c>
      <c r="AQ12" s="5" t="str">
        <f t="shared" si="8"/>
        <v>REG +</v>
      </c>
    </row>
    <row r="13" spans="1:55" ht="21" hidden="1" x14ac:dyDescent="0.2">
      <c r="A13" s="12" t="s">
        <v>69</v>
      </c>
      <c r="B13" s="18" t="s">
        <v>298</v>
      </c>
      <c r="C13" s="19" t="s">
        <v>299</v>
      </c>
      <c r="D13" s="61">
        <v>11</v>
      </c>
      <c r="E13" s="35">
        <v>360068</v>
      </c>
      <c r="F13" s="20" t="s">
        <v>326</v>
      </c>
      <c r="G13" s="20" t="s">
        <v>327</v>
      </c>
      <c r="H13" s="51">
        <v>1989</v>
      </c>
      <c r="I13" s="30">
        <v>48</v>
      </c>
      <c r="J13" s="19" t="s">
        <v>315</v>
      </c>
      <c r="K13" s="34" t="s">
        <v>69</v>
      </c>
      <c r="L13" s="31">
        <v>30</v>
      </c>
      <c r="M13" s="31">
        <v>-34</v>
      </c>
      <c r="N13" s="31">
        <v>35</v>
      </c>
      <c r="O13" s="36">
        <f t="shared" si="1"/>
        <v>35</v>
      </c>
      <c r="P13" s="31">
        <v>43</v>
      </c>
      <c r="Q13" s="31">
        <v>47</v>
      </c>
      <c r="R13" s="31">
        <v>-50</v>
      </c>
      <c r="S13" s="36">
        <f t="shared" si="2"/>
        <v>47</v>
      </c>
      <c r="T13" s="37">
        <f t="shared" si="3"/>
        <v>82</v>
      </c>
      <c r="U13" s="65">
        <f t="shared" si="4"/>
        <v>-14</v>
      </c>
      <c r="V13" s="41" t="str">
        <f t="shared" si="5"/>
        <v>REG +</v>
      </c>
      <c r="W13" s="33">
        <f t="shared" si="6"/>
        <v>7</v>
      </c>
      <c r="X13" s="40" t="str">
        <f>IF(I13="","",IF(A13="H",IF(OR(H13="SEN",H13&lt;1995),VLOOKUP(I13,Feuil1!$A$11:$F$29,6),IF(AND(H13&gt;1994,H13&lt;1998),VLOOKUP(I13,Feuil1!$A$11:$F$29,5),IF(AND(H13&gt;1997,H13&lt;2000),VLOOKUP(I13,Feuil1!$A$11:$F$29,4),IF(AND(H13&gt;1999,H13&lt;2002),VLOOKUP(I13,Feuil1!$A$11:$F$29,3),VLOOKUP(I13,Feuil1!$A$11:$F$29,2))))),IF(OR(H13="SEN",H13&lt;1995),VLOOKUP(I13,Feuil1!$G$11:$L$25,6),IF(AND(H13&gt;1994,H13&lt;1998),VLOOKUP(I13,Feuil1!$G$11:$L$25,5),IF(AND(H13&gt;1997,H13&lt;2000),VLOOKUP(I13,Feuil1!$G$11:$L$25,4),IF(AND(H13&gt;1999,H13&lt;2002),VLOOKUP(I13,Feuil1!$G$11:$L$25,3),VLOOKUP(I13,Feuil1!$G$11:$L$25,2)))))))</f>
        <v>FS48</v>
      </c>
      <c r="Y13" s="39">
        <f t="shared" si="7"/>
        <v>134.41652408051999</v>
      </c>
      <c r="Z13" s="45"/>
      <c r="AA13" s="49" t="s">
        <v>12</v>
      </c>
      <c r="AB13" s="3">
        <f>T13-HLOOKUP(X13,Feuil1!$C$1:$BL$10,2,FALSE)</f>
        <v>27</v>
      </c>
      <c r="AC13" s="3">
        <f>T13-HLOOKUP(X13,Feuil1!$C$1:$BL$10,3,FALSE)</f>
        <v>17</v>
      </c>
      <c r="AD13" s="3">
        <f>T13-HLOOKUP(X13,Feuil1!$C$1:$BL$10,4,FALSE)</f>
        <v>7</v>
      </c>
      <c r="AE13" s="3">
        <f>T13-HLOOKUP(X13,Feuil1!$C$1:$BL$10,5,FALSE)</f>
        <v>-3</v>
      </c>
      <c r="AF13" s="3">
        <f>T13-HLOOKUP(X13,Feuil1!$C$1:$BL$10,6,FALSE)</f>
        <v>-13</v>
      </c>
      <c r="AG13" s="3">
        <f>T13-HLOOKUP(X13,Feuil1!$C$1:$BL$10,7,FALSE)</f>
        <v>-28</v>
      </c>
      <c r="AH13" s="3">
        <f>T13-HLOOKUP(X13,Feuil1!$C$1:$BL$10,8,FALSE)</f>
        <v>-43</v>
      </c>
      <c r="AI13" s="3">
        <f>T13-HLOOKUP(X13,Feuil1!$C$1:$BL$10,9,FALSE)</f>
        <v>-58</v>
      </c>
      <c r="AJ13" s="3">
        <f>T13-HLOOKUP(X13,Feuil1!$C$1:$BL$10,10,FALSE)</f>
        <v>-73</v>
      </c>
      <c r="AQ13" s="5" t="str">
        <f t="shared" si="8"/>
        <v>REG +</v>
      </c>
    </row>
    <row r="14" spans="1:55" ht="21" hidden="1" x14ac:dyDescent="0.2">
      <c r="A14" s="12" t="s">
        <v>69</v>
      </c>
      <c r="B14" s="18" t="s">
        <v>721</v>
      </c>
      <c r="C14" s="19" t="s">
        <v>722</v>
      </c>
      <c r="D14" s="61">
        <v>12</v>
      </c>
      <c r="E14" s="35">
        <v>374035</v>
      </c>
      <c r="F14" s="20" t="s">
        <v>731</v>
      </c>
      <c r="G14" s="20" t="s">
        <v>732</v>
      </c>
      <c r="H14" s="51">
        <v>1975</v>
      </c>
      <c r="I14" s="30">
        <v>46.8</v>
      </c>
      <c r="J14" s="19" t="s">
        <v>733</v>
      </c>
      <c r="K14" s="34" t="s">
        <v>69</v>
      </c>
      <c r="L14" s="31">
        <v>30</v>
      </c>
      <c r="M14" s="31">
        <v>-34</v>
      </c>
      <c r="N14" s="31">
        <v>-34</v>
      </c>
      <c r="O14" s="36">
        <f t="shared" si="1"/>
        <v>30</v>
      </c>
      <c r="P14" s="31">
        <v>40</v>
      </c>
      <c r="Q14" s="31">
        <v>45</v>
      </c>
      <c r="R14" s="31">
        <v>48</v>
      </c>
      <c r="S14" s="36">
        <f t="shared" si="2"/>
        <v>48</v>
      </c>
      <c r="T14" s="37">
        <f t="shared" si="3"/>
        <v>78</v>
      </c>
      <c r="U14" s="65">
        <f t="shared" si="4"/>
        <v>-15.599999999999994</v>
      </c>
      <c r="V14" s="41" t="str">
        <f t="shared" si="5"/>
        <v>REG +</v>
      </c>
      <c r="W14" s="33">
        <f t="shared" si="6"/>
        <v>3</v>
      </c>
      <c r="X14" s="40" t="str">
        <f>IF(I14="","",IF(A14="H",IF(OR(H14="SEN",H14&lt;1995),VLOOKUP(I14,Feuil1!$A$11:$F$29,6),IF(AND(H14&gt;1994,H14&lt;1998),VLOOKUP(I14,Feuil1!$A$11:$F$29,5),IF(AND(H14&gt;1997,H14&lt;2000),VLOOKUP(I14,Feuil1!$A$11:$F$29,4),IF(AND(H14&gt;1999,H14&lt;2002),VLOOKUP(I14,Feuil1!$A$11:$F$29,3),VLOOKUP(I14,Feuil1!$A$11:$F$29,2))))),IF(OR(H14="SEN",H14&lt;1995),VLOOKUP(I14,Feuil1!$G$11:$L$25,6),IF(AND(H14&gt;1994,H14&lt;1998),VLOOKUP(I14,Feuil1!$G$11:$L$25,5),IF(AND(H14&gt;1997,H14&lt;2000),VLOOKUP(I14,Feuil1!$G$11:$L$25,4),IF(AND(H14&gt;1999,H14&lt;2002),VLOOKUP(I14,Feuil1!$G$11:$L$25,3),VLOOKUP(I14,Feuil1!$G$11:$L$25,2)))))))</f>
        <v>FS48</v>
      </c>
      <c r="Y14" s="39">
        <f t="shared" si="7"/>
        <v>130.76528913885065</v>
      </c>
      <c r="Z14" s="45"/>
      <c r="AA14" s="49" t="s">
        <v>12</v>
      </c>
      <c r="AB14" s="3">
        <f>T14-HLOOKUP(X14,Feuil1!$C$1:$BL$10,2,FALSE)</f>
        <v>23</v>
      </c>
      <c r="AC14" s="3">
        <f>T14-HLOOKUP(X14,Feuil1!$C$1:$BL$10,3,FALSE)</f>
        <v>13</v>
      </c>
      <c r="AD14" s="3">
        <f>T14-HLOOKUP(X14,Feuil1!$C$1:$BL$10,4,FALSE)</f>
        <v>3</v>
      </c>
      <c r="AE14" s="3">
        <f>T14-HLOOKUP(X14,Feuil1!$C$1:$BL$10,5,FALSE)</f>
        <v>-7</v>
      </c>
      <c r="AF14" s="3">
        <f>T14-HLOOKUP(X14,Feuil1!$C$1:$BL$10,6,FALSE)</f>
        <v>-17</v>
      </c>
      <c r="AG14" s="3">
        <f>T14-HLOOKUP(X14,Feuil1!$C$1:$BL$10,7,FALSE)</f>
        <v>-32</v>
      </c>
      <c r="AH14" s="3">
        <f>T14-HLOOKUP(X14,Feuil1!$C$1:$BL$10,8,FALSE)</f>
        <v>-47</v>
      </c>
      <c r="AI14" s="3">
        <f>T14-HLOOKUP(X14,Feuil1!$C$1:$BL$10,9,FALSE)</f>
        <v>-62</v>
      </c>
      <c r="AJ14" s="3">
        <f>T14-HLOOKUP(X14,Feuil1!$C$1:$BL$10,10,FALSE)</f>
        <v>-77</v>
      </c>
      <c r="AQ14" s="5" t="str">
        <f t="shared" si="8"/>
        <v>REG +</v>
      </c>
      <c r="BC14" s="13"/>
    </row>
    <row r="15" spans="1:55" ht="21" hidden="1" x14ac:dyDescent="0.2">
      <c r="A15" s="12" t="s">
        <v>69</v>
      </c>
      <c r="B15" s="18" t="s">
        <v>298</v>
      </c>
      <c r="C15" s="19" t="s">
        <v>404</v>
      </c>
      <c r="D15" s="61">
        <v>13</v>
      </c>
      <c r="E15" s="35">
        <v>391262</v>
      </c>
      <c r="F15" s="20" t="s">
        <v>451</v>
      </c>
      <c r="G15" s="20" t="s">
        <v>452</v>
      </c>
      <c r="H15" s="51">
        <v>1990</v>
      </c>
      <c r="I15" s="30">
        <v>47.3</v>
      </c>
      <c r="J15" s="19" t="s">
        <v>406</v>
      </c>
      <c r="K15" s="34" t="s">
        <v>413</v>
      </c>
      <c r="L15" s="31">
        <v>30</v>
      </c>
      <c r="M15" s="31">
        <v>33</v>
      </c>
      <c r="N15" s="31">
        <v>-35</v>
      </c>
      <c r="O15" s="36">
        <f t="shared" si="1"/>
        <v>33</v>
      </c>
      <c r="P15" s="31">
        <v>42</v>
      </c>
      <c r="Q15" s="31">
        <v>44</v>
      </c>
      <c r="R15" s="31">
        <v>-46</v>
      </c>
      <c r="S15" s="36">
        <f t="shared" si="2"/>
        <v>44</v>
      </c>
      <c r="T15" s="37">
        <f t="shared" si="3"/>
        <v>77</v>
      </c>
      <c r="U15" s="65">
        <f t="shared" si="4"/>
        <v>-17.599999999999994</v>
      </c>
      <c r="V15" s="41" t="str">
        <f t="shared" si="5"/>
        <v>REG +</v>
      </c>
      <c r="W15" s="33">
        <f t="shared" si="6"/>
        <v>2</v>
      </c>
      <c r="X15" s="40" t="str">
        <f>IF(I15="","",IF(A15="H",IF(OR(H15="SEN",H15&lt;1995),VLOOKUP(I15,Feuil1!$A$11:$F$29,6),IF(AND(H15&gt;1994,H15&lt;1998),VLOOKUP(I15,Feuil1!$A$11:$F$29,5),IF(AND(H15&gt;1997,H15&lt;2000),VLOOKUP(I15,Feuil1!$A$11:$F$29,4),IF(AND(H15&gt;1999,H15&lt;2002),VLOOKUP(I15,Feuil1!$A$11:$F$29,3),VLOOKUP(I15,Feuil1!$A$11:$F$29,2))))),IF(OR(H15="SEN",H15&lt;1995),VLOOKUP(I15,Feuil1!$G$11:$L$25,6),IF(AND(H15&gt;1994,H15&lt;1998),VLOOKUP(I15,Feuil1!$G$11:$L$25,5),IF(AND(H15&gt;1997,H15&lt;2000),VLOOKUP(I15,Feuil1!$G$11:$L$25,4),IF(AND(H15&gt;1999,H15&lt;2002),VLOOKUP(I15,Feuil1!$G$11:$L$25,3),VLOOKUP(I15,Feuil1!$G$11:$L$25,2)))))))</f>
        <v>FS48</v>
      </c>
      <c r="Y15" s="39">
        <f t="shared" si="7"/>
        <v>127.86916632974027</v>
      </c>
      <c r="Z15" s="45"/>
      <c r="AA15" s="49" t="s">
        <v>12</v>
      </c>
      <c r="AB15" s="3">
        <f>T15-HLOOKUP(X15,Feuil1!$C$1:$BL$10,2,FALSE)</f>
        <v>22</v>
      </c>
      <c r="AC15" s="3">
        <f>T15-HLOOKUP(X15,Feuil1!$C$1:$BL$10,3,FALSE)</f>
        <v>12</v>
      </c>
      <c r="AD15" s="3">
        <f>T15-HLOOKUP(X15,Feuil1!$C$1:$BL$10,4,FALSE)</f>
        <v>2</v>
      </c>
      <c r="AE15" s="3">
        <f>T15-HLOOKUP(X15,Feuil1!$C$1:$BL$10,5,FALSE)</f>
        <v>-8</v>
      </c>
      <c r="AF15" s="3">
        <f>T15-HLOOKUP(X15,Feuil1!$C$1:$BL$10,6,FALSE)</f>
        <v>-18</v>
      </c>
      <c r="AG15" s="3">
        <f>T15-HLOOKUP(X15,Feuil1!$C$1:$BL$10,7,FALSE)</f>
        <v>-33</v>
      </c>
      <c r="AH15" s="3">
        <f>T15-HLOOKUP(X15,Feuil1!$C$1:$BL$10,8,FALSE)</f>
        <v>-48</v>
      </c>
      <c r="AI15" s="3">
        <f>T15-HLOOKUP(X15,Feuil1!$C$1:$BL$10,9,FALSE)</f>
        <v>-63</v>
      </c>
      <c r="AJ15" s="3">
        <f>T15-HLOOKUP(X15,Feuil1!$C$1:$BL$10,10,FALSE)</f>
        <v>-78</v>
      </c>
      <c r="AQ15" s="5" t="str">
        <f t="shared" si="8"/>
        <v>REG +</v>
      </c>
    </row>
    <row r="16" spans="1:55" ht="21" hidden="1" x14ac:dyDescent="0.2">
      <c r="A16" s="12" t="s">
        <v>69</v>
      </c>
      <c r="B16" s="18" t="s">
        <v>108</v>
      </c>
      <c r="C16" s="19" t="s">
        <v>146</v>
      </c>
      <c r="D16" s="61">
        <v>14</v>
      </c>
      <c r="E16" s="35">
        <v>349251</v>
      </c>
      <c r="F16" s="20" t="s">
        <v>243</v>
      </c>
      <c r="G16" s="20" t="s">
        <v>187</v>
      </c>
      <c r="H16" s="51">
        <v>1991</v>
      </c>
      <c r="I16" s="30">
        <v>41.25</v>
      </c>
      <c r="J16" s="19" t="s">
        <v>152</v>
      </c>
      <c r="K16" s="34" t="s">
        <v>69</v>
      </c>
      <c r="L16" s="31">
        <v>31</v>
      </c>
      <c r="M16" s="31">
        <v>33</v>
      </c>
      <c r="N16" s="31">
        <v>-35</v>
      </c>
      <c r="O16" s="36">
        <f t="shared" si="1"/>
        <v>33</v>
      </c>
      <c r="P16" s="31">
        <v>40</v>
      </c>
      <c r="Q16" s="31">
        <v>42</v>
      </c>
      <c r="R16" s="31">
        <v>-44</v>
      </c>
      <c r="S16" s="36">
        <f t="shared" si="2"/>
        <v>42</v>
      </c>
      <c r="T16" s="37">
        <f t="shared" si="3"/>
        <v>75</v>
      </c>
      <c r="U16" s="65">
        <f t="shared" si="4"/>
        <v>-7.5</v>
      </c>
      <c r="V16" s="41" t="str">
        <f t="shared" si="5"/>
        <v>REG +</v>
      </c>
      <c r="W16" s="33">
        <f t="shared" si="6"/>
        <v>0</v>
      </c>
      <c r="X16" s="40" t="str">
        <f>IF(I16="","",IF(A16="H",IF(OR(H16="SEN",H16&lt;1995),VLOOKUP(I16,Feuil1!$A$11:$F$29,6),IF(AND(H16&gt;1994,H16&lt;1998),VLOOKUP(I16,Feuil1!$A$11:$F$29,5),IF(AND(H16&gt;1997,H16&lt;2000),VLOOKUP(I16,Feuil1!$A$11:$F$29,4),IF(AND(H16&gt;1999,H16&lt;2002),VLOOKUP(I16,Feuil1!$A$11:$F$29,3),VLOOKUP(I16,Feuil1!$A$11:$F$29,2))))),IF(OR(H16="SEN",H16&lt;1995),VLOOKUP(I16,Feuil1!$G$11:$L$25,6),IF(AND(H16&gt;1994,H16&lt;1998),VLOOKUP(I16,Feuil1!$G$11:$L$25,5),IF(AND(H16&gt;1997,H16&lt;2000),VLOOKUP(I16,Feuil1!$G$11:$L$25,4),IF(AND(H16&gt;1999,H16&lt;2002),VLOOKUP(I16,Feuil1!$G$11:$L$25,3),VLOOKUP(I16,Feuil1!$G$11:$L$25,2)))))))</f>
        <v>FS48</v>
      </c>
      <c r="Y16" s="39">
        <f t="shared" si="7"/>
        <v>141.69496149603842</v>
      </c>
      <c r="Z16" s="45"/>
      <c r="AA16" s="49" t="s">
        <v>12</v>
      </c>
      <c r="AB16" s="3">
        <f>T16-HLOOKUP(X16,Feuil1!$C$1:$BL$10,2,FALSE)</f>
        <v>20</v>
      </c>
      <c r="AC16" s="3">
        <f>T16-HLOOKUP(X16,Feuil1!$C$1:$BL$10,3,FALSE)</f>
        <v>10</v>
      </c>
      <c r="AD16" s="3">
        <f>T16-HLOOKUP(X16,Feuil1!$C$1:$BL$10,4,FALSE)</f>
        <v>0</v>
      </c>
      <c r="AE16" s="3">
        <f>T16-HLOOKUP(X16,Feuil1!$C$1:$BL$10,5,FALSE)</f>
        <v>-10</v>
      </c>
      <c r="AF16" s="3">
        <f>T16-HLOOKUP(X16,Feuil1!$C$1:$BL$10,6,FALSE)</f>
        <v>-20</v>
      </c>
      <c r="AG16" s="3">
        <f>T16-HLOOKUP(X16,Feuil1!$C$1:$BL$10,7,FALSE)</f>
        <v>-35</v>
      </c>
      <c r="AH16" s="3">
        <f>T16-HLOOKUP(X16,Feuil1!$C$1:$BL$10,8,FALSE)</f>
        <v>-50</v>
      </c>
      <c r="AI16" s="3">
        <f>T16-HLOOKUP(X16,Feuil1!$C$1:$BL$10,9,FALSE)</f>
        <v>-65</v>
      </c>
      <c r="AJ16" s="3">
        <f>T16-HLOOKUP(X16,Feuil1!$C$1:$BL$10,10,FALSE)</f>
        <v>-80</v>
      </c>
      <c r="AQ16" s="5" t="str">
        <f t="shared" si="8"/>
        <v>REG +</v>
      </c>
    </row>
    <row r="17" spans="1:55" ht="21" hidden="1" x14ac:dyDescent="0.2">
      <c r="A17" s="12" t="s">
        <v>69</v>
      </c>
      <c r="B17" s="18" t="s">
        <v>721</v>
      </c>
      <c r="C17" s="19" t="s">
        <v>745</v>
      </c>
      <c r="D17" s="61">
        <v>15</v>
      </c>
      <c r="E17" s="35">
        <v>376363</v>
      </c>
      <c r="F17" s="20" t="s">
        <v>121</v>
      </c>
      <c r="G17" s="20" t="s">
        <v>272</v>
      </c>
      <c r="H17" s="51">
        <v>1989</v>
      </c>
      <c r="I17" s="30">
        <v>46.7</v>
      </c>
      <c r="J17" s="19" t="s">
        <v>748</v>
      </c>
      <c r="K17" s="34" t="s">
        <v>69</v>
      </c>
      <c r="L17" s="31">
        <v>28</v>
      </c>
      <c r="M17" s="31">
        <v>30</v>
      </c>
      <c r="N17" s="31">
        <v>32</v>
      </c>
      <c r="O17" s="36">
        <f t="shared" si="1"/>
        <v>32</v>
      </c>
      <c r="P17" s="31">
        <v>38</v>
      </c>
      <c r="Q17" s="31">
        <v>43</v>
      </c>
      <c r="R17" s="31">
        <v>-45</v>
      </c>
      <c r="S17" s="36">
        <f t="shared" si="2"/>
        <v>43</v>
      </c>
      <c r="T17" s="37">
        <f t="shared" si="3"/>
        <v>75</v>
      </c>
      <c r="U17" s="65">
        <f t="shared" si="4"/>
        <v>-18.400000000000006</v>
      </c>
      <c r="V17" s="41" t="str">
        <f t="shared" si="5"/>
        <v>REG +</v>
      </c>
      <c r="W17" s="33">
        <f t="shared" si="6"/>
        <v>0</v>
      </c>
      <c r="X17" s="40" t="str">
        <f>IF(I17="","",IF(A17="H",IF(OR(H17="SEN",H17&lt;1995),VLOOKUP(I17,Feuil1!$A$11:$F$29,6),IF(AND(H17&gt;1994,H17&lt;1998),VLOOKUP(I17,Feuil1!$A$11:$F$29,5),IF(AND(H17&gt;1997,H17&lt;2000),VLOOKUP(I17,Feuil1!$A$11:$F$29,4),IF(AND(H17&gt;1999,H17&lt;2002),VLOOKUP(I17,Feuil1!$A$11:$F$29,3),VLOOKUP(I17,Feuil1!$A$11:$F$29,2))))),IF(OR(H17="SEN",H17&lt;1995),VLOOKUP(I17,Feuil1!$G$11:$L$25,6),IF(AND(H17&gt;1994,H17&lt;1998),VLOOKUP(I17,Feuil1!$G$11:$L$25,5),IF(AND(H17&gt;1997,H17&lt;2000),VLOOKUP(I17,Feuil1!$G$11:$L$25,4),IF(AND(H17&gt;1999,H17&lt;2002),VLOOKUP(I17,Feuil1!$G$11:$L$25,3),VLOOKUP(I17,Feuil1!$G$11:$L$25,2)))))))</f>
        <v>FS48</v>
      </c>
      <c r="Y17" s="39">
        <f t="shared" si="7"/>
        <v>125.97767753254338</v>
      </c>
      <c r="Z17" s="45"/>
      <c r="AA17" s="49" t="s">
        <v>12</v>
      </c>
      <c r="AB17" s="3">
        <f>T17-HLOOKUP(X17,Feuil1!$C$1:$BL$10,2,FALSE)</f>
        <v>20</v>
      </c>
      <c r="AC17" s="3">
        <f>T17-HLOOKUP(X17,Feuil1!$C$1:$BL$10,3,FALSE)</f>
        <v>10</v>
      </c>
      <c r="AD17" s="3">
        <f>T17-HLOOKUP(X17,Feuil1!$C$1:$BL$10,4,FALSE)</f>
        <v>0</v>
      </c>
      <c r="AE17" s="3">
        <f>T17-HLOOKUP(X17,Feuil1!$C$1:$BL$10,5,FALSE)</f>
        <v>-10</v>
      </c>
      <c r="AF17" s="3">
        <f>T17-HLOOKUP(X17,Feuil1!$C$1:$BL$10,6,FALSE)</f>
        <v>-20</v>
      </c>
      <c r="AG17" s="3">
        <f>T17-HLOOKUP(X17,Feuil1!$C$1:$BL$10,7,FALSE)</f>
        <v>-35</v>
      </c>
      <c r="AH17" s="3">
        <f>T17-HLOOKUP(X17,Feuil1!$C$1:$BL$10,8,FALSE)</f>
        <v>-50</v>
      </c>
      <c r="AI17" s="3">
        <f>T17-HLOOKUP(X17,Feuil1!$C$1:$BL$10,9,FALSE)</f>
        <v>-65</v>
      </c>
      <c r="AJ17" s="3">
        <f>T17-HLOOKUP(X17,Feuil1!$C$1:$BL$10,10,FALSE)</f>
        <v>-80</v>
      </c>
      <c r="AQ17" s="5" t="str">
        <f t="shared" si="8"/>
        <v>REG +</v>
      </c>
    </row>
    <row r="18" spans="1:55" ht="21" hidden="1" x14ac:dyDescent="0.2">
      <c r="A18" s="12" t="s">
        <v>69</v>
      </c>
      <c r="B18" s="18" t="s">
        <v>721</v>
      </c>
      <c r="C18" s="19" t="s">
        <v>775</v>
      </c>
      <c r="D18" s="61">
        <v>16</v>
      </c>
      <c r="E18" s="35">
        <v>77655</v>
      </c>
      <c r="F18" s="20" t="s">
        <v>783</v>
      </c>
      <c r="G18" s="20" t="s">
        <v>784</v>
      </c>
      <c r="H18" s="51">
        <v>1952</v>
      </c>
      <c r="I18" s="30">
        <v>45.7</v>
      </c>
      <c r="J18" s="19" t="s">
        <v>780</v>
      </c>
      <c r="K18" s="34" t="s">
        <v>69</v>
      </c>
      <c r="L18" s="31">
        <v>28</v>
      </c>
      <c r="M18" s="31">
        <v>-30</v>
      </c>
      <c r="N18" s="31">
        <v>30</v>
      </c>
      <c r="O18" s="36">
        <f t="shared" si="1"/>
        <v>30</v>
      </c>
      <c r="P18" s="31">
        <v>38</v>
      </c>
      <c r="Q18" s="31">
        <v>40</v>
      </c>
      <c r="R18" s="31">
        <v>-43</v>
      </c>
      <c r="S18" s="36">
        <f t="shared" si="2"/>
        <v>40</v>
      </c>
      <c r="T18" s="37">
        <f t="shared" si="3"/>
        <v>70</v>
      </c>
      <c r="U18" s="65">
        <f t="shared" si="4"/>
        <v>-21.400000000000006</v>
      </c>
      <c r="V18" s="41" t="str">
        <f t="shared" si="5"/>
        <v>DEP +</v>
      </c>
      <c r="W18" s="33">
        <f t="shared" si="6"/>
        <v>5</v>
      </c>
      <c r="X18" s="40" t="str">
        <f>IF(I18="","",IF(A18="H",IF(OR(H18="SEN",H18&lt;1995),VLOOKUP(I18,Feuil1!$A$11:$F$29,6),IF(AND(H18&gt;1994,H18&lt;1998),VLOOKUP(I18,Feuil1!$A$11:$F$29,5),IF(AND(H18&gt;1997,H18&lt;2000),VLOOKUP(I18,Feuil1!$A$11:$F$29,4),IF(AND(H18&gt;1999,H18&lt;2002),VLOOKUP(I18,Feuil1!$A$11:$F$29,3),VLOOKUP(I18,Feuil1!$A$11:$F$29,2))))),IF(OR(H18="SEN",H18&lt;1995),VLOOKUP(I18,Feuil1!$G$11:$L$25,6),IF(AND(H18&gt;1994,H18&lt;1998),VLOOKUP(I18,Feuil1!$G$11:$L$25,5),IF(AND(H18&gt;1997,H18&lt;2000),VLOOKUP(I18,Feuil1!$G$11:$L$25,4),IF(AND(H18&gt;1999,H18&lt;2002),VLOOKUP(I18,Feuil1!$G$11:$L$25,3),VLOOKUP(I18,Feuil1!$G$11:$L$25,2)))))))</f>
        <v>FS48</v>
      </c>
      <c r="Y18" s="39">
        <f t="shared" si="7"/>
        <v>119.91175390587333</v>
      </c>
      <c r="Z18" s="45"/>
      <c r="AA18" s="49" t="s">
        <v>12</v>
      </c>
      <c r="AB18" s="3">
        <f>T18-HLOOKUP(X18,Feuil1!$C$1:$BL$10,2,FALSE)</f>
        <v>15</v>
      </c>
      <c r="AC18" s="3">
        <f>T18-HLOOKUP(X18,Feuil1!$C$1:$BL$10,3,FALSE)</f>
        <v>5</v>
      </c>
      <c r="AD18" s="3">
        <f>T18-HLOOKUP(X18,Feuil1!$C$1:$BL$10,4,FALSE)</f>
        <v>-5</v>
      </c>
      <c r="AE18" s="3">
        <f>T18-HLOOKUP(X18,Feuil1!$C$1:$BL$10,5,FALSE)</f>
        <v>-15</v>
      </c>
      <c r="AF18" s="3">
        <f>T18-HLOOKUP(X18,Feuil1!$C$1:$BL$10,6,FALSE)</f>
        <v>-25</v>
      </c>
      <c r="AG18" s="3">
        <f>T18-HLOOKUP(X18,Feuil1!$C$1:$BL$10,7,FALSE)</f>
        <v>-40</v>
      </c>
      <c r="AH18" s="3">
        <f>T18-HLOOKUP(X18,Feuil1!$C$1:$BL$10,8,FALSE)</f>
        <v>-55</v>
      </c>
      <c r="AI18" s="3">
        <f>T18-HLOOKUP(X18,Feuil1!$C$1:$BL$10,9,FALSE)</f>
        <v>-70</v>
      </c>
      <c r="AJ18" s="3">
        <f>T18-HLOOKUP(X18,Feuil1!$C$1:$BL$10,10,FALSE)</f>
        <v>-85</v>
      </c>
      <c r="AQ18" s="5" t="str">
        <f t="shared" si="8"/>
        <v>DEP +</v>
      </c>
      <c r="BC18" s="13"/>
    </row>
    <row r="19" spans="1:55" ht="21" hidden="1" x14ac:dyDescent="0.2">
      <c r="A19" s="12" t="s">
        <v>69</v>
      </c>
      <c r="B19" s="18" t="s">
        <v>108</v>
      </c>
      <c r="C19" s="19" t="s">
        <v>115</v>
      </c>
      <c r="D19" s="61">
        <v>17</v>
      </c>
      <c r="E19" s="35">
        <v>190306</v>
      </c>
      <c r="F19" s="20" t="s">
        <v>190</v>
      </c>
      <c r="G19" s="20" t="s">
        <v>191</v>
      </c>
      <c r="H19" s="51">
        <v>1989</v>
      </c>
      <c r="I19" s="30">
        <v>46.7</v>
      </c>
      <c r="J19" s="19" t="s">
        <v>118</v>
      </c>
      <c r="K19" s="34" t="s">
        <v>69</v>
      </c>
      <c r="L19" s="31">
        <v>25</v>
      </c>
      <c r="M19" s="31">
        <v>30</v>
      </c>
      <c r="N19" s="31">
        <v>32</v>
      </c>
      <c r="O19" s="36">
        <f t="shared" si="1"/>
        <v>32</v>
      </c>
      <c r="P19" s="31">
        <v>30</v>
      </c>
      <c r="Q19" s="31">
        <v>35</v>
      </c>
      <c r="R19" s="31">
        <v>-40</v>
      </c>
      <c r="S19" s="36">
        <f t="shared" si="2"/>
        <v>35</v>
      </c>
      <c r="T19" s="37">
        <f t="shared" si="3"/>
        <v>67</v>
      </c>
      <c r="U19" s="65">
        <f t="shared" si="4"/>
        <v>-26.400000000000006</v>
      </c>
      <c r="V19" s="41" t="str">
        <f t="shared" si="5"/>
        <v>DEP +</v>
      </c>
      <c r="W19" s="33">
        <f t="shared" si="6"/>
        <v>2</v>
      </c>
      <c r="X19" s="40" t="str">
        <f>IF(I19="","",IF(A19="H",IF(OR(H19="SEN",H19&lt;1995),VLOOKUP(I19,Feuil1!$A$11:$F$29,6),IF(AND(H19&gt;1994,H19&lt;1998),VLOOKUP(I19,Feuil1!$A$11:$F$29,5),IF(AND(H19&gt;1997,H19&lt;2000),VLOOKUP(I19,Feuil1!$A$11:$F$29,4),IF(AND(H19&gt;1999,H19&lt;2002),VLOOKUP(I19,Feuil1!$A$11:$F$29,3),VLOOKUP(I19,Feuil1!$A$11:$F$29,2))))),IF(OR(H19="SEN",H19&lt;1995),VLOOKUP(I19,Feuil1!$G$11:$L$25,6),IF(AND(H19&gt;1994,H19&lt;1998),VLOOKUP(I19,Feuil1!$G$11:$L$25,5),IF(AND(H19&gt;1997,H19&lt;2000),VLOOKUP(I19,Feuil1!$G$11:$L$25,4),IF(AND(H19&gt;1999,H19&lt;2002),VLOOKUP(I19,Feuil1!$G$11:$L$25,3),VLOOKUP(I19,Feuil1!$G$11:$L$25,2)))))))</f>
        <v>FS48</v>
      </c>
      <c r="Y19" s="39">
        <f t="shared" si="7"/>
        <v>112.54005859573876</v>
      </c>
      <c r="Z19" s="45"/>
      <c r="AA19" s="49" t="s">
        <v>12</v>
      </c>
      <c r="AB19" s="3">
        <f>T19-HLOOKUP(X19,Feuil1!$C$1:$BL$10,2,FALSE)</f>
        <v>12</v>
      </c>
      <c r="AC19" s="3">
        <f>T19-HLOOKUP(X19,Feuil1!$C$1:$BL$10,3,FALSE)</f>
        <v>2</v>
      </c>
      <c r="AD19" s="3">
        <f>T19-HLOOKUP(X19,Feuil1!$C$1:$BL$10,4,FALSE)</f>
        <v>-8</v>
      </c>
      <c r="AE19" s="3">
        <f>T19-HLOOKUP(X19,Feuil1!$C$1:$BL$10,5,FALSE)</f>
        <v>-18</v>
      </c>
      <c r="AF19" s="3">
        <f>T19-HLOOKUP(X19,Feuil1!$C$1:$BL$10,6,FALSE)</f>
        <v>-28</v>
      </c>
      <c r="AG19" s="3">
        <f>T19-HLOOKUP(X19,Feuil1!$C$1:$BL$10,7,FALSE)</f>
        <v>-43</v>
      </c>
      <c r="AH19" s="3">
        <f>T19-HLOOKUP(X19,Feuil1!$C$1:$BL$10,8,FALSE)</f>
        <v>-58</v>
      </c>
      <c r="AI19" s="3">
        <f>T19-HLOOKUP(X19,Feuil1!$C$1:$BL$10,9,FALSE)</f>
        <v>-73</v>
      </c>
      <c r="AJ19" s="3">
        <f>T19-HLOOKUP(X19,Feuil1!$C$1:$BL$10,10,FALSE)</f>
        <v>-88</v>
      </c>
      <c r="AQ19" s="5" t="str">
        <f t="shared" si="8"/>
        <v>DEP +</v>
      </c>
    </row>
    <row r="20" spans="1:55" ht="21" hidden="1" x14ac:dyDescent="0.2">
      <c r="A20" s="12" t="s">
        <v>69</v>
      </c>
      <c r="B20" s="18" t="s">
        <v>71</v>
      </c>
      <c r="C20" s="19" t="s">
        <v>801</v>
      </c>
      <c r="D20" s="61">
        <v>18</v>
      </c>
      <c r="E20" s="35">
        <v>390121</v>
      </c>
      <c r="F20" s="20" t="s">
        <v>861</v>
      </c>
      <c r="G20" s="20" t="s">
        <v>862</v>
      </c>
      <c r="H20" s="51">
        <v>1979</v>
      </c>
      <c r="I20" s="30">
        <v>45.2</v>
      </c>
      <c r="J20" s="19" t="s">
        <v>846</v>
      </c>
      <c r="K20" s="34" t="s">
        <v>69</v>
      </c>
      <c r="L20" s="31">
        <v>25</v>
      </c>
      <c r="M20" s="31">
        <v>28</v>
      </c>
      <c r="N20" s="31">
        <v>-30</v>
      </c>
      <c r="O20" s="36">
        <f t="shared" si="1"/>
        <v>28</v>
      </c>
      <c r="P20" s="31">
        <v>35</v>
      </c>
      <c r="Q20" s="31">
        <v>38</v>
      </c>
      <c r="R20" s="31">
        <v>-40</v>
      </c>
      <c r="S20" s="36">
        <f t="shared" si="2"/>
        <v>38</v>
      </c>
      <c r="T20" s="37">
        <f t="shared" si="3"/>
        <v>66</v>
      </c>
      <c r="U20" s="65">
        <f t="shared" si="4"/>
        <v>-24.400000000000006</v>
      </c>
      <c r="V20" s="41" t="str">
        <f t="shared" si="5"/>
        <v>DEP +</v>
      </c>
      <c r="W20" s="33">
        <f t="shared" si="6"/>
        <v>1</v>
      </c>
      <c r="X20" s="40" t="str">
        <f>IF(I20="","",IF(A20="H",IF(OR(H20="SEN",H20&lt;1995),VLOOKUP(I20,Feuil1!$A$11:$F$29,6),IF(AND(H20&gt;1994,H20&lt;1998),VLOOKUP(I20,Feuil1!$A$11:$F$29,5),IF(AND(H20&gt;1997,H20&lt;2000),VLOOKUP(I20,Feuil1!$A$11:$F$29,4),IF(AND(H20&gt;1999,H20&lt;2002),VLOOKUP(I20,Feuil1!$A$11:$F$29,3),VLOOKUP(I20,Feuil1!$A$11:$F$29,2))))),IF(OR(H20="SEN",H20&lt;1995),VLOOKUP(I20,Feuil1!$G$11:$L$25,6),IF(AND(H20&gt;1994,H20&lt;1998),VLOOKUP(I20,Feuil1!$G$11:$L$25,5),IF(AND(H20&gt;1997,H20&lt;2000),VLOOKUP(I20,Feuil1!$G$11:$L$25,4),IF(AND(H20&gt;1999,H20&lt;2002),VLOOKUP(I20,Feuil1!$G$11:$L$25,3),VLOOKUP(I20,Feuil1!$G$11:$L$25,2)))))))</f>
        <v>FS48</v>
      </c>
      <c r="Y20" s="39">
        <f t="shared" si="7"/>
        <v>114.21006752538217</v>
      </c>
      <c r="Z20" s="45"/>
      <c r="AA20" s="49" t="s">
        <v>12</v>
      </c>
      <c r="AB20" s="3">
        <f>T20-HLOOKUP(X20,Feuil1!$C$1:$BL$10,2,FALSE)</f>
        <v>11</v>
      </c>
      <c r="AC20" s="3">
        <f>T20-HLOOKUP(X20,Feuil1!$C$1:$BL$10,3,FALSE)</f>
        <v>1</v>
      </c>
      <c r="AD20" s="3">
        <f>T20-HLOOKUP(X20,Feuil1!$C$1:$BL$10,4,FALSE)</f>
        <v>-9</v>
      </c>
      <c r="AE20" s="3">
        <f>T20-HLOOKUP(X20,Feuil1!$C$1:$BL$10,5,FALSE)</f>
        <v>-19</v>
      </c>
      <c r="AF20" s="3">
        <f>T20-HLOOKUP(X20,Feuil1!$C$1:$BL$10,6,FALSE)</f>
        <v>-29</v>
      </c>
      <c r="AG20" s="3">
        <f>T20-HLOOKUP(X20,Feuil1!$C$1:$BL$10,7,FALSE)</f>
        <v>-44</v>
      </c>
      <c r="AH20" s="3">
        <f>T20-HLOOKUP(X20,Feuil1!$C$1:$BL$10,8,FALSE)</f>
        <v>-59</v>
      </c>
      <c r="AI20" s="3">
        <f>T20-HLOOKUP(X20,Feuil1!$C$1:$BL$10,9,FALSE)</f>
        <v>-74</v>
      </c>
      <c r="AJ20" s="3">
        <f>T20-HLOOKUP(X20,Feuil1!$C$1:$BL$10,10,FALSE)</f>
        <v>-89</v>
      </c>
      <c r="AQ20" s="5" t="str">
        <f t="shared" si="8"/>
        <v>DEP +</v>
      </c>
      <c r="BC20" s="13"/>
    </row>
    <row r="21" spans="1:55" ht="21" hidden="1" x14ac:dyDescent="0.2">
      <c r="A21" s="12" t="s">
        <v>69</v>
      </c>
      <c r="B21" s="18" t="s">
        <v>298</v>
      </c>
      <c r="C21" s="19" t="s">
        <v>299</v>
      </c>
      <c r="D21" s="61">
        <v>19</v>
      </c>
      <c r="E21" s="35">
        <v>379292</v>
      </c>
      <c r="F21" s="20" t="s">
        <v>328</v>
      </c>
      <c r="G21" s="20" t="s">
        <v>329</v>
      </c>
      <c r="H21" s="51">
        <v>1994</v>
      </c>
      <c r="I21" s="30">
        <v>39.4</v>
      </c>
      <c r="J21" s="19" t="s">
        <v>315</v>
      </c>
      <c r="K21" s="34" t="s">
        <v>69</v>
      </c>
      <c r="L21" s="31">
        <v>20</v>
      </c>
      <c r="M21" s="31">
        <v>-25</v>
      </c>
      <c r="N21" s="31">
        <v>25</v>
      </c>
      <c r="O21" s="36">
        <f t="shared" si="1"/>
        <v>25</v>
      </c>
      <c r="P21" s="31">
        <v>-30</v>
      </c>
      <c r="Q21" s="31">
        <v>30</v>
      </c>
      <c r="R21" s="31">
        <v>-35</v>
      </c>
      <c r="S21" s="36">
        <f t="shared" si="2"/>
        <v>30</v>
      </c>
      <c r="T21" s="37">
        <f t="shared" si="3"/>
        <v>55</v>
      </c>
      <c r="U21" s="65">
        <f t="shared" si="4"/>
        <v>-23.799999999999997</v>
      </c>
      <c r="V21" s="41" t="str">
        <f t="shared" si="5"/>
        <v xml:space="preserve">DEB </v>
      </c>
      <c r="W21" s="33">
        <f t="shared" si="6"/>
        <v>0</v>
      </c>
      <c r="X21" s="40" t="str">
        <f>IF(I21="","",IF(A21="H",IF(OR(H21="SEN",H21&lt;1995),VLOOKUP(I21,Feuil1!$A$11:$F$29,6),IF(AND(H21&gt;1994,H21&lt;1998),VLOOKUP(I21,Feuil1!$A$11:$F$29,5),IF(AND(H21&gt;1997,H21&lt;2000),VLOOKUP(I21,Feuil1!$A$11:$F$29,4),IF(AND(H21&gt;1999,H21&lt;2002),VLOOKUP(I21,Feuil1!$A$11:$F$29,3),VLOOKUP(I21,Feuil1!$A$11:$F$29,2))))),IF(OR(H21="SEN",H21&lt;1995),VLOOKUP(I21,Feuil1!$G$11:$L$25,6),IF(AND(H21&gt;1994,H21&lt;1998),VLOOKUP(I21,Feuil1!$G$11:$L$25,5),IF(AND(H21&gt;1997,H21&lt;2000),VLOOKUP(I21,Feuil1!$G$11:$L$25,4),IF(AND(H21&gt;1999,H21&lt;2002),VLOOKUP(I21,Feuil1!$G$11:$L$25,3),VLOOKUP(I21,Feuil1!$G$11:$L$25,2)))))))</f>
        <v>FS48</v>
      </c>
      <c r="Y21" s="39">
        <f t="shared" si="7"/>
        <v>108.85698128970147</v>
      </c>
      <c r="Z21" s="45"/>
      <c r="AA21" s="49" t="s">
        <v>12</v>
      </c>
      <c r="AB21" s="3">
        <f>T21-HLOOKUP(X21,Feuil1!$C$1:$BL$10,2,FALSE)</f>
        <v>0</v>
      </c>
      <c r="AC21" s="3">
        <f>T21-HLOOKUP(X21,Feuil1!$C$1:$BL$10,3,FALSE)</f>
        <v>-10</v>
      </c>
      <c r="AD21" s="3">
        <f>T21-HLOOKUP(X21,Feuil1!$C$1:$BL$10,4,FALSE)</f>
        <v>-20</v>
      </c>
      <c r="AE21" s="3">
        <f>T21-HLOOKUP(X21,Feuil1!$C$1:$BL$10,5,FALSE)</f>
        <v>-30</v>
      </c>
      <c r="AF21" s="3">
        <f>T21-HLOOKUP(X21,Feuil1!$C$1:$BL$10,6,FALSE)</f>
        <v>-40</v>
      </c>
      <c r="AG21" s="3">
        <f>T21-HLOOKUP(X21,Feuil1!$C$1:$BL$10,7,FALSE)</f>
        <v>-55</v>
      </c>
      <c r="AH21" s="3">
        <f>T21-HLOOKUP(X21,Feuil1!$C$1:$BL$10,8,FALSE)</f>
        <v>-70</v>
      </c>
      <c r="AI21" s="3">
        <f>T21-HLOOKUP(X21,Feuil1!$C$1:$BL$10,9,FALSE)</f>
        <v>-85</v>
      </c>
      <c r="AJ21" s="3">
        <f>T21-HLOOKUP(X21,Feuil1!$C$1:$BL$10,10,FALSE)</f>
        <v>-100</v>
      </c>
      <c r="AQ21" s="5" t="str">
        <f t="shared" si="8"/>
        <v xml:space="preserve">DEB </v>
      </c>
    </row>
    <row r="22" spans="1:55" ht="21" hidden="1" x14ac:dyDescent="0.2">
      <c r="A22" s="12" t="s">
        <v>69</v>
      </c>
      <c r="B22" s="18" t="s">
        <v>721</v>
      </c>
      <c r="C22" s="19" t="s">
        <v>745</v>
      </c>
      <c r="D22" s="61">
        <v>20</v>
      </c>
      <c r="E22" s="35">
        <v>381139</v>
      </c>
      <c r="F22" s="20" t="s">
        <v>759</v>
      </c>
      <c r="G22" s="20" t="s">
        <v>550</v>
      </c>
      <c r="H22" s="51">
        <v>1991</v>
      </c>
      <c r="I22" s="30">
        <v>47.66</v>
      </c>
      <c r="J22" s="19" t="s">
        <v>748</v>
      </c>
      <c r="K22" s="34" t="s">
        <v>69</v>
      </c>
      <c r="L22" s="31">
        <v>17</v>
      </c>
      <c r="M22" s="31">
        <v>20</v>
      </c>
      <c r="N22" s="31">
        <v>22</v>
      </c>
      <c r="O22" s="36">
        <f t="shared" si="1"/>
        <v>22</v>
      </c>
      <c r="P22" s="31">
        <v>25</v>
      </c>
      <c r="Q22" s="31">
        <v>30</v>
      </c>
      <c r="R22" s="31">
        <v>-33</v>
      </c>
      <c r="S22" s="36">
        <f t="shared" si="2"/>
        <v>30</v>
      </c>
      <c r="T22" s="37">
        <f t="shared" si="3"/>
        <v>52</v>
      </c>
      <c r="U22" s="65">
        <f t="shared" si="4"/>
        <v>-43.319999999999993</v>
      </c>
      <c r="V22" s="41" t="str">
        <f t="shared" si="5"/>
        <v xml:space="preserve">DEB </v>
      </c>
      <c r="W22" s="33">
        <f t="shared" si="6"/>
        <v>-3</v>
      </c>
      <c r="X22" s="40" t="str">
        <f>IF(I22="","",IF(A22="H",IF(OR(H22="SEN",H22&lt;1995),VLOOKUP(I22,Feuil1!$A$11:$F$29,6),IF(AND(H22&gt;1994,H22&lt;1998),VLOOKUP(I22,Feuil1!$A$11:$F$29,5),IF(AND(H22&gt;1997,H22&lt;2000),VLOOKUP(I22,Feuil1!$A$11:$F$29,4),IF(AND(H22&gt;1999,H22&lt;2002),VLOOKUP(I22,Feuil1!$A$11:$F$29,3),VLOOKUP(I22,Feuil1!$A$11:$F$29,2))))),IF(OR(H22="SEN",H22&lt;1995),VLOOKUP(I22,Feuil1!$G$11:$L$25,6),IF(AND(H22&gt;1994,H22&lt;1998),VLOOKUP(I22,Feuil1!$G$11:$L$25,5),IF(AND(H22&gt;1997,H22&lt;2000),VLOOKUP(I22,Feuil1!$G$11:$L$25,4),IF(AND(H22&gt;1999,H22&lt;2002),VLOOKUP(I22,Feuil1!$G$11:$L$25,3),VLOOKUP(I22,Feuil1!$G$11:$L$25,2)))))))</f>
        <v>FS48</v>
      </c>
      <c r="Y22" s="39">
        <f t="shared" si="7"/>
        <v>85.774920042838346</v>
      </c>
      <c r="Z22" s="45"/>
      <c r="AA22" s="49" t="s">
        <v>12</v>
      </c>
      <c r="AB22" s="3">
        <f>T22-HLOOKUP(X22,Feuil1!$C$1:$BL$10,2,FALSE)</f>
        <v>-3</v>
      </c>
      <c r="AC22" s="3">
        <f>T22-HLOOKUP(X22,Feuil1!$C$1:$BL$10,3,FALSE)</f>
        <v>-13</v>
      </c>
      <c r="AD22" s="3">
        <f>T22-HLOOKUP(X22,Feuil1!$C$1:$BL$10,4,FALSE)</f>
        <v>-23</v>
      </c>
      <c r="AE22" s="3">
        <f>T22-HLOOKUP(X22,Feuil1!$C$1:$BL$10,5,FALSE)</f>
        <v>-33</v>
      </c>
      <c r="AF22" s="3">
        <f>T22-HLOOKUP(X22,Feuil1!$C$1:$BL$10,6,FALSE)</f>
        <v>-43</v>
      </c>
      <c r="AG22" s="3">
        <f>T22-HLOOKUP(X22,Feuil1!$C$1:$BL$10,7,FALSE)</f>
        <v>-58</v>
      </c>
      <c r="AH22" s="3">
        <f>T22-HLOOKUP(X22,Feuil1!$C$1:$BL$10,8,FALSE)</f>
        <v>-73</v>
      </c>
      <c r="AI22" s="3">
        <f>T22-HLOOKUP(X22,Feuil1!$C$1:$BL$10,9,FALSE)</f>
        <v>-88</v>
      </c>
      <c r="AJ22" s="3">
        <f>T22-HLOOKUP(X22,Feuil1!$C$1:$BL$10,10,FALSE)</f>
        <v>-103</v>
      </c>
      <c r="AQ22" s="5" t="str">
        <f t="shared" si="8"/>
        <v xml:space="preserve">DEB </v>
      </c>
      <c r="BC22" s="13"/>
    </row>
    <row r="23" spans="1:55" s="13" customFormat="1" ht="21" hidden="1" x14ac:dyDescent="0.2">
      <c r="A23" s="12" t="s">
        <v>69</v>
      </c>
      <c r="B23" s="18" t="s">
        <v>721</v>
      </c>
      <c r="C23" s="19" t="s">
        <v>722</v>
      </c>
      <c r="D23" s="61">
        <v>21</v>
      </c>
      <c r="E23" s="35">
        <v>380413</v>
      </c>
      <c r="F23" s="20" t="s">
        <v>734</v>
      </c>
      <c r="G23" s="20" t="s">
        <v>117</v>
      </c>
      <c r="H23" s="51">
        <v>1980</v>
      </c>
      <c r="I23" s="30">
        <v>47.64</v>
      </c>
      <c r="J23" s="19" t="s">
        <v>735</v>
      </c>
      <c r="K23" s="34" t="s">
        <v>69</v>
      </c>
      <c r="L23" s="31">
        <v>20</v>
      </c>
      <c r="M23" s="31">
        <v>-22</v>
      </c>
      <c r="N23" s="31">
        <v>23</v>
      </c>
      <c r="O23" s="36">
        <f t="shared" si="1"/>
        <v>23</v>
      </c>
      <c r="P23" s="31">
        <v>28</v>
      </c>
      <c r="Q23" s="31">
        <v>-31</v>
      </c>
      <c r="R23" s="31">
        <v>-31</v>
      </c>
      <c r="S23" s="36">
        <f t="shared" si="2"/>
        <v>28</v>
      </c>
      <c r="T23" s="37">
        <f t="shared" si="3"/>
        <v>51</v>
      </c>
      <c r="U23" s="65">
        <f t="shared" si="4"/>
        <v>-44.28</v>
      </c>
      <c r="V23" s="41" t="str">
        <f t="shared" si="5"/>
        <v xml:space="preserve">DEB </v>
      </c>
      <c r="W23" s="33">
        <f t="shared" si="6"/>
        <v>-4</v>
      </c>
      <c r="X23" s="40" t="str">
        <f>IF(I23="","",IF(A23="H",IF(OR(H23="SEN",H23&lt;1995),VLOOKUP(I23,Feuil1!$A$11:$F$29,6),IF(AND(H23&gt;1994,H23&lt;1998),VLOOKUP(I23,Feuil1!$A$11:$F$29,5),IF(AND(H23&gt;1997,H23&lt;2000),VLOOKUP(I23,Feuil1!$A$11:$F$29,4),IF(AND(H23&gt;1999,H23&lt;2002),VLOOKUP(I23,Feuil1!$A$11:$F$29,3),VLOOKUP(I23,Feuil1!$A$11:$F$29,2))))),IF(OR(H23="SEN",H23&lt;1995),VLOOKUP(I23,Feuil1!$G$11:$L$25,6),IF(AND(H23&gt;1994,H23&lt;1998),VLOOKUP(I23,Feuil1!$G$11:$L$25,5),IF(AND(H23&gt;1997,H23&lt;2000),VLOOKUP(I23,Feuil1!$G$11:$L$25,4),IF(AND(H23&gt;1999,H23&lt;2002),VLOOKUP(I23,Feuil1!$G$11:$L$25,3),VLOOKUP(I23,Feuil1!$G$11:$L$25,2)))))))</f>
        <v>FS48</v>
      </c>
      <c r="Y23" s="39">
        <f t="shared" si="7"/>
        <v>84.156600676767169</v>
      </c>
      <c r="Z23" s="45"/>
      <c r="AA23" s="49" t="s">
        <v>12</v>
      </c>
      <c r="AB23" s="3">
        <f>T23-HLOOKUP(X23,Feuil1!$C$1:$BL$10,2,FALSE)</f>
        <v>-4</v>
      </c>
      <c r="AC23" s="3">
        <f>T23-HLOOKUP(X23,Feuil1!$C$1:$BL$10,3,FALSE)</f>
        <v>-14</v>
      </c>
      <c r="AD23" s="3">
        <f>T23-HLOOKUP(X23,Feuil1!$C$1:$BL$10,4,FALSE)</f>
        <v>-24</v>
      </c>
      <c r="AE23" s="3">
        <f>T23-HLOOKUP(X23,Feuil1!$C$1:$BL$10,5,FALSE)</f>
        <v>-34</v>
      </c>
      <c r="AF23" s="3">
        <f>T23-HLOOKUP(X23,Feuil1!$C$1:$BL$10,6,FALSE)</f>
        <v>-44</v>
      </c>
      <c r="AG23" s="3">
        <f>T23-HLOOKUP(X23,Feuil1!$C$1:$BL$10,7,FALSE)</f>
        <v>-59</v>
      </c>
      <c r="AH23" s="3">
        <f>T23-HLOOKUP(X23,Feuil1!$C$1:$BL$10,8,FALSE)</f>
        <v>-74</v>
      </c>
      <c r="AI23" s="3">
        <f>T23-HLOOKUP(X23,Feuil1!$C$1:$BL$10,9,FALSE)</f>
        <v>-89</v>
      </c>
      <c r="AJ23" s="3">
        <f>T23-HLOOKUP(X23,Feuil1!$C$1:$BL$10,10,FALSE)</f>
        <v>-104</v>
      </c>
      <c r="AK23" s="5"/>
      <c r="AL23" s="5"/>
      <c r="AM23" s="5"/>
      <c r="AN23" s="5"/>
      <c r="AO23" s="5"/>
      <c r="AP23" s="5"/>
      <c r="AQ23" s="5" t="str">
        <f t="shared" si="8"/>
        <v xml:space="preserve">DEB </v>
      </c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</row>
    <row r="24" spans="1:55" s="13" customFormat="1" ht="15" hidden="1" customHeight="1" thickBot="1" x14ac:dyDescent="0.25">
      <c r="A24" s="89"/>
      <c r="B24" s="90"/>
      <c r="C24" s="91"/>
      <c r="D24" s="92"/>
      <c r="E24" s="93"/>
      <c r="F24" s="94"/>
      <c r="G24" s="94"/>
      <c r="H24" s="95"/>
      <c r="I24" s="96"/>
      <c r="J24" s="91"/>
      <c r="K24" s="97"/>
      <c r="L24" s="98"/>
      <c r="M24" s="98"/>
      <c r="N24" s="98"/>
      <c r="O24" s="99"/>
      <c r="P24" s="98"/>
      <c r="Q24" s="98"/>
      <c r="R24" s="98"/>
      <c r="S24" s="99"/>
      <c r="T24" s="100"/>
      <c r="U24" s="101"/>
      <c r="V24" s="102"/>
      <c r="W24" s="103"/>
      <c r="X24" s="104"/>
      <c r="Y24" s="105"/>
      <c r="Z24" s="45"/>
      <c r="AA24" s="45" t="s">
        <v>12</v>
      </c>
      <c r="AB24" s="3" t="e">
        <f>T24-HLOOKUP(X24,Feuil1!$C$1:$BL$10,2,FALSE)</f>
        <v>#N/A</v>
      </c>
      <c r="AC24" s="3" t="e">
        <f>T24-HLOOKUP(X24,Feuil1!$C$1:$BL$10,3,FALSE)</f>
        <v>#N/A</v>
      </c>
      <c r="AD24" s="3" t="e">
        <f>T24-HLOOKUP(X24,Feuil1!$C$1:$BL$10,4,FALSE)</f>
        <v>#N/A</v>
      </c>
      <c r="AE24" s="3" t="e">
        <f>T24-HLOOKUP(X24,Feuil1!$C$1:$BL$10,5,FALSE)</f>
        <v>#N/A</v>
      </c>
      <c r="AF24" s="3" t="e">
        <f>T24-HLOOKUP(X24,Feuil1!$C$1:$BL$10,6,FALSE)</f>
        <v>#N/A</v>
      </c>
      <c r="AG24" s="3" t="e">
        <f>T24-HLOOKUP(X24,Feuil1!$C$1:$BL$10,7,FALSE)</f>
        <v>#N/A</v>
      </c>
      <c r="AH24" s="3" t="e">
        <f>T24-HLOOKUP(X24,Feuil1!$C$1:$BL$10,8,FALSE)</f>
        <v>#N/A</v>
      </c>
      <c r="AI24" s="3" t="e">
        <f>T24-HLOOKUP(X24,Feuil1!$C$1:$BL$10,9,FALSE)</f>
        <v>#N/A</v>
      </c>
      <c r="AJ24" s="3" t="e">
        <f>T24-HLOOKUP(X24,Feuil1!$C$1:$BL$10,10,FALSE)</f>
        <v>#N/A</v>
      </c>
      <c r="AK24" s="5"/>
      <c r="AL24" s="5"/>
      <c r="AM24" s="5"/>
      <c r="AN24" s="5"/>
      <c r="AO24" s="5"/>
      <c r="AP24" s="5"/>
      <c r="AQ24" s="5" t="e">
        <f t="shared" ref="AQ24" si="9">IF(AJ24&gt;=0,$AJ$1,IF(AI24&gt;=0,$AI$1,IF(AH24&gt;=0,$AH$1,IF(AG24&gt;=0,$AG$1,IF(AF24&gt;=0,$AF$1,IF(AE24&gt;=0,$AE$1,IF(AD24&gt;=0,$AD$1,IF(AC24&gt;=0,$AC$1,$AB$1))))))))</f>
        <v>#N/A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</row>
    <row r="25" spans="1:55" ht="21" x14ac:dyDescent="0.2">
      <c r="A25" s="12" t="s">
        <v>69</v>
      </c>
      <c r="B25" s="67" t="s">
        <v>721</v>
      </c>
      <c r="C25" s="68" t="s">
        <v>775</v>
      </c>
      <c r="D25" s="69">
        <v>1</v>
      </c>
      <c r="E25" s="70">
        <v>129989</v>
      </c>
      <c r="F25" s="71" t="s">
        <v>781</v>
      </c>
      <c r="G25" s="71" t="s">
        <v>782</v>
      </c>
      <c r="H25" s="72">
        <v>1988</v>
      </c>
      <c r="I25" s="73">
        <v>49.2</v>
      </c>
      <c r="J25" s="68" t="s">
        <v>778</v>
      </c>
      <c r="K25" s="74" t="s">
        <v>69</v>
      </c>
      <c r="L25" s="75">
        <v>73</v>
      </c>
      <c r="M25" s="75">
        <v>75</v>
      </c>
      <c r="N25" s="75">
        <v>77</v>
      </c>
      <c r="O25" s="76">
        <f t="shared" ref="O25:O56" si="10">IF(H25="","",IF(MAXA(L25:N25)&lt;=0,0,MAXA(L25:N25)))</f>
        <v>77</v>
      </c>
      <c r="P25" s="75">
        <v>93</v>
      </c>
      <c r="Q25" s="75">
        <v>96</v>
      </c>
      <c r="R25" s="75">
        <v>-99</v>
      </c>
      <c r="S25" s="76">
        <f t="shared" ref="S25:S56" si="11">IF(H25="","",IF(MAXA(P25:R25)&lt;=0,0,MAXA(P25:R25)))</f>
        <v>96</v>
      </c>
      <c r="T25" s="77">
        <f t="shared" ref="T25:T56" si="12">IF(H25="","",IF(OR(O25=0,S25=0),0,O25+S25))</f>
        <v>173</v>
      </c>
      <c r="U25" s="78">
        <f t="shared" ref="U25:U56" si="13">T25-I25*2</f>
        <v>74.599999999999994</v>
      </c>
      <c r="V25" s="79" t="str">
        <f t="shared" ref="V25:V56" si="14">IF(H25="","",AQ25)</f>
        <v>INTA +</v>
      </c>
      <c r="W25" s="80">
        <f t="shared" ref="W25:W56" si="15">IF(AJ25&gt;=0,AJ25,IF(AI25&gt;=0,AI25,IF(AH25&gt;=0,AH25,IF(AG25&gt;=0,AG25,IF(AF25&gt;=0,AF25,IF(AE25&gt;=0,AE25,IF(AD25&gt;=0,AD25,IF(AC25&gt;=0,AC25,AB25))))))))</f>
        <v>13</v>
      </c>
      <c r="X25" s="81" t="str">
        <f>IF(I25="","",IF(A25="H",IF(OR(H25="SEN",H25&lt;1995),VLOOKUP(I25,Feuil1!$A$11:$F$29,6),IF(AND(H25&gt;1994,H25&lt;1998),VLOOKUP(I25,Feuil1!$A$11:$F$29,5),IF(AND(H25&gt;1997,H25&lt;2000),VLOOKUP(I25,Feuil1!$A$11:$F$29,4),IF(AND(H25&gt;1999,H25&lt;2002),VLOOKUP(I25,Feuil1!$A$11:$F$29,3),VLOOKUP(I25,Feuil1!$A$11:$F$29,2))))),IF(OR(H25="SEN",H25&lt;1995),VLOOKUP(I25,Feuil1!$G$11:$L$25,6),IF(AND(H25&gt;1994,H25&lt;1998),VLOOKUP(I25,Feuil1!$G$11:$L$25,5),IF(AND(H25&gt;1997,H25&lt;2000),VLOOKUP(I25,Feuil1!$G$11:$L$25,4),IF(AND(H25&gt;1999,H25&lt;2002),VLOOKUP(I25,Feuil1!$G$11:$L$25,3),VLOOKUP(I25,Feuil1!$G$11:$L$25,2)))))))</f>
        <v>FS53</v>
      </c>
      <c r="Y25" s="39">
        <f t="shared" ref="Y25:Y56" si="16">IF(I25="","",IF(A25="H",10^(0.794358141*LOG(I25/174.393)^2)*T25,IF(A25="F",10^(0.89726074*LOG(I25/148.026)^2)*T25,"")))</f>
        <v>277.57210454338809</v>
      </c>
      <c r="Z25" s="45"/>
      <c r="AA25" s="49" t="s">
        <v>12</v>
      </c>
      <c r="AB25" s="3">
        <f>T25-HLOOKUP(X25,Feuil1!$C$1:$BL$10,2,FALSE)</f>
        <v>108</v>
      </c>
      <c r="AC25" s="3">
        <f>T25-HLOOKUP(X25,Feuil1!$C$1:$BL$10,3,FALSE)</f>
        <v>98</v>
      </c>
      <c r="AD25" s="3">
        <f>T25-HLOOKUP(X25,Feuil1!$C$1:$BL$10,4,FALSE)</f>
        <v>88</v>
      </c>
      <c r="AE25" s="3">
        <f>T25-HLOOKUP(X25,Feuil1!$C$1:$BL$10,5,FALSE)</f>
        <v>78</v>
      </c>
      <c r="AF25" s="3">
        <f>T25-HLOOKUP(X25,Feuil1!$C$1:$BL$10,6,FALSE)</f>
        <v>68</v>
      </c>
      <c r="AG25" s="3">
        <f>T25-HLOOKUP(X25,Feuil1!$C$1:$BL$10,7,FALSE)</f>
        <v>53</v>
      </c>
      <c r="AH25" s="3">
        <f>T25-HLOOKUP(X25,Feuil1!$C$1:$BL$10,8,FALSE)</f>
        <v>33</v>
      </c>
      <c r="AI25" s="3">
        <f>T25-HLOOKUP(X25,Feuil1!$C$1:$BL$10,9,FALSE)</f>
        <v>13</v>
      </c>
      <c r="AJ25" s="3">
        <f>T25-HLOOKUP(X25,Feuil1!$C$1:$BL$10,10,FALSE)</f>
        <v>-2</v>
      </c>
      <c r="AQ25" s="5" t="str">
        <f t="shared" ref="AQ25:AQ56" si="17">IF(AJ25&gt;=0,$AJ$1,IF(AI25&gt;=0,$AI$1,IF(AH25&gt;=0,$AH$1,IF(AG25&gt;=0,$AG$1,IF(AF25&gt;=0,$AF$1,IF(AE25&gt;=0,$AE$1,IF(AD25&gt;=0,$AD$1,IF(AC25&gt;=0,$AC$1,$AB$1))))))))</f>
        <v>INTA +</v>
      </c>
      <c r="BC25" s="13"/>
    </row>
    <row r="26" spans="1:55" ht="21" x14ac:dyDescent="0.2">
      <c r="A26" s="12" t="s">
        <v>69</v>
      </c>
      <c r="B26" s="18" t="s">
        <v>108</v>
      </c>
      <c r="C26" s="19" t="s">
        <v>119</v>
      </c>
      <c r="D26" s="61">
        <v>2</v>
      </c>
      <c r="E26" s="35">
        <v>107889</v>
      </c>
      <c r="F26" s="20" t="s">
        <v>195</v>
      </c>
      <c r="G26" s="20" t="s">
        <v>430</v>
      </c>
      <c r="H26" s="51">
        <v>1991</v>
      </c>
      <c r="I26" s="30">
        <v>49.2</v>
      </c>
      <c r="J26" s="19" t="s">
        <v>138</v>
      </c>
      <c r="K26" s="34" t="s">
        <v>69</v>
      </c>
      <c r="L26" s="31">
        <v>73</v>
      </c>
      <c r="M26" s="31">
        <v>75</v>
      </c>
      <c r="N26" s="31">
        <v>77</v>
      </c>
      <c r="O26" s="36">
        <f t="shared" si="10"/>
        <v>77</v>
      </c>
      <c r="P26" s="31">
        <v>88</v>
      </c>
      <c r="Q26" s="31">
        <v>91</v>
      </c>
      <c r="R26" s="31">
        <v>-93</v>
      </c>
      <c r="S26" s="36">
        <f t="shared" si="11"/>
        <v>91</v>
      </c>
      <c r="T26" s="37">
        <f t="shared" si="12"/>
        <v>168</v>
      </c>
      <c r="U26" s="65">
        <f t="shared" si="13"/>
        <v>69.599999999999994</v>
      </c>
      <c r="V26" s="41" t="str">
        <f t="shared" si="14"/>
        <v>INTA +</v>
      </c>
      <c r="W26" s="33">
        <f t="shared" si="15"/>
        <v>8</v>
      </c>
      <c r="X26" s="40" t="str">
        <f>IF(I26="","",IF(A26="H",IF(OR(H26="SEN",H26&lt;1995),VLOOKUP(I26,Feuil1!$A$11:$F$29,6),IF(AND(H26&gt;1994,H26&lt;1998),VLOOKUP(I26,Feuil1!$A$11:$F$29,5),IF(AND(H26&gt;1997,H26&lt;2000),VLOOKUP(I26,Feuil1!$A$11:$F$29,4),IF(AND(H26&gt;1999,H26&lt;2002),VLOOKUP(I26,Feuil1!$A$11:$F$29,3),VLOOKUP(I26,Feuil1!$A$11:$F$29,2))))),IF(OR(H26="SEN",H26&lt;1995),VLOOKUP(I26,Feuil1!$G$11:$L$25,6),IF(AND(H26&gt;1994,H26&lt;1998),VLOOKUP(I26,Feuil1!$G$11:$L$25,5),IF(AND(H26&gt;1997,H26&lt;2000),VLOOKUP(I26,Feuil1!$G$11:$L$25,4),IF(AND(H26&gt;1999,H26&lt;2002),VLOOKUP(I26,Feuil1!$G$11:$L$25,3),VLOOKUP(I26,Feuil1!$G$11:$L$25,2)))))))</f>
        <v>FS53</v>
      </c>
      <c r="Y26" s="39">
        <f t="shared" si="16"/>
        <v>269.54978938317458</v>
      </c>
      <c r="Z26" s="45"/>
      <c r="AA26" s="49" t="s">
        <v>12</v>
      </c>
      <c r="AB26" s="3">
        <f>T26-HLOOKUP(X26,Feuil1!$C$1:$BL$10,2,FALSE)</f>
        <v>103</v>
      </c>
      <c r="AC26" s="3">
        <f>T26-HLOOKUP(X26,Feuil1!$C$1:$BL$10,3,FALSE)</f>
        <v>93</v>
      </c>
      <c r="AD26" s="3">
        <f>T26-HLOOKUP(X26,Feuil1!$C$1:$BL$10,4,FALSE)</f>
        <v>83</v>
      </c>
      <c r="AE26" s="3">
        <f>T26-HLOOKUP(X26,Feuil1!$C$1:$BL$10,5,FALSE)</f>
        <v>73</v>
      </c>
      <c r="AF26" s="3">
        <f>T26-HLOOKUP(X26,Feuil1!$C$1:$BL$10,6,FALSE)</f>
        <v>63</v>
      </c>
      <c r="AG26" s="3">
        <f>T26-HLOOKUP(X26,Feuil1!$C$1:$BL$10,7,FALSE)</f>
        <v>48</v>
      </c>
      <c r="AH26" s="3">
        <f>T26-HLOOKUP(X26,Feuil1!$C$1:$BL$10,8,FALSE)</f>
        <v>28</v>
      </c>
      <c r="AI26" s="3">
        <f>T26-HLOOKUP(X26,Feuil1!$C$1:$BL$10,9,FALSE)</f>
        <v>8</v>
      </c>
      <c r="AJ26" s="3">
        <f>T26-HLOOKUP(X26,Feuil1!$C$1:$BL$10,10,FALSE)</f>
        <v>-7</v>
      </c>
      <c r="AQ26" s="5" t="str">
        <f t="shared" si="17"/>
        <v>INTA +</v>
      </c>
    </row>
    <row r="27" spans="1:55" ht="21" x14ac:dyDescent="0.2">
      <c r="A27" s="12" t="s">
        <v>69</v>
      </c>
      <c r="B27" s="18" t="s">
        <v>298</v>
      </c>
      <c r="C27" s="19" t="s">
        <v>404</v>
      </c>
      <c r="D27" s="61">
        <v>3</v>
      </c>
      <c r="E27" s="35">
        <v>250225</v>
      </c>
      <c r="F27" s="21" t="s">
        <v>449</v>
      </c>
      <c r="G27" s="20" t="s">
        <v>450</v>
      </c>
      <c r="H27" s="51">
        <v>1993</v>
      </c>
      <c r="I27" s="30">
        <v>52.2</v>
      </c>
      <c r="J27" s="19" t="s">
        <v>406</v>
      </c>
      <c r="K27" s="34" t="s">
        <v>69</v>
      </c>
      <c r="L27" s="31">
        <v>57</v>
      </c>
      <c r="M27" s="31">
        <v>60</v>
      </c>
      <c r="N27" s="31">
        <v>63</v>
      </c>
      <c r="O27" s="36">
        <f t="shared" si="10"/>
        <v>63</v>
      </c>
      <c r="P27" s="31">
        <v>73</v>
      </c>
      <c r="Q27" s="31">
        <v>77</v>
      </c>
      <c r="R27" s="31">
        <v>80</v>
      </c>
      <c r="S27" s="36">
        <f t="shared" si="11"/>
        <v>80</v>
      </c>
      <c r="T27" s="37">
        <f t="shared" si="12"/>
        <v>143</v>
      </c>
      <c r="U27" s="65">
        <f t="shared" si="13"/>
        <v>38.599999999999994</v>
      </c>
      <c r="V27" s="41" t="str">
        <f t="shared" si="14"/>
        <v>INTB +</v>
      </c>
      <c r="W27" s="33">
        <f t="shared" si="15"/>
        <v>3</v>
      </c>
      <c r="X27" s="40" t="str">
        <f>IF(I27="","",IF(A27="H",IF(OR(H27="SEN",H27&lt;1995),VLOOKUP(I27,Feuil1!$A$11:$F$29,6),IF(AND(H27&gt;1994,H27&lt;1998),VLOOKUP(I27,Feuil1!$A$11:$F$29,5),IF(AND(H27&gt;1997,H27&lt;2000),VLOOKUP(I27,Feuil1!$A$11:$F$29,4),IF(AND(H27&gt;1999,H27&lt;2002),VLOOKUP(I27,Feuil1!$A$11:$F$29,3),VLOOKUP(I27,Feuil1!$A$11:$F$29,2))))),IF(OR(H27="SEN",H27&lt;1995),VLOOKUP(I27,Feuil1!$G$11:$L$25,6),IF(AND(H27&gt;1994,H27&lt;1998),VLOOKUP(I27,Feuil1!$G$11:$L$25,5),IF(AND(H27&gt;1997,H27&lt;2000),VLOOKUP(I27,Feuil1!$G$11:$L$25,4),IF(AND(H27&gt;1999,H27&lt;2002),VLOOKUP(I27,Feuil1!$G$11:$L$25,3),VLOOKUP(I27,Feuil1!$G$11:$L$25,2)))))))</f>
        <v>FS53</v>
      </c>
      <c r="Y27" s="39">
        <f t="shared" si="16"/>
        <v>218.36942024906929</v>
      </c>
      <c r="Z27" s="45"/>
      <c r="AA27" s="49" t="s">
        <v>12</v>
      </c>
      <c r="AB27" s="3">
        <f>T27-HLOOKUP(X27,Feuil1!$C$1:$BL$10,2,FALSE)</f>
        <v>78</v>
      </c>
      <c r="AC27" s="3">
        <f>T27-HLOOKUP(X27,Feuil1!$C$1:$BL$10,3,FALSE)</f>
        <v>68</v>
      </c>
      <c r="AD27" s="3">
        <f>T27-HLOOKUP(X27,Feuil1!$C$1:$BL$10,4,FALSE)</f>
        <v>58</v>
      </c>
      <c r="AE27" s="3">
        <f>T27-HLOOKUP(X27,Feuil1!$C$1:$BL$10,5,FALSE)</f>
        <v>48</v>
      </c>
      <c r="AF27" s="3">
        <f>T27-HLOOKUP(X27,Feuil1!$C$1:$BL$10,6,FALSE)</f>
        <v>38</v>
      </c>
      <c r="AG27" s="3">
        <f>T27-HLOOKUP(X27,Feuil1!$C$1:$BL$10,7,FALSE)</f>
        <v>23</v>
      </c>
      <c r="AH27" s="3">
        <f>T27-HLOOKUP(X27,Feuil1!$C$1:$BL$10,8,FALSE)</f>
        <v>3</v>
      </c>
      <c r="AI27" s="3">
        <f>T27-HLOOKUP(X27,Feuil1!$C$1:$BL$10,9,FALSE)</f>
        <v>-17</v>
      </c>
      <c r="AJ27" s="3">
        <f>T27-HLOOKUP(X27,Feuil1!$C$1:$BL$10,10,FALSE)</f>
        <v>-32</v>
      </c>
      <c r="AQ27" s="5" t="str">
        <f t="shared" si="17"/>
        <v>INTB +</v>
      </c>
    </row>
    <row r="28" spans="1:55" ht="21" x14ac:dyDescent="0.2">
      <c r="A28" s="12" t="s">
        <v>69</v>
      </c>
      <c r="B28" s="18" t="s">
        <v>108</v>
      </c>
      <c r="C28" s="19" t="s">
        <v>264</v>
      </c>
      <c r="D28" s="61">
        <v>4</v>
      </c>
      <c r="E28" s="35">
        <v>7051</v>
      </c>
      <c r="F28" s="20" t="s">
        <v>278</v>
      </c>
      <c r="G28" s="20" t="s">
        <v>117</v>
      </c>
      <c r="H28" s="51">
        <v>1986</v>
      </c>
      <c r="I28" s="30">
        <v>48.2</v>
      </c>
      <c r="J28" s="19" t="s">
        <v>267</v>
      </c>
      <c r="K28" s="34" t="s">
        <v>69</v>
      </c>
      <c r="L28" s="31">
        <v>57</v>
      </c>
      <c r="M28" s="31">
        <v>61</v>
      </c>
      <c r="N28" s="31">
        <v>65</v>
      </c>
      <c r="O28" s="36">
        <f t="shared" si="10"/>
        <v>65</v>
      </c>
      <c r="P28" s="31">
        <v>70</v>
      </c>
      <c r="Q28" s="31">
        <v>75</v>
      </c>
      <c r="R28" s="31">
        <v>-80</v>
      </c>
      <c r="S28" s="36">
        <f t="shared" si="11"/>
        <v>75</v>
      </c>
      <c r="T28" s="37">
        <f t="shared" si="12"/>
        <v>140</v>
      </c>
      <c r="U28" s="65">
        <f t="shared" si="13"/>
        <v>43.599999999999994</v>
      </c>
      <c r="V28" s="41" t="str">
        <f t="shared" si="14"/>
        <v>INTB +</v>
      </c>
      <c r="W28" s="33">
        <f t="shared" si="15"/>
        <v>0</v>
      </c>
      <c r="X28" s="40" t="str">
        <f>IF(I28="","",IF(A28="H",IF(OR(H28="SEN",H28&lt;1995),VLOOKUP(I28,Feuil1!$A$11:$F$29,6),IF(AND(H28&gt;1994,H28&lt;1998),VLOOKUP(I28,Feuil1!$A$11:$F$29,5),IF(AND(H28&gt;1997,H28&lt;2000),VLOOKUP(I28,Feuil1!$A$11:$F$29,4),IF(AND(H28&gt;1999,H28&lt;2002),VLOOKUP(I28,Feuil1!$A$11:$F$29,3),VLOOKUP(I28,Feuil1!$A$11:$F$29,2))))),IF(OR(H28="SEN",H28&lt;1995),VLOOKUP(I28,Feuil1!$G$11:$L$25,6),IF(AND(H28&gt;1994,H28&lt;1998),VLOOKUP(I28,Feuil1!$G$11:$L$25,5),IF(AND(H28&gt;1997,H28&lt;2000),VLOOKUP(I28,Feuil1!$G$11:$L$25,4),IF(AND(H28&gt;1999,H28&lt;2002),VLOOKUP(I28,Feuil1!$G$11:$L$25,3),VLOOKUP(I28,Feuil1!$G$11:$L$25,2)))))))</f>
        <v>FS53</v>
      </c>
      <c r="Y28" s="39">
        <f t="shared" si="16"/>
        <v>228.65717209534532</v>
      </c>
      <c r="Z28" s="45"/>
      <c r="AA28" s="49" t="s">
        <v>12</v>
      </c>
      <c r="AB28" s="3">
        <f>T28-HLOOKUP(X28,Feuil1!$C$1:$BL$10,2,FALSE)</f>
        <v>75</v>
      </c>
      <c r="AC28" s="3">
        <f>T28-HLOOKUP(X28,Feuil1!$C$1:$BL$10,3,FALSE)</f>
        <v>65</v>
      </c>
      <c r="AD28" s="3">
        <f>T28-HLOOKUP(X28,Feuil1!$C$1:$BL$10,4,FALSE)</f>
        <v>55</v>
      </c>
      <c r="AE28" s="3">
        <f>T28-HLOOKUP(X28,Feuil1!$C$1:$BL$10,5,FALSE)</f>
        <v>45</v>
      </c>
      <c r="AF28" s="3">
        <f>T28-HLOOKUP(X28,Feuil1!$C$1:$BL$10,6,FALSE)</f>
        <v>35</v>
      </c>
      <c r="AG28" s="3">
        <f>T28-HLOOKUP(X28,Feuil1!$C$1:$BL$10,7,FALSE)</f>
        <v>20</v>
      </c>
      <c r="AH28" s="3">
        <f>T28-HLOOKUP(X28,Feuil1!$C$1:$BL$10,8,FALSE)</f>
        <v>0</v>
      </c>
      <c r="AI28" s="3">
        <f>T28-HLOOKUP(X28,Feuil1!$C$1:$BL$10,9,FALSE)</f>
        <v>-20</v>
      </c>
      <c r="AJ28" s="3">
        <f>T28-HLOOKUP(X28,Feuil1!$C$1:$BL$10,10,FALSE)</f>
        <v>-35</v>
      </c>
      <c r="AQ28" s="5" t="str">
        <f t="shared" si="17"/>
        <v>INTB +</v>
      </c>
    </row>
    <row r="29" spans="1:55" ht="21" hidden="1" x14ac:dyDescent="0.2">
      <c r="A29" s="12" t="s">
        <v>69</v>
      </c>
      <c r="B29" s="18" t="s">
        <v>108</v>
      </c>
      <c r="C29" s="19" t="s">
        <v>119</v>
      </c>
      <c r="D29" s="61">
        <v>5</v>
      </c>
      <c r="E29" s="35">
        <v>124208</v>
      </c>
      <c r="F29" s="20" t="s">
        <v>196</v>
      </c>
      <c r="G29" s="20" t="s">
        <v>197</v>
      </c>
      <c r="H29" s="51">
        <v>1992</v>
      </c>
      <c r="I29" s="30">
        <v>51.6</v>
      </c>
      <c r="J29" s="19" t="s">
        <v>122</v>
      </c>
      <c r="K29" s="34" t="s">
        <v>69</v>
      </c>
      <c r="L29" s="31">
        <v>55</v>
      </c>
      <c r="M29" s="31">
        <v>58</v>
      </c>
      <c r="N29" s="31">
        <v>61</v>
      </c>
      <c r="O29" s="36">
        <f t="shared" si="10"/>
        <v>61</v>
      </c>
      <c r="P29" s="31">
        <v>70</v>
      </c>
      <c r="Q29" s="31">
        <v>74</v>
      </c>
      <c r="R29" s="31">
        <v>-76</v>
      </c>
      <c r="S29" s="36">
        <f t="shared" si="11"/>
        <v>74</v>
      </c>
      <c r="T29" s="37">
        <f t="shared" si="12"/>
        <v>135</v>
      </c>
      <c r="U29" s="65">
        <f t="shared" si="13"/>
        <v>31.799999999999997</v>
      </c>
      <c r="V29" s="41" t="str">
        <f t="shared" si="14"/>
        <v>NAT +</v>
      </c>
      <c r="W29" s="33">
        <f t="shared" si="15"/>
        <v>15</v>
      </c>
      <c r="X29" s="40" t="str">
        <f>IF(I29="","",IF(A29="H",IF(OR(H29="SEN",H29&lt;1995),VLOOKUP(I29,Feuil1!$A$11:$F$29,6),IF(AND(H29&gt;1994,H29&lt;1998),VLOOKUP(I29,Feuil1!$A$11:$F$29,5),IF(AND(H29&gt;1997,H29&lt;2000),VLOOKUP(I29,Feuil1!$A$11:$F$29,4),IF(AND(H29&gt;1999,H29&lt;2002),VLOOKUP(I29,Feuil1!$A$11:$F$29,3),VLOOKUP(I29,Feuil1!$A$11:$F$29,2))))),IF(OR(H29="SEN",H29&lt;1995),VLOOKUP(I29,Feuil1!$G$11:$L$25,6),IF(AND(H29&gt;1994,H29&lt;1998),VLOOKUP(I29,Feuil1!$G$11:$L$25,5),IF(AND(H29&gt;1997,H29&lt;2000),VLOOKUP(I29,Feuil1!$G$11:$L$25,4),IF(AND(H29&gt;1999,H29&lt;2002),VLOOKUP(I29,Feuil1!$G$11:$L$25,3),VLOOKUP(I29,Feuil1!$G$11:$L$25,2)))))))</f>
        <v>FS53</v>
      </c>
      <c r="Y29" s="39">
        <f t="shared" si="16"/>
        <v>208.10891061987655</v>
      </c>
      <c r="Z29" s="45"/>
      <c r="AA29" s="49" t="s">
        <v>12</v>
      </c>
      <c r="AB29" s="3">
        <f>T29-HLOOKUP(X29,Feuil1!$C$1:$BL$10,2,FALSE)</f>
        <v>70</v>
      </c>
      <c r="AC29" s="3">
        <f>T29-HLOOKUP(X29,Feuil1!$C$1:$BL$10,3,FALSE)</f>
        <v>60</v>
      </c>
      <c r="AD29" s="3">
        <f>T29-HLOOKUP(X29,Feuil1!$C$1:$BL$10,4,FALSE)</f>
        <v>50</v>
      </c>
      <c r="AE29" s="3">
        <f>T29-HLOOKUP(X29,Feuil1!$C$1:$BL$10,5,FALSE)</f>
        <v>40</v>
      </c>
      <c r="AF29" s="3">
        <f>T29-HLOOKUP(X29,Feuil1!$C$1:$BL$10,6,FALSE)</f>
        <v>30</v>
      </c>
      <c r="AG29" s="3">
        <f>T29-HLOOKUP(X29,Feuil1!$C$1:$BL$10,7,FALSE)</f>
        <v>15</v>
      </c>
      <c r="AH29" s="3">
        <f>T29-HLOOKUP(X29,Feuil1!$C$1:$BL$10,8,FALSE)</f>
        <v>-5</v>
      </c>
      <c r="AI29" s="3">
        <f>T29-HLOOKUP(X29,Feuil1!$C$1:$BL$10,9,FALSE)</f>
        <v>-25</v>
      </c>
      <c r="AJ29" s="3">
        <f>T29-HLOOKUP(X29,Feuil1!$C$1:$BL$10,10,FALSE)</f>
        <v>-40</v>
      </c>
      <c r="AQ29" s="5" t="str">
        <f t="shared" si="17"/>
        <v>NAT +</v>
      </c>
    </row>
    <row r="30" spans="1:55" ht="21" hidden="1" x14ac:dyDescent="0.2">
      <c r="A30" s="12" t="s">
        <v>69</v>
      </c>
      <c r="B30" s="67" t="s">
        <v>71</v>
      </c>
      <c r="C30" s="68" t="s">
        <v>72</v>
      </c>
      <c r="D30" s="69">
        <v>6</v>
      </c>
      <c r="E30" s="70">
        <v>79011</v>
      </c>
      <c r="F30" s="71" t="s">
        <v>951</v>
      </c>
      <c r="G30" s="71" t="s">
        <v>968</v>
      </c>
      <c r="H30" s="72">
        <v>1990</v>
      </c>
      <c r="I30" s="73">
        <v>48.4</v>
      </c>
      <c r="J30" s="68" t="s">
        <v>938</v>
      </c>
      <c r="K30" s="74" t="s">
        <v>69</v>
      </c>
      <c r="L30" s="75">
        <v>53</v>
      </c>
      <c r="M30" s="75">
        <v>56</v>
      </c>
      <c r="N30" s="75">
        <v>59</v>
      </c>
      <c r="O30" s="76">
        <f t="shared" si="10"/>
        <v>59</v>
      </c>
      <c r="P30" s="75">
        <v>71</v>
      </c>
      <c r="Q30" s="75">
        <v>75</v>
      </c>
      <c r="R30" s="75">
        <v>-78</v>
      </c>
      <c r="S30" s="76">
        <f t="shared" si="11"/>
        <v>75</v>
      </c>
      <c r="T30" s="77">
        <f t="shared" si="12"/>
        <v>134</v>
      </c>
      <c r="U30" s="78">
        <f t="shared" si="13"/>
        <v>37.200000000000003</v>
      </c>
      <c r="V30" s="87" t="str">
        <f t="shared" si="14"/>
        <v>NAT +</v>
      </c>
      <c r="W30" s="80">
        <f t="shared" si="15"/>
        <v>14</v>
      </c>
      <c r="X30" s="81" t="str">
        <f>IF(I30="","",IF(A30="H",IF(OR(H30="SEN",H30&lt;1995),VLOOKUP(I30,Feuil1!$A$11:$F$29,6),IF(AND(H30&gt;1994,H30&lt;1998),VLOOKUP(I30,Feuil1!$A$11:$F$29,5),IF(AND(H30&gt;1997,H30&lt;2000),VLOOKUP(I30,Feuil1!$A$11:$F$29,4),IF(AND(H30&gt;1999,H30&lt;2002),VLOOKUP(I30,Feuil1!$A$11:$F$29,3),VLOOKUP(I30,Feuil1!$A$11:$F$29,2))))),IF(OR(H30="SEN",H30&lt;1995),VLOOKUP(I30,Feuil1!$G$11:$L$25,6),IF(AND(H30&gt;1994,H30&lt;1998),VLOOKUP(I30,Feuil1!$G$11:$L$25,5),IF(AND(H30&gt;1997,H30&lt;2000),VLOOKUP(I30,Feuil1!$G$11:$L$25,4),IF(AND(H30&gt;1999,H30&lt;2002),VLOOKUP(I30,Feuil1!$G$11:$L$25,3),VLOOKUP(I30,Feuil1!$G$11:$L$25,2)))))))</f>
        <v>FS53</v>
      </c>
      <c r="Y30" s="39">
        <f t="shared" si="16"/>
        <v>218.06800035507709</v>
      </c>
      <c r="Z30" s="45"/>
      <c r="AA30" s="49" t="s">
        <v>12</v>
      </c>
      <c r="AB30" s="3">
        <f>T30-HLOOKUP(X30,Feuil1!$C$1:$BL$10,2,FALSE)</f>
        <v>69</v>
      </c>
      <c r="AC30" s="3">
        <f>T30-HLOOKUP(X30,Feuil1!$C$1:$BL$10,3,FALSE)</f>
        <v>59</v>
      </c>
      <c r="AD30" s="3">
        <f>T30-HLOOKUP(X30,Feuil1!$C$1:$BL$10,4,FALSE)</f>
        <v>49</v>
      </c>
      <c r="AE30" s="3">
        <f>T30-HLOOKUP(X30,Feuil1!$C$1:$BL$10,5,FALSE)</f>
        <v>39</v>
      </c>
      <c r="AF30" s="3">
        <f>T30-HLOOKUP(X30,Feuil1!$C$1:$BL$10,6,FALSE)</f>
        <v>29</v>
      </c>
      <c r="AG30" s="3">
        <f>T30-HLOOKUP(X30,Feuil1!$C$1:$BL$10,7,FALSE)</f>
        <v>14</v>
      </c>
      <c r="AH30" s="3">
        <f>T30-HLOOKUP(X30,Feuil1!$C$1:$BL$10,8,FALSE)</f>
        <v>-6</v>
      </c>
      <c r="AI30" s="3">
        <f>T30-HLOOKUP(X30,Feuil1!$C$1:$BL$10,9,FALSE)</f>
        <v>-26</v>
      </c>
      <c r="AJ30" s="3">
        <f>T30-HLOOKUP(X30,Feuil1!$C$1:$BL$10,10,FALSE)</f>
        <v>-41</v>
      </c>
      <c r="AQ30" s="5" t="str">
        <f t="shared" si="17"/>
        <v>NAT +</v>
      </c>
    </row>
    <row r="31" spans="1:55" ht="21" hidden="1" x14ac:dyDescent="0.2">
      <c r="A31" s="12" t="s">
        <v>69</v>
      </c>
      <c r="B31" s="18" t="s">
        <v>721</v>
      </c>
      <c r="C31" s="19" t="s">
        <v>745</v>
      </c>
      <c r="D31" s="61">
        <v>7</v>
      </c>
      <c r="E31" s="35">
        <v>32998</v>
      </c>
      <c r="F31" s="20" t="s">
        <v>760</v>
      </c>
      <c r="G31" s="20" t="s">
        <v>547</v>
      </c>
      <c r="H31" s="51">
        <v>1988</v>
      </c>
      <c r="I31" s="30">
        <v>52.2</v>
      </c>
      <c r="J31" s="19" t="s">
        <v>748</v>
      </c>
      <c r="K31" s="34" t="s">
        <v>69</v>
      </c>
      <c r="L31" s="31">
        <v>55</v>
      </c>
      <c r="M31" s="31">
        <v>58</v>
      </c>
      <c r="N31" s="31">
        <v>60</v>
      </c>
      <c r="O31" s="36">
        <f t="shared" si="10"/>
        <v>60</v>
      </c>
      <c r="P31" s="31">
        <v>66</v>
      </c>
      <c r="Q31" s="31">
        <v>69</v>
      </c>
      <c r="R31" s="31">
        <v>-72</v>
      </c>
      <c r="S31" s="36">
        <f t="shared" si="11"/>
        <v>69</v>
      </c>
      <c r="T31" s="37">
        <f t="shared" si="12"/>
        <v>129</v>
      </c>
      <c r="U31" s="65">
        <f t="shared" si="13"/>
        <v>24.599999999999994</v>
      </c>
      <c r="V31" s="41" t="str">
        <f t="shared" si="14"/>
        <v>NAT +</v>
      </c>
      <c r="W31" s="33">
        <f t="shared" si="15"/>
        <v>9</v>
      </c>
      <c r="X31" s="40" t="str">
        <f>IF(I31="","",IF(A31="H",IF(OR(H31="SEN",H31&lt;1995),VLOOKUP(I31,Feuil1!$A$11:$F$29,6),IF(AND(H31&gt;1994,H31&lt;1998),VLOOKUP(I31,Feuil1!$A$11:$F$29,5),IF(AND(H31&gt;1997,H31&lt;2000),VLOOKUP(I31,Feuil1!$A$11:$F$29,4),IF(AND(H31&gt;1999,H31&lt;2002),VLOOKUP(I31,Feuil1!$A$11:$F$29,3),VLOOKUP(I31,Feuil1!$A$11:$F$29,2))))),IF(OR(H31="SEN",H31&lt;1995),VLOOKUP(I31,Feuil1!$G$11:$L$25,6),IF(AND(H31&gt;1994,H31&lt;1998),VLOOKUP(I31,Feuil1!$G$11:$L$25,5),IF(AND(H31&gt;1997,H31&lt;2000),VLOOKUP(I31,Feuil1!$G$11:$L$25,4),IF(AND(H31&gt;1999,H31&lt;2002),VLOOKUP(I31,Feuil1!$G$11:$L$25,3),VLOOKUP(I31,Feuil1!$G$11:$L$25,2)))))))</f>
        <v>FS53</v>
      </c>
      <c r="Y31" s="39">
        <f t="shared" si="16"/>
        <v>196.99059588902054</v>
      </c>
      <c r="Z31" s="45"/>
      <c r="AA31" s="49" t="s">
        <v>12</v>
      </c>
      <c r="AB31" s="3">
        <f>T31-HLOOKUP(X31,Feuil1!$C$1:$BL$10,2,FALSE)</f>
        <v>64</v>
      </c>
      <c r="AC31" s="3">
        <f>T31-HLOOKUP(X31,Feuil1!$C$1:$BL$10,3,FALSE)</f>
        <v>54</v>
      </c>
      <c r="AD31" s="3">
        <f>T31-HLOOKUP(X31,Feuil1!$C$1:$BL$10,4,FALSE)</f>
        <v>44</v>
      </c>
      <c r="AE31" s="3">
        <f>T31-HLOOKUP(X31,Feuil1!$C$1:$BL$10,5,FALSE)</f>
        <v>34</v>
      </c>
      <c r="AF31" s="3">
        <f>T31-HLOOKUP(X31,Feuil1!$C$1:$BL$10,6,FALSE)</f>
        <v>24</v>
      </c>
      <c r="AG31" s="3">
        <f>T31-HLOOKUP(X31,Feuil1!$C$1:$BL$10,7,FALSE)</f>
        <v>9</v>
      </c>
      <c r="AH31" s="3">
        <f>T31-HLOOKUP(X31,Feuil1!$C$1:$BL$10,8,FALSE)</f>
        <v>-11</v>
      </c>
      <c r="AI31" s="3">
        <f>T31-HLOOKUP(X31,Feuil1!$C$1:$BL$10,9,FALSE)</f>
        <v>-31</v>
      </c>
      <c r="AJ31" s="3">
        <f>T31-HLOOKUP(X31,Feuil1!$C$1:$BL$10,10,FALSE)</f>
        <v>-46</v>
      </c>
      <c r="AQ31" s="5" t="str">
        <f t="shared" si="17"/>
        <v>NAT +</v>
      </c>
      <c r="BC31" s="13"/>
    </row>
    <row r="32" spans="1:55" ht="21" hidden="1" x14ac:dyDescent="0.2">
      <c r="A32" s="12" t="s">
        <v>69</v>
      </c>
      <c r="B32" s="18" t="s">
        <v>108</v>
      </c>
      <c r="C32" s="19" t="s">
        <v>119</v>
      </c>
      <c r="D32" s="61">
        <v>8</v>
      </c>
      <c r="E32" s="35">
        <v>88574</v>
      </c>
      <c r="F32" s="20" t="s">
        <v>198</v>
      </c>
      <c r="G32" s="20" t="s">
        <v>680</v>
      </c>
      <c r="H32" s="51">
        <v>1988</v>
      </c>
      <c r="I32" s="30">
        <v>52.3</v>
      </c>
      <c r="J32" s="19" t="s">
        <v>138</v>
      </c>
      <c r="K32" s="34" t="s">
        <v>69</v>
      </c>
      <c r="L32" s="31">
        <v>53</v>
      </c>
      <c r="M32" s="31">
        <v>-56</v>
      </c>
      <c r="N32" s="31">
        <v>56</v>
      </c>
      <c r="O32" s="36">
        <f t="shared" si="10"/>
        <v>56</v>
      </c>
      <c r="P32" s="31">
        <v>66</v>
      </c>
      <c r="Q32" s="31">
        <v>70</v>
      </c>
      <c r="R32" s="31">
        <v>-73</v>
      </c>
      <c r="S32" s="36">
        <f t="shared" si="11"/>
        <v>70</v>
      </c>
      <c r="T32" s="37">
        <f t="shared" si="12"/>
        <v>126</v>
      </c>
      <c r="U32" s="65">
        <f t="shared" si="13"/>
        <v>21.400000000000006</v>
      </c>
      <c r="V32" s="41" t="str">
        <f t="shared" si="14"/>
        <v>NAT +</v>
      </c>
      <c r="W32" s="33">
        <f t="shared" si="15"/>
        <v>6</v>
      </c>
      <c r="X32" s="40" t="str">
        <f>IF(I32="","",IF(A32="H",IF(OR(H32="SEN",H32&lt;1995),VLOOKUP(I32,Feuil1!$A$11:$F$29,6),IF(AND(H32&gt;1994,H32&lt;1998),VLOOKUP(I32,Feuil1!$A$11:$F$29,5),IF(AND(H32&gt;1997,H32&lt;2000),VLOOKUP(I32,Feuil1!$A$11:$F$29,4),IF(AND(H32&gt;1999,H32&lt;2002),VLOOKUP(I32,Feuil1!$A$11:$F$29,3),VLOOKUP(I32,Feuil1!$A$11:$F$29,2))))),IF(OR(H32="SEN",H32&lt;1995),VLOOKUP(I32,Feuil1!$G$11:$L$25,6),IF(AND(H32&gt;1994,H32&lt;1998),VLOOKUP(I32,Feuil1!$G$11:$L$25,5),IF(AND(H32&gt;1997,H32&lt;2000),VLOOKUP(I32,Feuil1!$G$11:$L$25,4),IF(AND(H32&gt;1999,H32&lt;2002),VLOOKUP(I32,Feuil1!$G$11:$L$25,3),VLOOKUP(I32,Feuil1!$G$11:$L$25,2)))))))</f>
        <v>FS53</v>
      </c>
      <c r="Y32" s="39">
        <f t="shared" si="16"/>
        <v>192.11079023103167</v>
      </c>
      <c r="Z32" s="45"/>
      <c r="AA32" s="49" t="s">
        <v>12</v>
      </c>
      <c r="AB32" s="3">
        <f>T32-HLOOKUP(X32,Feuil1!$C$1:$BL$10,2,FALSE)</f>
        <v>61</v>
      </c>
      <c r="AC32" s="3">
        <f>T32-HLOOKUP(X32,Feuil1!$C$1:$BL$10,3,FALSE)</f>
        <v>51</v>
      </c>
      <c r="AD32" s="3">
        <f>T32-HLOOKUP(X32,Feuil1!$C$1:$BL$10,4,FALSE)</f>
        <v>41</v>
      </c>
      <c r="AE32" s="3">
        <f>T32-HLOOKUP(X32,Feuil1!$C$1:$BL$10,5,FALSE)</f>
        <v>31</v>
      </c>
      <c r="AF32" s="3">
        <f>T32-HLOOKUP(X32,Feuil1!$C$1:$BL$10,6,FALSE)</f>
        <v>21</v>
      </c>
      <c r="AG32" s="3">
        <f>T32-HLOOKUP(X32,Feuil1!$C$1:$BL$10,7,FALSE)</f>
        <v>6</v>
      </c>
      <c r="AH32" s="3">
        <f>T32-HLOOKUP(X32,Feuil1!$C$1:$BL$10,8,FALSE)</f>
        <v>-14</v>
      </c>
      <c r="AI32" s="3">
        <f>T32-HLOOKUP(X32,Feuil1!$C$1:$BL$10,9,FALSE)</f>
        <v>-34</v>
      </c>
      <c r="AJ32" s="3">
        <f>T32-HLOOKUP(X32,Feuil1!$C$1:$BL$10,10,FALSE)</f>
        <v>-49</v>
      </c>
      <c r="AQ32" s="5" t="str">
        <f t="shared" si="17"/>
        <v>NAT +</v>
      </c>
    </row>
    <row r="33" spans="1:55" ht="21" hidden="1" x14ac:dyDescent="0.2">
      <c r="A33" s="12" t="s">
        <v>69</v>
      </c>
      <c r="B33" s="67" t="s">
        <v>649</v>
      </c>
      <c r="C33" s="68" t="s">
        <v>648</v>
      </c>
      <c r="D33" s="69">
        <v>9</v>
      </c>
      <c r="E33" s="70">
        <v>241107</v>
      </c>
      <c r="F33" s="71" t="s">
        <v>650</v>
      </c>
      <c r="G33" s="71" t="s">
        <v>651</v>
      </c>
      <c r="H33" s="72">
        <v>1978</v>
      </c>
      <c r="I33" s="73">
        <v>48.5</v>
      </c>
      <c r="J33" s="68" t="s">
        <v>642</v>
      </c>
      <c r="K33" s="74" t="s">
        <v>69</v>
      </c>
      <c r="L33" s="75">
        <v>50</v>
      </c>
      <c r="M33" s="75">
        <v>55</v>
      </c>
      <c r="N33" s="75">
        <v>-57</v>
      </c>
      <c r="O33" s="76">
        <f t="shared" si="10"/>
        <v>55</v>
      </c>
      <c r="P33" s="75">
        <v>60</v>
      </c>
      <c r="Q33" s="75">
        <v>65</v>
      </c>
      <c r="R33" s="75">
        <v>-70</v>
      </c>
      <c r="S33" s="76">
        <f t="shared" si="11"/>
        <v>65</v>
      </c>
      <c r="T33" s="77">
        <f t="shared" si="12"/>
        <v>120</v>
      </c>
      <c r="U33" s="78">
        <f t="shared" si="13"/>
        <v>23</v>
      </c>
      <c r="V33" s="79" t="str">
        <f t="shared" si="14"/>
        <v>NAT +</v>
      </c>
      <c r="W33" s="80">
        <f t="shared" si="15"/>
        <v>0</v>
      </c>
      <c r="X33" s="81" t="str">
        <f>IF(I33="","",IF(A33="H",IF(OR(H33="SEN",H33&lt;1995),VLOOKUP(I33,Feuil1!$A$11:$F$29,6),IF(AND(H33&gt;1994,H33&lt;1998),VLOOKUP(I33,Feuil1!$A$11:$F$29,5),IF(AND(H33&gt;1997,H33&lt;2000),VLOOKUP(I33,Feuil1!$A$11:$F$29,4),IF(AND(H33&gt;1999,H33&lt;2002),VLOOKUP(I33,Feuil1!$A$11:$F$29,3),VLOOKUP(I33,Feuil1!$A$11:$F$29,2))))),IF(OR(H33="SEN",H33&lt;1995),VLOOKUP(I33,Feuil1!$G$11:$L$25,6),IF(AND(H33&gt;1994,H33&lt;1998),VLOOKUP(I33,Feuil1!$G$11:$L$25,5),IF(AND(H33&gt;1997,H33&lt;2000),VLOOKUP(I33,Feuil1!$G$11:$L$25,4),IF(AND(H33&gt;1999,H33&lt;2002),VLOOKUP(I33,Feuil1!$G$11:$L$25,3),VLOOKUP(I33,Feuil1!$G$11:$L$25,2)))))))</f>
        <v>FS53</v>
      </c>
      <c r="Y33" s="39">
        <f t="shared" si="16"/>
        <v>194.9342547363718</v>
      </c>
      <c r="Z33" s="45"/>
      <c r="AA33" s="49" t="s">
        <v>12</v>
      </c>
      <c r="AB33" s="3">
        <f>T33-HLOOKUP(X33,Feuil1!$C$1:$BL$10,2,FALSE)</f>
        <v>55</v>
      </c>
      <c r="AC33" s="3">
        <f>T33-HLOOKUP(X33,Feuil1!$C$1:$BL$10,3,FALSE)</f>
        <v>45</v>
      </c>
      <c r="AD33" s="3">
        <f>T33-HLOOKUP(X33,Feuil1!$C$1:$BL$10,4,FALSE)</f>
        <v>35</v>
      </c>
      <c r="AE33" s="3">
        <f>T33-HLOOKUP(X33,Feuil1!$C$1:$BL$10,5,FALSE)</f>
        <v>25</v>
      </c>
      <c r="AF33" s="3">
        <f>T33-HLOOKUP(X33,Feuil1!$C$1:$BL$10,6,FALSE)</f>
        <v>15</v>
      </c>
      <c r="AG33" s="3">
        <f>T33-HLOOKUP(X33,Feuil1!$C$1:$BL$10,7,FALSE)</f>
        <v>0</v>
      </c>
      <c r="AH33" s="3">
        <f>T33-HLOOKUP(X33,Feuil1!$C$1:$BL$10,8,FALSE)</f>
        <v>-20</v>
      </c>
      <c r="AI33" s="3">
        <f>T33-HLOOKUP(X33,Feuil1!$C$1:$BL$10,9,FALSE)</f>
        <v>-40</v>
      </c>
      <c r="AJ33" s="3">
        <f>T33-HLOOKUP(X33,Feuil1!$C$1:$BL$10,10,FALSE)</f>
        <v>-55</v>
      </c>
      <c r="AQ33" s="5" t="str">
        <f t="shared" si="17"/>
        <v>NAT +</v>
      </c>
      <c r="BC33" s="13"/>
    </row>
    <row r="34" spans="1:55" ht="21" hidden="1" x14ac:dyDescent="0.2">
      <c r="A34" s="12" t="s">
        <v>69</v>
      </c>
      <c r="B34" s="18" t="s">
        <v>536</v>
      </c>
      <c r="C34" s="19" t="s">
        <v>545</v>
      </c>
      <c r="D34" s="61">
        <v>10</v>
      </c>
      <c r="E34" s="35">
        <v>330764</v>
      </c>
      <c r="F34" s="20" t="s">
        <v>584</v>
      </c>
      <c r="G34" s="20" t="s">
        <v>585</v>
      </c>
      <c r="H34" s="51">
        <v>1989</v>
      </c>
      <c r="I34" s="30">
        <v>49.2</v>
      </c>
      <c r="J34" s="19" t="s">
        <v>555</v>
      </c>
      <c r="K34" s="34" t="s">
        <v>69</v>
      </c>
      <c r="L34" s="31">
        <v>48</v>
      </c>
      <c r="M34" s="31">
        <v>51</v>
      </c>
      <c r="N34" s="31">
        <v>-53</v>
      </c>
      <c r="O34" s="36">
        <f t="shared" si="10"/>
        <v>51</v>
      </c>
      <c r="P34" s="31">
        <v>63</v>
      </c>
      <c r="Q34" s="31">
        <v>66</v>
      </c>
      <c r="R34" s="31">
        <v>69</v>
      </c>
      <c r="S34" s="36">
        <f t="shared" si="11"/>
        <v>69</v>
      </c>
      <c r="T34" s="37">
        <f t="shared" si="12"/>
        <v>120</v>
      </c>
      <c r="U34" s="65">
        <f t="shared" si="13"/>
        <v>21.599999999999994</v>
      </c>
      <c r="V34" s="41" t="str">
        <f t="shared" si="14"/>
        <v>NAT +</v>
      </c>
      <c r="W34" s="33">
        <f t="shared" si="15"/>
        <v>0</v>
      </c>
      <c r="X34" s="40" t="str">
        <f>IF(I34="","",IF(A34="H",IF(OR(H34="SEN",H34&lt;1995),VLOOKUP(I34,Feuil1!$A$11:$F$29,6),IF(AND(H34&gt;1994,H34&lt;1998),VLOOKUP(I34,Feuil1!$A$11:$F$29,5),IF(AND(H34&gt;1997,H34&lt;2000),VLOOKUP(I34,Feuil1!$A$11:$F$29,4),IF(AND(H34&gt;1999,H34&lt;2002),VLOOKUP(I34,Feuil1!$A$11:$F$29,3),VLOOKUP(I34,Feuil1!$A$11:$F$29,2))))),IF(OR(H34="SEN",H34&lt;1995),VLOOKUP(I34,Feuil1!$G$11:$L$25,6),IF(AND(H34&gt;1994,H34&lt;1998),VLOOKUP(I34,Feuil1!$G$11:$L$25,5),IF(AND(H34&gt;1997,H34&lt;2000),VLOOKUP(I34,Feuil1!$G$11:$L$25,4),IF(AND(H34&gt;1999,H34&lt;2002),VLOOKUP(I34,Feuil1!$G$11:$L$25,3),VLOOKUP(I34,Feuil1!$G$11:$L$25,2)))))))</f>
        <v>FS53</v>
      </c>
      <c r="Y34" s="39">
        <f t="shared" si="16"/>
        <v>192.5355638451247</v>
      </c>
      <c r="Z34" s="45"/>
      <c r="AA34" s="49" t="s">
        <v>12</v>
      </c>
      <c r="AB34" s="3">
        <f>T34-HLOOKUP(X34,Feuil1!$C$1:$BL$10,2,FALSE)</f>
        <v>55</v>
      </c>
      <c r="AC34" s="3">
        <f>T34-HLOOKUP(X34,Feuil1!$C$1:$BL$10,3,FALSE)</f>
        <v>45</v>
      </c>
      <c r="AD34" s="3">
        <f>T34-HLOOKUP(X34,Feuil1!$C$1:$BL$10,4,FALSE)</f>
        <v>35</v>
      </c>
      <c r="AE34" s="3">
        <f>T34-HLOOKUP(X34,Feuil1!$C$1:$BL$10,5,FALSE)</f>
        <v>25</v>
      </c>
      <c r="AF34" s="3">
        <f>T34-HLOOKUP(X34,Feuil1!$C$1:$BL$10,6,FALSE)</f>
        <v>15</v>
      </c>
      <c r="AG34" s="3">
        <f>T34-HLOOKUP(X34,Feuil1!$C$1:$BL$10,7,FALSE)</f>
        <v>0</v>
      </c>
      <c r="AH34" s="3">
        <f>T34-HLOOKUP(X34,Feuil1!$C$1:$BL$10,8,FALSE)</f>
        <v>-20</v>
      </c>
      <c r="AI34" s="3">
        <f>T34-HLOOKUP(X34,Feuil1!$C$1:$BL$10,9,FALSE)</f>
        <v>-40</v>
      </c>
      <c r="AJ34" s="3">
        <f>T34-HLOOKUP(X34,Feuil1!$C$1:$BL$10,10,FALSE)</f>
        <v>-55</v>
      </c>
      <c r="AQ34" s="5" t="str">
        <f t="shared" si="17"/>
        <v>NAT +</v>
      </c>
    </row>
    <row r="35" spans="1:55" ht="21" hidden="1" x14ac:dyDescent="0.2">
      <c r="A35" s="12" t="s">
        <v>69</v>
      </c>
      <c r="B35" s="18" t="s">
        <v>71</v>
      </c>
      <c r="C35" s="19" t="s">
        <v>801</v>
      </c>
      <c r="D35" s="61">
        <v>11</v>
      </c>
      <c r="E35" s="35">
        <v>31729</v>
      </c>
      <c r="F35" s="20" t="s">
        <v>842</v>
      </c>
      <c r="G35" s="20" t="s">
        <v>843</v>
      </c>
      <c r="H35" s="51">
        <v>1982</v>
      </c>
      <c r="I35" s="30">
        <v>50.6</v>
      </c>
      <c r="J35" s="19" t="s">
        <v>803</v>
      </c>
      <c r="K35" s="34" t="s">
        <v>69</v>
      </c>
      <c r="L35" s="31">
        <v>51</v>
      </c>
      <c r="M35" s="31">
        <v>53</v>
      </c>
      <c r="N35" s="31">
        <v>-55</v>
      </c>
      <c r="O35" s="36">
        <f t="shared" si="10"/>
        <v>53</v>
      </c>
      <c r="P35" s="31">
        <v>67</v>
      </c>
      <c r="Q35" s="31">
        <v>-70</v>
      </c>
      <c r="R35" s="31">
        <v>-70</v>
      </c>
      <c r="S35" s="36">
        <f t="shared" si="11"/>
        <v>67</v>
      </c>
      <c r="T35" s="37">
        <f t="shared" si="12"/>
        <v>120</v>
      </c>
      <c r="U35" s="65">
        <f t="shared" si="13"/>
        <v>18.799999999999997</v>
      </c>
      <c r="V35" s="41" t="str">
        <f t="shared" si="14"/>
        <v>NAT +</v>
      </c>
      <c r="W35" s="33">
        <f t="shared" si="15"/>
        <v>0</v>
      </c>
      <c r="X35" s="40" t="str">
        <f>IF(I35="","",IF(A35="H",IF(OR(H35="SEN",H35&lt;1995),VLOOKUP(I35,Feuil1!$A$11:$F$29,6),IF(AND(H35&gt;1994,H35&lt;1998),VLOOKUP(I35,Feuil1!$A$11:$F$29,5),IF(AND(H35&gt;1997,H35&lt;2000),VLOOKUP(I35,Feuil1!$A$11:$F$29,4),IF(AND(H35&gt;1999,H35&lt;2002),VLOOKUP(I35,Feuil1!$A$11:$F$29,3),VLOOKUP(I35,Feuil1!$A$11:$F$29,2))))),IF(OR(H35="SEN",H35&lt;1995),VLOOKUP(I35,Feuil1!$G$11:$L$25,6),IF(AND(H35&gt;1994,H35&lt;1998),VLOOKUP(I35,Feuil1!$G$11:$L$25,5),IF(AND(H35&gt;1997,H35&lt;2000),VLOOKUP(I35,Feuil1!$G$11:$L$25,4),IF(AND(H35&gt;1999,H35&lt;2002),VLOOKUP(I35,Feuil1!$G$11:$L$25,3),VLOOKUP(I35,Feuil1!$G$11:$L$25,2)))))))</f>
        <v>FS53</v>
      </c>
      <c r="Y35" s="39">
        <f t="shared" si="16"/>
        <v>188.01115445287022</v>
      </c>
      <c r="Z35" s="45"/>
      <c r="AA35" s="49" t="s">
        <v>12</v>
      </c>
      <c r="AB35" s="3">
        <f>T35-HLOOKUP(X35,Feuil1!$C$1:$BL$10,2,FALSE)</f>
        <v>55</v>
      </c>
      <c r="AC35" s="3">
        <f>T35-HLOOKUP(X35,Feuil1!$C$1:$BL$10,3,FALSE)</f>
        <v>45</v>
      </c>
      <c r="AD35" s="3">
        <f>T35-HLOOKUP(X35,Feuil1!$C$1:$BL$10,4,FALSE)</f>
        <v>35</v>
      </c>
      <c r="AE35" s="3">
        <f>T35-HLOOKUP(X35,Feuil1!$C$1:$BL$10,5,FALSE)</f>
        <v>25</v>
      </c>
      <c r="AF35" s="3">
        <f>T35-HLOOKUP(X35,Feuil1!$C$1:$BL$10,6,FALSE)</f>
        <v>15</v>
      </c>
      <c r="AG35" s="3">
        <f>T35-HLOOKUP(X35,Feuil1!$C$1:$BL$10,7,FALSE)</f>
        <v>0</v>
      </c>
      <c r="AH35" s="3">
        <f>T35-HLOOKUP(X35,Feuil1!$C$1:$BL$10,8,FALSE)</f>
        <v>-20</v>
      </c>
      <c r="AI35" s="3">
        <f>T35-HLOOKUP(X35,Feuil1!$C$1:$BL$10,9,FALSE)</f>
        <v>-40</v>
      </c>
      <c r="AJ35" s="3">
        <f>T35-HLOOKUP(X35,Feuil1!$C$1:$BL$10,10,FALSE)</f>
        <v>-55</v>
      </c>
      <c r="AQ35" s="5" t="str">
        <f t="shared" si="17"/>
        <v>NAT +</v>
      </c>
      <c r="BC35" s="13"/>
    </row>
    <row r="36" spans="1:55" ht="21" hidden="1" x14ac:dyDescent="0.2">
      <c r="A36" s="12" t="s">
        <v>69</v>
      </c>
      <c r="B36" s="18" t="s">
        <v>688</v>
      </c>
      <c r="C36" s="19" t="s">
        <v>689</v>
      </c>
      <c r="D36" s="61">
        <v>12</v>
      </c>
      <c r="E36" s="35">
        <v>1312</v>
      </c>
      <c r="F36" s="20" t="s">
        <v>708</v>
      </c>
      <c r="G36" s="20" t="s">
        <v>709</v>
      </c>
      <c r="H36" s="51">
        <v>1972</v>
      </c>
      <c r="I36" s="30">
        <v>52.5</v>
      </c>
      <c r="J36" s="19" t="s">
        <v>710</v>
      </c>
      <c r="K36" s="34" t="s">
        <v>69</v>
      </c>
      <c r="L36" s="31">
        <v>49</v>
      </c>
      <c r="M36" s="31">
        <v>51</v>
      </c>
      <c r="N36" s="31">
        <v>53</v>
      </c>
      <c r="O36" s="52">
        <f t="shared" si="10"/>
        <v>53</v>
      </c>
      <c r="P36" s="53">
        <v>59</v>
      </c>
      <c r="Q36" s="53">
        <v>62</v>
      </c>
      <c r="R36" s="53">
        <v>64</v>
      </c>
      <c r="S36" s="52">
        <f t="shared" si="11"/>
        <v>64</v>
      </c>
      <c r="T36" s="54">
        <f t="shared" si="12"/>
        <v>117</v>
      </c>
      <c r="U36" s="64">
        <f t="shared" si="13"/>
        <v>12</v>
      </c>
      <c r="V36" s="55" t="str">
        <f t="shared" si="14"/>
        <v>FED +</v>
      </c>
      <c r="W36" s="56">
        <f t="shared" si="15"/>
        <v>12</v>
      </c>
      <c r="X36" s="40" t="str">
        <f>IF(I36="","",IF(A36="H",IF(OR(H36="SEN",H36&lt;1995),VLOOKUP(I36,Feuil1!$A$11:$F$29,6),IF(AND(H36&gt;1994,H36&lt;1998),VLOOKUP(I36,Feuil1!$A$11:$F$29,5),IF(AND(H36&gt;1997,H36&lt;2000),VLOOKUP(I36,Feuil1!$A$11:$F$29,4),IF(AND(H36&gt;1999,H36&lt;2002),VLOOKUP(I36,Feuil1!$A$11:$F$29,3),VLOOKUP(I36,Feuil1!$A$11:$F$29,2))))),IF(OR(H36="SEN",H36&lt;1995),VLOOKUP(I36,Feuil1!$G$11:$L$25,6),IF(AND(H36&gt;1994,H36&lt;1998),VLOOKUP(I36,Feuil1!$G$11:$L$25,5),IF(AND(H36&gt;1997,H36&lt;2000),VLOOKUP(I36,Feuil1!$G$11:$L$25,4),IF(AND(H36&gt;1999,H36&lt;2002),VLOOKUP(I36,Feuil1!$G$11:$L$25,3),VLOOKUP(I36,Feuil1!$G$11:$L$25,2)))))))</f>
        <v>FS53</v>
      </c>
      <c r="Y36" s="39">
        <f t="shared" si="16"/>
        <v>177.83838137531035</v>
      </c>
      <c r="Z36" s="45"/>
      <c r="AA36" s="49" t="s">
        <v>12</v>
      </c>
      <c r="AB36" s="3">
        <f>T36-HLOOKUP(X36,Feuil1!$C$1:$BL$10,2,FALSE)</f>
        <v>52</v>
      </c>
      <c r="AC36" s="3">
        <f>T36-HLOOKUP(X36,Feuil1!$C$1:$BL$10,3,FALSE)</f>
        <v>42</v>
      </c>
      <c r="AD36" s="3">
        <f>T36-HLOOKUP(X36,Feuil1!$C$1:$BL$10,4,FALSE)</f>
        <v>32</v>
      </c>
      <c r="AE36" s="3">
        <f>T36-HLOOKUP(X36,Feuil1!$C$1:$BL$10,5,FALSE)</f>
        <v>22</v>
      </c>
      <c r="AF36" s="3">
        <f>T36-HLOOKUP(X36,Feuil1!$C$1:$BL$10,6,FALSE)</f>
        <v>12</v>
      </c>
      <c r="AG36" s="3">
        <f>T36-HLOOKUP(X36,Feuil1!$C$1:$BL$10,7,FALSE)</f>
        <v>-3</v>
      </c>
      <c r="AH36" s="3">
        <f>T36-HLOOKUP(X36,Feuil1!$C$1:$BL$10,8,FALSE)</f>
        <v>-23</v>
      </c>
      <c r="AI36" s="3">
        <f>T36-HLOOKUP(X36,Feuil1!$C$1:$BL$10,9,FALSE)</f>
        <v>-43</v>
      </c>
      <c r="AJ36" s="3">
        <f>T36-HLOOKUP(X36,Feuil1!$C$1:$BL$10,10,FALSE)</f>
        <v>-58</v>
      </c>
      <c r="AQ36" s="5" t="str">
        <f t="shared" si="17"/>
        <v>FED +</v>
      </c>
      <c r="BC36" s="13"/>
    </row>
    <row r="37" spans="1:55" s="13" customFormat="1" ht="21" hidden="1" x14ac:dyDescent="0.2">
      <c r="A37" s="12" t="s">
        <v>69</v>
      </c>
      <c r="B37" s="18" t="s">
        <v>536</v>
      </c>
      <c r="C37" s="19" t="s">
        <v>545</v>
      </c>
      <c r="D37" s="61">
        <v>13</v>
      </c>
      <c r="E37" s="35">
        <v>376138</v>
      </c>
      <c r="F37" s="20" t="s">
        <v>587</v>
      </c>
      <c r="G37" s="20" t="s">
        <v>588</v>
      </c>
      <c r="H37" s="51">
        <v>1992</v>
      </c>
      <c r="I37" s="30">
        <v>52.4</v>
      </c>
      <c r="J37" s="19" t="s">
        <v>548</v>
      </c>
      <c r="K37" s="34" t="s">
        <v>69</v>
      </c>
      <c r="L37" s="31">
        <v>43</v>
      </c>
      <c r="M37" s="31">
        <v>46</v>
      </c>
      <c r="N37" s="31">
        <v>48</v>
      </c>
      <c r="O37" s="36">
        <f t="shared" si="10"/>
        <v>48</v>
      </c>
      <c r="P37" s="31">
        <v>60</v>
      </c>
      <c r="Q37" s="31">
        <v>63</v>
      </c>
      <c r="R37" s="31">
        <v>66</v>
      </c>
      <c r="S37" s="36">
        <f t="shared" si="11"/>
        <v>66</v>
      </c>
      <c r="T37" s="37">
        <f t="shared" si="12"/>
        <v>114</v>
      </c>
      <c r="U37" s="65">
        <f t="shared" si="13"/>
        <v>9.2000000000000028</v>
      </c>
      <c r="V37" s="41" t="str">
        <f t="shared" si="14"/>
        <v>FED +</v>
      </c>
      <c r="W37" s="33">
        <f t="shared" si="15"/>
        <v>9</v>
      </c>
      <c r="X37" s="40" t="str">
        <f>IF(I37="","",IF(A37="H",IF(OR(H37="SEN",H37&lt;1995),VLOOKUP(I37,Feuil1!$A$11:$F$29,6),IF(AND(H37&gt;1994,H37&lt;1998),VLOOKUP(I37,Feuil1!$A$11:$F$29,5),IF(AND(H37&gt;1997,H37&lt;2000),VLOOKUP(I37,Feuil1!$A$11:$F$29,4),IF(AND(H37&gt;1999,H37&lt;2002),VLOOKUP(I37,Feuil1!$A$11:$F$29,3),VLOOKUP(I37,Feuil1!$A$11:$F$29,2))))),IF(OR(H37="SEN",H37&lt;1995),VLOOKUP(I37,Feuil1!$G$11:$L$25,6),IF(AND(H37&gt;1994,H37&lt;1998),VLOOKUP(I37,Feuil1!$G$11:$L$25,5),IF(AND(H37&gt;1997,H37&lt;2000),VLOOKUP(I37,Feuil1!$G$11:$L$25,4),IF(AND(H37&gt;1999,H37&lt;2002),VLOOKUP(I37,Feuil1!$G$11:$L$25,3),VLOOKUP(I37,Feuil1!$G$11:$L$25,2)))))))</f>
        <v>FS53</v>
      </c>
      <c r="Y37" s="39">
        <f t="shared" si="16"/>
        <v>173.54576460945117</v>
      </c>
      <c r="Z37" s="45"/>
      <c r="AA37" s="49" t="s">
        <v>12</v>
      </c>
      <c r="AB37" s="3">
        <f>T37-HLOOKUP(X37,Feuil1!$C$1:$BL$10,2,FALSE)</f>
        <v>49</v>
      </c>
      <c r="AC37" s="3">
        <f>T37-HLOOKUP(X37,Feuil1!$C$1:$BL$10,3,FALSE)</f>
        <v>39</v>
      </c>
      <c r="AD37" s="3">
        <f>T37-HLOOKUP(X37,Feuil1!$C$1:$BL$10,4,FALSE)</f>
        <v>29</v>
      </c>
      <c r="AE37" s="3">
        <f>T37-HLOOKUP(X37,Feuil1!$C$1:$BL$10,5,FALSE)</f>
        <v>19</v>
      </c>
      <c r="AF37" s="3">
        <f>T37-HLOOKUP(X37,Feuil1!$C$1:$BL$10,6,FALSE)</f>
        <v>9</v>
      </c>
      <c r="AG37" s="3">
        <f>T37-HLOOKUP(X37,Feuil1!$C$1:$BL$10,7,FALSE)</f>
        <v>-6</v>
      </c>
      <c r="AH37" s="3">
        <f>T37-HLOOKUP(X37,Feuil1!$C$1:$BL$10,8,FALSE)</f>
        <v>-26</v>
      </c>
      <c r="AI37" s="3">
        <f>T37-HLOOKUP(X37,Feuil1!$C$1:$BL$10,9,FALSE)</f>
        <v>-46</v>
      </c>
      <c r="AJ37" s="3">
        <f>T37-HLOOKUP(X37,Feuil1!$C$1:$BL$10,10,FALSE)</f>
        <v>-61</v>
      </c>
      <c r="AK37" s="5"/>
      <c r="AL37" s="5"/>
      <c r="AM37" s="5"/>
      <c r="AN37" s="5"/>
      <c r="AO37" s="5"/>
      <c r="AP37" s="5"/>
      <c r="AQ37" s="5" t="str">
        <f t="shared" si="17"/>
        <v>FED +</v>
      </c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</row>
    <row r="38" spans="1:55" ht="21" hidden="1" x14ac:dyDescent="0.2">
      <c r="A38" s="12" t="s">
        <v>69</v>
      </c>
      <c r="B38" s="18" t="s">
        <v>71</v>
      </c>
      <c r="C38" s="19" t="s">
        <v>72</v>
      </c>
      <c r="D38" s="61">
        <v>14</v>
      </c>
      <c r="E38" s="35">
        <v>331889</v>
      </c>
      <c r="F38" s="20" t="s">
        <v>986</v>
      </c>
      <c r="G38" s="20" t="s">
        <v>709</v>
      </c>
      <c r="H38" s="51">
        <v>1976</v>
      </c>
      <c r="I38" s="30">
        <v>51.3</v>
      </c>
      <c r="J38" s="19" t="s">
        <v>923</v>
      </c>
      <c r="K38" s="34" t="s">
        <v>69</v>
      </c>
      <c r="L38" s="31">
        <v>42</v>
      </c>
      <c r="M38" s="31">
        <v>44</v>
      </c>
      <c r="N38" s="31">
        <v>46</v>
      </c>
      <c r="O38" s="36">
        <f t="shared" si="10"/>
        <v>46</v>
      </c>
      <c r="P38" s="31">
        <v>55</v>
      </c>
      <c r="Q38" s="31">
        <v>60</v>
      </c>
      <c r="R38" s="31">
        <v>64</v>
      </c>
      <c r="S38" s="36">
        <f t="shared" si="11"/>
        <v>64</v>
      </c>
      <c r="T38" s="37">
        <f t="shared" si="12"/>
        <v>110</v>
      </c>
      <c r="U38" s="65">
        <f t="shared" si="13"/>
        <v>7.4000000000000057</v>
      </c>
      <c r="V38" s="32" t="str">
        <f t="shared" si="14"/>
        <v>FED +</v>
      </c>
      <c r="W38" s="33">
        <f t="shared" si="15"/>
        <v>5</v>
      </c>
      <c r="X38" s="40" t="str">
        <f>IF(I38="","",IF(A38="H",IF(OR(H38="SEN",H38&lt;1995),VLOOKUP(I38,Feuil1!$A$11:$F$29,6),IF(AND(H38&gt;1994,H38&lt;1998),VLOOKUP(I38,Feuil1!$A$11:$F$29,5),IF(AND(H38&gt;1997,H38&lt;2000),VLOOKUP(I38,Feuil1!$A$11:$F$29,4),IF(AND(H38&gt;1999,H38&lt;2002),VLOOKUP(I38,Feuil1!$A$11:$F$29,3),VLOOKUP(I38,Feuil1!$A$11:$F$29,2))))),IF(OR(H38="SEN",H38&lt;1995),VLOOKUP(I38,Feuil1!$G$11:$L$25,6),IF(AND(H38&gt;1994,H38&lt;1998),VLOOKUP(I38,Feuil1!$G$11:$L$25,5),IF(AND(H38&gt;1997,H38&lt;2000),VLOOKUP(I38,Feuil1!$G$11:$L$25,4),IF(AND(H38&gt;1999,H38&lt;2002),VLOOKUP(I38,Feuil1!$G$11:$L$25,3),VLOOKUP(I38,Feuil1!$G$11:$L$25,2)))))))</f>
        <v>FS53</v>
      </c>
      <c r="Y38" s="39">
        <f t="shared" si="16"/>
        <v>170.38652047135858</v>
      </c>
      <c r="Z38" s="45"/>
      <c r="AA38" s="49" t="s">
        <v>12</v>
      </c>
      <c r="AB38" s="3">
        <f>T38-HLOOKUP(X38,Feuil1!$C$1:$BL$10,2,FALSE)</f>
        <v>45</v>
      </c>
      <c r="AC38" s="3">
        <f>T38-HLOOKUP(X38,Feuil1!$C$1:$BL$10,3,FALSE)</f>
        <v>35</v>
      </c>
      <c r="AD38" s="3">
        <f>T38-HLOOKUP(X38,Feuil1!$C$1:$BL$10,4,FALSE)</f>
        <v>25</v>
      </c>
      <c r="AE38" s="3">
        <f>T38-HLOOKUP(X38,Feuil1!$C$1:$BL$10,5,FALSE)</f>
        <v>15</v>
      </c>
      <c r="AF38" s="3">
        <f>T38-HLOOKUP(X38,Feuil1!$C$1:$BL$10,6,FALSE)</f>
        <v>5</v>
      </c>
      <c r="AG38" s="3">
        <f>T38-HLOOKUP(X38,Feuil1!$C$1:$BL$10,7,FALSE)</f>
        <v>-10</v>
      </c>
      <c r="AH38" s="3">
        <f>T38-HLOOKUP(X38,Feuil1!$C$1:$BL$10,8,FALSE)</f>
        <v>-30</v>
      </c>
      <c r="AI38" s="3">
        <f>T38-HLOOKUP(X38,Feuil1!$C$1:$BL$10,9,FALSE)</f>
        <v>-50</v>
      </c>
      <c r="AJ38" s="3">
        <f>T38-HLOOKUP(X38,Feuil1!$C$1:$BL$10,10,FALSE)</f>
        <v>-65</v>
      </c>
      <c r="AQ38" s="5" t="str">
        <f t="shared" si="17"/>
        <v>FED +</v>
      </c>
    </row>
    <row r="39" spans="1:55" ht="21" hidden="1" x14ac:dyDescent="0.2">
      <c r="A39" s="12" t="s">
        <v>69</v>
      </c>
      <c r="B39" s="18" t="s">
        <v>298</v>
      </c>
      <c r="C39" s="19" t="s">
        <v>299</v>
      </c>
      <c r="D39" s="61">
        <v>15</v>
      </c>
      <c r="E39" s="35">
        <v>388572</v>
      </c>
      <c r="F39" s="21" t="s">
        <v>330</v>
      </c>
      <c r="G39" s="20" t="s">
        <v>331</v>
      </c>
      <c r="H39" s="51">
        <v>1978</v>
      </c>
      <c r="I39" s="30">
        <v>51.5</v>
      </c>
      <c r="J39" s="19" t="s">
        <v>332</v>
      </c>
      <c r="K39" s="34" t="s">
        <v>69</v>
      </c>
      <c r="L39" s="31">
        <v>45</v>
      </c>
      <c r="M39" s="31">
        <v>48</v>
      </c>
      <c r="N39" s="31">
        <v>-50</v>
      </c>
      <c r="O39" s="36">
        <f t="shared" si="10"/>
        <v>48</v>
      </c>
      <c r="P39" s="31">
        <v>57</v>
      </c>
      <c r="Q39" s="31">
        <v>60</v>
      </c>
      <c r="R39" s="31">
        <v>62</v>
      </c>
      <c r="S39" s="36">
        <f t="shared" si="11"/>
        <v>62</v>
      </c>
      <c r="T39" s="37">
        <f t="shared" si="12"/>
        <v>110</v>
      </c>
      <c r="U39" s="65">
        <f t="shared" si="13"/>
        <v>7</v>
      </c>
      <c r="V39" s="41" t="str">
        <f t="shared" si="14"/>
        <v>FED +</v>
      </c>
      <c r="W39" s="33">
        <f t="shared" si="15"/>
        <v>5</v>
      </c>
      <c r="X39" s="40" t="str">
        <f>IF(I39="","",IF(A39="H",IF(OR(H39="SEN",H39&lt;1995),VLOOKUP(I39,Feuil1!$A$11:$F$29,6),IF(AND(H39&gt;1994,H39&lt;1998),VLOOKUP(I39,Feuil1!$A$11:$F$29,5),IF(AND(H39&gt;1997,H39&lt;2000),VLOOKUP(I39,Feuil1!$A$11:$F$29,4),IF(AND(H39&gt;1999,H39&lt;2002),VLOOKUP(I39,Feuil1!$A$11:$F$29,3),VLOOKUP(I39,Feuil1!$A$11:$F$29,2))))),IF(OR(H39="SEN",H39&lt;1995),VLOOKUP(I39,Feuil1!$G$11:$L$25,6),IF(AND(H39&gt;1994,H39&lt;1998),VLOOKUP(I39,Feuil1!$G$11:$L$25,5),IF(AND(H39&gt;1997,H39&lt;2000),VLOOKUP(I39,Feuil1!$G$11:$L$25,4),IF(AND(H39&gt;1999,H39&lt;2002),VLOOKUP(I39,Feuil1!$G$11:$L$25,3),VLOOKUP(I39,Feuil1!$G$11:$L$25,2)))))))</f>
        <v>FS53</v>
      </c>
      <c r="Y39" s="39">
        <f t="shared" si="16"/>
        <v>169.84085936064275</v>
      </c>
      <c r="Z39" s="45"/>
      <c r="AA39" s="49" t="s">
        <v>12</v>
      </c>
      <c r="AB39" s="3">
        <f>T39-HLOOKUP(X39,Feuil1!$C$1:$BL$10,2,FALSE)</f>
        <v>45</v>
      </c>
      <c r="AC39" s="3">
        <f>T39-HLOOKUP(X39,Feuil1!$C$1:$BL$10,3,FALSE)</f>
        <v>35</v>
      </c>
      <c r="AD39" s="3">
        <f>T39-HLOOKUP(X39,Feuil1!$C$1:$BL$10,4,FALSE)</f>
        <v>25</v>
      </c>
      <c r="AE39" s="3">
        <f>T39-HLOOKUP(X39,Feuil1!$C$1:$BL$10,5,FALSE)</f>
        <v>15</v>
      </c>
      <c r="AF39" s="3">
        <f>T39-HLOOKUP(X39,Feuil1!$C$1:$BL$10,6,FALSE)</f>
        <v>5</v>
      </c>
      <c r="AG39" s="3">
        <f>T39-HLOOKUP(X39,Feuil1!$C$1:$BL$10,7,FALSE)</f>
        <v>-10</v>
      </c>
      <c r="AH39" s="3">
        <f>T39-HLOOKUP(X39,Feuil1!$C$1:$BL$10,8,FALSE)</f>
        <v>-30</v>
      </c>
      <c r="AI39" s="3">
        <f>T39-HLOOKUP(X39,Feuil1!$C$1:$BL$10,9,FALSE)</f>
        <v>-50</v>
      </c>
      <c r="AJ39" s="3">
        <f>T39-HLOOKUP(X39,Feuil1!$C$1:$BL$10,10,FALSE)</f>
        <v>-65</v>
      </c>
      <c r="AQ39" s="5" t="str">
        <f t="shared" si="17"/>
        <v>FED +</v>
      </c>
      <c r="BC39" s="13"/>
    </row>
    <row r="40" spans="1:55" ht="21" hidden="1" x14ac:dyDescent="0.2">
      <c r="A40" s="12" t="s">
        <v>69</v>
      </c>
      <c r="B40" s="18" t="s">
        <v>71</v>
      </c>
      <c r="C40" s="19" t="s">
        <v>72</v>
      </c>
      <c r="D40" s="61">
        <v>16</v>
      </c>
      <c r="E40" s="35">
        <v>351973</v>
      </c>
      <c r="F40" s="20" t="s">
        <v>624</v>
      </c>
      <c r="G40" s="20" t="s">
        <v>178</v>
      </c>
      <c r="H40" s="51">
        <v>1980</v>
      </c>
      <c r="I40" s="30">
        <v>51</v>
      </c>
      <c r="J40" s="19" t="s">
        <v>923</v>
      </c>
      <c r="K40" s="34" t="s">
        <v>69</v>
      </c>
      <c r="L40" s="31">
        <v>43</v>
      </c>
      <c r="M40" s="31">
        <v>45</v>
      </c>
      <c r="N40" s="31">
        <v>46</v>
      </c>
      <c r="O40" s="36">
        <f t="shared" si="10"/>
        <v>46</v>
      </c>
      <c r="P40" s="31">
        <v>60</v>
      </c>
      <c r="Q40" s="31">
        <v>63</v>
      </c>
      <c r="R40" s="31">
        <v>-65</v>
      </c>
      <c r="S40" s="36">
        <f t="shared" si="11"/>
        <v>63</v>
      </c>
      <c r="T40" s="37">
        <f t="shared" si="12"/>
        <v>109</v>
      </c>
      <c r="U40" s="65">
        <f t="shared" si="13"/>
        <v>7</v>
      </c>
      <c r="V40" s="32" t="str">
        <f t="shared" si="14"/>
        <v>FED +</v>
      </c>
      <c r="W40" s="33">
        <f t="shared" si="15"/>
        <v>4</v>
      </c>
      <c r="X40" s="40" t="str">
        <f>IF(I40="","",IF(A40="H",IF(OR(H40="SEN",H40&lt;1995),VLOOKUP(I40,Feuil1!$A$11:$F$29,6),IF(AND(H40&gt;1994,H40&lt;1998),VLOOKUP(I40,Feuil1!$A$11:$F$29,5),IF(AND(H40&gt;1997,H40&lt;2000),VLOOKUP(I40,Feuil1!$A$11:$F$29,4),IF(AND(H40&gt;1999,H40&lt;2002),VLOOKUP(I40,Feuil1!$A$11:$F$29,3),VLOOKUP(I40,Feuil1!$A$11:$F$29,2))))),IF(OR(H40="SEN",H40&lt;1995),VLOOKUP(I40,Feuil1!$G$11:$L$25,6),IF(AND(H40&gt;1994,H40&lt;1998),VLOOKUP(I40,Feuil1!$G$11:$L$25,5),IF(AND(H40&gt;1997,H40&lt;2000),VLOOKUP(I40,Feuil1!$G$11:$L$25,4),IF(AND(H40&gt;1999,H40&lt;2002),VLOOKUP(I40,Feuil1!$G$11:$L$25,3),VLOOKUP(I40,Feuil1!$G$11:$L$25,2)))))))</f>
        <v>FS53</v>
      </c>
      <c r="Y40" s="39">
        <f t="shared" si="16"/>
        <v>169.65963576439202</v>
      </c>
      <c r="Z40" s="45"/>
      <c r="AA40" s="49" t="s">
        <v>12</v>
      </c>
      <c r="AB40" s="3">
        <f>T40-HLOOKUP(X40,Feuil1!$C$1:$BL$10,2,FALSE)</f>
        <v>44</v>
      </c>
      <c r="AC40" s="3">
        <f>T40-HLOOKUP(X40,Feuil1!$C$1:$BL$10,3,FALSE)</f>
        <v>34</v>
      </c>
      <c r="AD40" s="3">
        <f>T40-HLOOKUP(X40,Feuil1!$C$1:$BL$10,4,FALSE)</f>
        <v>24</v>
      </c>
      <c r="AE40" s="3">
        <f>T40-HLOOKUP(X40,Feuil1!$C$1:$BL$10,5,FALSE)</f>
        <v>14</v>
      </c>
      <c r="AF40" s="3">
        <f>T40-HLOOKUP(X40,Feuil1!$C$1:$BL$10,6,FALSE)</f>
        <v>4</v>
      </c>
      <c r="AG40" s="3">
        <f>T40-HLOOKUP(X40,Feuil1!$C$1:$BL$10,7,FALSE)</f>
        <v>-11</v>
      </c>
      <c r="AH40" s="3">
        <f>T40-HLOOKUP(X40,Feuil1!$C$1:$BL$10,8,FALSE)</f>
        <v>-31</v>
      </c>
      <c r="AI40" s="3">
        <f>T40-HLOOKUP(X40,Feuil1!$C$1:$BL$10,9,FALSE)</f>
        <v>-51</v>
      </c>
      <c r="AJ40" s="3">
        <f>T40-HLOOKUP(X40,Feuil1!$C$1:$BL$10,10,FALSE)</f>
        <v>-66</v>
      </c>
      <c r="AQ40" s="5" t="str">
        <f t="shared" si="17"/>
        <v>FED +</v>
      </c>
    </row>
    <row r="41" spans="1:55" ht="21" hidden="1" x14ac:dyDescent="0.2">
      <c r="A41" s="12" t="s">
        <v>69</v>
      </c>
      <c r="B41" s="18" t="s">
        <v>71</v>
      </c>
      <c r="C41" s="19" t="s">
        <v>883</v>
      </c>
      <c r="D41" s="61">
        <v>17</v>
      </c>
      <c r="E41" s="35">
        <v>384036</v>
      </c>
      <c r="F41" s="20" t="s">
        <v>892</v>
      </c>
      <c r="G41" s="20" t="s">
        <v>893</v>
      </c>
      <c r="H41" s="51">
        <v>1986</v>
      </c>
      <c r="I41" s="30">
        <v>51.5</v>
      </c>
      <c r="J41" s="19" t="s">
        <v>894</v>
      </c>
      <c r="K41" s="34" t="s">
        <v>69</v>
      </c>
      <c r="L41" s="31">
        <v>45</v>
      </c>
      <c r="M41" s="31">
        <v>-48</v>
      </c>
      <c r="N41" s="31">
        <v>48</v>
      </c>
      <c r="O41" s="36">
        <f t="shared" si="10"/>
        <v>48</v>
      </c>
      <c r="P41" s="31">
        <v>55</v>
      </c>
      <c r="Q41" s="31">
        <v>58</v>
      </c>
      <c r="R41" s="31">
        <v>-60</v>
      </c>
      <c r="S41" s="36">
        <f t="shared" si="11"/>
        <v>58</v>
      </c>
      <c r="T41" s="37">
        <f t="shared" si="12"/>
        <v>106</v>
      </c>
      <c r="U41" s="65">
        <f t="shared" si="13"/>
        <v>3</v>
      </c>
      <c r="V41" s="32" t="str">
        <f t="shared" si="14"/>
        <v>FED +</v>
      </c>
      <c r="W41" s="33">
        <f t="shared" si="15"/>
        <v>1</v>
      </c>
      <c r="X41" s="40" t="str">
        <f>IF(I41="","",IF(A41="H",IF(OR(H41="SEN",H41&lt;1995),VLOOKUP(I41,Feuil1!$A$11:$F$29,6),IF(AND(H41&gt;1994,H41&lt;1998),VLOOKUP(I41,Feuil1!$A$11:$F$29,5),IF(AND(H41&gt;1997,H41&lt;2000),VLOOKUP(I41,Feuil1!$A$11:$F$29,4),IF(AND(H41&gt;1999,H41&lt;2002),VLOOKUP(I41,Feuil1!$A$11:$F$29,3),VLOOKUP(I41,Feuil1!$A$11:$F$29,2))))),IF(OR(H41="SEN",H41&lt;1995),VLOOKUP(I41,Feuil1!$G$11:$L$25,6),IF(AND(H41&gt;1994,H41&lt;1998),VLOOKUP(I41,Feuil1!$G$11:$L$25,5),IF(AND(H41&gt;1997,H41&lt;2000),VLOOKUP(I41,Feuil1!$G$11:$L$25,4),IF(AND(H41&gt;1999,H41&lt;2002),VLOOKUP(I41,Feuil1!$G$11:$L$25,3),VLOOKUP(I41,Feuil1!$G$11:$L$25,2)))))))</f>
        <v>FS53</v>
      </c>
      <c r="Y41" s="39">
        <f t="shared" si="16"/>
        <v>163.66482811116484</v>
      </c>
      <c r="Z41" s="45"/>
      <c r="AA41" s="49" t="s">
        <v>12</v>
      </c>
      <c r="AB41" s="3">
        <f>T41-HLOOKUP(X41,Feuil1!$C$1:$BL$10,2,FALSE)</f>
        <v>41</v>
      </c>
      <c r="AC41" s="3">
        <f>T41-HLOOKUP(X41,Feuil1!$C$1:$BL$10,3,FALSE)</f>
        <v>31</v>
      </c>
      <c r="AD41" s="3">
        <f>T41-HLOOKUP(X41,Feuil1!$C$1:$BL$10,4,FALSE)</f>
        <v>21</v>
      </c>
      <c r="AE41" s="3">
        <f>T41-HLOOKUP(X41,Feuil1!$C$1:$BL$10,5,FALSE)</f>
        <v>11</v>
      </c>
      <c r="AF41" s="3">
        <f>T41-HLOOKUP(X41,Feuil1!$C$1:$BL$10,6,FALSE)</f>
        <v>1</v>
      </c>
      <c r="AG41" s="3">
        <f>T41-HLOOKUP(X41,Feuil1!$C$1:$BL$10,7,FALSE)</f>
        <v>-14</v>
      </c>
      <c r="AH41" s="3">
        <f>T41-HLOOKUP(X41,Feuil1!$C$1:$BL$10,8,FALSE)</f>
        <v>-34</v>
      </c>
      <c r="AI41" s="3">
        <f>T41-HLOOKUP(X41,Feuil1!$C$1:$BL$10,9,FALSE)</f>
        <v>-54</v>
      </c>
      <c r="AJ41" s="3">
        <f>T41-HLOOKUP(X41,Feuil1!$C$1:$BL$10,10,FALSE)</f>
        <v>-69</v>
      </c>
      <c r="AQ41" s="5" t="str">
        <f t="shared" si="17"/>
        <v>FED +</v>
      </c>
    </row>
    <row r="42" spans="1:55" ht="21" hidden="1" x14ac:dyDescent="0.2">
      <c r="A42" s="12" t="s">
        <v>69</v>
      </c>
      <c r="B42" s="18" t="s">
        <v>688</v>
      </c>
      <c r="C42" s="19" t="s">
        <v>689</v>
      </c>
      <c r="D42" s="61">
        <v>18</v>
      </c>
      <c r="E42" s="35">
        <v>377412</v>
      </c>
      <c r="F42" s="20" t="s">
        <v>711</v>
      </c>
      <c r="G42" s="20" t="s">
        <v>712</v>
      </c>
      <c r="H42" s="51">
        <v>1992</v>
      </c>
      <c r="I42" s="30">
        <v>51.65</v>
      </c>
      <c r="J42" s="19" t="s">
        <v>710</v>
      </c>
      <c r="K42" s="34" t="s">
        <v>69</v>
      </c>
      <c r="L42" s="31">
        <v>45</v>
      </c>
      <c r="M42" s="31">
        <v>47</v>
      </c>
      <c r="N42" s="31">
        <v>-48</v>
      </c>
      <c r="O42" s="36">
        <f t="shared" si="10"/>
        <v>47</v>
      </c>
      <c r="P42" s="31">
        <v>-56</v>
      </c>
      <c r="Q42" s="31">
        <v>58</v>
      </c>
      <c r="R42" s="31">
        <v>-60</v>
      </c>
      <c r="S42" s="36">
        <f t="shared" si="11"/>
        <v>58</v>
      </c>
      <c r="T42" s="37">
        <f t="shared" si="12"/>
        <v>105</v>
      </c>
      <c r="U42" s="65">
        <f t="shared" si="13"/>
        <v>1.7000000000000028</v>
      </c>
      <c r="V42" s="41" t="str">
        <f t="shared" si="14"/>
        <v>FED +</v>
      </c>
      <c r="W42" s="33">
        <f t="shared" si="15"/>
        <v>0</v>
      </c>
      <c r="X42" s="40" t="str">
        <f>IF(I42="","",IF(A42="H",IF(OR(H42="SEN",H42&lt;1995),VLOOKUP(I42,Feuil1!$A$11:$F$29,6),IF(AND(H42&gt;1994,H42&lt;1998),VLOOKUP(I42,Feuil1!$A$11:$F$29,5),IF(AND(H42&gt;1997,H42&lt;2000),VLOOKUP(I42,Feuil1!$A$11:$F$29,4),IF(AND(H42&gt;1999,H42&lt;2002),VLOOKUP(I42,Feuil1!$A$11:$F$29,3),VLOOKUP(I42,Feuil1!$A$11:$F$29,2))))),IF(OR(H42="SEN",H42&lt;1995),VLOOKUP(I42,Feuil1!$G$11:$L$25,6),IF(AND(H42&gt;1994,H42&lt;1998),VLOOKUP(I42,Feuil1!$G$11:$L$25,5),IF(AND(H42&gt;1997,H42&lt;2000),VLOOKUP(I42,Feuil1!$G$11:$L$25,4),IF(AND(H42&gt;1999,H42&lt;2002),VLOOKUP(I42,Feuil1!$G$11:$L$25,3),VLOOKUP(I42,Feuil1!$G$11:$L$25,2)))))))</f>
        <v>FS53</v>
      </c>
      <c r="Y42" s="39">
        <f t="shared" si="16"/>
        <v>161.73383822688049</v>
      </c>
      <c r="Z42" s="45"/>
      <c r="AA42" s="49" t="s">
        <v>12</v>
      </c>
      <c r="AB42" s="3">
        <f>T42-HLOOKUP(X42,Feuil1!$C$1:$BL$10,2,FALSE)</f>
        <v>40</v>
      </c>
      <c r="AC42" s="3">
        <f>T42-HLOOKUP(X42,Feuil1!$C$1:$BL$10,3,FALSE)</f>
        <v>30</v>
      </c>
      <c r="AD42" s="3">
        <f>T42-HLOOKUP(X42,Feuil1!$C$1:$BL$10,4,FALSE)</f>
        <v>20</v>
      </c>
      <c r="AE42" s="3">
        <f>T42-HLOOKUP(X42,Feuil1!$C$1:$BL$10,5,FALSE)</f>
        <v>10</v>
      </c>
      <c r="AF42" s="3">
        <f>T42-HLOOKUP(X42,Feuil1!$C$1:$BL$10,6,FALSE)</f>
        <v>0</v>
      </c>
      <c r="AG42" s="3">
        <f>T42-HLOOKUP(X42,Feuil1!$C$1:$BL$10,7,FALSE)</f>
        <v>-15</v>
      </c>
      <c r="AH42" s="3">
        <f>T42-HLOOKUP(X42,Feuil1!$C$1:$BL$10,8,FALSE)</f>
        <v>-35</v>
      </c>
      <c r="AI42" s="3">
        <f>T42-HLOOKUP(X42,Feuil1!$C$1:$BL$10,9,FALSE)</f>
        <v>-55</v>
      </c>
      <c r="AJ42" s="3">
        <f>T42-HLOOKUP(X42,Feuil1!$C$1:$BL$10,10,FALSE)</f>
        <v>-70</v>
      </c>
      <c r="AQ42" s="5" t="str">
        <f t="shared" si="17"/>
        <v>FED +</v>
      </c>
      <c r="BC42" s="13"/>
    </row>
    <row r="43" spans="1:55" ht="21" hidden="1" x14ac:dyDescent="0.2">
      <c r="A43" s="12" t="s">
        <v>69</v>
      </c>
      <c r="B43" s="18" t="s">
        <v>108</v>
      </c>
      <c r="C43" s="19" t="s">
        <v>119</v>
      </c>
      <c r="D43" s="61">
        <v>19</v>
      </c>
      <c r="E43" s="35">
        <v>25608</v>
      </c>
      <c r="F43" s="20" t="s">
        <v>199</v>
      </c>
      <c r="G43" s="20" t="s">
        <v>200</v>
      </c>
      <c r="H43" s="51">
        <v>1958</v>
      </c>
      <c r="I43" s="30">
        <v>53</v>
      </c>
      <c r="J43" s="19" t="s">
        <v>122</v>
      </c>
      <c r="K43" s="34" t="s">
        <v>69</v>
      </c>
      <c r="L43" s="31">
        <v>43</v>
      </c>
      <c r="M43" s="31">
        <v>46</v>
      </c>
      <c r="N43" s="31">
        <v>49</v>
      </c>
      <c r="O43" s="36">
        <f t="shared" si="10"/>
        <v>49</v>
      </c>
      <c r="P43" s="31">
        <v>53</v>
      </c>
      <c r="Q43" s="31">
        <v>56</v>
      </c>
      <c r="R43" s="31">
        <v>-58</v>
      </c>
      <c r="S43" s="36">
        <f t="shared" si="11"/>
        <v>56</v>
      </c>
      <c r="T43" s="37">
        <f t="shared" si="12"/>
        <v>105</v>
      </c>
      <c r="U43" s="65">
        <f t="shared" si="13"/>
        <v>-1</v>
      </c>
      <c r="V43" s="41" t="str">
        <f t="shared" si="14"/>
        <v>FED +</v>
      </c>
      <c r="W43" s="33">
        <f t="shared" si="15"/>
        <v>0</v>
      </c>
      <c r="X43" s="40" t="str">
        <f>IF(I43="","",IF(A43="H",IF(OR(H43="SEN",H43&lt;1995),VLOOKUP(I43,Feuil1!$A$11:$F$29,6),IF(AND(H43&gt;1994,H43&lt;1998),VLOOKUP(I43,Feuil1!$A$11:$F$29,5),IF(AND(H43&gt;1997,H43&lt;2000),VLOOKUP(I43,Feuil1!$A$11:$F$29,4),IF(AND(H43&gt;1999,H43&lt;2002),VLOOKUP(I43,Feuil1!$A$11:$F$29,3),VLOOKUP(I43,Feuil1!$A$11:$F$29,2))))),IF(OR(H43="SEN",H43&lt;1995),VLOOKUP(I43,Feuil1!$G$11:$L$25,6),IF(AND(H43&gt;1994,H43&lt;1998),VLOOKUP(I43,Feuil1!$G$11:$L$25,5),IF(AND(H43&gt;1997,H43&lt;2000),VLOOKUP(I43,Feuil1!$G$11:$L$25,4),IF(AND(H43&gt;1999,H43&lt;2002),VLOOKUP(I43,Feuil1!$G$11:$L$25,3),VLOOKUP(I43,Feuil1!$G$11:$L$25,2)))))))</f>
        <v>FS53</v>
      </c>
      <c r="Y43" s="39">
        <f t="shared" si="16"/>
        <v>158.38664127023276</v>
      </c>
      <c r="Z43" s="45"/>
      <c r="AA43" s="49" t="s">
        <v>12</v>
      </c>
      <c r="AB43" s="3">
        <f>T43-HLOOKUP(X43,Feuil1!$C$1:$BL$10,2,FALSE)</f>
        <v>40</v>
      </c>
      <c r="AC43" s="3">
        <f>T43-HLOOKUP(X43,Feuil1!$C$1:$BL$10,3,FALSE)</f>
        <v>30</v>
      </c>
      <c r="AD43" s="3">
        <f>T43-HLOOKUP(X43,Feuil1!$C$1:$BL$10,4,FALSE)</f>
        <v>20</v>
      </c>
      <c r="AE43" s="3">
        <f>T43-HLOOKUP(X43,Feuil1!$C$1:$BL$10,5,FALSE)</f>
        <v>10</v>
      </c>
      <c r="AF43" s="3">
        <f>T43-HLOOKUP(X43,Feuil1!$C$1:$BL$10,6,FALSE)</f>
        <v>0</v>
      </c>
      <c r="AG43" s="3">
        <f>T43-HLOOKUP(X43,Feuil1!$C$1:$BL$10,7,FALSE)</f>
        <v>-15</v>
      </c>
      <c r="AH43" s="3">
        <f>T43-HLOOKUP(X43,Feuil1!$C$1:$BL$10,8,FALSE)</f>
        <v>-35</v>
      </c>
      <c r="AI43" s="3">
        <f>T43-HLOOKUP(X43,Feuil1!$C$1:$BL$10,9,FALSE)</f>
        <v>-55</v>
      </c>
      <c r="AJ43" s="3">
        <f>T43-HLOOKUP(X43,Feuil1!$C$1:$BL$10,10,FALSE)</f>
        <v>-70</v>
      </c>
      <c r="AQ43" s="5" t="str">
        <f t="shared" si="17"/>
        <v>FED +</v>
      </c>
    </row>
    <row r="44" spans="1:55" ht="21" hidden="1" x14ac:dyDescent="0.2">
      <c r="A44" s="12" t="s">
        <v>69</v>
      </c>
      <c r="B44" s="67" t="s">
        <v>71</v>
      </c>
      <c r="C44" s="68" t="s">
        <v>72</v>
      </c>
      <c r="D44" s="69">
        <v>20</v>
      </c>
      <c r="E44" s="70">
        <v>21779</v>
      </c>
      <c r="F44" s="71" t="s">
        <v>988</v>
      </c>
      <c r="G44" s="71" t="s">
        <v>989</v>
      </c>
      <c r="H44" s="85">
        <v>1972</v>
      </c>
      <c r="I44" s="73">
        <v>48.7</v>
      </c>
      <c r="J44" s="68" t="s">
        <v>990</v>
      </c>
      <c r="K44" s="74" t="s">
        <v>69</v>
      </c>
      <c r="L44" s="75">
        <v>42</v>
      </c>
      <c r="M44" s="75">
        <v>44</v>
      </c>
      <c r="N44" s="75">
        <v>46</v>
      </c>
      <c r="O44" s="76">
        <f t="shared" si="10"/>
        <v>46</v>
      </c>
      <c r="P44" s="75">
        <v>52</v>
      </c>
      <c r="Q44" s="75">
        <v>55</v>
      </c>
      <c r="R44" s="75">
        <v>57</v>
      </c>
      <c r="S44" s="76">
        <f t="shared" si="11"/>
        <v>57</v>
      </c>
      <c r="T44" s="77">
        <f t="shared" si="12"/>
        <v>103</v>
      </c>
      <c r="U44" s="78">
        <f t="shared" si="13"/>
        <v>5.5999999999999943</v>
      </c>
      <c r="V44" s="79" t="str">
        <f t="shared" si="14"/>
        <v>IRG +</v>
      </c>
      <c r="W44" s="80">
        <f t="shared" si="15"/>
        <v>8</v>
      </c>
      <c r="X44" s="81" t="str">
        <f>IF(I44="","",IF(A44="H",IF(OR(H44="SEN",H44&lt;1995),VLOOKUP(I44,Feuil1!$A$11:$F$29,6),IF(AND(H44&gt;1994,H44&lt;1998),VLOOKUP(I44,Feuil1!$A$11:$F$29,5),IF(AND(H44&gt;1997,H44&lt;2000),VLOOKUP(I44,Feuil1!$A$11:$F$29,4),IF(AND(H44&gt;1999,H44&lt;2002),VLOOKUP(I44,Feuil1!$A$11:$F$29,3),VLOOKUP(I44,Feuil1!$A$11:$F$29,2))))),IF(OR(H44="SEN",H44&lt;1995),VLOOKUP(I44,Feuil1!$G$11:$L$25,6),IF(AND(H44&gt;1994,H44&lt;1998),VLOOKUP(I44,Feuil1!$G$11:$L$25,5),IF(AND(H44&gt;1997,H44&lt;2000),VLOOKUP(I44,Feuil1!$G$11:$L$25,4),IF(AND(H44&gt;1999,H44&lt;2002),VLOOKUP(I44,Feuil1!$G$11:$L$25,3),VLOOKUP(I44,Feuil1!$G$11:$L$25,2)))))))</f>
        <v>FS53</v>
      </c>
      <c r="Y44" s="39">
        <f t="shared" si="16"/>
        <v>166.72195913532661</v>
      </c>
      <c r="Z44" s="45"/>
      <c r="AA44" s="49" t="s">
        <v>12</v>
      </c>
      <c r="AB44" s="3">
        <f>T44-HLOOKUP(X44,Feuil1!$C$1:$BL$10,2,FALSE)</f>
        <v>38</v>
      </c>
      <c r="AC44" s="3">
        <f>T44-HLOOKUP(X44,Feuil1!$C$1:$BL$10,3,FALSE)</f>
        <v>28</v>
      </c>
      <c r="AD44" s="3">
        <f>T44-HLOOKUP(X44,Feuil1!$C$1:$BL$10,4,FALSE)</f>
        <v>18</v>
      </c>
      <c r="AE44" s="3">
        <f>T44-HLOOKUP(X44,Feuil1!$C$1:$BL$10,5,FALSE)</f>
        <v>8</v>
      </c>
      <c r="AF44" s="3">
        <f>T44-HLOOKUP(X44,Feuil1!$C$1:$BL$10,6,FALSE)</f>
        <v>-2</v>
      </c>
      <c r="AG44" s="3">
        <f>T44-HLOOKUP(X44,Feuil1!$C$1:$BL$10,7,FALSE)</f>
        <v>-17</v>
      </c>
      <c r="AH44" s="3">
        <f>T44-HLOOKUP(X44,Feuil1!$C$1:$BL$10,8,FALSE)</f>
        <v>-37</v>
      </c>
      <c r="AI44" s="3">
        <f>T44-HLOOKUP(X44,Feuil1!$C$1:$BL$10,9,FALSE)</f>
        <v>-57</v>
      </c>
      <c r="AJ44" s="3">
        <f>T44-HLOOKUP(X44,Feuil1!$C$1:$BL$10,10,FALSE)</f>
        <v>-72</v>
      </c>
      <c r="AQ44" s="5" t="str">
        <f t="shared" si="17"/>
        <v>IRG +</v>
      </c>
      <c r="BC44" s="13"/>
    </row>
    <row r="45" spans="1:55" ht="21" hidden="1" x14ac:dyDescent="0.2">
      <c r="A45" s="12" t="s">
        <v>69</v>
      </c>
      <c r="B45" s="18" t="s">
        <v>721</v>
      </c>
      <c r="C45" s="19" t="s">
        <v>775</v>
      </c>
      <c r="D45" s="61">
        <v>21</v>
      </c>
      <c r="E45" s="35">
        <v>118442</v>
      </c>
      <c r="F45" s="20" t="s">
        <v>785</v>
      </c>
      <c r="G45" s="20" t="s">
        <v>605</v>
      </c>
      <c r="H45" s="58">
        <v>1985</v>
      </c>
      <c r="I45" s="30">
        <v>49.1</v>
      </c>
      <c r="J45" s="19" t="s">
        <v>778</v>
      </c>
      <c r="K45" s="34" t="s">
        <v>69</v>
      </c>
      <c r="L45" s="31">
        <v>42</v>
      </c>
      <c r="M45" s="31">
        <v>45</v>
      </c>
      <c r="N45" s="31">
        <v>47</v>
      </c>
      <c r="O45" s="36">
        <f t="shared" si="10"/>
        <v>47</v>
      </c>
      <c r="P45" s="31">
        <v>52</v>
      </c>
      <c r="Q45" s="31">
        <v>54</v>
      </c>
      <c r="R45" s="31">
        <v>-56</v>
      </c>
      <c r="S45" s="36">
        <f t="shared" si="11"/>
        <v>54</v>
      </c>
      <c r="T45" s="37">
        <f t="shared" si="12"/>
        <v>101</v>
      </c>
      <c r="U45" s="65">
        <f t="shared" si="13"/>
        <v>2.7999999999999972</v>
      </c>
      <c r="V45" s="41" t="str">
        <f t="shared" si="14"/>
        <v>IRG +</v>
      </c>
      <c r="W45" s="33">
        <f t="shared" si="15"/>
        <v>6</v>
      </c>
      <c r="X45" s="40" t="str">
        <f>IF(I45="","",IF(A45="H",IF(OR(H45="SEN",H45&lt;1995),VLOOKUP(I45,Feuil1!$A$11:$F$29,6),IF(AND(H45&gt;1994,H45&lt;1998),VLOOKUP(I45,Feuil1!$A$11:$F$29,5),IF(AND(H45&gt;1997,H45&lt;2000),VLOOKUP(I45,Feuil1!$A$11:$F$29,4),IF(AND(H45&gt;1999,H45&lt;2002),VLOOKUP(I45,Feuil1!$A$11:$F$29,3),VLOOKUP(I45,Feuil1!$A$11:$F$29,2))))),IF(OR(H45="SEN",H45&lt;1995),VLOOKUP(I45,Feuil1!$G$11:$L$25,6),IF(AND(H45&gt;1994,H45&lt;1998),VLOOKUP(I45,Feuil1!$G$11:$L$25,5),IF(AND(H45&gt;1997,H45&lt;2000),VLOOKUP(I45,Feuil1!$G$11:$L$25,4),IF(AND(H45&gt;1999,H45&lt;2002),VLOOKUP(I45,Feuil1!$G$11:$L$25,3),VLOOKUP(I45,Feuil1!$G$11:$L$25,2)))))))</f>
        <v>FS53</v>
      </c>
      <c r="Y45" s="39">
        <f t="shared" si="16"/>
        <v>162.33431224082929</v>
      </c>
      <c r="Z45" s="45"/>
      <c r="AA45" s="49" t="s">
        <v>12</v>
      </c>
      <c r="AB45" s="3">
        <f>T45-HLOOKUP(X45,Feuil1!$C$1:$BL$10,2,FALSE)</f>
        <v>36</v>
      </c>
      <c r="AC45" s="3">
        <f>T45-HLOOKUP(X45,Feuil1!$C$1:$BL$10,3,FALSE)</f>
        <v>26</v>
      </c>
      <c r="AD45" s="3">
        <f>T45-HLOOKUP(X45,Feuil1!$C$1:$BL$10,4,FALSE)</f>
        <v>16</v>
      </c>
      <c r="AE45" s="3">
        <f>T45-HLOOKUP(X45,Feuil1!$C$1:$BL$10,5,FALSE)</f>
        <v>6</v>
      </c>
      <c r="AF45" s="3">
        <f>T45-HLOOKUP(X45,Feuil1!$C$1:$BL$10,6,FALSE)</f>
        <v>-4</v>
      </c>
      <c r="AG45" s="3">
        <f>T45-HLOOKUP(X45,Feuil1!$C$1:$BL$10,7,FALSE)</f>
        <v>-19</v>
      </c>
      <c r="AH45" s="3">
        <f>T45-HLOOKUP(X45,Feuil1!$C$1:$BL$10,8,FALSE)</f>
        <v>-39</v>
      </c>
      <c r="AI45" s="3">
        <f>T45-HLOOKUP(X45,Feuil1!$C$1:$BL$10,9,FALSE)</f>
        <v>-59</v>
      </c>
      <c r="AJ45" s="3">
        <f>T45-HLOOKUP(X45,Feuil1!$C$1:$BL$10,10,FALSE)</f>
        <v>-74</v>
      </c>
      <c r="AQ45" s="5" t="str">
        <f t="shared" si="17"/>
        <v>IRG +</v>
      </c>
      <c r="BC45" s="13"/>
    </row>
    <row r="46" spans="1:55" ht="21" hidden="1" x14ac:dyDescent="0.2">
      <c r="A46" s="12" t="s">
        <v>69</v>
      </c>
      <c r="B46" s="18" t="s">
        <v>71</v>
      </c>
      <c r="C46" s="19" t="s">
        <v>72</v>
      </c>
      <c r="D46" s="61">
        <v>22</v>
      </c>
      <c r="E46" s="35">
        <v>212210</v>
      </c>
      <c r="F46" s="20" t="s">
        <v>969</v>
      </c>
      <c r="G46" s="20" t="s">
        <v>970</v>
      </c>
      <c r="H46" s="51">
        <v>1990</v>
      </c>
      <c r="I46" s="30">
        <v>51</v>
      </c>
      <c r="J46" s="19" t="s">
        <v>964</v>
      </c>
      <c r="K46" s="34" t="s">
        <v>69</v>
      </c>
      <c r="L46" s="31">
        <v>38</v>
      </c>
      <c r="M46" s="31">
        <v>41</v>
      </c>
      <c r="N46" s="31">
        <v>44</v>
      </c>
      <c r="O46" s="36">
        <f t="shared" si="10"/>
        <v>44</v>
      </c>
      <c r="P46" s="31">
        <v>51</v>
      </c>
      <c r="Q46" s="31">
        <v>55</v>
      </c>
      <c r="R46" s="31">
        <v>-58</v>
      </c>
      <c r="S46" s="36">
        <f t="shared" si="11"/>
        <v>55</v>
      </c>
      <c r="T46" s="37">
        <f t="shared" si="12"/>
        <v>99</v>
      </c>
      <c r="U46" s="65">
        <f t="shared" si="13"/>
        <v>-3</v>
      </c>
      <c r="V46" s="32" t="str">
        <f t="shared" si="14"/>
        <v>IRG +</v>
      </c>
      <c r="W46" s="33">
        <f t="shared" si="15"/>
        <v>4</v>
      </c>
      <c r="X46" s="40" t="str">
        <f>IF(I46="","",IF(A46="H",IF(OR(H46="SEN",H46&lt;1995),VLOOKUP(I46,Feuil1!$A$11:$F$29,6),IF(AND(H46&gt;1994,H46&lt;1998),VLOOKUP(I46,Feuil1!$A$11:$F$29,5),IF(AND(H46&gt;1997,H46&lt;2000),VLOOKUP(I46,Feuil1!$A$11:$F$29,4),IF(AND(H46&gt;1999,H46&lt;2002),VLOOKUP(I46,Feuil1!$A$11:$F$29,3),VLOOKUP(I46,Feuil1!$A$11:$F$29,2))))),IF(OR(H46="SEN",H46&lt;1995),VLOOKUP(I46,Feuil1!$G$11:$L$25,6),IF(AND(H46&gt;1994,H46&lt;1998),VLOOKUP(I46,Feuil1!$G$11:$L$25,5),IF(AND(H46&gt;1997,H46&lt;2000),VLOOKUP(I46,Feuil1!$G$11:$L$25,4),IF(AND(H46&gt;1999,H46&lt;2002),VLOOKUP(I46,Feuil1!$G$11:$L$25,3),VLOOKUP(I46,Feuil1!$G$11:$L$25,2)))))))</f>
        <v>FS53</v>
      </c>
      <c r="Y46" s="39">
        <f t="shared" si="16"/>
        <v>154.09453156582396</v>
      </c>
      <c r="Z46" s="45"/>
      <c r="AA46" s="49" t="s">
        <v>12</v>
      </c>
      <c r="AB46" s="3">
        <f>T46-HLOOKUP(X46,Feuil1!$C$1:$BL$10,2,FALSE)</f>
        <v>34</v>
      </c>
      <c r="AC46" s="3">
        <f>T46-HLOOKUP(X46,Feuil1!$C$1:$BL$10,3,FALSE)</f>
        <v>24</v>
      </c>
      <c r="AD46" s="3">
        <f>T46-HLOOKUP(X46,Feuil1!$C$1:$BL$10,4,FALSE)</f>
        <v>14</v>
      </c>
      <c r="AE46" s="3">
        <f>T46-HLOOKUP(X46,Feuil1!$C$1:$BL$10,5,FALSE)</f>
        <v>4</v>
      </c>
      <c r="AF46" s="3">
        <f>T46-HLOOKUP(X46,Feuil1!$C$1:$BL$10,6,FALSE)</f>
        <v>-6</v>
      </c>
      <c r="AG46" s="3">
        <f>T46-HLOOKUP(X46,Feuil1!$C$1:$BL$10,7,FALSE)</f>
        <v>-21</v>
      </c>
      <c r="AH46" s="3">
        <f>T46-HLOOKUP(X46,Feuil1!$C$1:$BL$10,8,FALSE)</f>
        <v>-41</v>
      </c>
      <c r="AI46" s="3">
        <f>T46-HLOOKUP(X46,Feuil1!$C$1:$BL$10,9,FALSE)</f>
        <v>-61</v>
      </c>
      <c r="AJ46" s="3">
        <f>T46-HLOOKUP(X46,Feuil1!$C$1:$BL$10,10,FALSE)</f>
        <v>-76</v>
      </c>
      <c r="AQ46" s="5" t="str">
        <f t="shared" si="17"/>
        <v>IRG +</v>
      </c>
    </row>
    <row r="47" spans="1:55" ht="21" hidden="1" x14ac:dyDescent="0.2">
      <c r="A47" s="12" t="s">
        <v>69</v>
      </c>
      <c r="B47" s="18" t="s">
        <v>298</v>
      </c>
      <c r="C47" s="19" t="s">
        <v>476</v>
      </c>
      <c r="D47" s="61">
        <v>23</v>
      </c>
      <c r="E47" s="35">
        <v>364228</v>
      </c>
      <c r="F47" s="20" t="s">
        <v>528</v>
      </c>
      <c r="G47" s="20" t="s">
        <v>529</v>
      </c>
      <c r="H47" s="51">
        <v>1985</v>
      </c>
      <c r="I47" s="30">
        <v>53</v>
      </c>
      <c r="J47" s="19" t="s">
        <v>481</v>
      </c>
      <c r="K47" s="34" t="s">
        <v>69</v>
      </c>
      <c r="L47" s="31">
        <v>-42</v>
      </c>
      <c r="M47" s="31">
        <v>42</v>
      </c>
      <c r="N47" s="31">
        <v>-47</v>
      </c>
      <c r="O47" s="36">
        <f t="shared" si="10"/>
        <v>42</v>
      </c>
      <c r="P47" s="31">
        <v>53</v>
      </c>
      <c r="Q47" s="31">
        <v>-56</v>
      </c>
      <c r="R47" s="31">
        <v>56</v>
      </c>
      <c r="S47" s="36">
        <f t="shared" si="11"/>
        <v>56</v>
      </c>
      <c r="T47" s="37">
        <f t="shared" si="12"/>
        <v>98</v>
      </c>
      <c r="U47" s="65">
        <f t="shared" si="13"/>
        <v>-8</v>
      </c>
      <c r="V47" s="41" t="str">
        <f t="shared" si="14"/>
        <v>IRG +</v>
      </c>
      <c r="W47" s="33">
        <f t="shared" si="15"/>
        <v>3</v>
      </c>
      <c r="X47" s="40" t="str">
        <f>IF(I47="","",IF(A47="H",IF(OR(H47="SEN",H47&lt;1995),VLOOKUP(I47,Feuil1!$A$11:$F$29,6),IF(AND(H47&gt;1994,H47&lt;1998),VLOOKUP(I47,Feuil1!$A$11:$F$29,5),IF(AND(H47&gt;1997,H47&lt;2000),VLOOKUP(I47,Feuil1!$A$11:$F$29,4),IF(AND(H47&gt;1999,H47&lt;2002),VLOOKUP(I47,Feuil1!$A$11:$F$29,3),VLOOKUP(I47,Feuil1!$A$11:$F$29,2))))),IF(OR(H47="SEN",H47&lt;1995),VLOOKUP(I47,Feuil1!$G$11:$L$25,6),IF(AND(H47&gt;1994,H47&lt;1998),VLOOKUP(I47,Feuil1!$G$11:$L$25,5),IF(AND(H47&gt;1997,H47&lt;2000),VLOOKUP(I47,Feuil1!$G$11:$L$25,4),IF(AND(H47&gt;1999,H47&lt;2002),VLOOKUP(I47,Feuil1!$G$11:$L$25,3),VLOOKUP(I47,Feuil1!$G$11:$L$25,2)))))))</f>
        <v>FS53</v>
      </c>
      <c r="Y47" s="39">
        <f t="shared" si="16"/>
        <v>147.82753185221725</v>
      </c>
      <c r="Z47" s="45"/>
      <c r="AA47" s="49" t="s">
        <v>12</v>
      </c>
      <c r="AB47" s="3">
        <f>T47-HLOOKUP(X47,Feuil1!$C$1:$BL$10,2,FALSE)</f>
        <v>33</v>
      </c>
      <c r="AC47" s="3">
        <f>T47-HLOOKUP(X47,Feuil1!$C$1:$BL$10,3,FALSE)</f>
        <v>23</v>
      </c>
      <c r="AD47" s="3">
        <f>T47-HLOOKUP(X47,Feuil1!$C$1:$BL$10,4,FALSE)</f>
        <v>13</v>
      </c>
      <c r="AE47" s="3">
        <f>T47-HLOOKUP(X47,Feuil1!$C$1:$BL$10,5,FALSE)</f>
        <v>3</v>
      </c>
      <c r="AF47" s="3">
        <f>T47-HLOOKUP(X47,Feuil1!$C$1:$BL$10,6,FALSE)</f>
        <v>-7</v>
      </c>
      <c r="AG47" s="3">
        <f>T47-HLOOKUP(X47,Feuil1!$C$1:$BL$10,7,FALSE)</f>
        <v>-22</v>
      </c>
      <c r="AH47" s="3">
        <f>T47-HLOOKUP(X47,Feuil1!$C$1:$BL$10,8,FALSE)</f>
        <v>-42</v>
      </c>
      <c r="AI47" s="3">
        <f>T47-HLOOKUP(X47,Feuil1!$C$1:$BL$10,9,FALSE)</f>
        <v>-62</v>
      </c>
      <c r="AJ47" s="3">
        <f>T47-HLOOKUP(X47,Feuil1!$C$1:$BL$10,10,FALSE)</f>
        <v>-77</v>
      </c>
      <c r="AQ47" s="5" t="str">
        <f t="shared" si="17"/>
        <v>IRG +</v>
      </c>
      <c r="BC47" s="13"/>
    </row>
    <row r="48" spans="1:55" ht="21" hidden="1" x14ac:dyDescent="0.2">
      <c r="A48" s="12" t="s">
        <v>69</v>
      </c>
      <c r="B48" s="18" t="s">
        <v>71</v>
      </c>
      <c r="C48" s="19" t="s">
        <v>72</v>
      </c>
      <c r="D48" s="61">
        <v>24</v>
      </c>
      <c r="E48" s="35">
        <v>249165</v>
      </c>
      <c r="F48" s="20" t="s">
        <v>971</v>
      </c>
      <c r="G48" s="20" t="s">
        <v>925</v>
      </c>
      <c r="H48" s="51">
        <v>1990</v>
      </c>
      <c r="I48" s="30">
        <v>52.85</v>
      </c>
      <c r="J48" s="19" t="s">
        <v>921</v>
      </c>
      <c r="K48" s="34" t="s">
        <v>69</v>
      </c>
      <c r="L48" s="31">
        <v>40</v>
      </c>
      <c r="M48" s="31">
        <v>-43</v>
      </c>
      <c r="N48" s="31">
        <v>-43</v>
      </c>
      <c r="O48" s="36">
        <f t="shared" si="10"/>
        <v>40</v>
      </c>
      <c r="P48" s="31">
        <v>52</v>
      </c>
      <c r="Q48" s="31">
        <v>-56</v>
      </c>
      <c r="R48" s="31">
        <v>56</v>
      </c>
      <c r="S48" s="36">
        <f t="shared" si="11"/>
        <v>56</v>
      </c>
      <c r="T48" s="37">
        <f t="shared" si="12"/>
        <v>96</v>
      </c>
      <c r="U48" s="65">
        <f t="shared" si="13"/>
        <v>-9.7000000000000028</v>
      </c>
      <c r="V48" s="32" t="str">
        <f t="shared" si="14"/>
        <v>IRG +</v>
      </c>
      <c r="W48" s="33">
        <f t="shared" si="15"/>
        <v>1</v>
      </c>
      <c r="X48" s="40" t="str">
        <f>IF(I48="","",IF(A48="H",IF(OR(H48="SEN",H48&lt;1995),VLOOKUP(I48,Feuil1!$A$11:$F$29,6),IF(AND(H48&gt;1994,H48&lt;1998),VLOOKUP(I48,Feuil1!$A$11:$F$29,5),IF(AND(H48&gt;1997,H48&lt;2000),VLOOKUP(I48,Feuil1!$A$11:$F$29,4),IF(AND(H48&gt;1999,H48&lt;2002),VLOOKUP(I48,Feuil1!$A$11:$F$29,3),VLOOKUP(I48,Feuil1!$A$11:$F$29,2))))),IF(OR(H48="SEN",H48&lt;1995),VLOOKUP(I48,Feuil1!$G$11:$L$25,6),IF(AND(H48&gt;1994,H48&lt;1998),VLOOKUP(I48,Feuil1!$G$11:$L$25,5),IF(AND(H48&gt;1997,H48&lt;2000),VLOOKUP(I48,Feuil1!$G$11:$L$25,4),IF(AND(H48&gt;1999,H48&lt;2002),VLOOKUP(I48,Feuil1!$G$11:$L$25,3),VLOOKUP(I48,Feuil1!$G$11:$L$25,2)))))))</f>
        <v>FS53</v>
      </c>
      <c r="Y48" s="39">
        <f t="shared" si="16"/>
        <v>145.14000081825006</v>
      </c>
      <c r="Z48" s="45"/>
      <c r="AA48" s="49" t="s">
        <v>12</v>
      </c>
      <c r="AB48" s="3">
        <f>T48-HLOOKUP(X48,Feuil1!$C$1:$BL$10,2,FALSE)</f>
        <v>31</v>
      </c>
      <c r="AC48" s="3">
        <f>T48-HLOOKUP(X48,Feuil1!$C$1:$BL$10,3,FALSE)</f>
        <v>21</v>
      </c>
      <c r="AD48" s="3">
        <f>T48-HLOOKUP(X48,Feuil1!$C$1:$BL$10,4,FALSE)</f>
        <v>11</v>
      </c>
      <c r="AE48" s="3">
        <f>T48-HLOOKUP(X48,Feuil1!$C$1:$BL$10,5,FALSE)</f>
        <v>1</v>
      </c>
      <c r="AF48" s="3">
        <f>T48-HLOOKUP(X48,Feuil1!$C$1:$BL$10,6,FALSE)</f>
        <v>-9</v>
      </c>
      <c r="AG48" s="3">
        <f>T48-HLOOKUP(X48,Feuil1!$C$1:$BL$10,7,FALSE)</f>
        <v>-24</v>
      </c>
      <c r="AH48" s="3">
        <f>T48-HLOOKUP(X48,Feuil1!$C$1:$BL$10,8,FALSE)</f>
        <v>-44</v>
      </c>
      <c r="AI48" s="3">
        <f>T48-HLOOKUP(X48,Feuil1!$C$1:$BL$10,9,FALSE)</f>
        <v>-64</v>
      </c>
      <c r="AJ48" s="3">
        <f>T48-HLOOKUP(X48,Feuil1!$C$1:$BL$10,10,FALSE)</f>
        <v>-79</v>
      </c>
      <c r="AQ48" s="5" t="str">
        <f t="shared" si="17"/>
        <v>IRG +</v>
      </c>
    </row>
    <row r="49" spans="1:55" ht="21" hidden="1" x14ac:dyDescent="0.2">
      <c r="A49" s="12" t="s">
        <v>69</v>
      </c>
      <c r="B49" s="18" t="s">
        <v>298</v>
      </c>
      <c r="C49" s="19" t="s">
        <v>476</v>
      </c>
      <c r="D49" s="61">
        <v>25</v>
      </c>
      <c r="E49" s="35">
        <v>32266</v>
      </c>
      <c r="F49" s="20" t="s">
        <v>516</v>
      </c>
      <c r="G49" s="20" t="s">
        <v>178</v>
      </c>
      <c r="H49" s="51">
        <v>1989</v>
      </c>
      <c r="I49" s="30">
        <v>49</v>
      </c>
      <c r="J49" s="19" t="s">
        <v>484</v>
      </c>
      <c r="K49" s="34" t="s">
        <v>69</v>
      </c>
      <c r="L49" s="31">
        <v>37</v>
      </c>
      <c r="M49" s="31">
        <v>42</v>
      </c>
      <c r="N49" s="31">
        <v>45</v>
      </c>
      <c r="O49" s="36">
        <f t="shared" si="10"/>
        <v>45</v>
      </c>
      <c r="P49" s="31">
        <v>45</v>
      </c>
      <c r="Q49" s="31">
        <v>50</v>
      </c>
      <c r="R49" s="31">
        <v>-55</v>
      </c>
      <c r="S49" s="36">
        <f t="shared" si="11"/>
        <v>50</v>
      </c>
      <c r="T49" s="37">
        <f t="shared" si="12"/>
        <v>95</v>
      </c>
      <c r="U49" s="65">
        <f t="shared" si="13"/>
        <v>-3</v>
      </c>
      <c r="V49" s="41" t="str">
        <f t="shared" si="14"/>
        <v>IRG +</v>
      </c>
      <c r="W49" s="33">
        <f t="shared" si="15"/>
        <v>0</v>
      </c>
      <c r="X49" s="40" t="str">
        <f>IF(I49="","",IF(A49="H",IF(OR(H49="SEN",H49&lt;1995),VLOOKUP(I49,Feuil1!$A$11:$F$29,6),IF(AND(H49&gt;1994,H49&lt;1998),VLOOKUP(I49,Feuil1!$A$11:$F$29,5),IF(AND(H49&gt;1997,H49&lt;2000),VLOOKUP(I49,Feuil1!$A$11:$F$29,4),IF(AND(H49&gt;1999,H49&lt;2002),VLOOKUP(I49,Feuil1!$A$11:$F$29,3),VLOOKUP(I49,Feuil1!$A$11:$F$29,2))))),IF(OR(H49="SEN",H49&lt;1995),VLOOKUP(I49,Feuil1!$G$11:$L$25,6),IF(AND(H49&gt;1994,H49&lt;1998),VLOOKUP(I49,Feuil1!$G$11:$L$25,5),IF(AND(H49&gt;1997,H49&lt;2000),VLOOKUP(I49,Feuil1!$G$11:$L$25,4),IF(AND(H49&gt;1999,H49&lt;2002),VLOOKUP(I49,Feuil1!$G$11:$L$25,3),VLOOKUP(I49,Feuil1!$G$11:$L$25,2)))))))</f>
        <v>FS53</v>
      </c>
      <c r="Y49" s="39">
        <f t="shared" si="16"/>
        <v>152.95889821921779</v>
      </c>
      <c r="Z49" s="45"/>
      <c r="AA49" s="49" t="s">
        <v>12</v>
      </c>
      <c r="AB49" s="3">
        <f>T49-HLOOKUP(X49,Feuil1!$C$1:$BL$10,2,FALSE)</f>
        <v>30</v>
      </c>
      <c r="AC49" s="3">
        <f>T49-HLOOKUP(X49,Feuil1!$C$1:$BL$10,3,FALSE)</f>
        <v>20</v>
      </c>
      <c r="AD49" s="3">
        <f>T49-HLOOKUP(X49,Feuil1!$C$1:$BL$10,4,FALSE)</f>
        <v>10</v>
      </c>
      <c r="AE49" s="3">
        <f>T49-HLOOKUP(X49,Feuil1!$C$1:$BL$10,5,FALSE)</f>
        <v>0</v>
      </c>
      <c r="AF49" s="3">
        <f>T49-HLOOKUP(X49,Feuil1!$C$1:$BL$10,6,FALSE)</f>
        <v>-10</v>
      </c>
      <c r="AG49" s="3">
        <f>T49-HLOOKUP(X49,Feuil1!$C$1:$BL$10,7,FALSE)</f>
        <v>-25</v>
      </c>
      <c r="AH49" s="3">
        <f>T49-HLOOKUP(X49,Feuil1!$C$1:$BL$10,8,FALSE)</f>
        <v>-45</v>
      </c>
      <c r="AI49" s="3">
        <f>T49-HLOOKUP(X49,Feuil1!$C$1:$BL$10,9,FALSE)</f>
        <v>-65</v>
      </c>
      <c r="AJ49" s="3">
        <f>T49-HLOOKUP(X49,Feuil1!$C$1:$BL$10,10,FALSE)</f>
        <v>-80</v>
      </c>
      <c r="AQ49" s="5" t="str">
        <f t="shared" si="17"/>
        <v>IRG +</v>
      </c>
    </row>
    <row r="50" spans="1:55" ht="21" hidden="1" x14ac:dyDescent="0.2">
      <c r="A50" s="12" t="s">
        <v>69</v>
      </c>
      <c r="B50" s="18" t="s">
        <v>298</v>
      </c>
      <c r="C50" s="19" t="s">
        <v>299</v>
      </c>
      <c r="D50" s="61">
        <v>26</v>
      </c>
      <c r="E50" s="35">
        <v>388580</v>
      </c>
      <c r="F50" s="20" t="s">
        <v>333</v>
      </c>
      <c r="G50" s="20" t="s">
        <v>334</v>
      </c>
      <c r="H50" s="51">
        <v>1988</v>
      </c>
      <c r="I50" s="30">
        <v>52.15</v>
      </c>
      <c r="J50" s="19" t="s">
        <v>332</v>
      </c>
      <c r="K50" s="34" t="s">
        <v>69</v>
      </c>
      <c r="L50" s="31">
        <v>36</v>
      </c>
      <c r="M50" s="31">
        <v>39</v>
      </c>
      <c r="N50" s="31">
        <v>41</v>
      </c>
      <c r="O50" s="36">
        <f t="shared" si="10"/>
        <v>41</v>
      </c>
      <c r="P50" s="31">
        <v>51</v>
      </c>
      <c r="Q50" s="31">
        <v>54</v>
      </c>
      <c r="R50" s="31">
        <v>-57</v>
      </c>
      <c r="S50" s="36">
        <f t="shared" si="11"/>
        <v>54</v>
      </c>
      <c r="T50" s="37">
        <f t="shared" si="12"/>
        <v>95</v>
      </c>
      <c r="U50" s="65">
        <f t="shared" si="13"/>
        <v>-9.2999999999999972</v>
      </c>
      <c r="V50" s="41" t="str">
        <f t="shared" si="14"/>
        <v>IRG +</v>
      </c>
      <c r="W50" s="33">
        <f t="shared" si="15"/>
        <v>0</v>
      </c>
      <c r="X50" s="40" t="str">
        <f>IF(I50="","",IF(A50="H",IF(OR(H50="SEN",H50&lt;1995),VLOOKUP(I50,Feuil1!$A$11:$F$29,6),IF(AND(H50&gt;1994,H50&lt;1998),VLOOKUP(I50,Feuil1!$A$11:$F$29,5),IF(AND(H50&gt;1997,H50&lt;2000),VLOOKUP(I50,Feuil1!$A$11:$F$29,4),IF(AND(H50&gt;1999,H50&lt;2002),VLOOKUP(I50,Feuil1!$A$11:$F$29,3),VLOOKUP(I50,Feuil1!$A$11:$F$29,2))))),IF(OR(H50="SEN",H50&lt;1995),VLOOKUP(I50,Feuil1!$G$11:$L$25,6),IF(AND(H50&gt;1994,H50&lt;1998),VLOOKUP(I50,Feuil1!$G$11:$L$25,5),IF(AND(H50&gt;1997,H50&lt;2000),VLOOKUP(I50,Feuil1!$G$11:$L$25,4),IF(AND(H50&gt;1999,H50&lt;2002),VLOOKUP(I50,Feuil1!$G$11:$L$25,3),VLOOKUP(I50,Feuil1!$G$11:$L$25,2)))))))</f>
        <v>FS53</v>
      </c>
      <c r="Y50" s="39">
        <f t="shared" si="16"/>
        <v>145.18362125602744</v>
      </c>
      <c r="Z50" s="45"/>
      <c r="AA50" s="49" t="s">
        <v>12</v>
      </c>
      <c r="AB50" s="3">
        <f>T50-HLOOKUP(X50,Feuil1!$C$1:$BL$10,2,FALSE)</f>
        <v>30</v>
      </c>
      <c r="AC50" s="3">
        <f>T50-HLOOKUP(X50,Feuil1!$C$1:$BL$10,3,FALSE)</f>
        <v>20</v>
      </c>
      <c r="AD50" s="3">
        <f>T50-HLOOKUP(X50,Feuil1!$C$1:$BL$10,4,FALSE)</f>
        <v>10</v>
      </c>
      <c r="AE50" s="3">
        <f>T50-HLOOKUP(X50,Feuil1!$C$1:$BL$10,5,FALSE)</f>
        <v>0</v>
      </c>
      <c r="AF50" s="3">
        <f>T50-HLOOKUP(X50,Feuil1!$C$1:$BL$10,6,FALSE)</f>
        <v>-10</v>
      </c>
      <c r="AG50" s="3">
        <f>T50-HLOOKUP(X50,Feuil1!$C$1:$BL$10,7,FALSE)</f>
        <v>-25</v>
      </c>
      <c r="AH50" s="3">
        <f>T50-HLOOKUP(X50,Feuil1!$C$1:$BL$10,8,FALSE)</f>
        <v>-45</v>
      </c>
      <c r="AI50" s="3">
        <f>T50-HLOOKUP(X50,Feuil1!$C$1:$BL$10,9,FALSE)</f>
        <v>-65</v>
      </c>
      <c r="AJ50" s="3">
        <f>T50-HLOOKUP(X50,Feuil1!$C$1:$BL$10,10,FALSE)</f>
        <v>-80</v>
      </c>
      <c r="AQ50" s="5" t="str">
        <f t="shared" si="17"/>
        <v>IRG +</v>
      </c>
    </row>
    <row r="51" spans="1:55" ht="21" hidden="1" x14ac:dyDescent="0.2">
      <c r="A51" s="12" t="s">
        <v>69</v>
      </c>
      <c r="B51" s="18" t="s">
        <v>71</v>
      </c>
      <c r="C51" s="19" t="s">
        <v>997</v>
      </c>
      <c r="D51" s="61">
        <v>27</v>
      </c>
      <c r="E51" s="35">
        <v>390738</v>
      </c>
      <c r="F51" s="20" t="s">
        <v>1005</v>
      </c>
      <c r="G51" s="20" t="s">
        <v>1006</v>
      </c>
      <c r="H51" s="51">
        <v>1986</v>
      </c>
      <c r="I51" s="30">
        <v>52.4</v>
      </c>
      <c r="J51" s="19" t="s">
        <v>1003</v>
      </c>
      <c r="K51" s="34" t="s">
        <v>69</v>
      </c>
      <c r="L51" s="31">
        <v>40</v>
      </c>
      <c r="M51" s="31">
        <v>42</v>
      </c>
      <c r="N51" s="31">
        <v>-44</v>
      </c>
      <c r="O51" s="36">
        <f t="shared" si="10"/>
        <v>42</v>
      </c>
      <c r="P51" s="31">
        <v>-53</v>
      </c>
      <c r="Q51" s="31">
        <v>-53</v>
      </c>
      <c r="R51" s="31">
        <v>53</v>
      </c>
      <c r="S51" s="36">
        <f t="shared" si="11"/>
        <v>53</v>
      </c>
      <c r="T51" s="37">
        <f t="shared" si="12"/>
        <v>95</v>
      </c>
      <c r="U51" s="65">
        <f t="shared" si="13"/>
        <v>-9.7999999999999972</v>
      </c>
      <c r="V51" s="32" t="str">
        <f t="shared" si="14"/>
        <v>IRG +</v>
      </c>
      <c r="W51" s="33">
        <f t="shared" si="15"/>
        <v>0</v>
      </c>
      <c r="X51" s="40" t="str">
        <f>IF(I51="","",IF(A51="H",IF(OR(H51="SEN",H51&lt;1995),VLOOKUP(I51,Feuil1!$A$11:$F$29,6),IF(AND(H51&gt;1994,H51&lt;1998),VLOOKUP(I51,Feuil1!$A$11:$F$29,5),IF(AND(H51&gt;1997,H51&lt;2000),VLOOKUP(I51,Feuil1!$A$11:$F$29,4),IF(AND(H51&gt;1999,H51&lt;2002),VLOOKUP(I51,Feuil1!$A$11:$F$29,3),VLOOKUP(I51,Feuil1!$A$11:$F$29,2))))),IF(OR(H51="SEN",H51&lt;1995),VLOOKUP(I51,Feuil1!$G$11:$L$25,6),IF(AND(H51&gt;1994,H51&lt;1998),VLOOKUP(I51,Feuil1!$G$11:$L$25,5),IF(AND(H51&gt;1997,H51&lt;2000),VLOOKUP(I51,Feuil1!$G$11:$L$25,4),IF(AND(H51&gt;1999,H51&lt;2002),VLOOKUP(I51,Feuil1!$G$11:$L$25,3),VLOOKUP(I51,Feuil1!$G$11:$L$25,2)))))))</f>
        <v>FS53</v>
      </c>
      <c r="Y51" s="39">
        <f t="shared" si="16"/>
        <v>144.62147050787598</v>
      </c>
      <c r="Z51" s="45"/>
      <c r="AA51" s="49" t="s">
        <v>12</v>
      </c>
      <c r="AB51" s="3">
        <f>T51-HLOOKUP(X51,Feuil1!$C$1:$BL$10,2,FALSE)</f>
        <v>30</v>
      </c>
      <c r="AC51" s="3">
        <f>T51-HLOOKUP(X51,Feuil1!$C$1:$BL$10,3,FALSE)</f>
        <v>20</v>
      </c>
      <c r="AD51" s="3">
        <f>T51-HLOOKUP(X51,Feuil1!$C$1:$BL$10,4,FALSE)</f>
        <v>10</v>
      </c>
      <c r="AE51" s="3">
        <f>T51-HLOOKUP(X51,Feuil1!$C$1:$BL$10,5,FALSE)</f>
        <v>0</v>
      </c>
      <c r="AF51" s="3">
        <f>T51-HLOOKUP(X51,Feuil1!$C$1:$BL$10,6,FALSE)</f>
        <v>-10</v>
      </c>
      <c r="AG51" s="3">
        <f>T51-HLOOKUP(X51,Feuil1!$C$1:$BL$10,7,FALSE)</f>
        <v>-25</v>
      </c>
      <c r="AH51" s="3">
        <f>T51-HLOOKUP(X51,Feuil1!$C$1:$BL$10,8,FALSE)</f>
        <v>-45</v>
      </c>
      <c r="AI51" s="3">
        <f>T51-HLOOKUP(X51,Feuil1!$C$1:$BL$10,9,FALSE)</f>
        <v>-65</v>
      </c>
      <c r="AJ51" s="3">
        <f>T51-HLOOKUP(X51,Feuil1!$C$1:$BL$10,10,FALSE)</f>
        <v>-80</v>
      </c>
      <c r="AQ51" s="5" t="str">
        <f t="shared" si="17"/>
        <v>IRG +</v>
      </c>
    </row>
    <row r="52" spans="1:55" ht="21" hidden="1" x14ac:dyDescent="0.2">
      <c r="A52" s="12" t="s">
        <v>69</v>
      </c>
      <c r="B52" s="18" t="s">
        <v>71</v>
      </c>
      <c r="C52" s="19" t="s">
        <v>801</v>
      </c>
      <c r="D52" s="61">
        <v>28</v>
      </c>
      <c r="E52" s="35">
        <v>361669</v>
      </c>
      <c r="F52" s="20" t="s">
        <v>499</v>
      </c>
      <c r="G52" s="20" t="s">
        <v>834</v>
      </c>
      <c r="H52" s="51">
        <v>1985</v>
      </c>
      <c r="I52" s="30">
        <v>52.4</v>
      </c>
      <c r="J52" s="19" t="s">
        <v>806</v>
      </c>
      <c r="K52" s="34" t="s">
        <v>69</v>
      </c>
      <c r="L52" s="31">
        <v>38</v>
      </c>
      <c r="M52" s="31">
        <v>-41</v>
      </c>
      <c r="N52" s="31">
        <v>41</v>
      </c>
      <c r="O52" s="36">
        <f t="shared" si="10"/>
        <v>41</v>
      </c>
      <c r="P52" s="31">
        <v>48</v>
      </c>
      <c r="Q52" s="31">
        <v>51</v>
      </c>
      <c r="R52" s="31">
        <v>-54</v>
      </c>
      <c r="S52" s="36">
        <f t="shared" si="11"/>
        <v>51</v>
      </c>
      <c r="T52" s="37">
        <f t="shared" si="12"/>
        <v>92</v>
      </c>
      <c r="U52" s="65">
        <f t="shared" si="13"/>
        <v>-12.799999999999997</v>
      </c>
      <c r="V52" s="41" t="str">
        <f t="shared" si="14"/>
        <v>REG +</v>
      </c>
      <c r="W52" s="33">
        <f t="shared" si="15"/>
        <v>7</v>
      </c>
      <c r="X52" s="40" t="str">
        <f>IF(I52="","",IF(A52="H",IF(OR(H52="SEN",H52&lt;1995),VLOOKUP(I52,Feuil1!$A$11:$F$29,6),IF(AND(H52&gt;1994,H52&lt;1998),VLOOKUP(I52,Feuil1!$A$11:$F$29,5),IF(AND(H52&gt;1997,H52&lt;2000),VLOOKUP(I52,Feuil1!$A$11:$F$29,4),IF(AND(H52&gt;1999,H52&lt;2002),VLOOKUP(I52,Feuil1!$A$11:$F$29,3),VLOOKUP(I52,Feuil1!$A$11:$F$29,2))))),IF(OR(H52="SEN",H52&lt;1995),VLOOKUP(I52,Feuil1!$G$11:$L$25,6),IF(AND(H52&gt;1994,H52&lt;1998),VLOOKUP(I52,Feuil1!$G$11:$L$25,5),IF(AND(H52&gt;1997,H52&lt;2000),VLOOKUP(I52,Feuil1!$G$11:$L$25,4),IF(AND(H52&gt;1999,H52&lt;2002),VLOOKUP(I52,Feuil1!$G$11:$L$25,3),VLOOKUP(I52,Feuil1!$G$11:$L$25,2)))))))</f>
        <v>FS53</v>
      </c>
      <c r="Y52" s="39">
        <f t="shared" si="16"/>
        <v>140.0544767023641</v>
      </c>
      <c r="Z52" s="45"/>
      <c r="AA52" s="49" t="s">
        <v>12</v>
      </c>
      <c r="AB52" s="3">
        <f>T52-HLOOKUP(X52,Feuil1!$C$1:$BL$10,2,FALSE)</f>
        <v>27</v>
      </c>
      <c r="AC52" s="3">
        <f>T52-HLOOKUP(X52,Feuil1!$C$1:$BL$10,3,FALSE)</f>
        <v>17</v>
      </c>
      <c r="AD52" s="3">
        <f>T52-HLOOKUP(X52,Feuil1!$C$1:$BL$10,4,FALSE)</f>
        <v>7</v>
      </c>
      <c r="AE52" s="3">
        <f>T52-HLOOKUP(X52,Feuil1!$C$1:$BL$10,5,FALSE)</f>
        <v>-3</v>
      </c>
      <c r="AF52" s="3">
        <f>T52-HLOOKUP(X52,Feuil1!$C$1:$BL$10,6,FALSE)</f>
        <v>-13</v>
      </c>
      <c r="AG52" s="3">
        <f>T52-HLOOKUP(X52,Feuil1!$C$1:$BL$10,7,FALSE)</f>
        <v>-28</v>
      </c>
      <c r="AH52" s="3">
        <f>T52-HLOOKUP(X52,Feuil1!$C$1:$BL$10,8,FALSE)</f>
        <v>-48</v>
      </c>
      <c r="AI52" s="3">
        <f>T52-HLOOKUP(X52,Feuil1!$C$1:$BL$10,9,FALSE)</f>
        <v>-68</v>
      </c>
      <c r="AJ52" s="3">
        <f>T52-HLOOKUP(X52,Feuil1!$C$1:$BL$10,10,FALSE)</f>
        <v>-83</v>
      </c>
      <c r="AQ52" s="5" t="str">
        <f t="shared" si="17"/>
        <v>REG +</v>
      </c>
      <c r="BC52" s="13"/>
    </row>
    <row r="53" spans="1:55" ht="21" hidden="1" x14ac:dyDescent="0.2">
      <c r="A53" s="12" t="s">
        <v>69</v>
      </c>
      <c r="B53" s="67" t="s">
        <v>721</v>
      </c>
      <c r="C53" s="68" t="s">
        <v>745</v>
      </c>
      <c r="D53" s="69">
        <v>29</v>
      </c>
      <c r="E53" s="70">
        <v>270512</v>
      </c>
      <c r="F53" s="71" t="s">
        <v>757</v>
      </c>
      <c r="G53" s="71" t="s">
        <v>758</v>
      </c>
      <c r="H53" s="72">
        <v>1965</v>
      </c>
      <c r="I53" s="73">
        <v>48.35</v>
      </c>
      <c r="J53" s="68" t="s">
        <v>748</v>
      </c>
      <c r="K53" s="74" t="s">
        <v>69</v>
      </c>
      <c r="L53" s="75">
        <v>40</v>
      </c>
      <c r="M53" s="75">
        <v>-43</v>
      </c>
      <c r="N53" s="75">
        <v>-44</v>
      </c>
      <c r="O53" s="76">
        <f t="shared" si="10"/>
        <v>40</v>
      </c>
      <c r="P53" s="75">
        <v>-47</v>
      </c>
      <c r="Q53" s="75">
        <v>47</v>
      </c>
      <c r="R53" s="75">
        <v>50</v>
      </c>
      <c r="S53" s="76">
        <f t="shared" si="11"/>
        <v>50</v>
      </c>
      <c r="T53" s="77">
        <f t="shared" si="12"/>
        <v>90</v>
      </c>
      <c r="U53" s="78">
        <f t="shared" si="13"/>
        <v>-6.7000000000000028</v>
      </c>
      <c r="V53" s="79" t="str">
        <f t="shared" si="14"/>
        <v>REG +</v>
      </c>
      <c r="W53" s="80">
        <f t="shared" si="15"/>
        <v>5</v>
      </c>
      <c r="X53" s="81" t="str">
        <f>IF(I53="","",IF(A53="H",IF(OR(H53="SEN",H53&lt;1995),VLOOKUP(I53,Feuil1!$A$11:$F$29,6),IF(AND(H53&gt;1994,H53&lt;1998),VLOOKUP(I53,Feuil1!$A$11:$F$29,5),IF(AND(H53&gt;1997,H53&lt;2000),VLOOKUP(I53,Feuil1!$A$11:$F$29,4),IF(AND(H53&gt;1999,H53&lt;2002),VLOOKUP(I53,Feuil1!$A$11:$F$29,3),VLOOKUP(I53,Feuil1!$A$11:$F$29,2))))),IF(OR(H53="SEN",H53&lt;1995),VLOOKUP(I53,Feuil1!$G$11:$L$25,6),IF(AND(H53&gt;1994,H53&lt;1998),VLOOKUP(I53,Feuil1!$G$11:$L$25,5),IF(AND(H53&gt;1997,H53&lt;2000),VLOOKUP(I53,Feuil1!$G$11:$L$25,4),IF(AND(H53&gt;1999,H53&lt;2002),VLOOKUP(I53,Feuil1!$G$11:$L$25,3),VLOOKUP(I53,Feuil1!$G$11:$L$25,2)))))))</f>
        <v>FS53</v>
      </c>
      <c r="Y53" s="39">
        <f t="shared" si="16"/>
        <v>146.59559219754561</v>
      </c>
      <c r="Z53" s="45"/>
      <c r="AA53" s="49" t="s">
        <v>12</v>
      </c>
      <c r="AB53" s="3">
        <f>T53-HLOOKUP(X53,Feuil1!$C$1:$BL$10,2,FALSE)</f>
        <v>25</v>
      </c>
      <c r="AC53" s="3">
        <f>T53-HLOOKUP(X53,Feuil1!$C$1:$BL$10,3,FALSE)</f>
        <v>15</v>
      </c>
      <c r="AD53" s="3">
        <f>T53-HLOOKUP(X53,Feuil1!$C$1:$BL$10,4,FALSE)</f>
        <v>5</v>
      </c>
      <c r="AE53" s="3">
        <f>T53-HLOOKUP(X53,Feuil1!$C$1:$BL$10,5,FALSE)</f>
        <v>-5</v>
      </c>
      <c r="AF53" s="3">
        <f>T53-HLOOKUP(X53,Feuil1!$C$1:$BL$10,6,FALSE)</f>
        <v>-15</v>
      </c>
      <c r="AG53" s="3">
        <f>T53-HLOOKUP(X53,Feuil1!$C$1:$BL$10,7,FALSE)</f>
        <v>-30</v>
      </c>
      <c r="AH53" s="3">
        <f>T53-HLOOKUP(X53,Feuil1!$C$1:$BL$10,8,FALSE)</f>
        <v>-50</v>
      </c>
      <c r="AI53" s="3">
        <f>T53-HLOOKUP(X53,Feuil1!$C$1:$BL$10,9,FALSE)</f>
        <v>-70</v>
      </c>
      <c r="AJ53" s="3">
        <f>T53-HLOOKUP(X53,Feuil1!$C$1:$BL$10,10,FALSE)</f>
        <v>-85</v>
      </c>
      <c r="AQ53" s="5" t="str">
        <f t="shared" si="17"/>
        <v>REG +</v>
      </c>
      <c r="BC53" s="13"/>
    </row>
    <row r="54" spans="1:55" ht="21" hidden="1" x14ac:dyDescent="0.2">
      <c r="A54" s="12" t="s">
        <v>69</v>
      </c>
      <c r="B54" s="67" t="s">
        <v>298</v>
      </c>
      <c r="C54" s="68" t="s">
        <v>299</v>
      </c>
      <c r="D54" s="69">
        <v>30</v>
      </c>
      <c r="E54" s="70">
        <v>360068</v>
      </c>
      <c r="F54" s="71" t="s">
        <v>326</v>
      </c>
      <c r="G54" s="71" t="s">
        <v>327</v>
      </c>
      <c r="H54" s="72">
        <v>1989</v>
      </c>
      <c r="I54" s="73">
        <v>50.3</v>
      </c>
      <c r="J54" s="68" t="s">
        <v>315</v>
      </c>
      <c r="K54" s="74" t="s">
        <v>69</v>
      </c>
      <c r="L54" s="75">
        <v>35</v>
      </c>
      <c r="M54" s="75">
        <v>37</v>
      </c>
      <c r="N54" s="75">
        <v>40</v>
      </c>
      <c r="O54" s="76">
        <f t="shared" si="10"/>
        <v>40</v>
      </c>
      <c r="P54" s="75">
        <v>45</v>
      </c>
      <c r="Q54" s="75">
        <v>48</v>
      </c>
      <c r="R54" s="75">
        <v>50</v>
      </c>
      <c r="S54" s="76">
        <f t="shared" si="11"/>
        <v>50</v>
      </c>
      <c r="T54" s="77">
        <f t="shared" si="12"/>
        <v>90</v>
      </c>
      <c r="U54" s="78">
        <f t="shared" si="13"/>
        <v>-10.599999999999994</v>
      </c>
      <c r="V54" s="79" t="str">
        <f t="shared" si="14"/>
        <v>REG +</v>
      </c>
      <c r="W54" s="80">
        <f t="shared" si="15"/>
        <v>5</v>
      </c>
      <c r="X54" s="81" t="str">
        <f>IF(I54="","",IF(A54="H",IF(OR(H54="SEN",H54&lt;1995),VLOOKUP(I54,Feuil1!$A$11:$F$29,6),IF(AND(H54&gt;1994,H54&lt;1998),VLOOKUP(I54,Feuil1!$A$11:$F$29,5),IF(AND(H54&gt;1997,H54&lt;2000),VLOOKUP(I54,Feuil1!$A$11:$F$29,4),IF(AND(H54&gt;1999,H54&lt;2002),VLOOKUP(I54,Feuil1!$A$11:$F$29,3),VLOOKUP(I54,Feuil1!$A$11:$F$29,2))))),IF(OR(H54="SEN",H54&lt;1995),VLOOKUP(I54,Feuil1!$G$11:$L$25,6),IF(AND(H54&gt;1994,H54&lt;1998),VLOOKUP(I54,Feuil1!$G$11:$L$25,5),IF(AND(H54&gt;1997,H54&lt;2000),VLOOKUP(I54,Feuil1!$G$11:$L$25,4),IF(AND(H54&gt;1999,H54&lt;2002),VLOOKUP(I54,Feuil1!$G$11:$L$25,3),VLOOKUP(I54,Feuil1!$G$11:$L$25,2)))))))</f>
        <v>FS53</v>
      </c>
      <c r="Y54" s="39">
        <f t="shared" si="16"/>
        <v>141.71354663326957</v>
      </c>
      <c r="Z54" s="45"/>
      <c r="AA54" s="49" t="s">
        <v>12</v>
      </c>
      <c r="AB54" s="3">
        <f>T54-HLOOKUP(X54,Feuil1!$C$1:$BL$10,2,FALSE)</f>
        <v>25</v>
      </c>
      <c r="AC54" s="3">
        <f>T54-HLOOKUP(X54,Feuil1!$C$1:$BL$10,3,FALSE)</f>
        <v>15</v>
      </c>
      <c r="AD54" s="3">
        <f>T54-HLOOKUP(X54,Feuil1!$C$1:$BL$10,4,FALSE)</f>
        <v>5</v>
      </c>
      <c r="AE54" s="3">
        <f>T54-HLOOKUP(X54,Feuil1!$C$1:$BL$10,5,FALSE)</f>
        <v>-5</v>
      </c>
      <c r="AF54" s="3">
        <f>T54-HLOOKUP(X54,Feuil1!$C$1:$BL$10,6,FALSE)</f>
        <v>-15</v>
      </c>
      <c r="AG54" s="3">
        <f>T54-HLOOKUP(X54,Feuil1!$C$1:$BL$10,7,FALSE)</f>
        <v>-30</v>
      </c>
      <c r="AH54" s="3">
        <f>T54-HLOOKUP(X54,Feuil1!$C$1:$BL$10,8,FALSE)</f>
        <v>-50</v>
      </c>
      <c r="AI54" s="3">
        <f>T54-HLOOKUP(X54,Feuil1!$C$1:$BL$10,9,FALSE)</f>
        <v>-70</v>
      </c>
      <c r="AJ54" s="3">
        <f>T54-HLOOKUP(X54,Feuil1!$C$1:$BL$10,10,FALSE)</f>
        <v>-85</v>
      </c>
      <c r="AQ54" s="5" t="str">
        <f t="shared" si="17"/>
        <v>REG +</v>
      </c>
    </row>
    <row r="55" spans="1:55" ht="21" hidden="1" x14ac:dyDescent="0.2">
      <c r="A55" s="12" t="s">
        <v>69</v>
      </c>
      <c r="B55" s="18" t="s">
        <v>536</v>
      </c>
      <c r="C55" s="19" t="s">
        <v>541</v>
      </c>
      <c r="D55" s="61">
        <v>31</v>
      </c>
      <c r="E55" s="35">
        <v>380921</v>
      </c>
      <c r="F55" s="20" t="s">
        <v>627</v>
      </c>
      <c r="G55" s="20" t="s">
        <v>628</v>
      </c>
      <c r="H55" s="51">
        <v>1977</v>
      </c>
      <c r="I55" s="30">
        <v>52</v>
      </c>
      <c r="J55" s="19" t="s">
        <v>629</v>
      </c>
      <c r="K55" s="34" t="s">
        <v>69</v>
      </c>
      <c r="L55" s="31">
        <v>30</v>
      </c>
      <c r="M55" s="31">
        <v>34</v>
      </c>
      <c r="N55" s="31">
        <v>36</v>
      </c>
      <c r="O55" s="36">
        <f t="shared" si="10"/>
        <v>36</v>
      </c>
      <c r="P55" s="31">
        <v>46</v>
      </c>
      <c r="Q55" s="31">
        <v>49</v>
      </c>
      <c r="R55" s="31">
        <v>52</v>
      </c>
      <c r="S55" s="36">
        <f t="shared" si="11"/>
        <v>52</v>
      </c>
      <c r="T55" s="37">
        <f t="shared" si="12"/>
        <v>88</v>
      </c>
      <c r="U55" s="65">
        <f t="shared" si="13"/>
        <v>-16</v>
      </c>
      <c r="V55" s="41" t="str">
        <f t="shared" si="14"/>
        <v>REG +</v>
      </c>
      <c r="W55" s="33">
        <f t="shared" si="15"/>
        <v>3</v>
      </c>
      <c r="X55" s="40" t="str">
        <f>IF(I55="","",IF(A55="H",IF(OR(H55="SEN",H55&lt;1995),VLOOKUP(I55,Feuil1!$A$11:$F$29,6),IF(AND(H55&gt;1994,H55&lt;1998),VLOOKUP(I55,Feuil1!$A$11:$F$29,5),IF(AND(H55&gt;1997,H55&lt;2000),VLOOKUP(I55,Feuil1!$A$11:$F$29,4),IF(AND(H55&gt;1999,H55&lt;2002),VLOOKUP(I55,Feuil1!$A$11:$F$29,3),VLOOKUP(I55,Feuil1!$A$11:$F$29,2))))),IF(OR(H55="SEN",H55&lt;1995),VLOOKUP(I55,Feuil1!$G$11:$L$25,6),IF(AND(H55&gt;1994,H55&lt;1998),VLOOKUP(I55,Feuil1!$G$11:$L$25,5),IF(AND(H55&gt;1997,H55&lt;2000),VLOOKUP(I55,Feuil1!$G$11:$L$25,4),IF(AND(H55&gt;1999,H55&lt;2002),VLOOKUP(I55,Feuil1!$G$11:$L$25,3),VLOOKUP(I55,Feuil1!$G$11:$L$25,2)))))))</f>
        <v>FS53</v>
      </c>
      <c r="Y55" s="39">
        <f t="shared" si="16"/>
        <v>134.80165342665813</v>
      </c>
      <c r="Z55" s="45"/>
      <c r="AA55" s="49" t="s">
        <v>12</v>
      </c>
      <c r="AB55" s="3">
        <f>T55-HLOOKUP(X55,Feuil1!$C$1:$BL$10,2,FALSE)</f>
        <v>23</v>
      </c>
      <c r="AC55" s="3">
        <f>T55-HLOOKUP(X55,Feuil1!$C$1:$BL$10,3,FALSE)</f>
        <v>13</v>
      </c>
      <c r="AD55" s="3">
        <f>T55-HLOOKUP(X55,Feuil1!$C$1:$BL$10,4,FALSE)</f>
        <v>3</v>
      </c>
      <c r="AE55" s="3">
        <f>T55-HLOOKUP(X55,Feuil1!$C$1:$BL$10,5,FALSE)</f>
        <v>-7</v>
      </c>
      <c r="AF55" s="3">
        <f>T55-HLOOKUP(X55,Feuil1!$C$1:$BL$10,6,FALSE)</f>
        <v>-17</v>
      </c>
      <c r="AG55" s="3">
        <f>T55-HLOOKUP(X55,Feuil1!$C$1:$BL$10,7,FALSE)</f>
        <v>-32</v>
      </c>
      <c r="AH55" s="3">
        <f>T55-HLOOKUP(X55,Feuil1!$C$1:$BL$10,8,FALSE)</f>
        <v>-52</v>
      </c>
      <c r="AI55" s="3">
        <f>T55-HLOOKUP(X55,Feuil1!$C$1:$BL$10,9,FALSE)</f>
        <v>-72</v>
      </c>
      <c r="AJ55" s="3">
        <f>T55-HLOOKUP(X55,Feuil1!$C$1:$BL$10,10,FALSE)</f>
        <v>-87</v>
      </c>
      <c r="AQ55" s="5" t="str">
        <f t="shared" si="17"/>
        <v>REG +</v>
      </c>
      <c r="BC55" s="13"/>
    </row>
    <row r="56" spans="1:55" ht="21" hidden="1" x14ac:dyDescent="0.2">
      <c r="A56" s="12" t="s">
        <v>69</v>
      </c>
      <c r="B56" s="18" t="s">
        <v>298</v>
      </c>
      <c r="C56" s="19" t="s">
        <v>299</v>
      </c>
      <c r="D56" s="61">
        <v>32</v>
      </c>
      <c r="E56" s="35">
        <v>150691</v>
      </c>
      <c r="F56" s="20" t="s">
        <v>336</v>
      </c>
      <c r="G56" s="20" t="s">
        <v>117</v>
      </c>
      <c r="H56" s="51">
        <v>1988</v>
      </c>
      <c r="I56" s="30">
        <v>50.7</v>
      </c>
      <c r="J56" s="19" t="s">
        <v>307</v>
      </c>
      <c r="K56" s="34" t="s">
        <v>69</v>
      </c>
      <c r="L56" s="31">
        <v>35</v>
      </c>
      <c r="M56" s="31">
        <v>38</v>
      </c>
      <c r="N56" s="31">
        <v>40</v>
      </c>
      <c r="O56" s="36">
        <f t="shared" si="10"/>
        <v>40</v>
      </c>
      <c r="P56" s="31">
        <v>40</v>
      </c>
      <c r="Q56" s="31">
        <v>45</v>
      </c>
      <c r="R56" s="31">
        <v>47</v>
      </c>
      <c r="S56" s="36">
        <f t="shared" si="11"/>
        <v>47</v>
      </c>
      <c r="T56" s="37">
        <f t="shared" si="12"/>
        <v>87</v>
      </c>
      <c r="U56" s="65">
        <f t="shared" si="13"/>
        <v>-14.400000000000006</v>
      </c>
      <c r="V56" s="41" t="str">
        <f t="shared" si="14"/>
        <v>REG +</v>
      </c>
      <c r="W56" s="33">
        <f t="shared" si="15"/>
        <v>2</v>
      </c>
      <c r="X56" s="40" t="str">
        <f>IF(I56="","",IF(A56="H",IF(OR(H56="SEN",H56&lt;1995),VLOOKUP(I56,Feuil1!$A$11:$F$29,6),IF(AND(H56&gt;1994,H56&lt;1998),VLOOKUP(I56,Feuil1!$A$11:$F$29,5),IF(AND(H56&gt;1997,H56&lt;2000),VLOOKUP(I56,Feuil1!$A$11:$F$29,4),IF(AND(H56&gt;1999,H56&lt;2002),VLOOKUP(I56,Feuil1!$A$11:$F$29,3),VLOOKUP(I56,Feuil1!$A$11:$F$29,2))))),IF(OR(H56="SEN",H56&lt;1995),VLOOKUP(I56,Feuil1!$G$11:$L$25,6),IF(AND(H56&gt;1994,H56&lt;1998),VLOOKUP(I56,Feuil1!$G$11:$L$25,5),IF(AND(H56&gt;1997,H56&lt;2000),VLOOKUP(I56,Feuil1!$G$11:$L$25,4),IF(AND(H56&gt;1999,H56&lt;2002),VLOOKUP(I56,Feuil1!$G$11:$L$25,3),VLOOKUP(I56,Feuil1!$G$11:$L$25,2)))))))</f>
        <v>FS53</v>
      </c>
      <c r="Y56" s="39">
        <f t="shared" si="16"/>
        <v>136.08334006788755</v>
      </c>
      <c r="Z56" s="45"/>
      <c r="AA56" s="49" t="s">
        <v>12</v>
      </c>
      <c r="AB56" s="3">
        <f>T56-HLOOKUP(X56,Feuil1!$C$1:$BL$10,2,FALSE)</f>
        <v>22</v>
      </c>
      <c r="AC56" s="3">
        <f>T56-HLOOKUP(X56,Feuil1!$C$1:$BL$10,3,FALSE)</f>
        <v>12</v>
      </c>
      <c r="AD56" s="3">
        <f>T56-HLOOKUP(X56,Feuil1!$C$1:$BL$10,4,FALSE)</f>
        <v>2</v>
      </c>
      <c r="AE56" s="3">
        <f>T56-HLOOKUP(X56,Feuil1!$C$1:$BL$10,5,FALSE)</f>
        <v>-8</v>
      </c>
      <c r="AF56" s="3">
        <f>T56-HLOOKUP(X56,Feuil1!$C$1:$BL$10,6,FALSE)</f>
        <v>-18</v>
      </c>
      <c r="AG56" s="3">
        <f>T56-HLOOKUP(X56,Feuil1!$C$1:$BL$10,7,FALSE)</f>
        <v>-33</v>
      </c>
      <c r="AH56" s="3">
        <f>T56-HLOOKUP(X56,Feuil1!$C$1:$BL$10,8,FALSE)</f>
        <v>-53</v>
      </c>
      <c r="AI56" s="3">
        <f>T56-HLOOKUP(X56,Feuil1!$C$1:$BL$10,9,FALSE)</f>
        <v>-73</v>
      </c>
      <c r="AJ56" s="3">
        <f>T56-HLOOKUP(X56,Feuil1!$C$1:$BL$10,10,FALSE)</f>
        <v>-88</v>
      </c>
      <c r="AQ56" s="5" t="str">
        <f t="shared" si="17"/>
        <v>REG +</v>
      </c>
    </row>
    <row r="57" spans="1:55" ht="21" hidden="1" x14ac:dyDescent="0.2">
      <c r="A57" s="12" t="s">
        <v>69</v>
      </c>
      <c r="B57" s="18" t="s">
        <v>108</v>
      </c>
      <c r="C57" s="19" t="s">
        <v>146</v>
      </c>
      <c r="D57" s="61">
        <v>33</v>
      </c>
      <c r="E57" s="35">
        <v>377509</v>
      </c>
      <c r="F57" s="20" t="s">
        <v>244</v>
      </c>
      <c r="G57" s="20" t="s">
        <v>245</v>
      </c>
      <c r="H57" s="51">
        <v>1989</v>
      </c>
      <c r="I57" s="30">
        <v>51.1</v>
      </c>
      <c r="J57" s="19" t="s">
        <v>152</v>
      </c>
      <c r="K57" s="34" t="s">
        <v>69</v>
      </c>
      <c r="L57" s="31">
        <v>35</v>
      </c>
      <c r="M57" s="31">
        <v>-38</v>
      </c>
      <c r="N57" s="31">
        <v>38</v>
      </c>
      <c r="O57" s="52">
        <f t="shared" ref="O57:O75" si="18">IF(H57="","",IF(MAXA(L57:N57)&lt;=0,0,MAXA(L57:N57)))</f>
        <v>38</v>
      </c>
      <c r="P57" s="53">
        <v>40</v>
      </c>
      <c r="Q57" s="53">
        <v>43</v>
      </c>
      <c r="R57" s="53">
        <v>46</v>
      </c>
      <c r="S57" s="52">
        <f t="shared" ref="S57:S75" si="19">IF(H57="","",IF(MAXA(P57:R57)&lt;=0,0,MAXA(P57:R57)))</f>
        <v>46</v>
      </c>
      <c r="T57" s="54">
        <f t="shared" ref="T57:T75" si="20">IF(H57="","",IF(OR(O57=0,S57=0),0,O57+S57))</f>
        <v>84</v>
      </c>
      <c r="U57" s="64">
        <f t="shared" ref="U57:U75" si="21">T57-I57*2</f>
        <v>-18.200000000000003</v>
      </c>
      <c r="V57" s="55" t="str">
        <f t="shared" ref="V57:V75" si="22">IF(H57="","",AQ57)</f>
        <v>DEP +</v>
      </c>
      <c r="W57" s="56">
        <f t="shared" ref="W57:W75" si="23">IF(AJ57&gt;=0,AJ57,IF(AI57&gt;=0,AI57,IF(AH57&gt;=0,AH57,IF(AG57&gt;=0,AG57,IF(AF57&gt;=0,AF57,IF(AE57&gt;=0,AE57,IF(AD57&gt;=0,AD57,IF(AC57&gt;=0,AC57,AB57))))))))</f>
        <v>9</v>
      </c>
      <c r="X57" s="40" t="str">
        <f>IF(I57="","",IF(A57="H",IF(OR(H57="SEN",H57&lt;1995),VLOOKUP(I57,Feuil1!$A$11:$F$29,6),IF(AND(H57&gt;1994,H57&lt;1998),VLOOKUP(I57,Feuil1!$A$11:$F$29,5),IF(AND(H57&gt;1997,H57&lt;2000),VLOOKUP(I57,Feuil1!$A$11:$F$29,4),IF(AND(H57&gt;1999,H57&lt;2002),VLOOKUP(I57,Feuil1!$A$11:$F$29,3),VLOOKUP(I57,Feuil1!$A$11:$F$29,2))))),IF(OR(H57="SEN",H57&lt;1995),VLOOKUP(I57,Feuil1!$G$11:$L$25,6),IF(AND(H57&gt;1994,H57&lt;1998),VLOOKUP(I57,Feuil1!$G$11:$L$25,5),IF(AND(H57&gt;1997,H57&lt;2000),VLOOKUP(I57,Feuil1!$G$11:$L$25,4),IF(AND(H57&gt;1999,H57&lt;2002),VLOOKUP(I57,Feuil1!$G$11:$L$25,3),VLOOKUP(I57,Feuil1!$G$11:$L$25,2)))))))</f>
        <v>FS53</v>
      </c>
      <c r="Y57" s="39">
        <f t="shared" ref="Y57:Y75" si="24">IF(I57="","",IF(A57="H",10^(0.794358141*LOG(I57/174.393)^2)*T57,IF(A57="F",10^(0.89726074*LOG(I57/148.026)^2)*T57,"")))</f>
        <v>130.53455312515013</v>
      </c>
      <c r="Z57" s="45"/>
      <c r="AA57" s="49" t="s">
        <v>12</v>
      </c>
      <c r="AB57" s="3">
        <f>T57-HLOOKUP(X57,Feuil1!$C$1:$BL$10,2,FALSE)</f>
        <v>19</v>
      </c>
      <c r="AC57" s="3">
        <f>T57-HLOOKUP(X57,Feuil1!$C$1:$BL$10,3,FALSE)</f>
        <v>9</v>
      </c>
      <c r="AD57" s="3">
        <f>T57-HLOOKUP(X57,Feuil1!$C$1:$BL$10,4,FALSE)</f>
        <v>-1</v>
      </c>
      <c r="AE57" s="3">
        <f>T57-HLOOKUP(X57,Feuil1!$C$1:$BL$10,5,FALSE)</f>
        <v>-11</v>
      </c>
      <c r="AF57" s="3">
        <f>T57-HLOOKUP(X57,Feuil1!$C$1:$BL$10,6,FALSE)</f>
        <v>-21</v>
      </c>
      <c r="AG57" s="3">
        <f>T57-HLOOKUP(X57,Feuil1!$C$1:$BL$10,7,FALSE)</f>
        <v>-36</v>
      </c>
      <c r="AH57" s="3">
        <f>T57-HLOOKUP(X57,Feuil1!$C$1:$BL$10,8,FALSE)</f>
        <v>-56</v>
      </c>
      <c r="AI57" s="3">
        <f>T57-HLOOKUP(X57,Feuil1!$C$1:$BL$10,9,FALSE)</f>
        <v>-76</v>
      </c>
      <c r="AJ57" s="3">
        <f>T57-HLOOKUP(X57,Feuil1!$C$1:$BL$10,10,FALSE)</f>
        <v>-91</v>
      </c>
      <c r="AQ57" s="5" t="str">
        <f t="shared" ref="AQ57:AQ75" si="25">IF(AJ57&gt;=0,$AJ$1,IF(AI57&gt;=0,$AI$1,IF(AH57&gt;=0,$AH$1,IF(AG57&gt;=0,$AG$1,IF(AF57&gt;=0,$AF$1,IF(AE57&gt;=0,$AE$1,IF(AD57&gt;=0,$AD$1,IF(AC57&gt;=0,$AC$1,$AB$1))))))))</f>
        <v>DEP +</v>
      </c>
    </row>
    <row r="58" spans="1:55" s="13" customFormat="1" ht="21" hidden="1" x14ac:dyDescent="0.2">
      <c r="A58" s="12" t="s">
        <v>69</v>
      </c>
      <c r="B58" s="18" t="s">
        <v>536</v>
      </c>
      <c r="C58" s="19" t="s">
        <v>537</v>
      </c>
      <c r="D58" s="61">
        <v>34</v>
      </c>
      <c r="E58" s="35">
        <v>363013</v>
      </c>
      <c r="F58" s="20" t="s">
        <v>616</v>
      </c>
      <c r="G58" s="20" t="s">
        <v>617</v>
      </c>
      <c r="H58" s="51">
        <v>1989</v>
      </c>
      <c r="I58" s="30">
        <v>50.81</v>
      </c>
      <c r="J58" s="19" t="s">
        <v>618</v>
      </c>
      <c r="K58" s="34" t="s">
        <v>69</v>
      </c>
      <c r="L58" s="31">
        <v>33</v>
      </c>
      <c r="M58" s="31">
        <v>35</v>
      </c>
      <c r="N58" s="31">
        <v>-38</v>
      </c>
      <c r="O58" s="36">
        <f t="shared" si="18"/>
        <v>35</v>
      </c>
      <c r="P58" s="31">
        <v>43</v>
      </c>
      <c r="Q58" s="31">
        <v>46</v>
      </c>
      <c r="R58" s="31">
        <v>48</v>
      </c>
      <c r="S58" s="36">
        <f t="shared" si="19"/>
        <v>48</v>
      </c>
      <c r="T58" s="37">
        <f t="shared" si="20"/>
        <v>83</v>
      </c>
      <c r="U58" s="65">
        <f t="shared" si="21"/>
        <v>-18.620000000000005</v>
      </c>
      <c r="V58" s="41" t="str">
        <f t="shared" si="22"/>
        <v>DEP +</v>
      </c>
      <c r="W58" s="33">
        <f t="shared" si="23"/>
        <v>8</v>
      </c>
      <c r="X58" s="40" t="str">
        <f>IF(I58="","",IF(A58="H",IF(OR(H58="SEN",H58&lt;1995),VLOOKUP(I58,Feuil1!$A$11:$F$29,6),IF(AND(H58&gt;1994,H58&lt;1998),VLOOKUP(I58,Feuil1!$A$11:$F$29,5),IF(AND(H58&gt;1997,H58&lt;2000),VLOOKUP(I58,Feuil1!$A$11:$F$29,4),IF(AND(H58&gt;1999,H58&lt;2002),VLOOKUP(I58,Feuil1!$A$11:$F$29,3),VLOOKUP(I58,Feuil1!$A$11:$F$29,2))))),IF(OR(H58="SEN",H58&lt;1995),VLOOKUP(I58,Feuil1!$G$11:$L$25,6),IF(AND(H58&gt;1994,H58&lt;1998),VLOOKUP(I58,Feuil1!$G$11:$L$25,5),IF(AND(H58&gt;1997,H58&lt;2000),VLOOKUP(I58,Feuil1!$G$11:$L$25,4),IF(AND(H58&gt;1999,H58&lt;2002),VLOOKUP(I58,Feuil1!$G$11:$L$25,3),VLOOKUP(I58,Feuil1!$G$11:$L$25,2)))))))</f>
        <v>FS53</v>
      </c>
      <c r="Y58" s="39">
        <f t="shared" si="24"/>
        <v>129.59212789349237</v>
      </c>
      <c r="Z58" s="45"/>
      <c r="AA58" s="49" t="s">
        <v>12</v>
      </c>
      <c r="AB58" s="3">
        <f>T58-HLOOKUP(X58,Feuil1!$C$1:$BL$10,2,FALSE)</f>
        <v>18</v>
      </c>
      <c r="AC58" s="3">
        <f>T58-HLOOKUP(X58,Feuil1!$C$1:$BL$10,3,FALSE)</f>
        <v>8</v>
      </c>
      <c r="AD58" s="3">
        <f>T58-HLOOKUP(X58,Feuil1!$C$1:$BL$10,4,FALSE)</f>
        <v>-2</v>
      </c>
      <c r="AE58" s="3">
        <f>T58-HLOOKUP(X58,Feuil1!$C$1:$BL$10,5,FALSE)</f>
        <v>-12</v>
      </c>
      <c r="AF58" s="3">
        <f>T58-HLOOKUP(X58,Feuil1!$C$1:$BL$10,6,FALSE)</f>
        <v>-22</v>
      </c>
      <c r="AG58" s="3">
        <f>T58-HLOOKUP(X58,Feuil1!$C$1:$BL$10,7,FALSE)</f>
        <v>-37</v>
      </c>
      <c r="AH58" s="3">
        <f>T58-HLOOKUP(X58,Feuil1!$C$1:$BL$10,8,FALSE)</f>
        <v>-57</v>
      </c>
      <c r="AI58" s="3">
        <f>T58-HLOOKUP(X58,Feuil1!$C$1:$BL$10,9,FALSE)</f>
        <v>-77</v>
      </c>
      <c r="AJ58" s="3">
        <f>T58-HLOOKUP(X58,Feuil1!$C$1:$BL$10,10,FALSE)</f>
        <v>-92</v>
      </c>
      <c r="AK58" s="5"/>
      <c r="AL58" s="5"/>
      <c r="AM58" s="5"/>
      <c r="AN58" s="5"/>
      <c r="AO58" s="5"/>
      <c r="AP58" s="5"/>
      <c r="AQ58" s="5" t="str">
        <f t="shared" si="25"/>
        <v>DEP +</v>
      </c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</row>
    <row r="59" spans="1:55" ht="21" hidden="1" x14ac:dyDescent="0.2">
      <c r="A59" s="12" t="s">
        <v>69</v>
      </c>
      <c r="B59" s="18" t="s">
        <v>298</v>
      </c>
      <c r="C59" s="19" t="s">
        <v>476</v>
      </c>
      <c r="D59" s="61">
        <v>35</v>
      </c>
      <c r="E59" s="35">
        <v>391500</v>
      </c>
      <c r="F59" s="20" t="s">
        <v>527</v>
      </c>
      <c r="G59" s="20" t="s">
        <v>276</v>
      </c>
      <c r="H59" s="51">
        <v>1988</v>
      </c>
      <c r="I59" s="30">
        <v>51.4</v>
      </c>
      <c r="J59" s="19" t="s">
        <v>501</v>
      </c>
      <c r="K59" s="34" t="s">
        <v>69</v>
      </c>
      <c r="L59" s="31">
        <v>30</v>
      </c>
      <c r="M59" s="31">
        <v>-35</v>
      </c>
      <c r="N59" s="31">
        <v>35</v>
      </c>
      <c r="O59" s="36">
        <f t="shared" si="18"/>
        <v>35</v>
      </c>
      <c r="P59" s="31">
        <v>37</v>
      </c>
      <c r="Q59" s="31">
        <v>42</v>
      </c>
      <c r="R59" s="31">
        <v>46</v>
      </c>
      <c r="S59" s="36">
        <f t="shared" si="19"/>
        <v>46</v>
      </c>
      <c r="T59" s="37">
        <f t="shared" si="20"/>
        <v>81</v>
      </c>
      <c r="U59" s="65">
        <f t="shared" si="21"/>
        <v>-21.799999999999997</v>
      </c>
      <c r="V59" s="41" t="str">
        <f t="shared" si="22"/>
        <v>DEP +</v>
      </c>
      <c r="W59" s="33">
        <f t="shared" si="23"/>
        <v>6</v>
      </c>
      <c r="X59" s="40" t="str">
        <f>IF(I59="","",IF(A59="H",IF(OR(H59="SEN",H59&lt;1995),VLOOKUP(I59,Feuil1!$A$11:$F$29,6),IF(AND(H59&gt;1994,H59&lt;1998),VLOOKUP(I59,Feuil1!$A$11:$F$29,5),IF(AND(H59&gt;1997,H59&lt;2000),VLOOKUP(I59,Feuil1!$A$11:$F$29,4),IF(AND(H59&gt;1999,H59&lt;2002),VLOOKUP(I59,Feuil1!$A$11:$F$29,3),VLOOKUP(I59,Feuil1!$A$11:$F$29,2))))),IF(OR(H59="SEN",H59&lt;1995),VLOOKUP(I59,Feuil1!$G$11:$L$25,6),IF(AND(H59&gt;1994,H59&lt;1998),VLOOKUP(I59,Feuil1!$G$11:$L$25,5),IF(AND(H59&gt;1997,H59&lt;2000),VLOOKUP(I59,Feuil1!$G$11:$L$25,4),IF(AND(H59&gt;1999,H59&lt;2002),VLOOKUP(I59,Feuil1!$G$11:$L$25,3),VLOOKUP(I59,Feuil1!$G$11:$L$25,2)))))))</f>
        <v>FS53</v>
      </c>
      <c r="Y59" s="39">
        <f t="shared" si="24"/>
        <v>125.26499400652656</v>
      </c>
      <c r="Z59" s="45"/>
      <c r="AA59" s="49" t="s">
        <v>12</v>
      </c>
      <c r="AB59" s="3">
        <f>T59-HLOOKUP(X59,Feuil1!$C$1:$BL$10,2,FALSE)</f>
        <v>16</v>
      </c>
      <c r="AC59" s="3">
        <f>T59-HLOOKUP(X59,Feuil1!$C$1:$BL$10,3,FALSE)</f>
        <v>6</v>
      </c>
      <c r="AD59" s="3">
        <f>T59-HLOOKUP(X59,Feuil1!$C$1:$BL$10,4,FALSE)</f>
        <v>-4</v>
      </c>
      <c r="AE59" s="3">
        <f>T59-HLOOKUP(X59,Feuil1!$C$1:$BL$10,5,FALSE)</f>
        <v>-14</v>
      </c>
      <c r="AF59" s="3">
        <f>T59-HLOOKUP(X59,Feuil1!$C$1:$BL$10,6,FALSE)</f>
        <v>-24</v>
      </c>
      <c r="AG59" s="3">
        <f>T59-HLOOKUP(X59,Feuil1!$C$1:$BL$10,7,FALSE)</f>
        <v>-39</v>
      </c>
      <c r="AH59" s="3">
        <f>T59-HLOOKUP(X59,Feuil1!$C$1:$BL$10,8,FALSE)</f>
        <v>-59</v>
      </c>
      <c r="AI59" s="3">
        <f>T59-HLOOKUP(X59,Feuil1!$C$1:$BL$10,9,FALSE)</f>
        <v>-79</v>
      </c>
      <c r="AJ59" s="3">
        <f>T59-HLOOKUP(X59,Feuil1!$C$1:$BL$10,10,FALSE)</f>
        <v>-94</v>
      </c>
      <c r="AQ59" s="5" t="str">
        <f t="shared" si="25"/>
        <v>DEP +</v>
      </c>
      <c r="BC59" s="13"/>
    </row>
    <row r="60" spans="1:55" ht="21" hidden="1" x14ac:dyDescent="0.2">
      <c r="A60" s="12" t="s">
        <v>69</v>
      </c>
      <c r="B60" s="67" t="s">
        <v>108</v>
      </c>
      <c r="C60" s="68" t="s">
        <v>115</v>
      </c>
      <c r="D60" s="69">
        <v>36</v>
      </c>
      <c r="E60" s="70">
        <v>190306</v>
      </c>
      <c r="F60" s="84" t="s">
        <v>190</v>
      </c>
      <c r="G60" s="71" t="s">
        <v>191</v>
      </c>
      <c r="H60" s="72">
        <v>1989</v>
      </c>
      <c r="I60" s="73">
        <v>49.2</v>
      </c>
      <c r="J60" s="68" t="s">
        <v>118</v>
      </c>
      <c r="K60" s="74" t="s">
        <v>69</v>
      </c>
      <c r="L60" s="75">
        <v>32</v>
      </c>
      <c r="M60" s="75">
        <v>-35</v>
      </c>
      <c r="N60" s="75">
        <v>35</v>
      </c>
      <c r="O60" s="76">
        <f t="shared" si="18"/>
        <v>35</v>
      </c>
      <c r="P60" s="75">
        <v>42</v>
      </c>
      <c r="Q60" s="75">
        <v>-45</v>
      </c>
      <c r="R60" s="75">
        <v>45</v>
      </c>
      <c r="S60" s="76">
        <f t="shared" si="19"/>
        <v>45</v>
      </c>
      <c r="T60" s="77">
        <f t="shared" si="20"/>
        <v>80</v>
      </c>
      <c r="U60" s="78">
        <f t="shared" si="21"/>
        <v>-18.400000000000006</v>
      </c>
      <c r="V60" s="79" t="str">
        <f t="shared" si="22"/>
        <v>DEP +</v>
      </c>
      <c r="W60" s="80">
        <f t="shared" si="23"/>
        <v>5</v>
      </c>
      <c r="X60" s="81" t="str">
        <f>IF(I60="","",IF(A60="H",IF(OR(H60="SEN",H60&lt;1995),VLOOKUP(I60,Feuil1!$A$11:$F$29,6),IF(AND(H60&gt;1994,H60&lt;1998),VLOOKUP(I60,Feuil1!$A$11:$F$29,5),IF(AND(H60&gt;1997,H60&lt;2000),VLOOKUP(I60,Feuil1!$A$11:$F$29,4),IF(AND(H60&gt;1999,H60&lt;2002),VLOOKUP(I60,Feuil1!$A$11:$F$29,3),VLOOKUP(I60,Feuil1!$A$11:$F$29,2))))),IF(OR(H60="SEN",H60&lt;1995),VLOOKUP(I60,Feuil1!$G$11:$L$25,6),IF(AND(H60&gt;1994,H60&lt;1998),VLOOKUP(I60,Feuil1!$G$11:$L$25,5),IF(AND(H60&gt;1997,H60&lt;2000),VLOOKUP(I60,Feuil1!$G$11:$L$25,4),IF(AND(H60&gt;1999,H60&lt;2002),VLOOKUP(I60,Feuil1!$G$11:$L$25,3),VLOOKUP(I60,Feuil1!$G$11:$L$25,2)))))))</f>
        <v>FS53</v>
      </c>
      <c r="Y60" s="39">
        <f t="shared" si="24"/>
        <v>128.35704256341646</v>
      </c>
      <c r="Z60" s="45"/>
      <c r="AA60" s="49" t="s">
        <v>12</v>
      </c>
      <c r="AB60" s="3">
        <f>T60-HLOOKUP(X60,Feuil1!$C$1:$BL$10,2,FALSE)</f>
        <v>15</v>
      </c>
      <c r="AC60" s="3">
        <f>T60-HLOOKUP(X60,Feuil1!$C$1:$BL$10,3,FALSE)</f>
        <v>5</v>
      </c>
      <c r="AD60" s="3">
        <f>T60-HLOOKUP(X60,Feuil1!$C$1:$BL$10,4,FALSE)</f>
        <v>-5</v>
      </c>
      <c r="AE60" s="3">
        <f>T60-HLOOKUP(X60,Feuil1!$C$1:$BL$10,5,FALSE)</f>
        <v>-15</v>
      </c>
      <c r="AF60" s="3">
        <f>T60-HLOOKUP(X60,Feuil1!$C$1:$BL$10,6,FALSE)</f>
        <v>-25</v>
      </c>
      <c r="AG60" s="3">
        <f>T60-HLOOKUP(X60,Feuil1!$C$1:$BL$10,7,FALSE)</f>
        <v>-40</v>
      </c>
      <c r="AH60" s="3">
        <f>T60-HLOOKUP(X60,Feuil1!$C$1:$BL$10,8,FALSE)</f>
        <v>-60</v>
      </c>
      <c r="AI60" s="3">
        <f>T60-HLOOKUP(X60,Feuil1!$C$1:$BL$10,9,FALSE)</f>
        <v>-80</v>
      </c>
      <c r="AJ60" s="3">
        <f>T60-HLOOKUP(X60,Feuil1!$C$1:$BL$10,10,FALSE)</f>
        <v>-95</v>
      </c>
      <c r="AQ60" s="5" t="str">
        <f t="shared" si="25"/>
        <v>DEP +</v>
      </c>
    </row>
    <row r="61" spans="1:55" ht="21" hidden="1" x14ac:dyDescent="0.2">
      <c r="A61" s="12" t="s">
        <v>69</v>
      </c>
      <c r="B61" s="18" t="s">
        <v>298</v>
      </c>
      <c r="C61" s="19" t="s">
        <v>299</v>
      </c>
      <c r="D61" s="61">
        <v>37</v>
      </c>
      <c r="E61" s="35">
        <v>366669</v>
      </c>
      <c r="F61" s="20" t="s">
        <v>337</v>
      </c>
      <c r="G61" s="20" t="s">
        <v>338</v>
      </c>
      <c r="H61" s="51">
        <v>1994</v>
      </c>
      <c r="I61" s="30">
        <v>51.3</v>
      </c>
      <c r="J61" s="19" t="s">
        <v>339</v>
      </c>
      <c r="K61" s="34" t="s">
        <v>69</v>
      </c>
      <c r="L61" s="31">
        <v>25</v>
      </c>
      <c r="M61" s="31">
        <v>30</v>
      </c>
      <c r="N61" s="31">
        <v>35</v>
      </c>
      <c r="O61" s="36">
        <f t="shared" si="18"/>
        <v>35</v>
      </c>
      <c r="P61" s="31">
        <v>35</v>
      </c>
      <c r="Q61" s="31">
        <v>40</v>
      </c>
      <c r="R61" s="31">
        <v>43</v>
      </c>
      <c r="S61" s="36">
        <f t="shared" si="19"/>
        <v>43</v>
      </c>
      <c r="T61" s="37">
        <f t="shared" si="20"/>
        <v>78</v>
      </c>
      <c r="U61" s="65">
        <f t="shared" si="21"/>
        <v>-24.599999999999994</v>
      </c>
      <c r="V61" s="41" t="str">
        <f t="shared" si="22"/>
        <v>DEP +</v>
      </c>
      <c r="W61" s="33">
        <f t="shared" si="23"/>
        <v>3</v>
      </c>
      <c r="X61" s="40" t="str">
        <f>IF(I61="","",IF(A61="H",IF(OR(H61="SEN",H61&lt;1995),VLOOKUP(I61,Feuil1!$A$11:$F$29,6),IF(AND(H61&gt;1994,H61&lt;1998),VLOOKUP(I61,Feuil1!$A$11:$F$29,5),IF(AND(H61&gt;1997,H61&lt;2000),VLOOKUP(I61,Feuil1!$A$11:$F$29,4),IF(AND(H61&gt;1999,H61&lt;2002),VLOOKUP(I61,Feuil1!$A$11:$F$29,3),VLOOKUP(I61,Feuil1!$A$11:$F$29,2))))),IF(OR(H61="SEN",H61&lt;1995),VLOOKUP(I61,Feuil1!$G$11:$L$25,6),IF(AND(H61&gt;1994,H61&lt;1998),VLOOKUP(I61,Feuil1!$G$11:$L$25,5),IF(AND(H61&gt;1997,H61&lt;2000),VLOOKUP(I61,Feuil1!$G$11:$L$25,4),IF(AND(H61&gt;1999,H61&lt;2002),VLOOKUP(I61,Feuil1!$G$11:$L$25,3),VLOOKUP(I61,Feuil1!$G$11:$L$25,2)))))))</f>
        <v>FS53</v>
      </c>
      <c r="Y61" s="39">
        <f t="shared" si="24"/>
        <v>120.81953269787245</v>
      </c>
      <c r="Z61" s="45"/>
      <c r="AA61" s="49" t="s">
        <v>12</v>
      </c>
      <c r="AB61" s="3">
        <f>T61-HLOOKUP(X61,Feuil1!$C$1:$BL$10,2,FALSE)</f>
        <v>13</v>
      </c>
      <c r="AC61" s="3">
        <f>T61-HLOOKUP(X61,Feuil1!$C$1:$BL$10,3,FALSE)</f>
        <v>3</v>
      </c>
      <c r="AD61" s="3">
        <f>T61-HLOOKUP(X61,Feuil1!$C$1:$BL$10,4,FALSE)</f>
        <v>-7</v>
      </c>
      <c r="AE61" s="3">
        <f>T61-HLOOKUP(X61,Feuil1!$C$1:$BL$10,5,FALSE)</f>
        <v>-17</v>
      </c>
      <c r="AF61" s="3">
        <f>T61-HLOOKUP(X61,Feuil1!$C$1:$BL$10,6,FALSE)</f>
        <v>-27</v>
      </c>
      <c r="AG61" s="3">
        <f>T61-HLOOKUP(X61,Feuil1!$C$1:$BL$10,7,FALSE)</f>
        <v>-42</v>
      </c>
      <c r="AH61" s="3">
        <f>T61-HLOOKUP(X61,Feuil1!$C$1:$BL$10,8,FALSE)</f>
        <v>-62</v>
      </c>
      <c r="AI61" s="3">
        <f>T61-HLOOKUP(X61,Feuil1!$C$1:$BL$10,9,FALSE)</f>
        <v>-82</v>
      </c>
      <c r="AJ61" s="3">
        <f>T61-HLOOKUP(X61,Feuil1!$C$1:$BL$10,10,FALSE)</f>
        <v>-97</v>
      </c>
      <c r="AQ61" s="5" t="str">
        <f t="shared" si="25"/>
        <v>DEP +</v>
      </c>
    </row>
    <row r="62" spans="1:55" ht="21" hidden="1" x14ac:dyDescent="0.2">
      <c r="A62" s="12" t="s">
        <v>69</v>
      </c>
      <c r="B62" s="18" t="s">
        <v>721</v>
      </c>
      <c r="C62" s="19" t="s">
        <v>775</v>
      </c>
      <c r="D62" s="61">
        <v>38</v>
      </c>
      <c r="E62" s="35">
        <v>321930</v>
      </c>
      <c r="F62" s="20" t="s">
        <v>786</v>
      </c>
      <c r="G62" s="20" t="s">
        <v>787</v>
      </c>
      <c r="H62" s="51">
        <v>1979</v>
      </c>
      <c r="I62" s="30">
        <v>52.2</v>
      </c>
      <c r="J62" s="19" t="s">
        <v>780</v>
      </c>
      <c r="K62" s="34" t="s">
        <v>69</v>
      </c>
      <c r="L62" s="31">
        <v>34</v>
      </c>
      <c r="M62" s="31">
        <v>-37</v>
      </c>
      <c r="N62" s="31">
        <v>-37</v>
      </c>
      <c r="O62" s="36">
        <f t="shared" si="18"/>
        <v>34</v>
      </c>
      <c r="P62" s="31">
        <v>44</v>
      </c>
      <c r="Q62" s="31">
        <v>-46</v>
      </c>
      <c r="R62" s="31">
        <v>-46</v>
      </c>
      <c r="S62" s="36">
        <f t="shared" si="19"/>
        <v>44</v>
      </c>
      <c r="T62" s="37">
        <f t="shared" si="20"/>
        <v>78</v>
      </c>
      <c r="U62" s="65">
        <f t="shared" si="21"/>
        <v>-26.400000000000006</v>
      </c>
      <c r="V62" s="41" t="str">
        <f t="shared" si="22"/>
        <v>DEP +</v>
      </c>
      <c r="W62" s="33">
        <f t="shared" si="23"/>
        <v>3</v>
      </c>
      <c r="X62" s="40" t="str">
        <f>IF(I62="","",IF(A62="H",IF(OR(H62="SEN",H62&lt;1995),VLOOKUP(I62,Feuil1!$A$11:$F$29,6),IF(AND(H62&gt;1994,H62&lt;1998),VLOOKUP(I62,Feuil1!$A$11:$F$29,5),IF(AND(H62&gt;1997,H62&lt;2000),VLOOKUP(I62,Feuil1!$A$11:$F$29,4),IF(AND(H62&gt;1999,H62&lt;2002),VLOOKUP(I62,Feuil1!$A$11:$F$29,3),VLOOKUP(I62,Feuil1!$A$11:$F$29,2))))),IF(OR(H62="SEN",H62&lt;1995),VLOOKUP(I62,Feuil1!$G$11:$L$25,6),IF(AND(H62&gt;1994,H62&lt;1998),VLOOKUP(I62,Feuil1!$G$11:$L$25,5),IF(AND(H62&gt;1997,H62&lt;2000),VLOOKUP(I62,Feuil1!$G$11:$L$25,4),IF(AND(H62&gt;1999,H62&lt;2002),VLOOKUP(I62,Feuil1!$G$11:$L$25,3),VLOOKUP(I62,Feuil1!$G$11:$L$25,2)))))))</f>
        <v>FS53</v>
      </c>
      <c r="Y62" s="39">
        <f t="shared" si="24"/>
        <v>119.1105928631287</v>
      </c>
      <c r="Z62" s="45"/>
      <c r="AA62" s="49" t="s">
        <v>12</v>
      </c>
      <c r="AB62" s="3">
        <f>T62-HLOOKUP(X62,Feuil1!$C$1:$BL$10,2,FALSE)</f>
        <v>13</v>
      </c>
      <c r="AC62" s="3">
        <f>T62-HLOOKUP(X62,Feuil1!$C$1:$BL$10,3,FALSE)</f>
        <v>3</v>
      </c>
      <c r="AD62" s="3">
        <f>T62-HLOOKUP(X62,Feuil1!$C$1:$BL$10,4,FALSE)</f>
        <v>-7</v>
      </c>
      <c r="AE62" s="3">
        <f>T62-HLOOKUP(X62,Feuil1!$C$1:$BL$10,5,FALSE)</f>
        <v>-17</v>
      </c>
      <c r="AF62" s="3">
        <f>T62-HLOOKUP(X62,Feuil1!$C$1:$BL$10,6,FALSE)</f>
        <v>-27</v>
      </c>
      <c r="AG62" s="3">
        <f>T62-HLOOKUP(X62,Feuil1!$C$1:$BL$10,7,FALSE)</f>
        <v>-42</v>
      </c>
      <c r="AH62" s="3">
        <f>T62-HLOOKUP(X62,Feuil1!$C$1:$BL$10,8,FALSE)</f>
        <v>-62</v>
      </c>
      <c r="AI62" s="3">
        <f>T62-HLOOKUP(X62,Feuil1!$C$1:$BL$10,9,FALSE)</f>
        <v>-82</v>
      </c>
      <c r="AJ62" s="3">
        <f>T62-HLOOKUP(X62,Feuil1!$C$1:$BL$10,10,FALSE)</f>
        <v>-97</v>
      </c>
      <c r="AQ62" s="5" t="str">
        <f t="shared" si="25"/>
        <v>DEP +</v>
      </c>
      <c r="BC62" s="13"/>
    </row>
    <row r="63" spans="1:55" ht="21" hidden="1" x14ac:dyDescent="0.2">
      <c r="A63" s="12" t="s">
        <v>69</v>
      </c>
      <c r="B63" s="67" t="s">
        <v>721</v>
      </c>
      <c r="C63" s="68" t="s">
        <v>745</v>
      </c>
      <c r="D63" s="69">
        <v>39</v>
      </c>
      <c r="E63" s="70">
        <v>376363</v>
      </c>
      <c r="F63" s="71" t="s">
        <v>121</v>
      </c>
      <c r="G63" s="71" t="s">
        <v>272</v>
      </c>
      <c r="H63" s="72">
        <v>1989</v>
      </c>
      <c r="I63" s="73">
        <v>48.3</v>
      </c>
      <c r="J63" s="68" t="s">
        <v>748</v>
      </c>
      <c r="K63" s="74" t="s">
        <v>69</v>
      </c>
      <c r="L63" s="75">
        <v>28</v>
      </c>
      <c r="M63" s="75">
        <v>-31</v>
      </c>
      <c r="N63" s="75">
        <v>31</v>
      </c>
      <c r="O63" s="76">
        <f t="shared" si="18"/>
        <v>31</v>
      </c>
      <c r="P63" s="75">
        <v>40</v>
      </c>
      <c r="Q63" s="75">
        <v>43</v>
      </c>
      <c r="R63" s="75">
        <v>45</v>
      </c>
      <c r="S63" s="76">
        <f t="shared" si="19"/>
        <v>45</v>
      </c>
      <c r="T63" s="77">
        <f t="shared" si="20"/>
        <v>76</v>
      </c>
      <c r="U63" s="78">
        <f t="shared" si="21"/>
        <v>-20.599999999999994</v>
      </c>
      <c r="V63" s="79" t="str">
        <f t="shared" si="22"/>
        <v>DEP +</v>
      </c>
      <c r="W63" s="80">
        <f t="shared" si="23"/>
        <v>1</v>
      </c>
      <c r="X63" s="81" t="str">
        <f>IF(I63="","",IF(A63="H",IF(OR(H63="SEN",H63&lt;1995),VLOOKUP(I63,Feuil1!$A$11:$F$29,6),IF(AND(H63&gt;1994,H63&lt;1998),VLOOKUP(I63,Feuil1!$A$11:$F$29,5),IF(AND(H63&gt;1997,H63&lt;2000),VLOOKUP(I63,Feuil1!$A$11:$F$29,4),IF(AND(H63&gt;1999,H63&lt;2002),VLOOKUP(I63,Feuil1!$A$11:$F$29,3),VLOOKUP(I63,Feuil1!$A$11:$F$29,2))))),IF(OR(H63="SEN",H63&lt;1995),VLOOKUP(I63,Feuil1!$G$11:$L$25,6),IF(AND(H63&gt;1994,H63&lt;1998),VLOOKUP(I63,Feuil1!$G$11:$L$25,5),IF(AND(H63&gt;1997,H63&lt;2000),VLOOKUP(I63,Feuil1!$G$11:$L$25,4),IF(AND(H63&gt;1999,H63&lt;2002),VLOOKUP(I63,Feuil1!$G$11:$L$25,3),VLOOKUP(I63,Feuil1!$G$11:$L$25,2)))))))</f>
        <v>FS53</v>
      </c>
      <c r="Y63" s="39">
        <f t="shared" si="24"/>
        <v>123.90362770221522</v>
      </c>
      <c r="Z63" s="45"/>
      <c r="AA63" s="49" t="s">
        <v>12</v>
      </c>
      <c r="AB63" s="3">
        <f>T63-HLOOKUP(X63,Feuil1!$C$1:$BL$10,2,FALSE)</f>
        <v>11</v>
      </c>
      <c r="AC63" s="3">
        <f>T63-HLOOKUP(X63,Feuil1!$C$1:$BL$10,3,FALSE)</f>
        <v>1</v>
      </c>
      <c r="AD63" s="3">
        <f>T63-HLOOKUP(X63,Feuil1!$C$1:$BL$10,4,FALSE)</f>
        <v>-9</v>
      </c>
      <c r="AE63" s="3">
        <f>T63-HLOOKUP(X63,Feuil1!$C$1:$BL$10,5,FALSE)</f>
        <v>-19</v>
      </c>
      <c r="AF63" s="3">
        <f>T63-HLOOKUP(X63,Feuil1!$C$1:$BL$10,6,FALSE)</f>
        <v>-29</v>
      </c>
      <c r="AG63" s="3">
        <f>T63-HLOOKUP(X63,Feuil1!$C$1:$BL$10,7,FALSE)</f>
        <v>-44</v>
      </c>
      <c r="AH63" s="3">
        <f>T63-HLOOKUP(X63,Feuil1!$C$1:$BL$10,8,FALSE)</f>
        <v>-64</v>
      </c>
      <c r="AI63" s="3">
        <f>T63-HLOOKUP(X63,Feuil1!$C$1:$BL$10,9,FALSE)</f>
        <v>-84</v>
      </c>
      <c r="AJ63" s="3">
        <f>T63-HLOOKUP(X63,Feuil1!$C$1:$BL$10,10,FALSE)</f>
        <v>-99</v>
      </c>
      <c r="AQ63" s="5" t="str">
        <f t="shared" si="25"/>
        <v>DEP +</v>
      </c>
      <c r="BC63" s="13"/>
    </row>
    <row r="64" spans="1:55" ht="21" hidden="1" x14ac:dyDescent="0.2">
      <c r="A64" s="12" t="s">
        <v>69</v>
      </c>
      <c r="B64" s="18" t="s">
        <v>649</v>
      </c>
      <c r="C64" s="19" t="s">
        <v>648</v>
      </c>
      <c r="D64" s="61">
        <v>40</v>
      </c>
      <c r="E64" s="35">
        <v>372876</v>
      </c>
      <c r="F64" s="20" t="s">
        <v>653</v>
      </c>
      <c r="G64" s="20" t="s">
        <v>583</v>
      </c>
      <c r="H64" s="51">
        <v>1986</v>
      </c>
      <c r="I64" s="30">
        <v>51</v>
      </c>
      <c r="J64" s="19" t="s">
        <v>644</v>
      </c>
      <c r="K64" s="34" t="s">
        <v>69</v>
      </c>
      <c r="L64" s="31">
        <v>-30</v>
      </c>
      <c r="M64" s="31">
        <v>-30</v>
      </c>
      <c r="N64" s="31">
        <v>30</v>
      </c>
      <c r="O64" s="36">
        <f t="shared" si="18"/>
        <v>30</v>
      </c>
      <c r="P64" s="31">
        <v>40</v>
      </c>
      <c r="Q64" s="31">
        <v>43</v>
      </c>
      <c r="R64" s="31">
        <v>46</v>
      </c>
      <c r="S64" s="36">
        <f t="shared" si="19"/>
        <v>46</v>
      </c>
      <c r="T64" s="37">
        <f t="shared" si="20"/>
        <v>76</v>
      </c>
      <c r="U64" s="65">
        <f t="shared" si="21"/>
        <v>-26</v>
      </c>
      <c r="V64" s="41" t="str">
        <f t="shared" si="22"/>
        <v>DEP +</v>
      </c>
      <c r="W64" s="33">
        <f t="shared" si="23"/>
        <v>1</v>
      </c>
      <c r="X64" s="40" t="str">
        <f>IF(I64="","",IF(A64="H",IF(OR(H64="SEN",H64&lt;1995),VLOOKUP(I64,Feuil1!$A$11:$F$29,6),IF(AND(H64&gt;1994,H64&lt;1998),VLOOKUP(I64,Feuil1!$A$11:$F$29,5),IF(AND(H64&gt;1997,H64&lt;2000),VLOOKUP(I64,Feuil1!$A$11:$F$29,4),IF(AND(H64&gt;1999,H64&lt;2002),VLOOKUP(I64,Feuil1!$A$11:$F$29,3),VLOOKUP(I64,Feuil1!$A$11:$F$29,2))))),IF(OR(H64="SEN",H64&lt;1995),VLOOKUP(I64,Feuil1!$G$11:$L$25,6),IF(AND(H64&gt;1994,H64&lt;1998),VLOOKUP(I64,Feuil1!$G$11:$L$25,5),IF(AND(H64&gt;1997,H64&lt;2000),VLOOKUP(I64,Feuil1!$G$11:$L$25,4),IF(AND(H64&gt;1999,H64&lt;2002),VLOOKUP(I64,Feuil1!$G$11:$L$25,3),VLOOKUP(I64,Feuil1!$G$11:$L$25,2)))))))</f>
        <v>FS53</v>
      </c>
      <c r="Y64" s="39">
        <f t="shared" si="24"/>
        <v>118.29479190911738</v>
      </c>
      <c r="Z64" s="45"/>
      <c r="AA64" s="49" t="s">
        <v>12</v>
      </c>
      <c r="AB64" s="3">
        <f>T64-HLOOKUP(X64,Feuil1!$C$1:$BL$10,2,FALSE)</f>
        <v>11</v>
      </c>
      <c r="AC64" s="3">
        <f>T64-HLOOKUP(X64,Feuil1!$C$1:$BL$10,3,FALSE)</f>
        <v>1</v>
      </c>
      <c r="AD64" s="3">
        <f>T64-HLOOKUP(X64,Feuil1!$C$1:$BL$10,4,FALSE)</f>
        <v>-9</v>
      </c>
      <c r="AE64" s="3">
        <f>T64-HLOOKUP(X64,Feuil1!$C$1:$BL$10,5,FALSE)</f>
        <v>-19</v>
      </c>
      <c r="AF64" s="3">
        <f>T64-HLOOKUP(X64,Feuil1!$C$1:$BL$10,6,FALSE)</f>
        <v>-29</v>
      </c>
      <c r="AG64" s="3">
        <f>T64-HLOOKUP(X64,Feuil1!$C$1:$BL$10,7,FALSE)</f>
        <v>-44</v>
      </c>
      <c r="AH64" s="3">
        <f>T64-HLOOKUP(X64,Feuil1!$C$1:$BL$10,8,FALSE)</f>
        <v>-64</v>
      </c>
      <c r="AI64" s="3">
        <f>T64-HLOOKUP(X64,Feuil1!$C$1:$BL$10,9,FALSE)</f>
        <v>-84</v>
      </c>
      <c r="AJ64" s="3">
        <f>T64-HLOOKUP(X64,Feuil1!$C$1:$BL$10,10,FALSE)</f>
        <v>-99</v>
      </c>
      <c r="AQ64" s="5" t="str">
        <f t="shared" si="25"/>
        <v>DEP +</v>
      </c>
      <c r="BC64" s="13"/>
    </row>
    <row r="65" spans="1:55" ht="21" hidden="1" x14ac:dyDescent="0.2">
      <c r="A65" s="12" t="s">
        <v>69</v>
      </c>
      <c r="B65" s="18" t="s">
        <v>298</v>
      </c>
      <c r="C65" s="19" t="s">
        <v>476</v>
      </c>
      <c r="D65" s="61">
        <v>41</v>
      </c>
      <c r="E65" s="35">
        <v>87282</v>
      </c>
      <c r="F65" s="20" t="s">
        <v>496</v>
      </c>
      <c r="G65" s="20" t="s">
        <v>436</v>
      </c>
      <c r="H65" s="57">
        <v>1992</v>
      </c>
      <c r="I65" s="30">
        <v>51.8</v>
      </c>
      <c r="J65" s="19" t="s">
        <v>481</v>
      </c>
      <c r="K65" s="34" t="s">
        <v>69</v>
      </c>
      <c r="L65" s="31">
        <v>-30</v>
      </c>
      <c r="M65" s="31">
        <v>30</v>
      </c>
      <c r="N65" s="31">
        <v>35</v>
      </c>
      <c r="O65" s="36">
        <f t="shared" si="18"/>
        <v>35</v>
      </c>
      <c r="P65" s="31">
        <v>35</v>
      </c>
      <c r="Q65" s="31">
        <v>38</v>
      </c>
      <c r="R65" s="31">
        <v>40</v>
      </c>
      <c r="S65" s="36">
        <f t="shared" si="19"/>
        <v>40</v>
      </c>
      <c r="T65" s="37">
        <f t="shared" si="20"/>
        <v>75</v>
      </c>
      <c r="U65" s="65">
        <f t="shared" si="21"/>
        <v>-28.599999999999994</v>
      </c>
      <c r="V65" s="41" t="str">
        <f t="shared" si="22"/>
        <v>DEP +</v>
      </c>
      <c r="W65" s="33">
        <f t="shared" si="23"/>
        <v>0</v>
      </c>
      <c r="X65" s="40" t="str">
        <f>IF(I65="","",IF(A65="H",IF(OR(H65="SEN",H65&lt;1995),VLOOKUP(I65,Feuil1!$A$11:$F$29,6),IF(AND(H65&gt;1994,H65&lt;1998),VLOOKUP(I65,Feuil1!$A$11:$F$29,5),IF(AND(H65&gt;1997,H65&lt;2000),VLOOKUP(I65,Feuil1!$A$11:$F$29,4),IF(AND(H65&gt;1999,H65&lt;2002),VLOOKUP(I65,Feuil1!$A$11:$F$29,3),VLOOKUP(I65,Feuil1!$A$11:$F$29,2))))),IF(OR(H65="SEN",H65&lt;1995),VLOOKUP(I65,Feuil1!$G$11:$L$25,6),IF(AND(H65&gt;1994,H65&lt;1998),VLOOKUP(I65,Feuil1!$G$11:$L$25,5),IF(AND(H65&gt;1997,H65&lt;2000),VLOOKUP(I65,Feuil1!$G$11:$L$25,4),IF(AND(H65&gt;1999,H65&lt;2002),VLOOKUP(I65,Feuil1!$G$11:$L$25,3),VLOOKUP(I65,Feuil1!$G$11:$L$25,2)))))))</f>
        <v>FS53</v>
      </c>
      <c r="Y65" s="39">
        <f t="shared" si="24"/>
        <v>115.24996938728493</v>
      </c>
      <c r="Z65" s="45"/>
      <c r="AA65" s="49" t="s">
        <v>12</v>
      </c>
      <c r="AB65" s="3">
        <f>T65-HLOOKUP(X65,Feuil1!$C$1:$BL$10,2,FALSE)</f>
        <v>10</v>
      </c>
      <c r="AC65" s="3">
        <f>T65-HLOOKUP(X65,Feuil1!$C$1:$BL$10,3,FALSE)</f>
        <v>0</v>
      </c>
      <c r="AD65" s="3">
        <f>T65-HLOOKUP(X65,Feuil1!$C$1:$BL$10,4,FALSE)</f>
        <v>-10</v>
      </c>
      <c r="AE65" s="3">
        <f>T65-HLOOKUP(X65,Feuil1!$C$1:$BL$10,5,FALSE)</f>
        <v>-20</v>
      </c>
      <c r="AF65" s="3">
        <f>T65-HLOOKUP(X65,Feuil1!$C$1:$BL$10,6,FALSE)</f>
        <v>-30</v>
      </c>
      <c r="AG65" s="3">
        <f>T65-HLOOKUP(X65,Feuil1!$C$1:$BL$10,7,FALSE)</f>
        <v>-45</v>
      </c>
      <c r="AH65" s="3">
        <f>T65-HLOOKUP(X65,Feuil1!$C$1:$BL$10,8,FALSE)</f>
        <v>-65</v>
      </c>
      <c r="AI65" s="3">
        <f>T65-HLOOKUP(X65,Feuil1!$C$1:$BL$10,9,FALSE)</f>
        <v>-85</v>
      </c>
      <c r="AJ65" s="3">
        <f>T65-HLOOKUP(X65,Feuil1!$C$1:$BL$10,10,FALSE)</f>
        <v>-100</v>
      </c>
      <c r="AQ65" s="5" t="str">
        <f t="shared" si="25"/>
        <v>DEP +</v>
      </c>
      <c r="BC65" s="13"/>
    </row>
    <row r="66" spans="1:55" ht="21" hidden="1" x14ac:dyDescent="0.2">
      <c r="A66" s="12" t="s">
        <v>69</v>
      </c>
      <c r="B66" s="18" t="s">
        <v>108</v>
      </c>
      <c r="C66" s="19" t="s">
        <v>119</v>
      </c>
      <c r="D66" s="61">
        <v>42</v>
      </c>
      <c r="E66" s="35">
        <v>287490</v>
      </c>
      <c r="F66" s="20" t="s">
        <v>201</v>
      </c>
      <c r="G66" s="20" t="s">
        <v>202</v>
      </c>
      <c r="H66" s="51">
        <v>1992</v>
      </c>
      <c r="I66" s="30">
        <v>52.95</v>
      </c>
      <c r="J66" s="19" t="s">
        <v>161</v>
      </c>
      <c r="K66" s="34" t="s">
        <v>69</v>
      </c>
      <c r="L66" s="31">
        <v>26</v>
      </c>
      <c r="M66" s="31">
        <v>29</v>
      </c>
      <c r="N66" s="31">
        <v>32</v>
      </c>
      <c r="O66" s="36">
        <f t="shared" si="18"/>
        <v>32</v>
      </c>
      <c r="P66" s="31">
        <v>36</v>
      </c>
      <c r="Q66" s="31">
        <v>39</v>
      </c>
      <c r="R66" s="31">
        <v>-42</v>
      </c>
      <c r="S66" s="36">
        <f t="shared" si="19"/>
        <v>39</v>
      </c>
      <c r="T66" s="37">
        <f t="shared" si="20"/>
        <v>71</v>
      </c>
      <c r="U66" s="65">
        <f t="shared" si="21"/>
        <v>-34.900000000000006</v>
      </c>
      <c r="V66" s="41" t="str">
        <f t="shared" si="22"/>
        <v xml:space="preserve">DEB </v>
      </c>
      <c r="W66" s="33">
        <f t="shared" si="23"/>
        <v>6</v>
      </c>
      <c r="X66" s="40" t="str">
        <f>IF(I66="","",IF(A66="H",IF(OR(H66="SEN",H66&lt;1995),VLOOKUP(I66,Feuil1!$A$11:$F$29,6),IF(AND(H66&gt;1994,H66&lt;1998),VLOOKUP(I66,Feuil1!$A$11:$F$29,5),IF(AND(H66&gt;1997,H66&lt;2000),VLOOKUP(I66,Feuil1!$A$11:$F$29,4),IF(AND(H66&gt;1999,H66&lt;2002),VLOOKUP(I66,Feuil1!$A$11:$F$29,3),VLOOKUP(I66,Feuil1!$A$11:$F$29,2))))),IF(OR(H66="SEN",H66&lt;1995),VLOOKUP(I66,Feuil1!$G$11:$L$25,6),IF(AND(H66&gt;1994,H66&lt;1998),VLOOKUP(I66,Feuil1!$G$11:$L$25,5),IF(AND(H66&gt;1997,H66&lt;2000),VLOOKUP(I66,Feuil1!$G$11:$L$25,4),IF(AND(H66&gt;1999,H66&lt;2002),VLOOKUP(I66,Feuil1!$G$11:$L$25,3),VLOOKUP(I66,Feuil1!$G$11:$L$25,2)))))))</f>
        <v>FS53</v>
      </c>
      <c r="Y66" s="39">
        <f t="shared" si="24"/>
        <v>107.18052147066042</v>
      </c>
      <c r="Z66" s="45"/>
      <c r="AA66" s="49" t="s">
        <v>12</v>
      </c>
      <c r="AB66" s="3">
        <f>T66-HLOOKUP(X66,Feuil1!$C$1:$BL$10,2,FALSE)</f>
        <v>6</v>
      </c>
      <c r="AC66" s="3">
        <f>T66-HLOOKUP(X66,Feuil1!$C$1:$BL$10,3,FALSE)</f>
        <v>-4</v>
      </c>
      <c r="AD66" s="3">
        <f>T66-HLOOKUP(X66,Feuil1!$C$1:$BL$10,4,FALSE)</f>
        <v>-14</v>
      </c>
      <c r="AE66" s="3">
        <f>T66-HLOOKUP(X66,Feuil1!$C$1:$BL$10,5,FALSE)</f>
        <v>-24</v>
      </c>
      <c r="AF66" s="3">
        <f>T66-HLOOKUP(X66,Feuil1!$C$1:$BL$10,6,FALSE)</f>
        <v>-34</v>
      </c>
      <c r="AG66" s="3">
        <f>T66-HLOOKUP(X66,Feuil1!$C$1:$BL$10,7,FALSE)</f>
        <v>-49</v>
      </c>
      <c r="AH66" s="3">
        <f>T66-HLOOKUP(X66,Feuil1!$C$1:$BL$10,8,FALSE)</f>
        <v>-69</v>
      </c>
      <c r="AI66" s="3">
        <f>T66-HLOOKUP(X66,Feuil1!$C$1:$BL$10,9,FALSE)</f>
        <v>-89</v>
      </c>
      <c r="AJ66" s="3">
        <f>T66-HLOOKUP(X66,Feuil1!$C$1:$BL$10,10,FALSE)</f>
        <v>-104</v>
      </c>
      <c r="AQ66" s="5" t="str">
        <f t="shared" si="25"/>
        <v xml:space="preserve">DEB </v>
      </c>
    </row>
    <row r="67" spans="1:55" ht="21" hidden="1" x14ac:dyDescent="0.2">
      <c r="A67" s="12" t="s">
        <v>69</v>
      </c>
      <c r="B67" s="18" t="s">
        <v>536</v>
      </c>
      <c r="C67" s="19" t="s">
        <v>545</v>
      </c>
      <c r="D67" s="61">
        <v>43</v>
      </c>
      <c r="E67" s="35">
        <v>379254</v>
      </c>
      <c r="F67" s="20" t="s">
        <v>600</v>
      </c>
      <c r="G67" s="20" t="s">
        <v>601</v>
      </c>
      <c r="H67" s="51">
        <v>1991</v>
      </c>
      <c r="I67" s="30">
        <v>53</v>
      </c>
      <c r="J67" s="19" t="s">
        <v>548</v>
      </c>
      <c r="K67" s="34" t="s">
        <v>69</v>
      </c>
      <c r="L67" s="31">
        <v>27</v>
      </c>
      <c r="M67" s="31">
        <v>29</v>
      </c>
      <c r="N67" s="31">
        <v>31</v>
      </c>
      <c r="O67" s="36">
        <f t="shared" si="18"/>
        <v>31</v>
      </c>
      <c r="P67" s="31">
        <v>37</v>
      </c>
      <c r="Q67" s="31">
        <v>40</v>
      </c>
      <c r="R67" s="31">
        <v>-42</v>
      </c>
      <c r="S67" s="36">
        <f t="shared" si="19"/>
        <v>40</v>
      </c>
      <c r="T67" s="37">
        <f t="shared" si="20"/>
        <v>71</v>
      </c>
      <c r="U67" s="65">
        <f t="shared" si="21"/>
        <v>-35</v>
      </c>
      <c r="V67" s="41" t="str">
        <f t="shared" si="22"/>
        <v xml:space="preserve">DEB </v>
      </c>
      <c r="W67" s="33">
        <f t="shared" si="23"/>
        <v>6</v>
      </c>
      <c r="X67" s="40" t="str">
        <f>IF(I67="","",IF(A67="H",IF(OR(H67="SEN",H67&lt;1995),VLOOKUP(I67,Feuil1!$A$11:$F$29,6),IF(AND(H67&gt;1994,H67&lt;1998),VLOOKUP(I67,Feuil1!$A$11:$F$29,5),IF(AND(H67&gt;1997,H67&lt;2000),VLOOKUP(I67,Feuil1!$A$11:$F$29,4),IF(AND(H67&gt;1999,H67&lt;2002),VLOOKUP(I67,Feuil1!$A$11:$F$29,3),VLOOKUP(I67,Feuil1!$A$11:$F$29,2))))),IF(OR(H67="SEN",H67&lt;1995),VLOOKUP(I67,Feuil1!$G$11:$L$25,6),IF(AND(H67&gt;1994,H67&lt;1998),VLOOKUP(I67,Feuil1!$G$11:$L$25,5),IF(AND(H67&gt;1997,H67&lt;2000),VLOOKUP(I67,Feuil1!$G$11:$L$25,4),IF(AND(H67&gt;1999,H67&lt;2002),VLOOKUP(I67,Feuil1!$G$11:$L$25,3),VLOOKUP(I67,Feuil1!$G$11:$L$25,2)))))))</f>
        <v>FS53</v>
      </c>
      <c r="Y67" s="39">
        <f t="shared" si="24"/>
        <v>107.09953838272882</v>
      </c>
      <c r="Z67" s="45"/>
      <c r="AA67" s="49" t="s">
        <v>12</v>
      </c>
      <c r="AB67" s="3">
        <f>T67-HLOOKUP(X67,Feuil1!$C$1:$BL$10,2,FALSE)</f>
        <v>6</v>
      </c>
      <c r="AC67" s="3">
        <f>T67-HLOOKUP(X67,Feuil1!$C$1:$BL$10,3,FALSE)</f>
        <v>-4</v>
      </c>
      <c r="AD67" s="3">
        <f>T67-HLOOKUP(X67,Feuil1!$C$1:$BL$10,4,FALSE)</f>
        <v>-14</v>
      </c>
      <c r="AE67" s="3">
        <f>T67-HLOOKUP(X67,Feuil1!$C$1:$BL$10,5,FALSE)</f>
        <v>-24</v>
      </c>
      <c r="AF67" s="3">
        <f>T67-HLOOKUP(X67,Feuil1!$C$1:$BL$10,6,FALSE)</f>
        <v>-34</v>
      </c>
      <c r="AG67" s="3">
        <f>T67-HLOOKUP(X67,Feuil1!$C$1:$BL$10,7,FALSE)</f>
        <v>-49</v>
      </c>
      <c r="AH67" s="3">
        <f>T67-HLOOKUP(X67,Feuil1!$C$1:$BL$10,8,FALSE)</f>
        <v>-69</v>
      </c>
      <c r="AI67" s="3">
        <f>T67-HLOOKUP(X67,Feuil1!$C$1:$BL$10,9,FALSE)</f>
        <v>-89</v>
      </c>
      <c r="AJ67" s="3">
        <f>T67-HLOOKUP(X67,Feuil1!$C$1:$BL$10,10,FALSE)</f>
        <v>-104</v>
      </c>
      <c r="AQ67" s="5" t="str">
        <f t="shared" si="25"/>
        <v xml:space="preserve">DEB </v>
      </c>
    </row>
    <row r="68" spans="1:55" ht="21" hidden="1" x14ac:dyDescent="0.2">
      <c r="A68" s="12" t="s">
        <v>69</v>
      </c>
      <c r="B68" s="18" t="s">
        <v>108</v>
      </c>
      <c r="C68" s="19" t="s">
        <v>146</v>
      </c>
      <c r="D68" s="61">
        <v>44</v>
      </c>
      <c r="E68" s="35">
        <v>374652</v>
      </c>
      <c r="F68" s="20" t="s">
        <v>248</v>
      </c>
      <c r="G68" s="20" t="s">
        <v>249</v>
      </c>
      <c r="H68" s="51">
        <v>1993</v>
      </c>
      <c r="I68" s="30">
        <v>51.6</v>
      </c>
      <c r="J68" s="19" t="s">
        <v>149</v>
      </c>
      <c r="K68" s="34" t="s">
        <v>69</v>
      </c>
      <c r="L68" s="31">
        <v>23</v>
      </c>
      <c r="M68" s="31">
        <v>-26</v>
      </c>
      <c r="N68" s="31">
        <v>26</v>
      </c>
      <c r="O68" s="36">
        <f t="shared" si="18"/>
        <v>26</v>
      </c>
      <c r="P68" s="31">
        <v>32</v>
      </c>
      <c r="Q68" s="31">
        <v>-35</v>
      </c>
      <c r="R68" s="31">
        <v>35</v>
      </c>
      <c r="S68" s="36">
        <f t="shared" si="19"/>
        <v>35</v>
      </c>
      <c r="T68" s="37">
        <f t="shared" si="20"/>
        <v>61</v>
      </c>
      <c r="U68" s="65">
        <f t="shared" si="21"/>
        <v>-42.2</v>
      </c>
      <c r="V68" s="41" t="str">
        <f t="shared" si="22"/>
        <v xml:space="preserve">DEB </v>
      </c>
      <c r="W68" s="33">
        <f t="shared" si="23"/>
        <v>-4</v>
      </c>
      <c r="X68" s="40" t="str">
        <f>IF(I68="","",IF(A68="H",IF(OR(H68="SEN",H68&lt;1995),VLOOKUP(I68,Feuil1!$A$11:$F$29,6),IF(AND(H68&gt;1994,H68&lt;1998),VLOOKUP(I68,Feuil1!$A$11:$F$29,5),IF(AND(H68&gt;1997,H68&lt;2000),VLOOKUP(I68,Feuil1!$A$11:$F$29,4),IF(AND(H68&gt;1999,H68&lt;2002),VLOOKUP(I68,Feuil1!$A$11:$F$29,3),VLOOKUP(I68,Feuil1!$A$11:$F$29,2))))),IF(OR(H68="SEN",H68&lt;1995),VLOOKUP(I68,Feuil1!$G$11:$L$25,6),IF(AND(H68&gt;1994,H68&lt;1998),VLOOKUP(I68,Feuil1!$G$11:$L$25,5),IF(AND(H68&gt;1997,H68&lt;2000),VLOOKUP(I68,Feuil1!$G$11:$L$25,4),IF(AND(H68&gt;1999,H68&lt;2002),VLOOKUP(I68,Feuil1!$G$11:$L$25,3),VLOOKUP(I68,Feuil1!$G$11:$L$25,2)))))))</f>
        <v>FS53</v>
      </c>
      <c r="Y68" s="39">
        <f t="shared" si="24"/>
        <v>94.034396650462739</v>
      </c>
      <c r="Z68" s="45"/>
      <c r="AA68" s="49" t="s">
        <v>12</v>
      </c>
      <c r="AB68" s="3">
        <f>T68-HLOOKUP(X68,Feuil1!$C$1:$BL$10,2,FALSE)</f>
        <v>-4</v>
      </c>
      <c r="AC68" s="3">
        <f>T68-HLOOKUP(X68,Feuil1!$C$1:$BL$10,3,FALSE)</f>
        <v>-14</v>
      </c>
      <c r="AD68" s="3">
        <f>T68-HLOOKUP(X68,Feuil1!$C$1:$BL$10,4,FALSE)</f>
        <v>-24</v>
      </c>
      <c r="AE68" s="3">
        <f>T68-HLOOKUP(X68,Feuil1!$C$1:$BL$10,5,FALSE)</f>
        <v>-34</v>
      </c>
      <c r="AF68" s="3">
        <f>T68-HLOOKUP(X68,Feuil1!$C$1:$BL$10,6,FALSE)</f>
        <v>-44</v>
      </c>
      <c r="AG68" s="3">
        <f>T68-HLOOKUP(X68,Feuil1!$C$1:$BL$10,7,FALSE)</f>
        <v>-59</v>
      </c>
      <c r="AH68" s="3">
        <f>T68-HLOOKUP(X68,Feuil1!$C$1:$BL$10,8,FALSE)</f>
        <v>-79</v>
      </c>
      <c r="AI68" s="3">
        <f>T68-HLOOKUP(X68,Feuil1!$C$1:$BL$10,9,FALSE)</f>
        <v>-99</v>
      </c>
      <c r="AJ68" s="3">
        <f>T68-HLOOKUP(X68,Feuil1!$C$1:$BL$10,10,FALSE)</f>
        <v>-114</v>
      </c>
      <c r="AQ68" s="5" t="str">
        <f t="shared" si="25"/>
        <v xml:space="preserve">DEB </v>
      </c>
    </row>
    <row r="69" spans="1:55" ht="21" hidden="1" x14ac:dyDescent="0.2">
      <c r="A69" s="12" t="s">
        <v>69</v>
      </c>
      <c r="B69" s="18" t="s">
        <v>71</v>
      </c>
      <c r="C69" s="19" t="s">
        <v>72</v>
      </c>
      <c r="D69" s="61">
        <v>45</v>
      </c>
      <c r="E69" s="35">
        <v>292689</v>
      </c>
      <c r="F69" s="20" t="s">
        <v>955</v>
      </c>
      <c r="G69" s="20" t="s">
        <v>956</v>
      </c>
      <c r="H69" s="51">
        <v>1994</v>
      </c>
      <c r="I69" s="30">
        <v>51.55</v>
      </c>
      <c r="J69" s="19" t="s">
        <v>921</v>
      </c>
      <c r="K69" s="34" t="s">
        <v>69</v>
      </c>
      <c r="L69" s="31">
        <v>25</v>
      </c>
      <c r="M69" s="31">
        <v>-28</v>
      </c>
      <c r="N69" s="31" t="s">
        <v>957</v>
      </c>
      <c r="O69" s="36">
        <f t="shared" si="18"/>
        <v>25</v>
      </c>
      <c r="P69" s="31">
        <v>32</v>
      </c>
      <c r="Q69" s="31">
        <v>35</v>
      </c>
      <c r="R69" s="31">
        <v>-38</v>
      </c>
      <c r="S69" s="36">
        <f t="shared" si="19"/>
        <v>35</v>
      </c>
      <c r="T69" s="37">
        <f t="shared" si="20"/>
        <v>60</v>
      </c>
      <c r="U69" s="65">
        <f t="shared" si="21"/>
        <v>-43.099999999999994</v>
      </c>
      <c r="V69" s="32" t="str">
        <f t="shared" si="22"/>
        <v xml:space="preserve">DEB </v>
      </c>
      <c r="W69" s="33">
        <f t="shared" si="23"/>
        <v>-5</v>
      </c>
      <c r="X69" s="40" t="str">
        <f>IF(I69="","",IF(A69="H",IF(OR(H69="SEN",H69&lt;1995),VLOOKUP(I69,Feuil1!$A$11:$F$29,6),IF(AND(H69&gt;1994,H69&lt;1998),VLOOKUP(I69,Feuil1!$A$11:$F$29,5),IF(AND(H69&gt;1997,H69&lt;2000),VLOOKUP(I69,Feuil1!$A$11:$F$29,4),IF(AND(H69&gt;1999,H69&lt;2002),VLOOKUP(I69,Feuil1!$A$11:$F$29,3),VLOOKUP(I69,Feuil1!$A$11:$F$29,2))))),IF(OR(H69="SEN",H69&lt;1995),VLOOKUP(I69,Feuil1!$G$11:$L$25,6),IF(AND(H69&gt;1994,H69&lt;1998),VLOOKUP(I69,Feuil1!$G$11:$L$25,5),IF(AND(H69&gt;1997,H69&lt;2000),VLOOKUP(I69,Feuil1!$G$11:$L$25,4),IF(AND(H69&gt;1999,H69&lt;2002),VLOOKUP(I69,Feuil1!$G$11:$L$25,3),VLOOKUP(I69,Feuil1!$G$11:$L$25,2)))))))</f>
        <v>FS53</v>
      </c>
      <c r="Y69" s="39">
        <f t="shared" si="24"/>
        <v>92.566559796829154</v>
      </c>
      <c r="Z69" s="45"/>
      <c r="AA69" s="49" t="s">
        <v>12</v>
      </c>
      <c r="AB69" s="3">
        <f>T69-HLOOKUP(X69,Feuil1!$C$1:$BL$10,2,FALSE)</f>
        <v>-5</v>
      </c>
      <c r="AC69" s="3">
        <f>T69-HLOOKUP(X69,Feuil1!$C$1:$BL$10,3,FALSE)</f>
        <v>-15</v>
      </c>
      <c r="AD69" s="3">
        <f>T69-HLOOKUP(X69,Feuil1!$C$1:$BL$10,4,FALSE)</f>
        <v>-25</v>
      </c>
      <c r="AE69" s="3">
        <f>T69-HLOOKUP(X69,Feuil1!$C$1:$BL$10,5,FALSE)</f>
        <v>-35</v>
      </c>
      <c r="AF69" s="3">
        <f>T69-HLOOKUP(X69,Feuil1!$C$1:$BL$10,6,FALSE)</f>
        <v>-45</v>
      </c>
      <c r="AG69" s="3">
        <f>T69-HLOOKUP(X69,Feuil1!$C$1:$BL$10,7,FALSE)</f>
        <v>-60</v>
      </c>
      <c r="AH69" s="3">
        <f>T69-HLOOKUP(X69,Feuil1!$C$1:$BL$10,8,FALSE)</f>
        <v>-80</v>
      </c>
      <c r="AI69" s="3">
        <f>T69-HLOOKUP(X69,Feuil1!$C$1:$BL$10,9,FALSE)</f>
        <v>-100</v>
      </c>
      <c r="AJ69" s="3">
        <f>T69-HLOOKUP(X69,Feuil1!$C$1:$BL$10,10,FALSE)</f>
        <v>-115</v>
      </c>
      <c r="AQ69" s="5" t="str">
        <f t="shared" si="25"/>
        <v xml:space="preserve">DEB </v>
      </c>
    </row>
    <row r="70" spans="1:55" ht="21" hidden="1" x14ac:dyDescent="0.2">
      <c r="A70" s="12" t="s">
        <v>69</v>
      </c>
      <c r="B70" s="18" t="s">
        <v>536</v>
      </c>
      <c r="C70" s="19" t="s">
        <v>537</v>
      </c>
      <c r="D70" s="61">
        <v>46</v>
      </c>
      <c r="E70" s="35">
        <v>19193</v>
      </c>
      <c r="F70" s="20" t="s">
        <v>619</v>
      </c>
      <c r="G70" s="20" t="s">
        <v>620</v>
      </c>
      <c r="H70" s="51">
        <v>1975</v>
      </c>
      <c r="I70" s="30">
        <v>52.25</v>
      </c>
      <c r="J70" s="19" t="s">
        <v>618</v>
      </c>
      <c r="K70" s="34" t="s">
        <v>69</v>
      </c>
      <c r="L70" s="31">
        <v>20</v>
      </c>
      <c r="M70" s="31">
        <v>23</v>
      </c>
      <c r="N70" s="31">
        <v>25</v>
      </c>
      <c r="O70" s="36">
        <f t="shared" si="18"/>
        <v>25</v>
      </c>
      <c r="P70" s="31">
        <v>30</v>
      </c>
      <c r="Q70" s="31">
        <v>35</v>
      </c>
      <c r="R70" s="31">
        <v>-36</v>
      </c>
      <c r="S70" s="36">
        <f t="shared" si="19"/>
        <v>35</v>
      </c>
      <c r="T70" s="37">
        <f t="shared" si="20"/>
        <v>60</v>
      </c>
      <c r="U70" s="65">
        <f t="shared" si="21"/>
        <v>-44.5</v>
      </c>
      <c r="V70" s="41" t="str">
        <f t="shared" si="22"/>
        <v xml:space="preserve">DEB </v>
      </c>
      <c r="W70" s="33">
        <f t="shared" si="23"/>
        <v>-5</v>
      </c>
      <c r="X70" s="40" t="str">
        <f>IF(I70="","",IF(A70="H",IF(OR(H70="SEN",H70&lt;1995),VLOOKUP(I70,Feuil1!$A$11:$F$29,6),IF(AND(H70&gt;1994,H70&lt;1998),VLOOKUP(I70,Feuil1!$A$11:$F$29,5),IF(AND(H70&gt;1997,H70&lt;2000),VLOOKUP(I70,Feuil1!$A$11:$F$29,4),IF(AND(H70&gt;1999,H70&lt;2002),VLOOKUP(I70,Feuil1!$A$11:$F$29,3),VLOOKUP(I70,Feuil1!$A$11:$F$29,2))))),IF(OR(H70="SEN",H70&lt;1995),VLOOKUP(I70,Feuil1!$G$11:$L$25,6),IF(AND(H70&gt;1994,H70&lt;1998),VLOOKUP(I70,Feuil1!$G$11:$L$25,5),IF(AND(H70&gt;1997,H70&lt;2000),VLOOKUP(I70,Feuil1!$G$11:$L$25,4),IF(AND(H70&gt;1999,H70&lt;2002),VLOOKUP(I70,Feuil1!$G$11:$L$25,3),VLOOKUP(I70,Feuil1!$G$11:$L$25,2)))))))</f>
        <v>FS53</v>
      </c>
      <c r="Y70" s="39">
        <f t="shared" si="24"/>
        <v>91.552336527113255</v>
      </c>
      <c r="Z70" s="45"/>
      <c r="AA70" s="49" t="s">
        <v>12</v>
      </c>
      <c r="AB70" s="3">
        <f>T70-HLOOKUP(X70,Feuil1!$C$1:$BL$10,2,FALSE)</f>
        <v>-5</v>
      </c>
      <c r="AC70" s="3">
        <f>T70-HLOOKUP(X70,Feuil1!$C$1:$BL$10,3,FALSE)</f>
        <v>-15</v>
      </c>
      <c r="AD70" s="3">
        <f>T70-HLOOKUP(X70,Feuil1!$C$1:$BL$10,4,FALSE)</f>
        <v>-25</v>
      </c>
      <c r="AE70" s="3">
        <f>T70-HLOOKUP(X70,Feuil1!$C$1:$BL$10,5,FALSE)</f>
        <v>-35</v>
      </c>
      <c r="AF70" s="3">
        <f>T70-HLOOKUP(X70,Feuil1!$C$1:$BL$10,6,FALSE)</f>
        <v>-45</v>
      </c>
      <c r="AG70" s="3">
        <f>T70-HLOOKUP(X70,Feuil1!$C$1:$BL$10,7,FALSE)</f>
        <v>-60</v>
      </c>
      <c r="AH70" s="3">
        <f>T70-HLOOKUP(X70,Feuil1!$C$1:$BL$10,8,FALSE)</f>
        <v>-80</v>
      </c>
      <c r="AI70" s="3">
        <f>T70-HLOOKUP(X70,Feuil1!$C$1:$BL$10,9,FALSE)</f>
        <v>-100</v>
      </c>
      <c r="AJ70" s="3">
        <f>T70-HLOOKUP(X70,Feuil1!$C$1:$BL$10,10,FALSE)</f>
        <v>-115</v>
      </c>
      <c r="AQ70" s="5" t="str">
        <f t="shared" si="25"/>
        <v xml:space="preserve">DEB </v>
      </c>
      <c r="BC70" s="13"/>
    </row>
    <row r="71" spans="1:55" ht="21" hidden="1" x14ac:dyDescent="0.2">
      <c r="A71" s="12" t="s">
        <v>69</v>
      </c>
      <c r="B71" s="18" t="s">
        <v>536</v>
      </c>
      <c r="C71" s="19" t="s">
        <v>545</v>
      </c>
      <c r="D71" s="61">
        <v>47</v>
      </c>
      <c r="E71" s="35">
        <v>379250</v>
      </c>
      <c r="F71" s="20" t="s">
        <v>610</v>
      </c>
      <c r="G71" s="20" t="s">
        <v>611</v>
      </c>
      <c r="H71" s="51">
        <v>1959</v>
      </c>
      <c r="I71" s="30">
        <v>52.6</v>
      </c>
      <c r="J71" s="19" t="s">
        <v>553</v>
      </c>
      <c r="K71" s="34" t="s">
        <v>69</v>
      </c>
      <c r="L71" s="31">
        <v>20</v>
      </c>
      <c r="M71" s="31">
        <v>22</v>
      </c>
      <c r="N71" s="31">
        <v>24</v>
      </c>
      <c r="O71" s="36">
        <f t="shared" si="18"/>
        <v>24</v>
      </c>
      <c r="P71" s="31">
        <v>25</v>
      </c>
      <c r="Q71" s="31">
        <v>28</v>
      </c>
      <c r="R71" s="31">
        <v>31</v>
      </c>
      <c r="S71" s="36">
        <f t="shared" si="19"/>
        <v>31</v>
      </c>
      <c r="T71" s="37">
        <f t="shared" si="20"/>
        <v>55</v>
      </c>
      <c r="U71" s="65">
        <f t="shared" si="21"/>
        <v>-50.2</v>
      </c>
      <c r="V71" s="41" t="str">
        <f t="shared" si="22"/>
        <v xml:space="preserve">DEB </v>
      </c>
      <c r="W71" s="33">
        <f t="shared" si="23"/>
        <v>-10</v>
      </c>
      <c r="X71" s="40" t="str">
        <f>IF(I71="","",IF(A71="H",IF(OR(H71="SEN",H71&lt;1995),VLOOKUP(I71,Feuil1!$A$11:$F$29,6),IF(AND(H71&gt;1994,H71&lt;1998),VLOOKUP(I71,Feuil1!$A$11:$F$29,5),IF(AND(H71&gt;1997,H71&lt;2000),VLOOKUP(I71,Feuil1!$A$11:$F$29,4),IF(AND(H71&gt;1999,H71&lt;2002),VLOOKUP(I71,Feuil1!$A$11:$F$29,3),VLOOKUP(I71,Feuil1!$A$11:$F$29,2))))),IF(OR(H71="SEN",H71&lt;1995),VLOOKUP(I71,Feuil1!$G$11:$L$25,6),IF(AND(H71&gt;1994,H71&lt;1998),VLOOKUP(I71,Feuil1!$G$11:$L$25,5),IF(AND(H71&gt;1997,H71&lt;2000),VLOOKUP(I71,Feuil1!$G$11:$L$25,4),IF(AND(H71&gt;1999,H71&lt;2002),VLOOKUP(I71,Feuil1!$G$11:$L$25,3),VLOOKUP(I71,Feuil1!$G$11:$L$25,2)))))))</f>
        <v>FS53</v>
      </c>
      <c r="Y71" s="39">
        <f t="shared" si="24"/>
        <v>83.470937812154389</v>
      </c>
      <c r="Z71" s="45"/>
      <c r="AA71" s="49" t="s">
        <v>12</v>
      </c>
      <c r="AB71" s="3">
        <f>T71-HLOOKUP(X71,Feuil1!$C$1:$BL$10,2,FALSE)</f>
        <v>-10</v>
      </c>
      <c r="AC71" s="3">
        <f>T71-HLOOKUP(X71,Feuil1!$C$1:$BL$10,3,FALSE)</f>
        <v>-20</v>
      </c>
      <c r="AD71" s="3">
        <f>T71-HLOOKUP(X71,Feuil1!$C$1:$BL$10,4,FALSE)</f>
        <v>-30</v>
      </c>
      <c r="AE71" s="3">
        <f>T71-HLOOKUP(X71,Feuil1!$C$1:$BL$10,5,FALSE)</f>
        <v>-40</v>
      </c>
      <c r="AF71" s="3">
        <f>T71-HLOOKUP(X71,Feuil1!$C$1:$BL$10,6,FALSE)</f>
        <v>-50</v>
      </c>
      <c r="AG71" s="3">
        <f>T71-HLOOKUP(X71,Feuil1!$C$1:$BL$10,7,FALSE)</f>
        <v>-65</v>
      </c>
      <c r="AH71" s="3">
        <f>T71-HLOOKUP(X71,Feuil1!$C$1:$BL$10,8,FALSE)</f>
        <v>-85</v>
      </c>
      <c r="AI71" s="3">
        <f>T71-HLOOKUP(X71,Feuil1!$C$1:$BL$10,9,FALSE)</f>
        <v>-105</v>
      </c>
      <c r="AJ71" s="3">
        <f>T71-HLOOKUP(X71,Feuil1!$C$1:$BL$10,10,FALSE)</f>
        <v>-120</v>
      </c>
      <c r="AQ71" s="5" t="str">
        <f t="shared" si="25"/>
        <v xml:space="preserve">DEB </v>
      </c>
    </row>
    <row r="72" spans="1:55" ht="21" hidden="1" x14ac:dyDescent="0.2">
      <c r="A72" s="12" t="s">
        <v>69</v>
      </c>
      <c r="B72" s="18" t="s">
        <v>108</v>
      </c>
      <c r="C72" s="19" t="s">
        <v>146</v>
      </c>
      <c r="D72" s="61">
        <v>48</v>
      </c>
      <c r="E72" s="35">
        <v>374245</v>
      </c>
      <c r="F72" s="20" t="s">
        <v>246</v>
      </c>
      <c r="G72" s="20" t="s">
        <v>247</v>
      </c>
      <c r="H72" s="51">
        <v>1987</v>
      </c>
      <c r="I72" s="30">
        <v>51.5</v>
      </c>
      <c r="J72" s="19" t="s">
        <v>149</v>
      </c>
      <c r="K72" s="34" t="s">
        <v>69</v>
      </c>
      <c r="L72" s="31">
        <v>19</v>
      </c>
      <c r="M72" s="31">
        <v>-22</v>
      </c>
      <c r="N72" s="31">
        <v>22</v>
      </c>
      <c r="O72" s="36">
        <f t="shared" si="18"/>
        <v>22</v>
      </c>
      <c r="P72" s="31">
        <v>28</v>
      </c>
      <c r="Q72" s="31">
        <v>-31</v>
      </c>
      <c r="R72" s="31">
        <v>31</v>
      </c>
      <c r="S72" s="36">
        <f t="shared" si="19"/>
        <v>31</v>
      </c>
      <c r="T72" s="37">
        <f t="shared" si="20"/>
        <v>53</v>
      </c>
      <c r="U72" s="65">
        <f t="shared" si="21"/>
        <v>-50</v>
      </c>
      <c r="V72" s="41" t="str">
        <f t="shared" si="22"/>
        <v xml:space="preserve">DEB </v>
      </c>
      <c r="W72" s="33">
        <f t="shared" si="23"/>
        <v>-12</v>
      </c>
      <c r="X72" s="40" t="str">
        <f>IF(I72="","",IF(A72="H",IF(OR(H72="SEN",H72&lt;1995),VLOOKUP(I72,Feuil1!$A$11:$F$29,6),IF(AND(H72&gt;1994,H72&lt;1998),VLOOKUP(I72,Feuil1!$A$11:$F$29,5),IF(AND(H72&gt;1997,H72&lt;2000),VLOOKUP(I72,Feuil1!$A$11:$F$29,4),IF(AND(H72&gt;1999,H72&lt;2002),VLOOKUP(I72,Feuil1!$A$11:$F$29,3),VLOOKUP(I72,Feuil1!$A$11:$F$29,2))))),IF(OR(H72="SEN",H72&lt;1995),VLOOKUP(I72,Feuil1!$G$11:$L$25,6),IF(AND(H72&gt;1994,H72&lt;1998),VLOOKUP(I72,Feuil1!$G$11:$L$25,5),IF(AND(H72&gt;1997,H72&lt;2000),VLOOKUP(I72,Feuil1!$G$11:$L$25,4),IF(AND(H72&gt;1999,H72&lt;2002),VLOOKUP(I72,Feuil1!$G$11:$L$25,3),VLOOKUP(I72,Feuil1!$G$11:$L$25,2)))))))</f>
        <v>FS53</v>
      </c>
      <c r="Y72" s="39">
        <f t="shared" si="24"/>
        <v>81.832414055582419</v>
      </c>
      <c r="Z72" s="45"/>
      <c r="AA72" s="49" t="s">
        <v>12</v>
      </c>
      <c r="AB72" s="3">
        <f>T72-HLOOKUP(X72,Feuil1!$C$1:$BL$10,2,FALSE)</f>
        <v>-12</v>
      </c>
      <c r="AC72" s="3">
        <f>T72-HLOOKUP(X72,Feuil1!$C$1:$BL$10,3,FALSE)</f>
        <v>-22</v>
      </c>
      <c r="AD72" s="3">
        <f>T72-HLOOKUP(X72,Feuil1!$C$1:$BL$10,4,FALSE)</f>
        <v>-32</v>
      </c>
      <c r="AE72" s="3">
        <f>T72-HLOOKUP(X72,Feuil1!$C$1:$BL$10,5,FALSE)</f>
        <v>-42</v>
      </c>
      <c r="AF72" s="3">
        <f>T72-HLOOKUP(X72,Feuil1!$C$1:$BL$10,6,FALSE)</f>
        <v>-52</v>
      </c>
      <c r="AG72" s="3">
        <f>T72-HLOOKUP(X72,Feuil1!$C$1:$BL$10,7,FALSE)</f>
        <v>-67</v>
      </c>
      <c r="AH72" s="3">
        <f>T72-HLOOKUP(X72,Feuil1!$C$1:$BL$10,8,FALSE)</f>
        <v>-87</v>
      </c>
      <c r="AI72" s="3">
        <f>T72-HLOOKUP(X72,Feuil1!$C$1:$BL$10,9,FALSE)</f>
        <v>-107</v>
      </c>
      <c r="AJ72" s="3">
        <f>T72-HLOOKUP(X72,Feuil1!$C$1:$BL$10,10,FALSE)</f>
        <v>-122</v>
      </c>
      <c r="AQ72" s="5" t="str">
        <f t="shared" si="25"/>
        <v xml:space="preserve">DEB </v>
      </c>
    </row>
    <row r="73" spans="1:55" ht="21" hidden="1" x14ac:dyDescent="0.2">
      <c r="A73" s="12" t="s">
        <v>69</v>
      </c>
      <c r="B73" s="67" t="s">
        <v>721</v>
      </c>
      <c r="C73" s="68" t="s">
        <v>722</v>
      </c>
      <c r="D73" s="69">
        <v>49</v>
      </c>
      <c r="E73" s="70">
        <v>380413</v>
      </c>
      <c r="F73" s="71" t="s">
        <v>734</v>
      </c>
      <c r="G73" s="71" t="s">
        <v>117</v>
      </c>
      <c r="H73" s="82">
        <v>1980</v>
      </c>
      <c r="I73" s="73">
        <v>48.84</v>
      </c>
      <c r="J73" s="68" t="s">
        <v>735</v>
      </c>
      <c r="K73" s="74" t="s">
        <v>69</v>
      </c>
      <c r="L73" s="75">
        <v>17</v>
      </c>
      <c r="M73" s="75">
        <v>19</v>
      </c>
      <c r="N73" s="75">
        <v>20</v>
      </c>
      <c r="O73" s="76">
        <f t="shared" si="18"/>
        <v>20</v>
      </c>
      <c r="P73" s="75">
        <v>24</v>
      </c>
      <c r="Q73" s="75">
        <v>27</v>
      </c>
      <c r="R73" s="75">
        <v>30</v>
      </c>
      <c r="S73" s="76">
        <f t="shared" si="19"/>
        <v>30</v>
      </c>
      <c r="T73" s="77">
        <f t="shared" si="20"/>
        <v>50</v>
      </c>
      <c r="U73" s="78">
        <f t="shared" si="21"/>
        <v>-47.680000000000007</v>
      </c>
      <c r="V73" s="79" t="str">
        <f t="shared" si="22"/>
        <v xml:space="preserve">DEB </v>
      </c>
      <c r="W73" s="80">
        <f t="shared" si="23"/>
        <v>-15</v>
      </c>
      <c r="X73" s="81" t="str">
        <f>IF(I73="","",IF(A73="H",IF(OR(H73="SEN",H73&lt;1995),VLOOKUP(I73,Feuil1!$A$11:$F$29,6),IF(AND(H73&gt;1994,H73&lt;1998),VLOOKUP(I73,Feuil1!$A$11:$F$29,5),IF(AND(H73&gt;1997,H73&lt;2000),VLOOKUP(I73,Feuil1!$A$11:$F$29,4),IF(AND(H73&gt;1999,H73&lt;2002),VLOOKUP(I73,Feuil1!$A$11:$F$29,3),VLOOKUP(I73,Feuil1!$A$11:$F$29,2))))),IF(OR(H73="SEN",H73&lt;1995),VLOOKUP(I73,Feuil1!$G$11:$L$25,6),IF(AND(H73&gt;1994,H73&lt;1998),VLOOKUP(I73,Feuil1!$G$11:$L$25,5),IF(AND(H73&gt;1997,H73&lt;2000),VLOOKUP(I73,Feuil1!$G$11:$L$25,4),IF(AND(H73&gt;1999,H73&lt;2002),VLOOKUP(I73,Feuil1!$G$11:$L$25,3),VLOOKUP(I73,Feuil1!$G$11:$L$25,2)))))))</f>
        <v>FS53</v>
      </c>
      <c r="Y73" s="39">
        <f t="shared" si="24"/>
        <v>80.732207823159129</v>
      </c>
      <c r="Z73" s="45"/>
      <c r="AA73" s="49" t="s">
        <v>12</v>
      </c>
      <c r="AB73" s="3">
        <f>T73-HLOOKUP(X73,Feuil1!$C$1:$BL$10,2,FALSE)</f>
        <v>-15</v>
      </c>
      <c r="AC73" s="3">
        <f>T73-HLOOKUP(X73,Feuil1!$C$1:$BL$10,3,FALSE)</f>
        <v>-25</v>
      </c>
      <c r="AD73" s="3">
        <f>T73-HLOOKUP(X73,Feuil1!$C$1:$BL$10,4,FALSE)</f>
        <v>-35</v>
      </c>
      <c r="AE73" s="3">
        <f>T73-HLOOKUP(X73,Feuil1!$C$1:$BL$10,5,FALSE)</f>
        <v>-45</v>
      </c>
      <c r="AF73" s="3">
        <f>T73-HLOOKUP(X73,Feuil1!$C$1:$BL$10,6,FALSE)</f>
        <v>-55</v>
      </c>
      <c r="AG73" s="3">
        <f>T73-HLOOKUP(X73,Feuil1!$C$1:$BL$10,7,FALSE)</f>
        <v>-70</v>
      </c>
      <c r="AH73" s="3">
        <f>T73-HLOOKUP(X73,Feuil1!$C$1:$BL$10,8,FALSE)</f>
        <v>-90</v>
      </c>
      <c r="AI73" s="3">
        <f>T73-HLOOKUP(X73,Feuil1!$C$1:$BL$10,9,FALSE)</f>
        <v>-110</v>
      </c>
      <c r="AJ73" s="3">
        <f>T73-HLOOKUP(X73,Feuil1!$C$1:$BL$10,10,FALSE)</f>
        <v>-125</v>
      </c>
      <c r="AQ73" s="5" t="str">
        <f t="shared" si="25"/>
        <v xml:space="preserve">DEB </v>
      </c>
      <c r="BC73" s="13"/>
    </row>
    <row r="74" spans="1:55" ht="21" hidden="1" x14ac:dyDescent="0.2">
      <c r="A74" s="12" t="s">
        <v>69</v>
      </c>
      <c r="B74" s="18" t="s">
        <v>721</v>
      </c>
      <c r="C74" s="19" t="s">
        <v>722</v>
      </c>
      <c r="D74" s="61">
        <v>50</v>
      </c>
      <c r="E74" s="35">
        <v>354035</v>
      </c>
      <c r="F74" s="20" t="s">
        <v>736</v>
      </c>
      <c r="G74" s="20" t="s">
        <v>737</v>
      </c>
      <c r="H74" s="51">
        <v>1983</v>
      </c>
      <c r="I74" s="30">
        <v>51.75</v>
      </c>
      <c r="J74" s="19" t="s">
        <v>735</v>
      </c>
      <c r="K74" s="34" t="s">
        <v>69</v>
      </c>
      <c r="L74" s="31">
        <v>12</v>
      </c>
      <c r="M74" s="31">
        <v>18</v>
      </c>
      <c r="N74" s="31">
        <v>19</v>
      </c>
      <c r="O74" s="36">
        <f t="shared" si="18"/>
        <v>19</v>
      </c>
      <c r="P74" s="31">
        <v>20</v>
      </c>
      <c r="Q74" s="31">
        <v>24</v>
      </c>
      <c r="R74" s="31">
        <v>26</v>
      </c>
      <c r="S74" s="36">
        <f t="shared" si="19"/>
        <v>26</v>
      </c>
      <c r="T74" s="37">
        <f t="shared" si="20"/>
        <v>45</v>
      </c>
      <c r="U74" s="65">
        <f t="shared" si="21"/>
        <v>-58.5</v>
      </c>
      <c r="V74" s="41" t="str">
        <f t="shared" si="22"/>
        <v xml:space="preserve">DEB </v>
      </c>
      <c r="W74" s="33">
        <f t="shared" si="23"/>
        <v>-20</v>
      </c>
      <c r="X74" s="40" t="str">
        <f>IF(I74="","",IF(A74="H",IF(OR(H74="SEN",H74&lt;1995),VLOOKUP(I74,Feuil1!$A$11:$F$29,6),IF(AND(H74&gt;1994,H74&lt;1998),VLOOKUP(I74,Feuil1!$A$11:$F$29,5),IF(AND(H74&gt;1997,H74&lt;2000),VLOOKUP(I74,Feuil1!$A$11:$F$29,4),IF(AND(H74&gt;1999,H74&lt;2002),VLOOKUP(I74,Feuil1!$A$11:$F$29,3),VLOOKUP(I74,Feuil1!$A$11:$F$29,2))))),IF(OR(H74="SEN",H74&lt;1995),VLOOKUP(I74,Feuil1!$G$11:$L$25,6),IF(AND(H74&gt;1994,H74&lt;1998),VLOOKUP(I74,Feuil1!$G$11:$L$25,5),IF(AND(H74&gt;1997,H74&lt;2000),VLOOKUP(I74,Feuil1!$G$11:$L$25,4),IF(AND(H74&gt;1999,H74&lt;2002),VLOOKUP(I74,Feuil1!$G$11:$L$25,3),VLOOKUP(I74,Feuil1!$G$11:$L$25,2)))))))</f>
        <v>FS53</v>
      </c>
      <c r="Y74" s="39">
        <f t="shared" si="24"/>
        <v>69.204675006906712</v>
      </c>
      <c r="Z74" s="45"/>
      <c r="AA74" s="49" t="s">
        <v>12</v>
      </c>
      <c r="AB74" s="3">
        <f>T74-HLOOKUP(X74,Feuil1!$C$1:$BL$10,2,FALSE)</f>
        <v>-20</v>
      </c>
      <c r="AC74" s="3">
        <f>T74-HLOOKUP(X74,Feuil1!$C$1:$BL$10,3,FALSE)</f>
        <v>-30</v>
      </c>
      <c r="AD74" s="3">
        <f>T74-HLOOKUP(X74,Feuil1!$C$1:$BL$10,4,FALSE)</f>
        <v>-40</v>
      </c>
      <c r="AE74" s="3">
        <f>T74-HLOOKUP(X74,Feuil1!$C$1:$BL$10,5,FALSE)</f>
        <v>-50</v>
      </c>
      <c r="AF74" s="3">
        <f>T74-HLOOKUP(X74,Feuil1!$C$1:$BL$10,6,FALSE)</f>
        <v>-60</v>
      </c>
      <c r="AG74" s="3">
        <f>T74-HLOOKUP(X74,Feuil1!$C$1:$BL$10,7,FALSE)</f>
        <v>-75</v>
      </c>
      <c r="AH74" s="3">
        <f>T74-HLOOKUP(X74,Feuil1!$C$1:$BL$10,8,FALSE)</f>
        <v>-95</v>
      </c>
      <c r="AI74" s="3">
        <f>T74-HLOOKUP(X74,Feuil1!$C$1:$BL$10,9,FALSE)</f>
        <v>-115</v>
      </c>
      <c r="AJ74" s="3">
        <f>T74-HLOOKUP(X74,Feuil1!$C$1:$BL$10,10,FALSE)</f>
        <v>-130</v>
      </c>
      <c r="AQ74" s="5" t="str">
        <f t="shared" si="25"/>
        <v xml:space="preserve">DEB </v>
      </c>
      <c r="BC74" s="13"/>
    </row>
    <row r="75" spans="1:55" ht="21" hidden="1" x14ac:dyDescent="0.2">
      <c r="A75" s="12" t="s">
        <v>69</v>
      </c>
      <c r="B75" s="18" t="s">
        <v>298</v>
      </c>
      <c r="C75" s="19" t="s">
        <v>404</v>
      </c>
      <c r="D75" s="61">
        <v>51</v>
      </c>
      <c r="E75" s="35">
        <v>389914</v>
      </c>
      <c r="F75" s="20" t="s">
        <v>469</v>
      </c>
      <c r="G75" s="20" t="s">
        <v>470</v>
      </c>
      <c r="H75" s="51">
        <v>1974</v>
      </c>
      <c r="I75" s="30">
        <v>52.8</v>
      </c>
      <c r="J75" s="19" t="s">
        <v>467</v>
      </c>
      <c r="K75" s="34" t="s">
        <v>69</v>
      </c>
      <c r="L75" s="31">
        <v>13</v>
      </c>
      <c r="M75" s="31">
        <v>16</v>
      </c>
      <c r="N75" s="31">
        <v>19</v>
      </c>
      <c r="O75" s="36">
        <f t="shared" si="18"/>
        <v>19</v>
      </c>
      <c r="P75" s="31">
        <v>-22</v>
      </c>
      <c r="Q75" s="31">
        <v>22</v>
      </c>
      <c r="R75" s="31">
        <v>-25</v>
      </c>
      <c r="S75" s="36">
        <f t="shared" si="19"/>
        <v>22</v>
      </c>
      <c r="T75" s="37">
        <f t="shared" si="20"/>
        <v>41</v>
      </c>
      <c r="U75" s="65">
        <f t="shared" si="21"/>
        <v>-64.599999999999994</v>
      </c>
      <c r="V75" s="41" t="str">
        <f t="shared" si="22"/>
        <v xml:space="preserve">DEB </v>
      </c>
      <c r="W75" s="33">
        <f t="shared" si="23"/>
        <v>-24</v>
      </c>
      <c r="X75" s="40" t="str">
        <f>IF(I75="","",IF(A75="H",IF(OR(H75="SEN",H75&lt;1995),VLOOKUP(I75,Feuil1!$A$11:$F$29,6),IF(AND(H75&gt;1994,H75&lt;1998),VLOOKUP(I75,Feuil1!$A$11:$F$29,5),IF(AND(H75&gt;1997,H75&lt;2000),VLOOKUP(I75,Feuil1!$A$11:$F$29,4),IF(AND(H75&gt;1999,H75&lt;2002),VLOOKUP(I75,Feuil1!$A$11:$F$29,3),VLOOKUP(I75,Feuil1!$A$11:$F$29,2))))),IF(OR(H75="SEN",H75&lt;1995),VLOOKUP(I75,Feuil1!$G$11:$L$25,6),IF(AND(H75&gt;1994,H75&lt;1998),VLOOKUP(I75,Feuil1!$G$11:$L$25,5),IF(AND(H75&gt;1997,H75&lt;2000),VLOOKUP(I75,Feuil1!$G$11:$L$25,4),IF(AND(H75&gt;1999,H75&lt;2002),VLOOKUP(I75,Feuil1!$G$11:$L$25,3),VLOOKUP(I75,Feuil1!$G$11:$L$25,2)))))))</f>
        <v>FS53</v>
      </c>
      <c r="Y75" s="39">
        <f t="shared" si="24"/>
        <v>62.03400949410608</v>
      </c>
      <c r="Z75" s="45"/>
      <c r="AA75" s="49" t="s">
        <v>12</v>
      </c>
      <c r="AB75" s="3">
        <f>T75-HLOOKUP(X75,Feuil1!$C$1:$BL$10,2,FALSE)</f>
        <v>-24</v>
      </c>
      <c r="AC75" s="3">
        <f>T75-HLOOKUP(X75,Feuil1!$C$1:$BL$10,3,FALSE)</f>
        <v>-34</v>
      </c>
      <c r="AD75" s="3">
        <f>T75-HLOOKUP(X75,Feuil1!$C$1:$BL$10,4,FALSE)</f>
        <v>-44</v>
      </c>
      <c r="AE75" s="3">
        <f>T75-HLOOKUP(X75,Feuil1!$C$1:$BL$10,5,FALSE)</f>
        <v>-54</v>
      </c>
      <c r="AF75" s="3">
        <f>T75-HLOOKUP(X75,Feuil1!$C$1:$BL$10,6,FALSE)</f>
        <v>-64</v>
      </c>
      <c r="AG75" s="3">
        <f>T75-HLOOKUP(X75,Feuil1!$C$1:$BL$10,7,FALSE)</f>
        <v>-79</v>
      </c>
      <c r="AH75" s="3">
        <f>T75-HLOOKUP(X75,Feuil1!$C$1:$BL$10,8,FALSE)</f>
        <v>-99</v>
      </c>
      <c r="AI75" s="3">
        <f>T75-HLOOKUP(X75,Feuil1!$C$1:$BL$10,9,FALSE)</f>
        <v>-119</v>
      </c>
      <c r="AJ75" s="3">
        <f>T75-HLOOKUP(X75,Feuil1!$C$1:$BL$10,10,FALSE)</f>
        <v>-134</v>
      </c>
      <c r="AQ75" s="5" t="str">
        <f t="shared" si="25"/>
        <v xml:space="preserve">DEB </v>
      </c>
      <c r="BC75" s="13"/>
    </row>
    <row r="76" spans="1:55" s="13" customFormat="1" ht="15" hidden="1" customHeight="1" thickBot="1" x14ac:dyDescent="0.25">
      <c r="A76" s="89"/>
      <c r="B76" s="90"/>
      <c r="C76" s="91"/>
      <c r="D76" s="92"/>
      <c r="E76" s="93"/>
      <c r="F76" s="94"/>
      <c r="G76" s="94"/>
      <c r="H76" s="95"/>
      <c r="I76" s="96"/>
      <c r="J76" s="91"/>
      <c r="K76" s="97"/>
      <c r="L76" s="98"/>
      <c r="M76" s="98"/>
      <c r="N76" s="98"/>
      <c r="O76" s="99"/>
      <c r="P76" s="98"/>
      <c r="Q76" s="98"/>
      <c r="R76" s="98"/>
      <c r="S76" s="99"/>
      <c r="T76" s="100"/>
      <c r="U76" s="101"/>
      <c r="V76" s="102"/>
      <c r="W76" s="103"/>
      <c r="X76" s="104"/>
      <c r="Y76" s="105"/>
      <c r="Z76" s="45"/>
      <c r="AA76" s="45" t="s">
        <v>12</v>
      </c>
      <c r="AB76" s="3" t="e">
        <f>T76-HLOOKUP(X76,Feuil1!$C$1:$BL$10,2,FALSE)</f>
        <v>#N/A</v>
      </c>
      <c r="AC76" s="3" t="e">
        <f>T76-HLOOKUP(X76,Feuil1!$C$1:$BL$10,3,FALSE)</f>
        <v>#N/A</v>
      </c>
      <c r="AD76" s="3" t="e">
        <f>T76-HLOOKUP(X76,Feuil1!$C$1:$BL$10,4,FALSE)</f>
        <v>#N/A</v>
      </c>
      <c r="AE76" s="3" t="e">
        <f>T76-HLOOKUP(X76,Feuil1!$C$1:$BL$10,5,FALSE)</f>
        <v>#N/A</v>
      </c>
      <c r="AF76" s="3" t="e">
        <f>T76-HLOOKUP(X76,Feuil1!$C$1:$BL$10,6,FALSE)</f>
        <v>#N/A</v>
      </c>
      <c r="AG76" s="3" t="e">
        <f>T76-HLOOKUP(X76,Feuil1!$C$1:$BL$10,7,FALSE)</f>
        <v>#N/A</v>
      </c>
      <c r="AH76" s="3" t="e">
        <f>T76-HLOOKUP(X76,Feuil1!$C$1:$BL$10,8,FALSE)</f>
        <v>#N/A</v>
      </c>
      <c r="AI76" s="3" t="e">
        <f>T76-HLOOKUP(X76,Feuil1!$C$1:$BL$10,9,FALSE)</f>
        <v>#N/A</v>
      </c>
      <c r="AJ76" s="3" t="e">
        <f>T76-HLOOKUP(X76,Feuil1!$C$1:$BL$10,10,FALSE)</f>
        <v>#N/A</v>
      </c>
      <c r="AK76" s="5"/>
      <c r="AL76" s="5"/>
      <c r="AM76" s="5"/>
      <c r="AN76" s="5"/>
      <c r="AO76" s="5"/>
      <c r="AP76" s="5"/>
      <c r="AQ76" s="5" t="e">
        <f t="shared" ref="AQ76" si="26">IF(AJ76&gt;=0,$AJ$1,IF(AI76&gt;=0,$AI$1,IF(AH76&gt;=0,$AH$1,IF(AG76&gt;=0,$AG$1,IF(AF76&gt;=0,$AF$1,IF(AE76&gt;=0,$AE$1,IF(AD76&gt;=0,$AD$1,IF(AC76&gt;=0,$AC$1,$AB$1))))))))</f>
        <v>#N/A</v>
      </c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</row>
    <row r="77" spans="1:55" ht="21" x14ac:dyDescent="0.2">
      <c r="A77" s="12" t="s">
        <v>69</v>
      </c>
      <c r="B77" s="18" t="s">
        <v>298</v>
      </c>
      <c r="C77" s="19" t="s">
        <v>299</v>
      </c>
      <c r="D77" s="61">
        <v>1</v>
      </c>
      <c r="E77" s="35">
        <v>357827</v>
      </c>
      <c r="F77" s="20" t="s">
        <v>340</v>
      </c>
      <c r="G77" s="20" t="s">
        <v>341</v>
      </c>
      <c r="H77" s="51">
        <v>1991</v>
      </c>
      <c r="I77" s="30">
        <v>55.9</v>
      </c>
      <c r="J77" s="19" t="s">
        <v>342</v>
      </c>
      <c r="K77" s="34" t="s">
        <v>343</v>
      </c>
      <c r="L77" s="31">
        <v>72</v>
      </c>
      <c r="M77" s="31">
        <v>77</v>
      </c>
      <c r="N77" s="31">
        <v>-80</v>
      </c>
      <c r="O77" s="36">
        <f t="shared" ref="O77:O108" si="27">IF(H77="","",IF(MAXA(L77:N77)&lt;=0,0,MAXA(L77:N77)))</f>
        <v>77</v>
      </c>
      <c r="P77" s="31">
        <v>95</v>
      </c>
      <c r="Q77" s="31">
        <v>98</v>
      </c>
      <c r="R77" s="31">
        <v>100</v>
      </c>
      <c r="S77" s="36">
        <f t="shared" ref="S77:S108" si="28">IF(H77="","",IF(MAXA(P77:R77)&lt;=0,0,MAXA(P77:R77)))</f>
        <v>100</v>
      </c>
      <c r="T77" s="37">
        <f t="shared" ref="T77:T108" si="29">IF(H77="","",IF(OR(O77=0,S77=0),0,O77+S77))</f>
        <v>177</v>
      </c>
      <c r="U77" s="65">
        <f t="shared" ref="U77:U108" si="30">T77-I77*2</f>
        <v>65.2</v>
      </c>
      <c r="V77" s="41" t="str">
        <f t="shared" ref="V77:V108" si="31">IF(H77="","",AQ77)</f>
        <v>INTA +</v>
      </c>
      <c r="W77" s="33">
        <f t="shared" ref="W77:W108" si="32">IF(AJ77&gt;=0,AJ77,IF(AI77&gt;=0,AI77,IF(AH77&gt;=0,AH77,IF(AG77&gt;=0,AG77,IF(AF77&gt;=0,AF77,IF(AE77&gt;=0,AE77,IF(AD77&gt;=0,AD77,IF(AC77&gt;=0,AC77,AB77))))))))</f>
        <v>7</v>
      </c>
      <c r="X77" s="40" t="str">
        <f>IF(I77="","",IF(A77="H",IF(OR(H77="SEN",H77&lt;1995),VLOOKUP(I77,Feuil1!$A$11:$F$29,6),IF(AND(H77&gt;1994,H77&lt;1998),VLOOKUP(I77,Feuil1!$A$11:$F$29,5),IF(AND(H77&gt;1997,H77&lt;2000),VLOOKUP(I77,Feuil1!$A$11:$F$29,4),IF(AND(H77&gt;1999,H77&lt;2002),VLOOKUP(I77,Feuil1!$A$11:$F$29,3),VLOOKUP(I77,Feuil1!$A$11:$F$29,2))))),IF(OR(H77="SEN",H77&lt;1995),VLOOKUP(I77,Feuil1!$G$11:$L$25,6),IF(AND(H77&gt;1994,H77&lt;1998),VLOOKUP(I77,Feuil1!$G$11:$L$25,5),IF(AND(H77&gt;1997,H77&lt;2000),VLOOKUP(I77,Feuil1!$G$11:$L$25,4),IF(AND(H77&gt;1999,H77&lt;2002),VLOOKUP(I77,Feuil1!$G$11:$L$25,3),VLOOKUP(I77,Feuil1!$G$11:$L$25,2)))))))</f>
        <v>FS58</v>
      </c>
      <c r="Y77" s="39">
        <f t="shared" ref="Y77:Y108" si="33">IF(I77="","",IF(A77="H",10^(0.794358141*LOG(I77/174.393)^2)*T77,IF(A77="F",10^(0.89726074*LOG(I77/148.026)^2)*T77,"")))</f>
        <v>256.13163081317765</v>
      </c>
      <c r="Z77" s="45"/>
      <c r="AA77" s="49" t="s">
        <v>12</v>
      </c>
      <c r="AB77" s="3">
        <f>T77-HLOOKUP(X77,Feuil1!$C$1:$BL$10,2,FALSE)</f>
        <v>107</v>
      </c>
      <c r="AC77" s="3">
        <f>T77-HLOOKUP(X77,Feuil1!$C$1:$BL$10,3,FALSE)</f>
        <v>97</v>
      </c>
      <c r="AD77" s="3">
        <f>T77-HLOOKUP(X77,Feuil1!$C$1:$BL$10,4,FALSE)</f>
        <v>87</v>
      </c>
      <c r="AE77" s="3">
        <f>T77-HLOOKUP(X77,Feuil1!$C$1:$BL$10,5,FALSE)</f>
        <v>77</v>
      </c>
      <c r="AF77" s="3">
        <f>T77-HLOOKUP(X77,Feuil1!$C$1:$BL$10,6,FALSE)</f>
        <v>62</v>
      </c>
      <c r="AG77" s="3">
        <f>T77-HLOOKUP(X77,Feuil1!$C$1:$BL$10,7,FALSE)</f>
        <v>47</v>
      </c>
      <c r="AH77" s="3">
        <f>T77-HLOOKUP(X77,Feuil1!$C$1:$BL$10,8,FALSE)</f>
        <v>27</v>
      </c>
      <c r="AI77" s="3">
        <f>T77-HLOOKUP(X77,Feuil1!$C$1:$BL$10,9,FALSE)</f>
        <v>7</v>
      </c>
      <c r="AJ77" s="3">
        <f>T77-HLOOKUP(X77,Feuil1!$C$1:$BL$10,10,FALSE)</f>
        <v>-13</v>
      </c>
      <c r="AQ77" s="5" t="str">
        <f t="shared" ref="AQ77:AQ108" si="34">IF(AJ77&gt;=0,$AJ$1,IF(AI77&gt;=0,$AI$1,IF(AH77&gt;=0,$AH$1,IF(AG77&gt;=0,$AG$1,IF(AF77&gt;=0,$AF$1,IF(AE77&gt;=0,$AE$1,IF(AD77&gt;=0,$AD$1,IF(AC77&gt;=0,$AC$1,$AB$1))))))))</f>
        <v>INTA +</v>
      </c>
    </row>
    <row r="78" spans="1:55" ht="21" x14ac:dyDescent="0.2">
      <c r="A78" s="12" t="s">
        <v>69</v>
      </c>
      <c r="B78" s="18" t="s">
        <v>536</v>
      </c>
      <c r="C78" s="19" t="s">
        <v>545</v>
      </c>
      <c r="D78" s="61">
        <v>2</v>
      </c>
      <c r="E78" s="35">
        <v>264816</v>
      </c>
      <c r="F78" s="20" t="s">
        <v>579</v>
      </c>
      <c r="G78" s="20" t="s">
        <v>291</v>
      </c>
      <c r="H78" s="51">
        <v>1988</v>
      </c>
      <c r="I78" s="30">
        <v>56.9</v>
      </c>
      <c r="J78" s="19" t="s">
        <v>548</v>
      </c>
      <c r="K78" s="34" t="s">
        <v>69</v>
      </c>
      <c r="L78" s="31">
        <v>69</v>
      </c>
      <c r="M78" s="31">
        <v>73</v>
      </c>
      <c r="N78" s="31">
        <v>76</v>
      </c>
      <c r="O78" s="36">
        <f t="shared" si="27"/>
        <v>76</v>
      </c>
      <c r="P78" s="31">
        <v>88</v>
      </c>
      <c r="Q78" s="31">
        <v>92</v>
      </c>
      <c r="R78" s="31">
        <v>94</v>
      </c>
      <c r="S78" s="36">
        <f t="shared" si="28"/>
        <v>94</v>
      </c>
      <c r="T78" s="37">
        <f t="shared" si="29"/>
        <v>170</v>
      </c>
      <c r="U78" s="65">
        <f t="shared" si="30"/>
        <v>56.2</v>
      </c>
      <c r="V78" s="41" t="str">
        <f t="shared" si="31"/>
        <v>INTA +</v>
      </c>
      <c r="W78" s="33">
        <f t="shared" si="32"/>
        <v>0</v>
      </c>
      <c r="X78" s="40" t="str">
        <f>IF(I78="","",IF(A78="H",IF(OR(H78="SEN",H78&lt;1995),VLOOKUP(I78,Feuil1!$A$11:$F$29,6),IF(AND(H78&gt;1994,H78&lt;1998),VLOOKUP(I78,Feuil1!$A$11:$F$29,5),IF(AND(H78&gt;1997,H78&lt;2000),VLOOKUP(I78,Feuil1!$A$11:$F$29,4),IF(AND(H78&gt;1999,H78&lt;2002),VLOOKUP(I78,Feuil1!$A$11:$F$29,3),VLOOKUP(I78,Feuil1!$A$11:$F$29,2))))),IF(OR(H78="SEN",H78&lt;1995),VLOOKUP(I78,Feuil1!$G$11:$L$25,6),IF(AND(H78&gt;1994,H78&lt;1998),VLOOKUP(I78,Feuil1!$G$11:$L$25,5),IF(AND(H78&gt;1997,H78&lt;2000),VLOOKUP(I78,Feuil1!$G$11:$L$25,4),IF(AND(H78&gt;1999,H78&lt;2002),VLOOKUP(I78,Feuil1!$G$11:$L$25,3),VLOOKUP(I78,Feuil1!$G$11:$L$25,2)))))))</f>
        <v>FS58</v>
      </c>
      <c r="Y78" s="39">
        <f t="shared" si="33"/>
        <v>242.74361236253478</v>
      </c>
      <c r="Z78" s="45"/>
      <c r="AA78" s="49" t="s">
        <v>12</v>
      </c>
      <c r="AB78" s="3">
        <f>T78-HLOOKUP(X78,Feuil1!$C$1:$BL$10,2,FALSE)</f>
        <v>100</v>
      </c>
      <c r="AC78" s="3">
        <f>T78-HLOOKUP(X78,Feuil1!$C$1:$BL$10,3,FALSE)</f>
        <v>90</v>
      </c>
      <c r="AD78" s="3">
        <f>T78-HLOOKUP(X78,Feuil1!$C$1:$BL$10,4,FALSE)</f>
        <v>80</v>
      </c>
      <c r="AE78" s="3">
        <f>T78-HLOOKUP(X78,Feuil1!$C$1:$BL$10,5,FALSE)</f>
        <v>70</v>
      </c>
      <c r="AF78" s="3">
        <f>T78-HLOOKUP(X78,Feuil1!$C$1:$BL$10,6,FALSE)</f>
        <v>55</v>
      </c>
      <c r="AG78" s="3">
        <f>T78-HLOOKUP(X78,Feuil1!$C$1:$BL$10,7,FALSE)</f>
        <v>40</v>
      </c>
      <c r="AH78" s="3">
        <f>T78-HLOOKUP(X78,Feuil1!$C$1:$BL$10,8,FALSE)</f>
        <v>20</v>
      </c>
      <c r="AI78" s="3">
        <f>T78-HLOOKUP(X78,Feuil1!$C$1:$BL$10,9,FALSE)</f>
        <v>0</v>
      </c>
      <c r="AJ78" s="3">
        <f>T78-HLOOKUP(X78,Feuil1!$C$1:$BL$10,10,FALSE)</f>
        <v>-20</v>
      </c>
      <c r="AQ78" s="5" t="str">
        <f t="shared" si="34"/>
        <v>INTA +</v>
      </c>
      <c r="BC78" s="13"/>
    </row>
    <row r="79" spans="1:55" ht="21" x14ac:dyDescent="0.2">
      <c r="A79" s="12" t="s">
        <v>69</v>
      </c>
      <c r="B79" s="18" t="s">
        <v>298</v>
      </c>
      <c r="C79" s="19" t="s">
        <v>476</v>
      </c>
      <c r="D79" s="61">
        <v>3</v>
      </c>
      <c r="E79" s="35">
        <v>32268</v>
      </c>
      <c r="F79" s="20" t="s">
        <v>517</v>
      </c>
      <c r="G79" s="20" t="s">
        <v>518</v>
      </c>
      <c r="H79" s="51">
        <v>1980</v>
      </c>
      <c r="I79" s="30">
        <v>55.8</v>
      </c>
      <c r="J79" s="19" t="s">
        <v>484</v>
      </c>
      <c r="K79" s="34" t="s">
        <v>69</v>
      </c>
      <c r="L79" s="31">
        <v>65</v>
      </c>
      <c r="M79" s="31">
        <v>70</v>
      </c>
      <c r="N79" s="31">
        <v>-72</v>
      </c>
      <c r="O79" s="36">
        <f t="shared" si="27"/>
        <v>70</v>
      </c>
      <c r="P79" s="31">
        <v>85</v>
      </c>
      <c r="Q79" s="31">
        <v>90</v>
      </c>
      <c r="R79" s="31">
        <v>93</v>
      </c>
      <c r="S79" s="36">
        <f t="shared" si="28"/>
        <v>93</v>
      </c>
      <c r="T79" s="37">
        <f t="shared" si="29"/>
        <v>163</v>
      </c>
      <c r="U79" s="65">
        <f t="shared" si="30"/>
        <v>51.400000000000006</v>
      </c>
      <c r="V79" s="41" t="str">
        <f t="shared" si="31"/>
        <v>INTB +</v>
      </c>
      <c r="W79" s="33">
        <f t="shared" si="32"/>
        <v>13</v>
      </c>
      <c r="X79" s="40" t="str">
        <f>IF(I79="","",IF(A79="H",IF(OR(H79="SEN",H79&lt;1995),VLOOKUP(I79,Feuil1!$A$11:$F$29,6),IF(AND(H79&gt;1994,H79&lt;1998),VLOOKUP(I79,Feuil1!$A$11:$F$29,5),IF(AND(H79&gt;1997,H79&lt;2000),VLOOKUP(I79,Feuil1!$A$11:$F$29,4),IF(AND(H79&gt;1999,H79&lt;2002),VLOOKUP(I79,Feuil1!$A$11:$F$29,3),VLOOKUP(I79,Feuil1!$A$11:$F$29,2))))),IF(OR(H79="SEN",H79&lt;1995),VLOOKUP(I79,Feuil1!$G$11:$L$25,6),IF(AND(H79&gt;1994,H79&lt;1998),VLOOKUP(I79,Feuil1!$G$11:$L$25,5),IF(AND(H79&gt;1997,H79&lt;2000),VLOOKUP(I79,Feuil1!$G$11:$L$25,4),IF(AND(H79&gt;1999,H79&lt;2002),VLOOKUP(I79,Feuil1!$G$11:$L$25,3),VLOOKUP(I79,Feuil1!$G$11:$L$25,2)))))))</f>
        <v>FS58</v>
      </c>
      <c r="Y79" s="39">
        <f t="shared" si="33"/>
        <v>236.19367402171861</v>
      </c>
      <c r="Z79" s="45"/>
      <c r="AA79" s="49" t="s">
        <v>12</v>
      </c>
      <c r="AB79" s="3">
        <f>T79-HLOOKUP(X79,Feuil1!$C$1:$BL$10,2,FALSE)</f>
        <v>93</v>
      </c>
      <c r="AC79" s="3">
        <f>T79-HLOOKUP(X79,Feuil1!$C$1:$BL$10,3,FALSE)</f>
        <v>83</v>
      </c>
      <c r="AD79" s="3">
        <f>T79-HLOOKUP(X79,Feuil1!$C$1:$BL$10,4,FALSE)</f>
        <v>73</v>
      </c>
      <c r="AE79" s="3">
        <f>T79-HLOOKUP(X79,Feuil1!$C$1:$BL$10,5,FALSE)</f>
        <v>63</v>
      </c>
      <c r="AF79" s="3">
        <f>T79-HLOOKUP(X79,Feuil1!$C$1:$BL$10,6,FALSE)</f>
        <v>48</v>
      </c>
      <c r="AG79" s="3">
        <f>T79-HLOOKUP(X79,Feuil1!$C$1:$BL$10,7,FALSE)</f>
        <v>33</v>
      </c>
      <c r="AH79" s="3">
        <f>T79-HLOOKUP(X79,Feuil1!$C$1:$BL$10,8,FALSE)</f>
        <v>13</v>
      </c>
      <c r="AI79" s="3">
        <f>T79-HLOOKUP(X79,Feuil1!$C$1:$BL$10,9,FALSE)</f>
        <v>-7</v>
      </c>
      <c r="AJ79" s="3">
        <f>T79-HLOOKUP(X79,Feuil1!$C$1:$BL$10,10,FALSE)</f>
        <v>-27</v>
      </c>
      <c r="AQ79" s="5" t="str">
        <f t="shared" si="34"/>
        <v>INTB +</v>
      </c>
      <c r="BC79" s="13"/>
    </row>
    <row r="80" spans="1:55" ht="21" hidden="1" x14ac:dyDescent="0.2">
      <c r="A80" s="12" t="s">
        <v>69</v>
      </c>
      <c r="B80" s="18" t="s">
        <v>108</v>
      </c>
      <c r="C80" s="19" t="s">
        <v>119</v>
      </c>
      <c r="D80" s="61">
        <v>4</v>
      </c>
      <c r="E80" s="35">
        <v>191152</v>
      </c>
      <c r="F80" s="20" t="s">
        <v>203</v>
      </c>
      <c r="G80" s="20" t="s">
        <v>524</v>
      </c>
      <c r="H80" s="51">
        <v>1994</v>
      </c>
      <c r="I80" s="30">
        <v>53.1</v>
      </c>
      <c r="J80" s="19" t="s">
        <v>161</v>
      </c>
      <c r="K80" s="34" t="s">
        <v>69</v>
      </c>
      <c r="L80" s="31">
        <v>60</v>
      </c>
      <c r="M80" s="31">
        <v>63</v>
      </c>
      <c r="N80" s="31">
        <v>65</v>
      </c>
      <c r="O80" s="36">
        <f t="shared" si="27"/>
        <v>65</v>
      </c>
      <c r="P80" s="31">
        <v>78</v>
      </c>
      <c r="Q80" s="31">
        <v>81</v>
      </c>
      <c r="R80" s="31">
        <v>-83</v>
      </c>
      <c r="S80" s="36">
        <f t="shared" si="28"/>
        <v>81</v>
      </c>
      <c r="T80" s="37">
        <f t="shared" si="29"/>
        <v>146</v>
      </c>
      <c r="U80" s="65">
        <f t="shared" si="30"/>
        <v>39.799999999999997</v>
      </c>
      <c r="V80" s="41" t="str">
        <f t="shared" si="31"/>
        <v>NAT +</v>
      </c>
      <c r="W80" s="33">
        <f t="shared" si="32"/>
        <v>16</v>
      </c>
      <c r="X80" s="40" t="str">
        <f>IF(I80="","",IF(A80="H",IF(OR(H80="SEN",H80&lt;1995),VLOOKUP(I80,Feuil1!$A$11:$F$29,6),IF(AND(H80&gt;1994,H80&lt;1998),VLOOKUP(I80,Feuil1!$A$11:$F$29,5),IF(AND(H80&gt;1997,H80&lt;2000),VLOOKUP(I80,Feuil1!$A$11:$F$29,4),IF(AND(H80&gt;1999,H80&lt;2002),VLOOKUP(I80,Feuil1!$A$11:$F$29,3),VLOOKUP(I80,Feuil1!$A$11:$F$29,2))))),IF(OR(H80="SEN",H80&lt;1995),VLOOKUP(I80,Feuil1!$G$11:$L$25,6),IF(AND(H80&gt;1994,H80&lt;1998),VLOOKUP(I80,Feuil1!$G$11:$L$25,5),IF(AND(H80&gt;1997,H80&lt;2000),VLOOKUP(I80,Feuil1!$G$11:$L$25,4),IF(AND(H80&gt;1999,H80&lt;2002),VLOOKUP(I80,Feuil1!$G$11:$L$25,3),VLOOKUP(I80,Feuil1!$G$11:$L$25,2)))))))</f>
        <v>FS58</v>
      </c>
      <c r="Y80" s="39">
        <f t="shared" si="33"/>
        <v>219.90110058653761</v>
      </c>
      <c r="Z80" s="45"/>
      <c r="AA80" s="49" t="s">
        <v>12</v>
      </c>
      <c r="AB80" s="3">
        <f>T80-HLOOKUP(X80,Feuil1!$C$1:$BL$10,2,FALSE)</f>
        <v>76</v>
      </c>
      <c r="AC80" s="3">
        <f>T80-HLOOKUP(X80,Feuil1!$C$1:$BL$10,3,FALSE)</f>
        <v>66</v>
      </c>
      <c r="AD80" s="3">
        <f>T80-HLOOKUP(X80,Feuil1!$C$1:$BL$10,4,FALSE)</f>
        <v>56</v>
      </c>
      <c r="AE80" s="3">
        <f>T80-HLOOKUP(X80,Feuil1!$C$1:$BL$10,5,FALSE)</f>
        <v>46</v>
      </c>
      <c r="AF80" s="3">
        <f>T80-HLOOKUP(X80,Feuil1!$C$1:$BL$10,6,FALSE)</f>
        <v>31</v>
      </c>
      <c r="AG80" s="3">
        <f>T80-HLOOKUP(X80,Feuil1!$C$1:$BL$10,7,FALSE)</f>
        <v>16</v>
      </c>
      <c r="AH80" s="3">
        <f>T80-HLOOKUP(X80,Feuil1!$C$1:$BL$10,8,FALSE)</f>
        <v>-4</v>
      </c>
      <c r="AI80" s="3">
        <f>T80-HLOOKUP(X80,Feuil1!$C$1:$BL$10,9,FALSE)</f>
        <v>-24</v>
      </c>
      <c r="AJ80" s="3">
        <f>T80-HLOOKUP(X80,Feuil1!$C$1:$BL$10,10,FALSE)</f>
        <v>-44</v>
      </c>
      <c r="AQ80" s="5" t="str">
        <f t="shared" si="34"/>
        <v>NAT +</v>
      </c>
    </row>
    <row r="81" spans="1:55" ht="21" hidden="1" x14ac:dyDescent="0.2">
      <c r="A81" s="12" t="s">
        <v>69</v>
      </c>
      <c r="B81" s="18" t="s">
        <v>71</v>
      </c>
      <c r="C81" s="19" t="s">
        <v>883</v>
      </c>
      <c r="D81" s="61">
        <v>5</v>
      </c>
      <c r="E81" s="35">
        <v>245793</v>
      </c>
      <c r="F81" s="20" t="s">
        <v>895</v>
      </c>
      <c r="G81" s="20" t="s">
        <v>896</v>
      </c>
      <c r="H81" s="51">
        <v>1990</v>
      </c>
      <c r="I81" s="30">
        <v>54.5</v>
      </c>
      <c r="J81" s="19" t="s">
        <v>886</v>
      </c>
      <c r="K81" s="34" t="s">
        <v>343</v>
      </c>
      <c r="L81" s="31">
        <v>60</v>
      </c>
      <c r="M81" s="31">
        <v>64</v>
      </c>
      <c r="N81" s="31">
        <v>-66</v>
      </c>
      <c r="O81" s="36">
        <f t="shared" si="27"/>
        <v>64</v>
      </c>
      <c r="P81" s="31">
        <v>72</v>
      </c>
      <c r="Q81" s="31">
        <v>80</v>
      </c>
      <c r="R81" s="31">
        <v>82</v>
      </c>
      <c r="S81" s="36">
        <f t="shared" si="28"/>
        <v>82</v>
      </c>
      <c r="T81" s="37">
        <f t="shared" si="29"/>
        <v>146</v>
      </c>
      <c r="U81" s="65">
        <f t="shared" si="30"/>
        <v>37</v>
      </c>
      <c r="V81" s="32" t="str">
        <f t="shared" si="31"/>
        <v>NAT +</v>
      </c>
      <c r="W81" s="33">
        <f t="shared" si="32"/>
        <v>16</v>
      </c>
      <c r="X81" s="40" t="str">
        <f>IF(I81="","",IF(A81="H",IF(OR(H81="SEN",H81&lt;1995),VLOOKUP(I81,Feuil1!$A$11:$F$29,6),IF(AND(H81&gt;1994,H81&lt;1998),VLOOKUP(I81,Feuil1!$A$11:$F$29,5),IF(AND(H81&gt;1997,H81&lt;2000),VLOOKUP(I81,Feuil1!$A$11:$F$29,4),IF(AND(H81&gt;1999,H81&lt;2002),VLOOKUP(I81,Feuil1!$A$11:$F$29,3),VLOOKUP(I81,Feuil1!$A$11:$F$29,2))))),IF(OR(H81="SEN",H81&lt;1995),VLOOKUP(I81,Feuil1!$G$11:$L$25,6),IF(AND(H81&gt;1994,H81&lt;1998),VLOOKUP(I81,Feuil1!$G$11:$L$25,5),IF(AND(H81&gt;1997,H81&lt;2000),VLOOKUP(I81,Feuil1!$G$11:$L$25,4),IF(AND(H81&gt;1999,H81&lt;2002),VLOOKUP(I81,Feuil1!$G$11:$L$25,3),VLOOKUP(I81,Feuil1!$G$11:$L$25,2)))))))</f>
        <v>FS58</v>
      </c>
      <c r="Y81" s="39">
        <f t="shared" si="33"/>
        <v>215.43275869335014</v>
      </c>
      <c r="Z81" s="45"/>
      <c r="AA81" s="49" t="s">
        <v>12</v>
      </c>
      <c r="AB81" s="3">
        <f>T81-HLOOKUP(X81,Feuil1!$C$1:$BL$10,2,FALSE)</f>
        <v>76</v>
      </c>
      <c r="AC81" s="3">
        <f>T81-HLOOKUP(X81,Feuil1!$C$1:$BL$10,3,FALSE)</f>
        <v>66</v>
      </c>
      <c r="AD81" s="3">
        <f>T81-HLOOKUP(X81,Feuil1!$C$1:$BL$10,4,FALSE)</f>
        <v>56</v>
      </c>
      <c r="AE81" s="3">
        <f>T81-HLOOKUP(X81,Feuil1!$C$1:$BL$10,5,FALSE)</f>
        <v>46</v>
      </c>
      <c r="AF81" s="3">
        <f>T81-HLOOKUP(X81,Feuil1!$C$1:$BL$10,6,FALSE)</f>
        <v>31</v>
      </c>
      <c r="AG81" s="3">
        <f>T81-HLOOKUP(X81,Feuil1!$C$1:$BL$10,7,FALSE)</f>
        <v>16</v>
      </c>
      <c r="AH81" s="3">
        <f>T81-HLOOKUP(X81,Feuil1!$C$1:$BL$10,8,FALSE)</f>
        <v>-4</v>
      </c>
      <c r="AI81" s="3">
        <f>T81-HLOOKUP(X81,Feuil1!$C$1:$BL$10,9,FALSE)</f>
        <v>-24</v>
      </c>
      <c r="AJ81" s="3">
        <f>T81-HLOOKUP(X81,Feuil1!$C$1:$BL$10,10,FALSE)</f>
        <v>-44</v>
      </c>
      <c r="AQ81" s="5" t="str">
        <f t="shared" si="34"/>
        <v>NAT +</v>
      </c>
    </row>
    <row r="82" spans="1:55" ht="21" hidden="1" x14ac:dyDescent="0.2">
      <c r="A82" s="12" t="s">
        <v>69</v>
      </c>
      <c r="B82" s="18" t="s">
        <v>71</v>
      </c>
      <c r="C82" s="19" t="s">
        <v>872</v>
      </c>
      <c r="D82" s="61">
        <v>6</v>
      </c>
      <c r="E82" s="35">
        <v>375907</v>
      </c>
      <c r="F82" s="20" t="s">
        <v>879</v>
      </c>
      <c r="G82" s="20" t="s">
        <v>263</v>
      </c>
      <c r="H82" s="51">
        <v>1985</v>
      </c>
      <c r="I82" s="30">
        <v>58</v>
      </c>
      <c r="J82" s="19" t="s">
        <v>880</v>
      </c>
      <c r="K82" s="34" t="s">
        <v>69</v>
      </c>
      <c r="L82" s="31">
        <v>55</v>
      </c>
      <c r="M82" s="31">
        <v>59</v>
      </c>
      <c r="N82" s="31">
        <v>63</v>
      </c>
      <c r="O82" s="36">
        <f t="shared" si="27"/>
        <v>63</v>
      </c>
      <c r="P82" s="31">
        <v>73</v>
      </c>
      <c r="Q82" s="31">
        <v>78</v>
      </c>
      <c r="R82" s="31">
        <v>83</v>
      </c>
      <c r="S82" s="36">
        <f t="shared" si="28"/>
        <v>83</v>
      </c>
      <c r="T82" s="37">
        <f t="shared" si="29"/>
        <v>146</v>
      </c>
      <c r="U82" s="65">
        <f t="shared" si="30"/>
        <v>30</v>
      </c>
      <c r="V82" s="41" t="str">
        <f t="shared" si="31"/>
        <v>NAT +</v>
      </c>
      <c r="W82" s="33">
        <f t="shared" si="32"/>
        <v>16</v>
      </c>
      <c r="X82" s="40" t="str">
        <f>IF(I82="","",IF(A82="H",IF(OR(H82="SEN",H82&lt;1995),VLOOKUP(I82,Feuil1!$A$11:$F$29,6),IF(AND(H82&gt;1994,H82&lt;1998),VLOOKUP(I82,Feuil1!$A$11:$F$29,5),IF(AND(H82&gt;1997,H82&lt;2000),VLOOKUP(I82,Feuil1!$A$11:$F$29,4),IF(AND(H82&gt;1999,H82&lt;2002),VLOOKUP(I82,Feuil1!$A$11:$F$29,3),VLOOKUP(I82,Feuil1!$A$11:$F$29,2))))),IF(OR(H82="SEN",H82&lt;1995),VLOOKUP(I82,Feuil1!$G$11:$L$25,6),IF(AND(H82&gt;1994,H82&lt;1998),VLOOKUP(I82,Feuil1!$G$11:$L$25,5),IF(AND(H82&gt;1997,H82&lt;2000),VLOOKUP(I82,Feuil1!$G$11:$L$25,4),IF(AND(H82&gt;1999,H82&lt;2002),VLOOKUP(I82,Feuil1!$G$11:$L$25,3),VLOOKUP(I82,Feuil1!$G$11:$L$25,2)))))))</f>
        <v>FS58</v>
      </c>
      <c r="Y82" s="39">
        <f t="shared" si="33"/>
        <v>205.5500001491404</v>
      </c>
      <c r="Z82" s="45"/>
      <c r="AA82" s="49" t="s">
        <v>12</v>
      </c>
      <c r="AB82" s="3">
        <f>T82-HLOOKUP(X82,Feuil1!$C$1:$BL$10,2,FALSE)</f>
        <v>76</v>
      </c>
      <c r="AC82" s="3">
        <f>T82-HLOOKUP(X82,Feuil1!$C$1:$BL$10,3,FALSE)</f>
        <v>66</v>
      </c>
      <c r="AD82" s="3">
        <f>T82-HLOOKUP(X82,Feuil1!$C$1:$BL$10,4,FALSE)</f>
        <v>56</v>
      </c>
      <c r="AE82" s="3">
        <f>T82-HLOOKUP(X82,Feuil1!$C$1:$BL$10,5,FALSE)</f>
        <v>46</v>
      </c>
      <c r="AF82" s="3">
        <f>T82-HLOOKUP(X82,Feuil1!$C$1:$BL$10,6,FALSE)</f>
        <v>31</v>
      </c>
      <c r="AG82" s="3">
        <f>T82-HLOOKUP(X82,Feuil1!$C$1:$BL$10,7,FALSE)</f>
        <v>16</v>
      </c>
      <c r="AH82" s="3">
        <f>T82-HLOOKUP(X82,Feuil1!$C$1:$BL$10,8,FALSE)</f>
        <v>-4</v>
      </c>
      <c r="AI82" s="3">
        <f>T82-HLOOKUP(X82,Feuil1!$C$1:$BL$10,9,FALSE)</f>
        <v>-24</v>
      </c>
      <c r="AJ82" s="3">
        <f>T82-HLOOKUP(X82,Feuil1!$C$1:$BL$10,10,FALSE)</f>
        <v>-44</v>
      </c>
      <c r="AQ82" s="5" t="str">
        <f t="shared" si="34"/>
        <v>NAT +</v>
      </c>
      <c r="BC82" s="13"/>
    </row>
    <row r="83" spans="1:55" s="13" customFormat="1" ht="21" hidden="1" x14ac:dyDescent="0.2">
      <c r="A83" s="12" t="s">
        <v>69</v>
      </c>
      <c r="B83" s="67" t="s">
        <v>721</v>
      </c>
      <c r="C83" s="68" t="s">
        <v>745</v>
      </c>
      <c r="D83" s="69">
        <v>7</v>
      </c>
      <c r="E83" s="70">
        <v>32998</v>
      </c>
      <c r="F83" s="71" t="s">
        <v>760</v>
      </c>
      <c r="G83" s="71" t="s">
        <v>547</v>
      </c>
      <c r="H83" s="72">
        <v>1988</v>
      </c>
      <c r="I83" s="73">
        <v>54.1</v>
      </c>
      <c r="J83" s="68" t="s">
        <v>761</v>
      </c>
      <c r="K83" s="74" t="s">
        <v>69</v>
      </c>
      <c r="L83" s="75">
        <v>55</v>
      </c>
      <c r="M83" s="75">
        <v>58</v>
      </c>
      <c r="N83" s="75">
        <v>61</v>
      </c>
      <c r="O83" s="76">
        <f t="shared" si="27"/>
        <v>61</v>
      </c>
      <c r="P83" s="75">
        <v>69</v>
      </c>
      <c r="Q83" s="75">
        <v>72</v>
      </c>
      <c r="R83" s="75">
        <v>75</v>
      </c>
      <c r="S83" s="76">
        <f t="shared" si="28"/>
        <v>75</v>
      </c>
      <c r="T83" s="77">
        <f t="shared" si="29"/>
        <v>136</v>
      </c>
      <c r="U83" s="78">
        <f t="shared" si="30"/>
        <v>27.799999999999997</v>
      </c>
      <c r="V83" s="79" t="str">
        <f t="shared" si="31"/>
        <v>NAT +</v>
      </c>
      <c r="W83" s="80">
        <f t="shared" si="32"/>
        <v>6</v>
      </c>
      <c r="X83" s="81" t="str">
        <f>IF(I83="","",IF(A83="H",IF(OR(H83="SEN",H83&lt;1995),VLOOKUP(I83,Feuil1!$A$11:$F$29,6),IF(AND(H83&gt;1994,H83&lt;1998),VLOOKUP(I83,Feuil1!$A$11:$F$29,5),IF(AND(H83&gt;1997,H83&lt;2000),VLOOKUP(I83,Feuil1!$A$11:$F$29,4),IF(AND(H83&gt;1999,H83&lt;2002),VLOOKUP(I83,Feuil1!$A$11:$F$29,3),VLOOKUP(I83,Feuil1!$A$11:$F$29,2))))),IF(OR(H83="SEN",H83&lt;1995),VLOOKUP(I83,Feuil1!$G$11:$L$25,6),IF(AND(H83&gt;1994,H83&lt;1998),VLOOKUP(I83,Feuil1!$G$11:$L$25,5),IF(AND(H83&gt;1997,H83&lt;2000),VLOOKUP(I83,Feuil1!$G$11:$L$25,4),IF(AND(H83&gt;1999,H83&lt;2002),VLOOKUP(I83,Feuil1!$G$11:$L$25,3),VLOOKUP(I83,Feuil1!$G$11:$L$25,2)))))))</f>
        <v>FS58</v>
      </c>
      <c r="Y83" s="39">
        <f t="shared" si="33"/>
        <v>201.83583719716808</v>
      </c>
      <c r="Z83" s="45"/>
      <c r="AA83" s="49" t="s">
        <v>12</v>
      </c>
      <c r="AB83" s="3">
        <f>T83-HLOOKUP(X83,Feuil1!$C$1:$BL$10,2,FALSE)</f>
        <v>66</v>
      </c>
      <c r="AC83" s="3">
        <f>T83-HLOOKUP(X83,Feuil1!$C$1:$BL$10,3,FALSE)</f>
        <v>56</v>
      </c>
      <c r="AD83" s="3">
        <f>T83-HLOOKUP(X83,Feuil1!$C$1:$BL$10,4,FALSE)</f>
        <v>46</v>
      </c>
      <c r="AE83" s="3">
        <f>T83-HLOOKUP(X83,Feuil1!$C$1:$BL$10,5,FALSE)</f>
        <v>36</v>
      </c>
      <c r="AF83" s="3">
        <f>T83-HLOOKUP(X83,Feuil1!$C$1:$BL$10,6,FALSE)</f>
        <v>21</v>
      </c>
      <c r="AG83" s="3">
        <f>T83-HLOOKUP(X83,Feuil1!$C$1:$BL$10,7,FALSE)</f>
        <v>6</v>
      </c>
      <c r="AH83" s="3">
        <f>T83-HLOOKUP(X83,Feuil1!$C$1:$BL$10,8,FALSE)</f>
        <v>-14</v>
      </c>
      <c r="AI83" s="3">
        <f>T83-HLOOKUP(X83,Feuil1!$C$1:$BL$10,9,FALSE)</f>
        <v>-34</v>
      </c>
      <c r="AJ83" s="3">
        <f>T83-HLOOKUP(X83,Feuil1!$C$1:$BL$10,10,FALSE)</f>
        <v>-54</v>
      </c>
      <c r="AK83" s="5"/>
      <c r="AL83" s="5"/>
      <c r="AM83" s="5"/>
      <c r="AN83" s="5"/>
      <c r="AO83" s="5"/>
      <c r="AP83" s="5"/>
      <c r="AQ83" s="5" t="str">
        <f t="shared" si="34"/>
        <v>NAT +</v>
      </c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</row>
    <row r="84" spans="1:55" ht="21" hidden="1" x14ac:dyDescent="0.2">
      <c r="A84" s="12" t="s">
        <v>69</v>
      </c>
      <c r="B84" s="18" t="s">
        <v>71</v>
      </c>
      <c r="C84" s="19" t="s">
        <v>801</v>
      </c>
      <c r="D84" s="61">
        <v>8</v>
      </c>
      <c r="E84" s="35">
        <v>377635</v>
      </c>
      <c r="F84" s="20" t="s">
        <v>848</v>
      </c>
      <c r="G84" s="20" t="s">
        <v>849</v>
      </c>
      <c r="H84" s="51">
        <v>1990</v>
      </c>
      <c r="I84" s="30">
        <v>58</v>
      </c>
      <c r="J84" s="19" t="s">
        <v>837</v>
      </c>
      <c r="K84" s="34" t="s">
        <v>69</v>
      </c>
      <c r="L84" s="31">
        <v>55</v>
      </c>
      <c r="M84" s="31">
        <v>58</v>
      </c>
      <c r="N84" s="31">
        <v>60</v>
      </c>
      <c r="O84" s="36">
        <f t="shared" si="27"/>
        <v>60</v>
      </c>
      <c r="P84" s="31">
        <v>70</v>
      </c>
      <c r="Q84" s="31">
        <v>75</v>
      </c>
      <c r="R84" s="31">
        <v>-77</v>
      </c>
      <c r="S84" s="36">
        <f t="shared" si="28"/>
        <v>75</v>
      </c>
      <c r="T84" s="37">
        <f t="shared" si="29"/>
        <v>135</v>
      </c>
      <c r="U84" s="65">
        <f t="shared" si="30"/>
        <v>19</v>
      </c>
      <c r="V84" s="41" t="str">
        <f t="shared" si="31"/>
        <v>NAT +</v>
      </c>
      <c r="W84" s="33">
        <f t="shared" si="32"/>
        <v>5</v>
      </c>
      <c r="X84" s="40" t="str">
        <f>IF(I84="","",IF(A84="H",IF(OR(H84="SEN",H84&lt;1995),VLOOKUP(I84,Feuil1!$A$11:$F$29,6),IF(AND(H84&gt;1994,H84&lt;1998),VLOOKUP(I84,Feuil1!$A$11:$F$29,5),IF(AND(H84&gt;1997,H84&lt;2000),VLOOKUP(I84,Feuil1!$A$11:$F$29,4),IF(AND(H84&gt;1999,H84&lt;2002),VLOOKUP(I84,Feuil1!$A$11:$F$29,3),VLOOKUP(I84,Feuil1!$A$11:$F$29,2))))),IF(OR(H84="SEN",H84&lt;1995),VLOOKUP(I84,Feuil1!$G$11:$L$25,6),IF(AND(H84&gt;1994,H84&lt;1998),VLOOKUP(I84,Feuil1!$G$11:$L$25,5),IF(AND(H84&gt;1997,H84&lt;2000),VLOOKUP(I84,Feuil1!$G$11:$L$25,4),IF(AND(H84&gt;1999,H84&lt;2002),VLOOKUP(I84,Feuil1!$G$11:$L$25,3),VLOOKUP(I84,Feuil1!$G$11:$L$25,2)))))))</f>
        <v>FS58</v>
      </c>
      <c r="Y84" s="39">
        <f t="shared" si="33"/>
        <v>190.06335630228736</v>
      </c>
      <c r="Z84" s="45"/>
      <c r="AA84" s="49" t="s">
        <v>12</v>
      </c>
      <c r="AB84" s="3">
        <f>T84-HLOOKUP(X84,Feuil1!$C$1:$BL$10,2,FALSE)</f>
        <v>65</v>
      </c>
      <c r="AC84" s="3">
        <f>T84-HLOOKUP(X84,Feuil1!$C$1:$BL$10,3,FALSE)</f>
        <v>55</v>
      </c>
      <c r="AD84" s="3">
        <f>T84-HLOOKUP(X84,Feuil1!$C$1:$BL$10,4,FALSE)</f>
        <v>45</v>
      </c>
      <c r="AE84" s="3">
        <f>T84-HLOOKUP(X84,Feuil1!$C$1:$BL$10,5,FALSE)</f>
        <v>35</v>
      </c>
      <c r="AF84" s="3">
        <f>T84-HLOOKUP(X84,Feuil1!$C$1:$BL$10,6,FALSE)</f>
        <v>20</v>
      </c>
      <c r="AG84" s="3">
        <f>T84-HLOOKUP(X84,Feuil1!$C$1:$BL$10,7,FALSE)</f>
        <v>5</v>
      </c>
      <c r="AH84" s="3">
        <f>T84-HLOOKUP(X84,Feuil1!$C$1:$BL$10,8,FALSE)</f>
        <v>-15</v>
      </c>
      <c r="AI84" s="3">
        <f>T84-HLOOKUP(X84,Feuil1!$C$1:$BL$10,9,FALSE)</f>
        <v>-35</v>
      </c>
      <c r="AJ84" s="3">
        <f>T84-HLOOKUP(X84,Feuil1!$C$1:$BL$10,10,FALSE)</f>
        <v>-55</v>
      </c>
      <c r="AQ84" s="5" t="str">
        <f t="shared" si="34"/>
        <v>NAT +</v>
      </c>
      <c r="BC84" s="13"/>
    </row>
    <row r="85" spans="1:55" ht="21" hidden="1" x14ac:dyDescent="0.2">
      <c r="A85" s="12" t="s">
        <v>69</v>
      </c>
      <c r="B85" s="18" t="s">
        <v>688</v>
      </c>
      <c r="C85" s="19" t="s">
        <v>689</v>
      </c>
      <c r="D85" s="61">
        <v>9</v>
      </c>
      <c r="E85" s="35">
        <v>66154</v>
      </c>
      <c r="F85" s="21" t="s">
        <v>713</v>
      </c>
      <c r="G85" s="20" t="s">
        <v>714</v>
      </c>
      <c r="H85" s="51">
        <v>1974</v>
      </c>
      <c r="I85" s="30">
        <v>56.4</v>
      </c>
      <c r="J85" s="19" t="s">
        <v>710</v>
      </c>
      <c r="K85" s="34" t="s">
        <v>69</v>
      </c>
      <c r="L85" s="31">
        <v>56</v>
      </c>
      <c r="M85" s="31">
        <v>59</v>
      </c>
      <c r="N85" s="31">
        <v>61</v>
      </c>
      <c r="O85" s="36">
        <f t="shared" si="27"/>
        <v>61</v>
      </c>
      <c r="P85" s="31">
        <v>68</v>
      </c>
      <c r="Q85" s="31">
        <v>71</v>
      </c>
      <c r="R85" s="31">
        <v>73</v>
      </c>
      <c r="S85" s="36">
        <f t="shared" si="28"/>
        <v>73</v>
      </c>
      <c r="T85" s="37">
        <f t="shared" si="29"/>
        <v>134</v>
      </c>
      <c r="U85" s="65">
        <f t="shared" si="30"/>
        <v>21.200000000000003</v>
      </c>
      <c r="V85" s="41" t="str">
        <f t="shared" si="31"/>
        <v>NAT +</v>
      </c>
      <c r="W85" s="33">
        <f t="shared" si="32"/>
        <v>4</v>
      </c>
      <c r="X85" s="40" t="str">
        <f>IF(I85="","",IF(A85="H",IF(OR(H85="SEN",H85&lt;1995),VLOOKUP(I85,Feuil1!$A$11:$F$29,6),IF(AND(H85&gt;1994,H85&lt;1998),VLOOKUP(I85,Feuil1!$A$11:$F$29,5),IF(AND(H85&gt;1997,H85&lt;2000),VLOOKUP(I85,Feuil1!$A$11:$F$29,4),IF(AND(H85&gt;1999,H85&lt;2002),VLOOKUP(I85,Feuil1!$A$11:$F$29,3),VLOOKUP(I85,Feuil1!$A$11:$F$29,2))))),IF(OR(H85="SEN",H85&lt;1995),VLOOKUP(I85,Feuil1!$G$11:$L$25,6),IF(AND(H85&gt;1994,H85&lt;1998),VLOOKUP(I85,Feuil1!$G$11:$L$25,5),IF(AND(H85&gt;1997,H85&lt;2000),VLOOKUP(I85,Feuil1!$G$11:$L$25,4),IF(AND(H85&gt;1999,H85&lt;2002),VLOOKUP(I85,Feuil1!$G$11:$L$25,3),VLOOKUP(I85,Feuil1!$G$11:$L$25,2)))))))</f>
        <v>FS58</v>
      </c>
      <c r="Y85" s="39">
        <f t="shared" si="33"/>
        <v>192.60744986489692</v>
      </c>
      <c r="Z85" s="45"/>
      <c r="AA85" s="49" t="s">
        <v>12</v>
      </c>
      <c r="AB85" s="3">
        <f>T85-HLOOKUP(X85,Feuil1!$C$1:$BL$10,2,FALSE)</f>
        <v>64</v>
      </c>
      <c r="AC85" s="3">
        <f>T85-HLOOKUP(X85,Feuil1!$C$1:$BL$10,3,FALSE)</f>
        <v>54</v>
      </c>
      <c r="AD85" s="3">
        <f>T85-HLOOKUP(X85,Feuil1!$C$1:$BL$10,4,FALSE)</f>
        <v>44</v>
      </c>
      <c r="AE85" s="3">
        <f>T85-HLOOKUP(X85,Feuil1!$C$1:$BL$10,5,FALSE)</f>
        <v>34</v>
      </c>
      <c r="AF85" s="3">
        <f>T85-HLOOKUP(X85,Feuil1!$C$1:$BL$10,6,FALSE)</f>
        <v>19</v>
      </c>
      <c r="AG85" s="3">
        <f>T85-HLOOKUP(X85,Feuil1!$C$1:$BL$10,7,FALSE)</f>
        <v>4</v>
      </c>
      <c r="AH85" s="3">
        <f>T85-HLOOKUP(X85,Feuil1!$C$1:$BL$10,8,FALSE)</f>
        <v>-16</v>
      </c>
      <c r="AI85" s="3">
        <f>T85-HLOOKUP(X85,Feuil1!$C$1:$BL$10,9,FALSE)</f>
        <v>-36</v>
      </c>
      <c r="AJ85" s="3">
        <f>T85-HLOOKUP(X85,Feuil1!$C$1:$BL$10,10,FALSE)</f>
        <v>-56</v>
      </c>
      <c r="AQ85" s="5" t="str">
        <f t="shared" si="34"/>
        <v>NAT +</v>
      </c>
      <c r="BC85" s="13"/>
    </row>
    <row r="86" spans="1:55" ht="21" hidden="1" x14ac:dyDescent="0.2">
      <c r="A86" s="12" t="s">
        <v>69</v>
      </c>
      <c r="B86" s="18" t="s">
        <v>536</v>
      </c>
      <c r="C86" s="19" t="s">
        <v>545</v>
      </c>
      <c r="D86" s="61">
        <v>10</v>
      </c>
      <c r="E86" s="35">
        <v>326408</v>
      </c>
      <c r="F86" s="20" t="s">
        <v>586</v>
      </c>
      <c r="G86" s="20" t="s">
        <v>486</v>
      </c>
      <c r="H86" s="51">
        <v>1993</v>
      </c>
      <c r="I86" s="30">
        <v>56.5</v>
      </c>
      <c r="J86" s="19" t="s">
        <v>548</v>
      </c>
      <c r="K86" s="34" t="s">
        <v>69</v>
      </c>
      <c r="L86" s="31">
        <v>56</v>
      </c>
      <c r="M86" s="31">
        <v>59</v>
      </c>
      <c r="N86" s="31">
        <v>-61</v>
      </c>
      <c r="O86" s="36">
        <f t="shared" si="27"/>
        <v>59</v>
      </c>
      <c r="P86" s="31">
        <v>70</v>
      </c>
      <c r="Q86" s="31">
        <v>73</v>
      </c>
      <c r="R86" s="31">
        <v>75</v>
      </c>
      <c r="S86" s="36">
        <f t="shared" si="28"/>
        <v>75</v>
      </c>
      <c r="T86" s="37">
        <f t="shared" si="29"/>
        <v>134</v>
      </c>
      <c r="U86" s="65">
        <f t="shared" si="30"/>
        <v>21</v>
      </c>
      <c r="V86" s="41" t="str">
        <f t="shared" si="31"/>
        <v>NAT +</v>
      </c>
      <c r="W86" s="33">
        <f t="shared" si="32"/>
        <v>4</v>
      </c>
      <c r="X86" s="40" t="str">
        <f>IF(I86="","",IF(A86="H",IF(OR(H86="SEN",H86&lt;1995),VLOOKUP(I86,Feuil1!$A$11:$F$29,6),IF(AND(H86&gt;1994,H86&lt;1998),VLOOKUP(I86,Feuil1!$A$11:$F$29,5),IF(AND(H86&gt;1997,H86&lt;2000),VLOOKUP(I86,Feuil1!$A$11:$F$29,4),IF(AND(H86&gt;1999,H86&lt;2002),VLOOKUP(I86,Feuil1!$A$11:$F$29,3),VLOOKUP(I86,Feuil1!$A$11:$F$29,2))))),IF(OR(H86="SEN",H86&lt;1995),VLOOKUP(I86,Feuil1!$G$11:$L$25,6),IF(AND(H86&gt;1994,H86&lt;1998),VLOOKUP(I86,Feuil1!$G$11:$L$25,5),IF(AND(H86&gt;1997,H86&lt;2000),VLOOKUP(I86,Feuil1!$G$11:$L$25,4),IF(AND(H86&gt;1999,H86&lt;2002),VLOOKUP(I86,Feuil1!$G$11:$L$25,3),VLOOKUP(I86,Feuil1!$G$11:$L$25,2)))))))</f>
        <v>FS58</v>
      </c>
      <c r="Y86" s="39">
        <f t="shared" si="33"/>
        <v>192.35126990227536</v>
      </c>
      <c r="Z86" s="45"/>
      <c r="AA86" s="49" t="s">
        <v>12</v>
      </c>
      <c r="AB86" s="3">
        <f>T86-HLOOKUP(X86,Feuil1!$C$1:$BL$10,2,FALSE)</f>
        <v>64</v>
      </c>
      <c r="AC86" s="3">
        <f>T86-HLOOKUP(X86,Feuil1!$C$1:$BL$10,3,FALSE)</f>
        <v>54</v>
      </c>
      <c r="AD86" s="3">
        <f>T86-HLOOKUP(X86,Feuil1!$C$1:$BL$10,4,FALSE)</f>
        <v>44</v>
      </c>
      <c r="AE86" s="3">
        <f>T86-HLOOKUP(X86,Feuil1!$C$1:$BL$10,5,FALSE)</f>
        <v>34</v>
      </c>
      <c r="AF86" s="3">
        <f>T86-HLOOKUP(X86,Feuil1!$C$1:$BL$10,6,FALSE)</f>
        <v>19</v>
      </c>
      <c r="AG86" s="3">
        <f>T86-HLOOKUP(X86,Feuil1!$C$1:$BL$10,7,FALSE)</f>
        <v>4</v>
      </c>
      <c r="AH86" s="3">
        <f>T86-HLOOKUP(X86,Feuil1!$C$1:$BL$10,8,FALSE)</f>
        <v>-16</v>
      </c>
      <c r="AI86" s="3">
        <f>T86-HLOOKUP(X86,Feuil1!$C$1:$BL$10,9,FALSE)</f>
        <v>-36</v>
      </c>
      <c r="AJ86" s="3">
        <f>T86-HLOOKUP(X86,Feuil1!$C$1:$BL$10,10,FALSE)</f>
        <v>-56</v>
      </c>
      <c r="AQ86" s="5" t="str">
        <f t="shared" si="34"/>
        <v>NAT +</v>
      </c>
      <c r="BC86" s="13"/>
    </row>
    <row r="87" spans="1:55" ht="21" hidden="1" x14ac:dyDescent="0.2">
      <c r="A87" s="12" t="s">
        <v>69</v>
      </c>
      <c r="B87" s="18" t="s">
        <v>71</v>
      </c>
      <c r="C87" s="19" t="s">
        <v>72</v>
      </c>
      <c r="D87" s="61">
        <v>11</v>
      </c>
      <c r="E87" s="35">
        <v>372599</v>
      </c>
      <c r="F87" s="20" t="s">
        <v>967</v>
      </c>
      <c r="G87" s="20" t="s">
        <v>524</v>
      </c>
      <c r="H87" s="58">
        <v>1991</v>
      </c>
      <c r="I87" s="30">
        <v>57.11</v>
      </c>
      <c r="J87" s="19" t="s">
        <v>921</v>
      </c>
      <c r="K87" s="34" t="s">
        <v>69</v>
      </c>
      <c r="L87" s="31">
        <v>54</v>
      </c>
      <c r="M87" s="31">
        <v>-58</v>
      </c>
      <c r="N87" s="31">
        <v>58</v>
      </c>
      <c r="O87" s="36">
        <f t="shared" si="27"/>
        <v>58</v>
      </c>
      <c r="P87" s="31">
        <v>72</v>
      </c>
      <c r="Q87" s="31">
        <v>76</v>
      </c>
      <c r="R87" s="31">
        <v>-78</v>
      </c>
      <c r="S87" s="36">
        <f t="shared" si="28"/>
        <v>76</v>
      </c>
      <c r="T87" s="37">
        <f t="shared" si="29"/>
        <v>134</v>
      </c>
      <c r="U87" s="65">
        <f t="shared" si="30"/>
        <v>19.78</v>
      </c>
      <c r="V87" s="32" t="str">
        <f t="shared" si="31"/>
        <v>NAT +</v>
      </c>
      <c r="W87" s="33">
        <f t="shared" si="32"/>
        <v>4</v>
      </c>
      <c r="X87" s="40" t="str">
        <f>IF(I87="","",IF(A87="H",IF(OR(H87="SEN",H87&lt;1995),VLOOKUP(I87,Feuil1!$A$11:$F$29,6),IF(AND(H87&gt;1994,H87&lt;1998),VLOOKUP(I87,Feuil1!$A$11:$F$29,5),IF(AND(H87&gt;1997,H87&lt;2000),VLOOKUP(I87,Feuil1!$A$11:$F$29,4),IF(AND(H87&gt;1999,H87&lt;2002),VLOOKUP(I87,Feuil1!$A$11:$F$29,3),VLOOKUP(I87,Feuil1!$A$11:$F$29,2))))),IF(OR(H87="SEN",H87&lt;1995),VLOOKUP(I87,Feuil1!$G$11:$L$25,6),IF(AND(H87&gt;1994,H87&lt;1998),VLOOKUP(I87,Feuil1!$G$11:$L$25,5),IF(AND(H87&gt;1997,H87&lt;2000),VLOOKUP(I87,Feuil1!$G$11:$L$25,4),IF(AND(H87&gt;1999,H87&lt;2002),VLOOKUP(I87,Feuil1!$G$11:$L$25,3),VLOOKUP(I87,Feuil1!$G$11:$L$25,2)))))))</f>
        <v>FS58</v>
      </c>
      <c r="Y87" s="39">
        <f t="shared" si="33"/>
        <v>190.815589325708</v>
      </c>
      <c r="Z87" s="45"/>
      <c r="AA87" s="49" t="s">
        <v>12</v>
      </c>
      <c r="AB87" s="3">
        <f>T87-HLOOKUP(X87,Feuil1!$C$1:$BL$10,2,FALSE)</f>
        <v>64</v>
      </c>
      <c r="AC87" s="3">
        <f>T87-HLOOKUP(X87,Feuil1!$C$1:$BL$10,3,FALSE)</f>
        <v>54</v>
      </c>
      <c r="AD87" s="3">
        <f>T87-HLOOKUP(X87,Feuil1!$C$1:$BL$10,4,FALSE)</f>
        <v>44</v>
      </c>
      <c r="AE87" s="3">
        <f>T87-HLOOKUP(X87,Feuil1!$C$1:$BL$10,5,FALSE)</f>
        <v>34</v>
      </c>
      <c r="AF87" s="3">
        <f>T87-HLOOKUP(X87,Feuil1!$C$1:$BL$10,6,FALSE)</f>
        <v>19</v>
      </c>
      <c r="AG87" s="3">
        <f>T87-HLOOKUP(X87,Feuil1!$C$1:$BL$10,7,FALSE)</f>
        <v>4</v>
      </c>
      <c r="AH87" s="3">
        <f>T87-HLOOKUP(X87,Feuil1!$C$1:$BL$10,8,FALSE)</f>
        <v>-16</v>
      </c>
      <c r="AI87" s="3">
        <f>T87-HLOOKUP(X87,Feuil1!$C$1:$BL$10,9,FALSE)</f>
        <v>-36</v>
      </c>
      <c r="AJ87" s="3">
        <f>T87-HLOOKUP(X87,Feuil1!$C$1:$BL$10,10,FALSE)</f>
        <v>-56</v>
      </c>
      <c r="AQ87" s="5" t="str">
        <f t="shared" si="34"/>
        <v>NAT +</v>
      </c>
    </row>
    <row r="88" spans="1:55" ht="21" hidden="1" x14ac:dyDescent="0.2">
      <c r="A88" s="12" t="s">
        <v>69</v>
      </c>
      <c r="B88" s="18" t="s">
        <v>71</v>
      </c>
      <c r="C88" s="19" t="s">
        <v>883</v>
      </c>
      <c r="D88" s="61">
        <v>12</v>
      </c>
      <c r="E88" s="35">
        <v>139713</v>
      </c>
      <c r="F88" s="20" t="s">
        <v>897</v>
      </c>
      <c r="G88" s="20" t="s">
        <v>898</v>
      </c>
      <c r="H88" s="51">
        <v>1976</v>
      </c>
      <c r="I88" s="30">
        <v>56.3</v>
      </c>
      <c r="J88" s="19" t="s">
        <v>886</v>
      </c>
      <c r="K88" s="34" t="s">
        <v>69</v>
      </c>
      <c r="L88" s="31">
        <v>55</v>
      </c>
      <c r="M88" s="31">
        <v>59</v>
      </c>
      <c r="N88" s="31">
        <v>61</v>
      </c>
      <c r="O88" s="36">
        <f t="shared" si="27"/>
        <v>61</v>
      </c>
      <c r="P88" s="31">
        <v>65</v>
      </c>
      <c r="Q88" s="31">
        <v>70</v>
      </c>
      <c r="R88" s="31">
        <v>72</v>
      </c>
      <c r="S88" s="36">
        <f t="shared" si="28"/>
        <v>72</v>
      </c>
      <c r="T88" s="37">
        <f t="shared" si="29"/>
        <v>133</v>
      </c>
      <c r="U88" s="65">
        <f t="shared" si="30"/>
        <v>20.400000000000006</v>
      </c>
      <c r="V88" s="32" t="str">
        <f t="shared" si="31"/>
        <v>NAT +</v>
      </c>
      <c r="W88" s="33">
        <f t="shared" si="32"/>
        <v>3</v>
      </c>
      <c r="X88" s="40" t="str">
        <f>IF(I88="","",IF(A88="H",IF(OR(H88="SEN",H88&lt;1995),VLOOKUP(I88,Feuil1!$A$11:$F$29,6),IF(AND(H88&gt;1994,H88&lt;1998),VLOOKUP(I88,Feuil1!$A$11:$F$29,5),IF(AND(H88&gt;1997,H88&lt;2000),VLOOKUP(I88,Feuil1!$A$11:$F$29,4),IF(AND(H88&gt;1999,H88&lt;2002),VLOOKUP(I88,Feuil1!$A$11:$F$29,3),VLOOKUP(I88,Feuil1!$A$11:$F$29,2))))),IF(OR(H88="SEN",H88&lt;1995),VLOOKUP(I88,Feuil1!$G$11:$L$25,6),IF(AND(H88&gt;1994,H88&lt;1998),VLOOKUP(I88,Feuil1!$G$11:$L$25,5),IF(AND(H88&gt;1997,H88&lt;2000),VLOOKUP(I88,Feuil1!$G$11:$L$25,4),IF(AND(H88&gt;1999,H88&lt;2002),VLOOKUP(I88,Feuil1!$G$11:$L$25,3),VLOOKUP(I88,Feuil1!$G$11:$L$25,2)))))))</f>
        <v>FS58</v>
      </c>
      <c r="Y88" s="39">
        <f t="shared" si="33"/>
        <v>191.42560920181697</v>
      </c>
      <c r="Z88" s="45"/>
      <c r="AA88" s="49" t="s">
        <v>12</v>
      </c>
      <c r="AB88" s="3">
        <f>T88-HLOOKUP(X88,Feuil1!$C$1:$BL$10,2,FALSE)</f>
        <v>63</v>
      </c>
      <c r="AC88" s="3">
        <f>T88-HLOOKUP(X88,Feuil1!$C$1:$BL$10,3,FALSE)</f>
        <v>53</v>
      </c>
      <c r="AD88" s="3">
        <f>T88-HLOOKUP(X88,Feuil1!$C$1:$BL$10,4,FALSE)</f>
        <v>43</v>
      </c>
      <c r="AE88" s="3">
        <f>T88-HLOOKUP(X88,Feuil1!$C$1:$BL$10,5,FALSE)</f>
        <v>33</v>
      </c>
      <c r="AF88" s="3">
        <f>T88-HLOOKUP(X88,Feuil1!$C$1:$BL$10,6,FALSE)</f>
        <v>18</v>
      </c>
      <c r="AG88" s="3">
        <f>T88-HLOOKUP(X88,Feuil1!$C$1:$BL$10,7,FALSE)</f>
        <v>3</v>
      </c>
      <c r="AH88" s="3">
        <f>T88-HLOOKUP(X88,Feuil1!$C$1:$BL$10,8,FALSE)</f>
        <v>-17</v>
      </c>
      <c r="AI88" s="3">
        <f>T88-HLOOKUP(X88,Feuil1!$C$1:$BL$10,9,FALSE)</f>
        <v>-37</v>
      </c>
      <c r="AJ88" s="3">
        <f>T88-HLOOKUP(X88,Feuil1!$C$1:$BL$10,10,FALSE)</f>
        <v>-57</v>
      </c>
      <c r="AQ88" s="5" t="str">
        <f t="shared" si="34"/>
        <v>NAT +</v>
      </c>
    </row>
    <row r="89" spans="1:55" ht="21" hidden="1" x14ac:dyDescent="0.2">
      <c r="A89" s="12" t="s">
        <v>69</v>
      </c>
      <c r="B89" s="18" t="s">
        <v>108</v>
      </c>
      <c r="C89" s="19" t="s">
        <v>264</v>
      </c>
      <c r="D89" s="61">
        <v>13</v>
      </c>
      <c r="E89" s="35">
        <v>34097</v>
      </c>
      <c r="F89" s="20" t="s">
        <v>279</v>
      </c>
      <c r="G89" s="20" t="s">
        <v>280</v>
      </c>
      <c r="H89" s="51">
        <v>1986</v>
      </c>
      <c r="I89" s="30">
        <v>57.3</v>
      </c>
      <c r="J89" s="19" t="s">
        <v>267</v>
      </c>
      <c r="K89" s="34" t="s">
        <v>69</v>
      </c>
      <c r="L89" s="31">
        <v>57</v>
      </c>
      <c r="M89" s="31">
        <v>59</v>
      </c>
      <c r="N89" s="31">
        <v>60</v>
      </c>
      <c r="O89" s="36">
        <f t="shared" si="27"/>
        <v>60</v>
      </c>
      <c r="P89" s="31">
        <v>70</v>
      </c>
      <c r="Q89" s="31">
        <v>72</v>
      </c>
      <c r="R89" s="31" t="s">
        <v>134</v>
      </c>
      <c r="S89" s="36">
        <f t="shared" si="28"/>
        <v>72</v>
      </c>
      <c r="T89" s="37">
        <f t="shared" si="29"/>
        <v>132</v>
      </c>
      <c r="U89" s="65">
        <f t="shared" si="30"/>
        <v>17.400000000000006</v>
      </c>
      <c r="V89" s="41" t="str">
        <f t="shared" si="31"/>
        <v>NAT +</v>
      </c>
      <c r="W89" s="33">
        <f t="shared" si="32"/>
        <v>2</v>
      </c>
      <c r="X89" s="40" t="str">
        <f>IF(I89="","",IF(A89="H",IF(OR(H89="SEN",H89&lt;1995),VLOOKUP(I89,Feuil1!$A$11:$F$29,6),IF(AND(H89&gt;1994,H89&lt;1998),VLOOKUP(I89,Feuil1!$A$11:$F$29,5),IF(AND(H89&gt;1997,H89&lt;2000),VLOOKUP(I89,Feuil1!$A$11:$F$29,4),IF(AND(H89&gt;1999,H89&lt;2002),VLOOKUP(I89,Feuil1!$A$11:$F$29,3),VLOOKUP(I89,Feuil1!$A$11:$F$29,2))))),IF(OR(H89="SEN",H89&lt;1995),VLOOKUP(I89,Feuil1!$G$11:$L$25,6),IF(AND(H89&gt;1994,H89&lt;1998),VLOOKUP(I89,Feuil1!$G$11:$L$25,5),IF(AND(H89&gt;1997,H89&lt;2000),VLOOKUP(I89,Feuil1!$G$11:$L$25,4),IF(AND(H89&gt;1999,H89&lt;2002),VLOOKUP(I89,Feuil1!$G$11:$L$25,3),VLOOKUP(I89,Feuil1!$G$11:$L$25,2)))))))</f>
        <v>FS58</v>
      </c>
      <c r="Y89" s="39">
        <f t="shared" si="33"/>
        <v>187.50556873405543</v>
      </c>
      <c r="Z89" s="45"/>
      <c r="AA89" s="49" t="s">
        <v>12</v>
      </c>
      <c r="AB89" s="3">
        <f>T89-HLOOKUP(X89,Feuil1!$C$1:$BL$10,2,FALSE)</f>
        <v>62</v>
      </c>
      <c r="AC89" s="3">
        <f>T89-HLOOKUP(X89,Feuil1!$C$1:$BL$10,3,FALSE)</f>
        <v>52</v>
      </c>
      <c r="AD89" s="3">
        <f>T89-HLOOKUP(X89,Feuil1!$C$1:$BL$10,4,FALSE)</f>
        <v>42</v>
      </c>
      <c r="AE89" s="3">
        <f>T89-HLOOKUP(X89,Feuil1!$C$1:$BL$10,5,FALSE)</f>
        <v>32</v>
      </c>
      <c r="AF89" s="3">
        <f>T89-HLOOKUP(X89,Feuil1!$C$1:$BL$10,6,FALSE)</f>
        <v>17</v>
      </c>
      <c r="AG89" s="3">
        <f>T89-HLOOKUP(X89,Feuil1!$C$1:$BL$10,7,FALSE)</f>
        <v>2</v>
      </c>
      <c r="AH89" s="3">
        <f>T89-HLOOKUP(X89,Feuil1!$C$1:$BL$10,8,FALSE)</f>
        <v>-18</v>
      </c>
      <c r="AI89" s="3">
        <f>T89-HLOOKUP(X89,Feuil1!$C$1:$BL$10,9,FALSE)</f>
        <v>-38</v>
      </c>
      <c r="AJ89" s="3">
        <f>T89-HLOOKUP(X89,Feuil1!$C$1:$BL$10,10,FALSE)</f>
        <v>-58</v>
      </c>
      <c r="AQ89" s="5" t="str">
        <f t="shared" si="34"/>
        <v>NAT +</v>
      </c>
    </row>
    <row r="90" spans="1:55" ht="21" hidden="1" x14ac:dyDescent="0.2">
      <c r="A90" s="12" t="s">
        <v>69</v>
      </c>
      <c r="B90" s="18" t="s">
        <v>71</v>
      </c>
      <c r="C90" s="19" t="s">
        <v>883</v>
      </c>
      <c r="D90" s="61">
        <v>14</v>
      </c>
      <c r="E90" s="35">
        <v>112257</v>
      </c>
      <c r="F90" s="20" t="s">
        <v>899</v>
      </c>
      <c r="G90" s="20" t="s">
        <v>900</v>
      </c>
      <c r="H90" s="51">
        <v>1985</v>
      </c>
      <c r="I90" s="30">
        <v>57.5</v>
      </c>
      <c r="J90" s="19" t="s">
        <v>891</v>
      </c>
      <c r="K90" s="34" t="s">
        <v>69</v>
      </c>
      <c r="L90" s="31">
        <v>51</v>
      </c>
      <c r="M90" s="31">
        <v>55</v>
      </c>
      <c r="N90" s="31">
        <v>-57</v>
      </c>
      <c r="O90" s="36">
        <f t="shared" si="27"/>
        <v>55</v>
      </c>
      <c r="P90" s="31">
        <v>70</v>
      </c>
      <c r="Q90" s="31">
        <v>75</v>
      </c>
      <c r="R90" s="31">
        <v>-78</v>
      </c>
      <c r="S90" s="36">
        <f t="shared" si="28"/>
        <v>75</v>
      </c>
      <c r="T90" s="37">
        <f t="shared" si="29"/>
        <v>130</v>
      </c>
      <c r="U90" s="65">
        <f t="shared" si="30"/>
        <v>15</v>
      </c>
      <c r="V90" s="32" t="str">
        <f t="shared" si="31"/>
        <v>NAT +</v>
      </c>
      <c r="W90" s="33">
        <f t="shared" si="32"/>
        <v>0</v>
      </c>
      <c r="X90" s="40" t="str">
        <f>IF(I90="","",IF(A90="H",IF(OR(H90="SEN",H90&lt;1995),VLOOKUP(I90,Feuil1!$A$11:$F$29,6),IF(AND(H90&gt;1994,H90&lt;1998),VLOOKUP(I90,Feuil1!$A$11:$F$29,5),IF(AND(H90&gt;1997,H90&lt;2000),VLOOKUP(I90,Feuil1!$A$11:$F$29,4),IF(AND(H90&gt;1999,H90&lt;2002),VLOOKUP(I90,Feuil1!$A$11:$F$29,3),VLOOKUP(I90,Feuil1!$A$11:$F$29,2))))),IF(OR(H90="SEN",H90&lt;1995),VLOOKUP(I90,Feuil1!$G$11:$L$25,6),IF(AND(H90&gt;1994,H90&lt;1998),VLOOKUP(I90,Feuil1!$G$11:$L$25,5),IF(AND(H90&gt;1997,H90&lt;2000),VLOOKUP(I90,Feuil1!$G$11:$L$25,4),IF(AND(H90&gt;1999,H90&lt;2002),VLOOKUP(I90,Feuil1!$G$11:$L$25,3),VLOOKUP(I90,Feuil1!$G$11:$L$25,2)))))))</f>
        <v>FS58</v>
      </c>
      <c r="Y90" s="39">
        <f t="shared" si="33"/>
        <v>184.19013139304164</v>
      </c>
      <c r="Z90" s="45"/>
      <c r="AA90" s="49" t="s">
        <v>12</v>
      </c>
      <c r="AB90" s="3">
        <f>T90-HLOOKUP(X90,Feuil1!$C$1:$BL$10,2,FALSE)</f>
        <v>60</v>
      </c>
      <c r="AC90" s="3">
        <f>T90-HLOOKUP(X90,Feuil1!$C$1:$BL$10,3,FALSE)</f>
        <v>50</v>
      </c>
      <c r="AD90" s="3">
        <f>T90-HLOOKUP(X90,Feuil1!$C$1:$BL$10,4,FALSE)</f>
        <v>40</v>
      </c>
      <c r="AE90" s="3">
        <f>T90-HLOOKUP(X90,Feuil1!$C$1:$BL$10,5,FALSE)</f>
        <v>30</v>
      </c>
      <c r="AF90" s="3">
        <f>T90-HLOOKUP(X90,Feuil1!$C$1:$BL$10,6,FALSE)</f>
        <v>15</v>
      </c>
      <c r="AG90" s="3">
        <f>T90-HLOOKUP(X90,Feuil1!$C$1:$BL$10,7,FALSE)</f>
        <v>0</v>
      </c>
      <c r="AH90" s="3">
        <f>T90-HLOOKUP(X90,Feuil1!$C$1:$BL$10,8,FALSE)</f>
        <v>-20</v>
      </c>
      <c r="AI90" s="3">
        <f>T90-HLOOKUP(X90,Feuil1!$C$1:$BL$10,9,FALSE)</f>
        <v>-40</v>
      </c>
      <c r="AJ90" s="3">
        <f>T90-HLOOKUP(X90,Feuil1!$C$1:$BL$10,10,FALSE)</f>
        <v>-60</v>
      </c>
      <c r="AQ90" s="5" t="str">
        <f t="shared" si="34"/>
        <v>NAT +</v>
      </c>
    </row>
    <row r="91" spans="1:55" ht="21" hidden="1" x14ac:dyDescent="0.2">
      <c r="A91" s="12" t="s">
        <v>69</v>
      </c>
      <c r="B91" s="67" t="s">
        <v>108</v>
      </c>
      <c r="C91" s="68" t="s">
        <v>119</v>
      </c>
      <c r="D91" s="69">
        <v>15</v>
      </c>
      <c r="E91" s="70">
        <v>88574</v>
      </c>
      <c r="F91" s="71" t="s">
        <v>198</v>
      </c>
      <c r="G91" s="71" t="s">
        <v>680</v>
      </c>
      <c r="H91" s="72">
        <v>1988</v>
      </c>
      <c r="I91" s="73">
        <v>54.4</v>
      </c>
      <c r="J91" s="68" t="s">
        <v>138</v>
      </c>
      <c r="K91" s="74" t="s">
        <v>69</v>
      </c>
      <c r="L91" s="75">
        <v>53</v>
      </c>
      <c r="M91" s="75">
        <v>56</v>
      </c>
      <c r="N91" s="75">
        <v>-59</v>
      </c>
      <c r="O91" s="76">
        <f t="shared" si="27"/>
        <v>56</v>
      </c>
      <c r="P91" s="75">
        <v>68</v>
      </c>
      <c r="Q91" s="75">
        <v>72</v>
      </c>
      <c r="R91" s="75">
        <v>-74</v>
      </c>
      <c r="S91" s="76">
        <f t="shared" si="28"/>
        <v>72</v>
      </c>
      <c r="T91" s="77">
        <f t="shared" si="29"/>
        <v>128</v>
      </c>
      <c r="U91" s="78">
        <f t="shared" si="30"/>
        <v>19.200000000000003</v>
      </c>
      <c r="V91" s="79" t="str">
        <f t="shared" si="31"/>
        <v>FED +</v>
      </c>
      <c r="W91" s="80">
        <f t="shared" si="32"/>
        <v>13</v>
      </c>
      <c r="X91" s="81" t="str">
        <f>IF(I91="","",IF(A91="H",IF(OR(H91="SEN",H91&lt;1995),VLOOKUP(I91,Feuil1!$A$11:$F$29,6),IF(AND(H91&gt;1994,H91&lt;1998),VLOOKUP(I91,Feuil1!$A$11:$F$29,5),IF(AND(H91&gt;1997,H91&lt;2000),VLOOKUP(I91,Feuil1!$A$11:$F$29,4),IF(AND(H91&gt;1999,H91&lt;2002),VLOOKUP(I91,Feuil1!$A$11:$F$29,3),VLOOKUP(I91,Feuil1!$A$11:$F$29,2))))),IF(OR(H91="SEN",H91&lt;1995),VLOOKUP(I91,Feuil1!$G$11:$L$25,6),IF(AND(H91&gt;1994,H91&lt;1998),VLOOKUP(I91,Feuil1!$G$11:$L$25,5),IF(AND(H91&gt;1997,H91&lt;2000),VLOOKUP(I91,Feuil1!$G$11:$L$25,4),IF(AND(H91&gt;1999,H91&lt;2002),VLOOKUP(I91,Feuil1!$G$11:$L$25,3),VLOOKUP(I91,Feuil1!$G$11:$L$25,2)))))))</f>
        <v>FS58</v>
      </c>
      <c r="Y91" s="39">
        <f t="shared" si="33"/>
        <v>189.14311380440839</v>
      </c>
      <c r="Z91" s="45"/>
      <c r="AA91" s="49" t="s">
        <v>12</v>
      </c>
      <c r="AB91" s="3">
        <f>T91-HLOOKUP(X91,Feuil1!$C$1:$BL$10,2,FALSE)</f>
        <v>58</v>
      </c>
      <c r="AC91" s="3">
        <f>T91-HLOOKUP(X91,Feuil1!$C$1:$BL$10,3,FALSE)</f>
        <v>48</v>
      </c>
      <c r="AD91" s="3">
        <f>T91-HLOOKUP(X91,Feuil1!$C$1:$BL$10,4,FALSE)</f>
        <v>38</v>
      </c>
      <c r="AE91" s="3">
        <f>T91-HLOOKUP(X91,Feuil1!$C$1:$BL$10,5,FALSE)</f>
        <v>28</v>
      </c>
      <c r="AF91" s="3">
        <f>T91-HLOOKUP(X91,Feuil1!$C$1:$BL$10,6,FALSE)</f>
        <v>13</v>
      </c>
      <c r="AG91" s="3">
        <f>T91-HLOOKUP(X91,Feuil1!$C$1:$BL$10,7,FALSE)</f>
        <v>-2</v>
      </c>
      <c r="AH91" s="3">
        <f>T91-HLOOKUP(X91,Feuil1!$C$1:$BL$10,8,FALSE)</f>
        <v>-22</v>
      </c>
      <c r="AI91" s="3">
        <f>T91-HLOOKUP(X91,Feuil1!$C$1:$BL$10,9,FALSE)</f>
        <v>-42</v>
      </c>
      <c r="AJ91" s="3">
        <f>T91-HLOOKUP(X91,Feuil1!$C$1:$BL$10,10,FALSE)</f>
        <v>-62</v>
      </c>
      <c r="AQ91" s="5" t="str">
        <f t="shared" si="34"/>
        <v>FED +</v>
      </c>
    </row>
    <row r="92" spans="1:55" ht="21" hidden="1" x14ac:dyDescent="0.2">
      <c r="A92" s="12" t="s">
        <v>69</v>
      </c>
      <c r="B92" s="18" t="s">
        <v>71</v>
      </c>
      <c r="C92" s="19" t="s">
        <v>883</v>
      </c>
      <c r="D92" s="61">
        <v>16</v>
      </c>
      <c r="E92" s="35">
        <v>384034</v>
      </c>
      <c r="F92" s="20" t="s">
        <v>901</v>
      </c>
      <c r="G92" s="20" t="s">
        <v>902</v>
      </c>
      <c r="H92" s="51">
        <v>1993</v>
      </c>
      <c r="I92" s="30">
        <v>56.2</v>
      </c>
      <c r="J92" s="19" t="s">
        <v>894</v>
      </c>
      <c r="K92" s="34" t="s">
        <v>69</v>
      </c>
      <c r="L92" s="31">
        <v>48</v>
      </c>
      <c r="M92" s="31">
        <v>51</v>
      </c>
      <c r="N92" s="31">
        <v>54</v>
      </c>
      <c r="O92" s="36">
        <f t="shared" si="27"/>
        <v>54</v>
      </c>
      <c r="P92" s="31">
        <v>65</v>
      </c>
      <c r="Q92" s="31">
        <v>70</v>
      </c>
      <c r="R92" s="31">
        <v>73</v>
      </c>
      <c r="S92" s="36">
        <f t="shared" si="28"/>
        <v>73</v>
      </c>
      <c r="T92" s="37">
        <f t="shared" si="29"/>
        <v>127</v>
      </c>
      <c r="U92" s="65">
        <f t="shared" si="30"/>
        <v>14.599999999999994</v>
      </c>
      <c r="V92" s="32" t="str">
        <f t="shared" si="31"/>
        <v>FED +</v>
      </c>
      <c r="W92" s="33">
        <f t="shared" si="32"/>
        <v>12</v>
      </c>
      <c r="X92" s="40" t="str">
        <f>IF(I92="","",IF(A92="H",IF(OR(H92="SEN",H92&lt;1995),VLOOKUP(I92,Feuil1!$A$11:$F$29,6),IF(AND(H92&gt;1994,H92&lt;1998),VLOOKUP(I92,Feuil1!$A$11:$F$29,5),IF(AND(H92&gt;1997,H92&lt;2000),VLOOKUP(I92,Feuil1!$A$11:$F$29,4),IF(AND(H92&gt;1999,H92&lt;2002),VLOOKUP(I92,Feuil1!$A$11:$F$29,3),VLOOKUP(I92,Feuil1!$A$11:$F$29,2))))),IF(OR(H92="SEN",H92&lt;1995),VLOOKUP(I92,Feuil1!$G$11:$L$25,6),IF(AND(H92&gt;1994,H92&lt;1998),VLOOKUP(I92,Feuil1!$G$11:$L$25,5),IF(AND(H92&gt;1997,H92&lt;2000),VLOOKUP(I92,Feuil1!$G$11:$L$25,4),IF(AND(H92&gt;1999,H92&lt;2002),VLOOKUP(I92,Feuil1!$G$11:$L$25,3),VLOOKUP(I92,Feuil1!$G$11:$L$25,2)))))))</f>
        <v>FS58</v>
      </c>
      <c r="Y92" s="39">
        <f t="shared" si="33"/>
        <v>183.03507943769748</v>
      </c>
      <c r="Z92" s="45"/>
      <c r="AA92" s="49" t="s">
        <v>12</v>
      </c>
      <c r="AB92" s="3">
        <f>T92-HLOOKUP(X92,Feuil1!$C$1:$BL$10,2,FALSE)</f>
        <v>57</v>
      </c>
      <c r="AC92" s="3">
        <f>T92-HLOOKUP(X92,Feuil1!$C$1:$BL$10,3,FALSE)</f>
        <v>47</v>
      </c>
      <c r="AD92" s="3">
        <f>T92-HLOOKUP(X92,Feuil1!$C$1:$BL$10,4,FALSE)</f>
        <v>37</v>
      </c>
      <c r="AE92" s="3">
        <f>T92-HLOOKUP(X92,Feuil1!$C$1:$BL$10,5,FALSE)</f>
        <v>27</v>
      </c>
      <c r="AF92" s="3">
        <f>T92-HLOOKUP(X92,Feuil1!$C$1:$BL$10,6,FALSE)</f>
        <v>12</v>
      </c>
      <c r="AG92" s="3">
        <f>T92-HLOOKUP(X92,Feuil1!$C$1:$BL$10,7,FALSE)</f>
        <v>-3</v>
      </c>
      <c r="AH92" s="3">
        <f>T92-HLOOKUP(X92,Feuil1!$C$1:$BL$10,8,FALSE)</f>
        <v>-23</v>
      </c>
      <c r="AI92" s="3">
        <f>T92-HLOOKUP(X92,Feuil1!$C$1:$BL$10,9,FALSE)</f>
        <v>-43</v>
      </c>
      <c r="AJ92" s="3">
        <f>T92-HLOOKUP(X92,Feuil1!$C$1:$BL$10,10,FALSE)</f>
        <v>-63</v>
      </c>
      <c r="AQ92" s="5" t="str">
        <f t="shared" si="34"/>
        <v>FED +</v>
      </c>
    </row>
    <row r="93" spans="1:55" ht="21" hidden="1" x14ac:dyDescent="0.2">
      <c r="A93" s="12" t="s">
        <v>69</v>
      </c>
      <c r="B93" s="18" t="s">
        <v>71</v>
      </c>
      <c r="C93" s="19" t="s">
        <v>883</v>
      </c>
      <c r="D93" s="61">
        <v>17</v>
      </c>
      <c r="E93" s="35">
        <v>356006</v>
      </c>
      <c r="F93" s="20" t="s">
        <v>499</v>
      </c>
      <c r="G93" s="20" t="s">
        <v>903</v>
      </c>
      <c r="H93" s="51">
        <v>1991</v>
      </c>
      <c r="I93" s="30">
        <v>56.4</v>
      </c>
      <c r="J93" s="19" t="s">
        <v>904</v>
      </c>
      <c r="K93" s="34" t="s">
        <v>69</v>
      </c>
      <c r="L93" s="31">
        <v>50</v>
      </c>
      <c r="M93" s="31">
        <v>53</v>
      </c>
      <c r="N93" s="31">
        <v>-55</v>
      </c>
      <c r="O93" s="36">
        <f t="shared" si="27"/>
        <v>53</v>
      </c>
      <c r="P93" s="31">
        <v>65</v>
      </c>
      <c r="Q93" s="31">
        <v>70</v>
      </c>
      <c r="R93" s="31">
        <v>-75</v>
      </c>
      <c r="S93" s="36">
        <f t="shared" si="28"/>
        <v>70</v>
      </c>
      <c r="T93" s="37">
        <f t="shared" si="29"/>
        <v>123</v>
      </c>
      <c r="U93" s="65">
        <f t="shared" si="30"/>
        <v>10.200000000000003</v>
      </c>
      <c r="V93" s="32" t="str">
        <f t="shared" si="31"/>
        <v>FED +</v>
      </c>
      <c r="W93" s="33">
        <f t="shared" si="32"/>
        <v>8</v>
      </c>
      <c r="X93" s="40" t="str">
        <f>IF(I93="","",IF(A93="H",IF(OR(H93="SEN",H93&lt;1995),VLOOKUP(I93,Feuil1!$A$11:$F$29,6),IF(AND(H93&gt;1994,H93&lt;1998),VLOOKUP(I93,Feuil1!$A$11:$F$29,5),IF(AND(H93&gt;1997,H93&lt;2000),VLOOKUP(I93,Feuil1!$A$11:$F$29,4),IF(AND(H93&gt;1999,H93&lt;2002),VLOOKUP(I93,Feuil1!$A$11:$F$29,3),VLOOKUP(I93,Feuil1!$A$11:$F$29,2))))),IF(OR(H93="SEN",H93&lt;1995),VLOOKUP(I93,Feuil1!$G$11:$L$25,6),IF(AND(H93&gt;1994,H93&lt;1998),VLOOKUP(I93,Feuil1!$G$11:$L$25,5),IF(AND(H93&gt;1997,H93&lt;2000),VLOOKUP(I93,Feuil1!$G$11:$L$25,4),IF(AND(H93&gt;1999,H93&lt;2002),VLOOKUP(I93,Feuil1!$G$11:$L$25,3),VLOOKUP(I93,Feuil1!$G$11:$L$25,2)))))))</f>
        <v>FS58</v>
      </c>
      <c r="Y93" s="39">
        <f t="shared" si="33"/>
        <v>176.79639054762924</v>
      </c>
      <c r="Z93" s="45"/>
      <c r="AA93" s="49" t="s">
        <v>12</v>
      </c>
      <c r="AB93" s="3">
        <f>T93-HLOOKUP(X93,Feuil1!$C$1:$BL$10,2,FALSE)</f>
        <v>53</v>
      </c>
      <c r="AC93" s="3">
        <f>T93-HLOOKUP(X93,Feuil1!$C$1:$BL$10,3,FALSE)</f>
        <v>43</v>
      </c>
      <c r="AD93" s="3">
        <f>T93-HLOOKUP(X93,Feuil1!$C$1:$BL$10,4,FALSE)</f>
        <v>33</v>
      </c>
      <c r="AE93" s="3">
        <f>T93-HLOOKUP(X93,Feuil1!$C$1:$BL$10,5,FALSE)</f>
        <v>23</v>
      </c>
      <c r="AF93" s="3">
        <f>T93-HLOOKUP(X93,Feuil1!$C$1:$BL$10,6,FALSE)</f>
        <v>8</v>
      </c>
      <c r="AG93" s="3">
        <f>T93-HLOOKUP(X93,Feuil1!$C$1:$BL$10,7,FALSE)</f>
        <v>-7</v>
      </c>
      <c r="AH93" s="3">
        <f>T93-HLOOKUP(X93,Feuil1!$C$1:$BL$10,8,FALSE)</f>
        <v>-27</v>
      </c>
      <c r="AI93" s="3">
        <f>T93-HLOOKUP(X93,Feuil1!$C$1:$BL$10,9,FALSE)</f>
        <v>-47</v>
      </c>
      <c r="AJ93" s="3">
        <f>T93-HLOOKUP(X93,Feuil1!$C$1:$BL$10,10,FALSE)</f>
        <v>-67</v>
      </c>
      <c r="AQ93" s="5" t="str">
        <f t="shared" si="34"/>
        <v>FED +</v>
      </c>
    </row>
    <row r="94" spans="1:55" ht="21" hidden="1" x14ac:dyDescent="0.2">
      <c r="A94" s="12" t="s">
        <v>69</v>
      </c>
      <c r="B94" s="18" t="s">
        <v>536</v>
      </c>
      <c r="C94" s="19" t="s">
        <v>545</v>
      </c>
      <c r="D94" s="61">
        <v>18</v>
      </c>
      <c r="E94" s="35">
        <v>331243</v>
      </c>
      <c r="F94" s="20" t="s">
        <v>589</v>
      </c>
      <c r="G94" s="20" t="s">
        <v>590</v>
      </c>
      <c r="H94" s="51">
        <v>1991</v>
      </c>
      <c r="I94" s="30">
        <v>57.6</v>
      </c>
      <c r="J94" s="19" t="s">
        <v>591</v>
      </c>
      <c r="K94" s="34" t="s">
        <v>69</v>
      </c>
      <c r="L94" s="31">
        <v>52</v>
      </c>
      <c r="M94" s="31">
        <v>-56</v>
      </c>
      <c r="N94" s="31">
        <v>56</v>
      </c>
      <c r="O94" s="36">
        <f t="shared" si="27"/>
        <v>56</v>
      </c>
      <c r="P94" s="31">
        <v>65</v>
      </c>
      <c r="Q94" s="31">
        <v>-69</v>
      </c>
      <c r="R94" s="31">
        <v>-69</v>
      </c>
      <c r="S94" s="36">
        <f t="shared" si="28"/>
        <v>65</v>
      </c>
      <c r="T94" s="37">
        <f t="shared" si="29"/>
        <v>121</v>
      </c>
      <c r="U94" s="65">
        <f t="shared" si="30"/>
        <v>5.7999999999999972</v>
      </c>
      <c r="V94" s="41" t="str">
        <f t="shared" si="31"/>
        <v>FED +</v>
      </c>
      <c r="W94" s="33">
        <f t="shared" si="32"/>
        <v>6</v>
      </c>
      <c r="X94" s="40" t="str">
        <f>IF(I94="","",IF(A94="H",IF(OR(H94="SEN",H94&lt;1995),VLOOKUP(I94,Feuil1!$A$11:$F$29,6),IF(AND(H94&gt;1994,H94&lt;1998),VLOOKUP(I94,Feuil1!$A$11:$F$29,5),IF(AND(H94&gt;1997,H94&lt;2000),VLOOKUP(I94,Feuil1!$A$11:$F$29,4),IF(AND(H94&gt;1999,H94&lt;2002),VLOOKUP(I94,Feuil1!$A$11:$F$29,3),VLOOKUP(I94,Feuil1!$A$11:$F$29,2))))),IF(OR(H94="SEN",H94&lt;1995),VLOOKUP(I94,Feuil1!$G$11:$L$25,6),IF(AND(H94&gt;1994,H94&lt;1998),VLOOKUP(I94,Feuil1!$G$11:$L$25,5),IF(AND(H94&gt;1997,H94&lt;2000),VLOOKUP(I94,Feuil1!$G$11:$L$25,4),IF(AND(H94&gt;1999,H94&lt;2002),VLOOKUP(I94,Feuil1!$G$11:$L$25,3),VLOOKUP(I94,Feuil1!$G$11:$L$25,2)))))))</f>
        <v>FS58</v>
      </c>
      <c r="Y94" s="39">
        <f t="shared" si="33"/>
        <v>171.2193132597144</v>
      </c>
      <c r="Z94" s="45"/>
      <c r="AA94" s="49" t="s">
        <v>12</v>
      </c>
      <c r="AB94" s="3">
        <f>T94-HLOOKUP(X94,Feuil1!$C$1:$BL$10,2,FALSE)</f>
        <v>51</v>
      </c>
      <c r="AC94" s="3">
        <f>T94-HLOOKUP(X94,Feuil1!$C$1:$BL$10,3,FALSE)</f>
        <v>41</v>
      </c>
      <c r="AD94" s="3">
        <f>T94-HLOOKUP(X94,Feuil1!$C$1:$BL$10,4,FALSE)</f>
        <v>31</v>
      </c>
      <c r="AE94" s="3">
        <f>T94-HLOOKUP(X94,Feuil1!$C$1:$BL$10,5,FALSE)</f>
        <v>21</v>
      </c>
      <c r="AF94" s="3">
        <f>T94-HLOOKUP(X94,Feuil1!$C$1:$BL$10,6,FALSE)</f>
        <v>6</v>
      </c>
      <c r="AG94" s="3">
        <f>T94-HLOOKUP(X94,Feuil1!$C$1:$BL$10,7,FALSE)</f>
        <v>-9</v>
      </c>
      <c r="AH94" s="3">
        <f>T94-HLOOKUP(X94,Feuil1!$C$1:$BL$10,8,FALSE)</f>
        <v>-29</v>
      </c>
      <c r="AI94" s="3">
        <f>T94-HLOOKUP(X94,Feuil1!$C$1:$BL$10,9,FALSE)</f>
        <v>-49</v>
      </c>
      <c r="AJ94" s="3">
        <f>T94-HLOOKUP(X94,Feuil1!$C$1:$BL$10,10,FALSE)</f>
        <v>-69</v>
      </c>
      <c r="AQ94" s="5" t="str">
        <f t="shared" si="34"/>
        <v>FED +</v>
      </c>
    </row>
    <row r="95" spans="1:55" ht="21" hidden="1" x14ac:dyDescent="0.2">
      <c r="A95" s="12" t="s">
        <v>69</v>
      </c>
      <c r="B95" s="18" t="s">
        <v>649</v>
      </c>
      <c r="C95" s="19" t="s">
        <v>648</v>
      </c>
      <c r="D95" s="61">
        <v>19</v>
      </c>
      <c r="E95" s="35">
        <v>250371</v>
      </c>
      <c r="F95" s="20" t="s">
        <v>654</v>
      </c>
      <c r="G95" s="20" t="s">
        <v>655</v>
      </c>
      <c r="H95" s="51">
        <v>1993</v>
      </c>
      <c r="I95" s="30">
        <v>57.8</v>
      </c>
      <c r="J95" s="19" t="s">
        <v>647</v>
      </c>
      <c r="K95" s="34" t="s">
        <v>69</v>
      </c>
      <c r="L95" s="31">
        <v>55</v>
      </c>
      <c r="M95" s="31">
        <v>58</v>
      </c>
      <c r="N95" s="31">
        <v>-60</v>
      </c>
      <c r="O95" s="36">
        <f t="shared" si="27"/>
        <v>58</v>
      </c>
      <c r="P95" s="31">
        <v>63</v>
      </c>
      <c r="Q95" s="31">
        <v>-66</v>
      </c>
      <c r="R95" s="31">
        <v>-66</v>
      </c>
      <c r="S95" s="36">
        <f t="shared" si="28"/>
        <v>63</v>
      </c>
      <c r="T95" s="37">
        <f t="shared" si="29"/>
        <v>121</v>
      </c>
      <c r="U95" s="65">
        <f t="shared" si="30"/>
        <v>5.4000000000000057</v>
      </c>
      <c r="V95" s="41" t="str">
        <f t="shared" si="31"/>
        <v>FED +</v>
      </c>
      <c r="W95" s="33">
        <f t="shared" si="32"/>
        <v>6</v>
      </c>
      <c r="X95" s="40" t="str">
        <f>IF(I95="","",IF(A95="H",IF(OR(H95="SEN",H95&lt;1995),VLOOKUP(I95,Feuil1!$A$11:$F$29,6),IF(AND(H95&gt;1994,H95&lt;1998),VLOOKUP(I95,Feuil1!$A$11:$F$29,5),IF(AND(H95&gt;1997,H95&lt;2000),VLOOKUP(I95,Feuil1!$A$11:$F$29,4),IF(AND(H95&gt;1999,H95&lt;2002),VLOOKUP(I95,Feuil1!$A$11:$F$29,3),VLOOKUP(I95,Feuil1!$A$11:$F$29,2))))),IF(OR(H95="SEN",H95&lt;1995),VLOOKUP(I95,Feuil1!$G$11:$L$25,6),IF(AND(H95&gt;1994,H95&lt;1998),VLOOKUP(I95,Feuil1!$G$11:$L$25,5),IF(AND(H95&gt;1997,H95&lt;2000),VLOOKUP(I95,Feuil1!$G$11:$L$25,4),IF(AND(H95&gt;1999,H95&lt;2002),VLOOKUP(I95,Feuil1!$G$11:$L$25,3),VLOOKUP(I95,Feuil1!$G$11:$L$25,2)))))))</f>
        <v>FS58</v>
      </c>
      <c r="Y95" s="39">
        <f t="shared" si="33"/>
        <v>170.78410244459366</v>
      </c>
      <c r="Z95" s="45"/>
      <c r="AA95" s="49" t="s">
        <v>12</v>
      </c>
      <c r="AB95" s="3">
        <f>T95-HLOOKUP(X95,Feuil1!$C$1:$BL$10,2,FALSE)</f>
        <v>51</v>
      </c>
      <c r="AC95" s="3">
        <f>T95-HLOOKUP(X95,Feuil1!$C$1:$BL$10,3,FALSE)</f>
        <v>41</v>
      </c>
      <c r="AD95" s="3">
        <f>T95-HLOOKUP(X95,Feuil1!$C$1:$BL$10,4,FALSE)</f>
        <v>31</v>
      </c>
      <c r="AE95" s="3">
        <f>T95-HLOOKUP(X95,Feuil1!$C$1:$BL$10,5,FALSE)</f>
        <v>21</v>
      </c>
      <c r="AF95" s="3">
        <f>T95-HLOOKUP(X95,Feuil1!$C$1:$BL$10,6,FALSE)</f>
        <v>6</v>
      </c>
      <c r="AG95" s="3">
        <f>T95-HLOOKUP(X95,Feuil1!$C$1:$BL$10,7,FALSE)</f>
        <v>-9</v>
      </c>
      <c r="AH95" s="3">
        <f>T95-HLOOKUP(X95,Feuil1!$C$1:$BL$10,8,FALSE)</f>
        <v>-29</v>
      </c>
      <c r="AI95" s="3">
        <f>T95-HLOOKUP(X95,Feuil1!$C$1:$BL$10,9,FALSE)</f>
        <v>-49</v>
      </c>
      <c r="AJ95" s="3">
        <f>T95-HLOOKUP(X95,Feuil1!$C$1:$BL$10,10,FALSE)</f>
        <v>-69</v>
      </c>
      <c r="AQ95" s="5" t="str">
        <f t="shared" si="34"/>
        <v>FED +</v>
      </c>
      <c r="BC95" s="13"/>
    </row>
    <row r="96" spans="1:55" ht="21" hidden="1" x14ac:dyDescent="0.2">
      <c r="A96" s="12" t="s">
        <v>69</v>
      </c>
      <c r="B96" s="18" t="s">
        <v>298</v>
      </c>
      <c r="C96" s="19" t="s">
        <v>299</v>
      </c>
      <c r="D96" s="61">
        <v>20</v>
      </c>
      <c r="E96" s="35">
        <v>313076</v>
      </c>
      <c r="F96" s="20" t="s">
        <v>344</v>
      </c>
      <c r="G96" s="20" t="s">
        <v>345</v>
      </c>
      <c r="H96" s="51">
        <v>1978</v>
      </c>
      <c r="I96" s="30">
        <v>56.2</v>
      </c>
      <c r="J96" s="19" t="s">
        <v>315</v>
      </c>
      <c r="K96" s="34" t="s">
        <v>69</v>
      </c>
      <c r="L96" s="31">
        <v>-50</v>
      </c>
      <c r="M96" s="31">
        <v>50</v>
      </c>
      <c r="N96" s="31">
        <v>52</v>
      </c>
      <c r="O96" s="36">
        <f t="shared" si="27"/>
        <v>52</v>
      </c>
      <c r="P96" s="31">
        <v>65</v>
      </c>
      <c r="Q96" s="31">
        <v>-68</v>
      </c>
      <c r="R96" s="31">
        <v>68</v>
      </c>
      <c r="S96" s="36">
        <f t="shared" si="28"/>
        <v>68</v>
      </c>
      <c r="T96" s="37">
        <f t="shared" si="29"/>
        <v>120</v>
      </c>
      <c r="U96" s="65">
        <f t="shared" si="30"/>
        <v>7.5999999999999943</v>
      </c>
      <c r="V96" s="41" t="str">
        <f t="shared" si="31"/>
        <v>FED +</v>
      </c>
      <c r="W96" s="33">
        <f t="shared" si="32"/>
        <v>5</v>
      </c>
      <c r="X96" s="40" t="str">
        <f>IF(I96="","",IF(A96="H",IF(OR(H96="SEN",H96&lt;1995),VLOOKUP(I96,Feuil1!$A$11:$F$29,6),IF(AND(H96&gt;1994,H96&lt;1998),VLOOKUP(I96,Feuil1!$A$11:$F$29,5),IF(AND(H96&gt;1997,H96&lt;2000),VLOOKUP(I96,Feuil1!$A$11:$F$29,4),IF(AND(H96&gt;1999,H96&lt;2002),VLOOKUP(I96,Feuil1!$A$11:$F$29,3),VLOOKUP(I96,Feuil1!$A$11:$F$29,2))))),IF(OR(H96="SEN",H96&lt;1995),VLOOKUP(I96,Feuil1!$G$11:$L$25,6),IF(AND(H96&gt;1994,H96&lt;1998),VLOOKUP(I96,Feuil1!$G$11:$L$25,5),IF(AND(H96&gt;1997,H96&lt;2000),VLOOKUP(I96,Feuil1!$G$11:$L$25,4),IF(AND(H96&gt;1999,H96&lt;2002),VLOOKUP(I96,Feuil1!$G$11:$L$25,3),VLOOKUP(I96,Feuil1!$G$11:$L$25,2)))))))</f>
        <v>FS58</v>
      </c>
      <c r="Y96" s="39">
        <f t="shared" si="33"/>
        <v>172.9465317521551</v>
      </c>
      <c r="Z96" s="45"/>
      <c r="AA96" s="49" t="s">
        <v>12</v>
      </c>
      <c r="AB96" s="3">
        <f>T96-HLOOKUP(X96,Feuil1!$C$1:$BL$10,2,FALSE)</f>
        <v>50</v>
      </c>
      <c r="AC96" s="3">
        <f>T96-HLOOKUP(X96,Feuil1!$C$1:$BL$10,3,FALSE)</f>
        <v>40</v>
      </c>
      <c r="AD96" s="3">
        <f>T96-HLOOKUP(X96,Feuil1!$C$1:$BL$10,4,FALSE)</f>
        <v>30</v>
      </c>
      <c r="AE96" s="3">
        <f>T96-HLOOKUP(X96,Feuil1!$C$1:$BL$10,5,FALSE)</f>
        <v>20</v>
      </c>
      <c r="AF96" s="3">
        <f>T96-HLOOKUP(X96,Feuil1!$C$1:$BL$10,6,FALSE)</f>
        <v>5</v>
      </c>
      <c r="AG96" s="3">
        <f>T96-HLOOKUP(X96,Feuil1!$C$1:$BL$10,7,FALSE)</f>
        <v>-10</v>
      </c>
      <c r="AH96" s="3">
        <f>T96-HLOOKUP(X96,Feuil1!$C$1:$BL$10,8,FALSE)</f>
        <v>-30</v>
      </c>
      <c r="AI96" s="3">
        <f>T96-HLOOKUP(X96,Feuil1!$C$1:$BL$10,9,FALSE)</f>
        <v>-50</v>
      </c>
      <c r="AJ96" s="3">
        <f>T96-HLOOKUP(X96,Feuil1!$C$1:$BL$10,10,FALSE)</f>
        <v>-70</v>
      </c>
      <c r="AQ96" s="5" t="str">
        <f t="shared" si="34"/>
        <v>FED +</v>
      </c>
    </row>
    <row r="97" spans="1:55" ht="21" hidden="1" x14ac:dyDescent="0.2">
      <c r="A97" s="12" t="s">
        <v>69</v>
      </c>
      <c r="B97" s="18" t="s">
        <v>298</v>
      </c>
      <c r="C97" s="19" t="s">
        <v>476</v>
      </c>
      <c r="D97" s="61">
        <v>21</v>
      </c>
      <c r="E97" s="35">
        <v>174473</v>
      </c>
      <c r="F97" s="20" t="s">
        <v>523</v>
      </c>
      <c r="G97" s="20" t="s">
        <v>524</v>
      </c>
      <c r="H97" s="51">
        <v>1986</v>
      </c>
      <c r="I97" s="30">
        <v>57.2</v>
      </c>
      <c r="J97" s="19" t="s">
        <v>484</v>
      </c>
      <c r="K97" s="34" t="s">
        <v>525</v>
      </c>
      <c r="L97" s="31">
        <v>50</v>
      </c>
      <c r="M97" s="31">
        <v>-54</v>
      </c>
      <c r="N97" s="31">
        <v>54</v>
      </c>
      <c r="O97" s="36">
        <f t="shared" si="27"/>
        <v>54</v>
      </c>
      <c r="P97" s="31">
        <v>60</v>
      </c>
      <c r="Q97" s="31">
        <v>65</v>
      </c>
      <c r="R97" s="31" t="s">
        <v>134</v>
      </c>
      <c r="S97" s="36">
        <f t="shared" si="28"/>
        <v>65</v>
      </c>
      <c r="T97" s="37">
        <f t="shared" si="29"/>
        <v>119</v>
      </c>
      <c r="U97" s="65">
        <f t="shared" si="30"/>
        <v>4.5999999999999943</v>
      </c>
      <c r="V97" s="41" t="str">
        <f t="shared" si="31"/>
        <v>FED +</v>
      </c>
      <c r="W97" s="33">
        <f t="shared" si="32"/>
        <v>4</v>
      </c>
      <c r="X97" s="40" t="str">
        <f>IF(I97="","",IF(A97="H",IF(OR(H97="SEN",H97&lt;1995),VLOOKUP(I97,Feuil1!$A$11:$F$29,6),IF(AND(H97&gt;1994,H97&lt;1998),VLOOKUP(I97,Feuil1!$A$11:$F$29,5),IF(AND(H97&gt;1997,H97&lt;2000),VLOOKUP(I97,Feuil1!$A$11:$F$29,4),IF(AND(H97&gt;1999,H97&lt;2002),VLOOKUP(I97,Feuil1!$A$11:$F$29,3),VLOOKUP(I97,Feuil1!$A$11:$F$29,2))))),IF(OR(H97="SEN",H97&lt;1995),VLOOKUP(I97,Feuil1!$G$11:$L$25,6),IF(AND(H97&gt;1994,H97&lt;1998),VLOOKUP(I97,Feuil1!$G$11:$L$25,5),IF(AND(H97&gt;1997,H97&lt;2000),VLOOKUP(I97,Feuil1!$G$11:$L$25,4),IF(AND(H97&gt;1999,H97&lt;2002),VLOOKUP(I97,Feuil1!$G$11:$L$25,3),VLOOKUP(I97,Feuil1!$G$11:$L$25,2)))))))</f>
        <v>FS58</v>
      </c>
      <c r="Y97" s="39">
        <f t="shared" si="33"/>
        <v>169.25785274570029</v>
      </c>
      <c r="Z97" s="45"/>
      <c r="AA97" s="49" t="s">
        <v>12</v>
      </c>
      <c r="AB97" s="3">
        <f>T97-HLOOKUP(X97,Feuil1!$C$1:$BL$10,2,FALSE)</f>
        <v>49</v>
      </c>
      <c r="AC97" s="3">
        <f>T97-HLOOKUP(X97,Feuil1!$C$1:$BL$10,3,FALSE)</f>
        <v>39</v>
      </c>
      <c r="AD97" s="3">
        <f>T97-HLOOKUP(X97,Feuil1!$C$1:$BL$10,4,FALSE)</f>
        <v>29</v>
      </c>
      <c r="AE97" s="3">
        <f>T97-HLOOKUP(X97,Feuil1!$C$1:$BL$10,5,FALSE)</f>
        <v>19</v>
      </c>
      <c r="AF97" s="3">
        <f>T97-HLOOKUP(X97,Feuil1!$C$1:$BL$10,6,FALSE)</f>
        <v>4</v>
      </c>
      <c r="AG97" s="3">
        <f>T97-HLOOKUP(X97,Feuil1!$C$1:$BL$10,7,FALSE)</f>
        <v>-11</v>
      </c>
      <c r="AH97" s="3">
        <f>T97-HLOOKUP(X97,Feuil1!$C$1:$BL$10,8,FALSE)</f>
        <v>-31</v>
      </c>
      <c r="AI97" s="3">
        <f>T97-HLOOKUP(X97,Feuil1!$C$1:$BL$10,9,FALSE)</f>
        <v>-51</v>
      </c>
      <c r="AJ97" s="3">
        <f>T97-HLOOKUP(X97,Feuil1!$C$1:$BL$10,10,FALSE)</f>
        <v>-71</v>
      </c>
      <c r="AQ97" s="5" t="str">
        <f t="shared" si="34"/>
        <v>FED +</v>
      </c>
      <c r="BC97" s="13"/>
    </row>
    <row r="98" spans="1:55" ht="21" hidden="1" x14ac:dyDescent="0.2">
      <c r="A98" s="12" t="s">
        <v>69</v>
      </c>
      <c r="B98" s="18" t="s">
        <v>71</v>
      </c>
      <c r="C98" s="19" t="s">
        <v>801</v>
      </c>
      <c r="D98" s="61">
        <v>22</v>
      </c>
      <c r="E98" s="35">
        <v>326048</v>
      </c>
      <c r="F98" s="20" t="s">
        <v>844</v>
      </c>
      <c r="G98" s="20" t="s">
        <v>845</v>
      </c>
      <c r="H98" s="51">
        <v>1994</v>
      </c>
      <c r="I98" s="30">
        <v>53.3</v>
      </c>
      <c r="J98" s="19" t="s">
        <v>846</v>
      </c>
      <c r="K98" s="34" t="s">
        <v>69</v>
      </c>
      <c r="L98" s="31">
        <v>45</v>
      </c>
      <c r="M98" s="31">
        <v>-50</v>
      </c>
      <c r="N98" s="31">
        <v>52</v>
      </c>
      <c r="O98" s="36">
        <f t="shared" si="27"/>
        <v>52</v>
      </c>
      <c r="P98" s="31">
        <v>-63</v>
      </c>
      <c r="Q98" s="31">
        <v>63</v>
      </c>
      <c r="R98" s="31">
        <v>66</v>
      </c>
      <c r="S98" s="36">
        <f t="shared" si="28"/>
        <v>66</v>
      </c>
      <c r="T98" s="37">
        <f t="shared" si="29"/>
        <v>118</v>
      </c>
      <c r="U98" s="65">
        <f t="shared" si="30"/>
        <v>11.400000000000006</v>
      </c>
      <c r="V98" s="41" t="str">
        <f t="shared" si="31"/>
        <v>FED +</v>
      </c>
      <c r="W98" s="33">
        <f t="shared" si="32"/>
        <v>3</v>
      </c>
      <c r="X98" s="40" t="str">
        <f>IF(I98="","",IF(A98="H",IF(OR(H98="SEN",H98&lt;1995),VLOOKUP(I98,Feuil1!$A$11:$F$29,6),IF(AND(H98&gt;1994,H98&lt;1998),VLOOKUP(I98,Feuil1!$A$11:$F$29,5),IF(AND(H98&gt;1997,H98&lt;2000),VLOOKUP(I98,Feuil1!$A$11:$F$29,4),IF(AND(H98&gt;1999,H98&lt;2002),VLOOKUP(I98,Feuil1!$A$11:$F$29,3),VLOOKUP(I98,Feuil1!$A$11:$F$29,2))))),IF(OR(H98="SEN",H98&lt;1995),VLOOKUP(I98,Feuil1!$G$11:$L$25,6),IF(AND(H98&gt;1994,H98&lt;1998),VLOOKUP(I98,Feuil1!$G$11:$L$25,5),IF(AND(H98&gt;1997,H98&lt;2000),VLOOKUP(I98,Feuil1!$G$11:$L$25,4),IF(AND(H98&gt;1999,H98&lt;2002),VLOOKUP(I98,Feuil1!$G$11:$L$25,3),VLOOKUP(I98,Feuil1!$G$11:$L$25,2)))))))</f>
        <v>FS58</v>
      </c>
      <c r="Y98" s="39">
        <f t="shared" si="33"/>
        <v>177.19621066265861</v>
      </c>
      <c r="Z98" s="45"/>
      <c r="AA98" s="49" t="s">
        <v>12</v>
      </c>
      <c r="AB98" s="3">
        <f>T98-HLOOKUP(X98,Feuil1!$C$1:$BL$10,2,FALSE)</f>
        <v>48</v>
      </c>
      <c r="AC98" s="3">
        <f>T98-HLOOKUP(X98,Feuil1!$C$1:$BL$10,3,FALSE)</f>
        <v>38</v>
      </c>
      <c r="AD98" s="3">
        <f>T98-HLOOKUP(X98,Feuil1!$C$1:$BL$10,4,FALSE)</f>
        <v>28</v>
      </c>
      <c r="AE98" s="3">
        <f>T98-HLOOKUP(X98,Feuil1!$C$1:$BL$10,5,FALSE)</f>
        <v>18</v>
      </c>
      <c r="AF98" s="3">
        <f>T98-HLOOKUP(X98,Feuil1!$C$1:$BL$10,6,FALSE)</f>
        <v>3</v>
      </c>
      <c r="AG98" s="3">
        <f>T98-HLOOKUP(X98,Feuil1!$C$1:$BL$10,7,FALSE)</f>
        <v>-12</v>
      </c>
      <c r="AH98" s="3">
        <f>T98-HLOOKUP(X98,Feuil1!$C$1:$BL$10,8,FALSE)</f>
        <v>-32</v>
      </c>
      <c r="AI98" s="3">
        <f>T98-HLOOKUP(X98,Feuil1!$C$1:$BL$10,9,FALSE)</f>
        <v>-52</v>
      </c>
      <c r="AJ98" s="3">
        <f>T98-HLOOKUP(X98,Feuil1!$C$1:$BL$10,10,FALSE)</f>
        <v>-72</v>
      </c>
      <c r="AQ98" s="5" t="str">
        <f t="shared" si="34"/>
        <v>FED +</v>
      </c>
      <c r="BC98" s="13"/>
    </row>
    <row r="99" spans="1:55" s="13" customFormat="1" ht="21" hidden="1" x14ac:dyDescent="0.2">
      <c r="A99" s="12" t="s">
        <v>69</v>
      </c>
      <c r="B99" s="18" t="s">
        <v>536</v>
      </c>
      <c r="C99" s="19" t="s">
        <v>621</v>
      </c>
      <c r="D99" s="61">
        <v>23</v>
      </c>
      <c r="E99" s="35">
        <v>186557</v>
      </c>
      <c r="F99" s="20" t="s">
        <v>622</v>
      </c>
      <c r="G99" s="20" t="s">
        <v>269</v>
      </c>
      <c r="H99" s="51">
        <v>1992</v>
      </c>
      <c r="I99" s="30">
        <v>55.8</v>
      </c>
      <c r="J99" s="19" t="s">
        <v>623</v>
      </c>
      <c r="K99" s="34" t="s">
        <v>69</v>
      </c>
      <c r="L99" s="31">
        <v>46</v>
      </c>
      <c r="M99" s="31">
        <v>50</v>
      </c>
      <c r="N99" s="31">
        <v>53</v>
      </c>
      <c r="O99" s="36">
        <f t="shared" si="27"/>
        <v>53</v>
      </c>
      <c r="P99" s="31">
        <v>54</v>
      </c>
      <c r="Q99" s="31">
        <v>58</v>
      </c>
      <c r="R99" s="31">
        <v>62</v>
      </c>
      <c r="S99" s="36">
        <f t="shared" si="28"/>
        <v>62</v>
      </c>
      <c r="T99" s="37">
        <f t="shared" si="29"/>
        <v>115</v>
      </c>
      <c r="U99" s="65">
        <f t="shared" si="30"/>
        <v>3.4000000000000057</v>
      </c>
      <c r="V99" s="41" t="str">
        <f t="shared" si="31"/>
        <v>FED +</v>
      </c>
      <c r="W99" s="33">
        <f t="shared" si="32"/>
        <v>0</v>
      </c>
      <c r="X99" s="40" t="str">
        <f>IF(I99="","",IF(A99="H",IF(OR(H99="SEN",H99&lt;1995),VLOOKUP(I99,Feuil1!$A$11:$F$29,6),IF(AND(H99&gt;1994,H99&lt;1998),VLOOKUP(I99,Feuil1!$A$11:$F$29,5),IF(AND(H99&gt;1997,H99&lt;2000),VLOOKUP(I99,Feuil1!$A$11:$F$29,4),IF(AND(H99&gt;1999,H99&lt;2002),VLOOKUP(I99,Feuil1!$A$11:$F$29,3),VLOOKUP(I99,Feuil1!$A$11:$F$29,2))))),IF(OR(H99="SEN",H99&lt;1995),VLOOKUP(I99,Feuil1!$G$11:$L$25,6),IF(AND(H99&gt;1994,H99&lt;1998),VLOOKUP(I99,Feuil1!$G$11:$L$25,5),IF(AND(H99&gt;1997,H99&lt;2000),VLOOKUP(I99,Feuil1!$G$11:$L$25,4),IF(AND(H99&gt;1999,H99&lt;2002),VLOOKUP(I99,Feuil1!$G$11:$L$25,3),VLOOKUP(I99,Feuil1!$G$11:$L$25,2)))))))</f>
        <v>FS58</v>
      </c>
      <c r="Y99" s="39">
        <f t="shared" si="33"/>
        <v>166.63970866562968</v>
      </c>
      <c r="Z99" s="45"/>
      <c r="AA99" s="49" t="s">
        <v>12</v>
      </c>
      <c r="AB99" s="3">
        <f>T99-HLOOKUP(X99,Feuil1!$C$1:$BL$10,2,FALSE)</f>
        <v>45</v>
      </c>
      <c r="AC99" s="3">
        <f>T99-HLOOKUP(X99,Feuil1!$C$1:$BL$10,3,FALSE)</f>
        <v>35</v>
      </c>
      <c r="AD99" s="3">
        <f>T99-HLOOKUP(X99,Feuil1!$C$1:$BL$10,4,FALSE)</f>
        <v>25</v>
      </c>
      <c r="AE99" s="3">
        <f>T99-HLOOKUP(X99,Feuil1!$C$1:$BL$10,5,FALSE)</f>
        <v>15</v>
      </c>
      <c r="AF99" s="3">
        <f>T99-HLOOKUP(X99,Feuil1!$C$1:$BL$10,6,FALSE)</f>
        <v>0</v>
      </c>
      <c r="AG99" s="3">
        <f>T99-HLOOKUP(X99,Feuil1!$C$1:$BL$10,7,FALSE)</f>
        <v>-15</v>
      </c>
      <c r="AH99" s="3">
        <f>T99-HLOOKUP(X99,Feuil1!$C$1:$BL$10,8,FALSE)</f>
        <v>-35</v>
      </c>
      <c r="AI99" s="3">
        <f>T99-HLOOKUP(X99,Feuil1!$C$1:$BL$10,9,FALSE)</f>
        <v>-55</v>
      </c>
      <c r="AJ99" s="3">
        <f>T99-HLOOKUP(X99,Feuil1!$C$1:$BL$10,10,FALSE)</f>
        <v>-75</v>
      </c>
      <c r="AK99" s="5"/>
      <c r="AL99" s="5"/>
      <c r="AM99" s="5"/>
      <c r="AN99" s="5"/>
      <c r="AO99" s="5"/>
      <c r="AP99" s="5"/>
      <c r="AQ99" s="5" t="str">
        <f t="shared" si="34"/>
        <v>FED +</v>
      </c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</row>
    <row r="100" spans="1:55" ht="21" hidden="1" x14ac:dyDescent="0.2">
      <c r="A100" s="12" t="s">
        <v>69</v>
      </c>
      <c r="B100" s="18" t="s">
        <v>298</v>
      </c>
      <c r="C100" s="19" t="s">
        <v>299</v>
      </c>
      <c r="D100" s="61">
        <v>24</v>
      </c>
      <c r="E100" s="35">
        <v>383141</v>
      </c>
      <c r="F100" s="20" t="s">
        <v>346</v>
      </c>
      <c r="G100" s="20" t="s">
        <v>347</v>
      </c>
      <c r="H100" s="51">
        <v>1989</v>
      </c>
      <c r="I100" s="30">
        <v>57.4</v>
      </c>
      <c r="J100" s="19" t="s">
        <v>302</v>
      </c>
      <c r="K100" s="34" t="s">
        <v>69</v>
      </c>
      <c r="L100" s="31">
        <v>40</v>
      </c>
      <c r="M100" s="31">
        <v>45</v>
      </c>
      <c r="N100" s="31">
        <v>47</v>
      </c>
      <c r="O100" s="36">
        <f t="shared" si="27"/>
        <v>47</v>
      </c>
      <c r="P100" s="31">
        <v>64</v>
      </c>
      <c r="Q100" s="31">
        <v>68</v>
      </c>
      <c r="R100" s="31">
        <v>-70</v>
      </c>
      <c r="S100" s="36">
        <f t="shared" si="28"/>
        <v>68</v>
      </c>
      <c r="T100" s="37">
        <f t="shared" si="29"/>
        <v>115</v>
      </c>
      <c r="U100" s="65">
        <f t="shared" si="30"/>
        <v>0.20000000000000284</v>
      </c>
      <c r="V100" s="41" t="str">
        <f t="shared" si="31"/>
        <v>FED +</v>
      </c>
      <c r="W100" s="33">
        <f t="shared" si="32"/>
        <v>0</v>
      </c>
      <c r="X100" s="40" t="str">
        <f>IF(I100="","",IF(A100="H",IF(OR(H100="SEN",H100&lt;1995),VLOOKUP(I100,Feuil1!$A$11:$F$29,6),IF(AND(H100&gt;1994,H100&lt;1998),VLOOKUP(I100,Feuil1!$A$11:$F$29,5),IF(AND(H100&gt;1997,H100&lt;2000),VLOOKUP(I100,Feuil1!$A$11:$F$29,4),IF(AND(H100&gt;1999,H100&lt;2002),VLOOKUP(I100,Feuil1!$A$11:$F$29,3),VLOOKUP(I100,Feuil1!$A$11:$F$29,2))))),IF(OR(H100="SEN",H100&lt;1995),VLOOKUP(I100,Feuil1!$G$11:$L$25,6),IF(AND(H100&gt;1994,H100&lt;1998),VLOOKUP(I100,Feuil1!$G$11:$L$25,5),IF(AND(H100&gt;1997,H100&lt;2000),VLOOKUP(I100,Feuil1!$G$11:$L$25,4),IF(AND(H100&gt;1999,H100&lt;2002),VLOOKUP(I100,Feuil1!$G$11:$L$25,3),VLOOKUP(I100,Feuil1!$G$11:$L$25,2)))))))</f>
        <v>FS58</v>
      </c>
      <c r="Y100" s="39">
        <f t="shared" si="33"/>
        <v>163.14676338667837</v>
      </c>
      <c r="Z100" s="45"/>
      <c r="AA100" s="49" t="s">
        <v>12</v>
      </c>
      <c r="AB100" s="3">
        <f>T100-HLOOKUP(X100,Feuil1!$C$1:$BL$10,2,FALSE)</f>
        <v>45</v>
      </c>
      <c r="AC100" s="3">
        <f>T100-HLOOKUP(X100,Feuil1!$C$1:$BL$10,3,FALSE)</f>
        <v>35</v>
      </c>
      <c r="AD100" s="3">
        <f>T100-HLOOKUP(X100,Feuil1!$C$1:$BL$10,4,FALSE)</f>
        <v>25</v>
      </c>
      <c r="AE100" s="3">
        <f>T100-HLOOKUP(X100,Feuil1!$C$1:$BL$10,5,FALSE)</f>
        <v>15</v>
      </c>
      <c r="AF100" s="3">
        <f>T100-HLOOKUP(X100,Feuil1!$C$1:$BL$10,6,FALSE)</f>
        <v>0</v>
      </c>
      <c r="AG100" s="3">
        <f>T100-HLOOKUP(X100,Feuil1!$C$1:$BL$10,7,FALSE)</f>
        <v>-15</v>
      </c>
      <c r="AH100" s="3">
        <f>T100-HLOOKUP(X100,Feuil1!$C$1:$BL$10,8,FALSE)</f>
        <v>-35</v>
      </c>
      <c r="AI100" s="3">
        <f>T100-HLOOKUP(X100,Feuil1!$C$1:$BL$10,9,FALSE)</f>
        <v>-55</v>
      </c>
      <c r="AJ100" s="3">
        <f>T100-HLOOKUP(X100,Feuil1!$C$1:$BL$10,10,FALSE)</f>
        <v>-75</v>
      </c>
      <c r="AQ100" s="5" t="str">
        <f t="shared" si="34"/>
        <v>FED +</v>
      </c>
    </row>
    <row r="101" spans="1:55" ht="21" hidden="1" x14ac:dyDescent="0.2">
      <c r="A101" s="12" t="s">
        <v>69</v>
      </c>
      <c r="B101" s="18" t="s">
        <v>71</v>
      </c>
      <c r="C101" s="19" t="s">
        <v>72</v>
      </c>
      <c r="D101" s="61">
        <v>25</v>
      </c>
      <c r="E101" s="35">
        <v>198067</v>
      </c>
      <c r="F101" s="21" t="s">
        <v>965</v>
      </c>
      <c r="G101" s="20" t="s">
        <v>159</v>
      </c>
      <c r="H101" s="51">
        <v>1991</v>
      </c>
      <c r="I101" s="30">
        <v>57.4</v>
      </c>
      <c r="J101" s="19" t="s">
        <v>966</v>
      </c>
      <c r="K101" s="34" t="s">
        <v>69</v>
      </c>
      <c r="L101" s="31">
        <v>46</v>
      </c>
      <c r="M101" s="31">
        <v>50</v>
      </c>
      <c r="N101" s="31">
        <v>52</v>
      </c>
      <c r="O101" s="36">
        <f t="shared" si="27"/>
        <v>52</v>
      </c>
      <c r="P101" s="31">
        <v>55</v>
      </c>
      <c r="Q101" s="31">
        <v>59</v>
      </c>
      <c r="R101" s="31">
        <v>63</v>
      </c>
      <c r="S101" s="36">
        <f t="shared" si="28"/>
        <v>63</v>
      </c>
      <c r="T101" s="37">
        <f t="shared" si="29"/>
        <v>115</v>
      </c>
      <c r="U101" s="65">
        <f t="shared" si="30"/>
        <v>0.20000000000000284</v>
      </c>
      <c r="V101" s="41" t="str">
        <f t="shared" si="31"/>
        <v>FED +</v>
      </c>
      <c r="W101" s="33">
        <f t="shared" si="32"/>
        <v>0</v>
      </c>
      <c r="X101" s="40" t="str">
        <f>IF(I101="","",IF(A101="H",IF(OR(H101="SEN",H101&lt;1995),VLOOKUP(I101,Feuil1!$A$11:$F$29,6),IF(AND(H101&gt;1994,H101&lt;1998),VLOOKUP(I101,Feuil1!$A$11:$F$29,5),IF(AND(H101&gt;1997,H101&lt;2000),VLOOKUP(I101,Feuil1!$A$11:$F$29,4),IF(AND(H101&gt;1999,H101&lt;2002),VLOOKUP(I101,Feuil1!$A$11:$F$29,3),VLOOKUP(I101,Feuil1!$A$11:$F$29,2))))),IF(OR(H101="SEN",H101&lt;1995),VLOOKUP(I101,Feuil1!$G$11:$L$25,6),IF(AND(H101&gt;1994,H101&lt;1998),VLOOKUP(I101,Feuil1!$G$11:$L$25,5),IF(AND(H101&gt;1997,H101&lt;2000),VLOOKUP(I101,Feuil1!$G$11:$L$25,4),IF(AND(H101&gt;1999,H101&lt;2002),VLOOKUP(I101,Feuil1!$G$11:$L$25,3),VLOOKUP(I101,Feuil1!$G$11:$L$25,2)))))))</f>
        <v>FS58</v>
      </c>
      <c r="Y101" s="39">
        <f t="shared" si="33"/>
        <v>163.14676338667837</v>
      </c>
      <c r="Z101" s="45"/>
      <c r="AA101" s="49" t="s">
        <v>12</v>
      </c>
      <c r="AB101" s="3">
        <f>T101-HLOOKUP(X101,Feuil1!$C$1:$BL$10,2,FALSE)</f>
        <v>45</v>
      </c>
      <c r="AC101" s="3">
        <f>T101-HLOOKUP(X101,Feuil1!$C$1:$BL$10,3,FALSE)</f>
        <v>35</v>
      </c>
      <c r="AD101" s="3">
        <f>T101-HLOOKUP(X101,Feuil1!$C$1:$BL$10,4,FALSE)</f>
        <v>25</v>
      </c>
      <c r="AE101" s="3">
        <f>T101-HLOOKUP(X101,Feuil1!$C$1:$BL$10,5,FALSE)</f>
        <v>15</v>
      </c>
      <c r="AF101" s="3">
        <f>T101-HLOOKUP(X101,Feuil1!$C$1:$BL$10,6,FALSE)</f>
        <v>0</v>
      </c>
      <c r="AG101" s="3">
        <f>T101-HLOOKUP(X101,Feuil1!$C$1:$BL$10,7,FALSE)</f>
        <v>-15</v>
      </c>
      <c r="AH101" s="3">
        <f>T101-HLOOKUP(X101,Feuil1!$C$1:$BL$10,8,FALSE)</f>
        <v>-35</v>
      </c>
      <c r="AI101" s="3">
        <f>T101-HLOOKUP(X101,Feuil1!$C$1:$BL$10,9,FALSE)</f>
        <v>-55</v>
      </c>
      <c r="AJ101" s="3">
        <f>T101-HLOOKUP(X101,Feuil1!$C$1:$BL$10,10,FALSE)</f>
        <v>-75</v>
      </c>
      <c r="AQ101" s="5" t="str">
        <f t="shared" si="34"/>
        <v>FED +</v>
      </c>
      <c r="BC101" s="13"/>
    </row>
    <row r="102" spans="1:55" ht="21" hidden="1" x14ac:dyDescent="0.2">
      <c r="A102" s="12" t="s">
        <v>69</v>
      </c>
      <c r="B102" s="18" t="s">
        <v>108</v>
      </c>
      <c r="C102" s="19" t="s">
        <v>119</v>
      </c>
      <c r="D102" s="61">
        <v>26</v>
      </c>
      <c r="E102" s="35">
        <v>377053</v>
      </c>
      <c r="F102" s="20" t="s">
        <v>204</v>
      </c>
      <c r="G102" s="20" t="s">
        <v>205</v>
      </c>
      <c r="H102" s="51">
        <v>1986</v>
      </c>
      <c r="I102" s="30">
        <v>57.8</v>
      </c>
      <c r="J102" s="19" t="s">
        <v>173</v>
      </c>
      <c r="K102" s="34" t="s">
        <v>69</v>
      </c>
      <c r="L102" s="31">
        <v>45</v>
      </c>
      <c r="M102" s="31">
        <v>50</v>
      </c>
      <c r="N102" s="31">
        <v>-53</v>
      </c>
      <c r="O102" s="36">
        <f t="shared" si="27"/>
        <v>50</v>
      </c>
      <c r="P102" s="31">
        <v>60</v>
      </c>
      <c r="Q102" s="31">
        <v>-65</v>
      </c>
      <c r="R102" s="31">
        <v>65</v>
      </c>
      <c r="S102" s="36">
        <f t="shared" si="28"/>
        <v>65</v>
      </c>
      <c r="T102" s="37">
        <f t="shared" si="29"/>
        <v>115</v>
      </c>
      <c r="U102" s="65">
        <f t="shared" si="30"/>
        <v>-0.59999999999999432</v>
      </c>
      <c r="V102" s="41" t="str">
        <f t="shared" si="31"/>
        <v>FED +</v>
      </c>
      <c r="W102" s="33">
        <f t="shared" si="32"/>
        <v>0</v>
      </c>
      <c r="X102" s="40" t="str">
        <f>IF(I102="","",IF(A102="H",IF(OR(H102="SEN",H102&lt;1995),VLOOKUP(I102,Feuil1!$A$11:$F$29,6),IF(AND(H102&gt;1994,H102&lt;1998),VLOOKUP(I102,Feuil1!$A$11:$F$29,5),IF(AND(H102&gt;1997,H102&lt;2000),VLOOKUP(I102,Feuil1!$A$11:$F$29,4),IF(AND(H102&gt;1999,H102&lt;2002),VLOOKUP(I102,Feuil1!$A$11:$F$29,3),VLOOKUP(I102,Feuil1!$A$11:$F$29,2))))),IF(OR(H102="SEN",H102&lt;1995),VLOOKUP(I102,Feuil1!$G$11:$L$25,6),IF(AND(H102&gt;1994,H102&lt;1998),VLOOKUP(I102,Feuil1!$G$11:$L$25,5),IF(AND(H102&gt;1997,H102&lt;2000),VLOOKUP(I102,Feuil1!$G$11:$L$25,4),IF(AND(H102&gt;1999,H102&lt;2002),VLOOKUP(I102,Feuil1!$G$11:$L$25,3),VLOOKUP(I102,Feuil1!$G$11:$L$25,2)))))))</f>
        <v>FS58</v>
      </c>
      <c r="Y102" s="39">
        <f t="shared" si="33"/>
        <v>162.31546926552289</v>
      </c>
      <c r="Z102" s="45"/>
      <c r="AA102" s="49" t="s">
        <v>12</v>
      </c>
      <c r="AB102" s="3">
        <f>T102-HLOOKUP(X102,Feuil1!$C$1:$BL$10,2,FALSE)</f>
        <v>45</v>
      </c>
      <c r="AC102" s="3">
        <f>T102-HLOOKUP(X102,Feuil1!$C$1:$BL$10,3,FALSE)</f>
        <v>35</v>
      </c>
      <c r="AD102" s="3">
        <f>T102-HLOOKUP(X102,Feuil1!$C$1:$BL$10,4,FALSE)</f>
        <v>25</v>
      </c>
      <c r="AE102" s="3">
        <f>T102-HLOOKUP(X102,Feuil1!$C$1:$BL$10,5,FALSE)</f>
        <v>15</v>
      </c>
      <c r="AF102" s="3">
        <f>T102-HLOOKUP(X102,Feuil1!$C$1:$BL$10,6,FALSE)</f>
        <v>0</v>
      </c>
      <c r="AG102" s="3">
        <f>T102-HLOOKUP(X102,Feuil1!$C$1:$BL$10,7,FALSE)</f>
        <v>-15</v>
      </c>
      <c r="AH102" s="3">
        <f>T102-HLOOKUP(X102,Feuil1!$C$1:$BL$10,8,FALSE)</f>
        <v>-35</v>
      </c>
      <c r="AI102" s="3">
        <f>T102-HLOOKUP(X102,Feuil1!$C$1:$BL$10,9,FALSE)</f>
        <v>-55</v>
      </c>
      <c r="AJ102" s="3">
        <f>T102-HLOOKUP(X102,Feuil1!$C$1:$BL$10,10,FALSE)</f>
        <v>-75</v>
      </c>
      <c r="AQ102" s="5" t="str">
        <f t="shared" si="34"/>
        <v>FED +</v>
      </c>
    </row>
    <row r="103" spans="1:55" ht="21" hidden="1" x14ac:dyDescent="0.2">
      <c r="A103" s="12" t="s">
        <v>69</v>
      </c>
      <c r="B103" s="18" t="s">
        <v>108</v>
      </c>
      <c r="C103" s="19" t="s">
        <v>146</v>
      </c>
      <c r="D103" s="61">
        <v>27</v>
      </c>
      <c r="E103" s="35">
        <v>367034</v>
      </c>
      <c r="F103" s="20" t="s">
        <v>250</v>
      </c>
      <c r="G103" s="20" t="s">
        <v>251</v>
      </c>
      <c r="H103" s="51">
        <v>1989</v>
      </c>
      <c r="I103" s="30">
        <v>55.5</v>
      </c>
      <c r="J103" s="19" t="s">
        <v>152</v>
      </c>
      <c r="K103" s="34" t="s">
        <v>69</v>
      </c>
      <c r="L103" s="31">
        <v>45</v>
      </c>
      <c r="M103" s="31">
        <v>48</v>
      </c>
      <c r="N103" s="31">
        <v>50</v>
      </c>
      <c r="O103" s="36">
        <f t="shared" si="27"/>
        <v>50</v>
      </c>
      <c r="P103" s="31">
        <v>59</v>
      </c>
      <c r="Q103" s="31">
        <v>63</v>
      </c>
      <c r="R103" s="31">
        <v>-66</v>
      </c>
      <c r="S103" s="36">
        <f t="shared" si="28"/>
        <v>63</v>
      </c>
      <c r="T103" s="37">
        <f t="shared" si="29"/>
        <v>113</v>
      </c>
      <c r="U103" s="65">
        <f t="shared" si="30"/>
        <v>2</v>
      </c>
      <c r="V103" s="41" t="str">
        <f t="shared" si="31"/>
        <v>IRG +</v>
      </c>
      <c r="W103" s="33">
        <f t="shared" si="32"/>
        <v>13</v>
      </c>
      <c r="X103" s="40" t="str">
        <f>IF(I103="","",IF(A103="H",IF(OR(H103="SEN",H103&lt;1995),VLOOKUP(I103,Feuil1!$A$11:$F$29,6),IF(AND(H103&gt;1994,H103&lt;1998),VLOOKUP(I103,Feuil1!$A$11:$F$29,5),IF(AND(H103&gt;1997,H103&lt;2000),VLOOKUP(I103,Feuil1!$A$11:$F$29,4),IF(AND(H103&gt;1999,H103&lt;2002),VLOOKUP(I103,Feuil1!$A$11:$F$29,3),VLOOKUP(I103,Feuil1!$A$11:$F$29,2))))),IF(OR(H103="SEN",H103&lt;1995),VLOOKUP(I103,Feuil1!$G$11:$L$25,6),IF(AND(H103&gt;1994,H103&lt;1998),VLOOKUP(I103,Feuil1!$G$11:$L$25,5),IF(AND(H103&gt;1997,H103&lt;2000),VLOOKUP(I103,Feuil1!$G$11:$L$25,4),IF(AND(H103&gt;1999,H103&lt;2002),VLOOKUP(I103,Feuil1!$G$11:$L$25,3),VLOOKUP(I103,Feuil1!$G$11:$L$25,2)))))))</f>
        <v>FS58</v>
      </c>
      <c r="Y103" s="39">
        <f t="shared" si="33"/>
        <v>164.41602793520914</v>
      </c>
      <c r="Z103" s="45"/>
      <c r="AA103" s="49" t="s">
        <v>12</v>
      </c>
      <c r="AB103" s="3">
        <f>T103-HLOOKUP(X103,Feuil1!$C$1:$BL$10,2,FALSE)</f>
        <v>43</v>
      </c>
      <c r="AC103" s="3">
        <f>T103-HLOOKUP(X103,Feuil1!$C$1:$BL$10,3,FALSE)</f>
        <v>33</v>
      </c>
      <c r="AD103" s="3">
        <f>T103-HLOOKUP(X103,Feuil1!$C$1:$BL$10,4,FALSE)</f>
        <v>23</v>
      </c>
      <c r="AE103" s="3">
        <f>T103-HLOOKUP(X103,Feuil1!$C$1:$BL$10,5,FALSE)</f>
        <v>13</v>
      </c>
      <c r="AF103" s="3">
        <f>T103-HLOOKUP(X103,Feuil1!$C$1:$BL$10,6,FALSE)</f>
        <v>-2</v>
      </c>
      <c r="AG103" s="3">
        <f>T103-HLOOKUP(X103,Feuil1!$C$1:$BL$10,7,FALSE)</f>
        <v>-17</v>
      </c>
      <c r="AH103" s="3">
        <f>T103-HLOOKUP(X103,Feuil1!$C$1:$BL$10,8,FALSE)</f>
        <v>-37</v>
      </c>
      <c r="AI103" s="3">
        <f>T103-HLOOKUP(X103,Feuil1!$C$1:$BL$10,9,FALSE)</f>
        <v>-57</v>
      </c>
      <c r="AJ103" s="3">
        <f>T103-HLOOKUP(X103,Feuil1!$C$1:$BL$10,10,FALSE)</f>
        <v>-77</v>
      </c>
      <c r="AQ103" s="5" t="str">
        <f t="shared" si="34"/>
        <v>IRG +</v>
      </c>
    </row>
    <row r="104" spans="1:55" ht="21" hidden="1" x14ac:dyDescent="0.2">
      <c r="A104" s="12" t="s">
        <v>69</v>
      </c>
      <c r="B104" s="67" t="s">
        <v>71</v>
      </c>
      <c r="C104" s="68" t="s">
        <v>72</v>
      </c>
      <c r="D104" s="69">
        <v>28</v>
      </c>
      <c r="E104" s="70">
        <v>351973</v>
      </c>
      <c r="F104" s="71" t="s">
        <v>984</v>
      </c>
      <c r="G104" s="71" t="s">
        <v>180</v>
      </c>
      <c r="H104" s="72">
        <v>1980</v>
      </c>
      <c r="I104" s="73">
        <v>53.4</v>
      </c>
      <c r="J104" s="68" t="s">
        <v>923</v>
      </c>
      <c r="K104" s="74" t="s">
        <v>69</v>
      </c>
      <c r="L104" s="75">
        <v>-47</v>
      </c>
      <c r="M104" s="75">
        <v>47</v>
      </c>
      <c r="N104" s="75">
        <v>-51</v>
      </c>
      <c r="O104" s="76">
        <f t="shared" si="27"/>
        <v>47</v>
      </c>
      <c r="P104" s="75">
        <v>65</v>
      </c>
      <c r="Q104" s="75">
        <v>-70</v>
      </c>
      <c r="R104" s="75">
        <v>-71</v>
      </c>
      <c r="S104" s="76">
        <f t="shared" si="28"/>
        <v>65</v>
      </c>
      <c r="T104" s="77">
        <f t="shared" si="29"/>
        <v>112</v>
      </c>
      <c r="U104" s="78">
        <f t="shared" si="30"/>
        <v>5.2000000000000028</v>
      </c>
      <c r="V104" s="87" t="str">
        <f t="shared" si="31"/>
        <v>IRG +</v>
      </c>
      <c r="W104" s="80">
        <f t="shared" si="32"/>
        <v>12</v>
      </c>
      <c r="X104" s="81" t="str">
        <f>IF(I104="","",IF(A104="H",IF(OR(H104="SEN",H104&lt;1995),VLOOKUP(I104,Feuil1!$A$11:$F$29,6),IF(AND(H104&gt;1994,H104&lt;1998),VLOOKUP(I104,Feuil1!$A$11:$F$29,5),IF(AND(H104&gt;1997,H104&lt;2000),VLOOKUP(I104,Feuil1!$A$11:$F$29,4),IF(AND(H104&gt;1999,H104&lt;2002),VLOOKUP(I104,Feuil1!$A$11:$F$29,3),VLOOKUP(I104,Feuil1!$A$11:$F$29,2))))),IF(OR(H104="SEN",H104&lt;1995),VLOOKUP(I104,Feuil1!$G$11:$L$25,6),IF(AND(H104&gt;1994,H104&lt;1998),VLOOKUP(I104,Feuil1!$G$11:$L$25,5),IF(AND(H104&gt;1997,H104&lt;2000),VLOOKUP(I104,Feuil1!$G$11:$L$25,4),IF(AND(H104&gt;1999,H104&lt;2002),VLOOKUP(I104,Feuil1!$G$11:$L$25,3),VLOOKUP(I104,Feuil1!$G$11:$L$25,2)))))))</f>
        <v>FS58</v>
      </c>
      <c r="Y104" s="39">
        <f t="shared" si="33"/>
        <v>167.93568952149093</v>
      </c>
      <c r="Z104" s="45"/>
      <c r="AA104" s="49" t="s">
        <v>12</v>
      </c>
      <c r="AB104" s="3">
        <f>T104-HLOOKUP(X104,Feuil1!$C$1:$BL$10,2,FALSE)</f>
        <v>42</v>
      </c>
      <c r="AC104" s="3">
        <f>T104-HLOOKUP(X104,Feuil1!$C$1:$BL$10,3,FALSE)</f>
        <v>32</v>
      </c>
      <c r="AD104" s="3">
        <f>T104-HLOOKUP(X104,Feuil1!$C$1:$BL$10,4,FALSE)</f>
        <v>22</v>
      </c>
      <c r="AE104" s="3">
        <f>T104-HLOOKUP(X104,Feuil1!$C$1:$BL$10,5,FALSE)</f>
        <v>12</v>
      </c>
      <c r="AF104" s="3">
        <f>T104-HLOOKUP(X104,Feuil1!$C$1:$BL$10,6,FALSE)</f>
        <v>-3</v>
      </c>
      <c r="AG104" s="3">
        <f>T104-HLOOKUP(X104,Feuil1!$C$1:$BL$10,7,FALSE)</f>
        <v>-18</v>
      </c>
      <c r="AH104" s="3">
        <f>T104-HLOOKUP(X104,Feuil1!$C$1:$BL$10,8,FALSE)</f>
        <v>-38</v>
      </c>
      <c r="AI104" s="3">
        <f>T104-HLOOKUP(X104,Feuil1!$C$1:$BL$10,9,FALSE)</f>
        <v>-58</v>
      </c>
      <c r="AJ104" s="3">
        <f>T104-HLOOKUP(X104,Feuil1!$C$1:$BL$10,10,FALSE)</f>
        <v>-78</v>
      </c>
      <c r="AQ104" s="5" t="str">
        <f t="shared" si="34"/>
        <v>IRG +</v>
      </c>
    </row>
    <row r="105" spans="1:55" ht="21" hidden="1" x14ac:dyDescent="0.2">
      <c r="A105" s="12" t="s">
        <v>69</v>
      </c>
      <c r="B105" s="18" t="s">
        <v>71</v>
      </c>
      <c r="C105" s="19" t="s">
        <v>72</v>
      </c>
      <c r="D105" s="61">
        <v>29</v>
      </c>
      <c r="E105" s="35">
        <v>142132</v>
      </c>
      <c r="F105" s="20" t="s">
        <v>951</v>
      </c>
      <c r="G105" s="20" t="s">
        <v>764</v>
      </c>
      <c r="H105" s="51">
        <v>1994</v>
      </c>
      <c r="I105" s="30">
        <v>57</v>
      </c>
      <c r="J105" s="19" t="s">
        <v>938</v>
      </c>
      <c r="K105" s="34" t="s">
        <v>69</v>
      </c>
      <c r="L105" s="31">
        <v>48</v>
      </c>
      <c r="M105" s="31">
        <v>-50</v>
      </c>
      <c r="N105" s="31">
        <v>51</v>
      </c>
      <c r="O105" s="36">
        <f t="shared" si="27"/>
        <v>51</v>
      </c>
      <c r="P105" s="31">
        <v>61</v>
      </c>
      <c r="Q105" s="31">
        <v>-64</v>
      </c>
      <c r="R105" s="31">
        <v>-64</v>
      </c>
      <c r="S105" s="36">
        <f t="shared" si="28"/>
        <v>61</v>
      </c>
      <c r="T105" s="37">
        <f t="shared" si="29"/>
        <v>112</v>
      </c>
      <c r="U105" s="65">
        <f t="shared" si="30"/>
        <v>-2</v>
      </c>
      <c r="V105" s="32" t="str">
        <f t="shared" si="31"/>
        <v>IRG +</v>
      </c>
      <c r="W105" s="33">
        <f t="shared" si="32"/>
        <v>12</v>
      </c>
      <c r="X105" s="40" t="str">
        <f>IF(I105="","",IF(A105="H",IF(OR(H105="SEN",H105&lt;1995),VLOOKUP(I105,Feuil1!$A$11:$F$29,6),IF(AND(H105&gt;1994,H105&lt;1998),VLOOKUP(I105,Feuil1!$A$11:$F$29,5),IF(AND(H105&gt;1997,H105&lt;2000),VLOOKUP(I105,Feuil1!$A$11:$F$29,4),IF(AND(H105&gt;1999,H105&lt;2002),VLOOKUP(I105,Feuil1!$A$11:$F$29,3),VLOOKUP(I105,Feuil1!$A$11:$F$29,2))))),IF(OR(H105="SEN",H105&lt;1995),VLOOKUP(I105,Feuil1!$G$11:$L$25,6),IF(AND(H105&gt;1994,H105&lt;1998),VLOOKUP(I105,Feuil1!$G$11:$L$25,5),IF(AND(H105&gt;1997,H105&lt;2000),VLOOKUP(I105,Feuil1!$G$11:$L$25,4),IF(AND(H105&gt;1999,H105&lt;2002),VLOOKUP(I105,Feuil1!$G$11:$L$25,3),VLOOKUP(I105,Feuil1!$G$11:$L$25,2)))))))</f>
        <v>FS58</v>
      </c>
      <c r="Y105" s="39">
        <f t="shared" si="33"/>
        <v>159.71628661731495</v>
      </c>
      <c r="Z105" s="45"/>
      <c r="AA105" s="49" t="s">
        <v>12</v>
      </c>
      <c r="AB105" s="3">
        <f>T105-HLOOKUP(X105,Feuil1!$C$1:$BL$10,2,FALSE)</f>
        <v>42</v>
      </c>
      <c r="AC105" s="3">
        <f>T105-HLOOKUP(X105,Feuil1!$C$1:$BL$10,3,FALSE)</f>
        <v>32</v>
      </c>
      <c r="AD105" s="3">
        <f>T105-HLOOKUP(X105,Feuil1!$C$1:$BL$10,4,FALSE)</f>
        <v>22</v>
      </c>
      <c r="AE105" s="3">
        <f>T105-HLOOKUP(X105,Feuil1!$C$1:$BL$10,5,FALSE)</f>
        <v>12</v>
      </c>
      <c r="AF105" s="3">
        <f>T105-HLOOKUP(X105,Feuil1!$C$1:$BL$10,6,FALSE)</f>
        <v>-3</v>
      </c>
      <c r="AG105" s="3">
        <f>T105-HLOOKUP(X105,Feuil1!$C$1:$BL$10,7,FALSE)</f>
        <v>-18</v>
      </c>
      <c r="AH105" s="3">
        <f>T105-HLOOKUP(X105,Feuil1!$C$1:$BL$10,8,FALSE)</f>
        <v>-38</v>
      </c>
      <c r="AI105" s="3">
        <f>T105-HLOOKUP(X105,Feuil1!$C$1:$BL$10,9,FALSE)</f>
        <v>-58</v>
      </c>
      <c r="AJ105" s="3">
        <f>T105-HLOOKUP(X105,Feuil1!$C$1:$BL$10,10,FALSE)</f>
        <v>-78</v>
      </c>
      <c r="AQ105" s="5" t="str">
        <f t="shared" si="34"/>
        <v>IRG +</v>
      </c>
    </row>
    <row r="106" spans="1:55" ht="21" hidden="1" x14ac:dyDescent="0.2">
      <c r="A106" s="12" t="s">
        <v>69</v>
      </c>
      <c r="B106" s="67" t="s">
        <v>536</v>
      </c>
      <c r="C106" s="68" t="s">
        <v>545</v>
      </c>
      <c r="D106" s="69">
        <v>30</v>
      </c>
      <c r="E106" s="70">
        <v>376138</v>
      </c>
      <c r="F106" s="71" t="s">
        <v>587</v>
      </c>
      <c r="G106" s="71" t="s">
        <v>588</v>
      </c>
      <c r="H106" s="85">
        <v>1992</v>
      </c>
      <c r="I106" s="73">
        <v>55</v>
      </c>
      <c r="J106" s="68" t="s">
        <v>548</v>
      </c>
      <c r="K106" s="74" t="s">
        <v>69</v>
      </c>
      <c r="L106" s="75">
        <v>42</v>
      </c>
      <c r="M106" s="75">
        <v>45</v>
      </c>
      <c r="N106" s="75">
        <v>-48</v>
      </c>
      <c r="O106" s="76">
        <f t="shared" si="27"/>
        <v>45</v>
      </c>
      <c r="P106" s="75">
        <v>60</v>
      </c>
      <c r="Q106" s="75">
        <v>-63</v>
      </c>
      <c r="R106" s="75">
        <v>63</v>
      </c>
      <c r="S106" s="76">
        <f t="shared" si="28"/>
        <v>63</v>
      </c>
      <c r="T106" s="77">
        <f t="shared" si="29"/>
        <v>108</v>
      </c>
      <c r="U106" s="78">
        <f t="shared" si="30"/>
        <v>-2</v>
      </c>
      <c r="V106" s="79" t="str">
        <f t="shared" si="31"/>
        <v>IRG +</v>
      </c>
      <c r="W106" s="80">
        <f t="shared" si="32"/>
        <v>8</v>
      </c>
      <c r="X106" s="81" t="str">
        <f>IF(I106="","",IF(A106="H",IF(OR(H106="SEN",H106&lt;1995),VLOOKUP(I106,Feuil1!$A$11:$F$29,6),IF(AND(H106&gt;1994,H106&lt;1998),VLOOKUP(I106,Feuil1!$A$11:$F$29,5),IF(AND(H106&gt;1997,H106&lt;2000),VLOOKUP(I106,Feuil1!$A$11:$F$29,4),IF(AND(H106&gt;1999,H106&lt;2002),VLOOKUP(I106,Feuil1!$A$11:$F$29,3),VLOOKUP(I106,Feuil1!$A$11:$F$29,2))))),IF(OR(H106="SEN",H106&lt;1995),VLOOKUP(I106,Feuil1!$G$11:$L$25,6),IF(AND(H106&gt;1994,H106&lt;1998),VLOOKUP(I106,Feuil1!$G$11:$L$25,5),IF(AND(H106&gt;1997,H106&lt;2000),VLOOKUP(I106,Feuil1!$G$11:$L$25,4),IF(AND(H106&gt;1999,H106&lt;2002),VLOOKUP(I106,Feuil1!$G$11:$L$25,3),VLOOKUP(I106,Feuil1!$G$11:$L$25,2)))))))</f>
        <v>FS58</v>
      </c>
      <c r="Y106" s="39">
        <f t="shared" si="33"/>
        <v>158.23706471013526</v>
      </c>
      <c r="Z106" s="45"/>
      <c r="AA106" s="49" t="s">
        <v>12</v>
      </c>
      <c r="AB106" s="3">
        <f>T106-HLOOKUP(X106,Feuil1!$C$1:$BL$10,2,FALSE)</f>
        <v>38</v>
      </c>
      <c r="AC106" s="3">
        <f>T106-HLOOKUP(X106,Feuil1!$C$1:$BL$10,3,FALSE)</f>
        <v>28</v>
      </c>
      <c r="AD106" s="3">
        <f>T106-HLOOKUP(X106,Feuil1!$C$1:$BL$10,4,FALSE)</f>
        <v>18</v>
      </c>
      <c r="AE106" s="3">
        <f>T106-HLOOKUP(X106,Feuil1!$C$1:$BL$10,5,FALSE)</f>
        <v>8</v>
      </c>
      <c r="AF106" s="3">
        <f>T106-HLOOKUP(X106,Feuil1!$C$1:$BL$10,6,FALSE)</f>
        <v>-7</v>
      </c>
      <c r="AG106" s="3">
        <f>T106-HLOOKUP(X106,Feuil1!$C$1:$BL$10,7,FALSE)</f>
        <v>-22</v>
      </c>
      <c r="AH106" s="3">
        <f>T106-HLOOKUP(X106,Feuil1!$C$1:$BL$10,8,FALSE)</f>
        <v>-42</v>
      </c>
      <c r="AI106" s="3">
        <f>T106-HLOOKUP(X106,Feuil1!$C$1:$BL$10,9,FALSE)</f>
        <v>-62</v>
      </c>
      <c r="AJ106" s="3">
        <f>T106-HLOOKUP(X106,Feuil1!$C$1:$BL$10,10,FALSE)</f>
        <v>-82</v>
      </c>
      <c r="AQ106" s="5" t="str">
        <f t="shared" si="34"/>
        <v>IRG +</v>
      </c>
    </row>
    <row r="107" spans="1:55" ht="21" hidden="1" x14ac:dyDescent="0.2">
      <c r="A107" s="12" t="s">
        <v>69</v>
      </c>
      <c r="B107" s="18" t="s">
        <v>71</v>
      </c>
      <c r="C107" s="19" t="s">
        <v>72</v>
      </c>
      <c r="D107" s="61">
        <v>31</v>
      </c>
      <c r="E107" s="35">
        <v>386221</v>
      </c>
      <c r="F107" s="20" t="s">
        <v>978</v>
      </c>
      <c r="G107" s="20" t="s">
        <v>979</v>
      </c>
      <c r="H107" s="58">
        <v>1982</v>
      </c>
      <c r="I107" s="30">
        <v>54.83</v>
      </c>
      <c r="J107" s="19" t="s">
        <v>921</v>
      </c>
      <c r="K107" s="34" t="s">
        <v>980</v>
      </c>
      <c r="L107" s="31">
        <v>-47</v>
      </c>
      <c r="M107" s="31">
        <v>47</v>
      </c>
      <c r="N107" s="31">
        <v>50</v>
      </c>
      <c r="O107" s="36">
        <f t="shared" si="27"/>
        <v>50</v>
      </c>
      <c r="P107" s="31">
        <v>57</v>
      </c>
      <c r="Q107" s="31">
        <v>-65</v>
      </c>
      <c r="R107" s="31">
        <v>-65</v>
      </c>
      <c r="S107" s="36">
        <f t="shared" si="28"/>
        <v>57</v>
      </c>
      <c r="T107" s="37">
        <f t="shared" si="29"/>
        <v>107</v>
      </c>
      <c r="U107" s="65">
        <f t="shared" si="30"/>
        <v>-2.6599999999999966</v>
      </c>
      <c r="V107" s="41" t="str">
        <f t="shared" si="31"/>
        <v>IRG +</v>
      </c>
      <c r="W107" s="33">
        <f t="shared" si="32"/>
        <v>7</v>
      </c>
      <c r="X107" s="40" t="str">
        <f>IF(I107="","",IF(A107="H",IF(OR(H107="SEN",H107&lt;1995),VLOOKUP(I107,Feuil1!$A$11:$F$29,6),IF(AND(H107&gt;1994,H107&lt;1998),VLOOKUP(I107,Feuil1!$A$11:$F$29,5),IF(AND(H107&gt;1997,H107&lt;2000),VLOOKUP(I107,Feuil1!$A$11:$F$29,4),IF(AND(H107&gt;1999,H107&lt;2002),VLOOKUP(I107,Feuil1!$A$11:$F$29,3),VLOOKUP(I107,Feuil1!$A$11:$F$29,2))))),IF(OR(H107="SEN",H107&lt;1995),VLOOKUP(I107,Feuil1!$G$11:$L$25,6),IF(AND(H107&gt;1994,H107&lt;1998),VLOOKUP(I107,Feuil1!$G$11:$L$25,5),IF(AND(H107&gt;1997,H107&lt;2000),VLOOKUP(I107,Feuil1!$G$11:$L$25,4),IF(AND(H107&gt;1999,H107&lt;2002),VLOOKUP(I107,Feuil1!$G$11:$L$25,3),VLOOKUP(I107,Feuil1!$G$11:$L$25,2)))))))</f>
        <v>FS58</v>
      </c>
      <c r="Y107" s="39">
        <f t="shared" si="33"/>
        <v>157.14741258983972</v>
      </c>
      <c r="Z107" s="45"/>
      <c r="AA107" s="49" t="s">
        <v>12</v>
      </c>
      <c r="AB107" s="3">
        <f>T107-HLOOKUP(X107,Feuil1!$C$1:$BL$10,2,FALSE)</f>
        <v>37</v>
      </c>
      <c r="AC107" s="3">
        <f>T107-HLOOKUP(X107,Feuil1!$C$1:$BL$10,3,FALSE)</f>
        <v>27</v>
      </c>
      <c r="AD107" s="3">
        <f>T107-HLOOKUP(X107,Feuil1!$C$1:$BL$10,4,FALSE)</f>
        <v>17</v>
      </c>
      <c r="AE107" s="3">
        <f>T107-HLOOKUP(X107,Feuil1!$C$1:$BL$10,5,FALSE)</f>
        <v>7</v>
      </c>
      <c r="AF107" s="3">
        <f>T107-HLOOKUP(X107,Feuil1!$C$1:$BL$10,6,FALSE)</f>
        <v>-8</v>
      </c>
      <c r="AG107" s="3">
        <f>T107-HLOOKUP(X107,Feuil1!$C$1:$BL$10,7,FALSE)</f>
        <v>-23</v>
      </c>
      <c r="AH107" s="3">
        <f>T107-HLOOKUP(X107,Feuil1!$C$1:$BL$10,8,FALSE)</f>
        <v>-43</v>
      </c>
      <c r="AI107" s="3">
        <f>T107-HLOOKUP(X107,Feuil1!$C$1:$BL$10,9,FALSE)</f>
        <v>-63</v>
      </c>
      <c r="AJ107" s="3">
        <f>T107-HLOOKUP(X107,Feuil1!$C$1:$BL$10,10,FALSE)</f>
        <v>-83</v>
      </c>
      <c r="AQ107" s="5" t="str">
        <f t="shared" si="34"/>
        <v>IRG +</v>
      </c>
      <c r="BC107" s="13"/>
    </row>
    <row r="108" spans="1:55" ht="21" hidden="1" x14ac:dyDescent="0.2">
      <c r="A108" s="12" t="s">
        <v>69</v>
      </c>
      <c r="B108" s="67" t="s">
        <v>108</v>
      </c>
      <c r="C108" s="68" t="s">
        <v>119</v>
      </c>
      <c r="D108" s="69">
        <v>32</v>
      </c>
      <c r="E108" s="70">
        <v>25608</v>
      </c>
      <c r="F108" s="71" t="s">
        <v>199</v>
      </c>
      <c r="G108" s="71" t="s">
        <v>200</v>
      </c>
      <c r="H108" s="72">
        <v>1958</v>
      </c>
      <c r="I108" s="73">
        <v>53.4</v>
      </c>
      <c r="J108" s="68" t="s">
        <v>122</v>
      </c>
      <c r="K108" s="74" t="s">
        <v>69</v>
      </c>
      <c r="L108" s="75">
        <v>43</v>
      </c>
      <c r="M108" s="75">
        <v>46</v>
      </c>
      <c r="N108" s="75">
        <v>48</v>
      </c>
      <c r="O108" s="76">
        <f t="shared" si="27"/>
        <v>48</v>
      </c>
      <c r="P108" s="75">
        <v>52</v>
      </c>
      <c r="Q108" s="75">
        <v>55</v>
      </c>
      <c r="R108" s="75">
        <v>57</v>
      </c>
      <c r="S108" s="76">
        <f t="shared" si="28"/>
        <v>57</v>
      </c>
      <c r="T108" s="77">
        <f t="shared" si="29"/>
        <v>105</v>
      </c>
      <c r="U108" s="78">
        <f t="shared" si="30"/>
        <v>-1.7999999999999972</v>
      </c>
      <c r="V108" s="79" t="str">
        <f t="shared" si="31"/>
        <v>IRG +</v>
      </c>
      <c r="W108" s="80">
        <f t="shared" si="32"/>
        <v>5</v>
      </c>
      <c r="X108" s="81" t="str">
        <f>IF(I108="","",IF(A108="H",IF(OR(H108="SEN",H108&lt;1995),VLOOKUP(I108,Feuil1!$A$11:$F$29,6),IF(AND(H108&gt;1994,H108&lt;1998),VLOOKUP(I108,Feuil1!$A$11:$F$29,5),IF(AND(H108&gt;1997,H108&lt;2000),VLOOKUP(I108,Feuil1!$A$11:$F$29,4),IF(AND(H108&gt;1999,H108&lt;2002),VLOOKUP(I108,Feuil1!$A$11:$F$29,3),VLOOKUP(I108,Feuil1!$A$11:$F$29,2))))),IF(OR(H108="SEN",H108&lt;1995),VLOOKUP(I108,Feuil1!$G$11:$L$25,6),IF(AND(H108&gt;1994,H108&lt;1998),VLOOKUP(I108,Feuil1!$G$11:$L$25,5),IF(AND(H108&gt;1997,H108&lt;2000),VLOOKUP(I108,Feuil1!$G$11:$L$25,4),IF(AND(H108&gt;1999,H108&lt;2002),VLOOKUP(I108,Feuil1!$G$11:$L$25,3),VLOOKUP(I108,Feuil1!$G$11:$L$25,2)))))))</f>
        <v>FS58</v>
      </c>
      <c r="Y108" s="39">
        <f t="shared" si="33"/>
        <v>157.43970892639774</v>
      </c>
      <c r="Z108" s="45"/>
      <c r="AA108" s="49" t="s">
        <v>12</v>
      </c>
      <c r="AB108" s="3">
        <f>T108-HLOOKUP(X108,Feuil1!$C$1:$BL$10,2,FALSE)</f>
        <v>35</v>
      </c>
      <c r="AC108" s="3">
        <f>T108-HLOOKUP(X108,Feuil1!$C$1:$BL$10,3,FALSE)</f>
        <v>25</v>
      </c>
      <c r="AD108" s="3">
        <f>T108-HLOOKUP(X108,Feuil1!$C$1:$BL$10,4,FALSE)</f>
        <v>15</v>
      </c>
      <c r="AE108" s="3">
        <f>T108-HLOOKUP(X108,Feuil1!$C$1:$BL$10,5,FALSE)</f>
        <v>5</v>
      </c>
      <c r="AF108" s="3">
        <f>T108-HLOOKUP(X108,Feuil1!$C$1:$BL$10,6,FALSE)</f>
        <v>-10</v>
      </c>
      <c r="AG108" s="3">
        <f>T108-HLOOKUP(X108,Feuil1!$C$1:$BL$10,7,FALSE)</f>
        <v>-25</v>
      </c>
      <c r="AH108" s="3">
        <f>T108-HLOOKUP(X108,Feuil1!$C$1:$BL$10,8,FALSE)</f>
        <v>-45</v>
      </c>
      <c r="AI108" s="3">
        <f>T108-HLOOKUP(X108,Feuil1!$C$1:$BL$10,9,FALSE)</f>
        <v>-65</v>
      </c>
      <c r="AJ108" s="3">
        <f>T108-HLOOKUP(X108,Feuil1!$C$1:$BL$10,10,FALSE)</f>
        <v>-85</v>
      </c>
      <c r="AQ108" s="5" t="str">
        <f t="shared" si="34"/>
        <v>IRG +</v>
      </c>
    </row>
    <row r="109" spans="1:55" ht="21" hidden="1" x14ac:dyDescent="0.2">
      <c r="A109" s="12" t="s">
        <v>69</v>
      </c>
      <c r="B109" s="18" t="s">
        <v>298</v>
      </c>
      <c r="C109" s="19" t="s">
        <v>299</v>
      </c>
      <c r="D109" s="61">
        <v>33</v>
      </c>
      <c r="E109" s="35">
        <v>386103</v>
      </c>
      <c r="F109" s="20" t="s">
        <v>348</v>
      </c>
      <c r="G109" s="20" t="s">
        <v>197</v>
      </c>
      <c r="H109" s="51">
        <v>1985</v>
      </c>
      <c r="I109" s="30">
        <v>56</v>
      </c>
      <c r="J109" s="19" t="s">
        <v>349</v>
      </c>
      <c r="K109" s="34" t="s">
        <v>69</v>
      </c>
      <c r="L109" s="31">
        <v>40</v>
      </c>
      <c r="M109" s="31">
        <v>-45</v>
      </c>
      <c r="N109" s="31">
        <v>45</v>
      </c>
      <c r="O109" s="36">
        <f t="shared" ref="O109:O140" si="35">IF(H109="","",IF(MAXA(L109:N109)&lt;=0,0,MAXA(L109:N109)))</f>
        <v>45</v>
      </c>
      <c r="P109" s="31">
        <v>55</v>
      </c>
      <c r="Q109" s="31">
        <v>60</v>
      </c>
      <c r="R109" s="31">
        <v>-65</v>
      </c>
      <c r="S109" s="36">
        <f t="shared" ref="S109:S140" si="36">IF(H109="","",IF(MAXA(P109:R109)&lt;=0,0,MAXA(P109:R109)))</f>
        <v>60</v>
      </c>
      <c r="T109" s="37">
        <f t="shared" ref="T109:T140" si="37">IF(H109="","",IF(OR(O109=0,S109=0),0,O109+S109))</f>
        <v>105</v>
      </c>
      <c r="U109" s="65">
        <f t="shared" ref="U109:U140" si="38">T109-I109*2</f>
        <v>-7</v>
      </c>
      <c r="V109" s="41" t="str">
        <f t="shared" ref="V109:V140" si="39">IF(H109="","",AQ109)</f>
        <v>IRG +</v>
      </c>
      <c r="W109" s="33">
        <f t="shared" ref="W109:W140" si="40">IF(AJ109&gt;=0,AJ109,IF(AI109&gt;=0,AI109,IF(AH109&gt;=0,AH109,IF(AG109&gt;=0,AG109,IF(AF109&gt;=0,AF109,IF(AE109&gt;=0,AE109,IF(AD109&gt;=0,AD109,IF(AC109&gt;=0,AC109,AB109))))))))</f>
        <v>5</v>
      </c>
      <c r="X109" s="40" t="str">
        <f>IF(I109="","",IF(A109="H",IF(OR(H109="SEN",H109&lt;1995),VLOOKUP(I109,Feuil1!$A$11:$F$29,6),IF(AND(H109&gt;1994,H109&lt;1998),VLOOKUP(I109,Feuil1!$A$11:$F$29,5),IF(AND(H109&gt;1997,H109&lt;2000),VLOOKUP(I109,Feuil1!$A$11:$F$29,4),IF(AND(H109&gt;1999,H109&lt;2002),VLOOKUP(I109,Feuil1!$A$11:$F$29,3),VLOOKUP(I109,Feuil1!$A$11:$F$29,2))))),IF(OR(H109="SEN",H109&lt;1995),VLOOKUP(I109,Feuil1!$G$11:$L$25,6),IF(AND(H109&gt;1994,H109&lt;1998),VLOOKUP(I109,Feuil1!$G$11:$L$25,5),IF(AND(H109&gt;1997,H109&lt;2000),VLOOKUP(I109,Feuil1!$G$11:$L$25,4),IF(AND(H109&gt;1999,H109&lt;2002),VLOOKUP(I109,Feuil1!$G$11:$L$25,3),VLOOKUP(I109,Feuil1!$G$11:$L$25,2)))))))</f>
        <v>FS58</v>
      </c>
      <c r="Y109" s="39">
        <f t="shared" ref="Y109:Y140" si="41">IF(I109="","",IF(A109="H",10^(0.794358141*LOG(I109/174.393)^2)*T109,IF(A109="F",10^(0.89726074*LOG(I109/148.026)^2)*T109,"")))</f>
        <v>151.73671457095878</v>
      </c>
      <c r="Z109" s="45"/>
      <c r="AA109" s="49" t="s">
        <v>12</v>
      </c>
      <c r="AB109" s="3">
        <f>T109-HLOOKUP(X109,Feuil1!$C$1:$BL$10,2,FALSE)</f>
        <v>35</v>
      </c>
      <c r="AC109" s="3">
        <f>T109-HLOOKUP(X109,Feuil1!$C$1:$BL$10,3,FALSE)</f>
        <v>25</v>
      </c>
      <c r="AD109" s="3">
        <f>T109-HLOOKUP(X109,Feuil1!$C$1:$BL$10,4,FALSE)</f>
        <v>15</v>
      </c>
      <c r="AE109" s="3">
        <f>T109-HLOOKUP(X109,Feuil1!$C$1:$BL$10,5,FALSE)</f>
        <v>5</v>
      </c>
      <c r="AF109" s="3">
        <f>T109-HLOOKUP(X109,Feuil1!$C$1:$BL$10,6,FALSE)</f>
        <v>-10</v>
      </c>
      <c r="AG109" s="3">
        <f>T109-HLOOKUP(X109,Feuil1!$C$1:$BL$10,7,FALSE)</f>
        <v>-25</v>
      </c>
      <c r="AH109" s="3">
        <f>T109-HLOOKUP(X109,Feuil1!$C$1:$BL$10,8,FALSE)</f>
        <v>-45</v>
      </c>
      <c r="AI109" s="3">
        <f>T109-HLOOKUP(X109,Feuil1!$C$1:$BL$10,9,FALSE)</f>
        <v>-65</v>
      </c>
      <c r="AJ109" s="3">
        <f>T109-HLOOKUP(X109,Feuil1!$C$1:$BL$10,10,FALSE)</f>
        <v>-85</v>
      </c>
      <c r="AQ109" s="5" t="str">
        <f t="shared" ref="AQ109:AQ140" si="42">IF(AJ109&gt;=0,$AJ$1,IF(AI109&gt;=0,$AI$1,IF(AH109&gt;=0,$AH$1,IF(AG109&gt;=0,$AG$1,IF(AF109&gt;=0,$AF$1,IF(AE109&gt;=0,$AE$1,IF(AD109&gt;=0,$AD$1,IF(AC109&gt;=0,$AC$1,$AB$1))))))))</f>
        <v>IRG +</v>
      </c>
    </row>
    <row r="110" spans="1:55" ht="21" hidden="1" x14ac:dyDescent="0.2">
      <c r="A110" s="12" t="s">
        <v>69</v>
      </c>
      <c r="B110" s="18" t="s">
        <v>649</v>
      </c>
      <c r="C110" s="19" t="s">
        <v>661</v>
      </c>
      <c r="D110" s="61">
        <v>34</v>
      </c>
      <c r="E110" s="35">
        <v>186614</v>
      </c>
      <c r="F110" s="20" t="s">
        <v>685</v>
      </c>
      <c r="G110" s="20" t="s">
        <v>686</v>
      </c>
      <c r="H110" s="51">
        <v>1994</v>
      </c>
      <c r="I110" s="30">
        <v>57.8</v>
      </c>
      <c r="J110" s="19" t="s">
        <v>687</v>
      </c>
      <c r="K110" s="34" t="s">
        <v>69</v>
      </c>
      <c r="L110" s="31">
        <v>40</v>
      </c>
      <c r="M110" s="31">
        <v>45</v>
      </c>
      <c r="N110" s="31">
        <v>47</v>
      </c>
      <c r="O110" s="36">
        <f t="shared" si="35"/>
        <v>47</v>
      </c>
      <c r="P110" s="31">
        <v>50</v>
      </c>
      <c r="Q110" s="31">
        <v>55</v>
      </c>
      <c r="R110" s="31">
        <v>57</v>
      </c>
      <c r="S110" s="36">
        <f t="shared" si="36"/>
        <v>57</v>
      </c>
      <c r="T110" s="37">
        <f t="shared" si="37"/>
        <v>104</v>
      </c>
      <c r="U110" s="65">
        <f t="shared" si="38"/>
        <v>-11.599999999999994</v>
      </c>
      <c r="V110" s="41" t="str">
        <f t="shared" si="39"/>
        <v>IRG +</v>
      </c>
      <c r="W110" s="33">
        <f t="shared" si="40"/>
        <v>4</v>
      </c>
      <c r="X110" s="40" t="str">
        <f>IF(I110="","",IF(A110="H",IF(OR(H110="SEN",H110&lt;1995),VLOOKUP(I110,Feuil1!$A$11:$F$29,6),IF(AND(H110&gt;1994,H110&lt;1998),VLOOKUP(I110,Feuil1!$A$11:$F$29,5),IF(AND(H110&gt;1997,H110&lt;2000),VLOOKUP(I110,Feuil1!$A$11:$F$29,4),IF(AND(H110&gt;1999,H110&lt;2002),VLOOKUP(I110,Feuil1!$A$11:$F$29,3),VLOOKUP(I110,Feuil1!$A$11:$F$29,2))))),IF(OR(H110="SEN",H110&lt;1995),VLOOKUP(I110,Feuil1!$G$11:$L$25,6),IF(AND(H110&gt;1994,H110&lt;1998),VLOOKUP(I110,Feuil1!$G$11:$L$25,5),IF(AND(H110&gt;1997,H110&lt;2000),VLOOKUP(I110,Feuil1!$G$11:$L$25,4),IF(AND(H110&gt;1999,H110&lt;2002),VLOOKUP(I110,Feuil1!$G$11:$L$25,3),VLOOKUP(I110,Feuil1!$G$11:$L$25,2)))))))</f>
        <v>FS58</v>
      </c>
      <c r="Y110" s="39">
        <f t="shared" si="41"/>
        <v>146.78964177055985</v>
      </c>
      <c r="Z110" s="45"/>
      <c r="AA110" s="49" t="s">
        <v>12</v>
      </c>
      <c r="AB110" s="3">
        <f>T110-HLOOKUP(X110,Feuil1!$C$1:$BL$10,2,FALSE)</f>
        <v>34</v>
      </c>
      <c r="AC110" s="3">
        <f>T110-HLOOKUP(X110,Feuil1!$C$1:$BL$10,3,FALSE)</f>
        <v>24</v>
      </c>
      <c r="AD110" s="3">
        <f>T110-HLOOKUP(X110,Feuil1!$C$1:$BL$10,4,FALSE)</f>
        <v>14</v>
      </c>
      <c r="AE110" s="3">
        <f>T110-HLOOKUP(X110,Feuil1!$C$1:$BL$10,5,FALSE)</f>
        <v>4</v>
      </c>
      <c r="AF110" s="3">
        <f>T110-HLOOKUP(X110,Feuil1!$C$1:$BL$10,6,FALSE)</f>
        <v>-11</v>
      </c>
      <c r="AG110" s="3">
        <f>T110-HLOOKUP(X110,Feuil1!$C$1:$BL$10,7,FALSE)</f>
        <v>-26</v>
      </c>
      <c r="AH110" s="3">
        <f>T110-HLOOKUP(X110,Feuil1!$C$1:$BL$10,8,FALSE)</f>
        <v>-46</v>
      </c>
      <c r="AI110" s="3">
        <f>T110-HLOOKUP(X110,Feuil1!$C$1:$BL$10,9,FALSE)</f>
        <v>-66</v>
      </c>
      <c r="AJ110" s="3">
        <f>T110-HLOOKUP(X110,Feuil1!$C$1:$BL$10,10,FALSE)</f>
        <v>-86</v>
      </c>
      <c r="AQ110" s="5" t="str">
        <f t="shared" si="42"/>
        <v>IRG +</v>
      </c>
      <c r="BC110" s="13"/>
    </row>
    <row r="111" spans="1:55" ht="21" hidden="1" x14ac:dyDescent="0.2">
      <c r="A111" s="12" t="s">
        <v>69</v>
      </c>
      <c r="B111" s="18" t="s">
        <v>298</v>
      </c>
      <c r="C111" s="19" t="s">
        <v>404</v>
      </c>
      <c r="D111" s="61">
        <v>35</v>
      </c>
      <c r="E111" s="35">
        <v>275254</v>
      </c>
      <c r="F111" s="20" t="s">
        <v>462</v>
      </c>
      <c r="G111" s="20" t="s">
        <v>272</v>
      </c>
      <c r="H111" s="51">
        <v>1992</v>
      </c>
      <c r="I111" s="30">
        <v>56.6</v>
      </c>
      <c r="J111" s="19" t="s">
        <v>412</v>
      </c>
      <c r="K111" s="34" t="s">
        <v>69</v>
      </c>
      <c r="L111" s="31">
        <v>43</v>
      </c>
      <c r="M111" s="31">
        <v>46</v>
      </c>
      <c r="N111" s="31">
        <v>48</v>
      </c>
      <c r="O111" s="36">
        <f t="shared" si="35"/>
        <v>48</v>
      </c>
      <c r="P111" s="31">
        <v>52</v>
      </c>
      <c r="Q111" s="31">
        <v>-55</v>
      </c>
      <c r="R111" s="31">
        <v>55</v>
      </c>
      <c r="S111" s="36">
        <f t="shared" si="36"/>
        <v>55</v>
      </c>
      <c r="T111" s="37">
        <f t="shared" si="37"/>
        <v>103</v>
      </c>
      <c r="U111" s="65">
        <f t="shared" si="38"/>
        <v>-10.200000000000003</v>
      </c>
      <c r="V111" s="41" t="str">
        <f t="shared" si="39"/>
        <v>IRG +</v>
      </c>
      <c r="W111" s="33">
        <f t="shared" si="40"/>
        <v>3</v>
      </c>
      <c r="X111" s="40" t="str">
        <f>IF(I111="","",IF(A111="H",IF(OR(H111="SEN",H111&lt;1995),VLOOKUP(I111,Feuil1!$A$11:$F$29,6),IF(AND(H111&gt;1994,H111&lt;1998),VLOOKUP(I111,Feuil1!$A$11:$F$29,5),IF(AND(H111&gt;1997,H111&lt;2000),VLOOKUP(I111,Feuil1!$A$11:$F$29,4),IF(AND(H111&gt;1999,H111&lt;2002),VLOOKUP(I111,Feuil1!$A$11:$F$29,3),VLOOKUP(I111,Feuil1!$A$11:$F$29,2))))),IF(OR(H111="SEN",H111&lt;1995),VLOOKUP(I111,Feuil1!$G$11:$L$25,6),IF(AND(H111&gt;1994,H111&lt;1998),VLOOKUP(I111,Feuil1!$G$11:$L$25,5),IF(AND(H111&gt;1997,H111&lt;2000),VLOOKUP(I111,Feuil1!$G$11:$L$25,4),IF(AND(H111&gt;1999,H111&lt;2002),VLOOKUP(I111,Feuil1!$G$11:$L$25,3),VLOOKUP(I111,Feuil1!$G$11:$L$25,2)))))))</f>
        <v>FS58</v>
      </c>
      <c r="Y111" s="39">
        <f t="shared" si="41"/>
        <v>147.65615066728026</v>
      </c>
      <c r="Z111" s="45"/>
      <c r="AA111" s="49" t="s">
        <v>12</v>
      </c>
      <c r="AB111" s="3">
        <f>T111-HLOOKUP(X111,Feuil1!$C$1:$BL$10,2,FALSE)</f>
        <v>33</v>
      </c>
      <c r="AC111" s="3">
        <f>T111-HLOOKUP(X111,Feuil1!$C$1:$BL$10,3,FALSE)</f>
        <v>23</v>
      </c>
      <c r="AD111" s="3">
        <f>T111-HLOOKUP(X111,Feuil1!$C$1:$BL$10,4,FALSE)</f>
        <v>13</v>
      </c>
      <c r="AE111" s="3">
        <f>T111-HLOOKUP(X111,Feuil1!$C$1:$BL$10,5,FALSE)</f>
        <v>3</v>
      </c>
      <c r="AF111" s="3">
        <f>T111-HLOOKUP(X111,Feuil1!$C$1:$BL$10,6,FALSE)</f>
        <v>-12</v>
      </c>
      <c r="AG111" s="3">
        <f>T111-HLOOKUP(X111,Feuil1!$C$1:$BL$10,7,FALSE)</f>
        <v>-27</v>
      </c>
      <c r="AH111" s="3">
        <f>T111-HLOOKUP(X111,Feuil1!$C$1:$BL$10,8,FALSE)</f>
        <v>-47</v>
      </c>
      <c r="AI111" s="3">
        <f>T111-HLOOKUP(X111,Feuil1!$C$1:$BL$10,9,FALSE)</f>
        <v>-67</v>
      </c>
      <c r="AJ111" s="3">
        <f>T111-HLOOKUP(X111,Feuil1!$C$1:$BL$10,10,FALSE)</f>
        <v>-87</v>
      </c>
      <c r="AQ111" s="5" t="str">
        <f t="shared" si="42"/>
        <v>IRG +</v>
      </c>
      <c r="BC111" s="13"/>
    </row>
    <row r="112" spans="1:55" ht="21" hidden="1" x14ac:dyDescent="0.2">
      <c r="A112" s="12" t="s">
        <v>69</v>
      </c>
      <c r="B112" s="18" t="s">
        <v>721</v>
      </c>
      <c r="C112" s="19" t="s">
        <v>745</v>
      </c>
      <c r="D112" s="61">
        <v>36</v>
      </c>
      <c r="E112" s="35">
        <v>355102</v>
      </c>
      <c r="F112" s="20" t="s">
        <v>762</v>
      </c>
      <c r="G112" s="20" t="s">
        <v>675</v>
      </c>
      <c r="H112" s="51">
        <v>1991</v>
      </c>
      <c r="I112" s="30">
        <v>58</v>
      </c>
      <c r="J112" s="19" t="s">
        <v>748</v>
      </c>
      <c r="K112" s="34" t="s">
        <v>69</v>
      </c>
      <c r="L112" s="31">
        <v>41</v>
      </c>
      <c r="M112" s="31">
        <v>44</v>
      </c>
      <c r="N112" s="31">
        <v>46</v>
      </c>
      <c r="O112" s="36">
        <f t="shared" si="35"/>
        <v>46</v>
      </c>
      <c r="P112" s="31">
        <v>50</v>
      </c>
      <c r="Q112" s="31">
        <v>54</v>
      </c>
      <c r="R112" s="31">
        <v>57</v>
      </c>
      <c r="S112" s="36">
        <f t="shared" si="36"/>
        <v>57</v>
      </c>
      <c r="T112" s="37">
        <f t="shared" si="37"/>
        <v>103</v>
      </c>
      <c r="U112" s="65">
        <f t="shared" si="38"/>
        <v>-13</v>
      </c>
      <c r="V112" s="41" t="str">
        <f t="shared" si="39"/>
        <v>IRG +</v>
      </c>
      <c r="W112" s="33">
        <f t="shared" si="40"/>
        <v>3</v>
      </c>
      <c r="X112" s="40" t="str">
        <f>IF(I112="","",IF(A112="H",IF(OR(H112="SEN",H112&lt;1995),VLOOKUP(I112,Feuil1!$A$11:$F$29,6),IF(AND(H112&gt;1994,H112&lt;1998),VLOOKUP(I112,Feuil1!$A$11:$F$29,5),IF(AND(H112&gt;1997,H112&lt;2000),VLOOKUP(I112,Feuil1!$A$11:$F$29,4),IF(AND(H112&gt;1999,H112&lt;2002),VLOOKUP(I112,Feuil1!$A$11:$F$29,3),VLOOKUP(I112,Feuil1!$A$11:$F$29,2))))),IF(OR(H112="SEN",H112&lt;1995),VLOOKUP(I112,Feuil1!$G$11:$L$25,6),IF(AND(H112&gt;1994,H112&lt;1998),VLOOKUP(I112,Feuil1!$G$11:$L$25,5),IF(AND(H112&gt;1997,H112&lt;2000),VLOOKUP(I112,Feuil1!$G$11:$L$25,4),IF(AND(H112&gt;1999,H112&lt;2002),VLOOKUP(I112,Feuil1!$G$11:$L$25,3),VLOOKUP(I112,Feuil1!$G$11:$L$25,2)))))))</f>
        <v>FS58</v>
      </c>
      <c r="Y112" s="39">
        <f t="shared" si="41"/>
        <v>145.01130147507851</v>
      </c>
      <c r="Z112" s="45"/>
      <c r="AA112" s="49" t="s">
        <v>12</v>
      </c>
      <c r="AB112" s="3">
        <f>T112-HLOOKUP(X112,Feuil1!$C$1:$BL$10,2,FALSE)</f>
        <v>33</v>
      </c>
      <c r="AC112" s="3">
        <f>T112-HLOOKUP(X112,Feuil1!$C$1:$BL$10,3,FALSE)</f>
        <v>23</v>
      </c>
      <c r="AD112" s="3">
        <f>T112-HLOOKUP(X112,Feuil1!$C$1:$BL$10,4,FALSE)</f>
        <v>13</v>
      </c>
      <c r="AE112" s="3">
        <f>T112-HLOOKUP(X112,Feuil1!$C$1:$BL$10,5,FALSE)</f>
        <v>3</v>
      </c>
      <c r="AF112" s="3">
        <f>T112-HLOOKUP(X112,Feuil1!$C$1:$BL$10,6,FALSE)</f>
        <v>-12</v>
      </c>
      <c r="AG112" s="3">
        <f>T112-HLOOKUP(X112,Feuil1!$C$1:$BL$10,7,FALSE)</f>
        <v>-27</v>
      </c>
      <c r="AH112" s="3">
        <f>T112-HLOOKUP(X112,Feuil1!$C$1:$BL$10,8,FALSE)</f>
        <v>-47</v>
      </c>
      <c r="AI112" s="3">
        <f>T112-HLOOKUP(X112,Feuil1!$C$1:$BL$10,9,FALSE)</f>
        <v>-67</v>
      </c>
      <c r="AJ112" s="3">
        <f>T112-HLOOKUP(X112,Feuil1!$C$1:$BL$10,10,FALSE)</f>
        <v>-87</v>
      </c>
      <c r="AQ112" s="5" t="str">
        <f t="shared" si="42"/>
        <v>IRG +</v>
      </c>
      <c r="BC112" s="13"/>
    </row>
    <row r="113" spans="1:55" ht="21" hidden="1" x14ac:dyDescent="0.2">
      <c r="A113" s="12" t="s">
        <v>69</v>
      </c>
      <c r="B113" s="18" t="s">
        <v>108</v>
      </c>
      <c r="C113" s="19" t="s">
        <v>146</v>
      </c>
      <c r="D113" s="61">
        <v>37</v>
      </c>
      <c r="E113" s="35">
        <v>1144</v>
      </c>
      <c r="F113" s="20" t="s">
        <v>252</v>
      </c>
      <c r="G113" s="20" t="s">
        <v>253</v>
      </c>
      <c r="H113" s="51">
        <v>1963</v>
      </c>
      <c r="I113" s="30">
        <v>57.9</v>
      </c>
      <c r="J113" s="19" t="s">
        <v>149</v>
      </c>
      <c r="K113" s="34" t="s">
        <v>69</v>
      </c>
      <c r="L113" s="31">
        <v>40</v>
      </c>
      <c r="M113" s="31">
        <v>43</v>
      </c>
      <c r="N113" s="31">
        <v>-46</v>
      </c>
      <c r="O113" s="36">
        <f t="shared" si="35"/>
        <v>43</v>
      </c>
      <c r="P113" s="31">
        <v>50</v>
      </c>
      <c r="Q113" s="31">
        <v>54</v>
      </c>
      <c r="R113" s="31">
        <v>-57</v>
      </c>
      <c r="S113" s="36">
        <f t="shared" si="36"/>
        <v>54</v>
      </c>
      <c r="T113" s="37">
        <f t="shared" si="37"/>
        <v>97</v>
      </c>
      <c r="U113" s="65">
        <f t="shared" si="38"/>
        <v>-18.799999999999997</v>
      </c>
      <c r="V113" s="41" t="str">
        <f t="shared" si="39"/>
        <v>REG +</v>
      </c>
      <c r="W113" s="33">
        <f t="shared" si="40"/>
        <v>7</v>
      </c>
      <c r="X113" s="40" t="str">
        <f>IF(I113="","",IF(A113="H",IF(OR(H113="SEN",H113&lt;1995),VLOOKUP(I113,Feuil1!$A$11:$F$29,6),IF(AND(H113&gt;1994,H113&lt;1998),VLOOKUP(I113,Feuil1!$A$11:$F$29,5),IF(AND(H113&gt;1997,H113&lt;2000),VLOOKUP(I113,Feuil1!$A$11:$F$29,4),IF(AND(H113&gt;1999,H113&lt;2002),VLOOKUP(I113,Feuil1!$A$11:$F$29,3),VLOOKUP(I113,Feuil1!$A$11:$F$29,2))))),IF(OR(H113="SEN",H113&lt;1995),VLOOKUP(I113,Feuil1!$G$11:$L$25,6),IF(AND(H113&gt;1994,H113&lt;1998),VLOOKUP(I113,Feuil1!$G$11:$L$25,5),IF(AND(H113&gt;1997,H113&lt;2000),VLOOKUP(I113,Feuil1!$G$11:$L$25,4),IF(AND(H113&gt;1999,H113&lt;2002),VLOOKUP(I113,Feuil1!$G$11:$L$25,3),VLOOKUP(I113,Feuil1!$G$11:$L$25,2)))))))</f>
        <v>FS58</v>
      </c>
      <c r="Y113" s="39">
        <f t="shared" si="41"/>
        <v>136.73638818848045</v>
      </c>
      <c r="Z113" s="45"/>
      <c r="AA113" s="49" t="s">
        <v>12</v>
      </c>
      <c r="AB113" s="3">
        <f>T113-HLOOKUP(X113,Feuil1!$C$1:$BL$10,2,FALSE)</f>
        <v>27</v>
      </c>
      <c r="AC113" s="3">
        <f>T113-HLOOKUP(X113,Feuil1!$C$1:$BL$10,3,FALSE)</f>
        <v>17</v>
      </c>
      <c r="AD113" s="3">
        <f>T113-HLOOKUP(X113,Feuil1!$C$1:$BL$10,4,FALSE)</f>
        <v>7</v>
      </c>
      <c r="AE113" s="3">
        <f>T113-HLOOKUP(X113,Feuil1!$C$1:$BL$10,5,FALSE)</f>
        <v>-3</v>
      </c>
      <c r="AF113" s="3">
        <f>T113-HLOOKUP(X113,Feuil1!$C$1:$BL$10,6,FALSE)</f>
        <v>-18</v>
      </c>
      <c r="AG113" s="3">
        <f>T113-HLOOKUP(X113,Feuil1!$C$1:$BL$10,7,FALSE)</f>
        <v>-33</v>
      </c>
      <c r="AH113" s="3">
        <f>T113-HLOOKUP(X113,Feuil1!$C$1:$BL$10,8,FALSE)</f>
        <v>-53</v>
      </c>
      <c r="AI113" s="3">
        <f>T113-HLOOKUP(X113,Feuil1!$C$1:$BL$10,9,FALSE)</f>
        <v>-73</v>
      </c>
      <c r="AJ113" s="3">
        <f>T113-HLOOKUP(X113,Feuil1!$C$1:$BL$10,10,FALSE)</f>
        <v>-93</v>
      </c>
      <c r="AQ113" s="5" t="str">
        <f t="shared" si="42"/>
        <v>REG +</v>
      </c>
    </row>
    <row r="114" spans="1:55" ht="21" hidden="1" x14ac:dyDescent="0.2">
      <c r="A114" s="12" t="s">
        <v>69</v>
      </c>
      <c r="B114" s="18" t="s">
        <v>298</v>
      </c>
      <c r="C114" s="19" t="s">
        <v>299</v>
      </c>
      <c r="D114" s="61">
        <v>38</v>
      </c>
      <c r="E114" s="35">
        <v>247918</v>
      </c>
      <c r="F114" s="20" t="s">
        <v>350</v>
      </c>
      <c r="G114" s="20" t="s">
        <v>351</v>
      </c>
      <c r="H114" s="51">
        <v>1966</v>
      </c>
      <c r="I114" s="30">
        <v>57.9</v>
      </c>
      <c r="J114" s="19" t="s">
        <v>352</v>
      </c>
      <c r="K114" s="34" t="s">
        <v>69</v>
      </c>
      <c r="L114" s="31">
        <v>37</v>
      </c>
      <c r="M114" s="31">
        <v>40</v>
      </c>
      <c r="N114" s="31">
        <v>42</v>
      </c>
      <c r="O114" s="36">
        <f t="shared" si="35"/>
        <v>42</v>
      </c>
      <c r="P114" s="31">
        <v>50</v>
      </c>
      <c r="Q114" s="31">
        <v>52</v>
      </c>
      <c r="R114" s="31">
        <v>55</v>
      </c>
      <c r="S114" s="36">
        <f t="shared" si="36"/>
        <v>55</v>
      </c>
      <c r="T114" s="37">
        <f t="shared" si="37"/>
        <v>97</v>
      </c>
      <c r="U114" s="65">
        <f t="shared" si="38"/>
        <v>-18.799999999999997</v>
      </c>
      <c r="V114" s="41" t="str">
        <f t="shared" si="39"/>
        <v>REG +</v>
      </c>
      <c r="W114" s="33">
        <f t="shared" si="40"/>
        <v>7</v>
      </c>
      <c r="X114" s="40" t="str">
        <f>IF(I114="","",IF(A114="H",IF(OR(H114="SEN",H114&lt;1995),VLOOKUP(I114,Feuil1!$A$11:$F$29,6),IF(AND(H114&gt;1994,H114&lt;1998),VLOOKUP(I114,Feuil1!$A$11:$F$29,5),IF(AND(H114&gt;1997,H114&lt;2000),VLOOKUP(I114,Feuil1!$A$11:$F$29,4),IF(AND(H114&gt;1999,H114&lt;2002),VLOOKUP(I114,Feuil1!$A$11:$F$29,3),VLOOKUP(I114,Feuil1!$A$11:$F$29,2))))),IF(OR(H114="SEN",H114&lt;1995),VLOOKUP(I114,Feuil1!$G$11:$L$25,6),IF(AND(H114&gt;1994,H114&lt;1998),VLOOKUP(I114,Feuil1!$G$11:$L$25,5),IF(AND(H114&gt;1997,H114&lt;2000),VLOOKUP(I114,Feuil1!$G$11:$L$25,4),IF(AND(H114&gt;1999,H114&lt;2002),VLOOKUP(I114,Feuil1!$G$11:$L$25,3),VLOOKUP(I114,Feuil1!$G$11:$L$25,2)))))))</f>
        <v>FS58</v>
      </c>
      <c r="Y114" s="39">
        <f t="shared" si="41"/>
        <v>136.73638818848045</v>
      </c>
      <c r="Z114" s="45"/>
      <c r="AA114" s="49" t="s">
        <v>12</v>
      </c>
      <c r="AB114" s="3">
        <f>T114-HLOOKUP(X114,Feuil1!$C$1:$BL$10,2,FALSE)</f>
        <v>27</v>
      </c>
      <c r="AC114" s="3">
        <f>T114-HLOOKUP(X114,Feuil1!$C$1:$BL$10,3,FALSE)</f>
        <v>17</v>
      </c>
      <c r="AD114" s="3">
        <f>T114-HLOOKUP(X114,Feuil1!$C$1:$BL$10,4,FALSE)</f>
        <v>7</v>
      </c>
      <c r="AE114" s="3">
        <f>T114-HLOOKUP(X114,Feuil1!$C$1:$BL$10,5,FALSE)</f>
        <v>-3</v>
      </c>
      <c r="AF114" s="3">
        <f>T114-HLOOKUP(X114,Feuil1!$C$1:$BL$10,6,FALSE)</f>
        <v>-18</v>
      </c>
      <c r="AG114" s="3">
        <f>T114-HLOOKUP(X114,Feuil1!$C$1:$BL$10,7,FALSE)</f>
        <v>-33</v>
      </c>
      <c r="AH114" s="3">
        <f>T114-HLOOKUP(X114,Feuil1!$C$1:$BL$10,8,FALSE)</f>
        <v>-53</v>
      </c>
      <c r="AI114" s="3">
        <f>T114-HLOOKUP(X114,Feuil1!$C$1:$BL$10,9,FALSE)</f>
        <v>-73</v>
      </c>
      <c r="AJ114" s="3">
        <f>T114-HLOOKUP(X114,Feuil1!$C$1:$BL$10,10,FALSE)</f>
        <v>-93</v>
      </c>
      <c r="AQ114" s="5" t="str">
        <f t="shared" si="42"/>
        <v>REG +</v>
      </c>
    </row>
    <row r="115" spans="1:55" ht="21" hidden="1" x14ac:dyDescent="0.2">
      <c r="A115" s="12" t="s">
        <v>69</v>
      </c>
      <c r="B115" s="67" t="s">
        <v>298</v>
      </c>
      <c r="C115" s="68" t="s">
        <v>476</v>
      </c>
      <c r="D115" s="69">
        <v>39</v>
      </c>
      <c r="E115" s="70">
        <v>364228</v>
      </c>
      <c r="F115" s="71" t="s">
        <v>528</v>
      </c>
      <c r="G115" s="71" t="s">
        <v>529</v>
      </c>
      <c r="H115" s="72">
        <v>1985</v>
      </c>
      <c r="I115" s="73">
        <v>53.8</v>
      </c>
      <c r="J115" s="68" t="s">
        <v>481</v>
      </c>
      <c r="K115" s="74" t="s">
        <v>69</v>
      </c>
      <c r="L115" s="75">
        <v>40</v>
      </c>
      <c r="M115" s="75">
        <v>-43</v>
      </c>
      <c r="N115" s="75">
        <v>43</v>
      </c>
      <c r="O115" s="76">
        <f t="shared" si="35"/>
        <v>43</v>
      </c>
      <c r="P115" s="75">
        <v>50</v>
      </c>
      <c r="Q115" s="75">
        <v>53</v>
      </c>
      <c r="R115" s="75">
        <v>-56</v>
      </c>
      <c r="S115" s="76">
        <f t="shared" si="36"/>
        <v>53</v>
      </c>
      <c r="T115" s="77">
        <f t="shared" si="37"/>
        <v>96</v>
      </c>
      <c r="U115" s="78">
        <f t="shared" si="38"/>
        <v>-11.599999999999994</v>
      </c>
      <c r="V115" s="79" t="str">
        <f t="shared" si="39"/>
        <v>REG +</v>
      </c>
      <c r="W115" s="80">
        <f t="shared" si="40"/>
        <v>6</v>
      </c>
      <c r="X115" s="81" t="str">
        <f>IF(I115="","",IF(A115="H",IF(OR(H115="SEN",H115&lt;1995),VLOOKUP(I115,Feuil1!$A$11:$F$29,6),IF(AND(H115&gt;1994,H115&lt;1998),VLOOKUP(I115,Feuil1!$A$11:$F$29,5),IF(AND(H115&gt;1997,H115&lt;2000),VLOOKUP(I115,Feuil1!$A$11:$F$29,4),IF(AND(H115&gt;1999,H115&lt;2002),VLOOKUP(I115,Feuil1!$A$11:$F$29,3),VLOOKUP(I115,Feuil1!$A$11:$F$29,2))))),IF(OR(H115="SEN",H115&lt;1995),VLOOKUP(I115,Feuil1!$G$11:$L$25,6),IF(AND(H115&gt;1994,H115&lt;1998),VLOOKUP(I115,Feuil1!$G$11:$L$25,5),IF(AND(H115&gt;1997,H115&lt;2000),VLOOKUP(I115,Feuil1!$G$11:$L$25,4),IF(AND(H115&gt;1999,H115&lt;2002),VLOOKUP(I115,Feuil1!$G$11:$L$25,3),VLOOKUP(I115,Feuil1!$G$11:$L$25,2)))))))</f>
        <v>FS58</v>
      </c>
      <c r="Y115" s="39">
        <f t="shared" si="41"/>
        <v>143.09692354553869</v>
      </c>
      <c r="Z115" s="45"/>
      <c r="AA115" s="49" t="s">
        <v>12</v>
      </c>
      <c r="AB115" s="3">
        <f>T115-HLOOKUP(X115,Feuil1!$C$1:$BL$10,2,FALSE)</f>
        <v>26</v>
      </c>
      <c r="AC115" s="3">
        <f>T115-HLOOKUP(X115,Feuil1!$C$1:$BL$10,3,FALSE)</f>
        <v>16</v>
      </c>
      <c r="AD115" s="3">
        <f>T115-HLOOKUP(X115,Feuil1!$C$1:$BL$10,4,FALSE)</f>
        <v>6</v>
      </c>
      <c r="AE115" s="3">
        <f>T115-HLOOKUP(X115,Feuil1!$C$1:$BL$10,5,FALSE)</f>
        <v>-4</v>
      </c>
      <c r="AF115" s="3">
        <f>T115-HLOOKUP(X115,Feuil1!$C$1:$BL$10,6,FALSE)</f>
        <v>-19</v>
      </c>
      <c r="AG115" s="3">
        <f>T115-HLOOKUP(X115,Feuil1!$C$1:$BL$10,7,FALSE)</f>
        <v>-34</v>
      </c>
      <c r="AH115" s="3">
        <f>T115-HLOOKUP(X115,Feuil1!$C$1:$BL$10,8,FALSE)</f>
        <v>-54</v>
      </c>
      <c r="AI115" s="3">
        <f>T115-HLOOKUP(X115,Feuil1!$C$1:$BL$10,9,FALSE)</f>
        <v>-74</v>
      </c>
      <c r="AJ115" s="3">
        <f>T115-HLOOKUP(X115,Feuil1!$C$1:$BL$10,10,FALSE)</f>
        <v>-94</v>
      </c>
      <c r="AQ115" s="5" t="str">
        <f t="shared" si="42"/>
        <v>REG +</v>
      </c>
      <c r="BC115" s="13"/>
    </row>
    <row r="116" spans="1:55" ht="21" hidden="1" x14ac:dyDescent="0.2">
      <c r="A116" s="12" t="s">
        <v>69</v>
      </c>
      <c r="B116" s="18" t="s">
        <v>298</v>
      </c>
      <c r="C116" s="19" t="s">
        <v>404</v>
      </c>
      <c r="D116" s="61">
        <v>40</v>
      </c>
      <c r="E116" s="35">
        <v>231359</v>
      </c>
      <c r="F116" s="20" t="s">
        <v>442</v>
      </c>
      <c r="G116" s="20" t="s">
        <v>443</v>
      </c>
      <c r="H116" s="51">
        <v>1993</v>
      </c>
      <c r="I116" s="30">
        <v>54.6</v>
      </c>
      <c r="J116" s="19" t="s">
        <v>406</v>
      </c>
      <c r="K116" s="34" t="s">
        <v>69</v>
      </c>
      <c r="L116" s="31">
        <v>35</v>
      </c>
      <c r="M116" s="31">
        <v>38</v>
      </c>
      <c r="N116" s="31">
        <v>41</v>
      </c>
      <c r="O116" s="36">
        <f t="shared" si="35"/>
        <v>41</v>
      </c>
      <c r="P116" s="31">
        <v>50</v>
      </c>
      <c r="Q116" s="31">
        <v>53</v>
      </c>
      <c r="R116" s="31">
        <v>-55</v>
      </c>
      <c r="S116" s="36">
        <f t="shared" si="36"/>
        <v>53</v>
      </c>
      <c r="T116" s="37">
        <f t="shared" si="37"/>
        <v>94</v>
      </c>
      <c r="U116" s="65">
        <f t="shared" si="38"/>
        <v>-15.200000000000003</v>
      </c>
      <c r="V116" s="41" t="str">
        <f t="shared" si="39"/>
        <v>REG +</v>
      </c>
      <c r="W116" s="33">
        <f t="shared" si="40"/>
        <v>4</v>
      </c>
      <c r="X116" s="40" t="str">
        <f>IF(I116="","",IF(A116="H",IF(OR(H116="SEN",H116&lt;1995),VLOOKUP(I116,Feuil1!$A$11:$F$29,6),IF(AND(H116&gt;1994,H116&lt;1998),VLOOKUP(I116,Feuil1!$A$11:$F$29,5),IF(AND(H116&gt;1997,H116&lt;2000),VLOOKUP(I116,Feuil1!$A$11:$F$29,4),IF(AND(H116&gt;1999,H116&lt;2002),VLOOKUP(I116,Feuil1!$A$11:$F$29,3),VLOOKUP(I116,Feuil1!$A$11:$F$29,2))))),IF(OR(H116="SEN",H116&lt;1995),VLOOKUP(I116,Feuil1!$G$11:$L$25,6),IF(AND(H116&gt;1994,H116&lt;1998),VLOOKUP(I116,Feuil1!$G$11:$L$25,5),IF(AND(H116&gt;1997,H116&lt;2000),VLOOKUP(I116,Feuil1!$G$11:$L$25,4),IF(AND(H116&gt;1999,H116&lt;2002),VLOOKUP(I116,Feuil1!$G$11:$L$25,3),VLOOKUP(I116,Feuil1!$G$11:$L$25,2)))))))</f>
        <v>FS58</v>
      </c>
      <c r="Y116" s="39">
        <f t="shared" si="41"/>
        <v>138.5056025467299</v>
      </c>
      <c r="Z116" s="45"/>
      <c r="AA116" s="49" t="s">
        <v>12</v>
      </c>
      <c r="AB116" s="3">
        <f>T116-HLOOKUP(X116,Feuil1!$C$1:$BL$10,2,FALSE)</f>
        <v>24</v>
      </c>
      <c r="AC116" s="3">
        <f>T116-HLOOKUP(X116,Feuil1!$C$1:$BL$10,3,FALSE)</f>
        <v>14</v>
      </c>
      <c r="AD116" s="3">
        <f>T116-HLOOKUP(X116,Feuil1!$C$1:$BL$10,4,FALSE)</f>
        <v>4</v>
      </c>
      <c r="AE116" s="3">
        <f>T116-HLOOKUP(X116,Feuil1!$C$1:$BL$10,5,FALSE)</f>
        <v>-6</v>
      </c>
      <c r="AF116" s="3">
        <f>T116-HLOOKUP(X116,Feuil1!$C$1:$BL$10,6,FALSE)</f>
        <v>-21</v>
      </c>
      <c r="AG116" s="3">
        <f>T116-HLOOKUP(X116,Feuil1!$C$1:$BL$10,7,FALSE)</f>
        <v>-36</v>
      </c>
      <c r="AH116" s="3">
        <f>T116-HLOOKUP(X116,Feuil1!$C$1:$BL$10,8,FALSE)</f>
        <v>-56</v>
      </c>
      <c r="AI116" s="3">
        <f>T116-HLOOKUP(X116,Feuil1!$C$1:$BL$10,9,FALSE)</f>
        <v>-76</v>
      </c>
      <c r="AJ116" s="3">
        <f>T116-HLOOKUP(X116,Feuil1!$C$1:$BL$10,10,FALSE)</f>
        <v>-96</v>
      </c>
      <c r="AQ116" s="5" t="str">
        <f t="shared" si="42"/>
        <v>REG +</v>
      </c>
    </row>
    <row r="117" spans="1:55" ht="21" hidden="1" x14ac:dyDescent="0.2">
      <c r="A117" s="12" t="s">
        <v>69</v>
      </c>
      <c r="B117" s="18" t="s">
        <v>536</v>
      </c>
      <c r="C117" s="19" t="s">
        <v>545</v>
      </c>
      <c r="D117" s="61">
        <v>41</v>
      </c>
      <c r="E117" s="35">
        <v>356135</v>
      </c>
      <c r="F117" s="20" t="s">
        <v>592</v>
      </c>
      <c r="G117" s="20" t="s">
        <v>263</v>
      </c>
      <c r="H117" s="51">
        <v>1994</v>
      </c>
      <c r="I117" s="30">
        <v>56.7</v>
      </c>
      <c r="J117" s="19" t="s">
        <v>591</v>
      </c>
      <c r="K117" s="34" t="s">
        <v>69</v>
      </c>
      <c r="L117" s="31">
        <v>38</v>
      </c>
      <c r="M117" s="31">
        <v>40</v>
      </c>
      <c r="N117" s="31">
        <v>42</v>
      </c>
      <c r="O117" s="36">
        <f t="shared" si="35"/>
        <v>42</v>
      </c>
      <c r="P117" s="31">
        <v>48</v>
      </c>
      <c r="Q117" s="31">
        <v>50</v>
      </c>
      <c r="R117" s="31">
        <v>52</v>
      </c>
      <c r="S117" s="36">
        <f t="shared" si="36"/>
        <v>52</v>
      </c>
      <c r="T117" s="37">
        <f t="shared" si="37"/>
        <v>94</v>
      </c>
      <c r="U117" s="65">
        <f t="shared" si="38"/>
        <v>-19.400000000000006</v>
      </c>
      <c r="V117" s="41" t="str">
        <f t="shared" si="39"/>
        <v>REG +</v>
      </c>
      <c r="W117" s="33">
        <f t="shared" si="40"/>
        <v>4</v>
      </c>
      <c r="X117" s="40" t="str">
        <f>IF(I117="","",IF(A117="H",IF(OR(H117="SEN",H117&lt;1995),VLOOKUP(I117,Feuil1!$A$11:$F$29,6),IF(AND(H117&gt;1994,H117&lt;1998),VLOOKUP(I117,Feuil1!$A$11:$F$29,5),IF(AND(H117&gt;1997,H117&lt;2000),VLOOKUP(I117,Feuil1!$A$11:$F$29,4),IF(AND(H117&gt;1999,H117&lt;2002),VLOOKUP(I117,Feuil1!$A$11:$F$29,3),VLOOKUP(I117,Feuil1!$A$11:$F$29,2))))),IF(OR(H117="SEN",H117&lt;1995),VLOOKUP(I117,Feuil1!$G$11:$L$25,6),IF(AND(H117&gt;1994,H117&lt;1998),VLOOKUP(I117,Feuil1!$G$11:$L$25,5),IF(AND(H117&gt;1997,H117&lt;2000),VLOOKUP(I117,Feuil1!$G$11:$L$25,4),IF(AND(H117&gt;1999,H117&lt;2002),VLOOKUP(I117,Feuil1!$G$11:$L$25,3),VLOOKUP(I117,Feuil1!$G$11:$L$25,2)))))))</f>
        <v>FS58</v>
      </c>
      <c r="Y117" s="39">
        <f t="shared" si="41"/>
        <v>134.5762125907525</v>
      </c>
      <c r="Z117" s="45"/>
      <c r="AA117" s="49" t="s">
        <v>12</v>
      </c>
      <c r="AB117" s="3">
        <f>T117-HLOOKUP(X117,Feuil1!$C$1:$BL$10,2,FALSE)</f>
        <v>24</v>
      </c>
      <c r="AC117" s="3">
        <f>T117-HLOOKUP(X117,Feuil1!$C$1:$BL$10,3,FALSE)</f>
        <v>14</v>
      </c>
      <c r="AD117" s="3">
        <f>T117-HLOOKUP(X117,Feuil1!$C$1:$BL$10,4,FALSE)</f>
        <v>4</v>
      </c>
      <c r="AE117" s="3">
        <f>T117-HLOOKUP(X117,Feuil1!$C$1:$BL$10,5,FALSE)</f>
        <v>-6</v>
      </c>
      <c r="AF117" s="3">
        <f>T117-HLOOKUP(X117,Feuil1!$C$1:$BL$10,6,FALSE)</f>
        <v>-21</v>
      </c>
      <c r="AG117" s="3">
        <f>T117-HLOOKUP(X117,Feuil1!$C$1:$BL$10,7,FALSE)</f>
        <v>-36</v>
      </c>
      <c r="AH117" s="3">
        <f>T117-HLOOKUP(X117,Feuil1!$C$1:$BL$10,8,FALSE)</f>
        <v>-56</v>
      </c>
      <c r="AI117" s="3">
        <f>T117-HLOOKUP(X117,Feuil1!$C$1:$BL$10,9,FALSE)</f>
        <v>-76</v>
      </c>
      <c r="AJ117" s="3">
        <f>T117-HLOOKUP(X117,Feuil1!$C$1:$BL$10,10,FALSE)</f>
        <v>-96</v>
      </c>
      <c r="AQ117" s="5" t="str">
        <f t="shared" si="42"/>
        <v>REG +</v>
      </c>
    </row>
    <row r="118" spans="1:55" s="13" customFormat="1" ht="21" hidden="1" x14ac:dyDescent="0.2">
      <c r="A118" s="12" t="s">
        <v>69</v>
      </c>
      <c r="B118" s="18" t="s">
        <v>298</v>
      </c>
      <c r="C118" s="19" t="s">
        <v>476</v>
      </c>
      <c r="D118" s="61">
        <v>42</v>
      </c>
      <c r="E118" s="35">
        <v>268516</v>
      </c>
      <c r="F118" s="20" t="s">
        <v>519</v>
      </c>
      <c r="G118" s="20" t="s">
        <v>520</v>
      </c>
      <c r="H118" s="51">
        <v>1994</v>
      </c>
      <c r="I118" s="30">
        <v>58</v>
      </c>
      <c r="J118" s="19" t="s">
        <v>501</v>
      </c>
      <c r="K118" s="34" t="s">
        <v>69</v>
      </c>
      <c r="L118" s="31">
        <v>-39</v>
      </c>
      <c r="M118" s="31">
        <v>40</v>
      </c>
      <c r="N118" s="31">
        <v>-42</v>
      </c>
      <c r="O118" s="36">
        <f t="shared" si="35"/>
        <v>40</v>
      </c>
      <c r="P118" s="31">
        <v>50</v>
      </c>
      <c r="Q118" s="31">
        <v>54</v>
      </c>
      <c r="R118" s="31">
        <v>-56</v>
      </c>
      <c r="S118" s="36">
        <f t="shared" si="36"/>
        <v>54</v>
      </c>
      <c r="T118" s="37">
        <f t="shared" si="37"/>
        <v>94</v>
      </c>
      <c r="U118" s="65">
        <f t="shared" si="38"/>
        <v>-22</v>
      </c>
      <c r="V118" s="41" t="str">
        <f t="shared" si="39"/>
        <v>REG +</v>
      </c>
      <c r="W118" s="33">
        <f t="shared" si="40"/>
        <v>4</v>
      </c>
      <c r="X118" s="40" t="str">
        <f>IF(I118="","",IF(A118="H",IF(OR(H118="SEN",H118&lt;1995),VLOOKUP(I118,Feuil1!$A$11:$F$29,6),IF(AND(H118&gt;1994,H118&lt;1998),VLOOKUP(I118,Feuil1!$A$11:$F$29,5),IF(AND(H118&gt;1997,H118&lt;2000),VLOOKUP(I118,Feuil1!$A$11:$F$29,4),IF(AND(H118&gt;1999,H118&lt;2002),VLOOKUP(I118,Feuil1!$A$11:$F$29,3),VLOOKUP(I118,Feuil1!$A$11:$F$29,2))))),IF(OR(H118="SEN",H118&lt;1995),VLOOKUP(I118,Feuil1!$G$11:$L$25,6),IF(AND(H118&gt;1994,H118&lt;1998),VLOOKUP(I118,Feuil1!$G$11:$L$25,5),IF(AND(H118&gt;1997,H118&lt;2000),VLOOKUP(I118,Feuil1!$G$11:$L$25,4),IF(AND(H118&gt;1999,H118&lt;2002),VLOOKUP(I118,Feuil1!$G$11:$L$25,3),VLOOKUP(I118,Feuil1!$G$11:$L$25,2)))))))</f>
        <v>FS58</v>
      </c>
      <c r="Y118" s="39">
        <f t="shared" si="41"/>
        <v>132.34041105492602</v>
      </c>
      <c r="Z118" s="45"/>
      <c r="AA118" s="49" t="s">
        <v>12</v>
      </c>
      <c r="AB118" s="3">
        <f>T118-HLOOKUP(X118,Feuil1!$C$1:$BL$10,2,FALSE)</f>
        <v>24</v>
      </c>
      <c r="AC118" s="3">
        <f>T118-HLOOKUP(X118,Feuil1!$C$1:$BL$10,3,FALSE)</f>
        <v>14</v>
      </c>
      <c r="AD118" s="3">
        <f>T118-HLOOKUP(X118,Feuil1!$C$1:$BL$10,4,FALSE)</f>
        <v>4</v>
      </c>
      <c r="AE118" s="3">
        <f>T118-HLOOKUP(X118,Feuil1!$C$1:$BL$10,5,FALSE)</f>
        <v>-6</v>
      </c>
      <c r="AF118" s="3">
        <f>T118-HLOOKUP(X118,Feuil1!$C$1:$BL$10,6,FALSE)</f>
        <v>-21</v>
      </c>
      <c r="AG118" s="3">
        <f>T118-HLOOKUP(X118,Feuil1!$C$1:$BL$10,7,FALSE)</f>
        <v>-36</v>
      </c>
      <c r="AH118" s="3">
        <f>T118-HLOOKUP(X118,Feuil1!$C$1:$BL$10,8,FALSE)</f>
        <v>-56</v>
      </c>
      <c r="AI118" s="3">
        <f>T118-HLOOKUP(X118,Feuil1!$C$1:$BL$10,9,FALSE)</f>
        <v>-76</v>
      </c>
      <c r="AJ118" s="3">
        <f>T118-HLOOKUP(X118,Feuil1!$C$1:$BL$10,10,FALSE)</f>
        <v>-96</v>
      </c>
      <c r="AK118" s="5"/>
      <c r="AL118" s="5"/>
      <c r="AM118" s="5"/>
      <c r="AN118" s="5"/>
      <c r="AO118" s="5"/>
      <c r="AP118" s="5"/>
      <c r="AQ118" s="5" t="str">
        <f t="shared" si="42"/>
        <v>REG +</v>
      </c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</row>
    <row r="119" spans="1:55" ht="21" hidden="1" x14ac:dyDescent="0.2">
      <c r="A119" s="12" t="s">
        <v>69</v>
      </c>
      <c r="B119" s="18" t="s">
        <v>298</v>
      </c>
      <c r="C119" s="19" t="s">
        <v>299</v>
      </c>
      <c r="D119" s="61">
        <v>43</v>
      </c>
      <c r="E119" s="35">
        <v>385692</v>
      </c>
      <c r="F119" s="20" t="s">
        <v>246</v>
      </c>
      <c r="G119" s="20" t="s">
        <v>335</v>
      </c>
      <c r="H119" s="51">
        <v>1981</v>
      </c>
      <c r="I119" s="30">
        <v>54.7</v>
      </c>
      <c r="J119" s="19" t="s">
        <v>322</v>
      </c>
      <c r="K119" s="34" t="s">
        <v>69</v>
      </c>
      <c r="L119" s="31">
        <v>38</v>
      </c>
      <c r="M119" s="31">
        <v>40</v>
      </c>
      <c r="N119" s="31">
        <v>-42</v>
      </c>
      <c r="O119" s="36">
        <f t="shared" si="35"/>
        <v>40</v>
      </c>
      <c r="P119" s="31">
        <v>50</v>
      </c>
      <c r="Q119" s="31">
        <v>52</v>
      </c>
      <c r="R119" s="31">
        <v>-53</v>
      </c>
      <c r="S119" s="36">
        <f t="shared" si="36"/>
        <v>52</v>
      </c>
      <c r="T119" s="37">
        <f t="shared" si="37"/>
        <v>92</v>
      </c>
      <c r="U119" s="65">
        <f t="shared" si="38"/>
        <v>-17.400000000000006</v>
      </c>
      <c r="V119" s="41" t="str">
        <f t="shared" si="39"/>
        <v>REG +</v>
      </c>
      <c r="W119" s="33">
        <f t="shared" si="40"/>
        <v>2</v>
      </c>
      <c r="X119" s="40" t="str">
        <f>IF(I119="","",IF(A119="H",IF(OR(H119="SEN",H119&lt;1995),VLOOKUP(I119,Feuil1!$A$11:$F$29,6),IF(AND(H119&gt;1994,H119&lt;1998),VLOOKUP(I119,Feuil1!$A$11:$F$29,5),IF(AND(H119&gt;1997,H119&lt;2000),VLOOKUP(I119,Feuil1!$A$11:$F$29,4),IF(AND(H119&gt;1999,H119&lt;2002),VLOOKUP(I119,Feuil1!$A$11:$F$29,3),VLOOKUP(I119,Feuil1!$A$11:$F$29,2))))),IF(OR(H119="SEN",H119&lt;1995),VLOOKUP(I119,Feuil1!$G$11:$L$25,6),IF(AND(H119&gt;1994,H119&lt;1998),VLOOKUP(I119,Feuil1!$G$11:$L$25,5),IF(AND(H119&gt;1997,H119&lt;2000),VLOOKUP(I119,Feuil1!$G$11:$L$25,4),IF(AND(H119&gt;1999,H119&lt;2002),VLOOKUP(I119,Feuil1!$G$11:$L$25,3),VLOOKUP(I119,Feuil1!$G$11:$L$25,2)))))))</f>
        <v>FS58</v>
      </c>
      <c r="Y119" s="39">
        <f t="shared" si="41"/>
        <v>135.366182919388</v>
      </c>
      <c r="Z119" s="45"/>
      <c r="AA119" s="49" t="s">
        <v>12</v>
      </c>
      <c r="AB119" s="3">
        <f>T119-HLOOKUP(X119,Feuil1!$C$1:$BL$10,2,FALSE)</f>
        <v>22</v>
      </c>
      <c r="AC119" s="3">
        <f>T119-HLOOKUP(X119,Feuil1!$C$1:$BL$10,3,FALSE)</f>
        <v>12</v>
      </c>
      <c r="AD119" s="3">
        <f>T119-HLOOKUP(X119,Feuil1!$C$1:$BL$10,4,FALSE)</f>
        <v>2</v>
      </c>
      <c r="AE119" s="3">
        <f>T119-HLOOKUP(X119,Feuil1!$C$1:$BL$10,5,FALSE)</f>
        <v>-8</v>
      </c>
      <c r="AF119" s="3">
        <f>T119-HLOOKUP(X119,Feuil1!$C$1:$BL$10,6,FALSE)</f>
        <v>-23</v>
      </c>
      <c r="AG119" s="3">
        <f>T119-HLOOKUP(X119,Feuil1!$C$1:$BL$10,7,FALSE)</f>
        <v>-38</v>
      </c>
      <c r="AH119" s="3">
        <f>T119-HLOOKUP(X119,Feuil1!$C$1:$BL$10,8,FALSE)</f>
        <v>-58</v>
      </c>
      <c r="AI119" s="3">
        <f>T119-HLOOKUP(X119,Feuil1!$C$1:$BL$10,9,FALSE)</f>
        <v>-78</v>
      </c>
      <c r="AJ119" s="3">
        <f>T119-HLOOKUP(X119,Feuil1!$C$1:$BL$10,10,FALSE)</f>
        <v>-98</v>
      </c>
      <c r="AQ119" s="5" t="str">
        <f t="shared" si="42"/>
        <v>REG +</v>
      </c>
    </row>
    <row r="120" spans="1:55" ht="21" hidden="1" x14ac:dyDescent="0.2">
      <c r="A120" s="12" t="s">
        <v>69</v>
      </c>
      <c r="B120" s="18" t="s">
        <v>71</v>
      </c>
      <c r="C120" s="19" t="s">
        <v>872</v>
      </c>
      <c r="D120" s="61">
        <v>44</v>
      </c>
      <c r="E120" s="35">
        <v>374524</v>
      </c>
      <c r="F120" s="20" t="s">
        <v>875</v>
      </c>
      <c r="G120" s="20" t="s">
        <v>249</v>
      </c>
      <c r="H120" s="51">
        <v>1991</v>
      </c>
      <c r="I120" s="30">
        <v>55</v>
      </c>
      <c r="J120" s="19" t="s">
        <v>876</v>
      </c>
      <c r="K120" s="34" t="s">
        <v>69</v>
      </c>
      <c r="L120" s="31">
        <v>37</v>
      </c>
      <c r="M120" s="31">
        <v>41</v>
      </c>
      <c r="N120" s="31">
        <v>-45</v>
      </c>
      <c r="O120" s="36">
        <f t="shared" si="35"/>
        <v>41</v>
      </c>
      <c r="P120" s="31">
        <v>47</v>
      </c>
      <c r="Q120" s="31">
        <v>-51</v>
      </c>
      <c r="R120" s="31">
        <v>51</v>
      </c>
      <c r="S120" s="36">
        <f t="shared" si="36"/>
        <v>51</v>
      </c>
      <c r="T120" s="37">
        <f t="shared" si="37"/>
        <v>92</v>
      </c>
      <c r="U120" s="65">
        <f t="shared" si="38"/>
        <v>-18</v>
      </c>
      <c r="V120" s="32" t="str">
        <f t="shared" si="39"/>
        <v>REG +</v>
      </c>
      <c r="W120" s="33">
        <f t="shared" si="40"/>
        <v>2</v>
      </c>
      <c r="X120" s="40" t="str">
        <f>IF(I120="","",IF(A120="H",IF(OR(H120="SEN",H120&lt;1995),VLOOKUP(I120,Feuil1!$A$11:$F$29,6),IF(AND(H120&gt;1994,H120&lt;1998),VLOOKUP(I120,Feuil1!$A$11:$F$29,5),IF(AND(H120&gt;1997,H120&lt;2000),VLOOKUP(I120,Feuil1!$A$11:$F$29,4),IF(AND(H120&gt;1999,H120&lt;2002),VLOOKUP(I120,Feuil1!$A$11:$F$29,3),VLOOKUP(I120,Feuil1!$A$11:$F$29,2))))),IF(OR(H120="SEN",H120&lt;1995),VLOOKUP(I120,Feuil1!$G$11:$L$25,6),IF(AND(H120&gt;1994,H120&lt;1998),VLOOKUP(I120,Feuil1!$G$11:$L$25,5),IF(AND(H120&gt;1997,H120&lt;2000),VLOOKUP(I120,Feuil1!$G$11:$L$25,4),IF(AND(H120&gt;1999,H120&lt;2002),VLOOKUP(I120,Feuil1!$G$11:$L$25,3),VLOOKUP(I120,Feuil1!$G$11:$L$25,2)))))))</f>
        <v>FS58</v>
      </c>
      <c r="Y120" s="39">
        <f t="shared" si="41"/>
        <v>134.79453660493004</v>
      </c>
      <c r="Z120" s="45"/>
      <c r="AA120" s="49" t="s">
        <v>12</v>
      </c>
      <c r="AB120" s="3">
        <f>T120-HLOOKUP(X120,Feuil1!$C$1:$BL$10,2,FALSE)</f>
        <v>22</v>
      </c>
      <c r="AC120" s="3">
        <f>T120-HLOOKUP(X120,Feuil1!$C$1:$BL$10,3,FALSE)</f>
        <v>12</v>
      </c>
      <c r="AD120" s="3">
        <f>T120-HLOOKUP(X120,Feuil1!$C$1:$BL$10,4,FALSE)</f>
        <v>2</v>
      </c>
      <c r="AE120" s="3">
        <f>T120-HLOOKUP(X120,Feuil1!$C$1:$BL$10,5,FALSE)</f>
        <v>-8</v>
      </c>
      <c r="AF120" s="3">
        <f>T120-HLOOKUP(X120,Feuil1!$C$1:$BL$10,6,FALSE)</f>
        <v>-23</v>
      </c>
      <c r="AG120" s="3">
        <f>T120-HLOOKUP(X120,Feuil1!$C$1:$BL$10,7,FALSE)</f>
        <v>-38</v>
      </c>
      <c r="AH120" s="3">
        <f>T120-HLOOKUP(X120,Feuil1!$C$1:$BL$10,8,FALSE)</f>
        <v>-58</v>
      </c>
      <c r="AI120" s="3">
        <f>T120-HLOOKUP(X120,Feuil1!$C$1:$BL$10,9,FALSE)</f>
        <v>-78</v>
      </c>
      <c r="AJ120" s="3">
        <f>T120-HLOOKUP(X120,Feuil1!$C$1:$BL$10,10,FALSE)</f>
        <v>-98</v>
      </c>
      <c r="AQ120" s="5" t="str">
        <f t="shared" si="42"/>
        <v>REG +</v>
      </c>
    </row>
    <row r="121" spans="1:55" ht="21" hidden="1" x14ac:dyDescent="0.2">
      <c r="A121" s="12" t="s">
        <v>69</v>
      </c>
      <c r="B121" s="18" t="s">
        <v>71</v>
      </c>
      <c r="C121" s="19" t="s">
        <v>801</v>
      </c>
      <c r="D121" s="61">
        <v>45</v>
      </c>
      <c r="E121" s="35">
        <v>307137</v>
      </c>
      <c r="F121" s="20" t="s">
        <v>847</v>
      </c>
      <c r="G121" s="20" t="s">
        <v>426</v>
      </c>
      <c r="H121" s="51">
        <v>1991</v>
      </c>
      <c r="I121" s="30">
        <v>54</v>
      </c>
      <c r="J121" s="19" t="s">
        <v>806</v>
      </c>
      <c r="K121" s="34" t="s">
        <v>69</v>
      </c>
      <c r="L121" s="31">
        <v>35</v>
      </c>
      <c r="M121" s="31">
        <v>38</v>
      </c>
      <c r="N121" s="31">
        <v>41</v>
      </c>
      <c r="O121" s="36">
        <f t="shared" si="35"/>
        <v>41</v>
      </c>
      <c r="P121" s="31">
        <v>45</v>
      </c>
      <c r="Q121" s="31">
        <v>48</v>
      </c>
      <c r="R121" s="31">
        <v>50</v>
      </c>
      <c r="S121" s="36">
        <f t="shared" si="36"/>
        <v>50</v>
      </c>
      <c r="T121" s="37">
        <f t="shared" si="37"/>
        <v>91</v>
      </c>
      <c r="U121" s="65">
        <f t="shared" si="38"/>
        <v>-17</v>
      </c>
      <c r="V121" s="41" t="str">
        <f t="shared" si="39"/>
        <v>REG +</v>
      </c>
      <c r="W121" s="33">
        <f t="shared" si="40"/>
        <v>1</v>
      </c>
      <c r="X121" s="40" t="str">
        <f>IF(I121="","",IF(A121="H",IF(OR(H121="SEN",H121&lt;1995),VLOOKUP(I121,Feuil1!$A$11:$F$29,6),IF(AND(H121&gt;1994,H121&lt;1998),VLOOKUP(I121,Feuil1!$A$11:$F$29,5),IF(AND(H121&gt;1997,H121&lt;2000),VLOOKUP(I121,Feuil1!$A$11:$F$29,4),IF(AND(H121&gt;1999,H121&lt;2002),VLOOKUP(I121,Feuil1!$A$11:$F$29,3),VLOOKUP(I121,Feuil1!$A$11:$F$29,2))))),IF(OR(H121="SEN",H121&lt;1995),VLOOKUP(I121,Feuil1!$G$11:$L$25,6),IF(AND(H121&gt;1994,H121&lt;1998),VLOOKUP(I121,Feuil1!$G$11:$L$25,5),IF(AND(H121&gt;1997,H121&lt;2000),VLOOKUP(I121,Feuil1!$G$11:$L$25,4),IF(AND(H121&gt;1999,H121&lt;2002),VLOOKUP(I121,Feuil1!$G$11:$L$25,3),VLOOKUP(I121,Feuil1!$G$11:$L$25,2)))))))</f>
        <v>FS58</v>
      </c>
      <c r="Y121" s="39">
        <f t="shared" si="41"/>
        <v>135.2482517911119</v>
      </c>
      <c r="Z121" s="45"/>
      <c r="AA121" s="49" t="s">
        <v>12</v>
      </c>
      <c r="AB121" s="3">
        <f>T121-HLOOKUP(X121,Feuil1!$C$1:$BL$10,2,FALSE)</f>
        <v>21</v>
      </c>
      <c r="AC121" s="3">
        <f>T121-HLOOKUP(X121,Feuil1!$C$1:$BL$10,3,FALSE)</f>
        <v>11</v>
      </c>
      <c r="AD121" s="3">
        <f>T121-HLOOKUP(X121,Feuil1!$C$1:$BL$10,4,FALSE)</f>
        <v>1</v>
      </c>
      <c r="AE121" s="3">
        <f>T121-HLOOKUP(X121,Feuil1!$C$1:$BL$10,5,FALSE)</f>
        <v>-9</v>
      </c>
      <c r="AF121" s="3">
        <f>T121-HLOOKUP(X121,Feuil1!$C$1:$BL$10,6,FALSE)</f>
        <v>-24</v>
      </c>
      <c r="AG121" s="3">
        <f>T121-HLOOKUP(X121,Feuil1!$C$1:$BL$10,7,FALSE)</f>
        <v>-39</v>
      </c>
      <c r="AH121" s="3">
        <f>T121-HLOOKUP(X121,Feuil1!$C$1:$BL$10,8,FALSE)</f>
        <v>-59</v>
      </c>
      <c r="AI121" s="3">
        <f>T121-HLOOKUP(X121,Feuil1!$C$1:$BL$10,9,FALSE)</f>
        <v>-79</v>
      </c>
      <c r="AJ121" s="3">
        <f>T121-HLOOKUP(X121,Feuil1!$C$1:$BL$10,10,FALSE)</f>
        <v>-99</v>
      </c>
      <c r="AQ121" s="5" t="str">
        <f t="shared" si="42"/>
        <v>REG +</v>
      </c>
      <c r="BC121" s="13"/>
    </row>
    <row r="122" spans="1:55" ht="21" hidden="1" x14ac:dyDescent="0.2">
      <c r="A122" s="12" t="s">
        <v>69</v>
      </c>
      <c r="B122" s="18" t="s">
        <v>721</v>
      </c>
      <c r="C122" s="19" t="s">
        <v>745</v>
      </c>
      <c r="D122" s="61">
        <v>46</v>
      </c>
      <c r="E122" s="35">
        <v>167445</v>
      </c>
      <c r="F122" s="20" t="s">
        <v>763</v>
      </c>
      <c r="G122" s="20" t="s">
        <v>764</v>
      </c>
      <c r="H122" s="51">
        <v>1966</v>
      </c>
      <c r="I122" s="30">
        <v>56.6</v>
      </c>
      <c r="J122" s="19" t="s">
        <v>748</v>
      </c>
      <c r="K122" s="34" t="s">
        <v>69</v>
      </c>
      <c r="L122" s="31">
        <v>-36</v>
      </c>
      <c r="M122" s="31">
        <v>36</v>
      </c>
      <c r="N122" s="31">
        <v>39</v>
      </c>
      <c r="O122" s="36">
        <f t="shared" si="35"/>
        <v>39</v>
      </c>
      <c r="P122" s="31">
        <v>50</v>
      </c>
      <c r="Q122" s="31">
        <v>52</v>
      </c>
      <c r="R122" s="31">
        <v>-53</v>
      </c>
      <c r="S122" s="36">
        <f t="shared" si="36"/>
        <v>52</v>
      </c>
      <c r="T122" s="37">
        <f t="shared" si="37"/>
        <v>91</v>
      </c>
      <c r="U122" s="65">
        <f t="shared" si="38"/>
        <v>-22.200000000000003</v>
      </c>
      <c r="V122" s="41" t="str">
        <f t="shared" si="39"/>
        <v>REG +</v>
      </c>
      <c r="W122" s="33">
        <f t="shared" si="40"/>
        <v>1</v>
      </c>
      <c r="X122" s="40" t="str">
        <f>IF(I122="","",IF(A122="H",IF(OR(H122="SEN",H122&lt;1995),VLOOKUP(I122,Feuil1!$A$11:$F$29,6),IF(AND(H122&gt;1994,H122&lt;1998),VLOOKUP(I122,Feuil1!$A$11:$F$29,5),IF(AND(H122&gt;1997,H122&lt;2000),VLOOKUP(I122,Feuil1!$A$11:$F$29,4),IF(AND(H122&gt;1999,H122&lt;2002),VLOOKUP(I122,Feuil1!$A$11:$F$29,3),VLOOKUP(I122,Feuil1!$A$11:$F$29,2))))),IF(OR(H122="SEN",H122&lt;1995),VLOOKUP(I122,Feuil1!$G$11:$L$25,6),IF(AND(H122&gt;1994,H122&lt;1998),VLOOKUP(I122,Feuil1!$G$11:$L$25,5),IF(AND(H122&gt;1997,H122&lt;2000),VLOOKUP(I122,Feuil1!$G$11:$L$25,4),IF(AND(H122&gt;1999,H122&lt;2002),VLOOKUP(I122,Feuil1!$G$11:$L$25,3),VLOOKUP(I122,Feuil1!$G$11:$L$25,2)))))))</f>
        <v>FS58</v>
      </c>
      <c r="Y122" s="39">
        <f t="shared" si="41"/>
        <v>130.4534923371117</v>
      </c>
      <c r="Z122" s="45"/>
      <c r="AA122" s="49" t="s">
        <v>12</v>
      </c>
      <c r="AB122" s="3">
        <f>T122-HLOOKUP(X122,Feuil1!$C$1:$BL$10,2,FALSE)</f>
        <v>21</v>
      </c>
      <c r="AC122" s="3">
        <f>T122-HLOOKUP(X122,Feuil1!$C$1:$BL$10,3,FALSE)</f>
        <v>11</v>
      </c>
      <c r="AD122" s="3">
        <f>T122-HLOOKUP(X122,Feuil1!$C$1:$BL$10,4,FALSE)</f>
        <v>1</v>
      </c>
      <c r="AE122" s="3">
        <f>T122-HLOOKUP(X122,Feuil1!$C$1:$BL$10,5,FALSE)</f>
        <v>-9</v>
      </c>
      <c r="AF122" s="3">
        <f>T122-HLOOKUP(X122,Feuil1!$C$1:$BL$10,6,FALSE)</f>
        <v>-24</v>
      </c>
      <c r="AG122" s="3">
        <f>T122-HLOOKUP(X122,Feuil1!$C$1:$BL$10,7,FALSE)</f>
        <v>-39</v>
      </c>
      <c r="AH122" s="3">
        <f>T122-HLOOKUP(X122,Feuil1!$C$1:$BL$10,8,FALSE)</f>
        <v>-59</v>
      </c>
      <c r="AI122" s="3">
        <f>T122-HLOOKUP(X122,Feuil1!$C$1:$BL$10,9,FALSE)</f>
        <v>-79</v>
      </c>
      <c r="AJ122" s="3">
        <f>T122-HLOOKUP(X122,Feuil1!$C$1:$BL$10,10,FALSE)</f>
        <v>-99</v>
      </c>
      <c r="AQ122" s="5" t="str">
        <f t="shared" si="42"/>
        <v>REG +</v>
      </c>
      <c r="BC122" s="13"/>
    </row>
    <row r="123" spans="1:55" s="13" customFormat="1" ht="21" hidden="1" x14ac:dyDescent="0.2">
      <c r="A123" s="12" t="s">
        <v>69</v>
      </c>
      <c r="B123" s="18" t="s">
        <v>298</v>
      </c>
      <c r="C123" s="19" t="s">
        <v>476</v>
      </c>
      <c r="D123" s="61">
        <v>47</v>
      </c>
      <c r="E123" s="35">
        <v>390951</v>
      </c>
      <c r="F123" s="20" t="s">
        <v>514</v>
      </c>
      <c r="G123" s="20" t="s">
        <v>515</v>
      </c>
      <c r="H123" s="51">
        <v>1994</v>
      </c>
      <c r="I123" s="30">
        <v>56.9</v>
      </c>
      <c r="J123" s="19" t="s">
        <v>501</v>
      </c>
      <c r="K123" s="34" t="s">
        <v>69</v>
      </c>
      <c r="L123" s="31">
        <v>35</v>
      </c>
      <c r="M123" s="31">
        <v>38</v>
      </c>
      <c r="N123" s="31">
        <v>41</v>
      </c>
      <c r="O123" s="36">
        <f t="shared" si="35"/>
        <v>41</v>
      </c>
      <c r="P123" s="31">
        <v>40</v>
      </c>
      <c r="Q123" s="31">
        <v>45</v>
      </c>
      <c r="R123" s="31">
        <v>50</v>
      </c>
      <c r="S123" s="36">
        <f t="shared" si="36"/>
        <v>50</v>
      </c>
      <c r="T123" s="37">
        <f t="shared" si="37"/>
        <v>91</v>
      </c>
      <c r="U123" s="65">
        <f t="shared" si="38"/>
        <v>-22.799999999999997</v>
      </c>
      <c r="V123" s="41" t="str">
        <f t="shared" si="39"/>
        <v>REG +</v>
      </c>
      <c r="W123" s="33">
        <f t="shared" si="40"/>
        <v>1</v>
      </c>
      <c r="X123" s="40" t="str">
        <f>IF(I123="","",IF(A123="H",IF(OR(H123="SEN",H123&lt;1995),VLOOKUP(I123,Feuil1!$A$11:$F$29,6),IF(AND(H123&gt;1994,H123&lt;1998),VLOOKUP(I123,Feuil1!$A$11:$F$29,5),IF(AND(H123&gt;1997,H123&lt;2000),VLOOKUP(I123,Feuil1!$A$11:$F$29,4),IF(AND(H123&gt;1999,H123&lt;2002),VLOOKUP(I123,Feuil1!$A$11:$F$29,3),VLOOKUP(I123,Feuil1!$A$11:$F$29,2))))),IF(OR(H123="SEN",H123&lt;1995),VLOOKUP(I123,Feuil1!$G$11:$L$25,6),IF(AND(H123&gt;1994,H123&lt;1998),VLOOKUP(I123,Feuil1!$G$11:$L$25,5),IF(AND(H123&gt;1997,H123&lt;2000),VLOOKUP(I123,Feuil1!$G$11:$L$25,4),IF(AND(H123&gt;1999,H123&lt;2002),VLOOKUP(I123,Feuil1!$G$11:$L$25,3),VLOOKUP(I123,Feuil1!$G$11:$L$25,2)))))))</f>
        <v>FS58</v>
      </c>
      <c r="Y123" s="39">
        <f t="shared" si="41"/>
        <v>129.93922779406273</v>
      </c>
      <c r="Z123" s="45"/>
      <c r="AA123" s="49" t="s">
        <v>12</v>
      </c>
      <c r="AB123" s="3">
        <f>T123-HLOOKUP(X123,Feuil1!$C$1:$BL$10,2,FALSE)</f>
        <v>21</v>
      </c>
      <c r="AC123" s="3">
        <f>T123-HLOOKUP(X123,Feuil1!$C$1:$BL$10,3,FALSE)</f>
        <v>11</v>
      </c>
      <c r="AD123" s="3">
        <f>T123-HLOOKUP(X123,Feuil1!$C$1:$BL$10,4,FALSE)</f>
        <v>1</v>
      </c>
      <c r="AE123" s="3">
        <f>T123-HLOOKUP(X123,Feuil1!$C$1:$BL$10,5,FALSE)</f>
        <v>-9</v>
      </c>
      <c r="AF123" s="3">
        <f>T123-HLOOKUP(X123,Feuil1!$C$1:$BL$10,6,FALSE)</f>
        <v>-24</v>
      </c>
      <c r="AG123" s="3">
        <f>T123-HLOOKUP(X123,Feuil1!$C$1:$BL$10,7,FALSE)</f>
        <v>-39</v>
      </c>
      <c r="AH123" s="3">
        <f>T123-HLOOKUP(X123,Feuil1!$C$1:$BL$10,8,FALSE)</f>
        <v>-59</v>
      </c>
      <c r="AI123" s="3">
        <f>T123-HLOOKUP(X123,Feuil1!$C$1:$BL$10,9,FALSE)</f>
        <v>-79</v>
      </c>
      <c r="AJ123" s="3">
        <f>T123-HLOOKUP(X123,Feuil1!$C$1:$BL$10,10,FALSE)</f>
        <v>-99</v>
      </c>
      <c r="AK123" s="5"/>
      <c r="AL123" s="5"/>
      <c r="AM123" s="5"/>
      <c r="AN123" s="5"/>
      <c r="AO123" s="5"/>
      <c r="AP123" s="5"/>
      <c r="AQ123" s="5" t="str">
        <f t="shared" si="42"/>
        <v>REG +</v>
      </c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</row>
    <row r="124" spans="1:55" s="13" customFormat="1" ht="21" hidden="1" x14ac:dyDescent="0.2">
      <c r="A124" s="12" t="s">
        <v>69</v>
      </c>
      <c r="B124" s="18" t="s">
        <v>108</v>
      </c>
      <c r="C124" s="19" t="s">
        <v>109</v>
      </c>
      <c r="D124" s="61">
        <v>48</v>
      </c>
      <c r="E124" s="35">
        <v>368816</v>
      </c>
      <c r="F124" s="20" t="s">
        <v>177</v>
      </c>
      <c r="G124" s="20" t="s">
        <v>178</v>
      </c>
      <c r="H124" s="51">
        <v>1974</v>
      </c>
      <c r="I124" s="30">
        <v>57.2</v>
      </c>
      <c r="J124" s="19" t="s">
        <v>155</v>
      </c>
      <c r="K124" s="34" t="s">
        <v>69</v>
      </c>
      <c r="L124" s="31">
        <v>35</v>
      </c>
      <c r="M124" s="31">
        <v>-38</v>
      </c>
      <c r="N124" s="31">
        <v>38</v>
      </c>
      <c r="O124" s="36">
        <f t="shared" si="35"/>
        <v>38</v>
      </c>
      <c r="P124" s="31">
        <v>48</v>
      </c>
      <c r="Q124" s="31">
        <v>52</v>
      </c>
      <c r="R124" s="31">
        <v>-54</v>
      </c>
      <c r="S124" s="36">
        <f t="shared" si="36"/>
        <v>52</v>
      </c>
      <c r="T124" s="37">
        <f t="shared" si="37"/>
        <v>90</v>
      </c>
      <c r="U124" s="65">
        <f t="shared" si="38"/>
        <v>-24.400000000000006</v>
      </c>
      <c r="V124" s="41" t="str">
        <f t="shared" si="39"/>
        <v>REG +</v>
      </c>
      <c r="W124" s="33">
        <f t="shared" si="40"/>
        <v>0</v>
      </c>
      <c r="X124" s="40" t="str">
        <f>IF(I124="","",IF(A124="H",IF(OR(H124="SEN",H124&lt;1995),VLOOKUP(I124,Feuil1!$A$11:$F$29,6),IF(AND(H124&gt;1994,H124&lt;1998),VLOOKUP(I124,Feuil1!$A$11:$F$29,5),IF(AND(H124&gt;1997,H124&lt;2000),VLOOKUP(I124,Feuil1!$A$11:$F$29,4),IF(AND(H124&gt;1999,H124&lt;2002),VLOOKUP(I124,Feuil1!$A$11:$F$29,3),VLOOKUP(I124,Feuil1!$A$11:$F$29,2))))),IF(OR(H124="SEN",H124&lt;1995),VLOOKUP(I124,Feuil1!$G$11:$L$25,6),IF(AND(H124&gt;1994,H124&lt;1998),VLOOKUP(I124,Feuil1!$G$11:$L$25,5),IF(AND(H124&gt;1997,H124&lt;2000),VLOOKUP(I124,Feuil1!$G$11:$L$25,4),IF(AND(H124&gt;1999,H124&lt;2002),VLOOKUP(I124,Feuil1!$G$11:$L$25,3),VLOOKUP(I124,Feuil1!$G$11:$L$25,2)))))))</f>
        <v>FS58</v>
      </c>
      <c r="Y124" s="39">
        <f t="shared" si="41"/>
        <v>128.01014073204223</v>
      </c>
      <c r="Z124" s="45"/>
      <c r="AA124" s="49" t="s">
        <v>12</v>
      </c>
      <c r="AB124" s="3">
        <f>T124-HLOOKUP(X124,Feuil1!$C$1:$BL$10,2,FALSE)</f>
        <v>20</v>
      </c>
      <c r="AC124" s="3">
        <f>T124-HLOOKUP(X124,Feuil1!$C$1:$BL$10,3,FALSE)</f>
        <v>10</v>
      </c>
      <c r="AD124" s="3">
        <f>T124-HLOOKUP(X124,Feuil1!$C$1:$BL$10,4,FALSE)</f>
        <v>0</v>
      </c>
      <c r="AE124" s="3">
        <f>T124-HLOOKUP(X124,Feuil1!$C$1:$BL$10,5,FALSE)</f>
        <v>-10</v>
      </c>
      <c r="AF124" s="3">
        <f>T124-HLOOKUP(X124,Feuil1!$C$1:$BL$10,6,FALSE)</f>
        <v>-25</v>
      </c>
      <c r="AG124" s="3">
        <f>T124-HLOOKUP(X124,Feuil1!$C$1:$BL$10,7,FALSE)</f>
        <v>-40</v>
      </c>
      <c r="AH124" s="3">
        <f>T124-HLOOKUP(X124,Feuil1!$C$1:$BL$10,8,FALSE)</f>
        <v>-60</v>
      </c>
      <c r="AI124" s="3">
        <f>T124-HLOOKUP(X124,Feuil1!$C$1:$BL$10,9,FALSE)</f>
        <v>-80</v>
      </c>
      <c r="AJ124" s="3">
        <f>T124-HLOOKUP(X124,Feuil1!$C$1:$BL$10,10,FALSE)</f>
        <v>-100</v>
      </c>
      <c r="AK124" s="5"/>
      <c r="AL124" s="5"/>
      <c r="AM124" s="5"/>
      <c r="AN124" s="5"/>
      <c r="AO124" s="5"/>
      <c r="AP124" s="5"/>
      <c r="AQ124" s="5" t="str">
        <f t="shared" si="42"/>
        <v>REG +</v>
      </c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</row>
    <row r="125" spans="1:55" s="13" customFormat="1" ht="21" hidden="1" x14ac:dyDescent="0.2">
      <c r="A125" s="12" t="s">
        <v>69</v>
      </c>
      <c r="B125" s="18" t="s">
        <v>536</v>
      </c>
      <c r="C125" s="19" t="s">
        <v>541</v>
      </c>
      <c r="D125" s="61">
        <v>49</v>
      </c>
      <c r="E125" s="35">
        <v>169799</v>
      </c>
      <c r="F125" s="20" t="s">
        <v>542</v>
      </c>
      <c r="G125" s="20" t="s">
        <v>351</v>
      </c>
      <c r="H125" s="51">
        <v>1966</v>
      </c>
      <c r="I125" s="30">
        <v>55.24</v>
      </c>
      <c r="J125" s="19" t="s">
        <v>544</v>
      </c>
      <c r="K125" s="34" t="s">
        <v>69</v>
      </c>
      <c r="L125" s="31">
        <v>34</v>
      </c>
      <c r="M125" s="31">
        <v>36</v>
      </c>
      <c r="N125" s="31">
        <v>38</v>
      </c>
      <c r="O125" s="36">
        <f t="shared" si="35"/>
        <v>38</v>
      </c>
      <c r="P125" s="31">
        <v>48</v>
      </c>
      <c r="Q125" s="31">
        <v>51</v>
      </c>
      <c r="R125" s="31">
        <v>-53</v>
      </c>
      <c r="S125" s="36">
        <f t="shared" si="36"/>
        <v>51</v>
      </c>
      <c r="T125" s="37">
        <f t="shared" si="37"/>
        <v>89</v>
      </c>
      <c r="U125" s="65">
        <f t="shared" si="38"/>
        <v>-21.480000000000004</v>
      </c>
      <c r="V125" s="41" t="str">
        <f t="shared" si="39"/>
        <v>DEP +</v>
      </c>
      <c r="W125" s="33">
        <f t="shared" si="40"/>
        <v>9</v>
      </c>
      <c r="X125" s="40" t="str">
        <f>IF(I125="","",IF(A125="H",IF(OR(H125="SEN",H125&lt;1995),VLOOKUP(I125,Feuil1!$A$11:$F$29,6),IF(AND(H125&gt;1994,H125&lt;1998),VLOOKUP(I125,Feuil1!$A$11:$F$29,5),IF(AND(H125&gt;1997,H125&lt;2000),VLOOKUP(I125,Feuil1!$A$11:$F$29,4),IF(AND(H125&gt;1999,H125&lt;2002),VLOOKUP(I125,Feuil1!$A$11:$F$29,3),VLOOKUP(I125,Feuil1!$A$11:$F$29,2))))),IF(OR(H125="SEN",H125&lt;1995),VLOOKUP(I125,Feuil1!$G$11:$L$25,6),IF(AND(H125&gt;1994,H125&lt;1998),VLOOKUP(I125,Feuil1!$G$11:$L$25,5),IF(AND(H125&gt;1997,H125&lt;2000),VLOOKUP(I125,Feuil1!$G$11:$L$25,4),IF(AND(H125&gt;1999,H125&lt;2002),VLOOKUP(I125,Feuil1!$G$11:$L$25,3),VLOOKUP(I125,Feuil1!$G$11:$L$25,2)))))))</f>
        <v>FS58</v>
      </c>
      <c r="Y125" s="39">
        <f t="shared" si="41"/>
        <v>129.96266172300602</v>
      </c>
      <c r="Z125" s="45"/>
      <c r="AA125" s="49" t="s">
        <v>12</v>
      </c>
      <c r="AB125" s="3">
        <f>T125-HLOOKUP(X125,Feuil1!$C$1:$BL$10,2,FALSE)</f>
        <v>19</v>
      </c>
      <c r="AC125" s="3">
        <f>T125-HLOOKUP(X125,Feuil1!$C$1:$BL$10,3,FALSE)</f>
        <v>9</v>
      </c>
      <c r="AD125" s="3">
        <f>T125-HLOOKUP(X125,Feuil1!$C$1:$BL$10,4,FALSE)</f>
        <v>-1</v>
      </c>
      <c r="AE125" s="3">
        <f>T125-HLOOKUP(X125,Feuil1!$C$1:$BL$10,5,FALSE)</f>
        <v>-11</v>
      </c>
      <c r="AF125" s="3">
        <f>T125-HLOOKUP(X125,Feuil1!$C$1:$BL$10,6,FALSE)</f>
        <v>-26</v>
      </c>
      <c r="AG125" s="3">
        <f>T125-HLOOKUP(X125,Feuil1!$C$1:$BL$10,7,FALSE)</f>
        <v>-41</v>
      </c>
      <c r="AH125" s="3">
        <f>T125-HLOOKUP(X125,Feuil1!$C$1:$BL$10,8,FALSE)</f>
        <v>-61</v>
      </c>
      <c r="AI125" s="3">
        <f>T125-HLOOKUP(X125,Feuil1!$C$1:$BL$10,9,FALSE)</f>
        <v>-81</v>
      </c>
      <c r="AJ125" s="3">
        <f>T125-HLOOKUP(X125,Feuil1!$C$1:$BL$10,10,FALSE)</f>
        <v>-101</v>
      </c>
      <c r="AK125" s="5"/>
      <c r="AL125" s="5"/>
      <c r="AM125" s="5"/>
      <c r="AN125" s="5"/>
      <c r="AO125" s="5"/>
      <c r="AP125" s="5"/>
      <c r="AQ125" s="5" t="str">
        <f t="shared" si="42"/>
        <v>DEP +</v>
      </c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</row>
    <row r="126" spans="1:55" s="13" customFormat="1" ht="21" hidden="1" x14ac:dyDescent="0.2">
      <c r="A126" s="12" t="s">
        <v>69</v>
      </c>
      <c r="B126" s="18" t="s">
        <v>721</v>
      </c>
      <c r="C126" s="19" t="s">
        <v>775</v>
      </c>
      <c r="D126" s="61">
        <v>50</v>
      </c>
      <c r="E126" s="35">
        <v>342483</v>
      </c>
      <c r="F126" s="20" t="s">
        <v>788</v>
      </c>
      <c r="G126" s="20" t="s">
        <v>585</v>
      </c>
      <c r="H126" s="51">
        <v>1993</v>
      </c>
      <c r="I126" s="30">
        <v>56.2</v>
      </c>
      <c r="J126" s="19" t="s">
        <v>780</v>
      </c>
      <c r="K126" s="34" t="s">
        <v>69</v>
      </c>
      <c r="L126" s="31">
        <v>35</v>
      </c>
      <c r="M126" s="31">
        <v>37</v>
      </c>
      <c r="N126" s="31">
        <v>-40</v>
      </c>
      <c r="O126" s="36">
        <f t="shared" si="35"/>
        <v>37</v>
      </c>
      <c r="P126" s="31">
        <v>49</v>
      </c>
      <c r="Q126" s="31">
        <v>-51</v>
      </c>
      <c r="R126" s="31">
        <v>51</v>
      </c>
      <c r="S126" s="36">
        <f t="shared" si="36"/>
        <v>51</v>
      </c>
      <c r="T126" s="37">
        <f t="shared" si="37"/>
        <v>88</v>
      </c>
      <c r="U126" s="65">
        <f t="shared" si="38"/>
        <v>-24.400000000000006</v>
      </c>
      <c r="V126" s="41" t="str">
        <f t="shared" si="39"/>
        <v>DEP +</v>
      </c>
      <c r="W126" s="33">
        <f t="shared" si="40"/>
        <v>8</v>
      </c>
      <c r="X126" s="40" t="str">
        <f>IF(I126="","",IF(A126="H",IF(OR(H126="SEN",H126&lt;1995),VLOOKUP(I126,Feuil1!$A$11:$F$29,6),IF(AND(H126&gt;1994,H126&lt;1998),VLOOKUP(I126,Feuil1!$A$11:$F$29,5),IF(AND(H126&gt;1997,H126&lt;2000),VLOOKUP(I126,Feuil1!$A$11:$F$29,4),IF(AND(H126&gt;1999,H126&lt;2002),VLOOKUP(I126,Feuil1!$A$11:$F$29,3),VLOOKUP(I126,Feuil1!$A$11:$F$29,2))))),IF(OR(H126="SEN",H126&lt;1995),VLOOKUP(I126,Feuil1!$G$11:$L$25,6),IF(AND(H126&gt;1994,H126&lt;1998),VLOOKUP(I126,Feuil1!$G$11:$L$25,5),IF(AND(H126&gt;1997,H126&lt;2000),VLOOKUP(I126,Feuil1!$G$11:$L$25,4),IF(AND(H126&gt;1999,H126&lt;2002),VLOOKUP(I126,Feuil1!$G$11:$L$25,3),VLOOKUP(I126,Feuil1!$G$11:$L$25,2)))))))</f>
        <v>FS58</v>
      </c>
      <c r="Y126" s="39">
        <f t="shared" si="41"/>
        <v>126.82745661824707</v>
      </c>
      <c r="Z126" s="45"/>
      <c r="AA126" s="49" t="s">
        <v>12</v>
      </c>
      <c r="AB126" s="3">
        <f>T126-HLOOKUP(X126,Feuil1!$C$1:$BL$10,2,FALSE)</f>
        <v>18</v>
      </c>
      <c r="AC126" s="3">
        <f>T126-HLOOKUP(X126,Feuil1!$C$1:$BL$10,3,FALSE)</f>
        <v>8</v>
      </c>
      <c r="AD126" s="3">
        <f>T126-HLOOKUP(X126,Feuil1!$C$1:$BL$10,4,FALSE)</f>
        <v>-2</v>
      </c>
      <c r="AE126" s="3">
        <f>T126-HLOOKUP(X126,Feuil1!$C$1:$BL$10,5,FALSE)</f>
        <v>-12</v>
      </c>
      <c r="AF126" s="3">
        <f>T126-HLOOKUP(X126,Feuil1!$C$1:$BL$10,6,FALSE)</f>
        <v>-27</v>
      </c>
      <c r="AG126" s="3">
        <f>T126-HLOOKUP(X126,Feuil1!$C$1:$BL$10,7,FALSE)</f>
        <v>-42</v>
      </c>
      <c r="AH126" s="3">
        <f>T126-HLOOKUP(X126,Feuil1!$C$1:$BL$10,8,FALSE)</f>
        <v>-62</v>
      </c>
      <c r="AI126" s="3">
        <f>T126-HLOOKUP(X126,Feuil1!$C$1:$BL$10,9,FALSE)</f>
        <v>-82</v>
      </c>
      <c r="AJ126" s="3">
        <f>T126-HLOOKUP(X126,Feuil1!$C$1:$BL$10,10,FALSE)</f>
        <v>-102</v>
      </c>
      <c r="AK126" s="5"/>
      <c r="AL126" s="5"/>
      <c r="AM126" s="5"/>
      <c r="AN126" s="5"/>
      <c r="AO126" s="5"/>
      <c r="AP126" s="5"/>
      <c r="AQ126" s="5" t="str">
        <f t="shared" si="42"/>
        <v>DEP +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</row>
    <row r="127" spans="1:55" s="13" customFormat="1" ht="21" hidden="1" x14ac:dyDescent="0.2">
      <c r="A127" s="12" t="s">
        <v>69</v>
      </c>
      <c r="B127" s="18" t="s">
        <v>108</v>
      </c>
      <c r="C127" s="19" t="s">
        <v>264</v>
      </c>
      <c r="D127" s="61">
        <v>51</v>
      </c>
      <c r="E127" s="35">
        <v>384514</v>
      </c>
      <c r="F127" s="20" t="s">
        <v>281</v>
      </c>
      <c r="G127" s="20" t="s">
        <v>282</v>
      </c>
      <c r="H127" s="51">
        <v>1990</v>
      </c>
      <c r="I127" s="30">
        <v>58</v>
      </c>
      <c r="J127" s="19" t="s">
        <v>267</v>
      </c>
      <c r="K127" s="34" t="s">
        <v>69</v>
      </c>
      <c r="L127" s="31">
        <v>34</v>
      </c>
      <c r="M127" s="31">
        <v>-37</v>
      </c>
      <c r="N127" s="31">
        <v>-37</v>
      </c>
      <c r="O127" s="36">
        <f t="shared" si="35"/>
        <v>34</v>
      </c>
      <c r="P127" s="31">
        <v>50</v>
      </c>
      <c r="Q127" s="31">
        <v>54</v>
      </c>
      <c r="R127" s="31">
        <v>-58</v>
      </c>
      <c r="S127" s="36">
        <f t="shared" si="36"/>
        <v>54</v>
      </c>
      <c r="T127" s="37">
        <f t="shared" si="37"/>
        <v>88</v>
      </c>
      <c r="U127" s="65">
        <f t="shared" si="38"/>
        <v>-28</v>
      </c>
      <c r="V127" s="41" t="str">
        <f t="shared" si="39"/>
        <v>DEP +</v>
      </c>
      <c r="W127" s="33">
        <f t="shared" si="40"/>
        <v>8</v>
      </c>
      <c r="X127" s="40" t="str">
        <f>IF(I127="","",IF(A127="H",IF(OR(H127="SEN",H127&lt;1995),VLOOKUP(I127,Feuil1!$A$11:$F$29,6),IF(AND(H127&gt;1994,H127&lt;1998),VLOOKUP(I127,Feuil1!$A$11:$F$29,5),IF(AND(H127&gt;1997,H127&lt;2000),VLOOKUP(I127,Feuil1!$A$11:$F$29,4),IF(AND(H127&gt;1999,H127&lt;2002),VLOOKUP(I127,Feuil1!$A$11:$F$29,3),VLOOKUP(I127,Feuil1!$A$11:$F$29,2))))),IF(OR(H127="SEN",H127&lt;1995),VLOOKUP(I127,Feuil1!$G$11:$L$25,6),IF(AND(H127&gt;1994,H127&lt;1998),VLOOKUP(I127,Feuil1!$G$11:$L$25,5),IF(AND(H127&gt;1997,H127&lt;2000),VLOOKUP(I127,Feuil1!$G$11:$L$25,4),IF(AND(H127&gt;1999,H127&lt;2002),VLOOKUP(I127,Feuil1!$G$11:$L$25,3),VLOOKUP(I127,Feuil1!$G$11:$L$25,2)))))))</f>
        <v>FS58</v>
      </c>
      <c r="Y127" s="39">
        <f t="shared" si="41"/>
        <v>123.89315077482435</v>
      </c>
      <c r="Z127" s="45"/>
      <c r="AA127" s="49" t="s">
        <v>12</v>
      </c>
      <c r="AB127" s="3">
        <f>T127-HLOOKUP(X127,Feuil1!$C$1:$BL$10,2,FALSE)</f>
        <v>18</v>
      </c>
      <c r="AC127" s="3">
        <f>T127-HLOOKUP(X127,Feuil1!$C$1:$BL$10,3,FALSE)</f>
        <v>8</v>
      </c>
      <c r="AD127" s="3">
        <f>T127-HLOOKUP(X127,Feuil1!$C$1:$BL$10,4,FALSE)</f>
        <v>-2</v>
      </c>
      <c r="AE127" s="3">
        <f>T127-HLOOKUP(X127,Feuil1!$C$1:$BL$10,5,FALSE)</f>
        <v>-12</v>
      </c>
      <c r="AF127" s="3">
        <f>T127-HLOOKUP(X127,Feuil1!$C$1:$BL$10,6,FALSE)</f>
        <v>-27</v>
      </c>
      <c r="AG127" s="3">
        <f>T127-HLOOKUP(X127,Feuil1!$C$1:$BL$10,7,FALSE)</f>
        <v>-42</v>
      </c>
      <c r="AH127" s="3">
        <f>T127-HLOOKUP(X127,Feuil1!$C$1:$BL$10,8,FALSE)</f>
        <v>-62</v>
      </c>
      <c r="AI127" s="3">
        <f>T127-HLOOKUP(X127,Feuil1!$C$1:$BL$10,9,FALSE)</f>
        <v>-82</v>
      </c>
      <c r="AJ127" s="3">
        <f>T127-HLOOKUP(X127,Feuil1!$C$1:$BL$10,10,FALSE)</f>
        <v>-102</v>
      </c>
      <c r="AK127" s="5"/>
      <c r="AL127" s="5"/>
      <c r="AM127" s="5"/>
      <c r="AN127" s="5"/>
      <c r="AO127" s="5"/>
      <c r="AP127" s="5"/>
      <c r="AQ127" s="5" t="str">
        <f t="shared" si="42"/>
        <v>DEP +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</row>
    <row r="128" spans="1:55" s="13" customFormat="1" ht="21" hidden="1" x14ac:dyDescent="0.2">
      <c r="A128" s="12" t="s">
        <v>69</v>
      </c>
      <c r="B128" s="18" t="s">
        <v>298</v>
      </c>
      <c r="C128" s="19" t="s">
        <v>299</v>
      </c>
      <c r="D128" s="61">
        <v>52</v>
      </c>
      <c r="E128" s="35">
        <v>144866</v>
      </c>
      <c r="F128" s="20" t="s">
        <v>353</v>
      </c>
      <c r="G128" s="20" t="s">
        <v>354</v>
      </c>
      <c r="H128" s="51">
        <v>1970</v>
      </c>
      <c r="I128" s="30">
        <v>57.5</v>
      </c>
      <c r="J128" s="19" t="s">
        <v>322</v>
      </c>
      <c r="K128" s="34" t="s">
        <v>69</v>
      </c>
      <c r="L128" s="31">
        <v>34</v>
      </c>
      <c r="M128" s="31">
        <v>36</v>
      </c>
      <c r="N128" s="31">
        <v>38</v>
      </c>
      <c r="O128" s="36">
        <f t="shared" si="35"/>
        <v>38</v>
      </c>
      <c r="P128" s="31">
        <v>44</v>
      </c>
      <c r="Q128" s="31">
        <v>46</v>
      </c>
      <c r="R128" s="31">
        <v>48</v>
      </c>
      <c r="S128" s="36">
        <f t="shared" si="36"/>
        <v>48</v>
      </c>
      <c r="T128" s="37">
        <f t="shared" si="37"/>
        <v>86</v>
      </c>
      <c r="U128" s="65">
        <f t="shared" si="38"/>
        <v>-29</v>
      </c>
      <c r="V128" s="41" t="str">
        <f t="shared" si="39"/>
        <v>DEP +</v>
      </c>
      <c r="W128" s="33">
        <f t="shared" si="40"/>
        <v>6</v>
      </c>
      <c r="X128" s="40" t="str">
        <f>IF(I128="","",IF(A128="H",IF(OR(H128="SEN",H128&lt;1995),VLOOKUP(I128,Feuil1!$A$11:$F$29,6),IF(AND(H128&gt;1994,H128&lt;1998),VLOOKUP(I128,Feuil1!$A$11:$F$29,5),IF(AND(H128&gt;1997,H128&lt;2000),VLOOKUP(I128,Feuil1!$A$11:$F$29,4),IF(AND(H128&gt;1999,H128&lt;2002),VLOOKUP(I128,Feuil1!$A$11:$F$29,3),VLOOKUP(I128,Feuil1!$A$11:$F$29,2))))),IF(OR(H128="SEN",H128&lt;1995),VLOOKUP(I128,Feuil1!$G$11:$L$25,6),IF(AND(H128&gt;1994,H128&lt;1998),VLOOKUP(I128,Feuil1!$G$11:$L$25,5),IF(AND(H128&gt;1997,H128&lt;2000),VLOOKUP(I128,Feuil1!$G$11:$L$25,4),IF(AND(H128&gt;1999,H128&lt;2002),VLOOKUP(I128,Feuil1!$G$11:$L$25,3),VLOOKUP(I128,Feuil1!$G$11:$L$25,2)))))))</f>
        <v>FS58</v>
      </c>
      <c r="Y128" s="39">
        <f t="shared" si="41"/>
        <v>121.84885615231985</v>
      </c>
      <c r="Z128" s="45"/>
      <c r="AA128" s="49" t="s">
        <v>12</v>
      </c>
      <c r="AB128" s="3">
        <f>T128-HLOOKUP(X128,Feuil1!$C$1:$BL$10,2,FALSE)</f>
        <v>16</v>
      </c>
      <c r="AC128" s="3">
        <f>T128-HLOOKUP(X128,Feuil1!$C$1:$BL$10,3,FALSE)</f>
        <v>6</v>
      </c>
      <c r="AD128" s="3">
        <f>T128-HLOOKUP(X128,Feuil1!$C$1:$BL$10,4,FALSE)</f>
        <v>-4</v>
      </c>
      <c r="AE128" s="3">
        <f>T128-HLOOKUP(X128,Feuil1!$C$1:$BL$10,5,FALSE)</f>
        <v>-14</v>
      </c>
      <c r="AF128" s="3">
        <f>T128-HLOOKUP(X128,Feuil1!$C$1:$BL$10,6,FALSE)</f>
        <v>-29</v>
      </c>
      <c r="AG128" s="3">
        <f>T128-HLOOKUP(X128,Feuil1!$C$1:$BL$10,7,FALSE)</f>
        <v>-44</v>
      </c>
      <c r="AH128" s="3">
        <f>T128-HLOOKUP(X128,Feuil1!$C$1:$BL$10,8,FALSE)</f>
        <v>-64</v>
      </c>
      <c r="AI128" s="3">
        <f>T128-HLOOKUP(X128,Feuil1!$C$1:$BL$10,9,FALSE)</f>
        <v>-84</v>
      </c>
      <c r="AJ128" s="3">
        <f>T128-HLOOKUP(X128,Feuil1!$C$1:$BL$10,10,FALSE)</f>
        <v>-104</v>
      </c>
      <c r="AK128" s="5"/>
      <c r="AL128" s="5"/>
      <c r="AM128" s="5"/>
      <c r="AN128" s="5"/>
      <c r="AO128" s="5"/>
      <c r="AP128" s="5"/>
      <c r="AQ128" s="5" t="str">
        <f t="shared" si="42"/>
        <v>DEP +</v>
      </c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</row>
    <row r="129" spans="1:55" s="13" customFormat="1" ht="21" hidden="1" x14ac:dyDescent="0.2">
      <c r="A129" s="12" t="s">
        <v>69</v>
      </c>
      <c r="B129" s="18" t="s">
        <v>298</v>
      </c>
      <c r="C129" s="19" t="s">
        <v>299</v>
      </c>
      <c r="D129" s="61">
        <v>53</v>
      </c>
      <c r="E129" s="35">
        <v>382103</v>
      </c>
      <c r="F129" s="20" t="s">
        <v>355</v>
      </c>
      <c r="G129" s="20" t="s">
        <v>356</v>
      </c>
      <c r="H129" s="51">
        <v>1987</v>
      </c>
      <c r="I129" s="30">
        <v>56.6</v>
      </c>
      <c r="J129" s="19" t="s">
        <v>339</v>
      </c>
      <c r="K129" s="34" t="s">
        <v>69</v>
      </c>
      <c r="L129" s="31">
        <v>-35</v>
      </c>
      <c r="M129" s="31">
        <v>35</v>
      </c>
      <c r="N129" s="31">
        <v>-38</v>
      </c>
      <c r="O129" s="36">
        <f t="shared" si="35"/>
        <v>35</v>
      </c>
      <c r="P129" s="31">
        <v>45</v>
      </c>
      <c r="Q129" s="31">
        <v>50</v>
      </c>
      <c r="R129" s="31">
        <v>-53</v>
      </c>
      <c r="S129" s="36">
        <f t="shared" si="36"/>
        <v>50</v>
      </c>
      <c r="T129" s="37">
        <f t="shared" si="37"/>
        <v>85</v>
      </c>
      <c r="U129" s="65">
        <f t="shared" si="38"/>
        <v>-28.200000000000003</v>
      </c>
      <c r="V129" s="41" t="str">
        <f t="shared" si="39"/>
        <v>DEP +</v>
      </c>
      <c r="W129" s="33">
        <f t="shared" si="40"/>
        <v>5</v>
      </c>
      <c r="X129" s="40" t="str">
        <f>IF(I129="","",IF(A129="H",IF(OR(H129="SEN",H129&lt;1995),VLOOKUP(I129,Feuil1!$A$11:$F$29,6),IF(AND(H129&gt;1994,H129&lt;1998),VLOOKUP(I129,Feuil1!$A$11:$F$29,5),IF(AND(H129&gt;1997,H129&lt;2000),VLOOKUP(I129,Feuil1!$A$11:$F$29,4),IF(AND(H129&gt;1999,H129&lt;2002),VLOOKUP(I129,Feuil1!$A$11:$F$29,3),VLOOKUP(I129,Feuil1!$A$11:$F$29,2))))),IF(OR(H129="SEN",H129&lt;1995),VLOOKUP(I129,Feuil1!$G$11:$L$25,6),IF(AND(H129&gt;1994,H129&lt;1998),VLOOKUP(I129,Feuil1!$G$11:$L$25,5),IF(AND(H129&gt;1997,H129&lt;2000),VLOOKUP(I129,Feuil1!$G$11:$L$25,4),IF(AND(H129&gt;1999,H129&lt;2002),VLOOKUP(I129,Feuil1!$G$11:$L$25,3),VLOOKUP(I129,Feuil1!$G$11:$L$25,2)))))))</f>
        <v>FS58</v>
      </c>
      <c r="Y129" s="39">
        <f t="shared" si="41"/>
        <v>121.8521631720274</v>
      </c>
      <c r="Z129" s="45"/>
      <c r="AA129" s="49" t="s">
        <v>12</v>
      </c>
      <c r="AB129" s="3">
        <f>T129-HLOOKUP(X129,Feuil1!$C$1:$BL$10,2,FALSE)</f>
        <v>15</v>
      </c>
      <c r="AC129" s="3">
        <f>T129-HLOOKUP(X129,Feuil1!$C$1:$BL$10,3,FALSE)</f>
        <v>5</v>
      </c>
      <c r="AD129" s="3">
        <f>T129-HLOOKUP(X129,Feuil1!$C$1:$BL$10,4,FALSE)</f>
        <v>-5</v>
      </c>
      <c r="AE129" s="3">
        <f>T129-HLOOKUP(X129,Feuil1!$C$1:$BL$10,5,FALSE)</f>
        <v>-15</v>
      </c>
      <c r="AF129" s="3">
        <f>T129-HLOOKUP(X129,Feuil1!$C$1:$BL$10,6,FALSE)</f>
        <v>-30</v>
      </c>
      <c r="AG129" s="3">
        <f>T129-HLOOKUP(X129,Feuil1!$C$1:$BL$10,7,FALSE)</f>
        <v>-45</v>
      </c>
      <c r="AH129" s="3">
        <f>T129-HLOOKUP(X129,Feuil1!$C$1:$BL$10,8,FALSE)</f>
        <v>-65</v>
      </c>
      <c r="AI129" s="3">
        <f>T129-HLOOKUP(X129,Feuil1!$C$1:$BL$10,9,FALSE)</f>
        <v>-85</v>
      </c>
      <c r="AJ129" s="3">
        <f>T129-HLOOKUP(X129,Feuil1!$C$1:$BL$10,10,FALSE)</f>
        <v>-105</v>
      </c>
      <c r="AK129" s="5"/>
      <c r="AL129" s="5"/>
      <c r="AM129" s="5"/>
      <c r="AN129" s="5"/>
      <c r="AO129" s="5"/>
      <c r="AP129" s="5"/>
      <c r="AQ129" s="5" t="str">
        <f t="shared" si="42"/>
        <v>DEP +</v>
      </c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</row>
    <row r="130" spans="1:55" s="13" customFormat="1" ht="21" hidden="1" x14ac:dyDescent="0.2">
      <c r="A130" s="12" t="s">
        <v>69</v>
      </c>
      <c r="B130" s="18" t="s">
        <v>298</v>
      </c>
      <c r="C130" s="19" t="s">
        <v>299</v>
      </c>
      <c r="D130" s="61">
        <v>54</v>
      </c>
      <c r="E130" s="35">
        <v>379905</v>
      </c>
      <c r="F130" s="20" t="s">
        <v>357</v>
      </c>
      <c r="G130" s="20" t="s">
        <v>358</v>
      </c>
      <c r="H130" s="51">
        <v>1983</v>
      </c>
      <c r="I130" s="30">
        <v>57.3</v>
      </c>
      <c r="J130" s="19" t="s">
        <v>322</v>
      </c>
      <c r="K130" s="34" t="s">
        <v>69</v>
      </c>
      <c r="L130" s="31">
        <v>35</v>
      </c>
      <c r="M130" s="31">
        <v>-37</v>
      </c>
      <c r="N130" s="31">
        <v>-37</v>
      </c>
      <c r="O130" s="36">
        <f t="shared" si="35"/>
        <v>35</v>
      </c>
      <c r="P130" s="31">
        <v>45</v>
      </c>
      <c r="Q130" s="31">
        <v>47</v>
      </c>
      <c r="R130" s="31">
        <v>50</v>
      </c>
      <c r="S130" s="36">
        <f t="shared" si="36"/>
        <v>50</v>
      </c>
      <c r="T130" s="37">
        <f t="shared" si="37"/>
        <v>85</v>
      </c>
      <c r="U130" s="65">
        <f t="shared" si="38"/>
        <v>-29.599999999999994</v>
      </c>
      <c r="V130" s="41" t="str">
        <f t="shared" si="39"/>
        <v>DEP +</v>
      </c>
      <c r="W130" s="33">
        <f t="shared" si="40"/>
        <v>5</v>
      </c>
      <c r="X130" s="40" t="str">
        <f>IF(I130="","",IF(A130="H",IF(OR(H130="SEN",H130&lt;1995),VLOOKUP(I130,Feuil1!$A$11:$F$29,6),IF(AND(H130&gt;1994,H130&lt;1998),VLOOKUP(I130,Feuil1!$A$11:$F$29,5),IF(AND(H130&gt;1997,H130&lt;2000),VLOOKUP(I130,Feuil1!$A$11:$F$29,4),IF(AND(H130&gt;1999,H130&lt;2002),VLOOKUP(I130,Feuil1!$A$11:$F$29,3),VLOOKUP(I130,Feuil1!$A$11:$F$29,2))))),IF(OR(H130="SEN",H130&lt;1995),VLOOKUP(I130,Feuil1!$G$11:$L$25,6),IF(AND(H130&gt;1994,H130&lt;1998),VLOOKUP(I130,Feuil1!$G$11:$L$25,5),IF(AND(H130&gt;1997,H130&lt;2000),VLOOKUP(I130,Feuil1!$G$11:$L$25,4),IF(AND(H130&gt;1999,H130&lt;2002),VLOOKUP(I130,Feuil1!$G$11:$L$25,3),VLOOKUP(I130,Feuil1!$G$11:$L$25,2)))))))</f>
        <v>FS58</v>
      </c>
      <c r="Y130" s="39">
        <f t="shared" si="41"/>
        <v>120.74222229086902</v>
      </c>
      <c r="Z130" s="45"/>
      <c r="AA130" s="49" t="s">
        <v>12</v>
      </c>
      <c r="AB130" s="3">
        <f>T130-HLOOKUP(X130,Feuil1!$C$1:$BL$10,2,FALSE)</f>
        <v>15</v>
      </c>
      <c r="AC130" s="3">
        <f>T130-HLOOKUP(X130,Feuil1!$C$1:$BL$10,3,FALSE)</f>
        <v>5</v>
      </c>
      <c r="AD130" s="3">
        <f>T130-HLOOKUP(X130,Feuil1!$C$1:$BL$10,4,FALSE)</f>
        <v>-5</v>
      </c>
      <c r="AE130" s="3">
        <f>T130-HLOOKUP(X130,Feuil1!$C$1:$BL$10,5,FALSE)</f>
        <v>-15</v>
      </c>
      <c r="AF130" s="3">
        <f>T130-HLOOKUP(X130,Feuil1!$C$1:$BL$10,6,FALSE)</f>
        <v>-30</v>
      </c>
      <c r="AG130" s="3">
        <f>T130-HLOOKUP(X130,Feuil1!$C$1:$BL$10,7,FALSE)</f>
        <v>-45</v>
      </c>
      <c r="AH130" s="3">
        <f>T130-HLOOKUP(X130,Feuil1!$C$1:$BL$10,8,FALSE)</f>
        <v>-65</v>
      </c>
      <c r="AI130" s="3">
        <f>T130-HLOOKUP(X130,Feuil1!$C$1:$BL$10,9,FALSE)</f>
        <v>-85</v>
      </c>
      <c r="AJ130" s="3">
        <f>T130-HLOOKUP(X130,Feuil1!$C$1:$BL$10,10,FALSE)</f>
        <v>-105</v>
      </c>
      <c r="AK130" s="5"/>
      <c r="AL130" s="5"/>
      <c r="AM130" s="5"/>
      <c r="AN130" s="5"/>
      <c r="AO130" s="5"/>
      <c r="AP130" s="5"/>
      <c r="AQ130" s="5" t="str">
        <f t="shared" si="42"/>
        <v>DEP +</v>
      </c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</row>
    <row r="131" spans="1:55" s="13" customFormat="1" ht="21" hidden="1" x14ac:dyDescent="0.2">
      <c r="A131" s="12" t="s">
        <v>69</v>
      </c>
      <c r="B131" s="18" t="s">
        <v>108</v>
      </c>
      <c r="C131" s="19" t="s">
        <v>119</v>
      </c>
      <c r="D131" s="61">
        <v>55</v>
      </c>
      <c r="E131" s="35">
        <v>130670</v>
      </c>
      <c r="F131" s="20" t="s">
        <v>120</v>
      </c>
      <c r="G131" s="20" t="s">
        <v>206</v>
      </c>
      <c r="H131" s="51">
        <v>1970</v>
      </c>
      <c r="I131" s="30">
        <v>56.84</v>
      </c>
      <c r="J131" s="19" t="s">
        <v>122</v>
      </c>
      <c r="K131" s="34" t="s">
        <v>69</v>
      </c>
      <c r="L131" s="31">
        <v>32</v>
      </c>
      <c r="M131" s="31">
        <v>35</v>
      </c>
      <c r="N131" s="31">
        <v>38</v>
      </c>
      <c r="O131" s="36">
        <f t="shared" si="35"/>
        <v>38</v>
      </c>
      <c r="P131" s="31">
        <v>40</v>
      </c>
      <c r="Q131" s="31">
        <v>42</v>
      </c>
      <c r="R131" s="31">
        <v>44</v>
      </c>
      <c r="S131" s="36">
        <f t="shared" si="36"/>
        <v>44</v>
      </c>
      <c r="T131" s="37">
        <f t="shared" si="37"/>
        <v>82</v>
      </c>
      <c r="U131" s="65">
        <f t="shared" si="38"/>
        <v>-31.680000000000007</v>
      </c>
      <c r="V131" s="41" t="str">
        <f t="shared" si="39"/>
        <v>DEP +</v>
      </c>
      <c r="W131" s="33">
        <f t="shared" si="40"/>
        <v>2</v>
      </c>
      <c r="X131" s="40" t="str">
        <f>IF(I131="","",IF(A131="H",IF(OR(H131="SEN",H131&lt;1995),VLOOKUP(I131,Feuil1!$A$11:$F$29,6),IF(AND(H131&gt;1994,H131&lt;1998),VLOOKUP(I131,Feuil1!$A$11:$F$29,5),IF(AND(H131&gt;1997,H131&lt;2000),VLOOKUP(I131,Feuil1!$A$11:$F$29,4),IF(AND(H131&gt;1999,H131&lt;2002),VLOOKUP(I131,Feuil1!$A$11:$F$29,3),VLOOKUP(I131,Feuil1!$A$11:$F$29,2))))),IF(OR(H131="SEN",H131&lt;1995),VLOOKUP(I131,Feuil1!$G$11:$L$25,6),IF(AND(H131&gt;1994,H131&lt;1998),VLOOKUP(I131,Feuil1!$G$11:$L$25,5),IF(AND(H131&gt;1997,H131&lt;2000),VLOOKUP(I131,Feuil1!$G$11:$L$25,4),IF(AND(H131&gt;1999,H131&lt;2002),VLOOKUP(I131,Feuil1!$G$11:$L$25,3),VLOOKUP(I131,Feuil1!$G$11:$L$25,2)))))))</f>
        <v>FS58</v>
      </c>
      <c r="Y131" s="39">
        <f t="shared" si="41"/>
        <v>117.18023025974104</v>
      </c>
      <c r="Z131" s="45"/>
      <c r="AA131" s="49" t="s">
        <v>12</v>
      </c>
      <c r="AB131" s="3">
        <f>T131-HLOOKUP(X131,Feuil1!$C$1:$BL$10,2,FALSE)</f>
        <v>12</v>
      </c>
      <c r="AC131" s="3">
        <f>T131-HLOOKUP(X131,Feuil1!$C$1:$BL$10,3,FALSE)</f>
        <v>2</v>
      </c>
      <c r="AD131" s="3">
        <f>T131-HLOOKUP(X131,Feuil1!$C$1:$BL$10,4,FALSE)</f>
        <v>-8</v>
      </c>
      <c r="AE131" s="3">
        <f>T131-HLOOKUP(X131,Feuil1!$C$1:$BL$10,5,FALSE)</f>
        <v>-18</v>
      </c>
      <c r="AF131" s="3">
        <f>T131-HLOOKUP(X131,Feuil1!$C$1:$BL$10,6,FALSE)</f>
        <v>-33</v>
      </c>
      <c r="AG131" s="3">
        <f>T131-HLOOKUP(X131,Feuil1!$C$1:$BL$10,7,FALSE)</f>
        <v>-48</v>
      </c>
      <c r="AH131" s="3">
        <f>T131-HLOOKUP(X131,Feuil1!$C$1:$BL$10,8,FALSE)</f>
        <v>-68</v>
      </c>
      <c r="AI131" s="3">
        <f>T131-HLOOKUP(X131,Feuil1!$C$1:$BL$10,9,FALSE)</f>
        <v>-88</v>
      </c>
      <c r="AJ131" s="3">
        <f>T131-HLOOKUP(X131,Feuil1!$C$1:$BL$10,10,FALSE)</f>
        <v>-108</v>
      </c>
      <c r="AK131" s="5"/>
      <c r="AL131" s="5"/>
      <c r="AM131" s="5"/>
      <c r="AN131" s="5"/>
      <c r="AO131" s="5"/>
      <c r="AP131" s="5"/>
      <c r="AQ131" s="5" t="str">
        <f t="shared" si="42"/>
        <v>DEP +</v>
      </c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</row>
    <row r="132" spans="1:55" s="13" customFormat="1" ht="21" hidden="1" x14ac:dyDescent="0.2">
      <c r="A132" s="12" t="s">
        <v>69</v>
      </c>
      <c r="B132" s="18" t="s">
        <v>298</v>
      </c>
      <c r="C132" s="19" t="s">
        <v>404</v>
      </c>
      <c r="D132" s="61">
        <v>56</v>
      </c>
      <c r="E132" s="35">
        <v>378541</v>
      </c>
      <c r="F132" s="20" t="s">
        <v>458</v>
      </c>
      <c r="G132" s="20" t="s">
        <v>459</v>
      </c>
      <c r="H132" s="51">
        <v>1993</v>
      </c>
      <c r="I132" s="30">
        <v>56.9</v>
      </c>
      <c r="J132" s="19" t="s">
        <v>431</v>
      </c>
      <c r="K132" s="34" t="s">
        <v>69</v>
      </c>
      <c r="L132" s="31">
        <v>32</v>
      </c>
      <c r="M132" s="31">
        <v>35</v>
      </c>
      <c r="N132" s="31">
        <v>-36</v>
      </c>
      <c r="O132" s="36">
        <f t="shared" si="35"/>
        <v>35</v>
      </c>
      <c r="P132" s="31">
        <v>40</v>
      </c>
      <c r="Q132" s="31">
        <v>43</v>
      </c>
      <c r="R132" s="31">
        <v>45</v>
      </c>
      <c r="S132" s="36">
        <f t="shared" si="36"/>
        <v>45</v>
      </c>
      <c r="T132" s="37">
        <f t="shared" si="37"/>
        <v>80</v>
      </c>
      <c r="U132" s="65">
        <f t="shared" si="38"/>
        <v>-33.799999999999997</v>
      </c>
      <c r="V132" s="41" t="str">
        <f t="shared" si="39"/>
        <v>DEP +</v>
      </c>
      <c r="W132" s="33">
        <f t="shared" si="40"/>
        <v>0</v>
      </c>
      <c r="X132" s="40" t="str">
        <f>IF(I132="","",IF(A132="H",IF(OR(H132="SEN",H132&lt;1995),VLOOKUP(I132,Feuil1!$A$11:$F$29,6),IF(AND(H132&gt;1994,H132&lt;1998),VLOOKUP(I132,Feuil1!$A$11:$F$29,5),IF(AND(H132&gt;1997,H132&lt;2000),VLOOKUP(I132,Feuil1!$A$11:$F$29,4),IF(AND(H132&gt;1999,H132&lt;2002),VLOOKUP(I132,Feuil1!$A$11:$F$29,3),VLOOKUP(I132,Feuil1!$A$11:$F$29,2))))),IF(OR(H132="SEN",H132&lt;1995),VLOOKUP(I132,Feuil1!$G$11:$L$25,6),IF(AND(H132&gt;1994,H132&lt;1998),VLOOKUP(I132,Feuil1!$G$11:$L$25,5),IF(AND(H132&gt;1997,H132&lt;2000),VLOOKUP(I132,Feuil1!$G$11:$L$25,4),IF(AND(H132&gt;1999,H132&lt;2002),VLOOKUP(I132,Feuil1!$G$11:$L$25,3),VLOOKUP(I132,Feuil1!$G$11:$L$25,2)))))))</f>
        <v>FS58</v>
      </c>
      <c r="Y132" s="39">
        <f t="shared" si="41"/>
        <v>114.2322881706046</v>
      </c>
      <c r="Z132" s="45"/>
      <c r="AA132" s="49" t="s">
        <v>12</v>
      </c>
      <c r="AB132" s="3">
        <f>T132-HLOOKUP(X132,Feuil1!$C$1:$BL$10,2,FALSE)</f>
        <v>10</v>
      </c>
      <c r="AC132" s="3">
        <f>T132-HLOOKUP(X132,Feuil1!$C$1:$BL$10,3,FALSE)</f>
        <v>0</v>
      </c>
      <c r="AD132" s="3">
        <f>T132-HLOOKUP(X132,Feuil1!$C$1:$BL$10,4,FALSE)</f>
        <v>-10</v>
      </c>
      <c r="AE132" s="3">
        <f>T132-HLOOKUP(X132,Feuil1!$C$1:$BL$10,5,FALSE)</f>
        <v>-20</v>
      </c>
      <c r="AF132" s="3">
        <f>T132-HLOOKUP(X132,Feuil1!$C$1:$BL$10,6,FALSE)</f>
        <v>-35</v>
      </c>
      <c r="AG132" s="3">
        <f>T132-HLOOKUP(X132,Feuil1!$C$1:$BL$10,7,FALSE)</f>
        <v>-50</v>
      </c>
      <c r="AH132" s="3">
        <f>T132-HLOOKUP(X132,Feuil1!$C$1:$BL$10,8,FALSE)</f>
        <v>-70</v>
      </c>
      <c r="AI132" s="3">
        <f>T132-HLOOKUP(X132,Feuil1!$C$1:$BL$10,9,FALSE)</f>
        <v>-90</v>
      </c>
      <c r="AJ132" s="3">
        <f>T132-HLOOKUP(X132,Feuil1!$C$1:$BL$10,10,FALSE)</f>
        <v>-110</v>
      </c>
      <c r="AK132" s="5"/>
      <c r="AL132" s="5"/>
      <c r="AM132" s="5"/>
      <c r="AN132" s="5"/>
      <c r="AO132" s="5"/>
      <c r="AP132" s="5"/>
      <c r="AQ132" s="5" t="str">
        <f t="shared" si="42"/>
        <v>DEP +</v>
      </c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</row>
    <row r="133" spans="1:55" s="13" customFormat="1" ht="21" hidden="1" x14ac:dyDescent="0.2">
      <c r="A133" s="12" t="s">
        <v>69</v>
      </c>
      <c r="B133" s="18" t="s">
        <v>298</v>
      </c>
      <c r="C133" s="19" t="s">
        <v>299</v>
      </c>
      <c r="D133" s="61">
        <v>57</v>
      </c>
      <c r="E133" s="35">
        <v>356353</v>
      </c>
      <c r="F133" s="20" t="s">
        <v>359</v>
      </c>
      <c r="G133" s="20" t="s">
        <v>583</v>
      </c>
      <c r="H133" s="51">
        <v>1980</v>
      </c>
      <c r="I133" s="30">
        <v>56.72</v>
      </c>
      <c r="J133" s="19" t="s">
        <v>339</v>
      </c>
      <c r="K133" s="34" t="s">
        <v>69</v>
      </c>
      <c r="L133" s="31">
        <v>27</v>
      </c>
      <c r="M133" s="31">
        <v>31</v>
      </c>
      <c r="N133" s="31">
        <v>33</v>
      </c>
      <c r="O133" s="36">
        <f t="shared" si="35"/>
        <v>33</v>
      </c>
      <c r="P133" s="31">
        <v>37</v>
      </c>
      <c r="Q133" s="31">
        <v>42</v>
      </c>
      <c r="R133" s="31">
        <v>46</v>
      </c>
      <c r="S133" s="36">
        <f t="shared" si="36"/>
        <v>46</v>
      </c>
      <c r="T133" s="37">
        <f t="shared" si="37"/>
        <v>79</v>
      </c>
      <c r="U133" s="65">
        <f t="shared" si="38"/>
        <v>-34.44</v>
      </c>
      <c r="V133" s="41" t="str">
        <f t="shared" si="39"/>
        <v xml:space="preserve">DEB </v>
      </c>
      <c r="W133" s="33">
        <f t="shared" si="40"/>
        <v>9</v>
      </c>
      <c r="X133" s="40" t="str">
        <f>IF(I133="","",IF(A133="H",IF(OR(H133="SEN",H133&lt;1995),VLOOKUP(I133,Feuil1!$A$11:$F$29,6),IF(AND(H133&gt;1994,H133&lt;1998),VLOOKUP(I133,Feuil1!$A$11:$F$29,5),IF(AND(H133&gt;1997,H133&lt;2000),VLOOKUP(I133,Feuil1!$A$11:$F$29,4),IF(AND(H133&gt;1999,H133&lt;2002),VLOOKUP(I133,Feuil1!$A$11:$F$29,3),VLOOKUP(I133,Feuil1!$A$11:$F$29,2))))),IF(OR(H133="SEN",H133&lt;1995),VLOOKUP(I133,Feuil1!$G$11:$L$25,6),IF(AND(H133&gt;1994,H133&lt;1998),VLOOKUP(I133,Feuil1!$G$11:$L$25,5),IF(AND(H133&gt;1997,H133&lt;2000),VLOOKUP(I133,Feuil1!$G$11:$L$25,4),IF(AND(H133&gt;1999,H133&lt;2002),VLOOKUP(I133,Feuil1!$G$11:$L$25,3),VLOOKUP(I133,Feuil1!$G$11:$L$25,2)))))))</f>
        <v>FS58</v>
      </c>
      <c r="Y133" s="39">
        <f t="shared" si="41"/>
        <v>113.07146349771786</v>
      </c>
      <c r="Z133" s="45"/>
      <c r="AA133" s="49" t="s">
        <v>12</v>
      </c>
      <c r="AB133" s="3">
        <f>T133-HLOOKUP(X133,Feuil1!$C$1:$BL$10,2,FALSE)</f>
        <v>9</v>
      </c>
      <c r="AC133" s="3">
        <f>T133-HLOOKUP(X133,Feuil1!$C$1:$BL$10,3,FALSE)</f>
        <v>-1</v>
      </c>
      <c r="AD133" s="3">
        <f>T133-HLOOKUP(X133,Feuil1!$C$1:$BL$10,4,FALSE)</f>
        <v>-11</v>
      </c>
      <c r="AE133" s="3">
        <f>T133-HLOOKUP(X133,Feuil1!$C$1:$BL$10,5,FALSE)</f>
        <v>-21</v>
      </c>
      <c r="AF133" s="3">
        <f>T133-HLOOKUP(X133,Feuil1!$C$1:$BL$10,6,FALSE)</f>
        <v>-36</v>
      </c>
      <c r="AG133" s="3">
        <f>T133-HLOOKUP(X133,Feuil1!$C$1:$BL$10,7,FALSE)</f>
        <v>-51</v>
      </c>
      <c r="AH133" s="3">
        <f>T133-HLOOKUP(X133,Feuil1!$C$1:$BL$10,8,FALSE)</f>
        <v>-71</v>
      </c>
      <c r="AI133" s="3">
        <f>T133-HLOOKUP(X133,Feuil1!$C$1:$BL$10,9,FALSE)</f>
        <v>-91</v>
      </c>
      <c r="AJ133" s="3">
        <f>T133-HLOOKUP(X133,Feuil1!$C$1:$BL$10,10,FALSE)</f>
        <v>-111</v>
      </c>
      <c r="AK133" s="5"/>
      <c r="AL133" s="5"/>
      <c r="AM133" s="5"/>
      <c r="AN133" s="5"/>
      <c r="AO133" s="5"/>
      <c r="AP133" s="5"/>
      <c r="AQ133" s="5" t="str">
        <f t="shared" si="42"/>
        <v xml:space="preserve">DEB </v>
      </c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</row>
    <row r="134" spans="1:55" s="13" customFormat="1" ht="21" hidden="1" x14ac:dyDescent="0.2">
      <c r="A134" s="12" t="s">
        <v>69</v>
      </c>
      <c r="B134" s="18" t="s">
        <v>108</v>
      </c>
      <c r="C134" s="19" t="s">
        <v>109</v>
      </c>
      <c r="D134" s="61">
        <v>58</v>
      </c>
      <c r="E134" s="35">
        <v>14438</v>
      </c>
      <c r="F134" s="20" t="s">
        <v>179</v>
      </c>
      <c r="G134" s="20" t="s">
        <v>180</v>
      </c>
      <c r="H134" s="51">
        <v>1979</v>
      </c>
      <c r="I134" s="30">
        <v>54.45</v>
      </c>
      <c r="J134" s="19" t="s">
        <v>155</v>
      </c>
      <c r="K134" s="34" t="s">
        <v>69</v>
      </c>
      <c r="L134" s="31">
        <v>25</v>
      </c>
      <c r="M134" s="31">
        <v>28</v>
      </c>
      <c r="N134" s="31">
        <v>30</v>
      </c>
      <c r="O134" s="36">
        <f t="shared" si="35"/>
        <v>30</v>
      </c>
      <c r="P134" s="31">
        <v>40</v>
      </c>
      <c r="Q134" s="31">
        <v>43</v>
      </c>
      <c r="R134" s="31">
        <v>45</v>
      </c>
      <c r="S134" s="36">
        <f t="shared" si="36"/>
        <v>45</v>
      </c>
      <c r="T134" s="37">
        <f t="shared" si="37"/>
        <v>75</v>
      </c>
      <c r="U134" s="65">
        <f t="shared" si="38"/>
        <v>-33.900000000000006</v>
      </c>
      <c r="V134" s="41" t="str">
        <f t="shared" si="39"/>
        <v xml:space="preserve">DEB </v>
      </c>
      <c r="W134" s="33">
        <f t="shared" si="40"/>
        <v>5</v>
      </c>
      <c r="X134" s="40" t="str">
        <f>IF(I134="","",IF(A134="H",IF(OR(H134="SEN",H134&lt;1995),VLOOKUP(I134,Feuil1!$A$11:$F$29,6),IF(AND(H134&gt;1994,H134&lt;1998),VLOOKUP(I134,Feuil1!$A$11:$F$29,5),IF(AND(H134&gt;1997,H134&lt;2000),VLOOKUP(I134,Feuil1!$A$11:$F$29,4),IF(AND(H134&gt;1999,H134&lt;2002),VLOOKUP(I134,Feuil1!$A$11:$F$29,3),VLOOKUP(I134,Feuil1!$A$11:$F$29,2))))),IF(OR(H134="SEN",H134&lt;1995),VLOOKUP(I134,Feuil1!$G$11:$L$25,6),IF(AND(H134&gt;1994,H134&lt;1998),VLOOKUP(I134,Feuil1!$G$11:$L$25,5),IF(AND(H134&gt;1997,H134&lt;2000),VLOOKUP(I134,Feuil1!$G$11:$L$25,4),IF(AND(H134&gt;1999,H134&lt;2002),VLOOKUP(I134,Feuil1!$G$11:$L$25,3),VLOOKUP(I134,Feuil1!$G$11:$L$25,2)))))))</f>
        <v>FS58</v>
      </c>
      <c r="Y134" s="39">
        <f t="shared" si="41"/>
        <v>110.74667698656442</v>
      </c>
      <c r="Z134" s="45"/>
      <c r="AA134" s="49" t="s">
        <v>12</v>
      </c>
      <c r="AB134" s="3">
        <f>T134-HLOOKUP(X134,Feuil1!$C$1:$BL$10,2,FALSE)</f>
        <v>5</v>
      </c>
      <c r="AC134" s="3">
        <f>T134-HLOOKUP(X134,Feuil1!$C$1:$BL$10,3,FALSE)</f>
        <v>-5</v>
      </c>
      <c r="AD134" s="3">
        <f>T134-HLOOKUP(X134,Feuil1!$C$1:$BL$10,4,FALSE)</f>
        <v>-15</v>
      </c>
      <c r="AE134" s="3">
        <f>T134-HLOOKUP(X134,Feuil1!$C$1:$BL$10,5,FALSE)</f>
        <v>-25</v>
      </c>
      <c r="AF134" s="3">
        <f>T134-HLOOKUP(X134,Feuil1!$C$1:$BL$10,6,FALSE)</f>
        <v>-40</v>
      </c>
      <c r="AG134" s="3">
        <f>T134-HLOOKUP(X134,Feuil1!$C$1:$BL$10,7,FALSE)</f>
        <v>-55</v>
      </c>
      <c r="AH134" s="3">
        <f>T134-HLOOKUP(X134,Feuil1!$C$1:$BL$10,8,FALSE)</f>
        <v>-75</v>
      </c>
      <c r="AI134" s="3">
        <f>T134-HLOOKUP(X134,Feuil1!$C$1:$BL$10,9,FALSE)</f>
        <v>-95</v>
      </c>
      <c r="AJ134" s="3">
        <f>T134-HLOOKUP(X134,Feuil1!$C$1:$BL$10,10,FALSE)</f>
        <v>-115</v>
      </c>
      <c r="AK134" s="5"/>
      <c r="AL134" s="5"/>
      <c r="AM134" s="5"/>
      <c r="AN134" s="5"/>
      <c r="AO134" s="5"/>
      <c r="AP134" s="5"/>
      <c r="AQ134" s="5" t="str">
        <f t="shared" si="42"/>
        <v xml:space="preserve">DEB </v>
      </c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</row>
    <row r="135" spans="1:55" s="13" customFormat="1" ht="21" hidden="1" x14ac:dyDescent="0.2">
      <c r="A135" s="12" t="s">
        <v>69</v>
      </c>
      <c r="B135" s="18" t="s">
        <v>71</v>
      </c>
      <c r="C135" s="19" t="s">
        <v>883</v>
      </c>
      <c r="D135" s="61">
        <v>59</v>
      </c>
      <c r="E135" s="35">
        <v>388064</v>
      </c>
      <c r="F135" s="20" t="s">
        <v>905</v>
      </c>
      <c r="G135" s="20" t="s">
        <v>906</v>
      </c>
      <c r="H135" s="51">
        <v>1994</v>
      </c>
      <c r="I135" s="30">
        <v>54.95</v>
      </c>
      <c r="J135" s="19" t="s">
        <v>904</v>
      </c>
      <c r="K135" s="34" t="s">
        <v>69</v>
      </c>
      <c r="L135" s="31">
        <v>30</v>
      </c>
      <c r="M135" s="31">
        <v>32</v>
      </c>
      <c r="N135" s="31">
        <v>-34</v>
      </c>
      <c r="O135" s="36">
        <f t="shared" si="35"/>
        <v>32</v>
      </c>
      <c r="P135" s="31">
        <v>40</v>
      </c>
      <c r="Q135" s="31">
        <v>-43</v>
      </c>
      <c r="R135" s="31">
        <v>43</v>
      </c>
      <c r="S135" s="36">
        <f t="shared" si="36"/>
        <v>43</v>
      </c>
      <c r="T135" s="37">
        <f t="shared" si="37"/>
        <v>75</v>
      </c>
      <c r="U135" s="65">
        <f t="shared" si="38"/>
        <v>-34.900000000000006</v>
      </c>
      <c r="V135" s="32" t="str">
        <f t="shared" si="39"/>
        <v xml:space="preserve">DEB </v>
      </c>
      <c r="W135" s="33">
        <f t="shared" si="40"/>
        <v>5</v>
      </c>
      <c r="X135" s="40" t="str">
        <f>IF(I135="","",IF(A135="H",IF(OR(H135="SEN",H135&lt;1995),VLOOKUP(I135,Feuil1!$A$11:$F$29,6),IF(AND(H135&gt;1994,H135&lt;1998),VLOOKUP(I135,Feuil1!$A$11:$F$29,5),IF(AND(H135&gt;1997,H135&lt;2000),VLOOKUP(I135,Feuil1!$A$11:$F$29,4),IF(AND(H135&gt;1999,H135&lt;2002),VLOOKUP(I135,Feuil1!$A$11:$F$29,3),VLOOKUP(I135,Feuil1!$A$11:$F$29,2))))),IF(OR(H135="SEN",H135&lt;1995),VLOOKUP(I135,Feuil1!$G$11:$L$25,6),IF(AND(H135&gt;1994,H135&lt;1998),VLOOKUP(I135,Feuil1!$G$11:$L$25,5),IF(AND(H135&gt;1997,H135&lt;2000),VLOOKUP(I135,Feuil1!$G$11:$L$25,4),IF(AND(H135&gt;1999,H135&lt;2002),VLOOKUP(I135,Feuil1!$G$11:$L$25,3),VLOOKUP(I135,Feuil1!$G$11:$L$25,2)))))))</f>
        <v>FS58</v>
      </c>
      <c r="Y135" s="39">
        <f t="shared" si="41"/>
        <v>109.96402868640132</v>
      </c>
      <c r="Z135" s="45"/>
      <c r="AA135" s="49" t="s">
        <v>12</v>
      </c>
      <c r="AB135" s="3">
        <f>T135-HLOOKUP(X135,Feuil1!$C$1:$BL$10,2,FALSE)</f>
        <v>5</v>
      </c>
      <c r="AC135" s="3">
        <f>T135-HLOOKUP(X135,Feuil1!$C$1:$BL$10,3,FALSE)</f>
        <v>-5</v>
      </c>
      <c r="AD135" s="3">
        <f>T135-HLOOKUP(X135,Feuil1!$C$1:$BL$10,4,FALSE)</f>
        <v>-15</v>
      </c>
      <c r="AE135" s="3">
        <f>T135-HLOOKUP(X135,Feuil1!$C$1:$BL$10,5,FALSE)</f>
        <v>-25</v>
      </c>
      <c r="AF135" s="3">
        <f>T135-HLOOKUP(X135,Feuil1!$C$1:$BL$10,6,FALSE)</f>
        <v>-40</v>
      </c>
      <c r="AG135" s="3">
        <f>T135-HLOOKUP(X135,Feuil1!$C$1:$BL$10,7,FALSE)</f>
        <v>-55</v>
      </c>
      <c r="AH135" s="3">
        <f>T135-HLOOKUP(X135,Feuil1!$C$1:$BL$10,8,FALSE)</f>
        <v>-75</v>
      </c>
      <c r="AI135" s="3">
        <f>T135-HLOOKUP(X135,Feuil1!$C$1:$BL$10,9,FALSE)</f>
        <v>-95</v>
      </c>
      <c r="AJ135" s="3">
        <f>T135-HLOOKUP(X135,Feuil1!$C$1:$BL$10,10,FALSE)</f>
        <v>-115</v>
      </c>
      <c r="AK135" s="5"/>
      <c r="AL135" s="5"/>
      <c r="AM135" s="5"/>
      <c r="AN135" s="5"/>
      <c r="AO135" s="5"/>
      <c r="AP135" s="5"/>
      <c r="AQ135" s="5" t="str">
        <f t="shared" si="42"/>
        <v xml:space="preserve">DEB </v>
      </c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</row>
    <row r="136" spans="1:55" s="13" customFormat="1" ht="21" hidden="1" x14ac:dyDescent="0.2">
      <c r="A136" s="12" t="s">
        <v>69</v>
      </c>
      <c r="B136" s="18" t="s">
        <v>298</v>
      </c>
      <c r="C136" s="19" t="s">
        <v>404</v>
      </c>
      <c r="D136" s="61">
        <v>60</v>
      </c>
      <c r="E136" s="35">
        <v>378538</v>
      </c>
      <c r="F136" s="20" t="s">
        <v>457</v>
      </c>
      <c r="G136" s="20" t="s">
        <v>159</v>
      </c>
      <c r="H136" s="51">
        <v>1988</v>
      </c>
      <c r="I136" s="30">
        <v>57.2</v>
      </c>
      <c r="J136" s="19" t="s">
        <v>431</v>
      </c>
      <c r="K136" s="34" t="s">
        <v>69</v>
      </c>
      <c r="L136" s="31">
        <v>30</v>
      </c>
      <c r="M136" s="31">
        <v>33</v>
      </c>
      <c r="N136" s="31">
        <v>-35</v>
      </c>
      <c r="O136" s="36">
        <f t="shared" si="35"/>
        <v>33</v>
      </c>
      <c r="P136" s="31">
        <v>40</v>
      </c>
      <c r="Q136" s="31">
        <v>42</v>
      </c>
      <c r="R136" s="31">
        <v>-45</v>
      </c>
      <c r="S136" s="36">
        <f t="shared" si="36"/>
        <v>42</v>
      </c>
      <c r="T136" s="37">
        <f t="shared" si="37"/>
        <v>75</v>
      </c>
      <c r="U136" s="65">
        <f t="shared" si="38"/>
        <v>-39.400000000000006</v>
      </c>
      <c r="V136" s="41" t="str">
        <f t="shared" si="39"/>
        <v xml:space="preserve">DEB </v>
      </c>
      <c r="W136" s="33">
        <f t="shared" si="40"/>
        <v>5</v>
      </c>
      <c r="X136" s="40" t="str">
        <f>IF(I136="","",IF(A136="H",IF(OR(H136="SEN",H136&lt;1995),VLOOKUP(I136,Feuil1!$A$11:$F$29,6),IF(AND(H136&gt;1994,H136&lt;1998),VLOOKUP(I136,Feuil1!$A$11:$F$29,5),IF(AND(H136&gt;1997,H136&lt;2000),VLOOKUP(I136,Feuil1!$A$11:$F$29,4),IF(AND(H136&gt;1999,H136&lt;2002),VLOOKUP(I136,Feuil1!$A$11:$F$29,3),VLOOKUP(I136,Feuil1!$A$11:$F$29,2))))),IF(OR(H136="SEN",H136&lt;1995),VLOOKUP(I136,Feuil1!$G$11:$L$25,6),IF(AND(H136&gt;1994,H136&lt;1998),VLOOKUP(I136,Feuil1!$G$11:$L$25,5),IF(AND(H136&gt;1997,H136&lt;2000),VLOOKUP(I136,Feuil1!$G$11:$L$25,4),IF(AND(H136&gt;1999,H136&lt;2002),VLOOKUP(I136,Feuil1!$G$11:$L$25,3),VLOOKUP(I136,Feuil1!$G$11:$L$25,2)))))))</f>
        <v>FS58</v>
      </c>
      <c r="Y136" s="39">
        <f t="shared" si="41"/>
        <v>106.67511727670185</v>
      </c>
      <c r="Z136" s="45"/>
      <c r="AA136" s="49" t="s">
        <v>12</v>
      </c>
      <c r="AB136" s="3">
        <f>T136-HLOOKUP(X136,Feuil1!$C$1:$BL$10,2,FALSE)</f>
        <v>5</v>
      </c>
      <c r="AC136" s="3">
        <f>T136-HLOOKUP(X136,Feuil1!$C$1:$BL$10,3,FALSE)</f>
        <v>-5</v>
      </c>
      <c r="AD136" s="3">
        <f>T136-HLOOKUP(X136,Feuil1!$C$1:$BL$10,4,FALSE)</f>
        <v>-15</v>
      </c>
      <c r="AE136" s="3">
        <f>T136-HLOOKUP(X136,Feuil1!$C$1:$BL$10,5,FALSE)</f>
        <v>-25</v>
      </c>
      <c r="AF136" s="3">
        <f>T136-HLOOKUP(X136,Feuil1!$C$1:$BL$10,6,FALSE)</f>
        <v>-40</v>
      </c>
      <c r="AG136" s="3">
        <f>T136-HLOOKUP(X136,Feuil1!$C$1:$BL$10,7,FALSE)</f>
        <v>-55</v>
      </c>
      <c r="AH136" s="3">
        <f>T136-HLOOKUP(X136,Feuil1!$C$1:$BL$10,8,FALSE)</f>
        <v>-75</v>
      </c>
      <c r="AI136" s="3">
        <f>T136-HLOOKUP(X136,Feuil1!$C$1:$BL$10,9,FALSE)</f>
        <v>-95</v>
      </c>
      <c r="AJ136" s="3">
        <f>T136-HLOOKUP(X136,Feuil1!$C$1:$BL$10,10,FALSE)</f>
        <v>-115</v>
      </c>
      <c r="AK136" s="5"/>
      <c r="AL136" s="5"/>
      <c r="AM136" s="5"/>
      <c r="AN136" s="5"/>
      <c r="AO136" s="5"/>
      <c r="AP136" s="5"/>
      <c r="AQ136" s="5" t="str">
        <f t="shared" si="42"/>
        <v xml:space="preserve">DEB </v>
      </c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</row>
    <row r="137" spans="1:55" s="13" customFormat="1" ht="21" hidden="1" x14ac:dyDescent="0.2">
      <c r="A137" s="12" t="s">
        <v>69</v>
      </c>
      <c r="B137" s="67" t="s">
        <v>108</v>
      </c>
      <c r="C137" s="68" t="s">
        <v>119</v>
      </c>
      <c r="D137" s="69">
        <v>61</v>
      </c>
      <c r="E137" s="70">
        <v>287490</v>
      </c>
      <c r="F137" s="71" t="s">
        <v>201</v>
      </c>
      <c r="G137" s="71" t="s">
        <v>202</v>
      </c>
      <c r="H137" s="72">
        <v>1992</v>
      </c>
      <c r="I137" s="73">
        <v>53.65</v>
      </c>
      <c r="J137" s="68" t="s">
        <v>161</v>
      </c>
      <c r="K137" s="74" t="s">
        <v>69</v>
      </c>
      <c r="L137" s="75">
        <v>26</v>
      </c>
      <c r="M137" s="75">
        <v>29</v>
      </c>
      <c r="N137" s="75">
        <v>-32</v>
      </c>
      <c r="O137" s="76">
        <f t="shared" si="35"/>
        <v>29</v>
      </c>
      <c r="P137" s="75">
        <v>37</v>
      </c>
      <c r="Q137" s="75">
        <v>-40</v>
      </c>
      <c r="R137" s="75">
        <v>40</v>
      </c>
      <c r="S137" s="76">
        <f t="shared" si="36"/>
        <v>40</v>
      </c>
      <c r="T137" s="77">
        <f t="shared" si="37"/>
        <v>69</v>
      </c>
      <c r="U137" s="78">
        <f t="shared" si="38"/>
        <v>-38.299999999999997</v>
      </c>
      <c r="V137" s="79" t="str">
        <f t="shared" si="39"/>
        <v xml:space="preserve">DEB </v>
      </c>
      <c r="W137" s="80">
        <f t="shared" si="40"/>
        <v>-1</v>
      </c>
      <c r="X137" s="81" t="str">
        <f>IF(I137="","",IF(A137="H",IF(OR(H137="SEN",H137&lt;1995),VLOOKUP(I137,Feuil1!$A$11:$F$29,6),IF(AND(H137&gt;1994,H137&lt;1998),VLOOKUP(I137,Feuil1!$A$11:$F$29,5),IF(AND(H137&gt;1997,H137&lt;2000),VLOOKUP(I137,Feuil1!$A$11:$F$29,4),IF(AND(H137&gt;1999,H137&lt;2002),VLOOKUP(I137,Feuil1!$A$11:$F$29,3),VLOOKUP(I137,Feuil1!$A$11:$F$29,2))))),IF(OR(H137="SEN",H137&lt;1995),VLOOKUP(I137,Feuil1!$G$11:$L$25,6),IF(AND(H137&gt;1994,H137&lt;1998),VLOOKUP(I137,Feuil1!$G$11:$L$25,5),IF(AND(H137&gt;1997,H137&lt;2000),VLOOKUP(I137,Feuil1!$G$11:$L$25,4),IF(AND(H137&gt;1999,H137&lt;2002),VLOOKUP(I137,Feuil1!$G$11:$L$25,3),VLOOKUP(I137,Feuil1!$G$11:$L$25,2)))))))</f>
        <v>FS58</v>
      </c>
      <c r="Y137" s="39">
        <f t="shared" si="41"/>
        <v>103.07798572985565</v>
      </c>
      <c r="Z137" s="45"/>
      <c r="AA137" s="49" t="s">
        <v>12</v>
      </c>
      <c r="AB137" s="3">
        <f>T137-HLOOKUP(X137,Feuil1!$C$1:$BL$10,2,FALSE)</f>
        <v>-1</v>
      </c>
      <c r="AC137" s="3">
        <f>T137-HLOOKUP(X137,Feuil1!$C$1:$BL$10,3,FALSE)</f>
        <v>-11</v>
      </c>
      <c r="AD137" s="3">
        <f>T137-HLOOKUP(X137,Feuil1!$C$1:$BL$10,4,FALSE)</f>
        <v>-21</v>
      </c>
      <c r="AE137" s="3">
        <f>T137-HLOOKUP(X137,Feuil1!$C$1:$BL$10,5,FALSE)</f>
        <v>-31</v>
      </c>
      <c r="AF137" s="3">
        <f>T137-HLOOKUP(X137,Feuil1!$C$1:$BL$10,6,FALSE)</f>
        <v>-46</v>
      </c>
      <c r="AG137" s="3">
        <f>T137-HLOOKUP(X137,Feuil1!$C$1:$BL$10,7,FALSE)</f>
        <v>-61</v>
      </c>
      <c r="AH137" s="3">
        <f>T137-HLOOKUP(X137,Feuil1!$C$1:$BL$10,8,FALSE)</f>
        <v>-81</v>
      </c>
      <c r="AI137" s="3">
        <f>T137-HLOOKUP(X137,Feuil1!$C$1:$BL$10,9,FALSE)</f>
        <v>-101</v>
      </c>
      <c r="AJ137" s="3">
        <f>T137-HLOOKUP(X137,Feuil1!$C$1:$BL$10,10,FALSE)</f>
        <v>-121</v>
      </c>
      <c r="AK137" s="5"/>
      <c r="AL137" s="5"/>
      <c r="AM137" s="5"/>
      <c r="AN137" s="5"/>
      <c r="AO137" s="5"/>
      <c r="AP137" s="5"/>
      <c r="AQ137" s="5" t="str">
        <f t="shared" si="42"/>
        <v xml:space="preserve">DEB </v>
      </c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</row>
    <row r="138" spans="1:55" s="13" customFormat="1" ht="21" hidden="1" x14ac:dyDescent="0.2">
      <c r="A138" s="12" t="s">
        <v>69</v>
      </c>
      <c r="B138" s="18" t="s">
        <v>298</v>
      </c>
      <c r="C138" s="19" t="s">
        <v>404</v>
      </c>
      <c r="D138" s="61">
        <v>62</v>
      </c>
      <c r="E138" s="35">
        <v>366440</v>
      </c>
      <c r="F138" s="20" t="s">
        <v>453</v>
      </c>
      <c r="G138" s="20" t="s">
        <v>454</v>
      </c>
      <c r="H138" s="51">
        <v>1993</v>
      </c>
      <c r="I138" s="30">
        <v>53.9</v>
      </c>
      <c r="J138" s="19" t="s">
        <v>406</v>
      </c>
      <c r="K138" s="34" t="s">
        <v>69</v>
      </c>
      <c r="L138" s="31">
        <v>29</v>
      </c>
      <c r="M138" s="31">
        <v>31</v>
      </c>
      <c r="N138" s="31">
        <v>-33</v>
      </c>
      <c r="O138" s="36">
        <f t="shared" si="35"/>
        <v>31</v>
      </c>
      <c r="P138" s="31">
        <v>34</v>
      </c>
      <c r="Q138" s="31">
        <v>36</v>
      </c>
      <c r="R138" s="31">
        <v>38</v>
      </c>
      <c r="S138" s="36">
        <f t="shared" si="36"/>
        <v>38</v>
      </c>
      <c r="T138" s="37">
        <f t="shared" si="37"/>
        <v>69</v>
      </c>
      <c r="U138" s="65">
        <f t="shared" si="38"/>
        <v>-38.799999999999997</v>
      </c>
      <c r="V138" s="41" t="str">
        <f t="shared" si="39"/>
        <v xml:space="preserve">DEB </v>
      </c>
      <c r="W138" s="33">
        <f t="shared" si="40"/>
        <v>-1</v>
      </c>
      <c r="X138" s="40" t="str">
        <f>IF(I138="","",IF(A138="H",IF(OR(H138="SEN",H138&lt;1995),VLOOKUP(I138,Feuil1!$A$11:$F$29,6),IF(AND(H138&gt;1994,H138&lt;1998),VLOOKUP(I138,Feuil1!$A$11:$F$29,5),IF(AND(H138&gt;1997,H138&lt;2000),VLOOKUP(I138,Feuil1!$A$11:$F$29,4),IF(AND(H138&gt;1999,H138&lt;2002),VLOOKUP(I138,Feuil1!$A$11:$F$29,3),VLOOKUP(I138,Feuil1!$A$11:$F$29,2))))),IF(OR(H138="SEN",H138&lt;1995),VLOOKUP(I138,Feuil1!$G$11:$L$25,6),IF(AND(H138&gt;1994,H138&lt;1998),VLOOKUP(I138,Feuil1!$G$11:$L$25,5),IF(AND(H138&gt;1997,H138&lt;2000),VLOOKUP(I138,Feuil1!$G$11:$L$25,4),IF(AND(H138&gt;1999,H138&lt;2002),VLOOKUP(I138,Feuil1!$G$11:$L$25,3),VLOOKUP(I138,Feuil1!$G$11:$L$25,2)))))))</f>
        <v>FS58</v>
      </c>
      <c r="Y138" s="39">
        <f t="shared" si="41"/>
        <v>102.70050652786237</v>
      </c>
      <c r="Z138" s="45"/>
      <c r="AA138" s="49" t="s">
        <v>12</v>
      </c>
      <c r="AB138" s="3">
        <f>T138-HLOOKUP(X138,Feuil1!$C$1:$BL$10,2,FALSE)</f>
        <v>-1</v>
      </c>
      <c r="AC138" s="3">
        <f>T138-HLOOKUP(X138,Feuil1!$C$1:$BL$10,3,FALSE)</f>
        <v>-11</v>
      </c>
      <c r="AD138" s="3">
        <f>T138-HLOOKUP(X138,Feuil1!$C$1:$BL$10,4,FALSE)</f>
        <v>-21</v>
      </c>
      <c r="AE138" s="3">
        <f>T138-HLOOKUP(X138,Feuil1!$C$1:$BL$10,5,FALSE)</f>
        <v>-31</v>
      </c>
      <c r="AF138" s="3">
        <f>T138-HLOOKUP(X138,Feuil1!$C$1:$BL$10,6,FALSE)</f>
        <v>-46</v>
      </c>
      <c r="AG138" s="3">
        <f>T138-HLOOKUP(X138,Feuil1!$C$1:$BL$10,7,FALSE)</f>
        <v>-61</v>
      </c>
      <c r="AH138" s="3">
        <f>T138-HLOOKUP(X138,Feuil1!$C$1:$BL$10,8,FALSE)</f>
        <v>-81</v>
      </c>
      <c r="AI138" s="3">
        <f>T138-HLOOKUP(X138,Feuil1!$C$1:$BL$10,9,FALSE)</f>
        <v>-101</v>
      </c>
      <c r="AJ138" s="3">
        <f>T138-HLOOKUP(X138,Feuil1!$C$1:$BL$10,10,FALSE)</f>
        <v>-121</v>
      </c>
      <c r="AK138" s="5"/>
      <c r="AL138" s="5"/>
      <c r="AM138" s="5"/>
      <c r="AN138" s="5"/>
      <c r="AO138" s="5"/>
      <c r="AP138" s="5"/>
      <c r="AQ138" s="5" t="str">
        <f t="shared" si="42"/>
        <v xml:space="preserve">DEB </v>
      </c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</row>
    <row r="139" spans="1:55" s="13" customFormat="1" ht="21" hidden="1" x14ac:dyDescent="0.2">
      <c r="A139" s="12" t="s">
        <v>69</v>
      </c>
      <c r="B139" s="18" t="s">
        <v>536</v>
      </c>
      <c r="C139" s="19" t="s">
        <v>545</v>
      </c>
      <c r="D139" s="61">
        <v>63</v>
      </c>
      <c r="E139" s="35">
        <v>350351</v>
      </c>
      <c r="F139" s="20" t="s">
        <v>606</v>
      </c>
      <c r="G139" s="20" t="s">
        <v>148</v>
      </c>
      <c r="H139" s="51">
        <v>1992</v>
      </c>
      <c r="I139" s="30">
        <v>54.8</v>
      </c>
      <c r="J139" s="19" t="s">
        <v>548</v>
      </c>
      <c r="K139" s="34" t="s">
        <v>69</v>
      </c>
      <c r="L139" s="31">
        <v>-25</v>
      </c>
      <c r="M139" s="31">
        <v>25</v>
      </c>
      <c r="N139" s="31">
        <v>28</v>
      </c>
      <c r="O139" s="36">
        <f t="shared" si="35"/>
        <v>28</v>
      </c>
      <c r="P139" s="31">
        <v>37</v>
      </c>
      <c r="Q139" s="31">
        <v>40</v>
      </c>
      <c r="R139" s="31">
        <v>-42</v>
      </c>
      <c r="S139" s="36">
        <f t="shared" si="36"/>
        <v>40</v>
      </c>
      <c r="T139" s="37">
        <f t="shared" si="37"/>
        <v>68</v>
      </c>
      <c r="U139" s="65">
        <f t="shared" si="38"/>
        <v>-41.599999999999994</v>
      </c>
      <c r="V139" s="41" t="str">
        <f t="shared" si="39"/>
        <v xml:space="preserve">DEB </v>
      </c>
      <c r="W139" s="33">
        <f t="shared" si="40"/>
        <v>-2</v>
      </c>
      <c r="X139" s="40" t="str">
        <f>IF(I139="","",IF(A139="H",IF(OR(H139="SEN",H139&lt;1995),VLOOKUP(I139,Feuil1!$A$11:$F$29,6),IF(AND(H139&gt;1994,H139&lt;1998),VLOOKUP(I139,Feuil1!$A$11:$F$29,5),IF(AND(H139&gt;1997,H139&lt;2000),VLOOKUP(I139,Feuil1!$A$11:$F$29,4),IF(AND(H139&gt;1999,H139&lt;2002),VLOOKUP(I139,Feuil1!$A$11:$F$29,3),VLOOKUP(I139,Feuil1!$A$11:$F$29,2))))),IF(OR(H139="SEN",H139&lt;1995),VLOOKUP(I139,Feuil1!$G$11:$L$25,6),IF(AND(H139&gt;1994,H139&lt;1998),VLOOKUP(I139,Feuil1!$G$11:$L$25,5),IF(AND(H139&gt;1997,H139&lt;2000),VLOOKUP(I139,Feuil1!$G$11:$L$25,4),IF(AND(H139&gt;1999,H139&lt;2002),VLOOKUP(I139,Feuil1!$G$11:$L$25,3),VLOOKUP(I139,Feuil1!$G$11:$L$25,2)))))))</f>
        <v>FS58</v>
      </c>
      <c r="Y139" s="39">
        <f t="shared" si="41"/>
        <v>99.911710351532051</v>
      </c>
      <c r="Z139" s="45"/>
      <c r="AA139" s="49" t="s">
        <v>12</v>
      </c>
      <c r="AB139" s="3">
        <f>T139-HLOOKUP(X139,Feuil1!$C$1:$BL$10,2,FALSE)</f>
        <v>-2</v>
      </c>
      <c r="AC139" s="3">
        <f>T139-HLOOKUP(X139,Feuil1!$C$1:$BL$10,3,FALSE)</f>
        <v>-12</v>
      </c>
      <c r="AD139" s="3">
        <f>T139-HLOOKUP(X139,Feuil1!$C$1:$BL$10,4,FALSE)</f>
        <v>-22</v>
      </c>
      <c r="AE139" s="3">
        <f>T139-HLOOKUP(X139,Feuil1!$C$1:$BL$10,5,FALSE)</f>
        <v>-32</v>
      </c>
      <c r="AF139" s="3">
        <f>T139-HLOOKUP(X139,Feuil1!$C$1:$BL$10,6,FALSE)</f>
        <v>-47</v>
      </c>
      <c r="AG139" s="3">
        <f>T139-HLOOKUP(X139,Feuil1!$C$1:$BL$10,7,FALSE)</f>
        <v>-62</v>
      </c>
      <c r="AH139" s="3">
        <f>T139-HLOOKUP(X139,Feuil1!$C$1:$BL$10,8,FALSE)</f>
        <v>-82</v>
      </c>
      <c r="AI139" s="3">
        <f>T139-HLOOKUP(X139,Feuil1!$C$1:$BL$10,9,FALSE)</f>
        <v>-102</v>
      </c>
      <c r="AJ139" s="3">
        <f>T139-HLOOKUP(X139,Feuil1!$C$1:$BL$10,10,FALSE)</f>
        <v>-122</v>
      </c>
      <c r="AK139" s="5"/>
      <c r="AL139" s="5"/>
      <c r="AM139" s="5"/>
      <c r="AN139" s="5"/>
      <c r="AO139" s="5"/>
      <c r="AP139" s="5"/>
      <c r="AQ139" s="5" t="str">
        <f t="shared" si="42"/>
        <v xml:space="preserve">DEB </v>
      </c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</row>
    <row r="140" spans="1:55" s="13" customFormat="1" ht="21" hidden="1" x14ac:dyDescent="0.2">
      <c r="A140" s="12" t="s">
        <v>69</v>
      </c>
      <c r="B140" s="18" t="s">
        <v>71</v>
      </c>
      <c r="C140" s="19" t="s">
        <v>883</v>
      </c>
      <c r="D140" s="61">
        <v>64</v>
      </c>
      <c r="E140" s="35">
        <v>637</v>
      </c>
      <c r="F140" s="20" t="s">
        <v>907</v>
      </c>
      <c r="G140" s="20" t="s">
        <v>908</v>
      </c>
      <c r="H140" s="51">
        <v>1953</v>
      </c>
      <c r="I140" s="30">
        <v>56.1</v>
      </c>
      <c r="J140" s="19" t="s">
        <v>886</v>
      </c>
      <c r="K140" s="34" t="s">
        <v>69</v>
      </c>
      <c r="L140" s="31">
        <v>26</v>
      </c>
      <c r="M140" s="31">
        <v>28</v>
      </c>
      <c r="N140" s="31">
        <v>-30</v>
      </c>
      <c r="O140" s="36">
        <f t="shared" si="35"/>
        <v>28</v>
      </c>
      <c r="P140" s="31">
        <v>35</v>
      </c>
      <c r="Q140" s="31">
        <v>38</v>
      </c>
      <c r="R140" s="31">
        <v>40</v>
      </c>
      <c r="S140" s="36">
        <f t="shared" si="36"/>
        <v>40</v>
      </c>
      <c r="T140" s="37">
        <f t="shared" si="37"/>
        <v>68</v>
      </c>
      <c r="U140" s="65">
        <f t="shared" si="38"/>
        <v>-44.2</v>
      </c>
      <c r="V140" s="32" t="str">
        <f t="shared" si="39"/>
        <v xml:space="preserve">DEB </v>
      </c>
      <c r="W140" s="33">
        <f t="shared" si="40"/>
        <v>-2</v>
      </c>
      <c r="X140" s="40" t="str">
        <f>IF(I140="","",IF(A140="H",IF(OR(H140="SEN",H140&lt;1995),VLOOKUP(I140,Feuil1!$A$11:$F$29,6),IF(AND(H140&gt;1994,H140&lt;1998),VLOOKUP(I140,Feuil1!$A$11:$F$29,5),IF(AND(H140&gt;1997,H140&lt;2000),VLOOKUP(I140,Feuil1!$A$11:$F$29,4),IF(AND(H140&gt;1999,H140&lt;2002),VLOOKUP(I140,Feuil1!$A$11:$F$29,3),VLOOKUP(I140,Feuil1!$A$11:$F$29,2))))),IF(OR(H140="SEN",H140&lt;1995),VLOOKUP(I140,Feuil1!$G$11:$L$25,6),IF(AND(H140&gt;1994,H140&lt;1998),VLOOKUP(I140,Feuil1!$G$11:$L$25,5),IF(AND(H140&gt;1997,H140&lt;2000),VLOOKUP(I140,Feuil1!$G$11:$L$25,4),IF(AND(H140&gt;1999,H140&lt;2002),VLOOKUP(I140,Feuil1!$G$11:$L$25,3),VLOOKUP(I140,Feuil1!$G$11:$L$25,2)))))))</f>
        <v>FS58</v>
      </c>
      <c r="Y140" s="39">
        <f t="shared" si="41"/>
        <v>98.134982072269494</v>
      </c>
      <c r="Z140" s="45"/>
      <c r="AA140" s="49" t="s">
        <v>12</v>
      </c>
      <c r="AB140" s="3">
        <f>T140-HLOOKUP(X140,Feuil1!$C$1:$BL$10,2,FALSE)</f>
        <v>-2</v>
      </c>
      <c r="AC140" s="3">
        <f>T140-HLOOKUP(X140,Feuil1!$C$1:$BL$10,3,FALSE)</f>
        <v>-12</v>
      </c>
      <c r="AD140" s="3">
        <f>T140-HLOOKUP(X140,Feuil1!$C$1:$BL$10,4,FALSE)</f>
        <v>-22</v>
      </c>
      <c r="AE140" s="3">
        <f>T140-HLOOKUP(X140,Feuil1!$C$1:$BL$10,5,FALSE)</f>
        <v>-32</v>
      </c>
      <c r="AF140" s="3">
        <f>T140-HLOOKUP(X140,Feuil1!$C$1:$BL$10,6,FALSE)</f>
        <v>-47</v>
      </c>
      <c r="AG140" s="3">
        <f>T140-HLOOKUP(X140,Feuil1!$C$1:$BL$10,7,FALSE)</f>
        <v>-62</v>
      </c>
      <c r="AH140" s="3">
        <f>T140-HLOOKUP(X140,Feuil1!$C$1:$BL$10,8,FALSE)</f>
        <v>-82</v>
      </c>
      <c r="AI140" s="3">
        <f>T140-HLOOKUP(X140,Feuil1!$C$1:$BL$10,9,FALSE)</f>
        <v>-102</v>
      </c>
      <c r="AJ140" s="3">
        <f>T140-HLOOKUP(X140,Feuil1!$C$1:$BL$10,10,FALSE)</f>
        <v>-122</v>
      </c>
      <c r="AK140" s="5"/>
      <c r="AL140" s="5"/>
      <c r="AM140" s="5"/>
      <c r="AN140" s="5"/>
      <c r="AO140" s="5"/>
      <c r="AP140" s="5"/>
      <c r="AQ140" s="5" t="str">
        <f t="shared" si="42"/>
        <v xml:space="preserve">DEB </v>
      </c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</row>
    <row r="141" spans="1:55" s="13" customFormat="1" ht="21" hidden="1" x14ac:dyDescent="0.2">
      <c r="A141" s="12" t="s">
        <v>69</v>
      </c>
      <c r="B141" s="18" t="s">
        <v>71</v>
      </c>
      <c r="C141" s="19" t="s">
        <v>883</v>
      </c>
      <c r="D141" s="61">
        <v>65</v>
      </c>
      <c r="E141" s="35">
        <v>378028</v>
      </c>
      <c r="F141" s="20" t="s">
        <v>909</v>
      </c>
      <c r="G141" s="20" t="s">
        <v>764</v>
      </c>
      <c r="H141" s="51">
        <v>1973</v>
      </c>
      <c r="I141" s="30">
        <v>58</v>
      </c>
      <c r="J141" s="19" t="s">
        <v>891</v>
      </c>
      <c r="K141" s="34" t="s">
        <v>69</v>
      </c>
      <c r="L141" s="31">
        <v>27</v>
      </c>
      <c r="M141" s="31">
        <v>-32</v>
      </c>
      <c r="N141" s="31">
        <v>-32</v>
      </c>
      <c r="O141" s="36">
        <f t="shared" ref="O141:O154" si="43">IF(H141="","",IF(MAXA(L141:N141)&lt;=0,0,MAXA(L141:N141)))</f>
        <v>27</v>
      </c>
      <c r="P141" s="31">
        <v>37</v>
      </c>
      <c r="Q141" s="31">
        <v>40</v>
      </c>
      <c r="R141" s="31">
        <v>-42</v>
      </c>
      <c r="S141" s="36">
        <f t="shared" ref="S141:S154" si="44">IF(H141="","",IF(MAXA(P141:R141)&lt;=0,0,MAXA(P141:R141)))</f>
        <v>40</v>
      </c>
      <c r="T141" s="37">
        <f t="shared" ref="T141:T154" si="45">IF(H141="","",IF(OR(O141=0,S141=0),0,O141+S141))</f>
        <v>67</v>
      </c>
      <c r="U141" s="65">
        <f t="shared" ref="U141:U154" si="46">T141-I141*2</f>
        <v>-49</v>
      </c>
      <c r="V141" s="41" t="str">
        <f t="shared" ref="V141:V154" si="47">IF(H141="","",AQ141)</f>
        <v xml:space="preserve">DEB </v>
      </c>
      <c r="W141" s="33">
        <f t="shared" ref="W141:W154" si="48">IF(AJ141&gt;=0,AJ141,IF(AI141&gt;=0,AI141,IF(AH141&gt;=0,AH141,IF(AG141&gt;=0,AG141,IF(AF141&gt;=0,AF141,IF(AE141&gt;=0,AE141,IF(AD141&gt;=0,AD141,IF(AC141&gt;=0,AC141,AB141))))))))</f>
        <v>-3</v>
      </c>
      <c r="X141" s="40" t="str">
        <f>IF(I141="","",IF(A141="H",IF(OR(H141="SEN",H141&lt;1995),VLOOKUP(I141,Feuil1!$A$11:$F$29,6),IF(AND(H141&gt;1994,H141&lt;1998),VLOOKUP(I141,Feuil1!$A$11:$F$29,5),IF(AND(H141&gt;1997,H141&lt;2000),VLOOKUP(I141,Feuil1!$A$11:$F$29,4),IF(AND(H141&gt;1999,H141&lt;2002),VLOOKUP(I141,Feuil1!$A$11:$F$29,3),VLOOKUP(I141,Feuil1!$A$11:$F$29,2))))),IF(OR(H141="SEN",H141&lt;1995),VLOOKUP(I141,Feuil1!$G$11:$L$25,6),IF(AND(H141&gt;1994,H141&lt;1998),VLOOKUP(I141,Feuil1!$G$11:$L$25,5),IF(AND(H141&gt;1997,H141&lt;2000),VLOOKUP(I141,Feuil1!$G$11:$L$25,4),IF(AND(H141&gt;1999,H141&lt;2002),VLOOKUP(I141,Feuil1!$G$11:$L$25,3),VLOOKUP(I141,Feuil1!$G$11:$L$25,2)))))))</f>
        <v>FS58</v>
      </c>
      <c r="Y141" s="39">
        <f t="shared" ref="Y141:Y154" si="49">IF(I141="","",IF(A141="H",10^(0.794358141*LOG(I141/174.393)^2)*T141,IF(A141="F",10^(0.89726074*LOG(I141/148.026)^2)*T141,"")))</f>
        <v>94.327739794468542</v>
      </c>
      <c r="Z141" s="45"/>
      <c r="AA141" s="49" t="s">
        <v>12</v>
      </c>
      <c r="AB141" s="3">
        <f>T141-HLOOKUP(X141,Feuil1!$C$1:$BL$10,2,FALSE)</f>
        <v>-3</v>
      </c>
      <c r="AC141" s="3">
        <f>T141-HLOOKUP(X141,Feuil1!$C$1:$BL$10,3,FALSE)</f>
        <v>-13</v>
      </c>
      <c r="AD141" s="3">
        <f>T141-HLOOKUP(X141,Feuil1!$C$1:$BL$10,4,FALSE)</f>
        <v>-23</v>
      </c>
      <c r="AE141" s="3">
        <f>T141-HLOOKUP(X141,Feuil1!$C$1:$BL$10,5,FALSE)</f>
        <v>-33</v>
      </c>
      <c r="AF141" s="3">
        <f>T141-HLOOKUP(X141,Feuil1!$C$1:$BL$10,6,FALSE)</f>
        <v>-48</v>
      </c>
      <c r="AG141" s="3">
        <f>T141-HLOOKUP(X141,Feuil1!$C$1:$BL$10,7,FALSE)</f>
        <v>-63</v>
      </c>
      <c r="AH141" s="3">
        <f>T141-HLOOKUP(X141,Feuil1!$C$1:$BL$10,8,FALSE)</f>
        <v>-83</v>
      </c>
      <c r="AI141" s="3">
        <f>T141-HLOOKUP(X141,Feuil1!$C$1:$BL$10,9,FALSE)</f>
        <v>-103</v>
      </c>
      <c r="AJ141" s="3">
        <f>T141-HLOOKUP(X141,Feuil1!$C$1:$BL$10,10,FALSE)</f>
        <v>-123</v>
      </c>
      <c r="AK141" s="5"/>
      <c r="AL141" s="5"/>
      <c r="AM141" s="5"/>
      <c r="AN141" s="5"/>
      <c r="AO141" s="5"/>
      <c r="AP141" s="5"/>
      <c r="AQ141" s="5" t="str">
        <f t="shared" ref="AQ141:AQ154" si="50">IF(AJ141&gt;=0,$AJ$1,IF(AI141&gt;=0,$AI$1,IF(AH141&gt;=0,$AH$1,IF(AG141&gt;=0,$AG$1,IF(AF141&gt;=0,$AF$1,IF(AE141&gt;=0,$AE$1,IF(AD141&gt;=0,$AD$1,IF(AC141&gt;=0,$AC$1,$AB$1))))))))</f>
        <v xml:space="preserve">DEB </v>
      </c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</row>
    <row r="142" spans="1:55" s="13" customFormat="1" ht="21" hidden="1" x14ac:dyDescent="0.2">
      <c r="A142" s="12" t="s">
        <v>69</v>
      </c>
      <c r="B142" s="18" t="s">
        <v>721</v>
      </c>
      <c r="C142" s="19" t="s">
        <v>775</v>
      </c>
      <c r="D142" s="61">
        <v>66</v>
      </c>
      <c r="E142" s="35">
        <v>355325</v>
      </c>
      <c r="F142" s="20" t="s">
        <v>789</v>
      </c>
      <c r="G142" s="20" t="s">
        <v>263</v>
      </c>
      <c r="H142" s="51">
        <v>1994</v>
      </c>
      <c r="I142" s="30">
        <v>54.77</v>
      </c>
      <c r="J142" s="19" t="s">
        <v>780</v>
      </c>
      <c r="K142" s="34" t="s">
        <v>69</v>
      </c>
      <c r="L142" s="31">
        <v>24</v>
      </c>
      <c r="M142" s="31">
        <v>26</v>
      </c>
      <c r="N142" s="31">
        <v>29</v>
      </c>
      <c r="O142" s="36">
        <f t="shared" si="43"/>
        <v>29</v>
      </c>
      <c r="P142" s="31">
        <v>30</v>
      </c>
      <c r="Q142" s="31">
        <v>35</v>
      </c>
      <c r="R142" s="31">
        <v>-37</v>
      </c>
      <c r="S142" s="36">
        <f t="shared" si="44"/>
        <v>35</v>
      </c>
      <c r="T142" s="37">
        <f t="shared" si="45"/>
        <v>64</v>
      </c>
      <c r="U142" s="65">
        <f t="shared" si="46"/>
        <v>-45.540000000000006</v>
      </c>
      <c r="V142" s="41" t="str">
        <f t="shared" si="47"/>
        <v xml:space="preserve">DEB </v>
      </c>
      <c r="W142" s="33">
        <f t="shared" si="48"/>
        <v>-6</v>
      </c>
      <c r="X142" s="40" t="str">
        <f>IF(I142="","",IF(A142="H",IF(OR(H142="SEN",H142&lt;1995),VLOOKUP(I142,Feuil1!$A$11:$F$29,6),IF(AND(H142&gt;1994,H142&lt;1998),VLOOKUP(I142,Feuil1!$A$11:$F$29,5),IF(AND(H142&gt;1997,H142&lt;2000),VLOOKUP(I142,Feuil1!$A$11:$F$29,4),IF(AND(H142&gt;1999,H142&lt;2002),VLOOKUP(I142,Feuil1!$A$11:$F$29,3),VLOOKUP(I142,Feuil1!$A$11:$F$29,2))))),IF(OR(H142="SEN",H142&lt;1995),VLOOKUP(I142,Feuil1!$G$11:$L$25,6),IF(AND(H142&gt;1994,H142&lt;1998),VLOOKUP(I142,Feuil1!$G$11:$L$25,5),IF(AND(H142&gt;1997,H142&lt;2000),VLOOKUP(I142,Feuil1!$G$11:$L$25,4),IF(AND(H142&gt;1999,H142&lt;2002),VLOOKUP(I142,Feuil1!$G$11:$L$25,3),VLOOKUP(I142,Feuil1!$G$11:$L$25,2)))))))</f>
        <v>FS58</v>
      </c>
      <c r="Y142" s="39">
        <f t="shared" si="49"/>
        <v>94.074448456591426</v>
      </c>
      <c r="Z142" s="45"/>
      <c r="AA142" s="49" t="s">
        <v>12</v>
      </c>
      <c r="AB142" s="3">
        <f>T142-HLOOKUP(X142,Feuil1!$C$1:$BL$10,2,FALSE)</f>
        <v>-6</v>
      </c>
      <c r="AC142" s="3">
        <f>T142-HLOOKUP(X142,Feuil1!$C$1:$BL$10,3,FALSE)</f>
        <v>-16</v>
      </c>
      <c r="AD142" s="3">
        <f>T142-HLOOKUP(X142,Feuil1!$C$1:$BL$10,4,FALSE)</f>
        <v>-26</v>
      </c>
      <c r="AE142" s="3">
        <f>T142-HLOOKUP(X142,Feuil1!$C$1:$BL$10,5,FALSE)</f>
        <v>-36</v>
      </c>
      <c r="AF142" s="3">
        <f>T142-HLOOKUP(X142,Feuil1!$C$1:$BL$10,6,FALSE)</f>
        <v>-51</v>
      </c>
      <c r="AG142" s="3">
        <f>T142-HLOOKUP(X142,Feuil1!$C$1:$BL$10,7,FALSE)</f>
        <v>-66</v>
      </c>
      <c r="AH142" s="3">
        <f>T142-HLOOKUP(X142,Feuil1!$C$1:$BL$10,8,FALSE)</f>
        <v>-86</v>
      </c>
      <c r="AI142" s="3">
        <f>T142-HLOOKUP(X142,Feuil1!$C$1:$BL$10,9,FALSE)</f>
        <v>-106</v>
      </c>
      <c r="AJ142" s="3">
        <f>T142-HLOOKUP(X142,Feuil1!$C$1:$BL$10,10,FALSE)</f>
        <v>-126</v>
      </c>
      <c r="AK142" s="5"/>
      <c r="AL142" s="5"/>
      <c r="AM142" s="5"/>
      <c r="AN142" s="5"/>
      <c r="AO142" s="5"/>
      <c r="AP142" s="5"/>
      <c r="AQ142" s="5" t="str">
        <f t="shared" si="50"/>
        <v xml:space="preserve">DEB 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</row>
    <row r="143" spans="1:55" s="13" customFormat="1" ht="21" hidden="1" x14ac:dyDescent="0.2">
      <c r="A143" s="12" t="s">
        <v>69</v>
      </c>
      <c r="B143" s="18" t="s">
        <v>536</v>
      </c>
      <c r="C143" s="19" t="s">
        <v>545</v>
      </c>
      <c r="D143" s="61">
        <v>67</v>
      </c>
      <c r="E143" s="35">
        <v>108439</v>
      </c>
      <c r="F143" s="20" t="s">
        <v>607</v>
      </c>
      <c r="G143" s="20" t="s">
        <v>608</v>
      </c>
      <c r="H143" s="51">
        <v>1985</v>
      </c>
      <c r="I143" s="30">
        <v>53.3</v>
      </c>
      <c r="J143" s="19" t="s">
        <v>555</v>
      </c>
      <c r="K143" s="34" t="s">
        <v>69</v>
      </c>
      <c r="L143" s="31">
        <v>25</v>
      </c>
      <c r="M143" s="31">
        <v>28</v>
      </c>
      <c r="N143" s="31">
        <v>-31</v>
      </c>
      <c r="O143" s="36">
        <f t="shared" si="43"/>
        <v>28</v>
      </c>
      <c r="P143" s="31">
        <v>30</v>
      </c>
      <c r="Q143" s="31">
        <v>35</v>
      </c>
      <c r="R143" s="31">
        <v>-40</v>
      </c>
      <c r="S143" s="36">
        <f t="shared" si="44"/>
        <v>35</v>
      </c>
      <c r="T143" s="37">
        <f t="shared" si="45"/>
        <v>63</v>
      </c>
      <c r="U143" s="65">
        <f t="shared" si="46"/>
        <v>-43.599999999999994</v>
      </c>
      <c r="V143" s="41" t="str">
        <f t="shared" si="47"/>
        <v xml:space="preserve">DEB </v>
      </c>
      <c r="W143" s="33">
        <f t="shared" si="48"/>
        <v>-7</v>
      </c>
      <c r="X143" s="40" t="str">
        <f>IF(I143="","",IF(A143="H",IF(OR(H143="SEN",H143&lt;1995),VLOOKUP(I143,Feuil1!$A$11:$F$29,6),IF(AND(H143&gt;1994,H143&lt;1998),VLOOKUP(I143,Feuil1!$A$11:$F$29,5),IF(AND(H143&gt;1997,H143&lt;2000),VLOOKUP(I143,Feuil1!$A$11:$F$29,4),IF(AND(H143&gt;1999,H143&lt;2002),VLOOKUP(I143,Feuil1!$A$11:$F$29,3),VLOOKUP(I143,Feuil1!$A$11:$F$29,2))))),IF(OR(H143="SEN",H143&lt;1995),VLOOKUP(I143,Feuil1!$G$11:$L$25,6),IF(AND(H143&gt;1994,H143&lt;1998),VLOOKUP(I143,Feuil1!$G$11:$L$25,5),IF(AND(H143&gt;1997,H143&lt;2000),VLOOKUP(I143,Feuil1!$G$11:$L$25,4),IF(AND(H143&gt;1999,H143&lt;2002),VLOOKUP(I143,Feuil1!$G$11:$L$25,3),VLOOKUP(I143,Feuil1!$G$11:$L$25,2)))))))</f>
        <v>FS58</v>
      </c>
      <c r="Y143" s="39">
        <f t="shared" si="49"/>
        <v>94.604756540232984</v>
      </c>
      <c r="Z143" s="45"/>
      <c r="AA143" s="49" t="s">
        <v>12</v>
      </c>
      <c r="AB143" s="3">
        <f>T143-HLOOKUP(X143,Feuil1!$C$1:$BL$10,2,FALSE)</f>
        <v>-7</v>
      </c>
      <c r="AC143" s="3">
        <f>T143-HLOOKUP(X143,Feuil1!$C$1:$BL$10,3,FALSE)</f>
        <v>-17</v>
      </c>
      <c r="AD143" s="3">
        <f>T143-HLOOKUP(X143,Feuil1!$C$1:$BL$10,4,FALSE)</f>
        <v>-27</v>
      </c>
      <c r="AE143" s="3">
        <f>T143-HLOOKUP(X143,Feuil1!$C$1:$BL$10,5,FALSE)</f>
        <v>-37</v>
      </c>
      <c r="AF143" s="3">
        <f>T143-HLOOKUP(X143,Feuil1!$C$1:$BL$10,6,FALSE)</f>
        <v>-52</v>
      </c>
      <c r="AG143" s="3">
        <f>T143-HLOOKUP(X143,Feuil1!$C$1:$BL$10,7,FALSE)</f>
        <v>-67</v>
      </c>
      <c r="AH143" s="3">
        <f>T143-HLOOKUP(X143,Feuil1!$C$1:$BL$10,8,FALSE)</f>
        <v>-87</v>
      </c>
      <c r="AI143" s="3">
        <f>T143-HLOOKUP(X143,Feuil1!$C$1:$BL$10,9,FALSE)</f>
        <v>-107</v>
      </c>
      <c r="AJ143" s="3">
        <f>T143-HLOOKUP(X143,Feuil1!$C$1:$BL$10,10,FALSE)</f>
        <v>-127</v>
      </c>
      <c r="AK143" s="5"/>
      <c r="AL143" s="5"/>
      <c r="AM143" s="5"/>
      <c r="AN143" s="5"/>
      <c r="AO143" s="5"/>
      <c r="AP143" s="5"/>
      <c r="AQ143" s="5" t="str">
        <f t="shared" si="50"/>
        <v xml:space="preserve">DEB 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</row>
    <row r="144" spans="1:55" s="13" customFormat="1" ht="21" hidden="1" x14ac:dyDescent="0.2">
      <c r="A144" s="12" t="s">
        <v>69</v>
      </c>
      <c r="B144" s="67" t="s">
        <v>108</v>
      </c>
      <c r="C144" s="68" t="s">
        <v>146</v>
      </c>
      <c r="D144" s="69">
        <v>68</v>
      </c>
      <c r="E144" s="70">
        <v>374652</v>
      </c>
      <c r="F144" s="71" t="s">
        <v>248</v>
      </c>
      <c r="G144" s="71" t="s">
        <v>249</v>
      </c>
      <c r="H144" s="72">
        <v>1993</v>
      </c>
      <c r="I144" s="73">
        <v>55.6</v>
      </c>
      <c r="J144" s="68" t="s">
        <v>149</v>
      </c>
      <c r="K144" s="74" t="s">
        <v>69</v>
      </c>
      <c r="L144" s="75">
        <v>25</v>
      </c>
      <c r="M144" s="75">
        <v>28</v>
      </c>
      <c r="N144" s="75">
        <v>-31</v>
      </c>
      <c r="O144" s="76">
        <f t="shared" si="43"/>
        <v>28</v>
      </c>
      <c r="P144" s="75">
        <v>32</v>
      </c>
      <c r="Q144" s="75">
        <v>-35</v>
      </c>
      <c r="R144" s="75">
        <v>35</v>
      </c>
      <c r="S144" s="76">
        <f t="shared" si="44"/>
        <v>35</v>
      </c>
      <c r="T144" s="77">
        <f t="shared" si="45"/>
        <v>63</v>
      </c>
      <c r="U144" s="78">
        <f t="shared" si="46"/>
        <v>-48.2</v>
      </c>
      <c r="V144" s="79" t="str">
        <f t="shared" si="47"/>
        <v xml:space="preserve">DEB </v>
      </c>
      <c r="W144" s="80">
        <f t="shared" si="48"/>
        <v>-7</v>
      </c>
      <c r="X144" s="81" t="str">
        <f>IF(I144="","",IF(A144="H",IF(OR(H144="SEN",H144&lt;1995),VLOOKUP(I144,Feuil1!$A$11:$F$29,6),IF(AND(H144&gt;1994,H144&lt;1998),VLOOKUP(I144,Feuil1!$A$11:$F$29,5),IF(AND(H144&gt;1997,H144&lt;2000),VLOOKUP(I144,Feuil1!$A$11:$F$29,4),IF(AND(H144&gt;1999,H144&lt;2002),VLOOKUP(I144,Feuil1!$A$11:$F$29,3),VLOOKUP(I144,Feuil1!$A$11:$F$29,2))))),IF(OR(H144="SEN",H144&lt;1995),VLOOKUP(I144,Feuil1!$G$11:$L$25,6),IF(AND(H144&gt;1994,H144&lt;1998),VLOOKUP(I144,Feuil1!$G$11:$L$25,5),IF(AND(H144&gt;1997,H144&lt;2000),VLOOKUP(I144,Feuil1!$G$11:$L$25,4),IF(AND(H144&gt;1999,H144&lt;2002),VLOOKUP(I144,Feuil1!$G$11:$L$25,3),VLOOKUP(I144,Feuil1!$G$11:$L$25,2)))))))</f>
        <v>FS58</v>
      </c>
      <c r="Y144" s="39">
        <f t="shared" si="49"/>
        <v>91.539614081984794</v>
      </c>
      <c r="Z144" s="45"/>
      <c r="AA144" s="49" t="s">
        <v>12</v>
      </c>
      <c r="AB144" s="3">
        <f>T144-HLOOKUP(X144,Feuil1!$C$1:$BL$10,2,FALSE)</f>
        <v>-7</v>
      </c>
      <c r="AC144" s="3">
        <f>T144-HLOOKUP(X144,Feuil1!$C$1:$BL$10,3,FALSE)</f>
        <v>-17</v>
      </c>
      <c r="AD144" s="3">
        <f>T144-HLOOKUP(X144,Feuil1!$C$1:$BL$10,4,FALSE)</f>
        <v>-27</v>
      </c>
      <c r="AE144" s="3">
        <f>T144-HLOOKUP(X144,Feuil1!$C$1:$BL$10,5,FALSE)</f>
        <v>-37</v>
      </c>
      <c r="AF144" s="3">
        <f>T144-HLOOKUP(X144,Feuil1!$C$1:$BL$10,6,FALSE)</f>
        <v>-52</v>
      </c>
      <c r="AG144" s="3">
        <f>T144-HLOOKUP(X144,Feuil1!$C$1:$BL$10,7,FALSE)</f>
        <v>-67</v>
      </c>
      <c r="AH144" s="3">
        <f>T144-HLOOKUP(X144,Feuil1!$C$1:$BL$10,8,FALSE)</f>
        <v>-87</v>
      </c>
      <c r="AI144" s="3">
        <f>T144-HLOOKUP(X144,Feuil1!$C$1:$BL$10,9,FALSE)</f>
        <v>-107</v>
      </c>
      <c r="AJ144" s="3">
        <f>T144-HLOOKUP(X144,Feuil1!$C$1:$BL$10,10,FALSE)</f>
        <v>-127</v>
      </c>
      <c r="AK144" s="5"/>
      <c r="AL144" s="5"/>
      <c r="AM144" s="5"/>
      <c r="AN144" s="5"/>
      <c r="AO144" s="5"/>
      <c r="AP144" s="5"/>
      <c r="AQ144" s="5" t="str">
        <f t="shared" si="50"/>
        <v xml:space="preserve">DEB </v>
      </c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</row>
    <row r="145" spans="1:55" ht="21" hidden="1" x14ac:dyDescent="0.2">
      <c r="A145" s="12" t="s">
        <v>69</v>
      </c>
      <c r="B145" s="18" t="s">
        <v>721</v>
      </c>
      <c r="C145" s="19" t="s">
        <v>745</v>
      </c>
      <c r="D145" s="61">
        <v>69</v>
      </c>
      <c r="E145" s="35">
        <v>383832</v>
      </c>
      <c r="F145" s="20" t="s">
        <v>765</v>
      </c>
      <c r="G145" s="20" t="s">
        <v>372</v>
      </c>
      <c r="H145" s="51">
        <v>1973</v>
      </c>
      <c r="I145" s="30">
        <v>57.8</v>
      </c>
      <c r="J145" s="19" t="s">
        <v>750</v>
      </c>
      <c r="K145" s="34" t="s">
        <v>69</v>
      </c>
      <c r="L145" s="31">
        <v>25</v>
      </c>
      <c r="M145" s="31">
        <v>27</v>
      </c>
      <c r="N145" s="31">
        <v>-30</v>
      </c>
      <c r="O145" s="36">
        <f t="shared" si="43"/>
        <v>27</v>
      </c>
      <c r="P145" s="31">
        <v>30</v>
      </c>
      <c r="Q145" s="31">
        <v>-35</v>
      </c>
      <c r="R145" s="31">
        <v>35</v>
      </c>
      <c r="S145" s="36">
        <f t="shared" si="44"/>
        <v>35</v>
      </c>
      <c r="T145" s="37">
        <f t="shared" si="45"/>
        <v>62</v>
      </c>
      <c r="U145" s="65">
        <f t="shared" si="46"/>
        <v>-53.599999999999994</v>
      </c>
      <c r="V145" s="41" t="str">
        <f t="shared" si="47"/>
        <v xml:space="preserve">DEB </v>
      </c>
      <c r="W145" s="33">
        <f t="shared" si="48"/>
        <v>-8</v>
      </c>
      <c r="X145" s="40" t="str">
        <f>IF(I145="","",IF(A145="H",IF(OR(H145="SEN",H145&lt;1995),VLOOKUP(I145,Feuil1!$A$11:$F$29,6),IF(AND(H145&gt;1994,H145&lt;1998),VLOOKUP(I145,Feuil1!$A$11:$F$29,5),IF(AND(H145&gt;1997,H145&lt;2000),VLOOKUP(I145,Feuil1!$A$11:$F$29,4),IF(AND(H145&gt;1999,H145&lt;2002),VLOOKUP(I145,Feuil1!$A$11:$F$29,3),VLOOKUP(I145,Feuil1!$A$11:$F$29,2))))),IF(OR(H145="SEN",H145&lt;1995),VLOOKUP(I145,Feuil1!$G$11:$L$25,6),IF(AND(H145&gt;1994,H145&lt;1998),VLOOKUP(I145,Feuil1!$G$11:$L$25,5),IF(AND(H145&gt;1997,H145&lt;2000),VLOOKUP(I145,Feuil1!$G$11:$L$25,4),IF(AND(H145&gt;1999,H145&lt;2002),VLOOKUP(I145,Feuil1!$G$11:$L$25,3),VLOOKUP(I145,Feuil1!$G$11:$L$25,2)))))))</f>
        <v>FS58</v>
      </c>
      <c r="Y145" s="39">
        <f t="shared" si="49"/>
        <v>87.509209517064519</v>
      </c>
      <c r="Z145" s="45"/>
      <c r="AA145" s="49" t="s">
        <v>12</v>
      </c>
      <c r="AB145" s="3">
        <f>T145-HLOOKUP(X145,Feuil1!$C$1:$BL$10,2,FALSE)</f>
        <v>-8</v>
      </c>
      <c r="AC145" s="3">
        <f>T145-HLOOKUP(X145,Feuil1!$C$1:$BL$10,3,FALSE)</f>
        <v>-18</v>
      </c>
      <c r="AD145" s="3">
        <f>T145-HLOOKUP(X145,Feuil1!$C$1:$BL$10,4,FALSE)</f>
        <v>-28</v>
      </c>
      <c r="AE145" s="3">
        <f>T145-HLOOKUP(X145,Feuil1!$C$1:$BL$10,5,FALSE)</f>
        <v>-38</v>
      </c>
      <c r="AF145" s="3">
        <f>T145-HLOOKUP(X145,Feuil1!$C$1:$BL$10,6,FALSE)</f>
        <v>-53</v>
      </c>
      <c r="AG145" s="3">
        <f>T145-HLOOKUP(X145,Feuil1!$C$1:$BL$10,7,FALSE)</f>
        <v>-68</v>
      </c>
      <c r="AH145" s="3">
        <f>T145-HLOOKUP(X145,Feuil1!$C$1:$BL$10,8,FALSE)</f>
        <v>-88</v>
      </c>
      <c r="AI145" s="3">
        <f>T145-HLOOKUP(X145,Feuil1!$C$1:$BL$10,9,FALSE)</f>
        <v>-108</v>
      </c>
      <c r="AJ145" s="3">
        <f>T145-HLOOKUP(X145,Feuil1!$C$1:$BL$10,10,FALSE)</f>
        <v>-128</v>
      </c>
      <c r="AQ145" s="5" t="str">
        <f t="shared" si="50"/>
        <v xml:space="preserve">DEB </v>
      </c>
      <c r="BC145" s="13"/>
    </row>
    <row r="146" spans="1:55" ht="21" hidden="1" x14ac:dyDescent="0.2">
      <c r="A146" s="12" t="s">
        <v>69</v>
      </c>
      <c r="B146" s="18" t="s">
        <v>108</v>
      </c>
      <c r="C146" s="19" t="s">
        <v>119</v>
      </c>
      <c r="D146" s="61">
        <v>70</v>
      </c>
      <c r="E146" s="35">
        <v>367025</v>
      </c>
      <c r="F146" s="20" t="s">
        <v>207</v>
      </c>
      <c r="G146" s="20" t="s">
        <v>208</v>
      </c>
      <c r="H146" s="51">
        <v>1989</v>
      </c>
      <c r="I146" s="30">
        <v>55.25</v>
      </c>
      <c r="J146" s="19" t="s">
        <v>122</v>
      </c>
      <c r="K146" s="34" t="s">
        <v>69</v>
      </c>
      <c r="L146" s="31">
        <v>23</v>
      </c>
      <c r="M146" s="31">
        <v>25</v>
      </c>
      <c r="N146" s="31">
        <v>27</v>
      </c>
      <c r="O146" s="36">
        <f t="shared" si="43"/>
        <v>27</v>
      </c>
      <c r="P146" s="31">
        <v>29</v>
      </c>
      <c r="Q146" s="31">
        <v>32</v>
      </c>
      <c r="R146" s="31">
        <v>34</v>
      </c>
      <c r="S146" s="36">
        <f t="shared" si="44"/>
        <v>34</v>
      </c>
      <c r="T146" s="37">
        <f t="shared" si="45"/>
        <v>61</v>
      </c>
      <c r="U146" s="65">
        <f t="shared" si="46"/>
        <v>-49.5</v>
      </c>
      <c r="V146" s="41" t="str">
        <f t="shared" si="47"/>
        <v xml:space="preserve">DEB </v>
      </c>
      <c r="W146" s="33">
        <f t="shared" si="48"/>
        <v>-9</v>
      </c>
      <c r="X146" s="40" t="str">
        <f>IF(I146="","",IF(A146="H",IF(OR(H146="SEN",H146&lt;1995),VLOOKUP(I146,Feuil1!$A$11:$F$29,6),IF(AND(H146&gt;1994,H146&lt;1998),VLOOKUP(I146,Feuil1!$A$11:$F$29,5),IF(AND(H146&gt;1997,H146&lt;2000),VLOOKUP(I146,Feuil1!$A$11:$F$29,4),IF(AND(H146&gt;1999,H146&lt;2002),VLOOKUP(I146,Feuil1!$A$11:$F$29,3),VLOOKUP(I146,Feuil1!$A$11:$F$29,2))))),IF(OR(H146="SEN",H146&lt;1995),VLOOKUP(I146,Feuil1!$G$11:$L$25,6),IF(AND(H146&gt;1994,H146&lt;1998),VLOOKUP(I146,Feuil1!$G$11:$L$25,5),IF(AND(H146&gt;1997,H146&lt;2000),VLOOKUP(I146,Feuil1!$G$11:$L$25,4),IF(AND(H146&gt;1999,H146&lt;2002),VLOOKUP(I146,Feuil1!$G$11:$L$25,3),VLOOKUP(I146,Feuil1!$G$11:$L$25,2)))))))</f>
        <v>FS58</v>
      </c>
      <c r="Y146" s="39">
        <f t="shared" si="49"/>
        <v>89.063147837695155</v>
      </c>
      <c r="Z146" s="45"/>
      <c r="AA146" s="49" t="s">
        <v>12</v>
      </c>
      <c r="AB146" s="3">
        <f>T146-HLOOKUP(X146,Feuil1!$C$1:$BL$10,2,FALSE)</f>
        <v>-9</v>
      </c>
      <c r="AC146" s="3">
        <f>T146-HLOOKUP(X146,Feuil1!$C$1:$BL$10,3,FALSE)</f>
        <v>-19</v>
      </c>
      <c r="AD146" s="3">
        <f>T146-HLOOKUP(X146,Feuil1!$C$1:$BL$10,4,FALSE)</f>
        <v>-29</v>
      </c>
      <c r="AE146" s="3">
        <f>T146-HLOOKUP(X146,Feuil1!$C$1:$BL$10,5,FALSE)</f>
        <v>-39</v>
      </c>
      <c r="AF146" s="3">
        <f>T146-HLOOKUP(X146,Feuil1!$C$1:$BL$10,6,FALSE)</f>
        <v>-54</v>
      </c>
      <c r="AG146" s="3">
        <f>T146-HLOOKUP(X146,Feuil1!$C$1:$BL$10,7,FALSE)</f>
        <v>-69</v>
      </c>
      <c r="AH146" s="3">
        <f>T146-HLOOKUP(X146,Feuil1!$C$1:$BL$10,8,FALSE)</f>
        <v>-89</v>
      </c>
      <c r="AI146" s="3">
        <f>T146-HLOOKUP(X146,Feuil1!$C$1:$BL$10,9,FALSE)</f>
        <v>-109</v>
      </c>
      <c r="AJ146" s="3">
        <f>T146-HLOOKUP(X146,Feuil1!$C$1:$BL$10,10,FALSE)</f>
        <v>-129</v>
      </c>
      <c r="AQ146" s="5" t="str">
        <f t="shared" si="50"/>
        <v xml:space="preserve">DEB </v>
      </c>
    </row>
    <row r="147" spans="1:55" ht="21" hidden="1" x14ac:dyDescent="0.2">
      <c r="A147" s="12" t="s">
        <v>69</v>
      </c>
      <c r="B147" s="18" t="s">
        <v>721</v>
      </c>
      <c r="C147" s="19" t="s">
        <v>722</v>
      </c>
      <c r="D147" s="61">
        <v>71</v>
      </c>
      <c r="E147" s="35">
        <v>367252</v>
      </c>
      <c r="F147" s="20" t="s">
        <v>738</v>
      </c>
      <c r="G147" s="20" t="s">
        <v>739</v>
      </c>
      <c r="H147" s="51">
        <v>1992</v>
      </c>
      <c r="I147" s="30">
        <v>55.94</v>
      </c>
      <c r="J147" s="19" t="s">
        <v>735</v>
      </c>
      <c r="K147" s="34" t="s">
        <v>69</v>
      </c>
      <c r="L147" s="31">
        <v>22</v>
      </c>
      <c r="M147" s="31">
        <v>24</v>
      </c>
      <c r="N147" s="31">
        <v>26</v>
      </c>
      <c r="O147" s="36">
        <f t="shared" si="43"/>
        <v>26</v>
      </c>
      <c r="P147" s="31">
        <v>32</v>
      </c>
      <c r="Q147" s="31">
        <v>35</v>
      </c>
      <c r="R147" s="31">
        <v>-38</v>
      </c>
      <c r="S147" s="36">
        <f t="shared" si="44"/>
        <v>35</v>
      </c>
      <c r="T147" s="37">
        <f t="shared" si="45"/>
        <v>61</v>
      </c>
      <c r="U147" s="65">
        <f t="shared" si="46"/>
        <v>-50.879999999999995</v>
      </c>
      <c r="V147" s="41" t="str">
        <f t="shared" si="47"/>
        <v xml:space="preserve">DEB </v>
      </c>
      <c r="W147" s="33">
        <f t="shared" si="48"/>
        <v>-9</v>
      </c>
      <c r="X147" s="40" t="str">
        <f>IF(I147="","",IF(A147="H",IF(OR(H147="SEN",H147&lt;1995),VLOOKUP(I147,Feuil1!$A$11:$F$29,6),IF(AND(H147&gt;1994,H147&lt;1998),VLOOKUP(I147,Feuil1!$A$11:$F$29,5),IF(AND(H147&gt;1997,H147&lt;2000),VLOOKUP(I147,Feuil1!$A$11:$F$29,4),IF(AND(H147&gt;1999,H147&lt;2002),VLOOKUP(I147,Feuil1!$A$11:$F$29,3),VLOOKUP(I147,Feuil1!$A$11:$F$29,2))))),IF(OR(H147="SEN",H147&lt;1995),VLOOKUP(I147,Feuil1!$G$11:$L$25,6),IF(AND(H147&gt;1994,H147&lt;1998),VLOOKUP(I147,Feuil1!$G$11:$L$25,5),IF(AND(H147&gt;1997,H147&lt;2000),VLOOKUP(I147,Feuil1!$G$11:$L$25,4),IF(AND(H147&gt;1999,H147&lt;2002),VLOOKUP(I147,Feuil1!$G$11:$L$25,3),VLOOKUP(I147,Feuil1!$G$11:$L$25,2)))))))</f>
        <v>FS58</v>
      </c>
      <c r="Y147" s="39">
        <f t="shared" si="49"/>
        <v>88.223462587198938</v>
      </c>
      <c r="Z147" s="45"/>
      <c r="AA147" s="49" t="s">
        <v>12</v>
      </c>
      <c r="AB147" s="3">
        <f>T147-HLOOKUP(X147,Feuil1!$C$1:$BL$10,2,FALSE)</f>
        <v>-9</v>
      </c>
      <c r="AC147" s="3">
        <f>T147-HLOOKUP(X147,Feuil1!$C$1:$BL$10,3,FALSE)</f>
        <v>-19</v>
      </c>
      <c r="AD147" s="3">
        <f>T147-HLOOKUP(X147,Feuil1!$C$1:$BL$10,4,FALSE)</f>
        <v>-29</v>
      </c>
      <c r="AE147" s="3">
        <f>T147-HLOOKUP(X147,Feuil1!$C$1:$BL$10,5,FALSE)</f>
        <v>-39</v>
      </c>
      <c r="AF147" s="3">
        <f>T147-HLOOKUP(X147,Feuil1!$C$1:$BL$10,6,FALSE)</f>
        <v>-54</v>
      </c>
      <c r="AG147" s="3">
        <f>T147-HLOOKUP(X147,Feuil1!$C$1:$BL$10,7,FALSE)</f>
        <v>-69</v>
      </c>
      <c r="AH147" s="3">
        <f>T147-HLOOKUP(X147,Feuil1!$C$1:$BL$10,8,FALSE)</f>
        <v>-89</v>
      </c>
      <c r="AI147" s="3">
        <f>T147-HLOOKUP(X147,Feuil1!$C$1:$BL$10,9,FALSE)</f>
        <v>-109</v>
      </c>
      <c r="AJ147" s="3">
        <f>T147-HLOOKUP(X147,Feuil1!$C$1:$BL$10,10,FALSE)</f>
        <v>-129</v>
      </c>
      <c r="AQ147" s="5" t="str">
        <f t="shared" si="50"/>
        <v xml:space="preserve">DEB </v>
      </c>
    </row>
    <row r="148" spans="1:55" ht="21" hidden="1" x14ac:dyDescent="0.2">
      <c r="A148" s="12" t="s">
        <v>69</v>
      </c>
      <c r="B148" s="18" t="s">
        <v>71</v>
      </c>
      <c r="C148" s="19" t="s">
        <v>72</v>
      </c>
      <c r="D148" s="61">
        <v>72</v>
      </c>
      <c r="E148" s="35">
        <v>265884</v>
      </c>
      <c r="F148" s="20" t="s">
        <v>993</v>
      </c>
      <c r="G148" s="20" t="s">
        <v>784</v>
      </c>
      <c r="H148" s="57">
        <v>1966</v>
      </c>
      <c r="I148" s="30">
        <v>56.6</v>
      </c>
      <c r="J148" s="19" t="s">
        <v>923</v>
      </c>
      <c r="K148" s="34" t="s">
        <v>69</v>
      </c>
      <c r="L148" s="31">
        <v>20</v>
      </c>
      <c r="M148" s="31">
        <v>22</v>
      </c>
      <c r="N148" s="31">
        <v>24</v>
      </c>
      <c r="O148" s="36">
        <f t="shared" si="43"/>
        <v>24</v>
      </c>
      <c r="P148" s="31">
        <v>32</v>
      </c>
      <c r="Q148" s="31">
        <v>-34</v>
      </c>
      <c r="R148" s="31">
        <v>34</v>
      </c>
      <c r="S148" s="36">
        <f t="shared" si="44"/>
        <v>34</v>
      </c>
      <c r="T148" s="37">
        <f t="shared" si="45"/>
        <v>58</v>
      </c>
      <c r="U148" s="65">
        <f t="shared" si="46"/>
        <v>-55.2</v>
      </c>
      <c r="V148" s="32" t="str">
        <f t="shared" si="47"/>
        <v xml:space="preserve">DEB </v>
      </c>
      <c r="W148" s="33">
        <f t="shared" si="48"/>
        <v>-12</v>
      </c>
      <c r="X148" s="40" t="str">
        <f>IF(I148="","",IF(A148="H",IF(OR(H148="SEN",H148&lt;1995),VLOOKUP(I148,Feuil1!$A$11:$F$29,6),IF(AND(H148&gt;1994,H148&lt;1998),VLOOKUP(I148,Feuil1!$A$11:$F$29,5),IF(AND(H148&gt;1997,H148&lt;2000),VLOOKUP(I148,Feuil1!$A$11:$F$29,4),IF(AND(H148&gt;1999,H148&lt;2002),VLOOKUP(I148,Feuil1!$A$11:$F$29,3),VLOOKUP(I148,Feuil1!$A$11:$F$29,2))))),IF(OR(H148="SEN",H148&lt;1995),VLOOKUP(I148,Feuil1!$G$11:$L$25,6),IF(AND(H148&gt;1994,H148&lt;1998),VLOOKUP(I148,Feuil1!$G$11:$L$25,5),IF(AND(H148&gt;1997,H148&lt;2000),VLOOKUP(I148,Feuil1!$G$11:$L$25,4),IF(AND(H148&gt;1999,H148&lt;2002),VLOOKUP(I148,Feuil1!$G$11:$L$25,3),VLOOKUP(I148,Feuil1!$G$11:$L$25,2)))))))</f>
        <v>FS58</v>
      </c>
      <c r="Y148" s="39">
        <f t="shared" si="49"/>
        <v>83.146181929148113</v>
      </c>
      <c r="Z148" s="45"/>
      <c r="AA148" s="49" t="s">
        <v>12</v>
      </c>
      <c r="AB148" s="3">
        <f>T148-HLOOKUP(X148,Feuil1!$C$1:$BL$10,2,FALSE)</f>
        <v>-12</v>
      </c>
      <c r="AC148" s="3">
        <f>T148-HLOOKUP(X148,Feuil1!$C$1:$BL$10,3,FALSE)</f>
        <v>-22</v>
      </c>
      <c r="AD148" s="3">
        <f>T148-HLOOKUP(X148,Feuil1!$C$1:$BL$10,4,FALSE)</f>
        <v>-32</v>
      </c>
      <c r="AE148" s="3">
        <f>T148-HLOOKUP(X148,Feuil1!$C$1:$BL$10,5,FALSE)</f>
        <v>-42</v>
      </c>
      <c r="AF148" s="3">
        <f>T148-HLOOKUP(X148,Feuil1!$C$1:$BL$10,6,FALSE)</f>
        <v>-57</v>
      </c>
      <c r="AG148" s="3">
        <f>T148-HLOOKUP(X148,Feuil1!$C$1:$BL$10,7,FALSE)</f>
        <v>-72</v>
      </c>
      <c r="AH148" s="3">
        <f>T148-HLOOKUP(X148,Feuil1!$C$1:$BL$10,8,FALSE)</f>
        <v>-92</v>
      </c>
      <c r="AI148" s="3">
        <f>T148-HLOOKUP(X148,Feuil1!$C$1:$BL$10,9,FALSE)</f>
        <v>-112</v>
      </c>
      <c r="AJ148" s="3">
        <f>T148-HLOOKUP(X148,Feuil1!$C$1:$BL$10,10,FALSE)</f>
        <v>-132</v>
      </c>
      <c r="AQ148" s="5" t="str">
        <f t="shared" si="50"/>
        <v xml:space="preserve">DEB </v>
      </c>
    </row>
    <row r="149" spans="1:55" ht="21" hidden="1" x14ac:dyDescent="0.2">
      <c r="A149" s="12" t="s">
        <v>69</v>
      </c>
      <c r="B149" s="18" t="s">
        <v>721</v>
      </c>
      <c r="C149" s="19" t="s">
        <v>775</v>
      </c>
      <c r="D149" s="61">
        <v>73</v>
      </c>
      <c r="E149" s="35">
        <v>179582</v>
      </c>
      <c r="F149" s="20" t="s">
        <v>790</v>
      </c>
      <c r="G149" s="20" t="s">
        <v>791</v>
      </c>
      <c r="H149" s="58">
        <v>1946</v>
      </c>
      <c r="I149" s="30">
        <v>53.3</v>
      </c>
      <c r="J149" s="19" t="s">
        <v>780</v>
      </c>
      <c r="K149" s="34" t="s">
        <v>69</v>
      </c>
      <c r="L149" s="31">
        <v>21</v>
      </c>
      <c r="M149" s="31">
        <v>23</v>
      </c>
      <c r="N149" s="31">
        <v>25</v>
      </c>
      <c r="O149" s="36">
        <f t="shared" si="43"/>
        <v>25</v>
      </c>
      <c r="P149" s="31">
        <v>28</v>
      </c>
      <c r="Q149" s="31">
        <v>30</v>
      </c>
      <c r="R149" s="31">
        <v>32</v>
      </c>
      <c r="S149" s="36">
        <f t="shared" si="44"/>
        <v>32</v>
      </c>
      <c r="T149" s="37">
        <f t="shared" si="45"/>
        <v>57</v>
      </c>
      <c r="U149" s="65">
        <f t="shared" si="46"/>
        <v>-49.599999999999994</v>
      </c>
      <c r="V149" s="41" t="str">
        <f t="shared" si="47"/>
        <v xml:space="preserve">DEB </v>
      </c>
      <c r="W149" s="33">
        <f t="shared" si="48"/>
        <v>-13</v>
      </c>
      <c r="X149" s="40" t="str">
        <f>IF(I149="","",IF(A149="H",IF(OR(H149="SEN",H149&lt;1995),VLOOKUP(I149,Feuil1!$A$11:$F$29,6),IF(AND(H149&gt;1994,H149&lt;1998),VLOOKUP(I149,Feuil1!$A$11:$F$29,5),IF(AND(H149&gt;1997,H149&lt;2000),VLOOKUP(I149,Feuil1!$A$11:$F$29,4),IF(AND(H149&gt;1999,H149&lt;2002),VLOOKUP(I149,Feuil1!$A$11:$F$29,3),VLOOKUP(I149,Feuil1!$A$11:$F$29,2))))),IF(OR(H149="SEN",H149&lt;1995),VLOOKUP(I149,Feuil1!$G$11:$L$25,6),IF(AND(H149&gt;1994,H149&lt;1998),VLOOKUP(I149,Feuil1!$G$11:$L$25,5),IF(AND(H149&gt;1997,H149&lt;2000),VLOOKUP(I149,Feuil1!$G$11:$L$25,4),IF(AND(H149&gt;1999,H149&lt;2002),VLOOKUP(I149,Feuil1!$G$11:$L$25,3),VLOOKUP(I149,Feuil1!$G$11:$L$25,2)))))))</f>
        <v>FS58</v>
      </c>
      <c r="Y149" s="39">
        <f t="shared" si="49"/>
        <v>85.594779726877462</v>
      </c>
      <c r="Z149" s="45"/>
      <c r="AA149" s="49" t="s">
        <v>12</v>
      </c>
      <c r="AB149" s="3">
        <f>T149-HLOOKUP(X149,Feuil1!$C$1:$BL$10,2,FALSE)</f>
        <v>-13</v>
      </c>
      <c r="AC149" s="3">
        <f>T149-HLOOKUP(X149,Feuil1!$C$1:$BL$10,3,FALSE)</f>
        <v>-23</v>
      </c>
      <c r="AD149" s="3">
        <f>T149-HLOOKUP(X149,Feuil1!$C$1:$BL$10,4,FALSE)</f>
        <v>-33</v>
      </c>
      <c r="AE149" s="3">
        <f>T149-HLOOKUP(X149,Feuil1!$C$1:$BL$10,5,FALSE)</f>
        <v>-43</v>
      </c>
      <c r="AF149" s="3">
        <f>T149-HLOOKUP(X149,Feuil1!$C$1:$BL$10,6,FALSE)</f>
        <v>-58</v>
      </c>
      <c r="AG149" s="3">
        <f>T149-HLOOKUP(X149,Feuil1!$C$1:$BL$10,7,FALSE)</f>
        <v>-73</v>
      </c>
      <c r="AH149" s="3">
        <f>T149-HLOOKUP(X149,Feuil1!$C$1:$BL$10,8,FALSE)</f>
        <v>-93</v>
      </c>
      <c r="AI149" s="3">
        <f>T149-HLOOKUP(X149,Feuil1!$C$1:$BL$10,9,FALSE)</f>
        <v>-113</v>
      </c>
      <c r="AJ149" s="3">
        <f>T149-HLOOKUP(X149,Feuil1!$C$1:$BL$10,10,FALSE)</f>
        <v>-133</v>
      </c>
      <c r="AQ149" s="5" t="str">
        <f t="shared" si="50"/>
        <v xml:space="preserve">DEB </v>
      </c>
      <c r="BC149" s="13"/>
    </row>
    <row r="150" spans="1:55" ht="21" hidden="1" x14ac:dyDescent="0.2">
      <c r="A150" s="12" t="s">
        <v>69</v>
      </c>
      <c r="B150" s="18" t="s">
        <v>536</v>
      </c>
      <c r="C150" s="19" t="s">
        <v>545</v>
      </c>
      <c r="D150" s="61">
        <v>74</v>
      </c>
      <c r="E150" s="35">
        <v>175014</v>
      </c>
      <c r="F150" s="20" t="s">
        <v>554</v>
      </c>
      <c r="G150" s="20" t="s">
        <v>612</v>
      </c>
      <c r="H150" s="51">
        <v>1965</v>
      </c>
      <c r="I150" s="30">
        <v>56.9</v>
      </c>
      <c r="J150" s="19" t="s">
        <v>555</v>
      </c>
      <c r="K150" s="34" t="s">
        <v>69</v>
      </c>
      <c r="L150" s="31">
        <v>18</v>
      </c>
      <c r="M150" s="31">
        <v>20</v>
      </c>
      <c r="N150" s="31">
        <v>23</v>
      </c>
      <c r="O150" s="36">
        <f t="shared" si="43"/>
        <v>23</v>
      </c>
      <c r="P150" s="31">
        <v>28</v>
      </c>
      <c r="Q150" s="31">
        <v>31</v>
      </c>
      <c r="R150" s="31">
        <v>33</v>
      </c>
      <c r="S150" s="36">
        <f t="shared" si="44"/>
        <v>33</v>
      </c>
      <c r="T150" s="37">
        <f t="shared" si="45"/>
        <v>56</v>
      </c>
      <c r="U150" s="65">
        <f t="shared" si="46"/>
        <v>-57.8</v>
      </c>
      <c r="V150" s="41" t="str">
        <f t="shared" si="47"/>
        <v xml:space="preserve">DEB </v>
      </c>
      <c r="W150" s="33">
        <f t="shared" si="48"/>
        <v>-14</v>
      </c>
      <c r="X150" s="40" t="str">
        <f>IF(I150="","",IF(A150="H",IF(OR(H150="SEN",H150&lt;1995),VLOOKUP(I150,Feuil1!$A$11:$F$29,6),IF(AND(H150&gt;1994,H150&lt;1998),VLOOKUP(I150,Feuil1!$A$11:$F$29,5),IF(AND(H150&gt;1997,H150&lt;2000),VLOOKUP(I150,Feuil1!$A$11:$F$29,4),IF(AND(H150&gt;1999,H150&lt;2002),VLOOKUP(I150,Feuil1!$A$11:$F$29,3),VLOOKUP(I150,Feuil1!$A$11:$F$29,2))))),IF(OR(H150="SEN",H150&lt;1995),VLOOKUP(I150,Feuil1!$G$11:$L$25,6),IF(AND(H150&gt;1994,H150&lt;1998),VLOOKUP(I150,Feuil1!$G$11:$L$25,5),IF(AND(H150&gt;1997,H150&lt;2000),VLOOKUP(I150,Feuil1!$G$11:$L$25,4),IF(AND(H150&gt;1999,H150&lt;2002),VLOOKUP(I150,Feuil1!$G$11:$L$25,3),VLOOKUP(I150,Feuil1!$G$11:$L$25,2)))))))</f>
        <v>FS58</v>
      </c>
      <c r="Y150" s="39">
        <f t="shared" si="49"/>
        <v>79.962601719423219</v>
      </c>
      <c r="Z150" s="45"/>
      <c r="AA150" s="49" t="s">
        <v>12</v>
      </c>
      <c r="AB150" s="3">
        <f>T150-HLOOKUP(X150,Feuil1!$C$1:$BL$10,2,FALSE)</f>
        <v>-14</v>
      </c>
      <c r="AC150" s="3">
        <f>T150-HLOOKUP(X150,Feuil1!$C$1:$BL$10,3,FALSE)</f>
        <v>-24</v>
      </c>
      <c r="AD150" s="3">
        <f>T150-HLOOKUP(X150,Feuil1!$C$1:$BL$10,4,FALSE)</f>
        <v>-34</v>
      </c>
      <c r="AE150" s="3">
        <f>T150-HLOOKUP(X150,Feuil1!$C$1:$BL$10,5,FALSE)</f>
        <v>-44</v>
      </c>
      <c r="AF150" s="3">
        <f>T150-HLOOKUP(X150,Feuil1!$C$1:$BL$10,6,FALSE)</f>
        <v>-59</v>
      </c>
      <c r="AG150" s="3">
        <f>T150-HLOOKUP(X150,Feuil1!$C$1:$BL$10,7,FALSE)</f>
        <v>-74</v>
      </c>
      <c r="AH150" s="3">
        <f>T150-HLOOKUP(X150,Feuil1!$C$1:$BL$10,8,FALSE)</f>
        <v>-94</v>
      </c>
      <c r="AI150" s="3">
        <f>T150-HLOOKUP(X150,Feuil1!$C$1:$BL$10,9,FALSE)</f>
        <v>-114</v>
      </c>
      <c r="AJ150" s="3">
        <f>T150-HLOOKUP(X150,Feuil1!$C$1:$BL$10,10,FALSE)</f>
        <v>-134</v>
      </c>
      <c r="AQ150" s="5" t="str">
        <f t="shared" si="50"/>
        <v xml:space="preserve">DEB </v>
      </c>
    </row>
    <row r="151" spans="1:55" ht="21" hidden="1" x14ac:dyDescent="0.2">
      <c r="A151" s="12" t="s">
        <v>69</v>
      </c>
      <c r="B151" s="18" t="s">
        <v>298</v>
      </c>
      <c r="C151" s="19" t="s">
        <v>404</v>
      </c>
      <c r="D151" s="61">
        <v>75</v>
      </c>
      <c r="E151" s="35">
        <v>223320</v>
      </c>
      <c r="F151" s="20" t="s">
        <v>465</v>
      </c>
      <c r="G151" s="20" t="s">
        <v>466</v>
      </c>
      <c r="H151" s="51">
        <v>1993</v>
      </c>
      <c r="I151" s="30">
        <v>54.15</v>
      </c>
      <c r="J151" s="19" t="s">
        <v>467</v>
      </c>
      <c r="K151" s="34" t="s">
        <v>69</v>
      </c>
      <c r="L151" s="31">
        <v>22</v>
      </c>
      <c r="M151" s="31">
        <v>24</v>
      </c>
      <c r="N151" s="31">
        <v>26</v>
      </c>
      <c r="O151" s="36">
        <f t="shared" si="43"/>
        <v>26</v>
      </c>
      <c r="P151" s="31">
        <v>27</v>
      </c>
      <c r="Q151" s="31">
        <v>29</v>
      </c>
      <c r="R151" s="31">
        <v>-31</v>
      </c>
      <c r="S151" s="36">
        <f t="shared" si="44"/>
        <v>29</v>
      </c>
      <c r="T151" s="37">
        <f t="shared" si="45"/>
        <v>55</v>
      </c>
      <c r="U151" s="65">
        <f t="shared" si="46"/>
        <v>-53.3</v>
      </c>
      <c r="V151" s="41" t="str">
        <f t="shared" si="47"/>
        <v xml:space="preserve">DEB </v>
      </c>
      <c r="W151" s="33">
        <f t="shared" si="48"/>
        <v>-15</v>
      </c>
      <c r="X151" s="40" t="str">
        <f>IF(I151="","",IF(A151="H",IF(OR(H151="SEN",H151&lt;1995),VLOOKUP(I151,Feuil1!$A$11:$F$29,6),IF(AND(H151&gt;1994,H151&lt;1998),VLOOKUP(I151,Feuil1!$A$11:$F$29,5),IF(AND(H151&gt;1997,H151&lt;2000),VLOOKUP(I151,Feuil1!$A$11:$F$29,4),IF(AND(H151&gt;1999,H151&lt;2002),VLOOKUP(I151,Feuil1!$A$11:$F$29,3),VLOOKUP(I151,Feuil1!$A$11:$F$29,2))))),IF(OR(H151="SEN",H151&lt;1995),VLOOKUP(I151,Feuil1!$G$11:$L$25,6),IF(AND(H151&gt;1994,H151&lt;1998),VLOOKUP(I151,Feuil1!$G$11:$L$25,5),IF(AND(H151&gt;1997,H151&lt;2000),VLOOKUP(I151,Feuil1!$G$11:$L$25,4),IF(AND(H151&gt;1999,H151&lt;2002),VLOOKUP(I151,Feuil1!$G$11:$L$25,3),VLOOKUP(I151,Feuil1!$G$11:$L$25,2)))))))</f>
        <v>FS58</v>
      </c>
      <c r="Y151" s="39">
        <f t="shared" si="49"/>
        <v>81.565684375626049</v>
      </c>
      <c r="Z151" s="45"/>
      <c r="AA151" s="49" t="s">
        <v>12</v>
      </c>
      <c r="AB151" s="3">
        <f>T151-HLOOKUP(X151,Feuil1!$C$1:$BL$10,2,FALSE)</f>
        <v>-15</v>
      </c>
      <c r="AC151" s="3">
        <f>T151-HLOOKUP(X151,Feuil1!$C$1:$BL$10,3,FALSE)</f>
        <v>-25</v>
      </c>
      <c r="AD151" s="3">
        <f>T151-HLOOKUP(X151,Feuil1!$C$1:$BL$10,4,FALSE)</f>
        <v>-35</v>
      </c>
      <c r="AE151" s="3">
        <f>T151-HLOOKUP(X151,Feuil1!$C$1:$BL$10,5,FALSE)</f>
        <v>-45</v>
      </c>
      <c r="AF151" s="3">
        <f>T151-HLOOKUP(X151,Feuil1!$C$1:$BL$10,6,FALSE)</f>
        <v>-60</v>
      </c>
      <c r="AG151" s="3">
        <f>T151-HLOOKUP(X151,Feuil1!$C$1:$BL$10,7,FALSE)</f>
        <v>-75</v>
      </c>
      <c r="AH151" s="3">
        <f>T151-HLOOKUP(X151,Feuil1!$C$1:$BL$10,8,FALSE)</f>
        <v>-95</v>
      </c>
      <c r="AI151" s="3">
        <f>T151-HLOOKUP(X151,Feuil1!$C$1:$BL$10,9,FALSE)</f>
        <v>-115</v>
      </c>
      <c r="AJ151" s="3">
        <f>T151-HLOOKUP(X151,Feuil1!$C$1:$BL$10,10,FALSE)</f>
        <v>-135</v>
      </c>
      <c r="AQ151" s="5" t="str">
        <f t="shared" si="50"/>
        <v xml:space="preserve">DEB </v>
      </c>
      <c r="BC151" s="13"/>
    </row>
    <row r="152" spans="1:55" ht="21" hidden="1" x14ac:dyDescent="0.2">
      <c r="A152" s="12" t="s">
        <v>69</v>
      </c>
      <c r="B152" s="18" t="s">
        <v>298</v>
      </c>
      <c r="C152" s="19" t="s">
        <v>299</v>
      </c>
      <c r="D152" s="61">
        <v>76</v>
      </c>
      <c r="E152" s="35">
        <v>377402</v>
      </c>
      <c r="F152" s="20" t="s">
        <v>360</v>
      </c>
      <c r="G152" s="20" t="s">
        <v>361</v>
      </c>
      <c r="H152" s="51">
        <v>1984</v>
      </c>
      <c r="I152" s="30">
        <v>54.4</v>
      </c>
      <c r="J152" s="19" t="s">
        <v>362</v>
      </c>
      <c r="K152" s="34" t="s">
        <v>69</v>
      </c>
      <c r="L152" s="31">
        <v>-20</v>
      </c>
      <c r="M152" s="31">
        <v>20</v>
      </c>
      <c r="N152" s="31">
        <v>-25</v>
      </c>
      <c r="O152" s="36">
        <f t="shared" si="43"/>
        <v>20</v>
      </c>
      <c r="P152" s="31">
        <v>30</v>
      </c>
      <c r="Q152" s="31">
        <v>35</v>
      </c>
      <c r="R152" s="31">
        <v>-40</v>
      </c>
      <c r="S152" s="36">
        <f t="shared" si="44"/>
        <v>35</v>
      </c>
      <c r="T152" s="37">
        <f t="shared" si="45"/>
        <v>55</v>
      </c>
      <c r="U152" s="65">
        <f t="shared" si="46"/>
        <v>-53.8</v>
      </c>
      <c r="V152" s="41" t="str">
        <f t="shared" si="47"/>
        <v xml:space="preserve">DEB </v>
      </c>
      <c r="W152" s="33">
        <f t="shared" si="48"/>
        <v>-15</v>
      </c>
      <c r="X152" s="40" t="str">
        <f>IF(I152="","",IF(A152="H",IF(OR(H152="SEN",H152&lt;1995),VLOOKUP(I152,Feuil1!$A$11:$F$29,6),IF(AND(H152&gt;1994,H152&lt;1998),VLOOKUP(I152,Feuil1!$A$11:$F$29,5),IF(AND(H152&gt;1997,H152&lt;2000),VLOOKUP(I152,Feuil1!$A$11:$F$29,4),IF(AND(H152&gt;1999,H152&lt;2002),VLOOKUP(I152,Feuil1!$A$11:$F$29,3),VLOOKUP(I152,Feuil1!$A$11:$F$29,2))))),IF(OR(H152="SEN",H152&lt;1995),VLOOKUP(I152,Feuil1!$G$11:$L$25,6),IF(AND(H152&gt;1994,H152&lt;1998),VLOOKUP(I152,Feuil1!$G$11:$L$25,5),IF(AND(H152&gt;1997,H152&lt;2000),VLOOKUP(I152,Feuil1!$G$11:$L$25,4),IF(AND(H152&gt;1999,H152&lt;2002),VLOOKUP(I152,Feuil1!$G$11:$L$25,3),VLOOKUP(I152,Feuil1!$G$11:$L$25,2)))))))</f>
        <v>FS58</v>
      </c>
      <c r="Y152" s="39">
        <f t="shared" si="49"/>
        <v>81.272431712831732</v>
      </c>
      <c r="Z152" s="45"/>
      <c r="AA152" s="49" t="s">
        <v>12</v>
      </c>
      <c r="AB152" s="3">
        <f>T152-HLOOKUP(X152,Feuil1!$C$1:$BL$10,2,FALSE)</f>
        <v>-15</v>
      </c>
      <c r="AC152" s="3">
        <f>T152-HLOOKUP(X152,Feuil1!$C$1:$BL$10,3,FALSE)</f>
        <v>-25</v>
      </c>
      <c r="AD152" s="3">
        <f>T152-HLOOKUP(X152,Feuil1!$C$1:$BL$10,4,FALSE)</f>
        <v>-35</v>
      </c>
      <c r="AE152" s="3">
        <f>T152-HLOOKUP(X152,Feuil1!$C$1:$BL$10,5,FALSE)</f>
        <v>-45</v>
      </c>
      <c r="AF152" s="3">
        <f>T152-HLOOKUP(X152,Feuil1!$C$1:$BL$10,6,FALSE)</f>
        <v>-60</v>
      </c>
      <c r="AG152" s="3">
        <f>T152-HLOOKUP(X152,Feuil1!$C$1:$BL$10,7,FALSE)</f>
        <v>-75</v>
      </c>
      <c r="AH152" s="3">
        <f>T152-HLOOKUP(X152,Feuil1!$C$1:$BL$10,8,FALSE)</f>
        <v>-95</v>
      </c>
      <c r="AI152" s="3">
        <f>T152-HLOOKUP(X152,Feuil1!$C$1:$BL$10,9,FALSE)</f>
        <v>-115</v>
      </c>
      <c r="AJ152" s="3">
        <f>T152-HLOOKUP(X152,Feuil1!$C$1:$BL$10,10,FALSE)</f>
        <v>-135</v>
      </c>
      <c r="AQ152" s="5" t="str">
        <f t="shared" si="50"/>
        <v xml:space="preserve">DEB </v>
      </c>
    </row>
    <row r="153" spans="1:55" ht="21" hidden="1" x14ac:dyDescent="0.2">
      <c r="A153" s="12" t="s">
        <v>69</v>
      </c>
      <c r="B153" s="18" t="s">
        <v>721</v>
      </c>
      <c r="C153" s="19" t="s">
        <v>745</v>
      </c>
      <c r="D153" s="61">
        <v>77</v>
      </c>
      <c r="E153" s="35">
        <v>378638</v>
      </c>
      <c r="F153" s="20" t="s">
        <v>766</v>
      </c>
      <c r="G153" s="20" t="s">
        <v>393</v>
      </c>
      <c r="H153" s="51">
        <v>1991</v>
      </c>
      <c r="I153" s="30">
        <v>58</v>
      </c>
      <c r="J153" s="19" t="s">
        <v>750</v>
      </c>
      <c r="K153" s="34" t="s">
        <v>69</v>
      </c>
      <c r="L153" s="31">
        <v>20</v>
      </c>
      <c r="M153" s="31">
        <v>-25</v>
      </c>
      <c r="N153" s="31"/>
      <c r="O153" s="36">
        <f t="shared" si="43"/>
        <v>20</v>
      </c>
      <c r="P153" s="31">
        <v>30</v>
      </c>
      <c r="Q153" s="31">
        <v>35</v>
      </c>
      <c r="R153" s="31"/>
      <c r="S153" s="36">
        <f t="shared" si="44"/>
        <v>35</v>
      </c>
      <c r="T153" s="37">
        <f t="shared" si="45"/>
        <v>55</v>
      </c>
      <c r="U153" s="65">
        <f t="shared" si="46"/>
        <v>-61</v>
      </c>
      <c r="V153" s="41" t="str">
        <f t="shared" si="47"/>
        <v xml:space="preserve">DEB </v>
      </c>
      <c r="W153" s="33">
        <f t="shared" si="48"/>
        <v>-15</v>
      </c>
      <c r="X153" s="40" t="str">
        <f>IF(I153="","",IF(A153="H",IF(OR(H153="SEN",H153&lt;1995),VLOOKUP(I153,Feuil1!$A$11:$F$29,6),IF(AND(H153&gt;1994,H153&lt;1998),VLOOKUP(I153,Feuil1!$A$11:$F$29,5),IF(AND(H153&gt;1997,H153&lt;2000),VLOOKUP(I153,Feuil1!$A$11:$F$29,4),IF(AND(H153&gt;1999,H153&lt;2002),VLOOKUP(I153,Feuil1!$A$11:$F$29,3),VLOOKUP(I153,Feuil1!$A$11:$F$29,2))))),IF(OR(H153="SEN",H153&lt;1995),VLOOKUP(I153,Feuil1!$G$11:$L$25,6),IF(AND(H153&gt;1994,H153&lt;1998),VLOOKUP(I153,Feuil1!$G$11:$L$25,5),IF(AND(H153&gt;1997,H153&lt;2000),VLOOKUP(I153,Feuil1!$G$11:$L$25,4),IF(AND(H153&gt;1999,H153&lt;2002),VLOOKUP(I153,Feuil1!$G$11:$L$25,3),VLOOKUP(I153,Feuil1!$G$11:$L$25,2)))))))</f>
        <v>FS58</v>
      </c>
      <c r="Y153" s="39">
        <f t="shared" si="49"/>
        <v>77.433219234265223</v>
      </c>
      <c r="Z153" s="45"/>
      <c r="AA153" s="49" t="s">
        <v>12</v>
      </c>
      <c r="AB153" s="3">
        <f>T153-HLOOKUP(X153,Feuil1!$C$1:$BL$10,2,FALSE)</f>
        <v>-15</v>
      </c>
      <c r="AC153" s="3">
        <f>T153-HLOOKUP(X153,Feuil1!$C$1:$BL$10,3,FALSE)</f>
        <v>-25</v>
      </c>
      <c r="AD153" s="3">
        <f>T153-HLOOKUP(X153,Feuil1!$C$1:$BL$10,4,FALSE)</f>
        <v>-35</v>
      </c>
      <c r="AE153" s="3">
        <f>T153-HLOOKUP(X153,Feuil1!$C$1:$BL$10,5,FALSE)</f>
        <v>-45</v>
      </c>
      <c r="AF153" s="3">
        <f>T153-HLOOKUP(X153,Feuil1!$C$1:$BL$10,6,FALSE)</f>
        <v>-60</v>
      </c>
      <c r="AG153" s="3">
        <f>T153-HLOOKUP(X153,Feuil1!$C$1:$BL$10,7,FALSE)</f>
        <v>-75</v>
      </c>
      <c r="AH153" s="3">
        <f>T153-HLOOKUP(X153,Feuil1!$C$1:$BL$10,8,FALSE)</f>
        <v>-95</v>
      </c>
      <c r="AI153" s="3">
        <f>T153-HLOOKUP(X153,Feuil1!$C$1:$BL$10,9,FALSE)</f>
        <v>-115</v>
      </c>
      <c r="AJ153" s="3">
        <f>T153-HLOOKUP(X153,Feuil1!$C$1:$BL$10,10,FALSE)</f>
        <v>-135</v>
      </c>
      <c r="AQ153" s="5" t="str">
        <f t="shared" si="50"/>
        <v xml:space="preserve">DEB </v>
      </c>
      <c r="BC153" s="13"/>
    </row>
    <row r="154" spans="1:55" ht="21" hidden="1" x14ac:dyDescent="0.2">
      <c r="A154" s="12" t="s">
        <v>69</v>
      </c>
      <c r="B154" s="18" t="s">
        <v>298</v>
      </c>
      <c r="C154" s="19" t="s">
        <v>299</v>
      </c>
      <c r="D154" s="61">
        <v>78</v>
      </c>
      <c r="E154" s="35">
        <v>175609</v>
      </c>
      <c r="F154" s="20" t="s">
        <v>363</v>
      </c>
      <c r="G154" s="20" t="s">
        <v>364</v>
      </c>
      <c r="H154" s="51">
        <v>1984</v>
      </c>
      <c r="I154" s="30">
        <v>56</v>
      </c>
      <c r="J154" s="19" t="s">
        <v>322</v>
      </c>
      <c r="K154" s="34" t="s">
        <v>69</v>
      </c>
      <c r="L154" s="31">
        <v>15</v>
      </c>
      <c r="M154" s="31">
        <v>17</v>
      </c>
      <c r="N154" s="31">
        <v>18</v>
      </c>
      <c r="O154" s="36">
        <f t="shared" si="43"/>
        <v>18</v>
      </c>
      <c r="P154" s="31">
        <v>18</v>
      </c>
      <c r="Q154" s="31">
        <v>20</v>
      </c>
      <c r="R154" s="31">
        <v>25</v>
      </c>
      <c r="S154" s="36">
        <f t="shared" si="44"/>
        <v>25</v>
      </c>
      <c r="T154" s="37">
        <f t="shared" si="45"/>
        <v>43</v>
      </c>
      <c r="U154" s="65">
        <f t="shared" si="46"/>
        <v>-69</v>
      </c>
      <c r="V154" s="41" t="str">
        <f t="shared" si="47"/>
        <v xml:space="preserve">DEB </v>
      </c>
      <c r="W154" s="33">
        <f t="shared" si="48"/>
        <v>-27</v>
      </c>
      <c r="X154" s="40" t="str">
        <f>IF(I154="","",IF(A154="H",IF(OR(H154="SEN",H154&lt;1995),VLOOKUP(I154,Feuil1!$A$11:$F$29,6),IF(AND(H154&gt;1994,H154&lt;1998),VLOOKUP(I154,Feuil1!$A$11:$F$29,5),IF(AND(H154&gt;1997,H154&lt;2000),VLOOKUP(I154,Feuil1!$A$11:$F$29,4),IF(AND(H154&gt;1999,H154&lt;2002),VLOOKUP(I154,Feuil1!$A$11:$F$29,3),VLOOKUP(I154,Feuil1!$A$11:$F$29,2))))),IF(OR(H154="SEN",H154&lt;1995),VLOOKUP(I154,Feuil1!$G$11:$L$25,6),IF(AND(H154&gt;1994,H154&lt;1998),VLOOKUP(I154,Feuil1!$G$11:$L$25,5),IF(AND(H154&gt;1997,H154&lt;2000),VLOOKUP(I154,Feuil1!$G$11:$L$25,4),IF(AND(H154&gt;1999,H154&lt;2002),VLOOKUP(I154,Feuil1!$G$11:$L$25,3),VLOOKUP(I154,Feuil1!$G$11:$L$25,2)))))))</f>
        <v>FS58</v>
      </c>
      <c r="Y154" s="39">
        <f t="shared" si="49"/>
        <v>62.139797395725978</v>
      </c>
      <c r="Z154" s="45"/>
      <c r="AA154" s="49" t="s">
        <v>12</v>
      </c>
      <c r="AB154" s="3">
        <f>T154-HLOOKUP(X154,Feuil1!$C$1:$BL$10,2,FALSE)</f>
        <v>-27</v>
      </c>
      <c r="AC154" s="3">
        <f>T154-HLOOKUP(X154,Feuil1!$C$1:$BL$10,3,FALSE)</f>
        <v>-37</v>
      </c>
      <c r="AD154" s="3">
        <f>T154-HLOOKUP(X154,Feuil1!$C$1:$BL$10,4,FALSE)</f>
        <v>-47</v>
      </c>
      <c r="AE154" s="3">
        <f>T154-HLOOKUP(X154,Feuil1!$C$1:$BL$10,5,FALSE)</f>
        <v>-57</v>
      </c>
      <c r="AF154" s="3">
        <f>T154-HLOOKUP(X154,Feuil1!$C$1:$BL$10,6,FALSE)</f>
        <v>-72</v>
      </c>
      <c r="AG154" s="3">
        <f>T154-HLOOKUP(X154,Feuil1!$C$1:$BL$10,7,FALSE)</f>
        <v>-87</v>
      </c>
      <c r="AH154" s="3">
        <f>T154-HLOOKUP(X154,Feuil1!$C$1:$BL$10,8,FALSE)</f>
        <v>-107</v>
      </c>
      <c r="AI154" s="3">
        <f>T154-HLOOKUP(X154,Feuil1!$C$1:$BL$10,9,FALSE)</f>
        <v>-127</v>
      </c>
      <c r="AJ154" s="3">
        <f>T154-HLOOKUP(X154,Feuil1!$C$1:$BL$10,10,FALSE)</f>
        <v>-147</v>
      </c>
      <c r="AQ154" s="5" t="str">
        <f t="shared" si="50"/>
        <v xml:space="preserve">DEB </v>
      </c>
    </row>
    <row r="155" spans="1:55" s="13" customFormat="1" ht="15" hidden="1" customHeight="1" thickBot="1" x14ac:dyDescent="0.25">
      <c r="A155" s="89"/>
      <c r="B155" s="90"/>
      <c r="C155" s="91"/>
      <c r="D155" s="92"/>
      <c r="E155" s="93"/>
      <c r="F155" s="94"/>
      <c r="G155" s="94"/>
      <c r="H155" s="95"/>
      <c r="I155" s="96"/>
      <c r="J155" s="91"/>
      <c r="K155" s="97"/>
      <c r="L155" s="98"/>
      <c r="M155" s="98"/>
      <c r="N155" s="98"/>
      <c r="O155" s="99"/>
      <c r="P155" s="98"/>
      <c r="Q155" s="98"/>
      <c r="R155" s="98"/>
      <c r="S155" s="99"/>
      <c r="T155" s="100"/>
      <c r="U155" s="101"/>
      <c r="V155" s="102"/>
      <c r="W155" s="103"/>
      <c r="X155" s="104"/>
      <c r="Y155" s="105"/>
      <c r="Z155" s="45"/>
      <c r="AA155" s="45" t="s">
        <v>12</v>
      </c>
      <c r="AB155" s="3" t="e">
        <f>T155-HLOOKUP(X155,Feuil1!$C$1:$BL$10,2,FALSE)</f>
        <v>#N/A</v>
      </c>
      <c r="AC155" s="3" t="e">
        <f>T155-HLOOKUP(X155,Feuil1!$C$1:$BL$10,3,FALSE)</f>
        <v>#N/A</v>
      </c>
      <c r="AD155" s="3" t="e">
        <f>T155-HLOOKUP(X155,Feuil1!$C$1:$BL$10,4,FALSE)</f>
        <v>#N/A</v>
      </c>
      <c r="AE155" s="3" t="e">
        <f>T155-HLOOKUP(X155,Feuil1!$C$1:$BL$10,5,FALSE)</f>
        <v>#N/A</v>
      </c>
      <c r="AF155" s="3" t="e">
        <f>T155-HLOOKUP(X155,Feuil1!$C$1:$BL$10,6,FALSE)</f>
        <v>#N/A</v>
      </c>
      <c r="AG155" s="3" t="e">
        <f>T155-HLOOKUP(X155,Feuil1!$C$1:$BL$10,7,FALSE)</f>
        <v>#N/A</v>
      </c>
      <c r="AH155" s="3" t="e">
        <f>T155-HLOOKUP(X155,Feuil1!$C$1:$BL$10,8,FALSE)</f>
        <v>#N/A</v>
      </c>
      <c r="AI155" s="3" t="e">
        <f>T155-HLOOKUP(X155,Feuil1!$C$1:$BL$10,9,FALSE)</f>
        <v>#N/A</v>
      </c>
      <c r="AJ155" s="3" t="e">
        <f>T155-HLOOKUP(X155,Feuil1!$C$1:$BL$10,10,FALSE)</f>
        <v>#N/A</v>
      </c>
      <c r="AK155" s="5"/>
      <c r="AL155" s="5"/>
      <c r="AM155" s="5"/>
      <c r="AN155" s="5"/>
      <c r="AO155" s="5"/>
      <c r="AP155" s="5"/>
      <c r="AQ155" s="5" t="e">
        <f t="shared" ref="AQ155" si="51">IF(AJ155&gt;=0,$AJ$1,IF(AI155&gt;=0,$AI$1,IF(AH155&gt;=0,$AH$1,IF(AG155&gt;=0,$AG$1,IF(AF155&gt;=0,$AF$1,IF(AE155&gt;=0,$AE$1,IF(AD155&gt;=0,$AD$1,IF(AC155&gt;=0,$AC$1,$AB$1))))))))</f>
        <v>#N/A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</row>
    <row r="156" spans="1:55" ht="21" x14ac:dyDescent="0.2">
      <c r="A156" s="12" t="s">
        <v>69</v>
      </c>
      <c r="B156" s="18" t="s">
        <v>536</v>
      </c>
      <c r="C156" s="19" t="s">
        <v>541</v>
      </c>
      <c r="D156" s="61">
        <v>1</v>
      </c>
      <c r="E156" s="35">
        <v>381666</v>
      </c>
      <c r="F156" s="20" t="s">
        <v>630</v>
      </c>
      <c r="G156" s="20" t="s">
        <v>631</v>
      </c>
      <c r="H156" s="51">
        <v>1994</v>
      </c>
      <c r="I156" s="30">
        <v>58.3</v>
      </c>
      <c r="J156" s="19" t="s">
        <v>629</v>
      </c>
      <c r="K156" s="34" t="s">
        <v>289</v>
      </c>
      <c r="L156" s="31">
        <v>72</v>
      </c>
      <c r="M156" s="31">
        <v>74</v>
      </c>
      <c r="N156" s="31">
        <v>76</v>
      </c>
      <c r="O156" s="36">
        <f t="shared" ref="O156:O187" si="52">IF(H156="","",IF(MAXA(L156:N156)&lt;=0,0,MAXA(L156:N156)))</f>
        <v>76</v>
      </c>
      <c r="P156" s="31">
        <v>99</v>
      </c>
      <c r="Q156" s="31">
        <v>-101</v>
      </c>
      <c r="R156" s="31">
        <v>101</v>
      </c>
      <c r="S156" s="36">
        <f t="shared" ref="S156:S187" si="53">IF(H156="","",IF(MAXA(P156:R156)&lt;=0,0,MAXA(P156:R156)))</f>
        <v>101</v>
      </c>
      <c r="T156" s="37">
        <f t="shared" ref="T156:T187" si="54">IF(H156="","",IF(OR(O156=0,S156=0),0,O156+S156))</f>
        <v>177</v>
      </c>
      <c r="U156" s="65">
        <f t="shared" ref="U156:U187" si="55">T156-I156*2</f>
        <v>60.400000000000006</v>
      </c>
      <c r="V156" s="41" t="str">
        <f t="shared" ref="V156:V187" si="56">IF(H156="","",AQ156)</f>
        <v>INTB +</v>
      </c>
      <c r="W156" s="33">
        <f t="shared" ref="W156:W187" si="57">IF(AJ156&gt;=0,AJ156,IF(AI156&gt;=0,AI156,IF(AH156&gt;=0,AH156,IF(AG156&gt;=0,AG156,IF(AF156&gt;=0,AF156,IF(AE156&gt;=0,AE156,IF(AD156&gt;=0,AD156,IF(AC156&gt;=0,AC156,AB156))))))))</f>
        <v>17</v>
      </c>
      <c r="X156" s="40" t="str">
        <f>IF(I156="","",IF(A156="H",IF(OR(H156="SEN",H156&lt;1995),VLOOKUP(I156,Feuil1!$A$11:$F$29,6),IF(AND(H156&gt;1994,H156&lt;1998),VLOOKUP(I156,Feuil1!$A$11:$F$29,5),IF(AND(H156&gt;1997,H156&lt;2000),VLOOKUP(I156,Feuil1!$A$11:$F$29,4),IF(AND(H156&gt;1999,H156&lt;2002),VLOOKUP(I156,Feuil1!$A$11:$F$29,3),VLOOKUP(I156,Feuil1!$A$11:$F$29,2))))),IF(OR(H156="SEN",H156&lt;1995),VLOOKUP(I156,Feuil1!$G$11:$L$25,6),IF(AND(H156&gt;1994,H156&lt;1998),VLOOKUP(I156,Feuil1!$G$11:$L$25,5),IF(AND(H156&gt;1997,H156&lt;2000),VLOOKUP(I156,Feuil1!$G$11:$L$25,4),IF(AND(H156&gt;1999,H156&lt;2002),VLOOKUP(I156,Feuil1!$G$11:$L$25,3),VLOOKUP(I156,Feuil1!$G$11:$L$25,2)))))))</f>
        <v>FS63</v>
      </c>
      <c r="Y156" s="39">
        <f t="shared" ref="Y156:Y187" si="58">IF(I156="","",IF(A156="H",10^(0.794358141*LOG(I156/174.393)^2)*T156,IF(A156="F",10^(0.89726074*LOG(I156/148.026)^2)*T156,"")))</f>
        <v>248.25975299924932</v>
      </c>
      <c r="Z156" s="45"/>
      <c r="AA156" s="49" t="s">
        <v>12</v>
      </c>
      <c r="AB156" s="3">
        <f>T156-HLOOKUP(X156,Feuil1!$C$1:$BL$10,2,FALSE)</f>
        <v>102</v>
      </c>
      <c r="AC156" s="3">
        <f>T156-HLOOKUP(X156,Feuil1!$C$1:$BL$10,3,FALSE)</f>
        <v>92</v>
      </c>
      <c r="AD156" s="3">
        <f>T156-HLOOKUP(X156,Feuil1!$C$1:$BL$10,4,FALSE)</f>
        <v>82</v>
      </c>
      <c r="AE156" s="3">
        <f>T156-HLOOKUP(X156,Feuil1!$C$1:$BL$10,5,FALSE)</f>
        <v>67</v>
      </c>
      <c r="AF156" s="3">
        <f>T156-HLOOKUP(X156,Feuil1!$C$1:$BL$10,6,FALSE)</f>
        <v>52</v>
      </c>
      <c r="AG156" s="3">
        <f>T156-HLOOKUP(X156,Feuil1!$C$1:$BL$10,7,FALSE)</f>
        <v>37</v>
      </c>
      <c r="AH156" s="3">
        <f>T156-HLOOKUP(X156,Feuil1!$C$1:$BL$10,8,FALSE)</f>
        <v>17</v>
      </c>
      <c r="AI156" s="3">
        <f>T156-HLOOKUP(X156,Feuil1!$C$1:$BL$10,9,FALSE)</f>
        <v>-3</v>
      </c>
      <c r="AJ156" s="3">
        <f>T156-HLOOKUP(X156,Feuil1!$C$1:$BL$10,10,FALSE)</f>
        <v>-23</v>
      </c>
      <c r="AQ156" s="5" t="str">
        <f t="shared" ref="AQ156:AQ187" si="59">IF(AJ156&gt;=0,$AJ$1,IF(AI156&gt;=0,$AI$1,IF(AH156&gt;=0,$AH$1,IF(AG156&gt;=0,$AG$1,IF(AF156&gt;=0,$AF$1,IF(AE156&gt;=0,$AE$1,IF(AD156&gt;=0,$AD$1,IF(AC156&gt;=0,$AC$1,$AB$1))))))))</f>
        <v>INTB +</v>
      </c>
    </row>
    <row r="157" spans="1:55" ht="21" x14ac:dyDescent="0.2">
      <c r="A157" s="12" t="s">
        <v>69</v>
      </c>
      <c r="B157" s="18" t="s">
        <v>108</v>
      </c>
      <c r="C157" s="19" t="s">
        <v>146</v>
      </c>
      <c r="D157" s="61">
        <v>2</v>
      </c>
      <c r="E157" s="35">
        <v>31131</v>
      </c>
      <c r="F157" s="20" t="s">
        <v>254</v>
      </c>
      <c r="G157" s="20" t="s">
        <v>255</v>
      </c>
      <c r="H157" s="51">
        <v>1984</v>
      </c>
      <c r="I157" s="30">
        <v>59.95</v>
      </c>
      <c r="J157" s="19" t="s">
        <v>152</v>
      </c>
      <c r="K157" s="34" t="s">
        <v>69</v>
      </c>
      <c r="L157" s="31">
        <v>73</v>
      </c>
      <c r="M157" s="31">
        <v>76</v>
      </c>
      <c r="N157" s="31">
        <v>-78</v>
      </c>
      <c r="O157" s="36">
        <f t="shared" si="52"/>
        <v>76</v>
      </c>
      <c r="P157" s="31">
        <v>94</v>
      </c>
      <c r="Q157" s="31">
        <v>98</v>
      </c>
      <c r="R157" s="31">
        <v>101</v>
      </c>
      <c r="S157" s="36">
        <f t="shared" si="53"/>
        <v>101</v>
      </c>
      <c r="T157" s="37">
        <f t="shared" si="54"/>
        <v>177</v>
      </c>
      <c r="U157" s="65">
        <f t="shared" si="55"/>
        <v>57.099999999999994</v>
      </c>
      <c r="V157" s="41" t="str">
        <f t="shared" si="56"/>
        <v>INTB +</v>
      </c>
      <c r="W157" s="33">
        <f t="shared" si="57"/>
        <v>17</v>
      </c>
      <c r="X157" s="40" t="str">
        <f>IF(I157="","",IF(A157="H",IF(OR(H157="SEN",H157&lt;1995),VLOOKUP(I157,Feuil1!$A$11:$F$29,6),IF(AND(H157&gt;1994,H157&lt;1998),VLOOKUP(I157,Feuil1!$A$11:$F$29,5),IF(AND(H157&gt;1997,H157&lt;2000),VLOOKUP(I157,Feuil1!$A$11:$F$29,4),IF(AND(H157&gt;1999,H157&lt;2002),VLOOKUP(I157,Feuil1!$A$11:$F$29,3),VLOOKUP(I157,Feuil1!$A$11:$F$29,2))))),IF(OR(H157="SEN",H157&lt;1995),VLOOKUP(I157,Feuil1!$G$11:$L$25,6),IF(AND(H157&gt;1994,H157&lt;1998),VLOOKUP(I157,Feuil1!$G$11:$L$25,5),IF(AND(H157&gt;1997,H157&lt;2000),VLOOKUP(I157,Feuil1!$G$11:$L$25,4),IF(AND(H157&gt;1999,H157&lt;2002),VLOOKUP(I157,Feuil1!$G$11:$L$25,3),VLOOKUP(I157,Feuil1!$G$11:$L$25,2)))))))</f>
        <v>FS63</v>
      </c>
      <c r="Y157" s="39">
        <f t="shared" si="58"/>
        <v>243.35276049996591</v>
      </c>
      <c r="Z157" s="45"/>
      <c r="AA157" s="49" t="s">
        <v>12</v>
      </c>
      <c r="AB157" s="3">
        <f>T157-HLOOKUP(X157,Feuil1!$C$1:$BL$10,2,FALSE)</f>
        <v>102</v>
      </c>
      <c r="AC157" s="3">
        <f>T157-HLOOKUP(X157,Feuil1!$C$1:$BL$10,3,FALSE)</f>
        <v>92</v>
      </c>
      <c r="AD157" s="3">
        <f>T157-HLOOKUP(X157,Feuil1!$C$1:$BL$10,4,FALSE)</f>
        <v>82</v>
      </c>
      <c r="AE157" s="3">
        <f>T157-HLOOKUP(X157,Feuil1!$C$1:$BL$10,5,FALSE)</f>
        <v>67</v>
      </c>
      <c r="AF157" s="3">
        <f>T157-HLOOKUP(X157,Feuil1!$C$1:$BL$10,6,FALSE)</f>
        <v>52</v>
      </c>
      <c r="AG157" s="3">
        <f>T157-HLOOKUP(X157,Feuil1!$C$1:$BL$10,7,FALSE)</f>
        <v>37</v>
      </c>
      <c r="AH157" s="3">
        <f>T157-HLOOKUP(X157,Feuil1!$C$1:$BL$10,8,FALSE)</f>
        <v>17</v>
      </c>
      <c r="AI157" s="3">
        <f>T157-HLOOKUP(X157,Feuil1!$C$1:$BL$10,9,FALSE)</f>
        <v>-3</v>
      </c>
      <c r="AJ157" s="3">
        <f>T157-HLOOKUP(X157,Feuil1!$C$1:$BL$10,10,FALSE)</f>
        <v>-23</v>
      </c>
      <c r="AQ157" s="5" t="str">
        <f t="shared" si="59"/>
        <v>INTB +</v>
      </c>
    </row>
    <row r="158" spans="1:55" ht="21" x14ac:dyDescent="0.2">
      <c r="A158" s="12" t="s">
        <v>69</v>
      </c>
      <c r="B158" s="18" t="s">
        <v>721</v>
      </c>
      <c r="C158" s="19" t="s">
        <v>775</v>
      </c>
      <c r="D158" s="61">
        <v>3</v>
      </c>
      <c r="E158" s="35">
        <v>317302</v>
      </c>
      <c r="F158" s="20" t="s">
        <v>792</v>
      </c>
      <c r="G158" s="20" t="s">
        <v>793</v>
      </c>
      <c r="H158" s="51">
        <v>1988</v>
      </c>
      <c r="I158" s="30">
        <v>60.5</v>
      </c>
      <c r="J158" s="19" t="s">
        <v>780</v>
      </c>
      <c r="K158" s="34" t="s">
        <v>717</v>
      </c>
      <c r="L158" s="31">
        <v>-70</v>
      </c>
      <c r="M158" s="31">
        <v>70</v>
      </c>
      <c r="N158" s="31">
        <v>-73</v>
      </c>
      <c r="O158" s="36">
        <f t="shared" si="52"/>
        <v>70</v>
      </c>
      <c r="P158" s="31">
        <v>90</v>
      </c>
      <c r="Q158" s="31">
        <v>95</v>
      </c>
      <c r="R158" s="31">
        <v>100</v>
      </c>
      <c r="S158" s="36">
        <f t="shared" si="53"/>
        <v>100</v>
      </c>
      <c r="T158" s="37">
        <f t="shared" si="54"/>
        <v>170</v>
      </c>
      <c r="U158" s="65">
        <f t="shared" si="55"/>
        <v>49</v>
      </c>
      <c r="V158" s="41" t="str">
        <f t="shared" si="56"/>
        <v>INTB +</v>
      </c>
      <c r="W158" s="33">
        <f t="shared" si="57"/>
        <v>10</v>
      </c>
      <c r="X158" s="40" t="str">
        <f>IF(I158="","",IF(A158="H",IF(OR(H158="SEN",H158&lt;1995),VLOOKUP(I158,Feuil1!$A$11:$F$29,6),IF(AND(H158&gt;1994,H158&lt;1998),VLOOKUP(I158,Feuil1!$A$11:$F$29,5),IF(AND(H158&gt;1997,H158&lt;2000),VLOOKUP(I158,Feuil1!$A$11:$F$29,4),IF(AND(H158&gt;1999,H158&lt;2002),VLOOKUP(I158,Feuil1!$A$11:$F$29,3),VLOOKUP(I158,Feuil1!$A$11:$F$29,2))))),IF(OR(H158="SEN",H158&lt;1995),VLOOKUP(I158,Feuil1!$G$11:$L$25,6),IF(AND(H158&gt;1994,H158&lt;1998),VLOOKUP(I158,Feuil1!$G$11:$L$25,5),IF(AND(H158&gt;1997,H158&lt;2000),VLOOKUP(I158,Feuil1!$G$11:$L$25,4),IF(AND(H158&gt;1999,H158&lt;2002),VLOOKUP(I158,Feuil1!$G$11:$L$25,3),VLOOKUP(I158,Feuil1!$G$11:$L$25,2)))))))</f>
        <v>FS63</v>
      </c>
      <c r="Y158" s="39">
        <f t="shared" si="58"/>
        <v>232.23737631120852</v>
      </c>
      <c r="Z158" s="45"/>
      <c r="AA158" s="49" t="s">
        <v>12</v>
      </c>
      <c r="AB158" s="3">
        <f>T158-HLOOKUP(X158,Feuil1!$C$1:$BL$10,2,FALSE)</f>
        <v>95</v>
      </c>
      <c r="AC158" s="3">
        <f>T158-HLOOKUP(X158,Feuil1!$C$1:$BL$10,3,FALSE)</f>
        <v>85</v>
      </c>
      <c r="AD158" s="3">
        <f>T158-HLOOKUP(X158,Feuil1!$C$1:$BL$10,4,FALSE)</f>
        <v>75</v>
      </c>
      <c r="AE158" s="3">
        <f>T158-HLOOKUP(X158,Feuil1!$C$1:$BL$10,5,FALSE)</f>
        <v>60</v>
      </c>
      <c r="AF158" s="3">
        <f>T158-HLOOKUP(X158,Feuil1!$C$1:$BL$10,6,FALSE)</f>
        <v>45</v>
      </c>
      <c r="AG158" s="3">
        <f>T158-HLOOKUP(X158,Feuil1!$C$1:$BL$10,7,FALSE)</f>
        <v>30</v>
      </c>
      <c r="AH158" s="3">
        <f>T158-HLOOKUP(X158,Feuil1!$C$1:$BL$10,8,FALSE)</f>
        <v>10</v>
      </c>
      <c r="AI158" s="3">
        <f>T158-HLOOKUP(X158,Feuil1!$C$1:$BL$10,9,FALSE)</f>
        <v>-10</v>
      </c>
      <c r="AJ158" s="3">
        <f>T158-HLOOKUP(X158,Feuil1!$C$1:$BL$10,10,FALSE)</f>
        <v>-30</v>
      </c>
      <c r="AQ158" s="5" t="str">
        <f t="shared" si="59"/>
        <v>INTB +</v>
      </c>
      <c r="BC158" s="13"/>
    </row>
    <row r="159" spans="1:55" ht="21" x14ac:dyDescent="0.2">
      <c r="A159" s="12" t="s">
        <v>69</v>
      </c>
      <c r="B159" s="18" t="s">
        <v>688</v>
      </c>
      <c r="C159" s="19" t="s">
        <v>689</v>
      </c>
      <c r="D159" s="61">
        <v>4</v>
      </c>
      <c r="E159" s="35">
        <v>376538</v>
      </c>
      <c r="F159" s="20" t="s">
        <v>715</v>
      </c>
      <c r="G159" s="20" t="s">
        <v>716</v>
      </c>
      <c r="H159" s="51">
        <v>1983</v>
      </c>
      <c r="I159" s="30">
        <v>60.7</v>
      </c>
      <c r="J159" s="19" t="s">
        <v>692</v>
      </c>
      <c r="K159" s="34" t="s">
        <v>717</v>
      </c>
      <c r="L159" s="31">
        <v>74</v>
      </c>
      <c r="M159" s="31">
        <v>77</v>
      </c>
      <c r="N159" s="31">
        <v>81</v>
      </c>
      <c r="O159" s="36">
        <f t="shared" si="52"/>
        <v>81</v>
      </c>
      <c r="P159" s="31">
        <v>85</v>
      </c>
      <c r="Q159" s="31">
        <v>89</v>
      </c>
      <c r="R159" s="31">
        <v>-92</v>
      </c>
      <c r="S159" s="36">
        <f t="shared" si="53"/>
        <v>89</v>
      </c>
      <c r="T159" s="37">
        <f t="shared" si="54"/>
        <v>170</v>
      </c>
      <c r="U159" s="65">
        <f t="shared" si="55"/>
        <v>48.599999999999994</v>
      </c>
      <c r="V159" s="41" t="str">
        <f t="shared" si="56"/>
        <v>INTB +</v>
      </c>
      <c r="W159" s="33">
        <f t="shared" si="57"/>
        <v>10</v>
      </c>
      <c r="X159" s="40" t="str">
        <f>IF(I159="","",IF(A159="H",IF(OR(H159="SEN",H159&lt;1995),VLOOKUP(I159,Feuil1!$A$11:$F$29,6),IF(AND(H159&gt;1994,H159&lt;1998),VLOOKUP(I159,Feuil1!$A$11:$F$29,5),IF(AND(H159&gt;1997,H159&lt;2000),VLOOKUP(I159,Feuil1!$A$11:$F$29,4),IF(AND(H159&gt;1999,H159&lt;2002),VLOOKUP(I159,Feuil1!$A$11:$F$29,3),VLOOKUP(I159,Feuil1!$A$11:$F$29,2))))),IF(OR(H159="SEN",H159&lt;1995),VLOOKUP(I159,Feuil1!$G$11:$L$25,6),IF(AND(H159&gt;1994,H159&lt;1998),VLOOKUP(I159,Feuil1!$G$11:$L$25,5),IF(AND(H159&gt;1997,H159&lt;2000),VLOOKUP(I159,Feuil1!$G$11:$L$25,4),IF(AND(H159&gt;1999,H159&lt;2002),VLOOKUP(I159,Feuil1!$G$11:$L$25,3),VLOOKUP(I159,Feuil1!$G$11:$L$25,2)))))))</f>
        <v>FS63</v>
      </c>
      <c r="Y159" s="39">
        <f t="shared" si="58"/>
        <v>231.70450603090356</v>
      </c>
      <c r="Z159" s="45"/>
      <c r="AA159" s="49" t="s">
        <v>12</v>
      </c>
      <c r="AB159" s="3">
        <f>T159-HLOOKUP(X159,Feuil1!$C$1:$BL$10,2,FALSE)</f>
        <v>95</v>
      </c>
      <c r="AC159" s="3">
        <f>T159-HLOOKUP(X159,Feuil1!$C$1:$BL$10,3,FALSE)</f>
        <v>85</v>
      </c>
      <c r="AD159" s="3">
        <f>T159-HLOOKUP(X159,Feuil1!$C$1:$BL$10,4,FALSE)</f>
        <v>75</v>
      </c>
      <c r="AE159" s="3">
        <f>T159-HLOOKUP(X159,Feuil1!$C$1:$BL$10,5,FALSE)</f>
        <v>60</v>
      </c>
      <c r="AF159" s="3">
        <f>T159-HLOOKUP(X159,Feuil1!$C$1:$BL$10,6,FALSE)</f>
        <v>45</v>
      </c>
      <c r="AG159" s="3">
        <f>T159-HLOOKUP(X159,Feuil1!$C$1:$BL$10,7,FALSE)</f>
        <v>30</v>
      </c>
      <c r="AH159" s="3">
        <f>T159-HLOOKUP(X159,Feuil1!$C$1:$BL$10,8,FALSE)</f>
        <v>10</v>
      </c>
      <c r="AI159" s="3">
        <f>T159-HLOOKUP(X159,Feuil1!$C$1:$BL$10,9,FALSE)</f>
        <v>-10</v>
      </c>
      <c r="AJ159" s="3">
        <f>T159-HLOOKUP(X159,Feuil1!$C$1:$BL$10,10,FALSE)</f>
        <v>-30</v>
      </c>
      <c r="AQ159" s="5" t="str">
        <f t="shared" si="59"/>
        <v>INTB +</v>
      </c>
      <c r="BC159" s="13"/>
    </row>
    <row r="160" spans="1:55" ht="21" x14ac:dyDescent="0.2">
      <c r="A160" s="12" t="s">
        <v>69</v>
      </c>
      <c r="B160" s="18" t="s">
        <v>721</v>
      </c>
      <c r="C160" s="19" t="s">
        <v>775</v>
      </c>
      <c r="D160" s="61">
        <v>5</v>
      </c>
      <c r="E160" s="35">
        <v>303229</v>
      </c>
      <c r="F160" s="20" t="s">
        <v>794</v>
      </c>
      <c r="G160" s="20" t="s">
        <v>114</v>
      </c>
      <c r="H160" s="51">
        <v>1987</v>
      </c>
      <c r="I160" s="30">
        <v>60</v>
      </c>
      <c r="J160" s="19" t="s">
        <v>778</v>
      </c>
      <c r="K160" s="34" t="s">
        <v>69</v>
      </c>
      <c r="L160" s="31">
        <v>73</v>
      </c>
      <c r="M160" s="31">
        <v>76</v>
      </c>
      <c r="N160" s="31">
        <v>-78</v>
      </c>
      <c r="O160" s="36">
        <f t="shared" si="52"/>
        <v>76</v>
      </c>
      <c r="P160" s="31">
        <v>83</v>
      </c>
      <c r="Q160" s="31">
        <v>85</v>
      </c>
      <c r="R160" s="31">
        <v>-87</v>
      </c>
      <c r="S160" s="36">
        <f t="shared" si="53"/>
        <v>85</v>
      </c>
      <c r="T160" s="37">
        <f t="shared" si="54"/>
        <v>161</v>
      </c>
      <c r="U160" s="65">
        <f t="shared" si="55"/>
        <v>41</v>
      </c>
      <c r="V160" s="41" t="str">
        <f t="shared" si="56"/>
        <v>INTB +</v>
      </c>
      <c r="W160" s="33">
        <f t="shared" si="57"/>
        <v>1</v>
      </c>
      <c r="X160" s="40" t="str">
        <f>IF(I160="","",IF(A160="H",IF(OR(H160="SEN",H160&lt;1995),VLOOKUP(I160,Feuil1!$A$11:$F$29,6),IF(AND(H160&gt;1994,H160&lt;1998),VLOOKUP(I160,Feuil1!$A$11:$F$29,5),IF(AND(H160&gt;1997,H160&lt;2000),VLOOKUP(I160,Feuil1!$A$11:$F$29,4),IF(AND(H160&gt;1999,H160&lt;2002),VLOOKUP(I160,Feuil1!$A$11:$F$29,3),VLOOKUP(I160,Feuil1!$A$11:$F$29,2))))),IF(OR(H160="SEN",H160&lt;1995),VLOOKUP(I160,Feuil1!$G$11:$L$25,6),IF(AND(H160&gt;1994,H160&lt;1998),VLOOKUP(I160,Feuil1!$G$11:$L$25,5),IF(AND(H160&gt;1997,H160&lt;2000),VLOOKUP(I160,Feuil1!$G$11:$L$25,4),IF(AND(H160&gt;1999,H160&lt;2002),VLOOKUP(I160,Feuil1!$G$11:$L$25,3),VLOOKUP(I160,Feuil1!$G$11:$L$25,2)))))))</f>
        <v>FS63</v>
      </c>
      <c r="Y160" s="39">
        <f t="shared" si="58"/>
        <v>221.2248726293484</v>
      </c>
      <c r="Z160" s="45"/>
      <c r="AA160" s="49" t="s">
        <v>12</v>
      </c>
      <c r="AB160" s="3">
        <f>T160-HLOOKUP(X160,Feuil1!$C$1:$BL$10,2,FALSE)</f>
        <v>86</v>
      </c>
      <c r="AC160" s="3">
        <f>T160-HLOOKUP(X160,Feuil1!$C$1:$BL$10,3,FALSE)</f>
        <v>76</v>
      </c>
      <c r="AD160" s="3">
        <f>T160-HLOOKUP(X160,Feuil1!$C$1:$BL$10,4,FALSE)</f>
        <v>66</v>
      </c>
      <c r="AE160" s="3">
        <f>T160-HLOOKUP(X160,Feuil1!$C$1:$BL$10,5,FALSE)</f>
        <v>51</v>
      </c>
      <c r="AF160" s="3">
        <f>T160-HLOOKUP(X160,Feuil1!$C$1:$BL$10,6,FALSE)</f>
        <v>36</v>
      </c>
      <c r="AG160" s="3">
        <f>T160-HLOOKUP(X160,Feuil1!$C$1:$BL$10,7,FALSE)</f>
        <v>21</v>
      </c>
      <c r="AH160" s="3">
        <f>T160-HLOOKUP(X160,Feuil1!$C$1:$BL$10,8,FALSE)</f>
        <v>1</v>
      </c>
      <c r="AI160" s="3">
        <f>T160-HLOOKUP(X160,Feuil1!$C$1:$BL$10,9,FALSE)</f>
        <v>-19</v>
      </c>
      <c r="AJ160" s="3">
        <f>T160-HLOOKUP(X160,Feuil1!$C$1:$BL$10,10,FALSE)</f>
        <v>-39</v>
      </c>
      <c r="AQ160" s="5" t="str">
        <f t="shared" si="59"/>
        <v>INTB +</v>
      </c>
      <c r="BC160" s="13"/>
    </row>
    <row r="161" spans="1:55" ht="21" x14ac:dyDescent="0.2">
      <c r="A161" s="12" t="s">
        <v>69</v>
      </c>
      <c r="B161" s="18" t="s">
        <v>536</v>
      </c>
      <c r="C161" s="19" t="s">
        <v>545</v>
      </c>
      <c r="D161" s="61">
        <v>6</v>
      </c>
      <c r="E161" s="35">
        <v>3505</v>
      </c>
      <c r="F161" s="20" t="s">
        <v>580</v>
      </c>
      <c r="G161" s="20" t="s">
        <v>581</v>
      </c>
      <c r="H161" s="51">
        <v>1976</v>
      </c>
      <c r="I161" s="30">
        <v>61</v>
      </c>
      <c r="J161" s="19" t="s">
        <v>548</v>
      </c>
      <c r="K161" s="34" t="s">
        <v>69</v>
      </c>
      <c r="L161" s="31">
        <v>67</v>
      </c>
      <c r="M161" s="31">
        <v>70</v>
      </c>
      <c r="N161" s="31">
        <v>73</v>
      </c>
      <c r="O161" s="36">
        <f t="shared" si="52"/>
        <v>73</v>
      </c>
      <c r="P161" s="31">
        <v>85</v>
      </c>
      <c r="Q161" s="31">
        <v>-87</v>
      </c>
      <c r="R161" s="31">
        <v>87</v>
      </c>
      <c r="S161" s="36">
        <f t="shared" si="53"/>
        <v>87</v>
      </c>
      <c r="T161" s="37">
        <f t="shared" si="54"/>
        <v>160</v>
      </c>
      <c r="U161" s="65">
        <f t="shared" si="55"/>
        <v>38</v>
      </c>
      <c r="V161" s="41" t="str">
        <f t="shared" si="56"/>
        <v>INTB +</v>
      </c>
      <c r="W161" s="33">
        <f t="shared" si="57"/>
        <v>0</v>
      </c>
      <c r="X161" s="40" t="str">
        <f>IF(I161="","",IF(A161="H",IF(OR(H161="SEN",H161&lt;1995),VLOOKUP(I161,Feuil1!$A$11:$F$29,6),IF(AND(H161&gt;1994,H161&lt;1998),VLOOKUP(I161,Feuil1!$A$11:$F$29,5),IF(AND(H161&gt;1997,H161&lt;2000),VLOOKUP(I161,Feuil1!$A$11:$F$29,4),IF(AND(H161&gt;1999,H161&lt;2002),VLOOKUP(I161,Feuil1!$A$11:$F$29,3),VLOOKUP(I161,Feuil1!$A$11:$F$29,2))))),IF(OR(H161="SEN",H161&lt;1995),VLOOKUP(I161,Feuil1!$G$11:$L$25,6),IF(AND(H161&gt;1994,H161&lt;1998),VLOOKUP(I161,Feuil1!$G$11:$L$25,5),IF(AND(H161&gt;1997,H161&lt;2000),VLOOKUP(I161,Feuil1!$G$11:$L$25,4),IF(AND(H161&gt;1999,H161&lt;2002),VLOOKUP(I161,Feuil1!$G$11:$L$25,3),VLOOKUP(I161,Feuil1!$G$11:$L$25,2)))))))</f>
        <v>FS63</v>
      </c>
      <c r="Y161" s="39">
        <f t="shared" si="58"/>
        <v>217.33121079715693</v>
      </c>
      <c r="Z161" s="45"/>
      <c r="AA161" s="49" t="s">
        <v>12</v>
      </c>
      <c r="AB161" s="3">
        <f>T161-HLOOKUP(X161,Feuil1!$C$1:$BL$10,2,FALSE)</f>
        <v>85</v>
      </c>
      <c r="AC161" s="3">
        <f>T161-HLOOKUP(X161,Feuil1!$C$1:$BL$10,3,FALSE)</f>
        <v>75</v>
      </c>
      <c r="AD161" s="3">
        <f>T161-HLOOKUP(X161,Feuil1!$C$1:$BL$10,4,FALSE)</f>
        <v>65</v>
      </c>
      <c r="AE161" s="3">
        <f>T161-HLOOKUP(X161,Feuil1!$C$1:$BL$10,5,FALSE)</f>
        <v>50</v>
      </c>
      <c r="AF161" s="3">
        <f>T161-HLOOKUP(X161,Feuil1!$C$1:$BL$10,6,FALSE)</f>
        <v>35</v>
      </c>
      <c r="AG161" s="3">
        <f>T161-HLOOKUP(X161,Feuil1!$C$1:$BL$10,7,FALSE)</f>
        <v>20</v>
      </c>
      <c r="AH161" s="3">
        <f>T161-HLOOKUP(X161,Feuil1!$C$1:$BL$10,8,FALSE)</f>
        <v>0</v>
      </c>
      <c r="AI161" s="3">
        <f>T161-HLOOKUP(X161,Feuil1!$C$1:$BL$10,9,FALSE)</f>
        <v>-20</v>
      </c>
      <c r="AJ161" s="3">
        <f>T161-HLOOKUP(X161,Feuil1!$C$1:$BL$10,10,FALSE)</f>
        <v>-40</v>
      </c>
      <c r="AQ161" s="5" t="str">
        <f t="shared" si="59"/>
        <v>INTB +</v>
      </c>
    </row>
    <row r="162" spans="1:55" s="13" customFormat="1" ht="21" x14ac:dyDescent="0.2">
      <c r="A162" s="12" t="s">
        <v>69</v>
      </c>
      <c r="B162" s="18" t="s">
        <v>536</v>
      </c>
      <c r="C162" s="19" t="s">
        <v>545</v>
      </c>
      <c r="D162" s="61">
        <v>7</v>
      </c>
      <c r="E162" s="35">
        <v>250351</v>
      </c>
      <c r="F162" s="20" t="s">
        <v>582</v>
      </c>
      <c r="G162" s="20" t="s">
        <v>583</v>
      </c>
      <c r="H162" s="51">
        <v>1985</v>
      </c>
      <c r="I162" s="30">
        <v>61.9</v>
      </c>
      <c r="J162" s="19" t="s">
        <v>548</v>
      </c>
      <c r="K162" s="34" t="s">
        <v>69</v>
      </c>
      <c r="L162" s="31">
        <v>-69</v>
      </c>
      <c r="M162" s="31">
        <v>69</v>
      </c>
      <c r="N162" s="31">
        <v>72</v>
      </c>
      <c r="O162" s="36">
        <f t="shared" si="52"/>
        <v>72</v>
      </c>
      <c r="P162" s="31">
        <v>83</v>
      </c>
      <c r="Q162" s="31">
        <v>86</v>
      </c>
      <c r="R162" s="31">
        <v>88</v>
      </c>
      <c r="S162" s="36">
        <f t="shared" si="53"/>
        <v>88</v>
      </c>
      <c r="T162" s="37">
        <f t="shared" si="54"/>
        <v>160</v>
      </c>
      <c r="U162" s="65">
        <f t="shared" si="55"/>
        <v>36.200000000000003</v>
      </c>
      <c r="V162" s="41" t="str">
        <f t="shared" si="56"/>
        <v>INTB +</v>
      </c>
      <c r="W162" s="33">
        <f t="shared" si="57"/>
        <v>0</v>
      </c>
      <c r="X162" s="40" t="str">
        <f>IF(I162="","",IF(A162="H",IF(OR(H162="SEN",H162&lt;1995),VLOOKUP(I162,Feuil1!$A$11:$F$29,6),IF(AND(H162&gt;1994,H162&lt;1998),VLOOKUP(I162,Feuil1!$A$11:$F$29,5),IF(AND(H162&gt;1997,H162&lt;2000),VLOOKUP(I162,Feuil1!$A$11:$F$29,4),IF(AND(H162&gt;1999,H162&lt;2002),VLOOKUP(I162,Feuil1!$A$11:$F$29,3),VLOOKUP(I162,Feuil1!$A$11:$F$29,2))))),IF(OR(H162="SEN",H162&lt;1995),VLOOKUP(I162,Feuil1!$G$11:$L$25,6),IF(AND(H162&gt;1994,H162&lt;1998),VLOOKUP(I162,Feuil1!$G$11:$L$25,5),IF(AND(H162&gt;1997,H162&lt;2000),VLOOKUP(I162,Feuil1!$G$11:$L$25,4),IF(AND(H162&gt;1999,H162&lt;2002),VLOOKUP(I162,Feuil1!$G$11:$L$25,3),VLOOKUP(I162,Feuil1!$G$11:$L$25,2)))))))</f>
        <v>FS63</v>
      </c>
      <c r="Y162" s="39">
        <f t="shared" si="58"/>
        <v>215.16106325416109</v>
      </c>
      <c r="Z162" s="45"/>
      <c r="AA162" s="49" t="s">
        <v>12</v>
      </c>
      <c r="AB162" s="3">
        <f>T162-HLOOKUP(X162,Feuil1!$C$1:$BL$10,2,FALSE)</f>
        <v>85</v>
      </c>
      <c r="AC162" s="3">
        <f>T162-HLOOKUP(X162,Feuil1!$C$1:$BL$10,3,FALSE)</f>
        <v>75</v>
      </c>
      <c r="AD162" s="3">
        <f>T162-HLOOKUP(X162,Feuil1!$C$1:$BL$10,4,FALSE)</f>
        <v>65</v>
      </c>
      <c r="AE162" s="3">
        <f>T162-HLOOKUP(X162,Feuil1!$C$1:$BL$10,5,FALSE)</f>
        <v>50</v>
      </c>
      <c r="AF162" s="3">
        <f>T162-HLOOKUP(X162,Feuil1!$C$1:$BL$10,6,FALSE)</f>
        <v>35</v>
      </c>
      <c r="AG162" s="3">
        <f>T162-HLOOKUP(X162,Feuil1!$C$1:$BL$10,7,FALSE)</f>
        <v>20</v>
      </c>
      <c r="AH162" s="3">
        <f>T162-HLOOKUP(X162,Feuil1!$C$1:$BL$10,8,FALSE)</f>
        <v>0</v>
      </c>
      <c r="AI162" s="3">
        <f>T162-HLOOKUP(X162,Feuil1!$C$1:$BL$10,9,FALSE)</f>
        <v>-20</v>
      </c>
      <c r="AJ162" s="3">
        <f>T162-HLOOKUP(X162,Feuil1!$C$1:$BL$10,10,FALSE)</f>
        <v>-40</v>
      </c>
      <c r="AK162" s="5"/>
      <c r="AL162" s="5"/>
      <c r="AM162" s="5"/>
      <c r="AN162" s="5"/>
      <c r="AO162" s="5"/>
      <c r="AP162" s="5"/>
      <c r="AQ162" s="5" t="str">
        <f t="shared" si="59"/>
        <v>INTB +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</row>
    <row r="163" spans="1:55" ht="21" hidden="1" x14ac:dyDescent="0.2">
      <c r="A163" s="12" t="s">
        <v>69</v>
      </c>
      <c r="B163" s="67" t="s">
        <v>536</v>
      </c>
      <c r="C163" s="68" t="s">
        <v>545</v>
      </c>
      <c r="D163" s="69">
        <v>8</v>
      </c>
      <c r="E163" s="70">
        <v>264816</v>
      </c>
      <c r="F163" s="71" t="s">
        <v>579</v>
      </c>
      <c r="G163" s="71" t="s">
        <v>291</v>
      </c>
      <c r="H163" s="72">
        <v>1988</v>
      </c>
      <c r="I163" s="73">
        <v>58.2</v>
      </c>
      <c r="J163" s="68" t="s">
        <v>548</v>
      </c>
      <c r="K163" s="74" t="s">
        <v>69</v>
      </c>
      <c r="L163" s="75">
        <v>60</v>
      </c>
      <c r="M163" s="75">
        <v>65</v>
      </c>
      <c r="N163" s="75">
        <v>70</v>
      </c>
      <c r="O163" s="76">
        <f t="shared" si="52"/>
        <v>70</v>
      </c>
      <c r="P163" s="75">
        <v>75</v>
      </c>
      <c r="Q163" s="75">
        <v>80</v>
      </c>
      <c r="R163" s="75">
        <v>85</v>
      </c>
      <c r="S163" s="76">
        <f t="shared" si="53"/>
        <v>85</v>
      </c>
      <c r="T163" s="77">
        <f t="shared" si="54"/>
        <v>155</v>
      </c>
      <c r="U163" s="78">
        <f t="shared" si="55"/>
        <v>38.599999999999994</v>
      </c>
      <c r="V163" s="79" t="str">
        <f t="shared" si="56"/>
        <v>NAT +</v>
      </c>
      <c r="W163" s="80">
        <f t="shared" si="57"/>
        <v>15</v>
      </c>
      <c r="X163" s="81" t="str">
        <f>IF(I163="","",IF(A163="H",IF(OR(H163="SEN",H163&lt;1995),VLOOKUP(I163,Feuil1!$A$11:$F$29,6),IF(AND(H163&gt;1994,H163&lt;1998),VLOOKUP(I163,Feuil1!$A$11:$F$29,5),IF(AND(H163&gt;1997,H163&lt;2000),VLOOKUP(I163,Feuil1!$A$11:$F$29,4),IF(AND(H163&gt;1999,H163&lt;2002),VLOOKUP(I163,Feuil1!$A$11:$F$29,3),VLOOKUP(I163,Feuil1!$A$11:$F$29,2))))),IF(OR(H163="SEN",H163&lt;1995),VLOOKUP(I163,Feuil1!$G$11:$L$25,6),IF(AND(H163&gt;1994,H163&lt;1998),VLOOKUP(I163,Feuil1!$G$11:$L$25,5),IF(AND(H163&gt;1997,H163&lt;2000),VLOOKUP(I163,Feuil1!$G$11:$L$25,4),IF(AND(H163&gt;1999,H163&lt;2002),VLOOKUP(I163,Feuil1!$G$11:$L$25,3),VLOOKUP(I163,Feuil1!$G$11:$L$25,2)))))))</f>
        <v>FS63</v>
      </c>
      <c r="Y163" s="39">
        <f t="shared" si="58"/>
        <v>217.67405795996396</v>
      </c>
      <c r="Z163" s="45"/>
      <c r="AA163" s="49" t="s">
        <v>12</v>
      </c>
      <c r="AB163" s="3">
        <f>T163-HLOOKUP(X163,Feuil1!$C$1:$BL$10,2,FALSE)</f>
        <v>80</v>
      </c>
      <c r="AC163" s="3">
        <f>T163-HLOOKUP(X163,Feuil1!$C$1:$BL$10,3,FALSE)</f>
        <v>70</v>
      </c>
      <c r="AD163" s="3">
        <f>T163-HLOOKUP(X163,Feuil1!$C$1:$BL$10,4,FALSE)</f>
        <v>60</v>
      </c>
      <c r="AE163" s="3">
        <f>T163-HLOOKUP(X163,Feuil1!$C$1:$BL$10,5,FALSE)</f>
        <v>45</v>
      </c>
      <c r="AF163" s="3">
        <f>T163-HLOOKUP(X163,Feuil1!$C$1:$BL$10,6,FALSE)</f>
        <v>30</v>
      </c>
      <c r="AG163" s="3">
        <f>T163-HLOOKUP(X163,Feuil1!$C$1:$BL$10,7,FALSE)</f>
        <v>15</v>
      </c>
      <c r="AH163" s="3">
        <f>T163-HLOOKUP(X163,Feuil1!$C$1:$BL$10,8,FALSE)</f>
        <v>-5</v>
      </c>
      <c r="AI163" s="3">
        <f>T163-HLOOKUP(X163,Feuil1!$C$1:$BL$10,9,FALSE)</f>
        <v>-25</v>
      </c>
      <c r="AJ163" s="3">
        <f>T163-HLOOKUP(X163,Feuil1!$C$1:$BL$10,10,FALSE)</f>
        <v>-45</v>
      </c>
      <c r="AQ163" s="5" t="str">
        <f t="shared" si="59"/>
        <v>NAT +</v>
      </c>
    </row>
    <row r="164" spans="1:55" ht="21" hidden="1" x14ac:dyDescent="0.2">
      <c r="A164" s="12" t="s">
        <v>69</v>
      </c>
      <c r="B164" s="18" t="s">
        <v>721</v>
      </c>
      <c r="C164" s="19" t="s">
        <v>745</v>
      </c>
      <c r="D164" s="61">
        <v>9</v>
      </c>
      <c r="E164" s="35">
        <v>115950</v>
      </c>
      <c r="F164" s="20" t="s">
        <v>767</v>
      </c>
      <c r="G164" s="20" t="s">
        <v>680</v>
      </c>
      <c r="H164" s="51">
        <v>1992</v>
      </c>
      <c r="I164" s="30">
        <v>59</v>
      </c>
      <c r="J164" s="19" t="s">
        <v>748</v>
      </c>
      <c r="K164" s="34" t="s">
        <v>69</v>
      </c>
      <c r="L164" s="31">
        <v>63</v>
      </c>
      <c r="M164" s="31">
        <v>66</v>
      </c>
      <c r="N164" s="31">
        <v>69</v>
      </c>
      <c r="O164" s="36">
        <f t="shared" si="52"/>
        <v>69</v>
      </c>
      <c r="P164" s="31">
        <v>78</v>
      </c>
      <c r="Q164" s="31">
        <v>81</v>
      </c>
      <c r="R164" s="31">
        <v>83</v>
      </c>
      <c r="S164" s="36">
        <f t="shared" si="53"/>
        <v>83</v>
      </c>
      <c r="T164" s="37">
        <f t="shared" si="54"/>
        <v>152</v>
      </c>
      <c r="U164" s="65">
        <f t="shared" si="55"/>
        <v>34</v>
      </c>
      <c r="V164" s="41" t="str">
        <f t="shared" si="56"/>
        <v>NAT +</v>
      </c>
      <c r="W164" s="33">
        <f t="shared" si="57"/>
        <v>12</v>
      </c>
      <c r="X164" s="40" t="str">
        <f>IF(I164="","",IF(A164="H",IF(OR(H164="SEN",H164&lt;1995),VLOOKUP(I164,Feuil1!$A$11:$F$29,6),IF(AND(H164&gt;1994,H164&lt;1998),VLOOKUP(I164,Feuil1!$A$11:$F$29,5),IF(AND(H164&gt;1997,H164&lt;2000),VLOOKUP(I164,Feuil1!$A$11:$F$29,4),IF(AND(H164&gt;1999,H164&lt;2002),VLOOKUP(I164,Feuil1!$A$11:$F$29,3),VLOOKUP(I164,Feuil1!$A$11:$F$29,2))))),IF(OR(H164="SEN",H164&lt;1995),VLOOKUP(I164,Feuil1!$G$11:$L$25,6),IF(AND(H164&gt;1994,H164&lt;1998),VLOOKUP(I164,Feuil1!$G$11:$L$25,5),IF(AND(H164&gt;1997,H164&lt;2000),VLOOKUP(I164,Feuil1!$G$11:$L$25,4),IF(AND(H164&gt;1999,H164&lt;2002),VLOOKUP(I164,Feuil1!$G$11:$L$25,3),VLOOKUP(I164,Feuil1!$G$11:$L$25,2)))))))</f>
        <v>FS63</v>
      </c>
      <c r="Y164" s="39">
        <f t="shared" si="58"/>
        <v>211.36670832695717</v>
      </c>
      <c r="Z164" s="45"/>
      <c r="AA164" s="49" t="s">
        <v>12</v>
      </c>
      <c r="AB164" s="3">
        <f>T164-HLOOKUP(X164,Feuil1!$C$1:$BL$10,2,FALSE)</f>
        <v>77</v>
      </c>
      <c r="AC164" s="3">
        <f>T164-HLOOKUP(X164,Feuil1!$C$1:$BL$10,3,FALSE)</f>
        <v>67</v>
      </c>
      <c r="AD164" s="3">
        <f>T164-HLOOKUP(X164,Feuil1!$C$1:$BL$10,4,FALSE)</f>
        <v>57</v>
      </c>
      <c r="AE164" s="3">
        <f>T164-HLOOKUP(X164,Feuil1!$C$1:$BL$10,5,FALSE)</f>
        <v>42</v>
      </c>
      <c r="AF164" s="3">
        <f>T164-HLOOKUP(X164,Feuil1!$C$1:$BL$10,6,FALSE)</f>
        <v>27</v>
      </c>
      <c r="AG164" s="3">
        <f>T164-HLOOKUP(X164,Feuil1!$C$1:$BL$10,7,FALSE)</f>
        <v>12</v>
      </c>
      <c r="AH164" s="3">
        <f>T164-HLOOKUP(X164,Feuil1!$C$1:$BL$10,8,FALSE)</f>
        <v>-8</v>
      </c>
      <c r="AI164" s="3">
        <f>T164-HLOOKUP(X164,Feuil1!$C$1:$BL$10,9,FALSE)</f>
        <v>-28</v>
      </c>
      <c r="AJ164" s="3">
        <f>T164-HLOOKUP(X164,Feuil1!$C$1:$BL$10,10,FALSE)</f>
        <v>-48</v>
      </c>
      <c r="AQ164" s="5" t="str">
        <f t="shared" si="59"/>
        <v>NAT +</v>
      </c>
      <c r="BC164" s="13"/>
    </row>
    <row r="165" spans="1:55" ht="21" hidden="1" x14ac:dyDescent="0.2">
      <c r="A165" s="12" t="s">
        <v>69</v>
      </c>
      <c r="B165" s="67" t="s">
        <v>71</v>
      </c>
      <c r="C165" s="68" t="s">
        <v>801</v>
      </c>
      <c r="D165" s="69">
        <v>10</v>
      </c>
      <c r="E165" s="70">
        <v>377635</v>
      </c>
      <c r="F165" s="71" t="s">
        <v>848</v>
      </c>
      <c r="G165" s="71" t="s">
        <v>849</v>
      </c>
      <c r="H165" s="72">
        <v>1990</v>
      </c>
      <c r="I165" s="73">
        <v>58.3</v>
      </c>
      <c r="J165" s="68" t="s">
        <v>837</v>
      </c>
      <c r="K165" s="74" t="s">
        <v>69</v>
      </c>
      <c r="L165" s="75">
        <v>55</v>
      </c>
      <c r="M165" s="75">
        <v>58</v>
      </c>
      <c r="N165" s="75">
        <v>60</v>
      </c>
      <c r="O165" s="76">
        <f t="shared" si="52"/>
        <v>60</v>
      </c>
      <c r="P165" s="75">
        <v>68</v>
      </c>
      <c r="Q165" s="75">
        <v>73</v>
      </c>
      <c r="R165" s="75">
        <v>75</v>
      </c>
      <c r="S165" s="76">
        <f t="shared" si="53"/>
        <v>75</v>
      </c>
      <c r="T165" s="77">
        <f t="shared" si="54"/>
        <v>135</v>
      </c>
      <c r="U165" s="78">
        <f t="shared" si="55"/>
        <v>18.400000000000006</v>
      </c>
      <c r="V165" s="79" t="str">
        <f t="shared" si="56"/>
        <v>FED +</v>
      </c>
      <c r="W165" s="80">
        <f t="shared" si="57"/>
        <v>10</v>
      </c>
      <c r="X165" s="81" t="str">
        <f>IF(I165="","",IF(A165="H",IF(OR(H165="SEN",H165&lt;1995),VLOOKUP(I165,Feuil1!$A$11:$F$29,6),IF(AND(H165&gt;1994,H165&lt;1998),VLOOKUP(I165,Feuil1!$A$11:$F$29,5),IF(AND(H165&gt;1997,H165&lt;2000),VLOOKUP(I165,Feuil1!$A$11:$F$29,4),IF(AND(H165&gt;1999,H165&lt;2002),VLOOKUP(I165,Feuil1!$A$11:$F$29,3),VLOOKUP(I165,Feuil1!$A$11:$F$29,2))))),IF(OR(H165="SEN",H165&lt;1995),VLOOKUP(I165,Feuil1!$G$11:$L$25,6),IF(AND(H165&gt;1994,H165&lt;1998),VLOOKUP(I165,Feuil1!$G$11:$L$25,5),IF(AND(H165&gt;1997,H165&lt;2000),VLOOKUP(I165,Feuil1!$G$11:$L$25,4),IF(AND(H165&gt;1999,H165&lt;2002),VLOOKUP(I165,Feuil1!$G$11:$L$25,3),VLOOKUP(I165,Feuil1!$G$11:$L$25,2)))))))</f>
        <v>FS63</v>
      </c>
      <c r="Y165" s="39">
        <f t="shared" si="58"/>
        <v>189.35065906722406</v>
      </c>
      <c r="Z165" s="45"/>
      <c r="AA165" s="49" t="s">
        <v>12</v>
      </c>
      <c r="AB165" s="3">
        <f>T165-HLOOKUP(X165,Feuil1!$C$1:$BL$10,2,FALSE)</f>
        <v>60</v>
      </c>
      <c r="AC165" s="3">
        <f>T165-HLOOKUP(X165,Feuil1!$C$1:$BL$10,3,FALSE)</f>
        <v>50</v>
      </c>
      <c r="AD165" s="3">
        <f>T165-HLOOKUP(X165,Feuil1!$C$1:$BL$10,4,FALSE)</f>
        <v>40</v>
      </c>
      <c r="AE165" s="3">
        <f>T165-HLOOKUP(X165,Feuil1!$C$1:$BL$10,5,FALSE)</f>
        <v>25</v>
      </c>
      <c r="AF165" s="3">
        <f>T165-HLOOKUP(X165,Feuil1!$C$1:$BL$10,6,FALSE)</f>
        <v>10</v>
      </c>
      <c r="AG165" s="3">
        <f>T165-HLOOKUP(X165,Feuil1!$C$1:$BL$10,7,FALSE)</f>
        <v>-5</v>
      </c>
      <c r="AH165" s="3">
        <f>T165-HLOOKUP(X165,Feuil1!$C$1:$BL$10,8,FALSE)</f>
        <v>-25</v>
      </c>
      <c r="AI165" s="3">
        <f>T165-HLOOKUP(X165,Feuil1!$C$1:$BL$10,9,FALSE)</f>
        <v>-45</v>
      </c>
      <c r="AJ165" s="3">
        <f>T165-HLOOKUP(X165,Feuil1!$C$1:$BL$10,10,FALSE)</f>
        <v>-65</v>
      </c>
      <c r="AQ165" s="5" t="str">
        <f t="shared" si="59"/>
        <v>FED +</v>
      </c>
      <c r="BC165" s="13"/>
    </row>
    <row r="166" spans="1:55" ht="21" hidden="1" x14ac:dyDescent="0.2">
      <c r="A166" s="12" t="s">
        <v>69</v>
      </c>
      <c r="B166" s="67" t="s">
        <v>71</v>
      </c>
      <c r="C166" s="68" t="s">
        <v>883</v>
      </c>
      <c r="D166" s="69">
        <v>11</v>
      </c>
      <c r="E166" s="70">
        <v>112257</v>
      </c>
      <c r="F166" s="71" t="s">
        <v>910</v>
      </c>
      <c r="G166" s="71" t="s">
        <v>900</v>
      </c>
      <c r="H166" s="72">
        <v>1985</v>
      </c>
      <c r="I166" s="73">
        <v>60.2</v>
      </c>
      <c r="J166" s="68" t="s">
        <v>891</v>
      </c>
      <c r="K166" s="34" t="s">
        <v>69</v>
      </c>
      <c r="L166" s="75">
        <v>53</v>
      </c>
      <c r="M166" s="75">
        <v>57</v>
      </c>
      <c r="N166" s="75">
        <v>59</v>
      </c>
      <c r="O166" s="76">
        <f t="shared" si="52"/>
        <v>59</v>
      </c>
      <c r="P166" s="75">
        <v>73</v>
      </c>
      <c r="Q166" s="75">
        <v>76</v>
      </c>
      <c r="R166" s="75">
        <v>-80</v>
      </c>
      <c r="S166" s="76">
        <f t="shared" si="53"/>
        <v>76</v>
      </c>
      <c r="T166" s="77">
        <f t="shared" si="54"/>
        <v>135</v>
      </c>
      <c r="U166" s="78">
        <f t="shared" si="55"/>
        <v>14.599999999999994</v>
      </c>
      <c r="V166" s="79" t="str">
        <f t="shared" si="56"/>
        <v>FED +</v>
      </c>
      <c r="W166" s="80">
        <f t="shared" si="57"/>
        <v>10</v>
      </c>
      <c r="X166" s="81" t="str">
        <f>IF(I166="","",IF(A166="H",IF(OR(H166="SEN",H166&lt;1995),VLOOKUP(I166,Feuil1!$A$11:$F$29,6),IF(AND(H166&gt;1994,H166&lt;1998),VLOOKUP(I166,Feuil1!$A$11:$F$29,5),IF(AND(H166&gt;1997,H166&lt;2000),VLOOKUP(I166,Feuil1!$A$11:$F$29,4),IF(AND(H166&gt;1999,H166&lt;2002),VLOOKUP(I166,Feuil1!$A$11:$F$29,3),VLOOKUP(I166,Feuil1!$A$11:$F$29,2))))),IF(OR(H166="SEN",H166&lt;1995),VLOOKUP(I166,Feuil1!$G$11:$L$25,6),IF(AND(H166&gt;1994,H166&lt;1998),VLOOKUP(I166,Feuil1!$G$11:$L$25,5),IF(AND(H166&gt;1997,H166&lt;2000),VLOOKUP(I166,Feuil1!$G$11:$L$25,4),IF(AND(H166&gt;1999,H166&lt;2002),VLOOKUP(I166,Feuil1!$G$11:$L$25,3),VLOOKUP(I166,Feuil1!$G$11:$L$25,2)))))))</f>
        <v>FS63</v>
      </c>
      <c r="Y166" s="39">
        <f t="shared" si="58"/>
        <v>185.06597422680693</v>
      </c>
      <c r="Z166" s="45"/>
      <c r="AA166" s="49" t="s">
        <v>12</v>
      </c>
      <c r="AB166" s="3">
        <f>T166-HLOOKUP(X166,Feuil1!$C$1:$BL$10,2,FALSE)</f>
        <v>60</v>
      </c>
      <c r="AC166" s="3">
        <f>T166-HLOOKUP(X166,Feuil1!$C$1:$BL$10,3,FALSE)</f>
        <v>50</v>
      </c>
      <c r="AD166" s="3">
        <f>T166-HLOOKUP(X166,Feuil1!$C$1:$BL$10,4,FALSE)</f>
        <v>40</v>
      </c>
      <c r="AE166" s="3">
        <f>T166-HLOOKUP(X166,Feuil1!$C$1:$BL$10,5,FALSE)</f>
        <v>25</v>
      </c>
      <c r="AF166" s="3">
        <f>T166-HLOOKUP(X166,Feuil1!$C$1:$BL$10,6,FALSE)</f>
        <v>10</v>
      </c>
      <c r="AG166" s="3">
        <f>T166-HLOOKUP(X166,Feuil1!$C$1:$BL$10,7,FALSE)</f>
        <v>-5</v>
      </c>
      <c r="AH166" s="3">
        <f>T166-HLOOKUP(X166,Feuil1!$C$1:$BL$10,8,FALSE)</f>
        <v>-25</v>
      </c>
      <c r="AI166" s="3">
        <f>T166-HLOOKUP(X166,Feuil1!$C$1:$BL$10,9,FALSE)</f>
        <v>-45</v>
      </c>
      <c r="AJ166" s="3">
        <f>T166-HLOOKUP(X166,Feuil1!$C$1:$BL$10,10,FALSE)</f>
        <v>-65</v>
      </c>
      <c r="AQ166" s="5" t="str">
        <f t="shared" si="59"/>
        <v>FED +</v>
      </c>
      <c r="BC166" s="13"/>
    </row>
    <row r="167" spans="1:55" s="13" customFormat="1" ht="21" hidden="1" x14ac:dyDescent="0.2">
      <c r="A167" s="12" t="s">
        <v>69</v>
      </c>
      <c r="B167" s="67" t="s">
        <v>298</v>
      </c>
      <c r="C167" s="68" t="s">
        <v>476</v>
      </c>
      <c r="D167" s="69">
        <v>12</v>
      </c>
      <c r="E167" s="70">
        <v>174473</v>
      </c>
      <c r="F167" s="71" t="s">
        <v>523</v>
      </c>
      <c r="G167" s="71" t="s">
        <v>524</v>
      </c>
      <c r="H167" s="72">
        <v>1986</v>
      </c>
      <c r="I167" s="73">
        <v>58.1</v>
      </c>
      <c r="J167" s="68" t="s">
        <v>484</v>
      </c>
      <c r="K167" s="74" t="s">
        <v>525</v>
      </c>
      <c r="L167" s="75">
        <v>50</v>
      </c>
      <c r="M167" s="75">
        <v>54</v>
      </c>
      <c r="N167" s="75">
        <v>57</v>
      </c>
      <c r="O167" s="76">
        <f t="shared" si="52"/>
        <v>57</v>
      </c>
      <c r="P167" s="75">
        <v>68</v>
      </c>
      <c r="Q167" s="75">
        <v>72</v>
      </c>
      <c r="R167" s="75">
        <v>75</v>
      </c>
      <c r="S167" s="76">
        <f t="shared" si="53"/>
        <v>75</v>
      </c>
      <c r="T167" s="77">
        <f t="shared" si="54"/>
        <v>132</v>
      </c>
      <c r="U167" s="78">
        <f t="shared" si="55"/>
        <v>15.799999999999997</v>
      </c>
      <c r="V167" s="79" t="str">
        <f t="shared" si="56"/>
        <v>FED +</v>
      </c>
      <c r="W167" s="80">
        <f t="shared" si="57"/>
        <v>7</v>
      </c>
      <c r="X167" s="81" t="str">
        <f>IF(I167="","",IF(A167="H",IF(OR(H167="SEN",H167&lt;1995),VLOOKUP(I167,Feuil1!$A$11:$F$29,6),IF(AND(H167&gt;1994,H167&lt;1998),VLOOKUP(I167,Feuil1!$A$11:$F$29,5),IF(AND(H167&gt;1997,H167&lt;2000),VLOOKUP(I167,Feuil1!$A$11:$F$29,4),IF(AND(H167&gt;1999,H167&lt;2002),VLOOKUP(I167,Feuil1!$A$11:$F$29,3),VLOOKUP(I167,Feuil1!$A$11:$F$29,2))))),IF(OR(H167="SEN",H167&lt;1995),VLOOKUP(I167,Feuil1!$G$11:$L$25,6),IF(AND(H167&gt;1994,H167&lt;1998),VLOOKUP(I167,Feuil1!$G$11:$L$25,5),IF(AND(H167&gt;1997,H167&lt;2000),VLOOKUP(I167,Feuil1!$G$11:$L$25,4),IF(AND(H167&gt;1999,H167&lt;2002),VLOOKUP(I167,Feuil1!$G$11:$L$25,3),VLOOKUP(I167,Feuil1!$G$11:$L$25,2)))))))</f>
        <v>FS63</v>
      </c>
      <c r="Y167" s="39">
        <f t="shared" si="58"/>
        <v>185.60632061226943</v>
      </c>
      <c r="Z167" s="45"/>
      <c r="AA167" s="49" t="s">
        <v>12</v>
      </c>
      <c r="AB167" s="3">
        <f>T167-HLOOKUP(X167,Feuil1!$C$1:$BL$10,2,FALSE)</f>
        <v>57</v>
      </c>
      <c r="AC167" s="3">
        <f>T167-HLOOKUP(X167,Feuil1!$C$1:$BL$10,3,FALSE)</f>
        <v>47</v>
      </c>
      <c r="AD167" s="3">
        <f>T167-HLOOKUP(X167,Feuil1!$C$1:$BL$10,4,FALSE)</f>
        <v>37</v>
      </c>
      <c r="AE167" s="3">
        <f>T167-HLOOKUP(X167,Feuil1!$C$1:$BL$10,5,FALSE)</f>
        <v>22</v>
      </c>
      <c r="AF167" s="3">
        <f>T167-HLOOKUP(X167,Feuil1!$C$1:$BL$10,6,FALSE)</f>
        <v>7</v>
      </c>
      <c r="AG167" s="3">
        <f>T167-HLOOKUP(X167,Feuil1!$C$1:$BL$10,7,FALSE)</f>
        <v>-8</v>
      </c>
      <c r="AH167" s="3">
        <f>T167-HLOOKUP(X167,Feuil1!$C$1:$BL$10,8,FALSE)</f>
        <v>-28</v>
      </c>
      <c r="AI167" s="3">
        <f>T167-HLOOKUP(X167,Feuil1!$C$1:$BL$10,9,FALSE)</f>
        <v>-48</v>
      </c>
      <c r="AJ167" s="3">
        <f>T167-HLOOKUP(X167,Feuil1!$C$1:$BL$10,10,FALSE)</f>
        <v>-68</v>
      </c>
      <c r="AK167" s="5"/>
      <c r="AL167" s="5"/>
      <c r="AM167" s="5"/>
      <c r="AN167" s="5"/>
      <c r="AO167" s="5"/>
      <c r="AP167" s="5"/>
      <c r="AQ167" s="5" t="str">
        <f t="shared" si="59"/>
        <v>FED +</v>
      </c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</row>
    <row r="168" spans="1:55" s="13" customFormat="1" ht="21" hidden="1" x14ac:dyDescent="0.2">
      <c r="A168" s="12" t="s">
        <v>69</v>
      </c>
      <c r="B168" s="67" t="s">
        <v>108</v>
      </c>
      <c r="C168" s="68" t="s">
        <v>264</v>
      </c>
      <c r="D168" s="69">
        <v>13</v>
      </c>
      <c r="E168" s="70">
        <v>34097</v>
      </c>
      <c r="F168" s="71" t="s">
        <v>279</v>
      </c>
      <c r="G168" s="71" t="s">
        <v>280</v>
      </c>
      <c r="H168" s="72">
        <v>1986</v>
      </c>
      <c r="I168" s="73">
        <v>58.3</v>
      </c>
      <c r="J168" s="68" t="s">
        <v>267</v>
      </c>
      <c r="K168" s="74" t="s">
        <v>69</v>
      </c>
      <c r="L168" s="75">
        <v>55</v>
      </c>
      <c r="M168" s="75">
        <v>58</v>
      </c>
      <c r="N168" s="75">
        <v>60</v>
      </c>
      <c r="O168" s="76">
        <f t="shared" si="52"/>
        <v>60</v>
      </c>
      <c r="P168" s="75">
        <v>65</v>
      </c>
      <c r="Q168" s="75">
        <v>70</v>
      </c>
      <c r="R168" s="75">
        <v>72</v>
      </c>
      <c r="S168" s="76">
        <f t="shared" si="53"/>
        <v>72</v>
      </c>
      <c r="T168" s="77">
        <f t="shared" si="54"/>
        <v>132</v>
      </c>
      <c r="U168" s="78">
        <f t="shared" si="55"/>
        <v>15.400000000000006</v>
      </c>
      <c r="V168" s="79" t="str">
        <f t="shared" si="56"/>
        <v>FED +</v>
      </c>
      <c r="W168" s="80">
        <f t="shared" si="57"/>
        <v>7</v>
      </c>
      <c r="X168" s="81" t="str">
        <f>IF(I168="","",IF(A168="H",IF(OR(H168="SEN",H168&lt;1995),VLOOKUP(I168,Feuil1!$A$11:$F$29,6),IF(AND(H168&gt;1994,H168&lt;1998),VLOOKUP(I168,Feuil1!$A$11:$F$29,5),IF(AND(H168&gt;1997,H168&lt;2000),VLOOKUP(I168,Feuil1!$A$11:$F$29,4),IF(AND(H168&gt;1999,H168&lt;2002),VLOOKUP(I168,Feuil1!$A$11:$F$29,3),VLOOKUP(I168,Feuil1!$A$11:$F$29,2))))),IF(OR(H168="SEN",H168&lt;1995),VLOOKUP(I168,Feuil1!$G$11:$L$25,6),IF(AND(H168&gt;1994,H168&lt;1998),VLOOKUP(I168,Feuil1!$G$11:$L$25,5),IF(AND(H168&gt;1997,H168&lt;2000),VLOOKUP(I168,Feuil1!$G$11:$L$25,4),IF(AND(H168&gt;1999,H168&lt;2002),VLOOKUP(I168,Feuil1!$G$11:$L$25,3),VLOOKUP(I168,Feuil1!$G$11:$L$25,2)))))))</f>
        <v>FS63</v>
      </c>
      <c r="Y168" s="39">
        <f t="shared" si="58"/>
        <v>185.14286664350797</v>
      </c>
      <c r="Z168" s="45"/>
      <c r="AA168" s="49" t="s">
        <v>12</v>
      </c>
      <c r="AB168" s="3">
        <f>T168-HLOOKUP(X168,Feuil1!$C$1:$BL$10,2,FALSE)</f>
        <v>57</v>
      </c>
      <c r="AC168" s="3">
        <f>T168-HLOOKUP(X168,Feuil1!$C$1:$BL$10,3,FALSE)</f>
        <v>47</v>
      </c>
      <c r="AD168" s="3">
        <f>T168-HLOOKUP(X168,Feuil1!$C$1:$BL$10,4,FALSE)</f>
        <v>37</v>
      </c>
      <c r="AE168" s="3">
        <f>T168-HLOOKUP(X168,Feuil1!$C$1:$BL$10,5,FALSE)</f>
        <v>22</v>
      </c>
      <c r="AF168" s="3">
        <f>T168-HLOOKUP(X168,Feuil1!$C$1:$BL$10,6,FALSE)</f>
        <v>7</v>
      </c>
      <c r="AG168" s="3">
        <f>T168-HLOOKUP(X168,Feuil1!$C$1:$BL$10,7,FALSE)</f>
        <v>-8</v>
      </c>
      <c r="AH168" s="3">
        <f>T168-HLOOKUP(X168,Feuil1!$C$1:$BL$10,8,FALSE)</f>
        <v>-28</v>
      </c>
      <c r="AI168" s="3">
        <f>T168-HLOOKUP(X168,Feuil1!$C$1:$BL$10,9,FALSE)</f>
        <v>-48</v>
      </c>
      <c r="AJ168" s="3">
        <f>T168-HLOOKUP(X168,Feuil1!$C$1:$BL$10,10,FALSE)</f>
        <v>-68</v>
      </c>
      <c r="AK168" s="5"/>
      <c r="AL168" s="5"/>
      <c r="AM168" s="5"/>
      <c r="AN168" s="5"/>
      <c r="AO168" s="5"/>
      <c r="AP168" s="5"/>
      <c r="AQ168" s="5" t="str">
        <f t="shared" si="59"/>
        <v>FED +</v>
      </c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</row>
    <row r="169" spans="1:55" s="13" customFormat="1" ht="21" hidden="1" x14ac:dyDescent="0.2">
      <c r="A169" s="12" t="s">
        <v>69</v>
      </c>
      <c r="B169" s="18" t="s">
        <v>71</v>
      </c>
      <c r="C169" s="19" t="s">
        <v>801</v>
      </c>
      <c r="D169" s="61">
        <v>14</v>
      </c>
      <c r="E169" s="35">
        <v>196091</v>
      </c>
      <c r="F169" s="20" t="s">
        <v>863</v>
      </c>
      <c r="G169" s="20" t="s">
        <v>864</v>
      </c>
      <c r="H169" s="51">
        <v>1986</v>
      </c>
      <c r="I169" s="30">
        <v>60.5</v>
      </c>
      <c r="J169" s="19" t="s">
        <v>807</v>
      </c>
      <c r="K169" s="34" t="s">
        <v>69</v>
      </c>
      <c r="L169" s="31">
        <v>53</v>
      </c>
      <c r="M169" s="31">
        <v>56</v>
      </c>
      <c r="N169" s="31">
        <v>59</v>
      </c>
      <c r="O169" s="36">
        <f t="shared" si="52"/>
        <v>59</v>
      </c>
      <c r="P169" s="31">
        <v>73</v>
      </c>
      <c r="Q169" s="31">
        <v>-75</v>
      </c>
      <c r="R169" s="31">
        <v>-75</v>
      </c>
      <c r="S169" s="36">
        <f t="shared" si="53"/>
        <v>73</v>
      </c>
      <c r="T169" s="37">
        <f t="shared" si="54"/>
        <v>132</v>
      </c>
      <c r="U169" s="65">
        <f t="shared" si="55"/>
        <v>11</v>
      </c>
      <c r="V169" s="41" t="str">
        <f t="shared" si="56"/>
        <v>FED +</v>
      </c>
      <c r="W169" s="33">
        <f t="shared" si="57"/>
        <v>7</v>
      </c>
      <c r="X169" s="40" t="str">
        <f>IF(I169="","",IF(A169="H",IF(OR(H169="SEN",H169&lt;1995),VLOOKUP(I169,Feuil1!$A$11:$F$29,6),IF(AND(H169&gt;1994,H169&lt;1998),VLOOKUP(I169,Feuil1!$A$11:$F$29,5),IF(AND(H169&gt;1997,H169&lt;2000),VLOOKUP(I169,Feuil1!$A$11:$F$29,4),IF(AND(H169&gt;1999,H169&lt;2002),VLOOKUP(I169,Feuil1!$A$11:$F$29,3),VLOOKUP(I169,Feuil1!$A$11:$F$29,2))))),IF(OR(H169="SEN",H169&lt;1995),VLOOKUP(I169,Feuil1!$G$11:$L$25,6),IF(AND(H169&gt;1994,H169&lt;1998),VLOOKUP(I169,Feuil1!$G$11:$L$25,5),IF(AND(H169&gt;1997,H169&lt;2000),VLOOKUP(I169,Feuil1!$G$11:$L$25,4),IF(AND(H169&gt;1999,H169&lt;2002),VLOOKUP(I169,Feuil1!$G$11:$L$25,3),VLOOKUP(I169,Feuil1!$G$11:$L$25,2)))))))</f>
        <v>FS63</v>
      </c>
      <c r="Y169" s="39">
        <f t="shared" si="58"/>
        <v>180.32549219458545</v>
      </c>
      <c r="Z169" s="45"/>
      <c r="AA169" s="49" t="s">
        <v>12</v>
      </c>
      <c r="AB169" s="3">
        <f>T169-HLOOKUP(X169,Feuil1!$C$1:$BL$10,2,FALSE)</f>
        <v>57</v>
      </c>
      <c r="AC169" s="3">
        <f>T169-HLOOKUP(X169,Feuil1!$C$1:$BL$10,3,FALSE)</f>
        <v>47</v>
      </c>
      <c r="AD169" s="3">
        <f>T169-HLOOKUP(X169,Feuil1!$C$1:$BL$10,4,FALSE)</f>
        <v>37</v>
      </c>
      <c r="AE169" s="3">
        <f>T169-HLOOKUP(X169,Feuil1!$C$1:$BL$10,5,FALSE)</f>
        <v>22</v>
      </c>
      <c r="AF169" s="3">
        <f>T169-HLOOKUP(X169,Feuil1!$C$1:$BL$10,6,FALSE)</f>
        <v>7</v>
      </c>
      <c r="AG169" s="3">
        <f>T169-HLOOKUP(X169,Feuil1!$C$1:$BL$10,7,FALSE)</f>
        <v>-8</v>
      </c>
      <c r="AH169" s="3">
        <f>T169-HLOOKUP(X169,Feuil1!$C$1:$BL$10,8,FALSE)</f>
        <v>-28</v>
      </c>
      <c r="AI169" s="3">
        <f>T169-HLOOKUP(X169,Feuil1!$C$1:$BL$10,9,FALSE)</f>
        <v>-48</v>
      </c>
      <c r="AJ169" s="3">
        <f>T169-HLOOKUP(X169,Feuil1!$C$1:$BL$10,10,FALSE)</f>
        <v>-68</v>
      </c>
      <c r="AK169" s="5"/>
      <c r="AL169" s="5"/>
      <c r="AM169" s="5"/>
      <c r="AN169" s="5"/>
      <c r="AO169" s="5"/>
      <c r="AP169" s="5"/>
      <c r="AQ169" s="5" t="str">
        <f t="shared" si="59"/>
        <v>FED +</v>
      </c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</row>
    <row r="170" spans="1:55" s="13" customFormat="1" ht="21" hidden="1" x14ac:dyDescent="0.2">
      <c r="A170" s="12" t="s">
        <v>69</v>
      </c>
      <c r="B170" s="18" t="s">
        <v>108</v>
      </c>
      <c r="C170" s="19" t="s">
        <v>119</v>
      </c>
      <c r="D170" s="61">
        <v>15</v>
      </c>
      <c r="E170" s="35">
        <v>324052</v>
      </c>
      <c r="F170" s="20" t="s">
        <v>209</v>
      </c>
      <c r="G170" s="20" t="s">
        <v>995</v>
      </c>
      <c r="H170" s="51">
        <v>1992</v>
      </c>
      <c r="I170" s="30">
        <v>61.7</v>
      </c>
      <c r="J170" s="19" t="s">
        <v>144</v>
      </c>
      <c r="K170" s="34" t="s">
        <v>69</v>
      </c>
      <c r="L170" s="31">
        <v>50</v>
      </c>
      <c r="M170" s="31">
        <v>-53</v>
      </c>
      <c r="N170" s="31">
        <v>55</v>
      </c>
      <c r="O170" s="36">
        <f t="shared" si="52"/>
        <v>55</v>
      </c>
      <c r="P170" s="31">
        <v>65</v>
      </c>
      <c r="Q170" s="31">
        <v>68</v>
      </c>
      <c r="R170" s="31">
        <v>70</v>
      </c>
      <c r="S170" s="36">
        <f t="shared" si="53"/>
        <v>70</v>
      </c>
      <c r="T170" s="37">
        <f t="shared" si="54"/>
        <v>125</v>
      </c>
      <c r="U170" s="65">
        <f t="shared" si="55"/>
        <v>1.5999999999999943</v>
      </c>
      <c r="V170" s="41" t="str">
        <f t="shared" si="56"/>
        <v>FED +</v>
      </c>
      <c r="W170" s="33">
        <f t="shared" si="57"/>
        <v>0</v>
      </c>
      <c r="X170" s="40" t="str">
        <f>IF(I170="","",IF(A170="H",IF(OR(H170="SEN",H170&lt;1995),VLOOKUP(I170,Feuil1!$A$11:$F$29,6),IF(AND(H170&gt;1994,H170&lt;1998),VLOOKUP(I170,Feuil1!$A$11:$F$29,5),IF(AND(H170&gt;1997,H170&lt;2000),VLOOKUP(I170,Feuil1!$A$11:$F$29,4),IF(AND(H170&gt;1999,H170&lt;2002),VLOOKUP(I170,Feuil1!$A$11:$F$29,3),VLOOKUP(I170,Feuil1!$A$11:$F$29,2))))),IF(OR(H170="SEN",H170&lt;1995),VLOOKUP(I170,Feuil1!$G$11:$L$25,6),IF(AND(H170&gt;1994,H170&lt;1998),VLOOKUP(I170,Feuil1!$G$11:$L$25,5),IF(AND(H170&gt;1997,H170&lt;2000),VLOOKUP(I170,Feuil1!$G$11:$L$25,4),IF(AND(H170&gt;1999,H170&lt;2002),VLOOKUP(I170,Feuil1!$G$11:$L$25,3),VLOOKUP(I170,Feuil1!$G$11:$L$25,2)))))))</f>
        <v>FS63</v>
      </c>
      <c r="Y170" s="39">
        <f t="shared" si="58"/>
        <v>168.4653151253537</v>
      </c>
      <c r="Z170" s="45"/>
      <c r="AA170" s="49" t="s">
        <v>12</v>
      </c>
      <c r="AB170" s="3">
        <f>T170-HLOOKUP(X170,Feuil1!$C$1:$BL$10,2,FALSE)</f>
        <v>50</v>
      </c>
      <c r="AC170" s="3">
        <f>T170-HLOOKUP(X170,Feuil1!$C$1:$BL$10,3,FALSE)</f>
        <v>40</v>
      </c>
      <c r="AD170" s="3">
        <f>T170-HLOOKUP(X170,Feuil1!$C$1:$BL$10,4,FALSE)</f>
        <v>30</v>
      </c>
      <c r="AE170" s="3">
        <f>T170-HLOOKUP(X170,Feuil1!$C$1:$BL$10,5,FALSE)</f>
        <v>15</v>
      </c>
      <c r="AF170" s="3">
        <f>T170-HLOOKUP(X170,Feuil1!$C$1:$BL$10,6,FALSE)</f>
        <v>0</v>
      </c>
      <c r="AG170" s="3">
        <f>T170-HLOOKUP(X170,Feuil1!$C$1:$BL$10,7,FALSE)</f>
        <v>-15</v>
      </c>
      <c r="AH170" s="3">
        <f>T170-HLOOKUP(X170,Feuil1!$C$1:$BL$10,8,FALSE)</f>
        <v>-35</v>
      </c>
      <c r="AI170" s="3">
        <f>T170-HLOOKUP(X170,Feuil1!$C$1:$BL$10,9,FALSE)</f>
        <v>-55</v>
      </c>
      <c r="AJ170" s="3">
        <f>T170-HLOOKUP(X170,Feuil1!$C$1:$BL$10,10,FALSE)</f>
        <v>-75</v>
      </c>
      <c r="AK170" s="5"/>
      <c r="AL170" s="5"/>
      <c r="AM170" s="5"/>
      <c r="AN170" s="5"/>
      <c r="AO170" s="5"/>
      <c r="AP170" s="5"/>
      <c r="AQ170" s="5" t="str">
        <f t="shared" si="59"/>
        <v>FED +</v>
      </c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</row>
    <row r="171" spans="1:55" s="13" customFormat="1" ht="21" hidden="1" x14ac:dyDescent="0.2">
      <c r="A171" s="12" t="s">
        <v>69</v>
      </c>
      <c r="B171" s="18" t="s">
        <v>71</v>
      </c>
      <c r="C171" s="19" t="s">
        <v>72</v>
      </c>
      <c r="D171" s="61">
        <v>16</v>
      </c>
      <c r="E171" s="35">
        <v>264923</v>
      </c>
      <c r="F171" s="20" t="s">
        <v>981</v>
      </c>
      <c r="G171" s="20" t="s">
        <v>117</v>
      </c>
      <c r="H171" s="51">
        <v>1981</v>
      </c>
      <c r="I171" s="30">
        <v>60.6</v>
      </c>
      <c r="J171" s="19" t="s">
        <v>938</v>
      </c>
      <c r="K171" s="34" t="s">
        <v>69</v>
      </c>
      <c r="L171" s="31">
        <v>52</v>
      </c>
      <c r="M171" s="31">
        <v>55</v>
      </c>
      <c r="N171" s="31">
        <v>-57</v>
      </c>
      <c r="O171" s="36">
        <f t="shared" si="52"/>
        <v>55</v>
      </c>
      <c r="P171" s="31">
        <v>64</v>
      </c>
      <c r="Q171" s="31">
        <v>69</v>
      </c>
      <c r="R171" s="31">
        <v>-73</v>
      </c>
      <c r="S171" s="36">
        <f t="shared" si="53"/>
        <v>69</v>
      </c>
      <c r="T171" s="37">
        <f t="shared" si="54"/>
        <v>124</v>
      </c>
      <c r="U171" s="65">
        <f t="shared" si="55"/>
        <v>2.7999999999999972</v>
      </c>
      <c r="V171" s="41" t="str">
        <f t="shared" si="56"/>
        <v>IRG +</v>
      </c>
      <c r="W171" s="33">
        <f t="shared" si="57"/>
        <v>14</v>
      </c>
      <c r="X171" s="40" t="str">
        <f>IF(I171="","",IF(A171="H",IF(OR(H171="SEN",H171&lt;1995),VLOOKUP(I171,Feuil1!$A$11:$F$29,6),IF(AND(H171&gt;1994,H171&lt;1998),VLOOKUP(I171,Feuil1!$A$11:$F$29,5),IF(AND(H171&gt;1997,H171&lt;2000),VLOOKUP(I171,Feuil1!$A$11:$F$29,4),IF(AND(H171&gt;1999,H171&lt;2002),VLOOKUP(I171,Feuil1!$A$11:$F$29,3),VLOOKUP(I171,Feuil1!$A$11:$F$29,2))))),IF(OR(H171="SEN",H171&lt;1995),VLOOKUP(I171,Feuil1!$G$11:$L$25,6),IF(AND(H171&gt;1994,H171&lt;1998),VLOOKUP(I171,Feuil1!$G$11:$L$25,5),IF(AND(H171&gt;1997,H171&lt;2000),VLOOKUP(I171,Feuil1!$G$11:$L$25,4),IF(AND(H171&gt;1999,H171&lt;2002),VLOOKUP(I171,Feuil1!$G$11:$L$25,3),VLOOKUP(I171,Feuil1!$G$11:$L$25,2)))))))</f>
        <v>FS63</v>
      </c>
      <c r="Y171" s="39">
        <f t="shared" si="58"/>
        <v>169.20188206457277</v>
      </c>
      <c r="Z171" s="45"/>
      <c r="AA171" s="49" t="s">
        <v>12</v>
      </c>
      <c r="AB171" s="3">
        <f>T171-HLOOKUP(X171,Feuil1!$C$1:$BL$10,2,FALSE)</f>
        <v>49</v>
      </c>
      <c r="AC171" s="3">
        <f>T171-HLOOKUP(X171,Feuil1!$C$1:$BL$10,3,FALSE)</f>
        <v>39</v>
      </c>
      <c r="AD171" s="3">
        <f>T171-HLOOKUP(X171,Feuil1!$C$1:$BL$10,4,FALSE)</f>
        <v>29</v>
      </c>
      <c r="AE171" s="3">
        <f>T171-HLOOKUP(X171,Feuil1!$C$1:$BL$10,5,FALSE)</f>
        <v>14</v>
      </c>
      <c r="AF171" s="3">
        <f>T171-HLOOKUP(X171,Feuil1!$C$1:$BL$10,6,FALSE)</f>
        <v>-1</v>
      </c>
      <c r="AG171" s="3">
        <f>T171-HLOOKUP(X171,Feuil1!$C$1:$BL$10,7,FALSE)</f>
        <v>-16</v>
      </c>
      <c r="AH171" s="3">
        <f>T171-HLOOKUP(X171,Feuil1!$C$1:$BL$10,8,FALSE)</f>
        <v>-36</v>
      </c>
      <c r="AI171" s="3">
        <f>T171-HLOOKUP(X171,Feuil1!$C$1:$BL$10,9,FALSE)</f>
        <v>-56</v>
      </c>
      <c r="AJ171" s="3">
        <f>T171-HLOOKUP(X171,Feuil1!$C$1:$BL$10,10,FALSE)</f>
        <v>-76</v>
      </c>
      <c r="AK171" s="5"/>
      <c r="AL171" s="5"/>
      <c r="AM171" s="5"/>
      <c r="AN171" s="5"/>
      <c r="AO171" s="5"/>
      <c r="AP171" s="5"/>
      <c r="AQ171" s="5" t="str">
        <f t="shared" si="59"/>
        <v>IRG +</v>
      </c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</row>
    <row r="172" spans="1:55" s="13" customFormat="1" ht="21" hidden="1" x14ac:dyDescent="0.2">
      <c r="A172" s="12" t="s">
        <v>69</v>
      </c>
      <c r="B172" s="18" t="s">
        <v>298</v>
      </c>
      <c r="C172" s="19" t="s">
        <v>299</v>
      </c>
      <c r="D172" s="61">
        <v>17</v>
      </c>
      <c r="E172" s="35">
        <v>382101</v>
      </c>
      <c r="F172" s="20" t="s">
        <v>365</v>
      </c>
      <c r="G172" s="20" t="s">
        <v>231</v>
      </c>
      <c r="H172" s="51">
        <v>1988</v>
      </c>
      <c r="I172" s="30">
        <v>60</v>
      </c>
      <c r="J172" s="19" t="s">
        <v>339</v>
      </c>
      <c r="K172" s="34" t="s">
        <v>69</v>
      </c>
      <c r="L172" s="31">
        <v>45</v>
      </c>
      <c r="M172" s="31">
        <v>48</v>
      </c>
      <c r="N172" s="31">
        <v>50</v>
      </c>
      <c r="O172" s="36">
        <f t="shared" si="52"/>
        <v>50</v>
      </c>
      <c r="P172" s="31">
        <v>65</v>
      </c>
      <c r="Q172" s="31">
        <v>70</v>
      </c>
      <c r="R172" s="31">
        <v>72</v>
      </c>
      <c r="S172" s="36">
        <f t="shared" si="53"/>
        <v>72</v>
      </c>
      <c r="T172" s="37">
        <f t="shared" si="54"/>
        <v>122</v>
      </c>
      <c r="U172" s="65">
        <f t="shared" si="55"/>
        <v>2</v>
      </c>
      <c r="V172" s="41" t="str">
        <f t="shared" si="56"/>
        <v>IRG +</v>
      </c>
      <c r="W172" s="33">
        <f t="shared" si="57"/>
        <v>12</v>
      </c>
      <c r="X172" s="40" t="str">
        <f>IF(I172="","",IF(A172="H",IF(OR(H172="SEN",H172&lt;1995),VLOOKUP(I172,Feuil1!$A$11:$F$29,6),IF(AND(H172&gt;1994,H172&lt;1998),VLOOKUP(I172,Feuil1!$A$11:$F$29,5),IF(AND(H172&gt;1997,H172&lt;2000),VLOOKUP(I172,Feuil1!$A$11:$F$29,4),IF(AND(H172&gt;1999,H172&lt;2002),VLOOKUP(I172,Feuil1!$A$11:$F$29,3),VLOOKUP(I172,Feuil1!$A$11:$F$29,2))))),IF(OR(H172="SEN",H172&lt;1995),VLOOKUP(I172,Feuil1!$G$11:$L$25,6),IF(AND(H172&gt;1994,H172&lt;1998),VLOOKUP(I172,Feuil1!$G$11:$L$25,5),IF(AND(H172&gt;1997,H172&lt;2000),VLOOKUP(I172,Feuil1!$G$11:$L$25,4),IF(AND(H172&gt;1999,H172&lt;2002),VLOOKUP(I172,Feuil1!$G$11:$L$25,3),VLOOKUP(I172,Feuil1!$G$11:$L$25,2)))))))</f>
        <v>FS63</v>
      </c>
      <c r="Y172" s="39">
        <f t="shared" si="58"/>
        <v>167.63623888683543</v>
      </c>
      <c r="Z172" s="45"/>
      <c r="AA172" s="49" t="s">
        <v>12</v>
      </c>
      <c r="AB172" s="3">
        <f>T172-HLOOKUP(X172,Feuil1!$C$1:$BL$10,2,FALSE)</f>
        <v>47</v>
      </c>
      <c r="AC172" s="3">
        <f>T172-HLOOKUP(X172,Feuil1!$C$1:$BL$10,3,FALSE)</f>
        <v>37</v>
      </c>
      <c r="AD172" s="3">
        <f>T172-HLOOKUP(X172,Feuil1!$C$1:$BL$10,4,FALSE)</f>
        <v>27</v>
      </c>
      <c r="AE172" s="3">
        <f>T172-HLOOKUP(X172,Feuil1!$C$1:$BL$10,5,FALSE)</f>
        <v>12</v>
      </c>
      <c r="AF172" s="3">
        <f>T172-HLOOKUP(X172,Feuil1!$C$1:$BL$10,6,FALSE)</f>
        <v>-3</v>
      </c>
      <c r="AG172" s="3">
        <f>T172-HLOOKUP(X172,Feuil1!$C$1:$BL$10,7,FALSE)</f>
        <v>-18</v>
      </c>
      <c r="AH172" s="3">
        <f>T172-HLOOKUP(X172,Feuil1!$C$1:$BL$10,8,FALSE)</f>
        <v>-38</v>
      </c>
      <c r="AI172" s="3">
        <f>T172-HLOOKUP(X172,Feuil1!$C$1:$BL$10,9,FALSE)</f>
        <v>-58</v>
      </c>
      <c r="AJ172" s="3">
        <f>T172-HLOOKUP(X172,Feuil1!$C$1:$BL$10,10,FALSE)</f>
        <v>-78</v>
      </c>
      <c r="AK172" s="5"/>
      <c r="AL172" s="5"/>
      <c r="AM172" s="5"/>
      <c r="AN172" s="5"/>
      <c r="AO172" s="5"/>
      <c r="AP172" s="5"/>
      <c r="AQ172" s="5" t="str">
        <f t="shared" si="59"/>
        <v>IRG +</v>
      </c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</row>
    <row r="173" spans="1:55" s="13" customFormat="1" ht="21" hidden="1" x14ac:dyDescent="0.2">
      <c r="A173" s="12" t="s">
        <v>69</v>
      </c>
      <c r="B173" s="18" t="s">
        <v>71</v>
      </c>
      <c r="C173" s="19" t="s">
        <v>801</v>
      </c>
      <c r="D173" s="61">
        <v>18</v>
      </c>
      <c r="E173" s="35">
        <v>332675</v>
      </c>
      <c r="F173" s="20" t="s">
        <v>859</v>
      </c>
      <c r="G173" s="20" t="s">
        <v>282</v>
      </c>
      <c r="H173" s="51">
        <v>1983</v>
      </c>
      <c r="I173" s="30">
        <v>62.05</v>
      </c>
      <c r="J173" s="19" t="s">
        <v>837</v>
      </c>
      <c r="K173" s="34" t="s">
        <v>69</v>
      </c>
      <c r="L173" s="31">
        <v>-50</v>
      </c>
      <c r="M173" s="31">
        <v>50</v>
      </c>
      <c r="N173" s="31">
        <v>-53</v>
      </c>
      <c r="O173" s="36">
        <f t="shared" si="52"/>
        <v>50</v>
      </c>
      <c r="P173" s="31">
        <v>67</v>
      </c>
      <c r="Q173" s="31">
        <v>71</v>
      </c>
      <c r="R173" s="31">
        <v>-73</v>
      </c>
      <c r="S173" s="36">
        <f t="shared" si="53"/>
        <v>71</v>
      </c>
      <c r="T173" s="37">
        <f t="shared" si="54"/>
        <v>121</v>
      </c>
      <c r="U173" s="65">
        <f t="shared" si="55"/>
        <v>-3.0999999999999943</v>
      </c>
      <c r="V173" s="41" t="str">
        <f t="shared" si="56"/>
        <v>IRG +</v>
      </c>
      <c r="W173" s="33">
        <f t="shared" si="57"/>
        <v>11</v>
      </c>
      <c r="X173" s="40" t="str">
        <f>IF(I173="","",IF(A173="H",IF(OR(H173="SEN",H173&lt;1995),VLOOKUP(I173,Feuil1!$A$11:$F$29,6),IF(AND(H173&gt;1994,H173&lt;1998),VLOOKUP(I173,Feuil1!$A$11:$F$29,5),IF(AND(H173&gt;1997,H173&lt;2000),VLOOKUP(I173,Feuil1!$A$11:$F$29,4),IF(AND(H173&gt;1999,H173&lt;2002),VLOOKUP(I173,Feuil1!$A$11:$F$29,3),VLOOKUP(I173,Feuil1!$A$11:$F$29,2))))),IF(OR(H173="SEN",H173&lt;1995),VLOOKUP(I173,Feuil1!$G$11:$L$25,6),IF(AND(H173&gt;1994,H173&lt;1998),VLOOKUP(I173,Feuil1!$G$11:$L$25,5),IF(AND(H173&gt;1997,H173&lt;2000),VLOOKUP(I173,Feuil1!$G$11:$L$25,4),IF(AND(H173&gt;1999,H173&lt;2002),VLOOKUP(I173,Feuil1!$G$11:$L$25,3),VLOOKUP(I173,Feuil1!$G$11:$L$25,2)))))))</f>
        <v>FS63</v>
      </c>
      <c r="Y173" s="39">
        <f t="shared" si="58"/>
        <v>162.44854392254831</v>
      </c>
      <c r="Z173" s="45"/>
      <c r="AA173" s="49" t="s">
        <v>12</v>
      </c>
      <c r="AB173" s="3">
        <f>T173-HLOOKUP(X173,Feuil1!$C$1:$BL$10,2,FALSE)</f>
        <v>46</v>
      </c>
      <c r="AC173" s="3">
        <f>T173-HLOOKUP(X173,Feuil1!$C$1:$BL$10,3,FALSE)</f>
        <v>36</v>
      </c>
      <c r="AD173" s="3">
        <f>T173-HLOOKUP(X173,Feuil1!$C$1:$BL$10,4,FALSE)</f>
        <v>26</v>
      </c>
      <c r="AE173" s="3">
        <f>T173-HLOOKUP(X173,Feuil1!$C$1:$BL$10,5,FALSE)</f>
        <v>11</v>
      </c>
      <c r="AF173" s="3">
        <f>T173-HLOOKUP(X173,Feuil1!$C$1:$BL$10,6,FALSE)</f>
        <v>-4</v>
      </c>
      <c r="AG173" s="3">
        <f>T173-HLOOKUP(X173,Feuil1!$C$1:$BL$10,7,FALSE)</f>
        <v>-19</v>
      </c>
      <c r="AH173" s="3">
        <f>T173-HLOOKUP(X173,Feuil1!$C$1:$BL$10,8,FALSE)</f>
        <v>-39</v>
      </c>
      <c r="AI173" s="3">
        <f>T173-HLOOKUP(X173,Feuil1!$C$1:$BL$10,9,FALSE)</f>
        <v>-59</v>
      </c>
      <c r="AJ173" s="3">
        <f>T173-HLOOKUP(X173,Feuil1!$C$1:$BL$10,10,FALSE)</f>
        <v>-79</v>
      </c>
      <c r="AK173" s="5"/>
      <c r="AL173" s="5"/>
      <c r="AM173" s="5"/>
      <c r="AN173" s="5"/>
      <c r="AO173" s="5"/>
      <c r="AP173" s="5"/>
      <c r="AQ173" s="5" t="str">
        <f t="shared" si="59"/>
        <v>IRG +</v>
      </c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</row>
    <row r="174" spans="1:55" s="13" customFormat="1" ht="21" hidden="1" x14ac:dyDescent="0.2">
      <c r="A174" s="12" t="s">
        <v>69</v>
      </c>
      <c r="B174" s="67" t="s">
        <v>649</v>
      </c>
      <c r="C174" s="68" t="s">
        <v>648</v>
      </c>
      <c r="D174" s="69">
        <v>19</v>
      </c>
      <c r="E174" s="70">
        <v>250371</v>
      </c>
      <c r="F174" s="71" t="s">
        <v>654</v>
      </c>
      <c r="G174" s="71" t="s">
        <v>655</v>
      </c>
      <c r="H174" s="72">
        <v>1993</v>
      </c>
      <c r="I174" s="73">
        <v>59.57</v>
      </c>
      <c r="J174" s="68" t="s">
        <v>647</v>
      </c>
      <c r="K174" s="74" t="s">
        <v>69</v>
      </c>
      <c r="L174" s="75">
        <v>45</v>
      </c>
      <c r="M174" s="75">
        <v>50</v>
      </c>
      <c r="N174" s="75">
        <v>55</v>
      </c>
      <c r="O174" s="76">
        <f t="shared" si="52"/>
        <v>55</v>
      </c>
      <c r="P174" s="75">
        <v>55</v>
      </c>
      <c r="Q174" s="75">
        <v>60</v>
      </c>
      <c r="R174" s="75">
        <v>65</v>
      </c>
      <c r="S174" s="76">
        <f t="shared" si="53"/>
        <v>65</v>
      </c>
      <c r="T174" s="77">
        <f t="shared" si="54"/>
        <v>120</v>
      </c>
      <c r="U174" s="78">
        <f t="shared" si="55"/>
        <v>0.85999999999999943</v>
      </c>
      <c r="V174" s="79" t="str">
        <f t="shared" si="56"/>
        <v>IRG +</v>
      </c>
      <c r="W174" s="80">
        <f t="shared" si="57"/>
        <v>10</v>
      </c>
      <c r="X174" s="81" t="str">
        <f>IF(I174="","",IF(A174="H",IF(OR(H174="SEN",H174&lt;1995),VLOOKUP(I174,Feuil1!$A$11:$F$29,6),IF(AND(H174&gt;1994,H174&lt;1998),VLOOKUP(I174,Feuil1!$A$11:$F$29,5),IF(AND(H174&gt;1997,H174&lt;2000),VLOOKUP(I174,Feuil1!$A$11:$F$29,4),IF(AND(H174&gt;1999,H174&lt;2002),VLOOKUP(I174,Feuil1!$A$11:$F$29,3),VLOOKUP(I174,Feuil1!$A$11:$F$29,2))))),IF(OR(H174="SEN",H174&lt;1995),VLOOKUP(I174,Feuil1!$G$11:$L$25,6),IF(AND(H174&gt;1994,H174&lt;1998),VLOOKUP(I174,Feuil1!$G$11:$L$25,5),IF(AND(H174&gt;1997,H174&lt;2000),VLOOKUP(I174,Feuil1!$G$11:$L$25,4),IF(AND(H174&gt;1999,H174&lt;2002),VLOOKUP(I174,Feuil1!$G$11:$L$25,3),VLOOKUP(I174,Feuil1!$G$11:$L$25,2)))))))</f>
        <v>FS63</v>
      </c>
      <c r="Y174" s="39">
        <f t="shared" si="58"/>
        <v>165.72821955197881</v>
      </c>
      <c r="Z174" s="45"/>
      <c r="AA174" s="49" t="s">
        <v>12</v>
      </c>
      <c r="AB174" s="3">
        <f>T174-HLOOKUP(X174,Feuil1!$C$1:$BL$10,2,FALSE)</f>
        <v>45</v>
      </c>
      <c r="AC174" s="3">
        <f>T174-HLOOKUP(X174,Feuil1!$C$1:$BL$10,3,FALSE)</f>
        <v>35</v>
      </c>
      <c r="AD174" s="3">
        <f>T174-HLOOKUP(X174,Feuil1!$C$1:$BL$10,4,FALSE)</f>
        <v>25</v>
      </c>
      <c r="AE174" s="3">
        <f>T174-HLOOKUP(X174,Feuil1!$C$1:$BL$10,5,FALSE)</f>
        <v>10</v>
      </c>
      <c r="AF174" s="3">
        <f>T174-HLOOKUP(X174,Feuil1!$C$1:$BL$10,6,FALSE)</f>
        <v>-5</v>
      </c>
      <c r="AG174" s="3">
        <f>T174-HLOOKUP(X174,Feuil1!$C$1:$BL$10,7,FALSE)</f>
        <v>-20</v>
      </c>
      <c r="AH174" s="3">
        <f>T174-HLOOKUP(X174,Feuil1!$C$1:$BL$10,8,FALSE)</f>
        <v>-40</v>
      </c>
      <c r="AI174" s="3">
        <f>T174-HLOOKUP(X174,Feuil1!$C$1:$BL$10,9,FALSE)</f>
        <v>-60</v>
      </c>
      <c r="AJ174" s="3">
        <f>T174-HLOOKUP(X174,Feuil1!$C$1:$BL$10,10,FALSE)</f>
        <v>-80</v>
      </c>
      <c r="AK174" s="5"/>
      <c r="AL174" s="5"/>
      <c r="AM174" s="5"/>
      <c r="AN174" s="5"/>
      <c r="AO174" s="5"/>
      <c r="AP174" s="5"/>
      <c r="AQ174" s="5" t="str">
        <f t="shared" si="59"/>
        <v>IRG +</v>
      </c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</row>
    <row r="175" spans="1:55" s="13" customFormat="1" ht="21" hidden="1" x14ac:dyDescent="0.2">
      <c r="A175" s="12" t="s">
        <v>69</v>
      </c>
      <c r="B175" s="18" t="s">
        <v>108</v>
      </c>
      <c r="C175" s="19" t="s">
        <v>146</v>
      </c>
      <c r="D175" s="61">
        <v>20</v>
      </c>
      <c r="E175" s="35">
        <v>1149</v>
      </c>
      <c r="F175" s="20" t="s">
        <v>256</v>
      </c>
      <c r="G175" s="20" t="s">
        <v>257</v>
      </c>
      <c r="H175" s="51">
        <v>1989</v>
      </c>
      <c r="I175" s="30">
        <v>60</v>
      </c>
      <c r="J175" s="19" t="s">
        <v>149</v>
      </c>
      <c r="K175" s="34" t="s">
        <v>69</v>
      </c>
      <c r="L175" s="31">
        <v>43</v>
      </c>
      <c r="M175" s="31">
        <v>50</v>
      </c>
      <c r="N175" s="31">
        <v>55</v>
      </c>
      <c r="O175" s="36">
        <f t="shared" si="52"/>
        <v>55</v>
      </c>
      <c r="P175" s="31">
        <v>55</v>
      </c>
      <c r="Q175" s="31">
        <v>60</v>
      </c>
      <c r="R175" s="31">
        <v>65</v>
      </c>
      <c r="S175" s="36">
        <f t="shared" si="53"/>
        <v>65</v>
      </c>
      <c r="T175" s="37">
        <f t="shared" si="54"/>
        <v>120</v>
      </c>
      <c r="U175" s="65">
        <f t="shared" si="55"/>
        <v>0</v>
      </c>
      <c r="V175" s="41" t="str">
        <f t="shared" si="56"/>
        <v>IRG +</v>
      </c>
      <c r="W175" s="33">
        <f t="shared" si="57"/>
        <v>10</v>
      </c>
      <c r="X175" s="40" t="str">
        <f>IF(I175="","",IF(A175="H",IF(OR(H175="SEN",H175&lt;1995),VLOOKUP(I175,Feuil1!$A$11:$F$29,6),IF(AND(H175&gt;1994,H175&lt;1998),VLOOKUP(I175,Feuil1!$A$11:$F$29,5),IF(AND(H175&gt;1997,H175&lt;2000),VLOOKUP(I175,Feuil1!$A$11:$F$29,4),IF(AND(H175&gt;1999,H175&lt;2002),VLOOKUP(I175,Feuil1!$A$11:$F$29,3),VLOOKUP(I175,Feuil1!$A$11:$F$29,2))))),IF(OR(H175="SEN",H175&lt;1995),VLOOKUP(I175,Feuil1!$G$11:$L$25,6),IF(AND(H175&gt;1994,H175&lt;1998),VLOOKUP(I175,Feuil1!$G$11:$L$25,5),IF(AND(H175&gt;1997,H175&lt;2000),VLOOKUP(I175,Feuil1!$G$11:$L$25,4),IF(AND(H175&gt;1999,H175&lt;2002),VLOOKUP(I175,Feuil1!$G$11:$L$25,3),VLOOKUP(I175,Feuil1!$G$11:$L$25,2)))))))</f>
        <v>FS63</v>
      </c>
      <c r="Y175" s="39">
        <f t="shared" si="58"/>
        <v>164.88810382311681</v>
      </c>
      <c r="Z175" s="45"/>
      <c r="AA175" s="49" t="s">
        <v>12</v>
      </c>
      <c r="AB175" s="3">
        <f>T175-HLOOKUP(X175,Feuil1!$C$1:$BL$10,2,FALSE)</f>
        <v>45</v>
      </c>
      <c r="AC175" s="3">
        <f>T175-HLOOKUP(X175,Feuil1!$C$1:$BL$10,3,FALSE)</f>
        <v>35</v>
      </c>
      <c r="AD175" s="3">
        <f>T175-HLOOKUP(X175,Feuil1!$C$1:$BL$10,4,FALSE)</f>
        <v>25</v>
      </c>
      <c r="AE175" s="3">
        <f>T175-HLOOKUP(X175,Feuil1!$C$1:$BL$10,5,FALSE)</f>
        <v>10</v>
      </c>
      <c r="AF175" s="3">
        <f>T175-HLOOKUP(X175,Feuil1!$C$1:$BL$10,6,FALSE)</f>
        <v>-5</v>
      </c>
      <c r="AG175" s="3">
        <f>T175-HLOOKUP(X175,Feuil1!$C$1:$BL$10,7,FALSE)</f>
        <v>-20</v>
      </c>
      <c r="AH175" s="3">
        <f>T175-HLOOKUP(X175,Feuil1!$C$1:$BL$10,8,FALSE)</f>
        <v>-40</v>
      </c>
      <c r="AI175" s="3">
        <f>T175-HLOOKUP(X175,Feuil1!$C$1:$BL$10,9,FALSE)</f>
        <v>-60</v>
      </c>
      <c r="AJ175" s="3">
        <f>T175-HLOOKUP(X175,Feuil1!$C$1:$BL$10,10,FALSE)</f>
        <v>-80</v>
      </c>
      <c r="AK175" s="5"/>
      <c r="AL175" s="5"/>
      <c r="AM175" s="5"/>
      <c r="AN175" s="5"/>
      <c r="AO175" s="5"/>
      <c r="AP175" s="5"/>
      <c r="AQ175" s="5" t="str">
        <f t="shared" si="59"/>
        <v>IRG +</v>
      </c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</row>
    <row r="176" spans="1:55" s="13" customFormat="1" ht="21" hidden="1" x14ac:dyDescent="0.2">
      <c r="A176" s="12" t="s">
        <v>69</v>
      </c>
      <c r="B176" s="18" t="s">
        <v>108</v>
      </c>
      <c r="C176" s="19" t="s">
        <v>146</v>
      </c>
      <c r="D176" s="61">
        <v>21</v>
      </c>
      <c r="E176" s="35">
        <v>113366</v>
      </c>
      <c r="F176" s="20" t="s">
        <v>258</v>
      </c>
      <c r="G176" s="20" t="s">
        <v>259</v>
      </c>
      <c r="H176" s="51">
        <v>1984</v>
      </c>
      <c r="I176" s="30">
        <v>59.5</v>
      </c>
      <c r="J176" s="19" t="s">
        <v>149</v>
      </c>
      <c r="K176" s="34" t="s">
        <v>69</v>
      </c>
      <c r="L176" s="31">
        <v>48</v>
      </c>
      <c r="M176" s="31">
        <v>51</v>
      </c>
      <c r="N176" s="31">
        <v>53</v>
      </c>
      <c r="O176" s="36">
        <f t="shared" si="52"/>
        <v>53</v>
      </c>
      <c r="P176" s="31">
        <v>60</v>
      </c>
      <c r="Q176" s="31">
        <v>63</v>
      </c>
      <c r="R176" s="31">
        <v>65</v>
      </c>
      <c r="S176" s="36">
        <f t="shared" si="53"/>
        <v>65</v>
      </c>
      <c r="T176" s="37">
        <f t="shared" si="54"/>
        <v>118</v>
      </c>
      <c r="U176" s="65">
        <f t="shared" si="55"/>
        <v>-1</v>
      </c>
      <c r="V176" s="41" t="str">
        <f t="shared" si="56"/>
        <v>IRG +</v>
      </c>
      <c r="W176" s="33">
        <f t="shared" si="57"/>
        <v>8</v>
      </c>
      <c r="X176" s="40" t="str">
        <f>IF(I176="","",IF(A176="H",IF(OR(H176="SEN",H176&lt;1995),VLOOKUP(I176,Feuil1!$A$11:$F$29,6),IF(AND(H176&gt;1994,H176&lt;1998),VLOOKUP(I176,Feuil1!$A$11:$F$29,5),IF(AND(H176&gt;1997,H176&lt;2000),VLOOKUP(I176,Feuil1!$A$11:$F$29,4),IF(AND(H176&gt;1999,H176&lt;2002),VLOOKUP(I176,Feuil1!$A$11:$F$29,3),VLOOKUP(I176,Feuil1!$A$11:$F$29,2))))),IF(OR(H176="SEN",H176&lt;1995),VLOOKUP(I176,Feuil1!$G$11:$L$25,6),IF(AND(H176&gt;1994,H176&lt;1998),VLOOKUP(I176,Feuil1!$G$11:$L$25,5),IF(AND(H176&gt;1997,H176&lt;2000),VLOOKUP(I176,Feuil1!$G$11:$L$25,4),IF(AND(H176&gt;1999,H176&lt;2002),VLOOKUP(I176,Feuil1!$G$11:$L$25,3),VLOOKUP(I176,Feuil1!$G$11:$L$25,2)))))))</f>
        <v>FS63</v>
      </c>
      <c r="Y176" s="39">
        <f t="shared" si="58"/>
        <v>163.10215542104726</v>
      </c>
      <c r="Z176" s="45"/>
      <c r="AA176" s="49" t="s">
        <v>12</v>
      </c>
      <c r="AB176" s="3">
        <f>T176-HLOOKUP(X176,Feuil1!$C$1:$BL$10,2,FALSE)</f>
        <v>43</v>
      </c>
      <c r="AC176" s="3">
        <f>T176-HLOOKUP(X176,Feuil1!$C$1:$BL$10,3,FALSE)</f>
        <v>33</v>
      </c>
      <c r="AD176" s="3">
        <f>T176-HLOOKUP(X176,Feuil1!$C$1:$BL$10,4,FALSE)</f>
        <v>23</v>
      </c>
      <c r="AE176" s="3">
        <f>T176-HLOOKUP(X176,Feuil1!$C$1:$BL$10,5,FALSE)</f>
        <v>8</v>
      </c>
      <c r="AF176" s="3">
        <f>T176-HLOOKUP(X176,Feuil1!$C$1:$BL$10,6,FALSE)</f>
        <v>-7</v>
      </c>
      <c r="AG176" s="3">
        <f>T176-HLOOKUP(X176,Feuil1!$C$1:$BL$10,7,FALSE)</f>
        <v>-22</v>
      </c>
      <c r="AH176" s="3">
        <f>T176-HLOOKUP(X176,Feuil1!$C$1:$BL$10,8,FALSE)</f>
        <v>-42</v>
      </c>
      <c r="AI176" s="3">
        <f>T176-HLOOKUP(X176,Feuil1!$C$1:$BL$10,9,FALSE)</f>
        <v>-62</v>
      </c>
      <c r="AJ176" s="3">
        <f>T176-HLOOKUP(X176,Feuil1!$C$1:$BL$10,10,FALSE)</f>
        <v>-82</v>
      </c>
      <c r="AK176" s="5"/>
      <c r="AL176" s="5"/>
      <c r="AM176" s="5"/>
      <c r="AN176" s="5"/>
      <c r="AO176" s="5"/>
      <c r="AP176" s="5"/>
      <c r="AQ176" s="5" t="str">
        <f t="shared" si="59"/>
        <v>IRG +</v>
      </c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</row>
    <row r="177" spans="1:55" s="13" customFormat="1" ht="21" hidden="1" x14ac:dyDescent="0.2">
      <c r="A177" s="12" t="s">
        <v>69</v>
      </c>
      <c r="B177" s="67" t="s">
        <v>71</v>
      </c>
      <c r="C177" s="68" t="s">
        <v>72</v>
      </c>
      <c r="D177" s="69">
        <v>22</v>
      </c>
      <c r="E177" s="70">
        <v>142132</v>
      </c>
      <c r="F177" s="71" t="s">
        <v>951</v>
      </c>
      <c r="G177" s="71" t="s">
        <v>764</v>
      </c>
      <c r="H177" s="72">
        <v>1994</v>
      </c>
      <c r="I177" s="73">
        <v>58.4</v>
      </c>
      <c r="J177" s="68" t="s">
        <v>938</v>
      </c>
      <c r="K177" s="74" t="s">
        <v>69</v>
      </c>
      <c r="L177" s="75">
        <v>47</v>
      </c>
      <c r="M177" s="75">
        <v>50</v>
      </c>
      <c r="N177" s="75">
        <v>-52</v>
      </c>
      <c r="O177" s="76">
        <f t="shared" si="52"/>
        <v>50</v>
      </c>
      <c r="P177" s="75">
        <v>60</v>
      </c>
      <c r="Q177" s="75">
        <v>63</v>
      </c>
      <c r="R177" s="75">
        <v>65</v>
      </c>
      <c r="S177" s="76">
        <f t="shared" si="53"/>
        <v>65</v>
      </c>
      <c r="T177" s="77">
        <f t="shared" si="54"/>
        <v>115</v>
      </c>
      <c r="U177" s="78">
        <f t="shared" si="55"/>
        <v>-1.7999999999999972</v>
      </c>
      <c r="V177" s="87" t="str">
        <f t="shared" si="56"/>
        <v>IRG +</v>
      </c>
      <c r="W177" s="80">
        <f t="shared" si="57"/>
        <v>5</v>
      </c>
      <c r="X177" s="81" t="str">
        <f>IF(I177="","",IF(A177="H",IF(OR(H177="SEN",H177&lt;1995),VLOOKUP(I177,Feuil1!$A$11:$F$29,6),IF(AND(H177&gt;1994,H177&lt;1998),VLOOKUP(I177,Feuil1!$A$11:$F$29,5),IF(AND(H177&gt;1997,H177&lt;2000),VLOOKUP(I177,Feuil1!$A$11:$F$29,4),IF(AND(H177&gt;1999,H177&lt;2002),VLOOKUP(I177,Feuil1!$A$11:$F$29,3),VLOOKUP(I177,Feuil1!$A$11:$F$29,2))))),IF(OR(H177="SEN",H177&lt;1995),VLOOKUP(I177,Feuil1!$G$11:$L$25,6),IF(AND(H177&gt;1994,H177&lt;1998),VLOOKUP(I177,Feuil1!$G$11:$L$25,5),IF(AND(H177&gt;1997,H177&lt;2000),VLOOKUP(I177,Feuil1!$G$11:$L$25,4),IF(AND(H177&gt;1999,H177&lt;2002),VLOOKUP(I177,Feuil1!$G$11:$L$25,3),VLOOKUP(I177,Feuil1!$G$11:$L$25,2)))))))</f>
        <v>FS63</v>
      </c>
      <c r="Y177" s="39">
        <f t="shared" si="58"/>
        <v>161.09827637019296</v>
      </c>
      <c r="Z177" s="45"/>
      <c r="AA177" s="49" t="s">
        <v>12</v>
      </c>
      <c r="AB177" s="3">
        <f>T177-HLOOKUP(X177,Feuil1!$C$1:$BL$10,2,FALSE)</f>
        <v>40</v>
      </c>
      <c r="AC177" s="3">
        <f>T177-HLOOKUP(X177,Feuil1!$C$1:$BL$10,3,FALSE)</f>
        <v>30</v>
      </c>
      <c r="AD177" s="3">
        <f>T177-HLOOKUP(X177,Feuil1!$C$1:$BL$10,4,FALSE)</f>
        <v>20</v>
      </c>
      <c r="AE177" s="3">
        <f>T177-HLOOKUP(X177,Feuil1!$C$1:$BL$10,5,FALSE)</f>
        <v>5</v>
      </c>
      <c r="AF177" s="3">
        <f>T177-HLOOKUP(X177,Feuil1!$C$1:$BL$10,6,FALSE)</f>
        <v>-10</v>
      </c>
      <c r="AG177" s="3">
        <f>T177-HLOOKUP(X177,Feuil1!$C$1:$BL$10,7,FALSE)</f>
        <v>-25</v>
      </c>
      <c r="AH177" s="3">
        <f>T177-HLOOKUP(X177,Feuil1!$C$1:$BL$10,8,FALSE)</f>
        <v>-45</v>
      </c>
      <c r="AI177" s="3">
        <f>T177-HLOOKUP(X177,Feuil1!$C$1:$BL$10,9,FALSE)</f>
        <v>-65</v>
      </c>
      <c r="AJ177" s="3">
        <f>T177-HLOOKUP(X177,Feuil1!$C$1:$BL$10,10,FALSE)</f>
        <v>-85</v>
      </c>
      <c r="AK177" s="5"/>
      <c r="AL177" s="5"/>
      <c r="AM177" s="5"/>
      <c r="AN177" s="5"/>
      <c r="AO177" s="5"/>
      <c r="AP177" s="5"/>
      <c r="AQ177" s="5" t="str">
        <f t="shared" si="59"/>
        <v>IRG +</v>
      </c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</row>
    <row r="178" spans="1:55" s="13" customFormat="1" ht="21" hidden="1" x14ac:dyDescent="0.2">
      <c r="A178" s="12" t="s">
        <v>69</v>
      </c>
      <c r="B178" s="18" t="s">
        <v>71</v>
      </c>
      <c r="C178" s="19" t="s">
        <v>72</v>
      </c>
      <c r="D178" s="61">
        <v>23</v>
      </c>
      <c r="E178" s="35">
        <v>377721</v>
      </c>
      <c r="F178" s="20" t="s">
        <v>972</v>
      </c>
      <c r="G178" s="20" t="s">
        <v>409</v>
      </c>
      <c r="H178" s="51">
        <v>1987</v>
      </c>
      <c r="I178" s="30">
        <v>59.9</v>
      </c>
      <c r="J178" s="19" t="s">
        <v>923</v>
      </c>
      <c r="K178" s="34" t="s">
        <v>69</v>
      </c>
      <c r="L178" s="31">
        <v>45</v>
      </c>
      <c r="M178" s="31">
        <v>48</v>
      </c>
      <c r="N178" s="31">
        <v>50</v>
      </c>
      <c r="O178" s="36">
        <f t="shared" si="52"/>
        <v>50</v>
      </c>
      <c r="P178" s="31">
        <v>60</v>
      </c>
      <c r="Q178" s="31">
        <v>63</v>
      </c>
      <c r="R178" s="31">
        <v>65</v>
      </c>
      <c r="S178" s="36">
        <f t="shared" si="53"/>
        <v>65</v>
      </c>
      <c r="T178" s="37">
        <f t="shared" si="54"/>
        <v>115</v>
      </c>
      <c r="U178" s="65">
        <f t="shared" si="55"/>
        <v>-4.7999999999999972</v>
      </c>
      <c r="V178" s="32" t="str">
        <f t="shared" si="56"/>
        <v>IRG +</v>
      </c>
      <c r="W178" s="33">
        <f t="shared" si="57"/>
        <v>5</v>
      </c>
      <c r="X178" s="40" t="str">
        <f>IF(I178="","",IF(A178="H",IF(OR(H178="SEN",H178&lt;1995),VLOOKUP(I178,Feuil1!$A$11:$F$29,6),IF(AND(H178&gt;1994,H178&lt;1998),VLOOKUP(I178,Feuil1!$A$11:$F$29,5),IF(AND(H178&gt;1997,H178&lt;2000),VLOOKUP(I178,Feuil1!$A$11:$F$29,4),IF(AND(H178&gt;1999,H178&lt;2002),VLOOKUP(I178,Feuil1!$A$11:$F$29,3),VLOOKUP(I178,Feuil1!$A$11:$F$29,2))))),IF(OR(H178="SEN",H178&lt;1995),VLOOKUP(I178,Feuil1!$G$11:$L$25,6),IF(AND(H178&gt;1994,H178&lt;1998),VLOOKUP(I178,Feuil1!$G$11:$L$25,5),IF(AND(H178&gt;1997,H178&lt;2000),VLOOKUP(I178,Feuil1!$G$11:$L$25,4),IF(AND(H178&gt;1999,H178&lt;2002),VLOOKUP(I178,Feuil1!$G$11:$L$25,3),VLOOKUP(I178,Feuil1!$G$11:$L$25,2)))))))</f>
        <v>FS63</v>
      </c>
      <c r="Y178" s="39">
        <f t="shared" si="58"/>
        <v>158.2035528180362</v>
      </c>
      <c r="Z178" s="45"/>
      <c r="AA178" s="49" t="s">
        <v>12</v>
      </c>
      <c r="AB178" s="3">
        <f>T178-HLOOKUP(X178,Feuil1!$C$1:$BL$10,2,FALSE)</f>
        <v>40</v>
      </c>
      <c r="AC178" s="3">
        <f>T178-HLOOKUP(X178,Feuil1!$C$1:$BL$10,3,FALSE)</f>
        <v>30</v>
      </c>
      <c r="AD178" s="3">
        <f>T178-HLOOKUP(X178,Feuil1!$C$1:$BL$10,4,FALSE)</f>
        <v>20</v>
      </c>
      <c r="AE178" s="3">
        <f>T178-HLOOKUP(X178,Feuil1!$C$1:$BL$10,5,FALSE)</f>
        <v>5</v>
      </c>
      <c r="AF178" s="3">
        <f>T178-HLOOKUP(X178,Feuil1!$C$1:$BL$10,6,FALSE)</f>
        <v>-10</v>
      </c>
      <c r="AG178" s="3">
        <f>T178-HLOOKUP(X178,Feuil1!$C$1:$BL$10,7,FALSE)</f>
        <v>-25</v>
      </c>
      <c r="AH178" s="3">
        <f>T178-HLOOKUP(X178,Feuil1!$C$1:$BL$10,8,FALSE)</f>
        <v>-45</v>
      </c>
      <c r="AI178" s="3">
        <f>T178-HLOOKUP(X178,Feuil1!$C$1:$BL$10,9,FALSE)</f>
        <v>-65</v>
      </c>
      <c r="AJ178" s="3">
        <f>T178-HLOOKUP(X178,Feuil1!$C$1:$BL$10,10,FALSE)</f>
        <v>-85</v>
      </c>
      <c r="AK178" s="5"/>
      <c r="AL178" s="5"/>
      <c r="AM178" s="5"/>
      <c r="AN178" s="5"/>
      <c r="AO178" s="5"/>
      <c r="AP178" s="5"/>
      <c r="AQ178" s="5" t="str">
        <f t="shared" si="59"/>
        <v>IRG +</v>
      </c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</row>
    <row r="179" spans="1:55" s="13" customFormat="1" ht="21" hidden="1" x14ac:dyDescent="0.2">
      <c r="A179" s="12" t="s">
        <v>69</v>
      </c>
      <c r="B179" s="18" t="s">
        <v>71</v>
      </c>
      <c r="C179" s="19" t="s">
        <v>72</v>
      </c>
      <c r="D179" s="61">
        <v>24</v>
      </c>
      <c r="E179" s="35">
        <v>333138</v>
      </c>
      <c r="F179" s="20" t="s">
        <v>962</v>
      </c>
      <c r="G179" s="20" t="s">
        <v>963</v>
      </c>
      <c r="H179" s="51">
        <v>1993</v>
      </c>
      <c r="I179" s="30">
        <v>61.6</v>
      </c>
      <c r="J179" s="19" t="s">
        <v>964</v>
      </c>
      <c r="K179" s="34" t="s">
        <v>69</v>
      </c>
      <c r="L179" s="31">
        <v>45</v>
      </c>
      <c r="M179" s="31">
        <v>48</v>
      </c>
      <c r="N179" s="31">
        <v>54</v>
      </c>
      <c r="O179" s="36">
        <f t="shared" si="52"/>
        <v>54</v>
      </c>
      <c r="P179" s="31">
        <v>56</v>
      </c>
      <c r="Q179" s="31">
        <v>59</v>
      </c>
      <c r="R179" s="31">
        <v>61</v>
      </c>
      <c r="S179" s="36">
        <f t="shared" si="53"/>
        <v>61</v>
      </c>
      <c r="T179" s="37">
        <f t="shared" si="54"/>
        <v>115</v>
      </c>
      <c r="U179" s="65">
        <f t="shared" si="55"/>
        <v>-8.2000000000000028</v>
      </c>
      <c r="V179" s="41" t="str">
        <f t="shared" si="56"/>
        <v>IRG +</v>
      </c>
      <c r="W179" s="33">
        <f t="shared" si="57"/>
        <v>5</v>
      </c>
      <c r="X179" s="40" t="str">
        <f>IF(I179="","",IF(A179="H",IF(OR(H179="SEN",H179&lt;1995),VLOOKUP(I179,Feuil1!$A$11:$F$29,6),IF(AND(H179&gt;1994,H179&lt;1998),VLOOKUP(I179,Feuil1!$A$11:$F$29,5),IF(AND(H179&gt;1997,H179&lt;2000),VLOOKUP(I179,Feuil1!$A$11:$F$29,4),IF(AND(H179&gt;1999,H179&lt;2002),VLOOKUP(I179,Feuil1!$A$11:$F$29,3),VLOOKUP(I179,Feuil1!$A$11:$F$29,2))))),IF(OR(H179="SEN",H179&lt;1995),VLOOKUP(I179,Feuil1!$G$11:$L$25,6),IF(AND(H179&gt;1994,H179&lt;1998),VLOOKUP(I179,Feuil1!$G$11:$L$25,5),IF(AND(H179&gt;1997,H179&lt;2000),VLOOKUP(I179,Feuil1!$G$11:$L$25,4),IF(AND(H179&gt;1999,H179&lt;2002),VLOOKUP(I179,Feuil1!$G$11:$L$25,3),VLOOKUP(I179,Feuil1!$G$11:$L$25,2)))))))</f>
        <v>FS63</v>
      </c>
      <c r="Y179" s="39">
        <f t="shared" si="58"/>
        <v>155.15980196028954</v>
      </c>
      <c r="Z179" s="45"/>
      <c r="AA179" s="49" t="s">
        <v>12</v>
      </c>
      <c r="AB179" s="3">
        <f>T179-HLOOKUP(X179,Feuil1!$C$1:$BL$10,2,FALSE)</f>
        <v>40</v>
      </c>
      <c r="AC179" s="3">
        <f>T179-HLOOKUP(X179,Feuil1!$C$1:$BL$10,3,FALSE)</f>
        <v>30</v>
      </c>
      <c r="AD179" s="3">
        <f>T179-HLOOKUP(X179,Feuil1!$C$1:$BL$10,4,FALSE)</f>
        <v>20</v>
      </c>
      <c r="AE179" s="3">
        <f>T179-HLOOKUP(X179,Feuil1!$C$1:$BL$10,5,FALSE)</f>
        <v>5</v>
      </c>
      <c r="AF179" s="3">
        <f>T179-HLOOKUP(X179,Feuil1!$C$1:$BL$10,6,FALSE)</f>
        <v>-10</v>
      </c>
      <c r="AG179" s="3">
        <f>T179-HLOOKUP(X179,Feuil1!$C$1:$BL$10,7,FALSE)</f>
        <v>-25</v>
      </c>
      <c r="AH179" s="3">
        <f>T179-HLOOKUP(X179,Feuil1!$C$1:$BL$10,8,FALSE)</f>
        <v>-45</v>
      </c>
      <c r="AI179" s="3">
        <f>T179-HLOOKUP(X179,Feuil1!$C$1:$BL$10,9,FALSE)</f>
        <v>-65</v>
      </c>
      <c r="AJ179" s="3">
        <f>T179-HLOOKUP(X179,Feuil1!$C$1:$BL$10,10,FALSE)</f>
        <v>-85</v>
      </c>
      <c r="AK179" s="5"/>
      <c r="AL179" s="5"/>
      <c r="AM179" s="5"/>
      <c r="AN179" s="5"/>
      <c r="AO179" s="5"/>
      <c r="AP179" s="5"/>
      <c r="AQ179" s="5" t="str">
        <f t="shared" si="59"/>
        <v>IRG +</v>
      </c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</row>
    <row r="180" spans="1:55" s="13" customFormat="1" ht="21" hidden="1" x14ac:dyDescent="0.2">
      <c r="A180" s="12" t="s">
        <v>69</v>
      </c>
      <c r="B180" s="18" t="s">
        <v>108</v>
      </c>
      <c r="C180" s="19" t="s">
        <v>264</v>
      </c>
      <c r="D180" s="61">
        <v>25</v>
      </c>
      <c r="E180" s="35">
        <v>339428</v>
      </c>
      <c r="F180" s="20" t="s">
        <v>283</v>
      </c>
      <c r="G180" s="20" t="s">
        <v>284</v>
      </c>
      <c r="H180" s="51">
        <v>1986</v>
      </c>
      <c r="I180" s="30">
        <v>62</v>
      </c>
      <c r="J180" s="19" t="s">
        <v>267</v>
      </c>
      <c r="K180" s="34" t="s">
        <v>69</v>
      </c>
      <c r="L180" s="31">
        <v>48</v>
      </c>
      <c r="M180" s="31">
        <v>-51</v>
      </c>
      <c r="N180" s="31">
        <v>51</v>
      </c>
      <c r="O180" s="36">
        <f t="shared" si="52"/>
        <v>51</v>
      </c>
      <c r="P180" s="31">
        <v>58</v>
      </c>
      <c r="Q180" s="31">
        <v>61</v>
      </c>
      <c r="R180" s="31">
        <v>64</v>
      </c>
      <c r="S180" s="36">
        <f t="shared" si="53"/>
        <v>64</v>
      </c>
      <c r="T180" s="37">
        <f t="shared" si="54"/>
        <v>115</v>
      </c>
      <c r="U180" s="65">
        <f t="shared" si="55"/>
        <v>-9</v>
      </c>
      <c r="V180" s="41" t="str">
        <f t="shared" si="56"/>
        <v>IRG +</v>
      </c>
      <c r="W180" s="33">
        <f t="shared" si="57"/>
        <v>5</v>
      </c>
      <c r="X180" s="40" t="str">
        <f>IF(I180="","",IF(A180="H",IF(OR(H180="SEN",H180&lt;1995),VLOOKUP(I180,Feuil1!$A$11:$F$29,6),IF(AND(H180&gt;1994,H180&lt;1998),VLOOKUP(I180,Feuil1!$A$11:$F$29,5),IF(AND(H180&gt;1997,H180&lt;2000),VLOOKUP(I180,Feuil1!$A$11:$F$29,4),IF(AND(H180&gt;1999,H180&lt;2002),VLOOKUP(I180,Feuil1!$A$11:$F$29,3),VLOOKUP(I180,Feuil1!$A$11:$F$29,2))))),IF(OR(H180="SEN",H180&lt;1995),VLOOKUP(I180,Feuil1!$G$11:$L$25,6),IF(AND(H180&gt;1994,H180&lt;1998),VLOOKUP(I180,Feuil1!$G$11:$L$25,5),IF(AND(H180&gt;1997,H180&lt;2000),VLOOKUP(I180,Feuil1!$G$11:$L$25,4),IF(AND(H180&gt;1999,H180&lt;2002),VLOOKUP(I180,Feuil1!$G$11:$L$25,3),VLOOKUP(I180,Feuil1!$G$11:$L$25,2)))))))</f>
        <v>FS63</v>
      </c>
      <c r="Y180" s="39">
        <f t="shared" si="58"/>
        <v>154.4776413784212</v>
      </c>
      <c r="Z180" s="45"/>
      <c r="AA180" s="49" t="s">
        <v>12</v>
      </c>
      <c r="AB180" s="3">
        <f>T180-HLOOKUP(X180,Feuil1!$C$1:$BL$10,2,FALSE)</f>
        <v>40</v>
      </c>
      <c r="AC180" s="3">
        <f>T180-HLOOKUP(X180,Feuil1!$C$1:$BL$10,3,FALSE)</f>
        <v>30</v>
      </c>
      <c r="AD180" s="3">
        <f>T180-HLOOKUP(X180,Feuil1!$C$1:$BL$10,4,FALSE)</f>
        <v>20</v>
      </c>
      <c r="AE180" s="3">
        <f>T180-HLOOKUP(X180,Feuil1!$C$1:$BL$10,5,FALSE)</f>
        <v>5</v>
      </c>
      <c r="AF180" s="3">
        <f>T180-HLOOKUP(X180,Feuil1!$C$1:$BL$10,6,FALSE)</f>
        <v>-10</v>
      </c>
      <c r="AG180" s="3">
        <f>T180-HLOOKUP(X180,Feuil1!$C$1:$BL$10,7,FALSE)</f>
        <v>-25</v>
      </c>
      <c r="AH180" s="3">
        <f>T180-HLOOKUP(X180,Feuil1!$C$1:$BL$10,8,FALSE)</f>
        <v>-45</v>
      </c>
      <c r="AI180" s="3">
        <f>T180-HLOOKUP(X180,Feuil1!$C$1:$BL$10,9,FALSE)</f>
        <v>-65</v>
      </c>
      <c r="AJ180" s="3">
        <f>T180-HLOOKUP(X180,Feuil1!$C$1:$BL$10,10,FALSE)</f>
        <v>-85</v>
      </c>
      <c r="AK180" s="5"/>
      <c r="AL180" s="5"/>
      <c r="AM180" s="5"/>
      <c r="AN180" s="5"/>
      <c r="AO180" s="5"/>
      <c r="AP180" s="5"/>
      <c r="AQ180" s="5" t="str">
        <f t="shared" si="59"/>
        <v>IRG +</v>
      </c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</row>
    <row r="181" spans="1:55" s="13" customFormat="1" ht="21" hidden="1" x14ac:dyDescent="0.2">
      <c r="A181" s="12" t="s">
        <v>69</v>
      </c>
      <c r="B181" s="67" t="s">
        <v>298</v>
      </c>
      <c r="C181" s="68" t="s">
        <v>299</v>
      </c>
      <c r="D181" s="69">
        <v>26</v>
      </c>
      <c r="E181" s="70">
        <v>383141</v>
      </c>
      <c r="F181" s="71" t="s">
        <v>346</v>
      </c>
      <c r="G181" s="71" t="s">
        <v>347</v>
      </c>
      <c r="H181" s="72">
        <v>1989</v>
      </c>
      <c r="I181" s="73">
        <v>59.3</v>
      </c>
      <c r="J181" s="68" t="s">
        <v>302</v>
      </c>
      <c r="K181" s="74" t="s">
        <v>69</v>
      </c>
      <c r="L181" s="75">
        <v>45</v>
      </c>
      <c r="M181" s="75">
        <v>-49</v>
      </c>
      <c r="N181" s="75">
        <v>49</v>
      </c>
      <c r="O181" s="76">
        <f t="shared" si="52"/>
        <v>49</v>
      </c>
      <c r="P181" s="75">
        <v>65</v>
      </c>
      <c r="Q181" s="75">
        <v>-70</v>
      </c>
      <c r="R181" s="75">
        <v>-70</v>
      </c>
      <c r="S181" s="76">
        <f t="shared" si="53"/>
        <v>65</v>
      </c>
      <c r="T181" s="77">
        <f t="shared" si="54"/>
        <v>114</v>
      </c>
      <c r="U181" s="78">
        <f t="shared" si="55"/>
        <v>-4.5999999999999943</v>
      </c>
      <c r="V181" s="79" t="str">
        <f t="shared" si="56"/>
        <v>IRG +</v>
      </c>
      <c r="W181" s="80">
        <f t="shared" si="57"/>
        <v>4</v>
      </c>
      <c r="X181" s="81" t="str">
        <f>IF(I181="","",IF(A181="H",IF(OR(H181="SEN",H181&lt;1995),VLOOKUP(I181,Feuil1!$A$11:$F$29,6),IF(AND(H181&gt;1994,H181&lt;1998),VLOOKUP(I181,Feuil1!$A$11:$F$29,5),IF(AND(H181&gt;1997,H181&lt;2000),VLOOKUP(I181,Feuil1!$A$11:$F$29,4),IF(AND(H181&gt;1999,H181&lt;2002),VLOOKUP(I181,Feuil1!$A$11:$F$29,3),VLOOKUP(I181,Feuil1!$A$11:$F$29,2))))),IF(OR(H181="SEN",H181&lt;1995),VLOOKUP(I181,Feuil1!$G$11:$L$25,6),IF(AND(H181&gt;1994,H181&lt;1998),VLOOKUP(I181,Feuil1!$G$11:$L$25,5),IF(AND(H181&gt;1997,H181&lt;2000),VLOOKUP(I181,Feuil1!$G$11:$L$25,4),IF(AND(H181&gt;1999,H181&lt;2002),VLOOKUP(I181,Feuil1!$G$11:$L$25,3),VLOOKUP(I181,Feuil1!$G$11:$L$25,2)))))))</f>
        <v>FS63</v>
      </c>
      <c r="Y181" s="39">
        <f t="shared" si="58"/>
        <v>157.9512723633606</v>
      </c>
      <c r="Z181" s="45"/>
      <c r="AA181" s="49" t="s">
        <v>12</v>
      </c>
      <c r="AB181" s="3">
        <f>T181-HLOOKUP(X181,Feuil1!$C$1:$BL$10,2,FALSE)</f>
        <v>39</v>
      </c>
      <c r="AC181" s="3">
        <f>T181-HLOOKUP(X181,Feuil1!$C$1:$BL$10,3,FALSE)</f>
        <v>29</v>
      </c>
      <c r="AD181" s="3">
        <f>T181-HLOOKUP(X181,Feuil1!$C$1:$BL$10,4,FALSE)</f>
        <v>19</v>
      </c>
      <c r="AE181" s="3">
        <f>T181-HLOOKUP(X181,Feuil1!$C$1:$BL$10,5,FALSE)</f>
        <v>4</v>
      </c>
      <c r="AF181" s="3">
        <f>T181-HLOOKUP(X181,Feuil1!$C$1:$BL$10,6,FALSE)</f>
        <v>-11</v>
      </c>
      <c r="AG181" s="3">
        <f>T181-HLOOKUP(X181,Feuil1!$C$1:$BL$10,7,FALSE)</f>
        <v>-26</v>
      </c>
      <c r="AH181" s="3">
        <f>T181-HLOOKUP(X181,Feuil1!$C$1:$BL$10,8,FALSE)</f>
        <v>-46</v>
      </c>
      <c r="AI181" s="3">
        <f>T181-HLOOKUP(X181,Feuil1!$C$1:$BL$10,9,FALSE)</f>
        <v>-66</v>
      </c>
      <c r="AJ181" s="3">
        <f>T181-HLOOKUP(X181,Feuil1!$C$1:$BL$10,10,FALSE)</f>
        <v>-86</v>
      </c>
      <c r="AK181" s="5"/>
      <c r="AL181" s="5"/>
      <c r="AM181" s="5"/>
      <c r="AN181" s="5"/>
      <c r="AO181" s="5"/>
      <c r="AP181" s="5"/>
      <c r="AQ181" s="5" t="str">
        <f t="shared" si="59"/>
        <v>IRG +</v>
      </c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</row>
    <row r="182" spans="1:55" s="13" customFormat="1" ht="21" hidden="1" x14ac:dyDescent="0.2">
      <c r="A182" s="12" t="s">
        <v>69</v>
      </c>
      <c r="B182" s="18" t="s">
        <v>71</v>
      </c>
      <c r="C182" s="19" t="s">
        <v>872</v>
      </c>
      <c r="D182" s="61">
        <v>27</v>
      </c>
      <c r="E182" s="35">
        <v>280279</v>
      </c>
      <c r="F182" s="20" t="s">
        <v>877</v>
      </c>
      <c r="G182" s="20" t="s">
        <v>878</v>
      </c>
      <c r="H182" s="51">
        <v>1982</v>
      </c>
      <c r="I182" s="30">
        <v>62</v>
      </c>
      <c r="J182" s="19" t="s">
        <v>876</v>
      </c>
      <c r="K182" s="34" t="s">
        <v>69</v>
      </c>
      <c r="L182" s="31">
        <v>47</v>
      </c>
      <c r="M182" s="31">
        <v>50</v>
      </c>
      <c r="N182" s="31">
        <v>52</v>
      </c>
      <c r="O182" s="36">
        <f t="shared" si="52"/>
        <v>52</v>
      </c>
      <c r="P182" s="31">
        <v>58</v>
      </c>
      <c r="Q182" s="31">
        <v>62</v>
      </c>
      <c r="R182" s="31">
        <v>-61</v>
      </c>
      <c r="S182" s="36">
        <f t="shared" si="53"/>
        <v>62</v>
      </c>
      <c r="T182" s="37">
        <f t="shared" si="54"/>
        <v>114</v>
      </c>
      <c r="U182" s="65">
        <f t="shared" si="55"/>
        <v>-10</v>
      </c>
      <c r="V182" s="32" t="str">
        <f t="shared" si="56"/>
        <v>IRG +</v>
      </c>
      <c r="W182" s="33">
        <f t="shared" si="57"/>
        <v>4</v>
      </c>
      <c r="X182" s="40" t="str">
        <f>IF(I182="","",IF(A182="H",IF(OR(H182="SEN",H182&lt;1995),VLOOKUP(I182,Feuil1!$A$11:$F$29,6),IF(AND(H182&gt;1994,H182&lt;1998),VLOOKUP(I182,Feuil1!$A$11:$F$29,5),IF(AND(H182&gt;1997,H182&lt;2000),VLOOKUP(I182,Feuil1!$A$11:$F$29,4),IF(AND(H182&gt;1999,H182&lt;2002),VLOOKUP(I182,Feuil1!$A$11:$F$29,3),VLOOKUP(I182,Feuil1!$A$11:$F$29,2))))),IF(OR(H182="SEN",H182&lt;1995),VLOOKUP(I182,Feuil1!$G$11:$L$25,6),IF(AND(H182&gt;1994,H182&lt;1998),VLOOKUP(I182,Feuil1!$G$11:$L$25,5),IF(AND(H182&gt;1997,H182&lt;2000),VLOOKUP(I182,Feuil1!$G$11:$L$25,4),IF(AND(H182&gt;1999,H182&lt;2002),VLOOKUP(I182,Feuil1!$G$11:$L$25,3),VLOOKUP(I182,Feuil1!$G$11:$L$25,2)))))))</f>
        <v>FS63</v>
      </c>
      <c r="Y182" s="39">
        <f t="shared" si="58"/>
        <v>153.13435754034796</v>
      </c>
      <c r="Z182" s="45"/>
      <c r="AA182" s="49" t="s">
        <v>12</v>
      </c>
      <c r="AB182" s="3">
        <f>T182-HLOOKUP(X182,Feuil1!$C$1:$BL$10,2,FALSE)</f>
        <v>39</v>
      </c>
      <c r="AC182" s="3">
        <f>T182-HLOOKUP(X182,Feuil1!$C$1:$BL$10,3,FALSE)</f>
        <v>29</v>
      </c>
      <c r="AD182" s="3">
        <f>T182-HLOOKUP(X182,Feuil1!$C$1:$BL$10,4,FALSE)</f>
        <v>19</v>
      </c>
      <c r="AE182" s="3">
        <f>T182-HLOOKUP(X182,Feuil1!$C$1:$BL$10,5,FALSE)</f>
        <v>4</v>
      </c>
      <c r="AF182" s="3">
        <f>T182-HLOOKUP(X182,Feuil1!$C$1:$BL$10,6,FALSE)</f>
        <v>-11</v>
      </c>
      <c r="AG182" s="3">
        <f>T182-HLOOKUP(X182,Feuil1!$C$1:$BL$10,7,FALSE)</f>
        <v>-26</v>
      </c>
      <c r="AH182" s="3">
        <f>T182-HLOOKUP(X182,Feuil1!$C$1:$BL$10,8,FALSE)</f>
        <v>-46</v>
      </c>
      <c r="AI182" s="3">
        <f>T182-HLOOKUP(X182,Feuil1!$C$1:$BL$10,9,FALSE)</f>
        <v>-66</v>
      </c>
      <c r="AJ182" s="3">
        <f>T182-HLOOKUP(X182,Feuil1!$C$1:$BL$10,10,FALSE)</f>
        <v>-86</v>
      </c>
      <c r="AK182" s="5"/>
      <c r="AL182" s="5"/>
      <c r="AM182" s="5"/>
      <c r="AN182" s="5"/>
      <c r="AO182" s="5"/>
      <c r="AP182" s="5"/>
      <c r="AQ182" s="5" t="str">
        <f t="shared" si="59"/>
        <v>IRG +</v>
      </c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</row>
    <row r="183" spans="1:55" s="13" customFormat="1" ht="21" hidden="1" x14ac:dyDescent="0.2">
      <c r="A183" s="12" t="s">
        <v>69</v>
      </c>
      <c r="B183" s="18" t="s">
        <v>298</v>
      </c>
      <c r="C183" s="19" t="s">
        <v>299</v>
      </c>
      <c r="D183" s="61">
        <v>28</v>
      </c>
      <c r="E183" s="35">
        <v>388582</v>
      </c>
      <c r="F183" s="20" t="s">
        <v>366</v>
      </c>
      <c r="G183" s="20" t="s">
        <v>367</v>
      </c>
      <c r="H183" s="51">
        <v>1982</v>
      </c>
      <c r="I183" s="30">
        <v>59.7</v>
      </c>
      <c r="J183" s="19" t="s">
        <v>332</v>
      </c>
      <c r="K183" s="34" t="s">
        <v>69</v>
      </c>
      <c r="L183" s="31">
        <v>40</v>
      </c>
      <c r="M183" s="31">
        <v>45</v>
      </c>
      <c r="N183" s="31">
        <v>48</v>
      </c>
      <c r="O183" s="36">
        <f t="shared" si="52"/>
        <v>48</v>
      </c>
      <c r="P183" s="31">
        <v>60</v>
      </c>
      <c r="Q183" s="31">
        <v>65</v>
      </c>
      <c r="R183" s="31">
        <v>-68</v>
      </c>
      <c r="S183" s="36">
        <f t="shared" si="53"/>
        <v>65</v>
      </c>
      <c r="T183" s="37">
        <f t="shared" si="54"/>
        <v>113</v>
      </c>
      <c r="U183" s="65">
        <f t="shared" si="55"/>
        <v>-6.4000000000000057</v>
      </c>
      <c r="V183" s="41" t="str">
        <f t="shared" si="56"/>
        <v>IRG +</v>
      </c>
      <c r="W183" s="33">
        <f t="shared" si="57"/>
        <v>3</v>
      </c>
      <c r="X183" s="40" t="str">
        <f>IF(I183="","",IF(A183="H",IF(OR(H183="SEN",H183&lt;1995),VLOOKUP(I183,Feuil1!$A$11:$F$29,6),IF(AND(H183&gt;1994,H183&lt;1998),VLOOKUP(I183,Feuil1!$A$11:$F$29,5),IF(AND(H183&gt;1997,H183&lt;2000),VLOOKUP(I183,Feuil1!$A$11:$F$29,4),IF(AND(H183&gt;1999,H183&lt;2002),VLOOKUP(I183,Feuil1!$A$11:$F$29,3),VLOOKUP(I183,Feuil1!$A$11:$F$29,2))))),IF(OR(H183="SEN",H183&lt;1995),VLOOKUP(I183,Feuil1!$G$11:$L$25,6),IF(AND(H183&gt;1994,H183&lt;1998),VLOOKUP(I183,Feuil1!$G$11:$L$25,5),IF(AND(H183&gt;1997,H183&lt;2000),VLOOKUP(I183,Feuil1!$G$11:$L$25,4),IF(AND(H183&gt;1999,H183&lt;2002),VLOOKUP(I183,Feuil1!$G$11:$L$25,3),VLOOKUP(I183,Feuil1!$G$11:$L$25,2)))))))</f>
        <v>FS63</v>
      </c>
      <c r="Y183" s="39">
        <f t="shared" si="58"/>
        <v>155.8198787080799</v>
      </c>
      <c r="Z183" s="45"/>
      <c r="AA183" s="49" t="s">
        <v>12</v>
      </c>
      <c r="AB183" s="3">
        <f>T183-HLOOKUP(X183,Feuil1!$C$1:$BL$10,2,FALSE)</f>
        <v>38</v>
      </c>
      <c r="AC183" s="3">
        <f>T183-HLOOKUP(X183,Feuil1!$C$1:$BL$10,3,FALSE)</f>
        <v>28</v>
      </c>
      <c r="AD183" s="3">
        <f>T183-HLOOKUP(X183,Feuil1!$C$1:$BL$10,4,FALSE)</f>
        <v>18</v>
      </c>
      <c r="AE183" s="3">
        <f>T183-HLOOKUP(X183,Feuil1!$C$1:$BL$10,5,FALSE)</f>
        <v>3</v>
      </c>
      <c r="AF183" s="3">
        <f>T183-HLOOKUP(X183,Feuil1!$C$1:$BL$10,6,FALSE)</f>
        <v>-12</v>
      </c>
      <c r="AG183" s="3">
        <f>T183-HLOOKUP(X183,Feuil1!$C$1:$BL$10,7,FALSE)</f>
        <v>-27</v>
      </c>
      <c r="AH183" s="3">
        <f>T183-HLOOKUP(X183,Feuil1!$C$1:$BL$10,8,FALSE)</f>
        <v>-47</v>
      </c>
      <c r="AI183" s="3">
        <f>T183-HLOOKUP(X183,Feuil1!$C$1:$BL$10,9,FALSE)</f>
        <v>-67</v>
      </c>
      <c r="AJ183" s="3">
        <f>T183-HLOOKUP(X183,Feuil1!$C$1:$BL$10,10,FALSE)</f>
        <v>-87</v>
      </c>
      <c r="AK183" s="5"/>
      <c r="AL183" s="5"/>
      <c r="AM183" s="5"/>
      <c r="AN183" s="5"/>
      <c r="AO183" s="5"/>
      <c r="AP183" s="5"/>
      <c r="AQ183" s="5" t="str">
        <f t="shared" si="59"/>
        <v>IRG +</v>
      </c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</row>
    <row r="184" spans="1:55" s="13" customFormat="1" ht="21" hidden="1" x14ac:dyDescent="0.2">
      <c r="A184" s="12" t="s">
        <v>69</v>
      </c>
      <c r="B184" s="67" t="s">
        <v>721</v>
      </c>
      <c r="C184" s="68" t="s">
        <v>745</v>
      </c>
      <c r="D184" s="69">
        <v>29</v>
      </c>
      <c r="E184" s="70">
        <v>355102</v>
      </c>
      <c r="F184" s="71" t="s">
        <v>762</v>
      </c>
      <c r="G184" s="71" t="s">
        <v>675</v>
      </c>
      <c r="H184" s="72">
        <v>1991</v>
      </c>
      <c r="I184" s="73">
        <v>60.2</v>
      </c>
      <c r="J184" s="68" t="s">
        <v>748</v>
      </c>
      <c r="K184" s="74" t="s">
        <v>69</v>
      </c>
      <c r="L184" s="75">
        <v>45</v>
      </c>
      <c r="M184" s="75">
        <v>48</v>
      </c>
      <c r="N184" s="75">
        <v>49</v>
      </c>
      <c r="O184" s="76">
        <f t="shared" si="52"/>
        <v>49</v>
      </c>
      <c r="P184" s="75">
        <v>54</v>
      </c>
      <c r="Q184" s="75">
        <v>58</v>
      </c>
      <c r="R184" s="75">
        <v>-61</v>
      </c>
      <c r="S184" s="76">
        <f t="shared" si="53"/>
        <v>58</v>
      </c>
      <c r="T184" s="77">
        <f t="shared" si="54"/>
        <v>107</v>
      </c>
      <c r="U184" s="78">
        <f t="shared" si="55"/>
        <v>-13.400000000000006</v>
      </c>
      <c r="V184" s="79" t="str">
        <f t="shared" si="56"/>
        <v>REG +</v>
      </c>
      <c r="W184" s="80">
        <f t="shared" si="57"/>
        <v>12</v>
      </c>
      <c r="X184" s="81" t="str">
        <f>IF(I184="","",IF(A184="H",IF(OR(H184="SEN",H184&lt;1995),VLOOKUP(I184,Feuil1!$A$11:$F$29,6),IF(AND(H184&gt;1994,H184&lt;1998),VLOOKUP(I184,Feuil1!$A$11:$F$29,5),IF(AND(H184&gt;1997,H184&lt;2000),VLOOKUP(I184,Feuil1!$A$11:$F$29,4),IF(AND(H184&gt;1999,H184&lt;2002),VLOOKUP(I184,Feuil1!$A$11:$F$29,3),VLOOKUP(I184,Feuil1!$A$11:$F$29,2))))),IF(OR(H184="SEN",H184&lt;1995),VLOOKUP(I184,Feuil1!$G$11:$L$25,6),IF(AND(H184&gt;1994,H184&lt;1998),VLOOKUP(I184,Feuil1!$G$11:$L$25,5),IF(AND(H184&gt;1997,H184&lt;2000),VLOOKUP(I184,Feuil1!$G$11:$L$25,4),IF(AND(H184&gt;1999,H184&lt;2002),VLOOKUP(I184,Feuil1!$G$11:$L$25,3),VLOOKUP(I184,Feuil1!$G$11:$L$25,2)))))))</f>
        <v>FS63</v>
      </c>
      <c r="Y184" s="39">
        <f t="shared" si="58"/>
        <v>146.68192031309883</v>
      </c>
      <c r="Z184" s="45"/>
      <c r="AA184" s="49" t="s">
        <v>12</v>
      </c>
      <c r="AB184" s="3">
        <f>T184-HLOOKUP(X184,Feuil1!$C$1:$BL$10,2,FALSE)</f>
        <v>32</v>
      </c>
      <c r="AC184" s="3">
        <f>T184-HLOOKUP(X184,Feuil1!$C$1:$BL$10,3,FALSE)</f>
        <v>22</v>
      </c>
      <c r="AD184" s="3">
        <f>T184-HLOOKUP(X184,Feuil1!$C$1:$BL$10,4,FALSE)</f>
        <v>12</v>
      </c>
      <c r="AE184" s="3">
        <f>T184-HLOOKUP(X184,Feuil1!$C$1:$BL$10,5,FALSE)</f>
        <v>-3</v>
      </c>
      <c r="AF184" s="3">
        <f>T184-HLOOKUP(X184,Feuil1!$C$1:$BL$10,6,FALSE)</f>
        <v>-18</v>
      </c>
      <c r="AG184" s="3">
        <f>T184-HLOOKUP(X184,Feuil1!$C$1:$BL$10,7,FALSE)</f>
        <v>-33</v>
      </c>
      <c r="AH184" s="3">
        <f>T184-HLOOKUP(X184,Feuil1!$C$1:$BL$10,8,FALSE)</f>
        <v>-53</v>
      </c>
      <c r="AI184" s="3">
        <f>T184-HLOOKUP(X184,Feuil1!$C$1:$BL$10,9,FALSE)</f>
        <v>-73</v>
      </c>
      <c r="AJ184" s="3">
        <f>T184-HLOOKUP(X184,Feuil1!$C$1:$BL$10,10,FALSE)</f>
        <v>-93</v>
      </c>
      <c r="AK184" s="5"/>
      <c r="AL184" s="5"/>
      <c r="AM184" s="5"/>
      <c r="AN184" s="5"/>
      <c r="AO184" s="5"/>
      <c r="AP184" s="5"/>
      <c r="AQ184" s="5" t="str">
        <f t="shared" si="59"/>
        <v>REG +</v>
      </c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</row>
    <row r="185" spans="1:55" s="13" customFormat="1" ht="21" hidden="1" x14ac:dyDescent="0.2">
      <c r="A185" s="12" t="s">
        <v>69</v>
      </c>
      <c r="B185" s="18" t="s">
        <v>721</v>
      </c>
      <c r="C185" s="19" t="s">
        <v>775</v>
      </c>
      <c r="D185" s="61">
        <v>30</v>
      </c>
      <c r="E185" s="35">
        <v>360545</v>
      </c>
      <c r="F185" s="20" t="s">
        <v>795</v>
      </c>
      <c r="G185" s="20" t="s">
        <v>114</v>
      </c>
      <c r="H185" s="51">
        <v>1993</v>
      </c>
      <c r="I185" s="30">
        <v>60.2</v>
      </c>
      <c r="J185" s="19" t="s">
        <v>796</v>
      </c>
      <c r="K185" s="34" t="s">
        <v>69</v>
      </c>
      <c r="L185" s="31">
        <v>42</v>
      </c>
      <c r="M185" s="31">
        <v>-45</v>
      </c>
      <c r="N185" s="31">
        <v>47</v>
      </c>
      <c r="O185" s="36">
        <f t="shared" si="52"/>
        <v>47</v>
      </c>
      <c r="P185" s="31">
        <v>55</v>
      </c>
      <c r="Q185" s="31">
        <v>60</v>
      </c>
      <c r="R185" s="31">
        <v>-63</v>
      </c>
      <c r="S185" s="36">
        <f t="shared" si="53"/>
        <v>60</v>
      </c>
      <c r="T185" s="37">
        <f t="shared" si="54"/>
        <v>107</v>
      </c>
      <c r="U185" s="65">
        <f t="shared" si="55"/>
        <v>-13.400000000000006</v>
      </c>
      <c r="V185" s="41" t="str">
        <f t="shared" si="56"/>
        <v>REG +</v>
      </c>
      <c r="W185" s="33">
        <f t="shared" si="57"/>
        <v>12</v>
      </c>
      <c r="X185" s="40" t="str">
        <f>IF(I185="","",IF(A185="H",IF(OR(H185="SEN",H185&lt;1995),VLOOKUP(I185,Feuil1!$A$11:$F$29,6),IF(AND(H185&gt;1994,H185&lt;1998),VLOOKUP(I185,Feuil1!$A$11:$F$29,5),IF(AND(H185&gt;1997,H185&lt;2000),VLOOKUP(I185,Feuil1!$A$11:$F$29,4),IF(AND(H185&gt;1999,H185&lt;2002),VLOOKUP(I185,Feuil1!$A$11:$F$29,3),VLOOKUP(I185,Feuil1!$A$11:$F$29,2))))),IF(OR(H185="SEN",H185&lt;1995),VLOOKUP(I185,Feuil1!$G$11:$L$25,6),IF(AND(H185&gt;1994,H185&lt;1998),VLOOKUP(I185,Feuil1!$G$11:$L$25,5),IF(AND(H185&gt;1997,H185&lt;2000),VLOOKUP(I185,Feuil1!$G$11:$L$25,4),IF(AND(H185&gt;1999,H185&lt;2002),VLOOKUP(I185,Feuil1!$G$11:$L$25,3),VLOOKUP(I185,Feuil1!$G$11:$L$25,2)))))))</f>
        <v>FS63</v>
      </c>
      <c r="Y185" s="39">
        <f t="shared" si="58"/>
        <v>146.68192031309883</v>
      </c>
      <c r="Z185" s="45"/>
      <c r="AA185" s="49" t="s">
        <v>12</v>
      </c>
      <c r="AB185" s="3">
        <f>T185-HLOOKUP(X185,Feuil1!$C$1:$BL$10,2,FALSE)</f>
        <v>32</v>
      </c>
      <c r="AC185" s="3">
        <f>T185-HLOOKUP(X185,Feuil1!$C$1:$BL$10,3,FALSE)</f>
        <v>22</v>
      </c>
      <c r="AD185" s="3">
        <f>T185-HLOOKUP(X185,Feuil1!$C$1:$BL$10,4,FALSE)</f>
        <v>12</v>
      </c>
      <c r="AE185" s="3">
        <f>T185-HLOOKUP(X185,Feuil1!$C$1:$BL$10,5,FALSE)</f>
        <v>-3</v>
      </c>
      <c r="AF185" s="3">
        <f>T185-HLOOKUP(X185,Feuil1!$C$1:$BL$10,6,FALSE)</f>
        <v>-18</v>
      </c>
      <c r="AG185" s="3">
        <f>T185-HLOOKUP(X185,Feuil1!$C$1:$BL$10,7,FALSE)</f>
        <v>-33</v>
      </c>
      <c r="AH185" s="3">
        <f>T185-HLOOKUP(X185,Feuil1!$C$1:$BL$10,8,FALSE)</f>
        <v>-53</v>
      </c>
      <c r="AI185" s="3">
        <f>T185-HLOOKUP(X185,Feuil1!$C$1:$BL$10,9,FALSE)</f>
        <v>-73</v>
      </c>
      <c r="AJ185" s="3">
        <f>T185-HLOOKUP(X185,Feuil1!$C$1:$BL$10,10,FALSE)</f>
        <v>-93</v>
      </c>
      <c r="AK185" s="5"/>
      <c r="AL185" s="5"/>
      <c r="AM185" s="5"/>
      <c r="AN185" s="5"/>
      <c r="AO185" s="5"/>
      <c r="AP185" s="5"/>
      <c r="AQ185" s="5" t="str">
        <f t="shared" si="59"/>
        <v>REG +</v>
      </c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</row>
    <row r="186" spans="1:55" s="13" customFormat="1" ht="21" hidden="1" x14ac:dyDescent="0.2">
      <c r="A186" s="12" t="s">
        <v>69</v>
      </c>
      <c r="B186" s="18" t="s">
        <v>71</v>
      </c>
      <c r="C186" s="19" t="s">
        <v>72</v>
      </c>
      <c r="D186" s="61">
        <v>31</v>
      </c>
      <c r="E186" s="35">
        <v>195347</v>
      </c>
      <c r="F186" s="20" t="s">
        <v>987</v>
      </c>
      <c r="G186" s="20" t="s">
        <v>843</v>
      </c>
      <c r="H186" s="51">
        <v>1972</v>
      </c>
      <c r="I186" s="30">
        <v>62.8</v>
      </c>
      <c r="J186" s="19" t="s">
        <v>964</v>
      </c>
      <c r="K186" s="34" t="s">
        <v>69</v>
      </c>
      <c r="L186" s="31">
        <v>45</v>
      </c>
      <c r="M186" s="31">
        <v>48</v>
      </c>
      <c r="N186" s="31">
        <v>-50</v>
      </c>
      <c r="O186" s="36">
        <f t="shared" si="52"/>
        <v>48</v>
      </c>
      <c r="P186" s="31">
        <v>55</v>
      </c>
      <c r="Q186" s="31">
        <v>58</v>
      </c>
      <c r="R186" s="31">
        <v>-60</v>
      </c>
      <c r="S186" s="36">
        <f t="shared" si="53"/>
        <v>58</v>
      </c>
      <c r="T186" s="37">
        <f t="shared" si="54"/>
        <v>106</v>
      </c>
      <c r="U186" s="65">
        <f t="shared" si="55"/>
        <v>-19.599999999999994</v>
      </c>
      <c r="V186" s="41" t="str">
        <f t="shared" si="56"/>
        <v>REG +</v>
      </c>
      <c r="W186" s="33">
        <f t="shared" si="57"/>
        <v>11</v>
      </c>
      <c r="X186" s="40" t="str">
        <f>IF(I186="","",IF(A186="H",IF(OR(H186="SEN",H186&lt;1995),VLOOKUP(I186,Feuil1!$A$11:$F$29,6),IF(AND(H186&gt;1994,H186&lt;1998),VLOOKUP(I186,Feuil1!$A$11:$F$29,5),IF(AND(H186&gt;1997,H186&lt;2000),VLOOKUP(I186,Feuil1!$A$11:$F$29,4),IF(AND(H186&gt;1999,H186&lt;2002),VLOOKUP(I186,Feuil1!$A$11:$F$29,3),VLOOKUP(I186,Feuil1!$A$11:$F$29,2))))),IF(OR(H186="SEN",H186&lt;1995),VLOOKUP(I186,Feuil1!$G$11:$L$25,6),IF(AND(H186&gt;1994,H186&lt;1998),VLOOKUP(I186,Feuil1!$G$11:$L$25,5),IF(AND(H186&gt;1997,H186&lt;2000),VLOOKUP(I186,Feuil1!$G$11:$L$25,4),IF(AND(H186&gt;1999,H186&lt;2002),VLOOKUP(I186,Feuil1!$G$11:$L$25,3),VLOOKUP(I186,Feuil1!$G$11:$L$25,2)))))))</f>
        <v>FS63</v>
      </c>
      <c r="Y186" s="39">
        <f t="shared" si="58"/>
        <v>141.16437272893288</v>
      </c>
      <c r="Z186" s="45"/>
      <c r="AA186" s="49" t="s">
        <v>12</v>
      </c>
      <c r="AB186" s="3">
        <f>T186-HLOOKUP(X186,Feuil1!$C$1:$BL$10,2,FALSE)</f>
        <v>31</v>
      </c>
      <c r="AC186" s="3">
        <f>T186-HLOOKUP(X186,Feuil1!$C$1:$BL$10,3,FALSE)</f>
        <v>21</v>
      </c>
      <c r="AD186" s="3">
        <f>T186-HLOOKUP(X186,Feuil1!$C$1:$BL$10,4,FALSE)</f>
        <v>11</v>
      </c>
      <c r="AE186" s="3">
        <f>T186-HLOOKUP(X186,Feuil1!$C$1:$BL$10,5,FALSE)</f>
        <v>-4</v>
      </c>
      <c r="AF186" s="3">
        <f>T186-HLOOKUP(X186,Feuil1!$C$1:$BL$10,6,FALSE)</f>
        <v>-19</v>
      </c>
      <c r="AG186" s="3">
        <f>T186-HLOOKUP(X186,Feuil1!$C$1:$BL$10,7,FALSE)</f>
        <v>-34</v>
      </c>
      <c r="AH186" s="3">
        <f>T186-HLOOKUP(X186,Feuil1!$C$1:$BL$10,8,FALSE)</f>
        <v>-54</v>
      </c>
      <c r="AI186" s="3">
        <f>T186-HLOOKUP(X186,Feuil1!$C$1:$BL$10,9,FALSE)</f>
        <v>-74</v>
      </c>
      <c r="AJ186" s="3">
        <f>T186-HLOOKUP(X186,Feuil1!$C$1:$BL$10,10,FALSE)</f>
        <v>-94</v>
      </c>
      <c r="AK186" s="5"/>
      <c r="AL186" s="5"/>
      <c r="AM186" s="5"/>
      <c r="AN186" s="5"/>
      <c r="AO186" s="5"/>
      <c r="AP186" s="5"/>
      <c r="AQ186" s="5" t="str">
        <f t="shared" si="59"/>
        <v>REG +</v>
      </c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</row>
    <row r="187" spans="1:55" s="13" customFormat="1" ht="21" hidden="1" x14ac:dyDescent="0.2">
      <c r="A187" s="12" t="s">
        <v>69</v>
      </c>
      <c r="B187" s="18" t="s">
        <v>298</v>
      </c>
      <c r="C187" s="19" t="s">
        <v>299</v>
      </c>
      <c r="D187" s="61">
        <v>32</v>
      </c>
      <c r="E187" s="35">
        <v>366519</v>
      </c>
      <c r="F187" s="20" t="s">
        <v>368</v>
      </c>
      <c r="G187" s="20" t="s">
        <v>369</v>
      </c>
      <c r="H187" s="51">
        <v>1986</v>
      </c>
      <c r="I187" s="30">
        <v>62</v>
      </c>
      <c r="J187" s="19" t="s">
        <v>302</v>
      </c>
      <c r="K187" s="34" t="s">
        <v>69</v>
      </c>
      <c r="L187" s="31">
        <v>37</v>
      </c>
      <c r="M187" s="31">
        <v>40</v>
      </c>
      <c r="N187" s="31">
        <v>42</v>
      </c>
      <c r="O187" s="36">
        <f t="shared" si="52"/>
        <v>42</v>
      </c>
      <c r="P187" s="31">
        <v>55</v>
      </c>
      <c r="Q187" s="31">
        <v>60</v>
      </c>
      <c r="R187" s="31">
        <v>-63</v>
      </c>
      <c r="S187" s="36">
        <f t="shared" si="53"/>
        <v>60</v>
      </c>
      <c r="T187" s="37">
        <f t="shared" si="54"/>
        <v>102</v>
      </c>
      <c r="U187" s="65">
        <f t="shared" si="55"/>
        <v>-22</v>
      </c>
      <c r="V187" s="41" t="str">
        <f t="shared" si="56"/>
        <v>REG +</v>
      </c>
      <c r="W187" s="33">
        <f t="shared" si="57"/>
        <v>7</v>
      </c>
      <c r="X187" s="40" t="str">
        <f>IF(I187="","",IF(A187="H",IF(OR(H187="SEN",H187&lt;1995),VLOOKUP(I187,Feuil1!$A$11:$F$29,6),IF(AND(H187&gt;1994,H187&lt;1998),VLOOKUP(I187,Feuil1!$A$11:$F$29,5),IF(AND(H187&gt;1997,H187&lt;2000),VLOOKUP(I187,Feuil1!$A$11:$F$29,4),IF(AND(H187&gt;1999,H187&lt;2002),VLOOKUP(I187,Feuil1!$A$11:$F$29,3),VLOOKUP(I187,Feuil1!$A$11:$F$29,2))))),IF(OR(H187="SEN",H187&lt;1995),VLOOKUP(I187,Feuil1!$G$11:$L$25,6),IF(AND(H187&gt;1994,H187&lt;1998),VLOOKUP(I187,Feuil1!$G$11:$L$25,5),IF(AND(H187&gt;1997,H187&lt;2000),VLOOKUP(I187,Feuil1!$G$11:$L$25,4),IF(AND(H187&gt;1999,H187&lt;2002),VLOOKUP(I187,Feuil1!$G$11:$L$25,3),VLOOKUP(I187,Feuil1!$G$11:$L$25,2)))))))</f>
        <v>FS63</v>
      </c>
      <c r="Y187" s="39">
        <f t="shared" si="58"/>
        <v>137.01495148346922</v>
      </c>
      <c r="Z187" s="45"/>
      <c r="AA187" s="49" t="s">
        <v>12</v>
      </c>
      <c r="AB187" s="3">
        <f>T187-HLOOKUP(X187,Feuil1!$C$1:$BL$10,2,FALSE)</f>
        <v>27</v>
      </c>
      <c r="AC187" s="3">
        <f>T187-HLOOKUP(X187,Feuil1!$C$1:$BL$10,3,FALSE)</f>
        <v>17</v>
      </c>
      <c r="AD187" s="3">
        <f>T187-HLOOKUP(X187,Feuil1!$C$1:$BL$10,4,FALSE)</f>
        <v>7</v>
      </c>
      <c r="AE187" s="3">
        <f>T187-HLOOKUP(X187,Feuil1!$C$1:$BL$10,5,FALSE)</f>
        <v>-8</v>
      </c>
      <c r="AF187" s="3">
        <f>T187-HLOOKUP(X187,Feuil1!$C$1:$BL$10,6,FALSE)</f>
        <v>-23</v>
      </c>
      <c r="AG187" s="3">
        <f>T187-HLOOKUP(X187,Feuil1!$C$1:$BL$10,7,FALSE)</f>
        <v>-38</v>
      </c>
      <c r="AH187" s="3">
        <f>T187-HLOOKUP(X187,Feuil1!$C$1:$BL$10,8,FALSE)</f>
        <v>-58</v>
      </c>
      <c r="AI187" s="3">
        <f>T187-HLOOKUP(X187,Feuil1!$C$1:$BL$10,9,FALSE)</f>
        <v>-78</v>
      </c>
      <c r="AJ187" s="3">
        <f>T187-HLOOKUP(X187,Feuil1!$C$1:$BL$10,10,FALSE)</f>
        <v>-98</v>
      </c>
      <c r="AK187" s="5"/>
      <c r="AL187" s="5"/>
      <c r="AM187" s="5"/>
      <c r="AN187" s="5"/>
      <c r="AO187" s="5"/>
      <c r="AP187" s="5"/>
      <c r="AQ187" s="5" t="str">
        <f t="shared" si="59"/>
        <v>REG +</v>
      </c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</row>
    <row r="188" spans="1:55" s="13" customFormat="1" ht="21" hidden="1" x14ac:dyDescent="0.2">
      <c r="A188" s="12" t="s">
        <v>69</v>
      </c>
      <c r="B188" s="18" t="s">
        <v>71</v>
      </c>
      <c r="C188" s="19" t="s">
        <v>883</v>
      </c>
      <c r="D188" s="61">
        <v>33</v>
      </c>
      <c r="E188" s="35">
        <v>390150</v>
      </c>
      <c r="F188" s="20" t="s">
        <v>911</v>
      </c>
      <c r="G188" s="20" t="s">
        <v>187</v>
      </c>
      <c r="H188" s="51">
        <v>1967</v>
      </c>
      <c r="I188" s="30">
        <v>62.7</v>
      </c>
      <c r="J188" s="19" t="s">
        <v>886</v>
      </c>
      <c r="K188" s="34" t="s">
        <v>69</v>
      </c>
      <c r="L188" s="31">
        <v>38</v>
      </c>
      <c r="M188" s="31">
        <v>42</v>
      </c>
      <c r="N188" s="31">
        <v>44</v>
      </c>
      <c r="O188" s="36">
        <f t="shared" ref="O188:O219" si="60">IF(H188="","",IF(MAXA(L188:N188)&lt;=0,0,MAXA(L188:N188)))</f>
        <v>44</v>
      </c>
      <c r="P188" s="31">
        <v>55</v>
      </c>
      <c r="Q188" s="31">
        <v>-58</v>
      </c>
      <c r="R188" s="31">
        <v>58</v>
      </c>
      <c r="S188" s="36">
        <f t="shared" ref="S188:S219" si="61">IF(H188="","",IF(MAXA(P188:R188)&lt;=0,0,MAXA(P188:R188)))</f>
        <v>58</v>
      </c>
      <c r="T188" s="37">
        <f t="shared" ref="T188:T219" si="62">IF(H188="","",IF(OR(O188=0,S188=0),0,O188+S188))</f>
        <v>102</v>
      </c>
      <c r="U188" s="65">
        <f t="shared" ref="U188:U219" si="63">T188-I188*2</f>
        <v>-23.400000000000006</v>
      </c>
      <c r="V188" s="41" t="str">
        <f t="shared" ref="V188:V219" si="64">IF(H188="","",AQ188)</f>
        <v>REG +</v>
      </c>
      <c r="W188" s="33">
        <f t="shared" ref="W188:W219" si="65">IF(AJ188&gt;=0,AJ188,IF(AI188&gt;=0,AI188,IF(AH188&gt;=0,AH188,IF(AG188&gt;=0,AG188,IF(AF188&gt;=0,AF188,IF(AE188&gt;=0,AE188,IF(AD188&gt;=0,AD188,IF(AC188&gt;=0,AC188,AB188))))))))</f>
        <v>7</v>
      </c>
      <c r="X188" s="40" t="str">
        <f>IF(I188="","",IF(A188="H",IF(OR(H188="SEN",H188&lt;1995),VLOOKUP(I188,Feuil1!$A$11:$F$29,6),IF(AND(H188&gt;1994,H188&lt;1998),VLOOKUP(I188,Feuil1!$A$11:$F$29,5),IF(AND(H188&gt;1997,H188&lt;2000),VLOOKUP(I188,Feuil1!$A$11:$F$29,4),IF(AND(H188&gt;1999,H188&lt;2002),VLOOKUP(I188,Feuil1!$A$11:$F$29,3),VLOOKUP(I188,Feuil1!$A$11:$F$29,2))))),IF(OR(H188="SEN",H188&lt;1995),VLOOKUP(I188,Feuil1!$G$11:$L$25,6),IF(AND(H188&gt;1994,H188&lt;1998),VLOOKUP(I188,Feuil1!$G$11:$L$25,5),IF(AND(H188&gt;1997,H188&lt;2000),VLOOKUP(I188,Feuil1!$G$11:$L$25,4),IF(AND(H188&gt;1999,H188&lt;2002),VLOOKUP(I188,Feuil1!$G$11:$L$25,3),VLOOKUP(I188,Feuil1!$G$11:$L$25,2)))))))</f>
        <v>FS63</v>
      </c>
      <c r="Y188" s="39">
        <f t="shared" ref="Y188:Y219" si="66">IF(I188="","",IF(A188="H",10^(0.794358141*LOG(I188/174.393)^2)*T188,IF(A188="F",10^(0.89726074*LOG(I188/148.026)^2)*T188,"")))</f>
        <v>135.98228369656266</v>
      </c>
      <c r="Z188" s="45"/>
      <c r="AA188" s="49" t="s">
        <v>12</v>
      </c>
      <c r="AB188" s="3">
        <f>T188-HLOOKUP(X188,Feuil1!$C$1:$BL$10,2,FALSE)</f>
        <v>27</v>
      </c>
      <c r="AC188" s="3">
        <f>T188-HLOOKUP(X188,Feuil1!$C$1:$BL$10,3,FALSE)</f>
        <v>17</v>
      </c>
      <c r="AD188" s="3">
        <f>T188-HLOOKUP(X188,Feuil1!$C$1:$BL$10,4,FALSE)</f>
        <v>7</v>
      </c>
      <c r="AE188" s="3">
        <f>T188-HLOOKUP(X188,Feuil1!$C$1:$BL$10,5,FALSE)</f>
        <v>-8</v>
      </c>
      <c r="AF188" s="3">
        <f>T188-HLOOKUP(X188,Feuil1!$C$1:$BL$10,6,FALSE)</f>
        <v>-23</v>
      </c>
      <c r="AG188" s="3">
        <f>T188-HLOOKUP(X188,Feuil1!$C$1:$BL$10,7,FALSE)</f>
        <v>-38</v>
      </c>
      <c r="AH188" s="3">
        <f>T188-HLOOKUP(X188,Feuil1!$C$1:$BL$10,8,FALSE)</f>
        <v>-58</v>
      </c>
      <c r="AI188" s="3">
        <f>T188-HLOOKUP(X188,Feuil1!$C$1:$BL$10,9,FALSE)</f>
        <v>-78</v>
      </c>
      <c r="AJ188" s="3">
        <f>T188-HLOOKUP(X188,Feuil1!$C$1:$BL$10,10,FALSE)</f>
        <v>-98</v>
      </c>
      <c r="AK188" s="5"/>
      <c r="AL188" s="5"/>
      <c r="AM188" s="5"/>
      <c r="AN188" s="5"/>
      <c r="AO188" s="5"/>
      <c r="AP188" s="5"/>
      <c r="AQ188" s="5" t="str">
        <f t="shared" ref="AQ188:AQ219" si="67">IF(AJ188&gt;=0,$AJ$1,IF(AI188&gt;=0,$AI$1,IF(AH188&gt;=0,$AH$1,IF(AG188&gt;=0,$AG$1,IF(AF188&gt;=0,$AF$1,IF(AE188&gt;=0,$AE$1,IF(AD188&gt;=0,$AD$1,IF(AC188&gt;=0,$AC$1,$AB$1))))))))</f>
        <v>REG +</v>
      </c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</row>
    <row r="189" spans="1:55" ht="21" hidden="1" x14ac:dyDescent="0.2">
      <c r="A189" s="12" t="s">
        <v>69</v>
      </c>
      <c r="B189" s="18" t="s">
        <v>71</v>
      </c>
      <c r="C189" s="19" t="s">
        <v>801</v>
      </c>
      <c r="D189" s="61">
        <v>34</v>
      </c>
      <c r="E189" s="35">
        <v>378677</v>
      </c>
      <c r="F189" s="20" t="s">
        <v>860</v>
      </c>
      <c r="G189" s="20" t="s">
        <v>280</v>
      </c>
      <c r="H189" s="51">
        <v>1992</v>
      </c>
      <c r="I189" s="30">
        <v>59.8</v>
      </c>
      <c r="J189" s="19" t="s">
        <v>803</v>
      </c>
      <c r="K189" s="34" t="s">
        <v>69</v>
      </c>
      <c r="L189" s="31">
        <v>39</v>
      </c>
      <c r="M189" s="31">
        <v>41</v>
      </c>
      <c r="N189" s="31">
        <v>-43</v>
      </c>
      <c r="O189" s="36">
        <f t="shared" si="60"/>
        <v>41</v>
      </c>
      <c r="P189" s="31">
        <v>56</v>
      </c>
      <c r="Q189" s="31">
        <v>58</v>
      </c>
      <c r="R189" s="31">
        <v>60</v>
      </c>
      <c r="S189" s="36">
        <f t="shared" si="61"/>
        <v>60</v>
      </c>
      <c r="T189" s="37">
        <f t="shared" si="62"/>
        <v>101</v>
      </c>
      <c r="U189" s="65">
        <f t="shared" si="63"/>
        <v>-18.599999999999994</v>
      </c>
      <c r="V189" s="41" t="str">
        <f t="shared" si="64"/>
        <v>REG +</v>
      </c>
      <c r="W189" s="33">
        <f t="shared" si="65"/>
        <v>6</v>
      </c>
      <c r="X189" s="40" t="str">
        <f>IF(I189="","",IF(A189="H",IF(OR(H189="SEN",H189&lt;1995),VLOOKUP(I189,Feuil1!$A$11:$F$29,6),IF(AND(H189&gt;1994,H189&lt;1998),VLOOKUP(I189,Feuil1!$A$11:$F$29,5),IF(AND(H189&gt;1997,H189&lt;2000),VLOOKUP(I189,Feuil1!$A$11:$F$29,4),IF(AND(H189&gt;1999,H189&lt;2002),VLOOKUP(I189,Feuil1!$A$11:$F$29,3),VLOOKUP(I189,Feuil1!$A$11:$F$29,2))))),IF(OR(H189="SEN",H189&lt;1995),VLOOKUP(I189,Feuil1!$G$11:$L$25,6),IF(AND(H189&gt;1994,H189&lt;1998),VLOOKUP(I189,Feuil1!$G$11:$L$25,5),IF(AND(H189&gt;1997,H189&lt;2000),VLOOKUP(I189,Feuil1!$G$11:$L$25,4),IF(AND(H189&gt;1999,H189&lt;2002),VLOOKUP(I189,Feuil1!$G$11:$L$25,3),VLOOKUP(I189,Feuil1!$G$11:$L$25,2)))))))</f>
        <v>FS63</v>
      </c>
      <c r="Y189" s="39">
        <f t="shared" si="66"/>
        <v>139.10792637798826</v>
      </c>
      <c r="Z189" s="45"/>
      <c r="AA189" s="49" t="s">
        <v>12</v>
      </c>
      <c r="AB189" s="3">
        <f>T189-HLOOKUP(X189,Feuil1!$C$1:$BL$10,2,FALSE)</f>
        <v>26</v>
      </c>
      <c r="AC189" s="3">
        <f>T189-HLOOKUP(X189,Feuil1!$C$1:$BL$10,3,FALSE)</f>
        <v>16</v>
      </c>
      <c r="AD189" s="3">
        <f>T189-HLOOKUP(X189,Feuil1!$C$1:$BL$10,4,FALSE)</f>
        <v>6</v>
      </c>
      <c r="AE189" s="3">
        <f>T189-HLOOKUP(X189,Feuil1!$C$1:$BL$10,5,FALSE)</f>
        <v>-9</v>
      </c>
      <c r="AF189" s="3">
        <f>T189-HLOOKUP(X189,Feuil1!$C$1:$BL$10,6,FALSE)</f>
        <v>-24</v>
      </c>
      <c r="AG189" s="3">
        <f>T189-HLOOKUP(X189,Feuil1!$C$1:$BL$10,7,FALSE)</f>
        <v>-39</v>
      </c>
      <c r="AH189" s="3">
        <f>T189-HLOOKUP(X189,Feuil1!$C$1:$BL$10,8,FALSE)</f>
        <v>-59</v>
      </c>
      <c r="AI189" s="3">
        <f>T189-HLOOKUP(X189,Feuil1!$C$1:$BL$10,9,FALSE)</f>
        <v>-79</v>
      </c>
      <c r="AJ189" s="3">
        <f>T189-HLOOKUP(X189,Feuil1!$C$1:$BL$10,10,FALSE)</f>
        <v>-99</v>
      </c>
      <c r="AQ189" s="5" t="str">
        <f t="shared" si="67"/>
        <v>REG +</v>
      </c>
      <c r="BC189" s="13"/>
    </row>
    <row r="190" spans="1:55" ht="21" hidden="1" x14ac:dyDescent="0.2">
      <c r="A190" s="12" t="s">
        <v>69</v>
      </c>
      <c r="B190" s="18" t="s">
        <v>298</v>
      </c>
      <c r="C190" s="19" t="s">
        <v>404</v>
      </c>
      <c r="D190" s="61">
        <v>35</v>
      </c>
      <c r="E190" s="35">
        <v>383079</v>
      </c>
      <c r="F190" s="20" t="s">
        <v>463</v>
      </c>
      <c r="G190" s="20" t="s">
        <v>464</v>
      </c>
      <c r="H190" s="51">
        <v>1994</v>
      </c>
      <c r="I190" s="30">
        <v>60</v>
      </c>
      <c r="J190" s="19" t="s">
        <v>412</v>
      </c>
      <c r="K190" s="34" t="s">
        <v>69</v>
      </c>
      <c r="L190" s="31">
        <v>38</v>
      </c>
      <c r="M190" s="31">
        <v>42</v>
      </c>
      <c r="N190" s="31">
        <v>45</v>
      </c>
      <c r="O190" s="36">
        <f t="shared" si="60"/>
        <v>45</v>
      </c>
      <c r="P190" s="31">
        <v>48</v>
      </c>
      <c r="Q190" s="31">
        <v>52</v>
      </c>
      <c r="R190" s="31">
        <v>56</v>
      </c>
      <c r="S190" s="36">
        <f t="shared" si="61"/>
        <v>56</v>
      </c>
      <c r="T190" s="37">
        <f t="shared" si="62"/>
        <v>101</v>
      </c>
      <c r="U190" s="65">
        <f t="shared" si="63"/>
        <v>-19</v>
      </c>
      <c r="V190" s="41" t="str">
        <f t="shared" si="64"/>
        <v>REG +</v>
      </c>
      <c r="W190" s="33">
        <f t="shared" si="65"/>
        <v>6</v>
      </c>
      <c r="X190" s="40" t="str">
        <f>IF(I190="","",IF(A190="H",IF(OR(H190="SEN",H190&lt;1995),VLOOKUP(I190,Feuil1!$A$11:$F$29,6),IF(AND(H190&gt;1994,H190&lt;1998),VLOOKUP(I190,Feuil1!$A$11:$F$29,5),IF(AND(H190&gt;1997,H190&lt;2000),VLOOKUP(I190,Feuil1!$A$11:$F$29,4),IF(AND(H190&gt;1999,H190&lt;2002),VLOOKUP(I190,Feuil1!$A$11:$F$29,3),VLOOKUP(I190,Feuil1!$A$11:$F$29,2))))),IF(OR(H190="SEN",H190&lt;1995),VLOOKUP(I190,Feuil1!$G$11:$L$25,6),IF(AND(H190&gt;1994,H190&lt;1998),VLOOKUP(I190,Feuil1!$G$11:$L$25,5),IF(AND(H190&gt;1997,H190&lt;2000),VLOOKUP(I190,Feuil1!$G$11:$L$25,4),IF(AND(H190&gt;1999,H190&lt;2002),VLOOKUP(I190,Feuil1!$G$11:$L$25,3),VLOOKUP(I190,Feuil1!$G$11:$L$25,2)))))))</f>
        <v>FS63</v>
      </c>
      <c r="Y190" s="39">
        <f t="shared" si="66"/>
        <v>138.78082071778999</v>
      </c>
      <c r="Z190" s="45"/>
      <c r="AA190" s="49" t="s">
        <v>12</v>
      </c>
      <c r="AB190" s="3">
        <f>T190-HLOOKUP(X190,Feuil1!$C$1:$BL$10,2,FALSE)</f>
        <v>26</v>
      </c>
      <c r="AC190" s="3">
        <f>T190-HLOOKUP(X190,Feuil1!$C$1:$BL$10,3,FALSE)</f>
        <v>16</v>
      </c>
      <c r="AD190" s="3">
        <f>T190-HLOOKUP(X190,Feuil1!$C$1:$BL$10,4,FALSE)</f>
        <v>6</v>
      </c>
      <c r="AE190" s="3">
        <f>T190-HLOOKUP(X190,Feuil1!$C$1:$BL$10,5,FALSE)</f>
        <v>-9</v>
      </c>
      <c r="AF190" s="3">
        <f>T190-HLOOKUP(X190,Feuil1!$C$1:$BL$10,6,FALSE)</f>
        <v>-24</v>
      </c>
      <c r="AG190" s="3">
        <f>T190-HLOOKUP(X190,Feuil1!$C$1:$BL$10,7,FALSE)</f>
        <v>-39</v>
      </c>
      <c r="AH190" s="3">
        <f>T190-HLOOKUP(X190,Feuil1!$C$1:$BL$10,8,FALSE)</f>
        <v>-59</v>
      </c>
      <c r="AI190" s="3">
        <f>T190-HLOOKUP(X190,Feuil1!$C$1:$BL$10,9,FALSE)</f>
        <v>-79</v>
      </c>
      <c r="AJ190" s="3">
        <f>T190-HLOOKUP(X190,Feuil1!$C$1:$BL$10,10,FALSE)</f>
        <v>-99</v>
      </c>
      <c r="AQ190" s="5" t="str">
        <f t="shared" si="67"/>
        <v>REG +</v>
      </c>
      <c r="BC190" s="13"/>
    </row>
    <row r="191" spans="1:55" ht="21" hidden="1" x14ac:dyDescent="0.2">
      <c r="A191" s="12" t="s">
        <v>69</v>
      </c>
      <c r="B191" s="18" t="s">
        <v>536</v>
      </c>
      <c r="C191" s="19" t="s">
        <v>541</v>
      </c>
      <c r="D191" s="61">
        <v>36</v>
      </c>
      <c r="E191" s="35">
        <v>298241</v>
      </c>
      <c r="F191" s="20" t="s">
        <v>632</v>
      </c>
      <c r="G191" s="20" t="s">
        <v>178</v>
      </c>
      <c r="H191" s="51">
        <v>1979</v>
      </c>
      <c r="I191" s="30">
        <v>59.6</v>
      </c>
      <c r="J191" s="19" t="s">
        <v>629</v>
      </c>
      <c r="K191" s="34" t="s">
        <v>69</v>
      </c>
      <c r="L191" s="31">
        <v>40</v>
      </c>
      <c r="M191" s="31">
        <v>43</v>
      </c>
      <c r="N191" s="31">
        <v>46</v>
      </c>
      <c r="O191" s="36">
        <f t="shared" si="60"/>
        <v>46</v>
      </c>
      <c r="P191" s="31">
        <v>50</v>
      </c>
      <c r="Q191" s="31">
        <v>54</v>
      </c>
      <c r="R191" s="31">
        <v>-56</v>
      </c>
      <c r="S191" s="36">
        <f t="shared" si="61"/>
        <v>54</v>
      </c>
      <c r="T191" s="37">
        <f t="shared" si="62"/>
        <v>100</v>
      </c>
      <c r="U191" s="65">
        <f t="shared" si="63"/>
        <v>-19.200000000000003</v>
      </c>
      <c r="V191" s="41" t="str">
        <f t="shared" si="64"/>
        <v>REG +</v>
      </c>
      <c r="W191" s="33">
        <f t="shared" si="65"/>
        <v>5</v>
      </c>
      <c r="X191" s="40" t="str">
        <f>IF(I191="","",IF(A191="H",IF(OR(H191="SEN",H191&lt;1995),VLOOKUP(I191,Feuil1!$A$11:$F$29,6),IF(AND(H191&gt;1994,H191&lt;1998),VLOOKUP(I191,Feuil1!$A$11:$F$29,5),IF(AND(H191&gt;1997,H191&lt;2000),VLOOKUP(I191,Feuil1!$A$11:$F$29,4),IF(AND(H191&gt;1999,H191&lt;2002),VLOOKUP(I191,Feuil1!$A$11:$F$29,3),VLOOKUP(I191,Feuil1!$A$11:$F$29,2))))),IF(OR(H191="SEN",H191&lt;1995),VLOOKUP(I191,Feuil1!$G$11:$L$25,6),IF(AND(H191&gt;1994,H191&lt;1998),VLOOKUP(I191,Feuil1!$G$11:$L$25,5),IF(AND(H191&gt;1997,H191&lt;2000),VLOOKUP(I191,Feuil1!$G$11:$L$25,4),IF(AND(H191&gt;1999,H191&lt;2002),VLOOKUP(I191,Feuil1!$G$11:$L$25,3),VLOOKUP(I191,Feuil1!$G$11:$L$25,2)))))))</f>
        <v>FS63</v>
      </c>
      <c r="Y191" s="39">
        <f t="shared" si="66"/>
        <v>138.05754487429581</v>
      </c>
      <c r="Z191" s="45"/>
      <c r="AA191" s="49" t="s">
        <v>12</v>
      </c>
      <c r="AB191" s="3">
        <f>T191-HLOOKUP(X191,Feuil1!$C$1:$BL$10,2,FALSE)</f>
        <v>25</v>
      </c>
      <c r="AC191" s="3">
        <f>T191-HLOOKUP(X191,Feuil1!$C$1:$BL$10,3,FALSE)</f>
        <v>15</v>
      </c>
      <c r="AD191" s="3">
        <f>T191-HLOOKUP(X191,Feuil1!$C$1:$BL$10,4,FALSE)</f>
        <v>5</v>
      </c>
      <c r="AE191" s="3">
        <f>T191-HLOOKUP(X191,Feuil1!$C$1:$BL$10,5,FALSE)</f>
        <v>-10</v>
      </c>
      <c r="AF191" s="3">
        <f>T191-HLOOKUP(X191,Feuil1!$C$1:$BL$10,6,FALSE)</f>
        <v>-25</v>
      </c>
      <c r="AG191" s="3">
        <f>T191-HLOOKUP(X191,Feuil1!$C$1:$BL$10,7,FALSE)</f>
        <v>-40</v>
      </c>
      <c r="AH191" s="3">
        <f>T191-HLOOKUP(X191,Feuil1!$C$1:$BL$10,8,FALSE)</f>
        <v>-60</v>
      </c>
      <c r="AI191" s="3">
        <f>T191-HLOOKUP(X191,Feuil1!$C$1:$BL$10,9,FALSE)</f>
        <v>-80</v>
      </c>
      <c r="AJ191" s="3">
        <f>T191-HLOOKUP(X191,Feuil1!$C$1:$BL$10,10,FALSE)</f>
        <v>-100</v>
      </c>
      <c r="AQ191" s="5" t="str">
        <f t="shared" si="67"/>
        <v>REG +</v>
      </c>
      <c r="BC191" s="13"/>
    </row>
    <row r="192" spans="1:55" ht="21" hidden="1" x14ac:dyDescent="0.2">
      <c r="A192" s="12" t="s">
        <v>69</v>
      </c>
      <c r="B192" s="67" t="s">
        <v>108</v>
      </c>
      <c r="C192" s="68" t="s">
        <v>146</v>
      </c>
      <c r="D192" s="69">
        <v>37</v>
      </c>
      <c r="E192" s="70">
        <v>1144</v>
      </c>
      <c r="F192" s="71" t="s">
        <v>252</v>
      </c>
      <c r="G192" s="71" t="s">
        <v>253</v>
      </c>
      <c r="H192" s="72">
        <v>1963</v>
      </c>
      <c r="I192" s="73">
        <v>59.5</v>
      </c>
      <c r="J192" s="68" t="s">
        <v>149</v>
      </c>
      <c r="K192" s="74" t="s">
        <v>69</v>
      </c>
      <c r="L192" s="75">
        <v>40</v>
      </c>
      <c r="M192" s="75">
        <v>43</v>
      </c>
      <c r="N192" s="75">
        <v>-45</v>
      </c>
      <c r="O192" s="76">
        <f t="shared" si="60"/>
        <v>43</v>
      </c>
      <c r="P192" s="75">
        <v>50</v>
      </c>
      <c r="Q192" s="75">
        <v>55</v>
      </c>
      <c r="R192" s="75">
        <v>-57</v>
      </c>
      <c r="S192" s="76">
        <f t="shared" si="61"/>
        <v>55</v>
      </c>
      <c r="T192" s="77">
        <f t="shared" si="62"/>
        <v>98</v>
      </c>
      <c r="U192" s="78">
        <f t="shared" si="63"/>
        <v>-21</v>
      </c>
      <c r="V192" s="79" t="str">
        <f t="shared" si="64"/>
        <v>REG +</v>
      </c>
      <c r="W192" s="80">
        <f t="shared" si="65"/>
        <v>3</v>
      </c>
      <c r="X192" s="81" t="str">
        <f>IF(I192="","",IF(A192="H",IF(OR(H192="SEN",H192&lt;1995),VLOOKUP(I192,Feuil1!$A$11:$F$29,6),IF(AND(H192&gt;1994,H192&lt;1998),VLOOKUP(I192,Feuil1!$A$11:$F$29,5),IF(AND(H192&gt;1997,H192&lt;2000),VLOOKUP(I192,Feuil1!$A$11:$F$29,4),IF(AND(H192&gt;1999,H192&lt;2002),VLOOKUP(I192,Feuil1!$A$11:$F$29,3),VLOOKUP(I192,Feuil1!$A$11:$F$29,2))))),IF(OR(H192="SEN",H192&lt;1995),VLOOKUP(I192,Feuil1!$G$11:$L$25,6),IF(AND(H192&gt;1994,H192&lt;1998),VLOOKUP(I192,Feuil1!$G$11:$L$25,5),IF(AND(H192&gt;1997,H192&lt;2000),VLOOKUP(I192,Feuil1!$G$11:$L$25,4),IF(AND(H192&gt;1999,H192&lt;2002),VLOOKUP(I192,Feuil1!$G$11:$L$25,3),VLOOKUP(I192,Feuil1!$G$11:$L$25,2)))))))</f>
        <v>FS63</v>
      </c>
      <c r="Y192" s="39">
        <f t="shared" si="66"/>
        <v>135.45772229883588</v>
      </c>
      <c r="Z192" s="45"/>
      <c r="AA192" s="49" t="s">
        <v>12</v>
      </c>
      <c r="AB192" s="3">
        <f>T192-HLOOKUP(X192,Feuil1!$C$1:$BL$10,2,FALSE)</f>
        <v>23</v>
      </c>
      <c r="AC192" s="3">
        <f>T192-HLOOKUP(X192,Feuil1!$C$1:$BL$10,3,FALSE)</f>
        <v>13</v>
      </c>
      <c r="AD192" s="3">
        <f>T192-HLOOKUP(X192,Feuil1!$C$1:$BL$10,4,FALSE)</f>
        <v>3</v>
      </c>
      <c r="AE192" s="3">
        <f>T192-HLOOKUP(X192,Feuil1!$C$1:$BL$10,5,FALSE)</f>
        <v>-12</v>
      </c>
      <c r="AF192" s="3">
        <f>T192-HLOOKUP(X192,Feuil1!$C$1:$BL$10,6,FALSE)</f>
        <v>-27</v>
      </c>
      <c r="AG192" s="3">
        <f>T192-HLOOKUP(X192,Feuil1!$C$1:$BL$10,7,FALSE)</f>
        <v>-42</v>
      </c>
      <c r="AH192" s="3">
        <f>T192-HLOOKUP(X192,Feuil1!$C$1:$BL$10,8,FALSE)</f>
        <v>-62</v>
      </c>
      <c r="AI192" s="3">
        <f>T192-HLOOKUP(X192,Feuil1!$C$1:$BL$10,9,FALSE)</f>
        <v>-82</v>
      </c>
      <c r="AJ192" s="3">
        <f>T192-HLOOKUP(X192,Feuil1!$C$1:$BL$10,10,FALSE)</f>
        <v>-102</v>
      </c>
      <c r="AQ192" s="5" t="str">
        <f t="shared" si="67"/>
        <v>REG +</v>
      </c>
    </row>
    <row r="193" spans="1:55" ht="21" hidden="1" x14ac:dyDescent="0.2">
      <c r="A193" s="12" t="s">
        <v>69</v>
      </c>
      <c r="B193" s="18" t="s">
        <v>108</v>
      </c>
      <c r="C193" s="19" t="s">
        <v>119</v>
      </c>
      <c r="D193" s="61">
        <v>38</v>
      </c>
      <c r="E193" s="35">
        <v>364658</v>
      </c>
      <c r="F193" s="20" t="s">
        <v>211</v>
      </c>
      <c r="G193" s="20" t="s">
        <v>212</v>
      </c>
      <c r="H193" s="51">
        <v>1985</v>
      </c>
      <c r="I193" s="30">
        <v>61.75</v>
      </c>
      <c r="J193" s="19" t="s">
        <v>122</v>
      </c>
      <c r="K193" s="34" t="s">
        <v>69</v>
      </c>
      <c r="L193" s="31">
        <v>40</v>
      </c>
      <c r="M193" s="31">
        <v>42</v>
      </c>
      <c r="N193" s="31">
        <v>44</v>
      </c>
      <c r="O193" s="36">
        <f t="shared" si="60"/>
        <v>44</v>
      </c>
      <c r="P193" s="31">
        <v>51</v>
      </c>
      <c r="Q193" s="31">
        <v>-53</v>
      </c>
      <c r="R193" s="31">
        <v>54</v>
      </c>
      <c r="S193" s="36">
        <f t="shared" si="61"/>
        <v>54</v>
      </c>
      <c r="T193" s="37">
        <f t="shared" si="62"/>
        <v>98</v>
      </c>
      <c r="U193" s="65">
        <f t="shared" si="63"/>
        <v>-25.5</v>
      </c>
      <c r="V193" s="41" t="str">
        <f t="shared" si="64"/>
        <v>REG +</v>
      </c>
      <c r="W193" s="33">
        <f t="shared" si="65"/>
        <v>3</v>
      </c>
      <c r="X193" s="40" t="str">
        <f>IF(I193="","",IF(A193="H",IF(OR(H193="SEN",H193&lt;1995),VLOOKUP(I193,Feuil1!$A$11:$F$29,6),IF(AND(H193&gt;1994,H193&lt;1998),VLOOKUP(I193,Feuil1!$A$11:$F$29,5),IF(AND(H193&gt;1997,H193&lt;2000),VLOOKUP(I193,Feuil1!$A$11:$F$29,4),IF(AND(H193&gt;1999,H193&lt;2002),VLOOKUP(I193,Feuil1!$A$11:$F$29,3),VLOOKUP(I193,Feuil1!$A$11:$F$29,2))))),IF(OR(H193="SEN",H193&lt;1995),VLOOKUP(I193,Feuil1!$G$11:$L$25,6),IF(AND(H193&gt;1994,H193&lt;1998),VLOOKUP(I193,Feuil1!$G$11:$L$25,5),IF(AND(H193&gt;1997,H193&lt;2000),VLOOKUP(I193,Feuil1!$G$11:$L$25,4),IF(AND(H193&gt;1999,H193&lt;2002),VLOOKUP(I193,Feuil1!$G$11:$L$25,3),VLOOKUP(I193,Feuil1!$G$11:$L$25,2)))))))</f>
        <v>FS63</v>
      </c>
      <c r="Y193" s="39">
        <f t="shared" si="66"/>
        <v>132.00389368694283</v>
      </c>
      <c r="Z193" s="45"/>
      <c r="AA193" s="49" t="s">
        <v>12</v>
      </c>
      <c r="AB193" s="3">
        <f>T193-HLOOKUP(X193,Feuil1!$C$1:$BL$10,2,FALSE)</f>
        <v>23</v>
      </c>
      <c r="AC193" s="3">
        <f>T193-HLOOKUP(X193,Feuil1!$C$1:$BL$10,3,FALSE)</f>
        <v>13</v>
      </c>
      <c r="AD193" s="3">
        <f>T193-HLOOKUP(X193,Feuil1!$C$1:$BL$10,4,FALSE)</f>
        <v>3</v>
      </c>
      <c r="AE193" s="3">
        <f>T193-HLOOKUP(X193,Feuil1!$C$1:$BL$10,5,FALSE)</f>
        <v>-12</v>
      </c>
      <c r="AF193" s="3">
        <f>T193-HLOOKUP(X193,Feuil1!$C$1:$BL$10,6,FALSE)</f>
        <v>-27</v>
      </c>
      <c r="AG193" s="3">
        <f>T193-HLOOKUP(X193,Feuil1!$C$1:$BL$10,7,FALSE)</f>
        <v>-42</v>
      </c>
      <c r="AH193" s="3">
        <f>T193-HLOOKUP(X193,Feuil1!$C$1:$BL$10,8,FALSE)</f>
        <v>-62</v>
      </c>
      <c r="AI193" s="3">
        <f>T193-HLOOKUP(X193,Feuil1!$C$1:$BL$10,9,FALSE)</f>
        <v>-82</v>
      </c>
      <c r="AJ193" s="3">
        <f>T193-HLOOKUP(X193,Feuil1!$C$1:$BL$10,10,FALSE)</f>
        <v>-102</v>
      </c>
      <c r="AQ193" s="5" t="str">
        <f t="shared" si="67"/>
        <v>REG +</v>
      </c>
      <c r="BC193" s="13"/>
    </row>
    <row r="194" spans="1:55" s="13" customFormat="1" ht="21" hidden="1" x14ac:dyDescent="0.2">
      <c r="A194" s="12" t="s">
        <v>69</v>
      </c>
      <c r="B194" s="18" t="s">
        <v>71</v>
      </c>
      <c r="C194" s="19" t="s">
        <v>997</v>
      </c>
      <c r="D194" s="61">
        <v>39</v>
      </c>
      <c r="E194" s="35">
        <v>390737</v>
      </c>
      <c r="F194" s="20" t="s">
        <v>1002</v>
      </c>
      <c r="G194" s="20" t="s">
        <v>703</v>
      </c>
      <c r="H194" s="51">
        <v>1985</v>
      </c>
      <c r="I194" s="30">
        <v>63</v>
      </c>
      <c r="J194" s="19" t="s">
        <v>1003</v>
      </c>
      <c r="K194" s="34" t="s">
        <v>1004</v>
      </c>
      <c r="L194" s="31">
        <v>-40</v>
      </c>
      <c r="M194" s="31">
        <v>40</v>
      </c>
      <c r="N194" s="31">
        <v>43</v>
      </c>
      <c r="O194" s="36">
        <f t="shared" si="60"/>
        <v>43</v>
      </c>
      <c r="P194" s="31">
        <v>52</v>
      </c>
      <c r="Q194" s="31">
        <v>55</v>
      </c>
      <c r="R194" s="31">
        <v>-57</v>
      </c>
      <c r="S194" s="36">
        <f t="shared" si="61"/>
        <v>55</v>
      </c>
      <c r="T194" s="37">
        <f t="shared" si="62"/>
        <v>98</v>
      </c>
      <c r="U194" s="65">
        <f t="shared" si="63"/>
        <v>-28</v>
      </c>
      <c r="V194" s="32" t="str">
        <f t="shared" si="64"/>
        <v>REG +</v>
      </c>
      <c r="W194" s="33">
        <f t="shared" si="65"/>
        <v>3</v>
      </c>
      <c r="X194" s="40" t="str">
        <f>IF(I194="","",IF(A194="H",IF(OR(H194="SEN",H194&lt;1995),VLOOKUP(I194,Feuil1!$A$11:$F$29,6),IF(AND(H194&gt;1994,H194&lt;1998),VLOOKUP(I194,Feuil1!$A$11:$F$29,5),IF(AND(H194&gt;1997,H194&lt;2000),VLOOKUP(I194,Feuil1!$A$11:$F$29,4),IF(AND(H194&gt;1999,H194&lt;2002),VLOOKUP(I194,Feuil1!$A$11:$F$29,3),VLOOKUP(I194,Feuil1!$A$11:$F$29,2))))),IF(OR(H194="SEN",H194&lt;1995),VLOOKUP(I194,Feuil1!$G$11:$L$25,6),IF(AND(H194&gt;1994,H194&lt;1998),VLOOKUP(I194,Feuil1!$G$11:$L$25,5),IF(AND(H194&gt;1997,H194&lt;2000),VLOOKUP(I194,Feuil1!$G$11:$L$25,4),IF(AND(H194&gt;1999,H194&lt;2002),VLOOKUP(I194,Feuil1!$G$11:$L$25,3),VLOOKUP(I194,Feuil1!$G$11:$L$25,2)))))))</f>
        <v>FS63</v>
      </c>
      <c r="Y194" s="39">
        <f t="shared" si="66"/>
        <v>130.23396001256117</v>
      </c>
      <c r="Z194" s="45"/>
      <c r="AA194" s="49" t="s">
        <v>12</v>
      </c>
      <c r="AB194" s="3">
        <f>T194-HLOOKUP(X194,Feuil1!$C$1:$BL$10,2,FALSE)</f>
        <v>23</v>
      </c>
      <c r="AC194" s="3">
        <f>T194-HLOOKUP(X194,Feuil1!$C$1:$BL$10,3,FALSE)</f>
        <v>13</v>
      </c>
      <c r="AD194" s="3">
        <f>T194-HLOOKUP(X194,Feuil1!$C$1:$BL$10,4,FALSE)</f>
        <v>3</v>
      </c>
      <c r="AE194" s="3">
        <f>T194-HLOOKUP(X194,Feuil1!$C$1:$BL$10,5,FALSE)</f>
        <v>-12</v>
      </c>
      <c r="AF194" s="3">
        <f>T194-HLOOKUP(X194,Feuil1!$C$1:$BL$10,6,FALSE)</f>
        <v>-27</v>
      </c>
      <c r="AG194" s="3">
        <f>T194-HLOOKUP(X194,Feuil1!$C$1:$BL$10,7,FALSE)</f>
        <v>-42</v>
      </c>
      <c r="AH194" s="3">
        <f>T194-HLOOKUP(X194,Feuil1!$C$1:$BL$10,8,FALSE)</f>
        <v>-62</v>
      </c>
      <c r="AI194" s="3">
        <f>T194-HLOOKUP(X194,Feuil1!$C$1:$BL$10,9,FALSE)</f>
        <v>-82</v>
      </c>
      <c r="AJ194" s="3">
        <f>T194-HLOOKUP(X194,Feuil1!$C$1:$BL$10,10,FALSE)</f>
        <v>-102</v>
      </c>
      <c r="AK194" s="5"/>
      <c r="AL194" s="5"/>
      <c r="AM194" s="5"/>
      <c r="AN194" s="5"/>
      <c r="AO194" s="5"/>
      <c r="AP194" s="5"/>
      <c r="AQ194" s="5" t="str">
        <f t="shared" si="67"/>
        <v>REG +</v>
      </c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</row>
    <row r="195" spans="1:55" ht="21" hidden="1" x14ac:dyDescent="0.2">
      <c r="A195" s="12" t="s">
        <v>69</v>
      </c>
      <c r="B195" s="18" t="s">
        <v>71</v>
      </c>
      <c r="C195" s="19" t="s">
        <v>72</v>
      </c>
      <c r="D195" s="61">
        <v>40</v>
      </c>
      <c r="E195" s="35">
        <v>390896</v>
      </c>
      <c r="F195" s="20" t="s">
        <v>973</v>
      </c>
      <c r="G195" s="20" t="s">
        <v>974</v>
      </c>
      <c r="H195" s="51">
        <v>1985</v>
      </c>
      <c r="I195" s="30">
        <v>60.6</v>
      </c>
      <c r="J195" s="19" t="s">
        <v>923</v>
      </c>
      <c r="K195" s="34" t="s">
        <v>69</v>
      </c>
      <c r="L195" s="31">
        <v>40</v>
      </c>
      <c r="M195" s="31">
        <v>43</v>
      </c>
      <c r="N195" s="31">
        <v>-45</v>
      </c>
      <c r="O195" s="36">
        <f t="shared" si="60"/>
        <v>43</v>
      </c>
      <c r="P195" s="31">
        <v>54</v>
      </c>
      <c r="Q195" s="31">
        <v>-58</v>
      </c>
      <c r="R195" s="31">
        <v>-58</v>
      </c>
      <c r="S195" s="36">
        <f t="shared" si="61"/>
        <v>54</v>
      </c>
      <c r="T195" s="37">
        <f t="shared" si="62"/>
        <v>97</v>
      </c>
      <c r="U195" s="65">
        <f t="shared" si="63"/>
        <v>-24.200000000000003</v>
      </c>
      <c r="V195" s="41" t="str">
        <f t="shared" si="64"/>
        <v>REG +</v>
      </c>
      <c r="W195" s="33">
        <f t="shared" si="65"/>
        <v>2</v>
      </c>
      <c r="X195" s="40" t="str">
        <f>IF(I195="","",IF(A195="H",IF(OR(H195="SEN",H195&lt;1995),VLOOKUP(I195,Feuil1!$A$11:$F$29,6),IF(AND(H195&gt;1994,H195&lt;1998),VLOOKUP(I195,Feuil1!$A$11:$F$29,5),IF(AND(H195&gt;1997,H195&lt;2000),VLOOKUP(I195,Feuil1!$A$11:$F$29,4),IF(AND(H195&gt;1999,H195&lt;2002),VLOOKUP(I195,Feuil1!$A$11:$F$29,3),VLOOKUP(I195,Feuil1!$A$11:$F$29,2))))),IF(OR(H195="SEN",H195&lt;1995),VLOOKUP(I195,Feuil1!$G$11:$L$25,6),IF(AND(H195&gt;1994,H195&lt;1998),VLOOKUP(I195,Feuil1!$G$11:$L$25,5),IF(AND(H195&gt;1997,H195&lt;2000),VLOOKUP(I195,Feuil1!$G$11:$L$25,4),IF(AND(H195&gt;1999,H195&lt;2002),VLOOKUP(I195,Feuil1!$G$11:$L$25,3),VLOOKUP(I195,Feuil1!$G$11:$L$25,2)))))))</f>
        <v>FS63</v>
      </c>
      <c r="Y195" s="39">
        <f t="shared" si="66"/>
        <v>132.35953677631903</v>
      </c>
      <c r="Z195" s="45"/>
      <c r="AA195" s="49" t="s">
        <v>12</v>
      </c>
      <c r="AB195" s="3">
        <f>T195-HLOOKUP(X195,Feuil1!$C$1:$BL$10,2,FALSE)</f>
        <v>22</v>
      </c>
      <c r="AC195" s="3">
        <f>T195-HLOOKUP(X195,Feuil1!$C$1:$BL$10,3,FALSE)</f>
        <v>12</v>
      </c>
      <c r="AD195" s="3">
        <f>T195-HLOOKUP(X195,Feuil1!$C$1:$BL$10,4,FALSE)</f>
        <v>2</v>
      </c>
      <c r="AE195" s="3">
        <f>T195-HLOOKUP(X195,Feuil1!$C$1:$BL$10,5,FALSE)</f>
        <v>-13</v>
      </c>
      <c r="AF195" s="3">
        <f>T195-HLOOKUP(X195,Feuil1!$C$1:$BL$10,6,FALSE)</f>
        <v>-28</v>
      </c>
      <c r="AG195" s="3">
        <f>T195-HLOOKUP(X195,Feuil1!$C$1:$BL$10,7,FALSE)</f>
        <v>-43</v>
      </c>
      <c r="AH195" s="3">
        <f>T195-HLOOKUP(X195,Feuil1!$C$1:$BL$10,8,FALSE)</f>
        <v>-63</v>
      </c>
      <c r="AI195" s="3">
        <f>T195-HLOOKUP(X195,Feuil1!$C$1:$BL$10,9,FALSE)</f>
        <v>-83</v>
      </c>
      <c r="AJ195" s="3">
        <f>T195-HLOOKUP(X195,Feuil1!$C$1:$BL$10,10,FALSE)</f>
        <v>-103</v>
      </c>
      <c r="AQ195" s="5" t="str">
        <f t="shared" si="67"/>
        <v>REG +</v>
      </c>
      <c r="BC195" s="13"/>
    </row>
    <row r="196" spans="1:55" ht="21" hidden="1" x14ac:dyDescent="0.2">
      <c r="A196" s="12" t="s">
        <v>69</v>
      </c>
      <c r="B196" s="18" t="s">
        <v>71</v>
      </c>
      <c r="C196" s="19" t="s">
        <v>883</v>
      </c>
      <c r="D196" s="61">
        <v>41</v>
      </c>
      <c r="E196" s="35">
        <v>246399</v>
      </c>
      <c r="F196" s="21" t="s">
        <v>912</v>
      </c>
      <c r="G196" s="20" t="s">
        <v>913</v>
      </c>
      <c r="H196" s="51">
        <v>1985</v>
      </c>
      <c r="I196" s="30">
        <v>62.5</v>
      </c>
      <c r="J196" s="19" t="s">
        <v>914</v>
      </c>
      <c r="K196" s="34" t="s">
        <v>69</v>
      </c>
      <c r="L196" s="31">
        <v>40</v>
      </c>
      <c r="M196" s="31">
        <v>-45</v>
      </c>
      <c r="N196" s="31">
        <v>-45</v>
      </c>
      <c r="O196" s="36">
        <f t="shared" si="60"/>
        <v>40</v>
      </c>
      <c r="P196" s="31">
        <v>50</v>
      </c>
      <c r="Q196" s="31">
        <v>53</v>
      </c>
      <c r="R196" s="31">
        <v>56</v>
      </c>
      <c r="S196" s="36">
        <f t="shared" si="61"/>
        <v>56</v>
      </c>
      <c r="T196" s="37">
        <f t="shared" si="62"/>
        <v>96</v>
      </c>
      <c r="U196" s="65">
        <f t="shared" si="63"/>
        <v>-29</v>
      </c>
      <c r="V196" s="41" t="str">
        <f t="shared" si="64"/>
        <v>REG +</v>
      </c>
      <c r="W196" s="33">
        <f t="shared" si="65"/>
        <v>1</v>
      </c>
      <c r="X196" s="40" t="str">
        <f>IF(I196="","",IF(A196="H",IF(OR(H196="SEN",H196&lt;1995),VLOOKUP(I196,Feuil1!$A$11:$F$29,6),IF(AND(H196&gt;1994,H196&lt;1998),VLOOKUP(I196,Feuil1!$A$11:$F$29,5),IF(AND(H196&gt;1997,H196&lt;2000),VLOOKUP(I196,Feuil1!$A$11:$F$29,4),IF(AND(H196&gt;1999,H196&lt;2002),VLOOKUP(I196,Feuil1!$A$11:$F$29,3),VLOOKUP(I196,Feuil1!$A$11:$F$29,2))))),IF(OR(H196="SEN",H196&lt;1995),VLOOKUP(I196,Feuil1!$G$11:$L$25,6),IF(AND(H196&gt;1994,H196&lt;1998),VLOOKUP(I196,Feuil1!$G$11:$L$25,5),IF(AND(H196&gt;1997,H196&lt;2000),VLOOKUP(I196,Feuil1!$G$11:$L$25,4),IF(AND(H196&gt;1999,H196&lt;2002),VLOOKUP(I196,Feuil1!$G$11:$L$25,3),VLOOKUP(I196,Feuil1!$G$11:$L$25,2)))))))</f>
        <v>FS63</v>
      </c>
      <c r="Y196" s="39">
        <f t="shared" si="66"/>
        <v>128.25787568983202</v>
      </c>
      <c r="Z196" s="45"/>
      <c r="AA196" s="49" t="s">
        <v>12</v>
      </c>
      <c r="AB196" s="3">
        <f>T196-HLOOKUP(X196,Feuil1!$C$1:$BL$10,2,FALSE)</f>
        <v>21</v>
      </c>
      <c r="AC196" s="3">
        <f>T196-HLOOKUP(X196,Feuil1!$C$1:$BL$10,3,FALSE)</f>
        <v>11</v>
      </c>
      <c r="AD196" s="3">
        <f>T196-HLOOKUP(X196,Feuil1!$C$1:$BL$10,4,FALSE)</f>
        <v>1</v>
      </c>
      <c r="AE196" s="3">
        <f>T196-HLOOKUP(X196,Feuil1!$C$1:$BL$10,5,FALSE)</f>
        <v>-14</v>
      </c>
      <c r="AF196" s="3">
        <f>T196-HLOOKUP(X196,Feuil1!$C$1:$BL$10,6,FALSE)</f>
        <v>-29</v>
      </c>
      <c r="AG196" s="3">
        <f>T196-HLOOKUP(X196,Feuil1!$C$1:$BL$10,7,FALSE)</f>
        <v>-44</v>
      </c>
      <c r="AH196" s="3">
        <f>T196-HLOOKUP(X196,Feuil1!$C$1:$BL$10,8,FALSE)</f>
        <v>-64</v>
      </c>
      <c r="AI196" s="3">
        <f>T196-HLOOKUP(X196,Feuil1!$C$1:$BL$10,9,FALSE)</f>
        <v>-84</v>
      </c>
      <c r="AJ196" s="3">
        <f>T196-HLOOKUP(X196,Feuil1!$C$1:$BL$10,10,FALSE)</f>
        <v>-104</v>
      </c>
      <c r="AQ196" s="5" t="str">
        <f t="shared" si="67"/>
        <v>REG +</v>
      </c>
      <c r="BC196" s="13"/>
    </row>
    <row r="197" spans="1:55" ht="21" hidden="1" x14ac:dyDescent="0.2">
      <c r="A197" s="12" t="s">
        <v>69</v>
      </c>
      <c r="B197" s="18" t="s">
        <v>536</v>
      </c>
      <c r="C197" s="19" t="s">
        <v>541</v>
      </c>
      <c r="D197" s="61">
        <v>42</v>
      </c>
      <c r="E197" s="35">
        <v>379660</v>
      </c>
      <c r="F197" s="20" t="s">
        <v>633</v>
      </c>
      <c r="G197" s="20" t="s">
        <v>121</v>
      </c>
      <c r="H197" s="51">
        <v>1987</v>
      </c>
      <c r="I197" s="30">
        <v>61.05</v>
      </c>
      <c r="J197" s="19" t="s">
        <v>634</v>
      </c>
      <c r="K197" s="34" t="s">
        <v>69</v>
      </c>
      <c r="L197" s="31">
        <v>35</v>
      </c>
      <c r="M197" s="31">
        <v>-40</v>
      </c>
      <c r="N197" s="31">
        <v>40</v>
      </c>
      <c r="O197" s="36">
        <f t="shared" si="60"/>
        <v>40</v>
      </c>
      <c r="P197" s="31">
        <v>50</v>
      </c>
      <c r="Q197" s="31">
        <v>55</v>
      </c>
      <c r="R197" s="31">
        <v>-60</v>
      </c>
      <c r="S197" s="36">
        <f t="shared" si="61"/>
        <v>55</v>
      </c>
      <c r="T197" s="37">
        <f t="shared" si="62"/>
        <v>95</v>
      </c>
      <c r="U197" s="65">
        <f t="shared" si="63"/>
        <v>-27.099999999999994</v>
      </c>
      <c r="V197" s="41" t="str">
        <f t="shared" si="64"/>
        <v>REG +</v>
      </c>
      <c r="W197" s="33">
        <f t="shared" si="65"/>
        <v>0</v>
      </c>
      <c r="X197" s="40" t="str">
        <f>IF(I197="","",IF(A197="H",IF(OR(H197="SEN",H197&lt;1995),VLOOKUP(I197,Feuil1!$A$11:$F$29,6),IF(AND(H197&gt;1994,H197&lt;1998),VLOOKUP(I197,Feuil1!$A$11:$F$29,5),IF(AND(H197&gt;1997,H197&lt;2000),VLOOKUP(I197,Feuil1!$A$11:$F$29,4),IF(AND(H197&gt;1999,H197&lt;2002),VLOOKUP(I197,Feuil1!$A$11:$F$29,3),VLOOKUP(I197,Feuil1!$A$11:$F$29,2))))),IF(OR(H197="SEN",H197&lt;1995),VLOOKUP(I197,Feuil1!$G$11:$L$25,6),IF(AND(H197&gt;1994,H197&lt;1998),VLOOKUP(I197,Feuil1!$G$11:$L$25,5),IF(AND(H197&gt;1997,H197&lt;2000),VLOOKUP(I197,Feuil1!$G$11:$L$25,4),IF(AND(H197&gt;1999,H197&lt;2002),VLOOKUP(I197,Feuil1!$G$11:$L$25,3),VLOOKUP(I197,Feuil1!$G$11:$L$25,2)))))))</f>
        <v>FS63</v>
      </c>
      <c r="Y197" s="39">
        <f t="shared" si="66"/>
        <v>128.96741311591177</v>
      </c>
      <c r="Z197" s="45"/>
      <c r="AA197" s="49" t="s">
        <v>12</v>
      </c>
      <c r="AB197" s="3">
        <f>T197-HLOOKUP(X197,Feuil1!$C$1:$BL$10,2,FALSE)</f>
        <v>20</v>
      </c>
      <c r="AC197" s="3">
        <f>T197-HLOOKUP(X197,Feuil1!$C$1:$BL$10,3,FALSE)</f>
        <v>10</v>
      </c>
      <c r="AD197" s="3">
        <f>T197-HLOOKUP(X197,Feuil1!$C$1:$BL$10,4,FALSE)</f>
        <v>0</v>
      </c>
      <c r="AE197" s="3">
        <f>T197-HLOOKUP(X197,Feuil1!$C$1:$BL$10,5,FALSE)</f>
        <v>-15</v>
      </c>
      <c r="AF197" s="3">
        <f>T197-HLOOKUP(X197,Feuil1!$C$1:$BL$10,6,FALSE)</f>
        <v>-30</v>
      </c>
      <c r="AG197" s="3">
        <f>T197-HLOOKUP(X197,Feuil1!$C$1:$BL$10,7,FALSE)</f>
        <v>-45</v>
      </c>
      <c r="AH197" s="3">
        <f>T197-HLOOKUP(X197,Feuil1!$C$1:$BL$10,8,FALSE)</f>
        <v>-65</v>
      </c>
      <c r="AI197" s="3">
        <f>T197-HLOOKUP(X197,Feuil1!$C$1:$BL$10,9,FALSE)</f>
        <v>-85</v>
      </c>
      <c r="AJ197" s="3">
        <f>T197-HLOOKUP(X197,Feuil1!$C$1:$BL$10,10,FALSE)</f>
        <v>-105</v>
      </c>
      <c r="AQ197" s="5" t="str">
        <f t="shared" si="67"/>
        <v>REG +</v>
      </c>
      <c r="BC197" s="13"/>
    </row>
    <row r="198" spans="1:55" ht="21" hidden="1" x14ac:dyDescent="0.2">
      <c r="A198" s="12" t="s">
        <v>69</v>
      </c>
      <c r="B198" s="18" t="s">
        <v>71</v>
      </c>
      <c r="C198" s="19" t="s">
        <v>72</v>
      </c>
      <c r="D198" s="61">
        <v>43</v>
      </c>
      <c r="E198" s="35">
        <v>325103</v>
      </c>
      <c r="F198" s="20" t="s">
        <v>975</v>
      </c>
      <c r="G198" s="20" t="s">
        <v>272</v>
      </c>
      <c r="H198" s="51">
        <v>1985</v>
      </c>
      <c r="I198" s="30">
        <v>61.6</v>
      </c>
      <c r="J198" s="19" t="s">
        <v>964</v>
      </c>
      <c r="K198" s="34" t="s">
        <v>69</v>
      </c>
      <c r="L198" s="31">
        <v>37</v>
      </c>
      <c r="M198" s="31">
        <v>39</v>
      </c>
      <c r="N198" s="31">
        <v>41</v>
      </c>
      <c r="O198" s="36">
        <f t="shared" si="60"/>
        <v>41</v>
      </c>
      <c r="P198" s="31">
        <v>47</v>
      </c>
      <c r="Q198" s="31">
        <v>50</v>
      </c>
      <c r="R198" s="31">
        <v>54</v>
      </c>
      <c r="S198" s="36">
        <f t="shared" si="61"/>
        <v>54</v>
      </c>
      <c r="T198" s="37">
        <f t="shared" si="62"/>
        <v>95</v>
      </c>
      <c r="U198" s="65">
        <f t="shared" si="63"/>
        <v>-28.200000000000003</v>
      </c>
      <c r="V198" s="41" t="str">
        <f t="shared" si="64"/>
        <v>REG +</v>
      </c>
      <c r="W198" s="33">
        <f t="shared" si="65"/>
        <v>0</v>
      </c>
      <c r="X198" s="40" t="str">
        <f>IF(I198="","",IF(A198="H",IF(OR(H198="SEN",H198&lt;1995),VLOOKUP(I198,Feuil1!$A$11:$F$29,6),IF(AND(H198&gt;1994,H198&lt;1998),VLOOKUP(I198,Feuil1!$A$11:$F$29,5),IF(AND(H198&gt;1997,H198&lt;2000),VLOOKUP(I198,Feuil1!$A$11:$F$29,4),IF(AND(H198&gt;1999,H198&lt;2002),VLOOKUP(I198,Feuil1!$A$11:$F$29,3),VLOOKUP(I198,Feuil1!$A$11:$F$29,2))))),IF(OR(H198="SEN",H198&lt;1995),VLOOKUP(I198,Feuil1!$G$11:$L$25,6),IF(AND(H198&gt;1994,H198&lt;1998),VLOOKUP(I198,Feuil1!$G$11:$L$25,5),IF(AND(H198&gt;1997,H198&lt;2000),VLOOKUP(I198,Feuil1!$G$11:$L$25,4),IF(AND(H198&gt;1999,H198&lt;2002),VLOOKUP(I198,Feuil1!$G$11:$L$25,3),VLOOKUP(I198,Feuil1!$G$11:$L$25,2)))))))</f>
        <v>FS63</v>
      </c>
      <c r="Y198" s="39">
        <f t="shared" si="66"/>
        <v>128.17548857589136</v>
      </c>
      <c r="Z198" s="45"/>
      <c r="AA198" s="49" t="s">
        <v>12</v>
      </c>
      <c r="AB198" s="3">
        <f>T198-HLOOKUP(X198,Feuil1!$C$1:$BL$10,2,FALSE)</f>
        <v>20</v>
      </c>
      <c r="AC198" s="3">
        <f>T198-HLOOKUP(X198,Feuil1!$C$1:$BL$10,3,FALSE)</f>
        <v>10</v>
      </c>
      <c r="AD198" s="3">
        <f>T198-HLOOKUP(X198,Feuil1!$C$1:$BL$10,4,FALSE)</f>
        <v>0</v>
      </c>
      <c r="AE198" s="3">
        <f>T198-HLOOKUP(X198,Feuil1!$C$1:$BL$10,5,FALSE)</f>
        <v>-15</v>
      </c>
      <c r="AF198" s="3">
        <f>T198-HLOOKUP(X198,Feuil1!$C$1:$BL$10,6,FALSE)</f>
        <v>-30</v>
      </c>
      <c r="AG198" s="3">
        <f>T198-HLOOKUP(X198,Feuil1!$C$1:$BL$10,7,FALSE)</f>
        <v>-45</v>
      </c>
      <c r="AH198" s="3">
        <f>T198-HLOOKUP(X198,Feuil1!$C$1:$BL$10,8,FALSE)</f>
        <v>-65</v>
      </c>
      <c r="AI198" s="3">
        <f>T198-HLOOKUP(X198,Feuil1!$C$1:$BL$10,9,FALSE)</f>
        <v>-85</v>
      </c>
      <c r="AJ198" s="3">
        <f>T198-HLOOKUP(X198,Feuil1!$C$1:$BL$10,10,FALSE)</f>
        <v>-105</v>
      </c>
      <c r="AQ198" s="5" t="str">
        <f t="shared" si="67"/>
        <v>REG +</v>
      </c>
      <c r="BC198" s="13"/>
    </row>
    <row r="199" spans="1:55" ht="21" hidden="1" x14ac:dyDescent="0.2">
      <c r="A199" s="12" t="s">
        <v>69</v>
      </c>
      <c r="B199" s="18" t="s">
        <v>71</v>
      </c>
      <c r="C199" s="19" t="s">
        <v>801</v>
      </c>
      <c r="D199" s="61">
        <v>44</v>
      </c>
      <c r="E199" s="35">
        <v>380058</v>
      </c>
      <c r="F199" s="20" t="s">
        <v>850</v>
      </c>
      <c r="G199" s="20" t="s">
        <v>426</v>
      </c>
      <c r="H199" s="51">
        <v>1988</v>
      </c>
      <c r="I199" s="30">
        <v>62.5</v>
      </c>
      <c r="J199" s="19" t="s">
        <v>841</v>
      </c>
      <c r="K199" s="34" t="s">
        <v>69</v>
      </c>
      <c r="L199" s="31">
        <v>-40</v>
      </c>
      <c r="M199" s="31">
        <v>40</v>
      </c>
      <c r="N199" s="31">
        <v>43</v>
      </c>
      <c r="O199" s="36">
        <f t="shared" si="60"/>
        <v>43</v>
      </c>
      <c r="P199" s="31">
        <v>50</v>
      </c>
      <c r="Q199" s="31">
        <v>52</v>
      </c>
      <c r="R199" s="31">
        <v>-56</v>
      </c>
      <c r="S199" s="36">
        <f t="shared" si="61"/>
        <v>52</v>
      </c>
      <c r="T199" s="37">
        <f t="shared" si="62"/>
        <v>95</v>
      </c>
      <c r="U199" s="65">
        <f t="shared" si="63"/>
        <v>-30</v>
      </c>
      <c r="V199" s="41" t="str">
        <f t="shared" si="64"/>
        <v>REG +</v>
      </c>
      <c r="W199" s="33">
        <f t="shared" si="65"/>
        <v>0</v>
      </c>
      <c r="X199" s="40" t="str">
        <f>IF(I199="","",IF(A199="H",IF(OR(H199="SEN",H199&lt;1995),VLOOKUP(I199,Feuil1!$A$11:$F$29,6),IF(AND(H199&gt;1994,H199&lt;1998),VLOOKUP(I199,Feuil1!$A$11:$F$29,5),IF(AND(H199&gt;1997,H199&lt;2000),VLOOKUP(I199,Feuil1!$A$11:$F$29,4),IF(AND(H199&gt;1999,H199&lt;2002),VLOOKUP(I199,Feuil1!$A$11:$F$29,3),VLOOKUP(I199,Feuil1!$A$11:$F$29,2))))),IF(OR(H199="SEN",H199&lt;1995),VLOOKUP(I199,Feuil1!$G$11:$L$25,6),IF(AND(H199&gt;1994,H199&lt;1998),VLOOKUP(I199,Feuil1!$G$11:$L$25,5),IF(AND(H199&gt;1997,H199&lt;2000),VLOOKUP(I199,Feuil1!$G$11:$L$25,4),IF(AND(H199&gt;1999,H199&lt;2002),VLOOKUP(I199,Feuil1!$G$11:$L$25,3),VLOOKUP(I199,Feuil1!$G$11:$L$25,2)))))))</f>
        <v>FS63</v>
      </c>
      <c r="Y199" s="39">
        <f t="shared" si="66"/>
        <v>126.92185615139626</v>
      </c>
      <c r="Z199" s="45"/>
      <c r="AA199" s="49" t="s">
        <v>12</v>
      </c>
      <c r="AB199" s="3">
        <f>T199-HLOOKUP(X199,Feuil1!$C$1:$BL$10,2,FALSE)</f>
        <v>20</v>
      </c>
      <c r="AC199" s="3">
        <f>T199-HLOOKUP(X199,Feuil1!$C$1:$BL$10,3,FALSE)</f>
        <v>10</v>
      </c>
      <c r="AD199" s="3">
        <f>T199-HLOOKUP(X199,Feuil1!$C$1:$BL$10,4,FALSE)</f>
        <v>0</v>
      </c>
      <c r="AE199" s="3">
        <f>T199-HLOOKUP(X199,Feuil1!$C$1:$BL$10,5,FALSE)</f>
        <v>-15</v>
      </c>
      <c r="AF199" s="3">
        <f>T199-HLOOKUP(X199,Feuil1!$C$1:$BL$10,6,FALSE)</f>
        <v>-30</v>
      </c>
      <c r="AG199" s="3">
        <f>T199-HLOOKUP(X199,Feuil1!$C$1:$BL$10,7,FALSE)</f>
        <v>-45</v>
      </c>
      <c r="AH199" s="3">
        <f>T199-HLOOKUP(X199,Feuil1!$C$1:$BL$10,8,FALSE)</f>
        <v>-65</v>
      </c>
      <c r="AI199" s="3">
        <f>T199-HLOOKUP(X199,Feuil1!$C$1:$BL$10,9,FALSE)</f>
        <v>-85</v>
      </c>
      <c r="AJ199" s="3">
        <f>T199-HLOOKUP(X199,Feuil1!$C$1:$BL$10,10,FALSE)</f>
        <v>-105</v>
      </c>
      <c r="AQ199" s="5" t="str">
        <f t="shared" si="67"/>
        <v>REG +</v>
      </c>
      <c r="BC199" s="13"/>
    </row>
    <row r="200" spans="1:55" ht="21" hidden="1" x14ac:dyDescent="0.2">
      <c r="A200" s="12" t="s">
        <v>69</v>
      </c>
      <c r="B200" s="18" t="s">
        <v>108</v>
      </c>
      <c r="C200" s="19" t="s">
        <v>119</v>
      </c>
      <c r="D200" s="61">
        <v>45</v>
      </c>
      <c r="E200" s="35">
        <v>134532</v>
      </c>
      <c r="F200" s="20" t="s">
        <v>213</v>
      </c>
      <c r="G200" s="20" t="s">
        <v>214</v>
      </c>
      <c r="H200" s="51">
        <v>1957</v>
      </c>
      <c r="I200" s="30">
        <v>63</v>
      </c>
      <c r="J200" s="19" t="s">
        <v>173</v>
      </c>
      <c r="K200" s="34" t="s">
        <v>69</v>
      </c>
      <c r="L200" s="31">
        <v>37</v>
      </c>
      <c r="M200" s="31">
        <v>-40</v>
      </c>
      <c r="N200" s="31">
        <v>40</v>
      </c>
      <c r="O200" s="36">
        <f t="shared" si="60"/>
        <v>40</v>
      </c>
      <c r="P200" s="31">
        <v>50</v>
      </c>
      <c r="Q200" s="31">
        <v>54</v>
      </c>
      <c r="R200" s="31">
        <v>-56</v>
      </c>
      <c r="S200" s="36">
        <f t="shared" si="61"/>
        <v>54</v>
      </c>
      <c r="T200" s="37">
        <f t="shared" si="62"/>
        <v>94</v>
      </c>
      <c r="U200" s="65">
        <f t="shared" si="63"/>
        <v>-32</v>
      </c>
      <c r="V200" s="41" t="str">
        <f t="shared" si="64"/>
        <v>DEP +</v>
      </c>
      <c r="W200" s="33">
        <f t="shared" si="65"/>
        <v>9</v>
      </c>
      <c r="X200" s="40" t="str">
        <f>IF(I200="","",IF(A200="H",IF(OR(H200="SEN",H200&lt;1995),VLOOKUP(I200,Feuil1!$A$11:$F$29,6),IF(AND(H200&gt;1994,H200&lt;1998),VLOOKUP(I200,Feuil1!$A$11:$F$29,5),IF(AND(H200&gt;1997,H200&lt;2000),VLOOKUP(I200,Feuil1!$A$11:$F$29,4),IF(AND(H200&gt;1999,H200&lt;2002),VLOOKUP(I200,Feuil1!$A$11:$F$29,3),VLOOKUP(I200,Feuil1!$A$11:$F$29,2))))),IF(OR(H200="SEN",H200&lt;1995),VLOOKUP(I200,Feuil1!$G$11:$L$25,6),IF(AND(H200&gt;1994,H200&lt;1998),VLOOKUP(I200,Feuil1!$G$11:$L$25,5),IF(AND(H200&gt;1997,H200&lt;2000),VLOOKUP(I200,Feuil1!$G$11:$L$25,4),IF(AND(H200&gt;1999,H200&lt;2002),VLOOKUP(I200,Feuil1!$G$11:$L$25,3),VLOOKUP(I200,Feuil1!$G$11:$L$25,2)))))))</f>
        <v>FS63</v>
      </c>
      <c r="Y200" s="39">
        <f t="shared" si="66"/>
        <v>124.91828817531378</v>
      </c>
      <c r="Z200" s="45"/>
      <c r="AA200" s="49" t="s">
        <v>12</v>
      </c>
      <c r="AB200" s="3">
        <f>T200-HLOOKUP(X200,Feuil1!$C$1:$BL$10,2,FALSE)</f>
        <v>19</v>
      </c>
      <c r="AC200" s="3">
        <f>T200-HLOOKUP(X200,Feuil1!$C$1:$BL$10,3,FALSE)</f>
        <v>9</v>
      </c>
      <c r="AD200" s="3">
        <f>T200-HLOOKUP(X200,Feuil1!$C$1:$BL$10,4,FALSE)</f>
        <v>-1</v>
      </c>
      <c r="AE200" s="3">
        <f>T200-HLOOKUP(X200,Feuil1!$C$1:$BL$10,5,FALSE)</f>
        <v>-16</v>
      </c>
      <c r="AF200" s="3">
        <f>T200-HLOOKUP(X200,Feuil1!$C$1:$BL$10,6,FALSE)</f>
        <v>-31</v>
      </c>
      <c r="AG200" s="3">
        <f>T200-HLOOKUP(X200,Feuil1!$C$1:$BL$10,7,FALSE)</f>
        <v>-46</v>
      </c>
      <c r="AH200" s="3">
        <f>T200-HLOOKUP(X200,Feuil1!$C$1:$BL$10,8,FALSE)</f>
        <v>-66</v>
      </c>
      <c r="AI200" s="3">
        <f>T200-HLOOKUP(X200,Feuil1!$C$1:$BL$10,9,FALSE)</f>
        <v>-86</v>
      </c>
      <c r="AJ200" s="3">
        <f>T200-HLOOKUP(X200,Feuil1!$C$1:$BL$10,10,FALSE)</f>
        <v>-106</v>
      </c>
      <c r="AQ200" s="5" t="str">
        <f t="shared" si="67"/>
        <v>DEP +</v>
      </c>
    </row>
    <row r="201" spans="1:55" ht="21" hidden="1" x14ac:dyDescent="0.2">
      <c r="A201" s="12" t="s">
        <v>69</v>
      </c>
      <c r="B201" s="18" t="s">
        <v>108</v>
      </c>
      <c r="C201" s="19" t="s">
        <v>264</v>
      </c>
      <c r="D201" s="61">
        <v>46</v>
      </c>
      <c r="E201" s="35">
        <v>336137</v>
      </c>
      <c r="F201" s="20" t="s">
        <v>285</v>
      </c>
      <c r="G201" s="20" t="s">
        <v>286</v>
      </c>
      <c r="H201" s="57">
        <v>1984</v>
      </c>
      <c r="I201" s="30">
        <v>61.2</v>
      </c>
      <c r="J201" s="19" t="s">
        <v>277</v>
      </c>
      <c r="K201" s="34" t="s">
        <v>69</v>
      </c>
      <c r="L201" s="31">
        <v>33</v>
      </c>
      <c r="M201" s="31">
        <v>36</v>
      </c>
      <c r="N201" s="31">
        <v>-40</v>
      </c>
      <c r="O201" s="36">
        <f t="shared" si="60"/>
        <v>36</v>
      </c>
      <c r="P201" s="31">
        <v>48</v>
      </c>
      <c r="Q201" s="31">
        <v>51</v>
      </c>
      <c r="R201" s="31">
        <v>56</v>
      </c>
      <c r="S201" s="36">
        <f t="shared" si="61"/>
        <v>56</v>
      </c>
      <c r="T201" s="37">
        <f t="shared" si="62"/>
        <v>92</v>
      </c>
      <c r="U201" s="65">
        <f t="shared" si="63"/>
        <v>-30.400000000000006</v>
      </c>
      <c r="V201" s="41" t="str">
        <f t="shared" si="64"/>
        <v>DEP +</v>
      </c>
      <c r="W201" s="33">
        <f t="shared" si="65"/>
        <v>7</v>
      </c>
      <c r="X201" s="40" t="str">
        <f>IF(I201="","",IF(A201="H",IF(OR(H201="SEN",H201&lt;1995),VLOOKUP(I201,Feuil1!$A$11:$F$29,6),IF(AND(H201&gt;1994,H201&lt;1998),VLOOKUP(I201,Feuil1!$A$11:$F$29,5),IF(AND(H201&gt;1997,H201&lt;2000),VLOOKUP(I201,Feuil1!$A$11:$F$29,4),IF(AND(H201&gt;1999,H201&lt;2002),VLOOKUP(I201,Feuil1!$A$11:$F$29,3),VLOOKUP(I201,Feuil1!$A$11:$F$29,2))))),IF(OR(H201="SEN",H201&lt;1995),VLOOKUP(I201,Feuil1!$G$11:$L$25,6),IF(AND(H201&gt;1994,H201&lt;1998),VLOOKUP(I201,Feuil1!$G$11:$L$25,5),IF(AND(H201&gt;1997,H201&lt;2000),VLOOKUP(I201,Feuil1!$G$11:$L$25,4),IF(AND(H201&gt;1999,H201&lt;2002),VLOOKUP(I201,Feuil1!$G$11:$L$25,3),VLOOKUP(I201,Feuil1!$G$11:$L$25,2)))))))</f>
        <v>FS63</v>
      </c>
      <c r="Y201" s="39">
        <f t="shared" si="66"/>
        <v>124.68366949168791</v>
      </c>
      <c r="Z201" s="45"/>
      <c r="AA201" s="49" t="s">
        <v>12</v>
      </c>
      <c r="AB201" s="3">
        <f>T201-HLOOKUP(X201,Feuil1!$C$1:$BL$10,2,FALSE)</f>
        <v>17</v>
      </c>
      <c r="AC201" s="3">
        <f>T201-HLOOKUP(X201,Feuil1!$C$1:$BL$10,3,FALSE)</f>
        <v>7</v>
      </c>
      <c r="AD201" s="3">
        <f>T201-HLOOKUP(X201,Feuil1!$C$1:$BL$10,4,FALSE)</f>
        <v>-3</v>
      </c>
      <c r="AE201" s="3">
        <f>T201-HLOOKUP(X201,Feuil1!$C$1:$BL$10,5,FALSE)</f>
        <v>-18</v>
      </c>
      <c r="AF201" s="3">
        <f>T201-HLOOKUP(X201,Feuil1!$C$1:$BL$10,6,FALSE)</f>
        <v>-33</v>
      </c>
      <c r="AG201" s="3">
        <f>T201-HLOOKUP(X201,Feuil1!$C$1:$BL$10,7,FALSE)</f>
        <v>-48</v>
      </c>
      <c r="AH201" s="3">
        <f>T201-HLOOKUP(X201,Feuil1!$C$1:$BL$10,8,FALSE)</f>
        <v>-68</v>
      </c>
      <c r="AI201" s="3">
        <f>T201-HLOOKUP(X201,Feuil1!$C$1:$BL$10,9,FALSE)</f>
        <v>-88</v>
      </c>
      <c r="AJ201" s="3">
        <f>T201-HLOOKUP(X201,Feuil1!$C$1:$BL$10,10,FALSE)</f>
        <v>-108</v>
      </c>
      <c r="AQ201" s="5" t="str">
        <f t="shared" si="67"/>
        <v>DEP +</v>
      </c>
    </row>
    <row r="202" spans="1:55" ht="21" hidden="1" x14ac:dyDescent="0.2">
      <c r="A202" s="12" t="s">
        <v>69</v>
      </c>
      <c r="B202" s="18" t="s">
        <v>108</v>
      </c>
      <c r="C202" s="19" t="s">
        <v>119</v>
      </c>
      <c r="D202" s="61">
        <v>47</v>
      </c>
      <c r="E202" s="35">
        <v>9508</v>
      </c>
      <c r="F202" s="20" t="s">
        <v>215</v>
      </c>
      <c r="G202" s="20" t="s">
        <v>216</v>
      </c>
      <c r="H202" s="58">
        <v>1967</v>
      </c>
      <c r="I202" s="30">
        <v>60.8</v>
      </c>
      <c r="J202" s="19" t="s">
        <v>173</v>
      </c>
      <c r="K202" s="34" t="s">
        <v>69</v>
      </c>
      <c r="L202" s="31">
        <v>33</v>
      </c>
      <c r="M202" s="31">
        <v>-37</v>
      </c>
      <c r="N202" s="31">
        <v>37</v>
      </c>
      <c r="O202" s="36">
        <f t="shared" si="60"/>
        <v>37</v>
      </c>
      <c r="P202" s="31">
        <v>50</v>
      </c>
      <c r="Q202" s="31">
        <v>54</v>
      </c>
      <c r="R202" s="31">
        <v>-56</v>
      </c>
      <c r="S202" s="36">
        <f t="shared" si="61"/>
        <v>54</v>
      </c>
      <c r="T202" s="37">
        <f t="shared" si="62"/>
        <v>91</v>
      </c>
      <c r="U202" s="65">
        <f t="shared" si="63"/>
        <v>-30.599999999999994</v>
      </c>
      <c r="V202" s="41" t="str">
        <f t="shared" si="64"/>
        <v>DEP +</v>
      </c>
      <c r="W202" s="33">
        <f t="shared" si="65"/>
        <v>6</v>
      </c>
      <c r="X202" s="40" t="str">
        <f>IF(I202="","",IF(A202="H",IF(OR(H202="SEN",H202&lt;1995),VLOOKUP(I202,Feuil1!$A$11:$F$29,6),IF(AND(H202&gt;1994,H202&lt;1998),VLOOKUP(I202,Feuil1!$A$11:$F$29,5),IF(AND(H202&gt;1997,H202&lt;2000),VLOOKUP(I202,Feuil1!$A$11:$F$29,4),IF(AND(H202&gt;1999,H202&lt;2002),VLOOKUP(I202,Feuil1!$A$11:$F$29,3),VLOOKUP(I202,Feuil1!$A$11:$F$29,2))))),IF(OR(H202="SEN",H202&lt;1995),VLOOKUP(I202,Feuil1!$G$11:$L$25,6),IF(AND(H202&gt;1994,H202&lt;1998),VLOOKUP(I202,Feuil1!$G$11:$L$25,5),IF(AND(H202&gt;1997,H202&lt;2000),VLOOKUP(I202,Feuil1!$G$11:$L$25,4),IF(AND(H202&gt;1999,H202&lt;2002),VLOOKUP(I202,Feuil1!$G$11:$L$25,3),VLOOKUP(I202,Feuil1!$G$11:$L$25,2)))))))</f>
        <v>FS63</v>
      </c>
      <c r="Y202" s="39">
        <f t="shared" si="66"/>
        <v>123.88842799299447</v>
      </c>
      <c r="Z202" s="45"/>
      <c r="AA202" s="49" t="s">
        <v>12</v>
      </c>
      <c r="AB202" s="3">
        <f>T202-HLOOKUP(X202,Feuil1!$C$1:$BL$10,2,FALSE)</f>
        <v>16</v>
      </c>
      <c r="AC202" s="3">
        <f>T202-HLOOKUP(X202,Feuil1!$C$1:$BL$10,3,FALSE)</f>
        <v>6</v>
      </c>
      <c r="AD202" s="3">
        <f>T202-HLOOKUP(X202,Feuil1!$C$1:$BL$10,4,FALSE)</f>
        <v>-4</v>
      </c>
      <c r="AE202" s="3">
        <f>T202-HLOOKUP(X202,Feuil1!$C$1:$BL$10,5,FALSE)</f>
        <v>-19</v>
      </c>
      <c r="AF202" s="3">
        <f>T202-HLOOKUP(X202,Feuil1!$C$1:$BL$10,6,FALSE)</f>
        <v>-34</v>
      </c>
      <c r="AG202" s="3">
        <f>T202-HLOOKUP(X202,Feuil1!$C$1:$BL$10,7,FALSE)</f>
        <v>-49</v>
      </c>
      <c r="AH202" s="3">
        <f>T202-HLOOKUP(X202,Feuil1!$C$1:$BL$10,8,FALSE)</f>
        <v>-69</v>
      </c>
      <c r="AI202" s="3">
        <f>T202-HLOOKUP(X202,Feuil1!$C$1:$BL$10,9,FALSE)</f>
        <v>-89</v>
      </c>
      <c r="AJ202" s="3">
        <f>T202-HLOOKUP(X202,Feuil1!$C$1:$BL$10,10,FALSE)</f>
        <v>-109</v>
      </c>
      <c r="AQ202" s="5" t="str">
        <f t="shared" si="67"/>
        <v>DEP +</v>
      </c>
    </row>
    <row r="203" spans="1:55" ht="21" hidden="1" x14ac:dyDescent="0.2">
      <c r="A203" s="12" t="s">
        <v>69</v>
      </c>
      <c r="B203" s="18" t="s">
        <v>298</v>
      </c>
      <c r="C203" s="19" t="s">
        <v>299</v>
      </c>
      <c r="D203" s="61">
        <v>48</v>
      </c>
      <c r="E203" s="35">
        <v>256340</v>
      </c>
      <c r="F203" s="20" t="s">
        <v>370</v>
      </c>
      <c r="G203" s="20" t="s">
        <v>178</v>
      </c>
      <c r="H203" s="51">
        <v>1973</v>
      </c>
      <c r="I203" s="30">
        <v>62.9</v>
      </c>
      <c r="J203" s="19" t="s">
        <v>309</v>
      </c>
      <c r="K203" s="34" t="s">
        <v>69</v>
      </c>
      <c r="L203" s="31">
        <v>30</v>
      </c>
      <c r="M203" s="31">
        <v>35</v>
      </c>
      <c r="N203" s="31">
        <v>-40</v>
      </c>
      <c r="O203" s="36">
        <f t="shared" si="60"/>
        <v>35</v>
      </c>
      <c r="P203" s="31">
        <v>50</v>
      </c>
      <c r="Q203" s="31">
        <v>53</v>
      </c>
      <c r="R203" s="31">
        <v>55</v>
      </c>
      <c r="S203" s="36">
        <f t="shared" si="61"/>
        <v>55</v>
      </c>
      <c r="T203" s="37">
        <f t="shared" si="62"/>
        <v>90</v>
      </c>
      <c r="U203" s="65">
        <f t="shared" si="63"/>
        <v>-35.799999999999997</v>
      </c>
      <c r="V203" s="41" t="str">
        <f t="shared" si="64"/>
        <v>DEP +</v>
      </c>
      <c r="W203" s="33">
        <f t="shared" si="65"/>
        <v>5</v>
      </c>
      <c r="X203" s="40" t="str">
        <f>IF(I203="","",IF(A203="H",IF(OR(H203="SEN",H203&lt;1995),VLOOKUP(I203,Feuil1!$A$11:$F$29,6),IF(AND(H203&gt;1994,H203&lt;1998),VLOOKUP(I203,Feuil1!$A$11:$F$29,5),IF(AND(H203&gt;1997,H203&lt;2000),VLOOKUP(I203,Feuil1!$A$11:$F$29,4),IF(AND(H203&gt;1999,H203&lt;2002),VLOOKUP(I203,Feuil1!$A$11:$F$29,3),VLOOKUP(I203,Feuil1!$A$11:$F$29,2))))),IF(OR(H203="SEN",H203&lt;1995),VLOOKUP(I203,Feuil1!$G$11:$L$25,6),IF(AND(H203&gt;1994,H203&lt;1998),VLOOKUP(I203,Feuil1!$G$11:$L$25,5),IF(AND(H203&gt;1997,H203&lt;2000),VLOOKUP(I203,Feuil1!$G$11:$L$25,4),IF(AND(H203&gt;1999,H203&lt;2002),VLOOKUP(I203,Feuil1!$G$11:$L$25,3),VLOOKUP(I203,Feuil1!$G$11:$L$25,2)))))))</f>
        <v>FS63</v>
      </c>
      <c r="Y203" s="39">
        <f t="shared" si="66"/>
        <v>119.72929344470396</v>
      </c>
      <c r="Z203" s="45"/>
      <c r="AA203" s="49" t="s">
        <v>12</v>
      </c>
      <c r="AB203" s="3">
        <f>T203-HLOOKUP(X203,Feuil1!$C$1:$BL$10,2,FALSE)</f>
        <v>15</v>
      </c>
      <c r="AC203" s="3">
        <f>T203-HLOOKUP(X203,Feuil1!$C$1:$BL$10,3,FALSE)</f>
        <v>5</v>
      </c>
      <c r="AD203" s="3">
        <f>T203-HLOOKUP(X203,Feuil1!$C$1:$BL$10,4,FALSE)</f>
        <v>-5</v>
      </c>
      <c r="AE203" s="3">
        <f>T203-HLOOKUP(X203,Feuil1!$C$1:$BL$10,5,FALSE)</f>
        <v>-20</v>
      </c>
      <c r="AF203" s="3">
        <f>T203-HLOOKUP(X203,Feuil1!$C$1:$BL$10,6,FALSE)</f>
        <v>-35</v>
      </c>
      <c r="AG203" s="3">
        <f>T203-HLOOKUP(X203,Feuil1!$C$1:$BL$10,7,FALSE)</f>
        <v>-50</v>
      </c>
      <c r="AH203" s="3">
        <f>T203-HLOOKUP(X203,Feuil1!$C$1:$BL$10,8,FALSE)</f>
        <v>-70</v>
      </c>
      <c r="AI203" s="3">
        <f>T203-HLOOKUP(X203,Feuil1!$C$1:$BL$10,9,FALSE)</f>
        <v>-90</v>
      </c>
      <c r="AJ203" s="3">
        <f>T203-HLOOKUP(X203,Feuil1!$C$1:$BL$10,10,FALSE)</f>
        <v>-110</v>
      </c>
      <c r="AQ203" s="5" t="str">
        <f t="shared" si="67"/>
        <v>DEP +</v>
      </c>
      <c r="BC203" s="13"/>
    </row>
    <row r="204" spans="1:55" ht="21" hidden="1" x14ac:dyDescent="0.2">
      <c r="A204" s="12" t="s">
        <v>69</v>
      </c>
      <c r="B204" s="18" t="s">
        <v>71</v>
      </c>
      <c r="C204" s="19" t="s">
        <v>801</v>
      </c>
      <c r="D204" s="61">
        <v>49</v>
      </c>
      <c r="E204" s="35">
        <v>186993</v>
      </c>
      <c r="F204" s="20" t="s">
        <v>853</v>
      </c>
      <c r="G204" s="20" t="s">
        <v>563</v>
      </c>
      <c r="H204" s="51">
        <v>1990</v>
      </c>
      <c r="I204" s="30">
        <v>62.75</v>
      </c>
      <c r="J204" s="19" t="s">
        <v>803</v>
      </c>
      <c r="K204" s="34" t="s">
        <v>69</v>
      </c>
      <c r="L204" s="31">
        <v>36</v>
      </c>
      <c r="M204" s="31">
        <v>39</v>
      </c>
      <c r="N204" s="31">
        <v>-41</v>
      </c>
      <c r="O204" s="36">
        <f t="shared" si="60"/>
        <v>39</v>
      </c>
      <c r="P204" s="31">
        <v>46</v>
      </c>
      <c r="Q204" s="31">
        <v>49</v>
      </c>
      <c r="R204" s="31">
        <v>-51</v>
      </c>
      <c r="S204" s="36">
        <f t="shared" si="61"/>
        <v>49</v>
      </c>
      <c r="T204" s="37">
        <f t="shared" si="62"/>
        <v>88</v>
      </c>
      <c r="U204" s="65">
        <f t="shared" si="63"/>
        <v>-37.5</v>
      </c>
      <c r="V204" s="41" t="str">
        <f t="shared" si="64"/>
        <v>DEP +</v>
      </c>
      <c r="W204" s="33">
        <f t="shared" si="65"/>
        <v>3</v>
      </c>
      <c r="X204" s="40" t="str">
        <f>IF(I204="","",IF(A204="H",IF(OR(H204="SEN",H204&lt;1995),VLOOKUP(I204,Feuil1!$A$11:$F$29,6),IF(AND(H204&gt;1994,H204&lt;1998),VLOOKUP(I204,Feuil1!$A$11:$F$29,5),IF(AND(H204&gt;1997,H204&lt;2000),VLOOKUP(I204,Feuil1!$A$11:$F$29,4),IF(AND(H204&gt;1999,H204&lt;2002),VLOOKUP(I204,Feuil1!$A$11:$F$29,3),VLOOKUP(I204,Feuil1!$A$11:$F$29,2))))),IF(OR(H204="SEN",H204&lt;1995),VLOOKUP(I204,Feuil1!$G$11:$L$25,6),IF(AND(H204&gt;1994,H204&lt;1998),VLOOKUP(I204,Feuil1!$G$11:$L$25,5),IF(AND(H204&gt;1997,H204&lt;2000),VLOOKUP(I204,Feuil1!$G$11:$L$25,4),IF(AND(H204&gt;1999,H204&lt;2002),VLOOKUP(I204,Feuil1!$G$11:$L$25,3),VLOOKUP(I204,Feuil1!$G$11:$L$25,2)))))))</f>
        <v>FS63</v>
      </c>
      <c r="Y204" s="39">
        <f t="shared" si="66"/>
        <v>117.25548585559284</v>
      </c>
      <c r="Z204" s="45"/>
      <c r="AA204" s="49" t="s">
        <v>12</v>
      </c>
      <c r="AB204" s="3">
        <f>T204-HLOOKUP(X204,Feuil1!$C$1:$BL$10,2,FALSE)</f>
        <v>13</v>
      </c>
      <c r="AC204" s="3">
        <f>T204-HLOOKUP(X204,Feuil1!$C$1:$BL$10,3,FALSE)</f>
        <v>3</v>
      </c>
      <c r="AD204" s="3">
        <f>T204-HLOOKUP(X204,Feuil1!$C$1:$BL$10,4,FALSE)</f>
        <v>-7</v>
      </c>
      <c r="AE204" s="3">
        <f>T204-HLOOKUP(X204,Feuil1!$C$1:$BL$10,5,FALSE)</f>
        <v>-22</v>
      </c>
      <c r="AF204" s="3">
        <f>T204-HLOOKUP(X204,Feuil1!$C$1:$BL$10,6,FALSE)</f>
        <v>-37</v>
      </c>
      <c r="AG204" s="3">
        <f>T204-HLOOKUP(X204,Feuil1!$C$1:$BL$10,7,FALSE)</f>
        <v>-52</v>
      </c>
      <c r="AH204" s="3">
        <f>T204-HLOOKUP(X204,Feuil1!$C$1:$BL$10,8,FALSE)</f>
        <v>-72</v>
      </c>
      <c r="AI204" s="3">
        <f>T204-HLOOKUP(X204,Feuil1!$C$1:$BL$10,9,FALSE)</f>
        <v>-92</v>
      </c>
      <c r="AJ204" s="3">
        <f>T204-HLOOKUP(X204,Feuil1!$C$1:$BL$10,10,FALSE)</f>
        <v>-112</v>
      </c>
      <c r="AQ204" s="5" t="str">
        <f t="shared" si="67"/>
        <v>DEP +</v>
      </c>
      <c r="BC204" s="13"/>
    </row>
    <row r="205" spans="1:55" ht="21" hidden="1" x14ac:dyDescent="0.2">
      <c r="A205" s="12" t="s">
        <v>69</v>
      </c>
      <c r="B205" s="18" t="s">
        <v>108</v>
      </c>
      <c r="C205" s="19" t="s">
        <v>115</v>
      </c>
      <c r="D205" s="61">
        <v>50</v>
      </c>
      <c r="E205" s="35">
        <v>374441</v>
      </c>
      <c r="F205" s="20" t="s">
        <v>192</v>
      </c>
      <c r="G205" s="20" t="s">
        <v>193</v>
      </c>
      <c r="H205" s="51">
        <v>1989</v>
      </c>
      <c r="I205" s="30">
        <v>61.3</v>
      </c>
      <c r="J205" s="19" t="s">
        <v>194</v>
      </c>
      <c r="K205" s="34" t="s">
        <v>69</v>
      </c>
      <c r="L205" s="31">
        <v>35</v>
      </c>
      <c r="M205" s="31">
        <v>38</v>
      </c>
      <c r="N205" s="31">
        <v>40</v>
      </c>
      <c r="O205" s="36">
        <f t="shared" si="60"/>
        <v>40</v>
      </c>
      <c r="P205" s="31">
        <v>43</v>
      </c>
      <c r="Q205" s="31">
        <v>46</v>
      </c>
      <c r="R205" s="31">
        <v>-51</v>
      </c>
      <c r="S205" s="36">
        <f t="shared" si="61"/>
        <v>46</v>
      </c>
      <c r="T205" s="37">
        <f t="shared" si="62"/>
        <v>86</v>
      </c>
      <c r="U205" s="65">
        <f t="shared" si="63"/>
        <v>-36.599999999999994</v>
      </c>
      <c r="V205" s="41" t="str">
        <f t="shared" si="64"/>
        <v>DEP +</v>
      </c>
      <c r="W205" s="33">
        <f t="shared" si="65"/>
        <v>1</v>
      </c>
      <c r="X205" s="40" t="str">
        <f>IF(I205="","",IF(A205="H",IF(OR(H205="SEN",H205&lt;1995),VLOOKUP(I205,Feuil1!$A$11:$F$29,6),IF(AND(H205&gt;1994,H205&lt;1998),VLOOKUP(I205,Feuil1!$A$11:$F$29,5),IF(AND(H205&gt;1997,H205&lt;2000),VLOOKUP(I205,Feuil1!$A$11:$F$29,4),IF(AND(H205&gt;1999,H205&lt;2002),VLOOKUP(I205,Feuil1!$A$11:$F$29,3),VLOOKUP(I205,Feuil1!$A$11:$F$29,2))))),IF(OR(H205="SEN",H205&lt;1995),VLOOKUP(I205,Feuil1!$G$11:$L$25,6),IF(AND(H205&gt;1994,H205&lt;1998),VLOOKUP(I205,Feuil1!$G$11:$L$25,5),IF(AND(H205&gt;1997,H205&lt;2000),VLOOKUP(I205,Feuil1!$G$11:$L$25,4),IF(AND(H205&gt;1999,H205&lt;2002),VLOOKUP(I205,Feuil1!$G$11:$L$25,3),VLOOKUP(I205,Feuil1!$G$11:$L$25,2)))))))</f>
        <v>FS63</v>
      </c>
      <c r="Y205" s="39">
        <f t="shared" si="66"/>
        <v>116.42133391352468</v>
      </c>
      <c r="Z205" s="45"/>
      <c r="AA205" s="49" t="s">
        <v>12</v>
      </c>
      <c r="AB205" s="3">
        <f>T205-HLOOKUP(X205,Feuil1!$C$1:$BL$10,2,FALSE)</f>
        <v>11</v>
      </c>
      <c r="AC205" s="3">
        <f>T205-HLOOKUP(X205,Feuil1!$C$1:$BL$10,3,FALSE)</f>
        <v>1</v>
      </c>
      <c r="AD205" s="3">
        <f>T205-HLOOKUP(X205,Feuil1!$C$1:$BL$10,4,FALSE)</f>
        <v>-9</v>
      </c>
      <c r="AE205" s="3">
        <f>T205-HLOOKUP(X205,Feuil1!$C$1:$BL$10,5,FALSE)</f>
        <v>-24</v>
      </c>
      <c r="AF205" s="3">
        <f>T205-HLOOKUP(X205,Feuil1!$C$1:$BL$10,6,FALSE)</f>
        <v>-39</v>
      </c>
      <c r="AG205" s="3">
        <f>T205-HLOOKUP(X205,Feuil1!$C$1:$BL$10,7,FALSE)</f>
        <v>-54</v>
      </c>
      <c r="AH205" s="3">
        <f>T205-HLOOKUP(X205,Feuil1!$C$1:$BL$10,8,FALSE)</f>
        <v>-74</v>
      </c>
      <c r="AI205" s="3">
        <f>T205-HLOOKUP(X205,Feuil1!$C$1:$BL$10,9,FALSE)</f>
        <v>-94</v>
      </c>
      <c r="AJ205" s="3">
        <f>T205-HLOOKUP(X205,Feuil1!$C$1:$BL$10,10,FALSE)</f>
        <v>-114</v>
      </c>
      <c r="AQ205" s="5" t="str">
        <f t="shared" si="67"/>
        <v>DEP +</v>
      </c>
    </row>
    <row r="206" spans="1:55" ht="21" hidden="1" x14ac:dyDescent="0.2">
      <c r="A206" s="12" t="s">
        <v>69</v>
      </c>
      <c r="B206" s="18" t="s">
        <v>298</v>
      </c>
      <c r="C206" s="19" t="s">
        <v>299</v>
      </c>
      <c r="D206" s="61">
        <v>51</v>
      </c>
      <c r="E206" s="35">
        <v>366091</v>
      </c>
      <c r="F206" s="20" t="s">
        <v>371</v>
      </c>
      <c r="G206" s="20" t="s">
        <v>372</v>
      </c>
      <c r="H206" s="51">
        <v>1981</v>
      </c>
      <c r="I206" s="30">
        <v>62.3</v>
      </c>
      <c r="J206" s="19" t="s">
        <v>349</v>
      </c>
      <c r="K206" s="34" t="s">
        <v>69</v>
      </c>
      <c r="L206" s="31">
        <v>35</v>
      </c>
      <c r="M206" s="31">
        <v>-40</v>
      </c>
      <c r="N206" s="31">
        <v>-40</v>
      </c>
      <c r="O206" s="36">
        <f t="shared" si="60"/>
        <v>35</v>
      </c>
      <c r="P206" s="31">
        <v>-50</v>
      </c>
      <c r="Q206" s="31">
        <v>50</v>
      </c>
      <c r="R206" s="31">
        <v>-55</v>
      </c>
      <c r="S206" s="36">
        <f t="shared" si="61"/>
        <v>50</v>
      </c>
      <c r="T206" s="37">
        <f t="shared" si="62"/>
        <v>85</v>
      </c>
      <c r="U206" s="65">
        <f t="shared" si="63"/>
        <v>-39.599999999999994</v>
      </c>
      <c r="V206" s="41" t="str">
        <f t="shared" si="64"/>
        <v>DEP +</v>
      </c>
      <c r="W206" s="33">
        <f t="shared" si="65"/>
        <v>0</v>
      </c>
      <c r="X206" s="40" t="str">
        <f>IF(I206="","",IF(A206="H",IF(OR(H206="SEN",H206&lt;1995),VLOOKUP(I206,Feuil1!$A$11:$F$29,6),IF(AND(H206&gt;1994,H206&lt;1998),VLOOKUP(I206,Feuil1!$A$11:$F$29,5),IF(AND(H206&gt;1997,H206&lt;2000),VLOOKUP(I206,Feuil1!$A$11:$F$29,4),IF(AND(H206&gt;1999,H206&lt;2002),VLOOKUP(I206,Feuil1!$A$11:$F$29,3),VLOOKUP(I206,Feuil1!$A$11:$F$29,2))))),IF(OR(H206="SEN",H206&lt;1995),VLOOKUP(I206,Feuil1!$G$11:$L$25,6),IF(AND(H206&gt;1994,H206&lt;1998),VLOOKUP(I206,Feuil1!$G$11:$L$25,5),IF(AND(H206&gt;1997,H206&lt;2000),VLOOKUP(I206,Feuil1!$G$11:$L$25,4),IF(AND(H206&gt;1999,H206&lt;2002),VLOOKUP(I206,Feuil1!$G$11:$L$25,3),VLOOKUP(I206,Feuil1!$G$11:$L$25,2)))))))</f>
        <v>FS63</v>
      </c>
      <c r="Y206" s="39">
        <f t="shared" si="66"/>
        <v>113.80696461421714</v>
      </c>
      <c r="Z206" s="45"/>
      <c r="AA206" s="49" t="s">
        <v>12</v>
      </c>
      <c r="AB206" s="3">
        <f>T206-HLOOKUP(X206,Feuil1!$C$1:$BL$10,2,FALSE)</f>
        <v>10</v>
      </c>
      <c r="AC206" s="3">
        <f>T206-HLOOKUP(X206,Feuil1!$C$1:$BL$10,3,FALSE)</f>
        <v>0</v>
      </c>
      <c r="AD206" s="3">
        <f>T206-HLOOKUP(X206,Feuil1!$C$1:$BL$10,4,FALSE)</f>
        <v>-10</v>
      </c>
      <c r="AE206" s="3">
        <f>T206-HLOOKUP(X206,Feuil1!$C$1:$BL$10,5,FALSE)</f>
        <v>-25</v>
      </c>
      <c r="AF206" s="3">
        <f>T206-HLOOKUP(X206,Feuil1!$C$1:$BL$10,6,FALSE)</f>
        <v>-40</v>
      </c>
      <c r="AG206" s="3">
        <f>T206-HLOOKUP(X206,Feuil1!$C$1:$BL$10,7,FALSE)</f>
        <v>-55</v>
      </c>
      <c r="AH206" s="3">
        <f>T206-HLOOKUP(X206,Feuil1!$C$1:$BL$10,8,FALSE)</f>
        <v>-75</v>
      </c>
      <c r="AI206" s="3">
        <f>T206-HLOOKUP(X206,Feuil1!$C$1:$BL$10,9,FALSE)</f>
        <v>-95</v>
      </c>
      <c r="AJ206" s="3">
        <f>T206-HLOOKUP(X206,Feuil1!$C$1:$BL$10,10,FALSE)</f>
        <v>-115</v>
      </c>
      <c r="AQ206" s="5" t="str">
        <f t="shared" si="67"/>
        <v>DEP +</v>
      </c>
      <c r="BC206" s="13"/>
    </row>
    <row r="207" spans="1:55" ht="21" hidden="1" x14ac:dyDescent="0.2">
      <c r="A207" s="12" t="s">
        <v>69</v>
      </c>
      <c r="B207" s="18" t="s">
        <v>71</v>
      </c>
      <c r="C207" s="19" t="s">
        <v>801</v>
      </c>
      <c r="D207" s="61">
        <v>52</v>
      </c>
      <c r="E207" s="35">
        <v>377264</v>
      </c>
      <c r="F207" s="20" t="s">
        <v>852</v>
      </c>
      <c r="G207" s="20" t="s">
        <v>464</v>
      </c>
      <c r="H207" s="51">
        <v>1988</v>
      </c>
      <c r="I207" s="30">
        <v>60.96</v>
      </c>
      <c r="J207" s="19" t="s">
        <v>837</v>
      </c>
      <c r="K207" s="34" t="s">
        <v>69</v>
      </c>
      <c r="L207" s="31">
        <v>35</v>
      </c>
      <c r="M207" s="31">
        <v>37</v>
      </c>
      <c r="N207" s="31">
        <v>-40</v>
      </c>
      <c r="O207" s="36">
        <f t="shared" si="60"/>
        <v>37</v>
      </c>
      <c r="P207" s="31">
        <v>40</v>
      </c>
      <c r="Q207" s="31">
        <v>45</v>
      </c>
      <c r="R207" s="31">
        <v>47</v>
      </c>
      <c r="S207" s="36">
        <f t="shared" si="61"/>
        <v>47</v>
      </c>
      <c r="T207" s="37">
        <f t="shared" si="62"/>
        <v>84</v>
      </c>
      <c r="U207" s="65">
        <f t="shared" si="63"/>
        <v>-37.92</v>
      </c>
      <c r="V207" s="41" t="str">
        <f t="shared" si="64"/>
        <v xml:space="preserve">DEB </v>
      </c>
      <c r="W207" s="33">
        <f t="shared" si="65"/>
        <v>9</v>
      </c>
      <c r="X207" s="40" t="str">
        <f>IF(I207="","",IF(A207="H",IF(OR(H207="SEN",H207&lt;1995),VLOOKUP(I207,Feuil1!$A$11:$F$29,6),IF(AND(H207&gt;1994,H207&lt;1998),VLOOKUP(I207,Feuil1!$A$11:$F$29,5),IF(AND(H207&gt;1997,H207&lt;2000),VLOOKUP(I207,Feuil1!$A$11:$F$29,4),IF(AND(H207&gt;1999,H207&lt;2002),VLOOKUP(I207,Feuil1!$A$11:$F$29,3),VLOOKUP(I207,Feuil1!$A$11:$F$29,2))))),IF(OR(H207="SEN",H207&lt;1995),VLOOKUP(I207,Feuil1!$G$11:$L$25,6),IF(AND(H207&gt;1994,H207&lt;1998),VLOOKUP(I207,Feuil1!$G$11:$L$25,5),IF(AND(H207&gt;1997,H207&lt;2000),VLOOKUP(I207,Feuil1!$G$11:$L$25,4),IF(AND(H207&gt;1999,H207&lt;2002),VLOOKUP(I207,Feuil1!$G$11:$L$25,3),VLOOKUP(I207,Feuil1!$G$11:$L$25,2)))))))</f>
        <v>FS63</v>
      </c>
      <c r="Y207" s="39">
        <f t="shared" si="66"/>
        <v>114.15062629573134</v>
      </c>
      <c r="Z207" s="45"/>
      <c r="AA207" s="49" t="s">
        <v>12</v>
      </c>
      <c r="AB207" s="3">
        <f>T207-HLOOKUP(X207,Feuil1!$C$1:$BL$10,2,FALSE)</f>
        <v>9</v>
      </c>
      <c r="AC207" s="3">
        <f>T207-HLOOKUP(X207,Feuil1!$C$1:$BL$10,3,FALSE)</f>
        <v>-1</v>
      </c>
      <c r="AD207" s="3">
        <f>T207-HLOOKUP(X207,Feuil1!$C$1:$BL$10,4,FALSE)</f>
        <v>-11</v>
      </c>
      <c r="AE207" s="3">
        <f>T207-HLOOKUP(X207,Feuil1!$C$1:$BL$10,5,FALSE)</f>
        <v>-26</v>
      </c>
      <c r="AF207" s="3">
        <f>T207-HLOOKUP(X207,Feuil1!$C$1:$BL$10,6,FALSE)</f>
        <v>-41</v>
      </c>
      <c r="AG207" s="3">
        <f>T207-HLOOKUP(X207,Feuil1!$C$1:$BL$10,7,FALSE)</f>
        <v>-56</v>
      </c>
      <c r="AH207" s="3">
        <f>T207-HLOOKUP(X207,Feuil1!$C$1:$BL$10,8,FALSE)</f>
        <v>-76</v>
      </c>
      <c r="AI207" s="3">
        <f>T207-HLOOKUP(X207,Feuil1!$C$1:$BL$10,9,FALSE)</f>
        <v>-96</v>
      </c>
      <c r="AJ207" s="3">
        <f>T207-HLOOKUP(X207,Feuil1!$C$1:$BL$10,10,FALSE)</f>
        <v>-116</v>
      </c>
      <c r="AQ207" s="5" t="str">
        <f t="shared" si="67"/>
        <v xml:space="preserve">DEB </v>
      </c>
      <c r="BC207" s="13"/>
    </row>
    <row r="208" spans="1:55" ht="21" hidden="1" x14ac:dyDescent="0.2">
      <c r="A208" s="12" t="s">
        <v>69</v>
      </c>
      <c r="B208" s="18" t="s">
        <v>71</v>
      </c>
      <c r="C208" s="19" t="s">
        <v>883</v>
      </c>
      <c r="D208" s="61">
        <v>53</v>
      </c>
      <c r="E208" s="35">
        <v>387903</v>
      </c>
      <c r="F208" s="20" t="s">
        <v>915</v>
      </c>
      <c r="G208" s="20" t="s">
        <v>182</v>
      </c>
      <c r="H208" s="51">
        <v>1982</v>
      </c>
      <c r="I208" s="30">
        <v>60</v>
      </c>
      <c r="J208" s="19" t="s">
        <v>891</v>
      </c>
      <c r="K208" s="34" t="s">
        <v>69</v>
      </c>
      <c r="L208" s="31">
        <v>30</v>
      </c>
      <c r="M208" s="31">
        <v>35</v>
      </c>
      <c r="N208" s="31">
        <v>37</v>
      </c>
      <c r="O208" s="36">
        <f t="shared" si="60"/>
        <v>37</v>
      </c>
      <c r="P208" s="31">
        <v>40</v>
      </c>
      <c r="Q208" s="31">
        <v>-45</v>
      </c>
      <c r="R208" s="31">
        <v>45</v>
      </c>
      <c r="S208" s="36">
        <f t="shared" si="61"/>
        <v>45</v>
      </c>
      <c r="T208" s="37">
        <f t="shared" si="62"/>
        <v>82</v>
      </c>
      <c r="U208" s="65">
        <f t="shared" si="63"/>
        <v>-38</v>
      </c>
      <c r="V208" s="41" t="str">
        <f t="shared" si="64"/>
        <v xml:space="preserve">DEB </v>
      </c>
      <c r="W208" s="33">
        <f t="shared" si="65"/>
        <v>7</v>
      </c>
      <c r="X208" s="40" t="str">
        <f>IF(I208="","",IF(A208="H",IF(OR(H208="SEN",H208&lt;1995),VLOOKUP(I208,Feuil1!$A$11:$F$29,6),IF(AND(H208&gt;1994,H208&lt;1998),VLOOKUP(I208,Feuil1!$A$11:$F$29,5),IF(AND(H208&gt;1997,H208&lt;2000),VLOOKUP(I208,Feuil1!$A$11:$F$29,4),IF(AND(H208&gt;1999,H208&lt;2002),VLOOKUP(I208,Feuil1!$A$11:$F$29,3),VLOOKUP(I208,Feuil1!$A$11:$F$29,2))))),IF(OR(H208="SEN",H208&lt;1995),VLOOKUP(I208,Feuil1!$G$11:$L$25,6),IF(AND(H208&gt;1994,H208&lt;1998),VLOOKUP(I208,Feuil1!$G$11:$L$25,5),IF(AND(H208&gt;1997,H208&lt;2000),VLOOKUP(I208,Feuil1!$G$11:$L$25,4),IF(AND(H208&gt;1999,H208&lt;2002),VLOOKUP(I208,Feuil1!$G$11:$L$25,3),VLOOKUP(I208,Feuil1!$G$11:$L$25,2)))))))</f>
        <v>FS63</v>
      </c>
      <c r="Y208" s="39">
        <f t="shared" si="66"/>
        <v>112.67353761246315</v>
      </c>
      <c r="Z208" s="45"/>
      <c r="AA208" s="49" t="s">
        <v>12</v>
      </c>
      <c r="AB208" s="3">
        <f>T208-HLOOKUP(X208,Feuil1!$C$1:$BL$10,2,FALSE)</f>
        <v>7</v>
      </c>
      <c r="AC208" s="3">
        <f>T208-HLOOKUP(X208,Feuil1!$C$1:$BL$10,3,FALSE)</f>
        <v>-3</v>
      </c>
      <c r="AD208" s="3">
        <f>T208-HLOOKUP(X208,Feuil1!$C$1:$BL$10,4,FALSE)</f>
        <v>-13</v>
      </c>
      <c r="AE208" s="3">
        <f>T208-HLOOKUP(X208,Feuil1!$C$1:$BL$10,5,FALSE)</f>
        <v>-28</v>
      </c>
      <c r="AF208" s="3">
        <f>T208-HLOOKUP(X208,Feuil1!$C$1:$BL$10,6,FALSE)</f>
        <v>-43</v>
      </c>
      <c r="AG208" s="3">
        <f>T208-HLOOKUP(X208,Feuil1!$C$1:$BL$10,7,FALSE)</f>
        <v>-58</v>
      </c>
      <c r="AH208" s="3">
        <f>T208-HLOOKUP(X208,Feuil1!$C$1:$BL$10,8,FALSE)</f>
        <v>-78</v>
      </c>
      <c r="AI208" s="3">
        <f>T208-HLOOKUP(X208,Feuil1!$C$1:$BL$10,9,FALSE)</f>
        <v>-98</v>
      </c>
      <c r="AJ208" s="3">
        <f>T208-HLOOKUP(X208,Feuil1!$C$1:$BL$10,10,FALSE)</f>
        <v>-118</v>
      </c>
      <c r="AQ208" s="5" t="str">
        <f t="shared" si="67"/>
        <v xml:space="preserve">DEB </v>
      </c>
      <c r="BC208" s="13"/>
    </row>
    <row r="209" spans="1:55" ht="21" hidden="1" x14ac:dyDescent="0.2">
      <c r="A209" s="12" t="s">
        <v>69</v>
      </c>
      <c r="B209" s="18" t="s">
        <v>688</v>
      </c>
      <c r="C209" s="19" t="s">
        <v>689</v>
      </c>
      <c r="D209" s="61">
        <v>54</v>
      </c>
      <c r="E209" s="35">
        <v>326389</v>
      </c>
      <c r="F209" s="20" t="s">
        <v>718</v>
      </c>
      <c r="G209" s="20" t="s">
        <v>719</v>
      </c>
      <c r="H209" s="51">
        <v>1977</v>
      </c>
      <c r="I209" s="30">
        <v>61.1</v>
      </c>
      <c r="J209" s="19" t="s">
        <v>710</v>
      </c>
      <c r="K209" s="34" t="s">
        <v>69</v>
      </c>
      <c r="L209" s="31">
        <v>32</v>
      </c>
      <c r="M209" s="31">
        <v>35</v>
      </c>
      <c r="N209" s="31">
        <v>37</v>
      </c>
      <c r="O209" s="36">
        <f t="shared" si="60"/>
        <v>37</v>
      </c>
      <c r="P209" s="31">
        <v>42</v>
      </c>
      <c r="Q209" s="31">
        <v>43</v>
      </c>
      <c r="R209" s="31">
        <v>45</v>
      </c>
      <c r="S209" s="36">
        <f t="shared" si="61"/>
        <v>45</v>
      </c>
      <c r="T209" s="37">
        <f t="shared" si="62"/>
        <v>82</v>
      </c>
      <c r="U209" s="65">
        <f t="shared" si="63"/>
        <v>-40.200000000000003</v>
      </c>
      <c r="V209" s="41" t="str">
        <f t="shared" si="64"/>
        <v xml:space="preserve">DEB </v>
      </c>
      <c r="W209" s="33">
        <f t="shared" si="65"/>
        <v>7</v>
      </c>
      <c r="X209" s="40" t="str">
        <f>IF(I209="","",IF(A209="H",IF(OR(H209="SEN",H209&lt;1995),VLOOKUP(I209,Feuil1!$A$11:$F$29,6),IF(AND(H209&gt;1994,H209&lt;1998),VLOOKUP(I209,Feuil1!$A$11:$F$29,5),IF(AND(H209&gt;1997,H209&lt;2000),VLOOKUP(I209,Feuil1!$A$11:$F$29,4),IF(AND(H209&gt;1999,H209&lt;2002),VLOOKUP(I209,Feuil1!$A$11:$F$29,3),VLOOKUP(I209,Feuil1!$A$11:$F$29,2))))),IF(OR(H209="SEN",H209&lt;1995),VLOOKUP(I209,Feuil1!$G$11:$L$25,6),IF(AND(H209&gt;1994,H209&lt;1998),VLOOKUP(I209,Feuil1!$G$11:$L$25,5),IF(AND(H209&gt;1997,H209&lt;2000),VLOOKUP(I209,Feuil1!$G$11:$L$25,4),IF(AND(H209&gt;1999,H209&lt;2002),VLOOKUP(I209,Feuil1!$G$11:$L$25,3),VLOOKUP(I209,Feuil1!$G$11:$L$25,2)))))))</f>
        <v>FS63</v>
      </c>
      <c r="Y209" s="39">
        <f t="shared" si="66"/>
        <v>111.25638136799182</v>
      </c>
      <c r="Z209" s="45"/>
      <c r="AA209" s="49" t="s">
        <v>12</v>
      </c>
      <c r="AB209" s="3">
        <f>T209-HLOOKUP(X209,Feuil1!$C$1:$BL$10,2,FALSE)</f>
        <v>7</v>
      </c>
      <c r="AC209" s="3">
        <f>T209-HLOOKUP(X209,Feuil1!$C$1:$BL$10,3,FALSE)</f>
        <v>-3</v>
      </c>
      <c r="AD209" s="3">
        <f>T209-HLOOKUP(X209,Feuil1!$C$1:$BL$10,4,FALSE)</f>
        <v>-13</v>
      </c>
      <c r="AE209" s="3">
        <f>T209-HLOOKUP(X209,Feuil1!$C$1:$BL$10,5,FALSE)</f>
        <v>-28</v>
      </c>
      <c r="AF209" s="3">
        <f>T209-HLOOKUP(X209,Feuil1!$C$1:$BL$10,6,FALSE)</f>
        <v>-43</v>
      </c>
      <c r="AG209" s="3">
        <f>T209-HLOOKUP(X209,Feuil1!$C$1:$BL$10,7,FALSE)</f>
        <v>-58</v>
      </c>
      <c r="AH209" s="3">
        <f>T209-HLOOKUP(X209,Feuil1!$C$1:$BL$10,8,FALSE)</f>
        <v>-78</v>
      </c>
      <c r="AI209" s="3">
        <f>T209-HLOOKUP(X209,Feuil1!$C$1:$BL$10,9,FALSE)</f>
        <v>-98</v>
      </c>
      <c r="AJ209" s="3">
        <f>T209-HLOOKUP(X209,Feuil1!$C$1:$BL$10,10,FALSE)</f>
        <v>-118</v>
      </c>
      <c r="AQ209" s="5" t="str">
        <f t="shared" si="67"/>
        <v xml:space="preserve">DEB </v>
      </c>
      <c r="BC209" s="13"/>
    </row>
    <row r="210" spans="1:55" ht="21" hidden="1" x14ac:dyDescent="0.2">
      <c r="A210" s="12" t="s">
        <v>69</v>
      </c>
      <c r="B210" s="18" t="s">
        <v>298</v>
      </c>
      <c r="C210" s="19" t="s">
        <v>299</v>
      </c>
      <c r="D210" s="61">
        <v>55</v>
      </c>
      <c r="E210" s="35">
        <v>306177</v>
      </c>
      <c r="F210" s="20" t="s">
        <v>373</v>
      </c>
      <c r="G210" s="20" t="s">
        <v>374</v>
      </c>
      <c r="H210" s="51">
        <v>1981</v>
      </c>
      <c r="I210" s="30">
        <v>62</v>
      </c>
      <c r="J210" s="19" t="s">
        <v>309</v>
      </c>
      <c r="K210" s="34" t="s">
        <v>69</v>
      </c>
      <c r="L210" s="31">
        <v>30</v>
      </c>
      <c r="M210" s="31">
        <v>32</v>
      </c>
      <c r="N210" s="31">
        <v>-35</v>
      </c>
      <c r="O210" s="36">
        <f t="shared" si="60"/>
        <v>32</v>
      </c>
      <c r="P210" s="31">
        <v>50</v>
      </c>
      <c r="Q210" s="31">
        <v>-55</v>
      </c>
      <c r="R210" s="31">
        <v>-57</v>
      </c>
      <c r="S210" s="36">
        <f t="shared" si="61"/>
        <v>50</v>
      </c>
      <c r="T210" s="37">
        <f t="shared" si="62"/>
        <v>82</v>
      </c>
      <c r="U210" s="65">
        <f t="shared" si="63"/>
        <v>-42</v>
      </c>
      <c r="V210" s="41" t="str">
        <f t="shared" si="64"/>
        <v xml:space="preserve">DEB </v>
      </c>
      <c r="W210" s="33">
        <f t="shared" si="65"/>
        <v>7</v>
      </c>
      <c r="X210" s="40" t="str">
        <f>IF(I210="","",IF(A210="H",IF(OR(H210="SEN",H210&lt;1995),VLOOKUP(I210,Feuil1!$A$11:$F$29,6),IF(AND(H210&gt;1994,H210&lt;1998),VLOOKUP(I210,Feuil1!$A$11:$F$29,5),IF(AND(H210&gt;1997,H210&lt;2000),VLOOKUP(I210,Feuil1!$A$11:$F$29,4),IF(AND(H210&gt;1999,H210&lt;2002),VLOOKUP(I210,Feuil1!$A$11:$F$29,3),VLOOKUP(I210,Feuil1!$A$11:$F$29,2))))),IF(OR(H210="SEN",H210&lt;1995),VLOOKUP(I210,Feuil1!$G$11:$L$25,6),IF(AND(H210&gt;1994,H210&lt;1998),VLOOKUP(I210,Feuil1!$G$11:$L$25,5),IF(AND(H210&gt;1997,H210&lt;2000),VLOOKUP(I210,Feuil1!$G$11:$L$25,4),IF(AND(H210&gt;1999,H210&lt;2002),VLOOKUP(I210,Feuil1!$G$11:$L$25,3),VLOOKUP(I210,Feuil1!$G$11:$L$25,2)))))))</f>
        <v>FS63</v>
      </c>
      <c r="Y210" s="39">
        <f t="shared" si="66"/>
        <v>110.14927472200468</v>
      </c>
      <c r="Z210" s="45"/>
      <c r="AA210" s="49" t="s">
        <v>12</v>
      </c>
      <c r="AB210" s="3">
        <f>T210-HLOOKUP(X210,Feuil1!$C$1:$BL$10,2,FALSE)</f>
        <v>7</v>
      </c>
      <c r="AC210" s="3">
        <f>T210-HLOOKUP(X210,Feuil1!$C$1:$BL$10,3,FALSE)</f>
        <v>-3</v>
      </c>
      <c r="AD210" s="3">
        <f>T210-HLOOKUP(X210,Feuil1!$C$1:$BL$10,4,FALSE)</f>
        <v>-13</v>
      </c>
      <c r="AE210" s="3">
        <f>T210-HLOOKUP(X210,Feuil1!$C$1:$BL$10,5,FALSE)</f>
        <v>-28</v>
      </c>
      <c r="AF210" s="3">
        <f>T210-HLOOKUP(X210,Feuil1!$C$1:$BL$10,6,FALSE)</f>
        <v>-43</v>
      </c>
      <c r="AG210" s="3">
        <f>T210-HLOOKUP(X210,Feuil1!$C$1:$BL$10,7,FALSE)</f>
        <v>-58</v>
      </c>
      <c r="AH210" s="3">
        <f>T210-HLOOKUP(X210,Feuil1!$C$1:$BL$10,8,FALSE)</f>
        <v>-78</v>
      </c>
      <c r="AI210" s="3">
        <f>T210-HLOOKUP(X210,Feuil1!$C$1:$BL$10,9,FALSE)</f>
        <v>-98</v>
      </c>
      <c r="AJ210" s="3">
        <f>T210-HLOOKUP(X210,Feuil1!$C$1:$BL$10,10,FALSE)</f>
        <v>-118</v>
      </c>
      <c r="AQ210" s="5" t="str">
        <f t="shared" si="67"/>
        <v xml:space="preserve">DEB </v>
      </c>
      <c r="BC210" s="13"/>
    </row>
    <row r="211" spans="1:55" ht="21" hidden="1" x14ac:dyDescent="0.2">
      <c r="A211" s="12" t="s">
        <v>69</v>
      </c>
      <c r="B211" s="67" t="s">
        <v>298</v>
      </c>
      <c r="C211" s="68" t="s">
        <v>299</v>
      </c>
      <c r="D211" s="69">
        <v>56</v>
      </c>
      <c r="E211" s="70">
        <v>379905</v>
      </c>
      <c r="F211" s="71" t="s">
        <v>357</v>
      </c>
      <c r="G211" s="71" t="s">
        <v>358</v>
      </c>
      <c r="H211" s="72">
        <v>1983</v>
      </c>
      <c r="I211" s="73">
        <v>60.8</v>
      </c>
      <c r="J211" s="68" t="s">
        <v>322</v>
      </c>
      <c r="K211" s="74" t="s">
        <v>69</v>
      </c>
      <c r="L211" s="75">
        <v>33</v>
      </c>
      <c r="M211" s="75">
        <v>35</v>
      </c>
      <c r="N211" s="75">
        <v>36</v>
      </c>
      <c r="O211" s="76">
        <f t="shared" si="60"/>
        <v>36</v>
      </c>
      <c r="P211" s="75">
        <v>40</v>
      </c>
      <c r="Q211" s="75">
        <v>44</v>
      </c>
      <c r="R211" s="75">
        <v>-46</v>
      </c>
      <c r="S211" s="76">
        <f t="shared" si="61"/>
        <v>44</v>
      </c>
      <c r="T211" s="77">
        <f t="shared" si="62"/>
        <v>80</v>
      </c>
      <c r="U211" s="78">
        <f t="shared" si="63"/>
        <v>-41.599999999999994</v>
      </c>
      <c r="V211" s="79" t="str">
        <f t="shared" si="64"/>
        <v xml:space="preserve">DEB </v>
      </c>
      <c r="W211" s="80">
        <f t="shared" si="65"/>
        <v>5</v>
      </c>
      <c r="X211" s="81" t="str">
        <f>IF(I211="","",IF(A211="H",IF(OR(H211="SEN",H211&lt;1995),VLOOKUP(I211,Feuil1!$A$11:$F$29,6),IF(AND(H211&gt;1994,H211&lt;1998),VLOOKUP(I211,Feuil1!$A$11:$F$29,5),IF(AND(H211&gt;1997,H211&lt;2000),VLOOKUP(I211,Feuil1!$A$11:$F$29,4),IF(AND(H211&gt;1999,H211&lt;2002),VLOOKUP(I211,Feuil1!$A$11:$F$29,3),VLOOKUP(I211,Feuil1!$A$11:$F$29,2))))),IF(OR(H211="SEN",H211&lt;1995),VLOOKUP(I211,Feuil1!$G$11:$L$25,6),IF(AND(H211&gt;1994,H211&lt;1998),VLOOKUP(I211,Feuil1!$G$11:$L$25,5),IF(AND(H211&gt;1997,H211&lt;2000),VLOOKUP(I211,Feuil1!$G$11:$L$25,4),IF(AND(H211&gt;1999,H211&lt;2002),VLOOKUP(I211,Feuil1!$G$11:$L$25,3),VLOOKUP(I211,Feuil1!$G$11:$L$25,2)))))))</f>
        <v>FS63</v>
      </c>
      <c r="Y211" s="39">
        <f t="shared" si="66"/>
        <v>108.91290373010503</v>
      </c>
      <c r="Z211" s="45"/>
      <c r="AA211" s="49" t="s">
        <v>12</v>
      </c>
      <c r="AB211" s="3">
        <f>T211-HLOOKUP(X211,Feuil1!$C$1:$BL$10,2,FALSE)</f>
        <v>5</v>
      </c>
      <c r="AC211" s="3">
        <f>T211-HLOOKUP(X211,Feuil1!$C$1:$BL$10,3,FALSE)</f>
        <v>-5</v>
      </c>
      <c r="AD211" s="3">
        <f>T211-HLOOKUP(X211,Feuil1!$C$1:$BL$10,4,FALSE)</f>
        <v>-15</v>
      </c>
      <c r="AE211" s="3">
        <f>T211-HLOOKUP(X211,Feuil1!$C$1:$BL$10,5,FALSE)</f>
        <v>-30</v>
      </c>
      <c r="AF211" s="3">
        <f>T211-HLOOKUP(X211,Feuil1!$C$1:$BL$10,6,FALSE)</f>
        <v>-45</v>
      </c>
      <c r="AG211" s="3">
        <f>T211-HLOOKUP(X211,Feuil1!$C$1:$BL$10,7,FALSE)</f>
        <v>-60</v>
      </c>
      <c r="AH211" s="3">
        <f>T211-HLOOKUP(X211,Feuil1!$C$1:$BL$10,8,FALSE)</f>
        <v>-80</v>
      </c>
      <c r="AI211" s="3">
        <f>T211-HLOOKUP(X211,Feuil1!$C$1:$BL$10,9,FALSE)</f>
        <v>-100</v>
      </c>
      <c r="AJ211" s="3">
        <f>T211-HLOOKUP(X211,Feuil1!$C$1:$BL$10,10,FALSE)</f>
        <v>-120</v>
      </c>
      <c r="AQ211" s="5" t="str">
        <f t="shared" si="67"/>
        <v xml:space="preserve">DEB </v>
      </c>
      <c r="BC211" s="13"/>
    </row>
    <row r="212" spans="1:55" ht="21" hidden="1" x14ac:dyDescent="0.2">
      <c r="A212" s="12" t="s">
        <v>69</v>
      </c>
      <c r="B212" s="18" t="s">
        <v>71</v>
      </c>
      <c r="C212" s="19" t="s">
        <v>72</v>
      </c>
      <c r="D212" s="61">
        <v>57</v>
      </c>
      <c r="E212" s="35">
        <v>383893</v>
      </c>
      <c r="F212" s="20" t="s">
        <v>991</v>
      </c>
      <c r="G212" s="20" t="s">
        <v>992</v>
      </c>
      <c r="H212" s="51">
        <v>1969</v>
      </c>
      <c r="I212" s="30">
        <v>61.2</v>
      </c>
      <c r="J212" s="19" t="s">
        <v>923</v>
      </c>
      <c r="K212" s="34" t="s">
        <v>69</v>
      </c>
      <c r="L212" s="31">
        <v>30</v>
      </c>
      <c r="M212" s="31">
        <v>-32</v>
      </c>
      <c r="N212" s="31">
        <v>32</v>
      </c>
      <c r="O212" s="36">
        <f t="shared" si="60"/>
        <v>32</v>
      </c>
      <c r="P212" s="31">
        <v>40</v>
      </c>
      <c r="Q212" s="31">
        <v>43</v>
      </c>
      <c r="R212" s="31">
        <v>46</v>
      </c>
      <c r="S212" s="36">
        <f t="shared" si="61"/>
        <v>46</v>
      </c>
      <c r="T212" s="37">
        <f t="shared" si="62"/>
        <v>78</v>
      </c>
      <c r="U212" s="65">
        <f t="shared" si="63"/>
        <v>-44.400000000000006</v>
      </c>
      <c r="V212" s="32" t="str">
        <f t="shared" si="64"/>
        <v xml:space="preserve">DEB </v>
      </c>
      <c r="W212" s="33">
        <f t="shared" si="65"/>
        <v>3</v>
      </c>
      <c r="X212" s="40" t="str">
        <f>IF(I212="","",IF(A212="H",IF(OR(H212="SEN",H212&lt;1995),VLOOKUP(I212,Feuil1!$A$11:$F$29,6),IF(AND(H212&gt;1994,H212&lt;1998),VLOOKUP(I212,Feuil1!$A$11:$F$29,5),IF(AND(H212&gt;1997,H212&lt;2000),VLOOKUP(I212,Feuil1!$A$11:$F$29,4),IF(AND(H212&gt;1999,H212&lt;2002),VLOOKUP(I212,Feuil1!$A$11:$F$29,3),VLOOKUP(I212,Feuil1!$A$11:$F$29,2))))),IF(OR(H212="SEN",H212&lt;1995),VLOOKUP(I212,Feuil1!$G$11:$L$25,6),IF(AND(H212&gt;1994,H212&lt;1998),VLOOKUP(I212,Feuil1!$G$11:$L$25,5),IF(AND(H212&gt;1997,H212&lt;2000),VLOOKUP(I212,Feuil1!$G$11:$L$25,4),IF(AND(H212&gt;1999,H212&lt;2002),VLOOKUP(I212,Feuil1!$G$11:$L$25,3),VLOOKUP(I212,Feuil1!$G$11:$L$25,2)))))))</f>
        <v>FS63</v>
      </c>
      <c r="Y212" s="39">
        <f t="shared" si="66"/>
        <v>105.71006761251802</v>
      </c>
      <c r="Z212" s="45"/>
      <c r="AA212" s="49" t="s">
        <v>12</v>
      </c>
      <c r="AB212" s="3">
        <f>T212-HLOOKUP(X212,Feuil1!$C$1:$BL$10,2,FALSE)</f>
        <v>3</v>
      </c>
      <c r="AC212" s="3">
        <f>T212-HLOOKUP(X212,Feuil1!$C$1:$BL$10,3,FALSE)</f>
        <v>-7</v>
      </c>
      <c r="AD212" s="3">
        <f>T212-HLOOKUP(X212,Feuil1!$C$1:$BL$10,4,FALSE)</f>
        <v>-17</v>
      </c>
      <c r="AE212" s="3">
        <f>T212-HLOOKUP(X212,Feuil1!$C$1:$BL$10,5,FALSE)</f>
        <v>-32</v>
      </c>
      <c r="AF212" s="3">
        <f>T212-HLOOKUP(X212,Feuil1!$C$1:$BL$10,6,FALSE)</f>
        <v>-47</v>
      </c>
      <c r="AG212" s="3">
        <f>T212-HLOOKUP(X212,Feuil1!$C$1:$BL$10,7,FALSE)</f>
        <v>-62</v>
      </c>
      <c r="AH212" s="3">
        <f>T212-HLOOKUP(X212,Feuil1!$C$1:$BL$10,8,FALSE)</f>
        <v>-82</v>
      </c>
      <c r="AI212" s="3">
        <f>T212-HLOOKUP(X212,Feuil1!$C$1:$BL$10,9,FALSE)</f>
        <v>-102</v>
      </c>
      <c r="AJ212" s="3">
        <f>T212-HLOOKUP(X212,Feuil1!$C$1:$BL$10,10,FALSE)</f>
        <v>-122</v>
      </c>
      <c r="AQ212" s="5" t="str">
        <f t="shared" si="67"/>
        <v xml:space="preserve">DEB </v>
      </c>
    </row>
    <row r="213" spans="1:55" ht="21" hidden="1" x14ac:dyDescent="0.2">
      <c r="A213" s="12" t="s">
        <v>69</v>
      </c>
      <c r="B213" s="18" t="s">
        <v>71</v>
      </c>
      <c r="C213" s="19" t="s">
        <v>801</v>
      </c>
      <c r="D213" s="61">
        <v>58</v>
      </c>
      <c r="E213" s="35">
        <v>376179</v>
      </c>
      <c r="F213" s="20" t="s">
        <v>851</v>
      </c>
      <c r="G213" s="20" t="s">
        <v>507</v>
      </c>
      <c r="H213" s="51">
        <v>1978</v>
      </c>
      <c r="I213" s="30">
        <v>62</v>
      </c>
      <c r="J213" s="19" t="s">
        <v>841</v>
      </c>
      <c r="K213" s="34" t="s">
        <v>69</v>
      </c>
      <c r="L213" s="31">
        <v>30</v>
      </c>
      <c r="M213" s="31">
        <v>33</v>
      </c>
      <c r="N213" s="31">
        <v>-36</v>
      </c>
      <c r="O213" s="36">
        <f t="shared" si="60"/>
        <v>33</v>
      </c>
      <c r="P213" s="31">
        <v>-40</v>
      </c>
      <c r="Q213" s="31">
        <v>40</v>
      </c>
      <c r="R213" s="31">
        <v>45</v>
      </c>
      <c r="S213" s="36">
        <f t="shared" si="61"/>
        <v>45</v>
      </c>
      <c r="T213" s="37">
        <f t="shared" si="62"/>
        <v>78</v>
      </c>
      <c r="U213" s="65">
        <f t="shared" si="63"/>
        <v>-46</v>
      </c>
      <c r="V213" s="41" t="str">
        <f t="shared" si="64"/>
        <v xml:space="preserve">DEB </v>
      </c>
      <c r="W213" s="33">
        <f t="shared" si="65"/>
        <v>3</v>
      </c>
      <c r="X213" s="40" t="str">
        <f>IF(I213="","",IF(A213="H",IF(OR(H213="SEN",H213&lt;1995),VLOOKUP(I213,Feuil1!$A$11:$F$29,6),IF(AND(H213&gt;1994,H213&lt;1998),VLOOKUP(I213,Feuil1!$A$11:$F$29,5),IF(AND(H213&gt;1997,H213&lt;2000),VLOOKUP(I213,Feuil1!$A$11:$F$29,4),IF(AND(H213&gt;1999,H213&lt;2002),VLOOKUP(I213,Feuil1!$A$11:$F$29,3),VLOOKUP(I213,Feuil1!$A$11:$F$29,2))))),IF(OR(H213="SEN",H213&lt;1995),VLOOKUP(I213,Feuil1!$G$11:$L$25,6),IF(AND(H213&gt;1994,H213&lt;1998),VLOOKUP(I213,Feuil1!$G$11:$L$25,5),IF(AND(H213&gt;1997,H213&lt;2000),VLOOKUP(I213,Feuil1!$G$11:$L$25,4),IF(AND(H213&gt;1999,H213&lt;2002),VLOOKUP(I213,Feuil1!$G$11:$L$25,3),VLOOKUP(I213,Feuil1!$G$11:$L$25,2)))))))</f>
        <v>FS63</v>
      </c>
      <c r="Y213" s="39">
        <f t="shared" si="66"/>
        <v>104.77613936971176</v>
      </c>
      <c r="Z213" s="45"/>
      <c r="AA213" s="49" t="s">
        <v>12</v>
      </c>
      <c r="AB213" s="3">
        <f>T213-HLOOKUP(X213,Feuil1!$C$1:$BL$10,2,FALSE)</f>
        <v>3</v>
      </c>
      <c r="AC213" s="3">
        <f>T213-HLOOKUP(X213,Feuil1!$C$1:$BL$10,3,FALSE)</f>
        <v>-7</v>
      </c>
      <c r="AD213" s="3">
        <f>T213-HLOOKUP(X213,Feuil1!$C$1:$BL$10,4,FALSE)</f>
        <v>-17</v>
      </c>
      <c r="AE213" s="3">
        <f>T213-HLOOKUP(X213,Feuil1!$C$1:$BL$10,5,FALSE)</f>
        <v>-32</v>
      </c>
      <c r="AF213" s="3">
        <f>T213-HLOOKUP(X213,Feuil1!$C$1:$BL$10,6,FALSE)</f>
        <v>-47</v>
      </c>
      <c r="AG213" s="3">
        <f>T213-HLOOKUP(X213,Feuil1!$C$1:$BL$10,7,FALSE)</f>
        <v>-62</v>
      </c>
      <c r="AH213" s="3">
        <f>T213-HLOOKUP(X213,Feuil1!$C$1:$BL$10,8,FALSE)</f>
        <v>-82</v>
      </c>
      <c r="AI213" s="3">
        <f>T213-HLOOKUP(X213,Feuil1!$C$1:$BL$10,9,FALSE)</f>
        <v>-102</v>
      </c>
      <c r="AJ213" s="3">
        <f>T213-HLOOKUP(X213,Feuil1!$C$1:$BL$10,10,FALSE)</f>
        <v>-122</v>
      </c>
      <c r="AQ213" s="5" t="str">
        <f t="shared" si="67"/>
        <v xml:space="preserve">DEB </v>
      </c>
      <c r="BC213" s="13"/>
    </row>
    <row r="214" spans="1:55" s="13" customFormat="1" ht="21" hidden="1" x14ac:dyDescent="0.2">
      <c r="A214" s="12" t="s">
        <v>69</v>
      </c>
      <c r="B214" s="18" t="s">
        <v>721</v>
      </c>
      <c r="C214" s="19" t="s">
        <v>745</v>
      </c>
      <c r="D214" s="61">
        <v>59</v>
      </c>
      <c r="E214" s="35">
        <v>383854</v>
      </c>
      <c r="F214" s="20" t="s">
        <v>772</v>
      </c>
      <c r="G214" s="20" t="s">
        <v>436</v>
      </c>
      <c r="H214" s="51">
        <v>1992</v>
      </c>
      <c r="I214" s="30">
        <v>62.7</v>
      </c>
      <c r="J214" s="19" t="s">
        <v>750</v>
      </c>
      <c r="K214" s="34" t="s">
        <v>69</v>
      </c>
      <c r="L214" s="31">
        <v>30</v>
      </c>
      <c r="M214" s="31">
        <v>-34</v>
      </c>
      <c r="N214" s="31">
        <v>34</v>
      </c>
      <c r="O214" s="36">
        <f t="shared" si="60"/>
        <v>34</v>
      </c>
      <c r="P214" s="31">
        <v>39</v>
      </c>
      <c r="Q214" s="31">
        <v>41</v>
      </c>
      <c r="R214" s="31">
        <v>44</v>
      </c>
      <c r="S214" s="36">
        <f t="shared" si="61"/>
        <v>44</v>
      </c>
      <c r="T214" s="37">
        <f t="shared" si="62"/>
        <v>78</v>
      </c>
      <c r="U214" s="65">
        <f t="shared" si="63"/>
        <v>-47.400000000000006</v>
      </c>
      <c r="V214" s="41" t="str">
        <f t="shared" si="64"/>
        <v xml:space="preserve">DEB </v>
      </c>
      <c r="W214" s="33">
        <f t="shared" si="65"/>
        <v>3</v>
      </c>
      <c r="X214" s="40" t="str">
        <f>IF(I214="","",IF(A214="H",IF(OR(H214="SEN",H214&lt;1995),VLOOKUP(I214,Feuil1!$A$11:$F$29,6),IF(AND(H214&gt;1994,H214&lt;1998),VLOOKUP(I214,Feuil1!$A$11:$F$29,5),IF(AND(H214&gt;1997,H214&lt;2000),VLOOKUP(I214,Feuil1!$A$11:$F$29,4),IF(AND(H214&gt;1999,H214&lt;2002),VLOOKUP(I214,Feuil1!$A$11:$F$29,3),VLOOKUP(I214,Feuil1!$A$11:$F$29,2))))),IF(OR(H214="SEN",H214&lt;1995),VLOOKUP(I214,Feuil1!$G$11:$L$25,6),IF(AND(H214&gt;1994,H214&lt;1998),VLOOKUP(I214,Feuil1!$G$11:$L$25,5),IF(AND(H214&gt;1997,H214&lt;2000),VLOOKUP(I214,Feuil1!$G$11:$L$25,4),IF(AND(H214&gt;1999,H214&lt;2002),VLOOKUP(I214,Feuil1!$G$11:$L$25,3),VLOOKUP(I214,Feuil1!$G$11:$L$25,2)))))))</f>
        <v>FS63</v>
      </c>
      <c r="Y214" s="39">
        <f t="shared" si="66"/>
        <v>103.98645223854793</v>
      </c>
      <c r="Z214" s="45"/>
      <c r="AA214" s="49" t="s">
        <v>12</v>
      </c>
      <c r="AB214" s="3">
        <f>T214-HLOOKUP(X214,Feuil1!$C$1:$BL$10,2,FALSE)</f>
        <v>3</v>
      </c>
      <c r="AC214" s="3">
        <f>T214-HLOOKUP(X214,Feuil1!$C$1:$BL$10,3,FALSE)</f>
        <v>-7</v>
      </c>
      <c r="AD214" s="3">
        <f>T214-HLOOKUP(X214,Feuil1!$C$1:$BL$10,4,FALSE)</f>
        <v>-17</v>
      </c>
      <c r="AE214" s="3">
        <f>T214-HLOOKUP(X214,Feuil1!$C$1:$BL$10,5,FALSE)</f>
        <v>-32</v>
      </c>
      <c r="AF214" s="3">
        <f>T214-HLOOKUP(X214,Feuil1!$C$1:$BL$10,6,FALSE)</f>
        <v>-47</v>
      </c>
      <c r="AG214" s="3">
        <f>T214-HLOOKUP(X214,Feuil1!$C$1:$BL$10,7,FALSE)</f>
        <v>-62</v>
      </c>
      <c r="AH214" s="3">
        <f>T214-HLOOKUP(X214,Feuil1!$C$1:$BL$10,8,FALSE)</f>
        <v>-82</v>
      </c>
      <c r="AI214" s="3">
        <f>T214-HLOOKUP(X214,Feuil1!$C$1:$BL$10,9,FALSE)</f>
        <v>-102</v>
      </c>
      <c r="AJ214" s="3">
        <f>T214-HLOOKUP(X214,Feuil1!$C$1:$BL$10,10,FALSE)</f>
        <v>-122</v>
      </c>
      <c r="AK214" s="5"/>
      <c r="AL214" s="5"/>
      <c r="AM214" s="5"/>
      <c r="AN214" s="5"/>
      <c r="AO214" s="5"/>
      <c r="AP214" s="5"/>
      <c r="AQ214" s="5" t="str">
        <f t="shared" si="67"/>
        <v xml:space="preserve">DEB </v>
      </c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</row>
    <row r="215" spans="1:55" ht="21" hidden="1" x14ac:dyDescent="0.2">
      <c r="A215" s="12" t="s">
        <v>69</v>
      </c>
      <c r="B215" s="18" t="s">
        <v>536</v>
      </c>
      <c r="C215" s="19" t="s">
        <v>545</v>
      </c>
      <c r="D215" s="61">
        <v>60</v>
      </c>
      <c r="E215" s="35">
        <v>326408</v>
      </c>
      <c r="F215" s="20" t="s">
        <v>604</v>
      </c>
      <c r="G215" s="20" t="s">
        <v>605</v>
      </c>
      <c r="H215" s="51">
        <v>1970</v>
      </c>
      <c r="I215" s="30">
        <v>62.8</v>
      </c>
      <c r="J215" s="19" t="s">
        <v>553</v>
      </c>
      <c r="K215" s="34" t="s">
        <v>69</v>
      </c>
      <c r="L215" s="31">
        <v>28</v>
      </c>
      <c r="M215" s="31">
        <v>31</v>
      </c>
      <c r="N215" s="31">
        <v>35</v>
      </c>
      <c r="O215" s="36">
        <f t="shared" si="60"/>
        <v>35</v>
      </c>
      <c r="P215" s="31">
        <v>38</v>
      </c>
      <c r="Q215" s="31">
        <v>40</v>
      </c>
      <c r="R215" s="31">
        <v>43</v>
      </c>
      <c r="S215" s="36">
        <f t="shared" si="61"/>
        <v>43</v>
      </c>
      <c r="T215" s="37">
        <f t="shared" si="62"/>
        <v>78</v>
      </c>
      <c r="U215" s="65">
        <f t="shared" si="63"/>
        <v>-47.599999999999994</v>
      </c>
      <c r="V215" s="41" t="str">
        <f t="shared" si="64"/>
        <v xml:space="preserve">DEB </v>
      </c>
      <c r="W215" s="33">
        <f t="shared" si="65"/>
        <v>3</v>
      </c>
      <c r="X215" s="40" t="str">
        <f>IF(I215="","",IF(A215="H",IF(OR(H215="SEN",H215&lt;1995),VLOOKUP(I215,Feuil1!$A$11:$F$29,6),IF(AND(H215&gt;1994,H215&lt;1998),VLOOKUP(I215,Feuil1!$A$11:$F$29,5),IF(AND(H215&gt;1997,H215&lt;2000),VLOOKUP(I215,Feuil1!$A$11:$F$29,4),IF(AND(H215&gt;1999,H215&lt;2002),VLOOKUP(I215,Feuil1!$A$11:$F$29,3),VLOOKUP(I215,Feuil1!$A$11:$F$29,2))))),IF(OR(H215="SEN",H215&lt;1995),VLOOKUP(I215,Feuil1!$G$11:$L$25,6),IF(AND(H215&gt;1994,H215&lt;1998),VLOOKUP(I215,Feuil1!$G$11:$L$25,5),IF(AND(H215&gt;1997,H215&lt;2000),VLOOKUP(I215,Feuil1!$G$11:$L$25,4),IF(AND(H215&gt;1999,H215&lt;2002),VLOOKUP(I215,Feuil1!$G$11:$L$25,3),VLOOKUP(I215,Feuil1!$G$11:$L$25,2)))))))</f>
        <v>FS63</v>
      </c>
      <c r="Y215" s="39">
        <f t="shared" si="66"/>
        <v>103.87567049864872</v>
      </c>
      <c r="Z215" s="45"/>
      <c r="AA215" s="49" t="s">
        <v>12</v>
      </c>
      <c r="AB215" s="3">
        <f>T215-HLOOKUP(X215,Feuil1!$C$1:$BL$10,2,FALSE)</f>
        <v>3</v>
      </c>
      <c r="AC215" s="3">
        <f>T215-HLOOKUP(X215,Feuil1!$C$1:$BL$10,3,FALSE)</f>
        <v>-7</v>
      </c>
      <c r="AD215" s="3">
        <f>T215-HLOOKUP(X215,Feuil1!$C$1:$BL$10,4,FALSE)</f>
        <v>-17</v>
      </c>
      <c r="AE215" s="3">
        <f>T215-HLOOKUP(X215,Feuil1!$C$1:$BL$10,5,FALSE)</f>
        <v>-32</v>
      </c>
      <c r="AF215" s="3">
        <f>T215-HLOOKUP(X215,Feuil1!$C$1:$BL$10,6,FALSE)</f>
        <v>-47</v>
      </c>
      <c r="AG215" s="3">
        <f>T215-HLOOKUP(X215,Feuil1!$C$1:$BL$10,7,FALSE)</f>
        <v>-62</v>
      </c>
      <c r="AH215" s="3">
        <f>T215-HLOOKUP(X215,Feuil1!$C$1:$BL$10,8,FALSE)</f>
        <v>-82</v>
      </c>
      <c r="AI215" s="3">
        <f>T215-HLOOKUP(X215,Feuil1!$C$1:$BL$10,9,FALSE)</f>
        <v>-102</v>
      </c>
      <c r="AJ215" s="3">
        <f>T215-HLOOKUP(X215,Feuil1!$C$1:$BL$10,10,FALSE)</f>
        <v>-122</v>
      </c>
      <c r="AQ215" s="5" t="str">
        <f t="shared" si="67"/>
        <v xml:space="preserve">DEB </v>
      </c>
    </row>
    <row r="216" spans="1:55" ht="21" hidden="1" x14ac:dyDescent="0.2">
      <c r="A216" s="12" t="s">
        <v>69</v>
      </c>
      <c r="B216" s="18" t="s">
        <v>298</v>
      </c>
      <c r="C216" s="19" t="s">
        <v>299</v>
      </c>
      <c r="D216" s="61">
        <v>61</v>
      </c>
      <c r="E216" s="35">
        <v>180788</v>
      </c>
      <c r="F216" s="20" t="s">
        <v>375</v>
      </c>
      <c r="G216" s="20" t="s">
        <v>376</v>
      </c>
      <c r="H216" s="51">
        <v>1967</v>
      </c>
      <c r="I216" s="30">
        <v>60.6</v>
      </c>
      <c r="J216" s="19" t="s">
        <v>322</v>
      </c>
      <c r="K216" s="34" t="s">
        <v>69</v>
      </c>
      <c r="L216" s="31">
        <v>30</v>
      </c>
      <c r="M216" s="31">
        <v>33</v>
      </c>
      <c r="N216" s="31">
        <v>-35</v>
      </c>
      <c r="O216" s="36">
        <f t="shared" si="60"/>
        <v>33</v>
      </c>
      <c r="P216" s="31">
        <v>40</v>
      </c>
      <c r="Q216" s="31">
        <v>44</v>
      </c>
      <c r="R216" s="31">
        <v>-46</v>
      </c>
      <c r="S216" s="36">
        <f t="shared" si="61"/>
        <v>44</v>
      </c>
      <c r="T216" s="37">
        <f t="shared" si="62"/>
        <v>77</v>
      </c>
      <c r="U216" s="65">
        <f t="shared" si="63"/>
        <v>-44.2</v>
      </c>
      <c r="V216" s="41" t="str">
        <f t="shared" si="64"/>
        <v xml:space="preserve">DEB </v>
      </c>
      <c r="W216" s="33">
        <f t="shared" si="65"/>
        <v>2</v>
      </c>
      <c r="X216" s="40" t="str">
        <f>IF(I216="","",IF(A216="H",IF(OR(H216="SEN",H216&lt;1995),VLOOKUP(I216,Feuil1!$A$11:$F$29,6),IF(AND(H216&gt;1994,H216&lt;1998),VLOOKUP(I216,Feuil1!$A$11:$F$29,5),IF(AND(H216&gt;1997,H216&lt;2000),VLOOKUP(I216,Feuil1!$A$11:$F$29,4),IF(AND(H216&gt;1999,H216&lt;2002),VLOOKUP(I216,Feuil1!$A$11:$F$29,3),VLOOKUP(I216,Feuil1!$A$11:$F$29,2))))),IF(OR(H216="SEN",H216&lt;1995),VLOOKUP(I216,Feuil1!$G$11:$L$25,6),IF(AND(H216&gt;1994,H216&lt;1998),VLOOKUP(I216,Feuil1!$G$11:$L$25,5),IF(AND(H216&gt;1997,H216&lt;2000),VLOOKUP(I216,Feuil1!$G$11:$L$25,4),IF(AND(H216&gt;1999,H216&lt;2002),VLOOKUP(I216,Feuil1!$G$11:$L$25,3),VLOOKUP(I216,Feuil1!$G$11:$L$25,2)))))))</f>
        <v>FS63</v>
      </c>
      <c r="Y216" s="39">
        <f t="shared" si="66"/>
        <v>105.06891063687181</v>
      </c>
      <c r="Z216" s="45"/>
      <c r="AA216" s="49" t="s">
        <v>12</v>
      </c>
      <c r="AB216" s="3">
        <f>T216-HLOOKUP(X216,Feuil1!$C$1:$BL$10,2,FALSE)</f>
        <v>2</v>
      </c>
      <c r="AC216" s="3">
        <f>T216-HLOOKUP(X216,Feuil1!$C$1:$BL$10,3,FALSE)</f>
        <v>-8</v>
      </c>
      <c r="AD216" s="3">
        <f>T216-HLOOKUP(X216,Feuil1!$C$1:$BL$10,4,FALSE)</f>
        <v>-18</v>
      </c>
      <c r="AE216" s="3">
        <f>T216-HLOOKUP(X216,Feuil1!$C$1:$BL$10,5,FALSE)</f>
        <v>-33</v>
      </c>
      <c r="AF216" s="3">
        <f>T216-HLOOKUP(X216,Feuil1!$C$1:$BL$10,6,FALSE)</f>
        <v>-48</v>
      </c>
      <c r="AG216" s="3">
        <f>T216-HLOOKUP(X216,Feuil1!$C$1:$BL$10,7,FALSE)</f>
        <v>-63</v>
      </c>
      <c r="AH216" s="3">
        <f>T216-HLOOKUP(X216,Feuil1!$C$1:$BL$10,8,FALSE)</f>
        <v>-83</v>
      </c>
      <c r="AI216" s="3">
        <f>T216-HLOOKUP(X216,Feuil1!$C$1:$BL$10,9,FALSE)</f>
        <v>-103</v>
      </c>
      <c r="AJ216" s="3">
        <f>T216-HLOOKUP(X216,Feuil1!$C$1:$BL$10,10,FALSE)</f>
        <v>-123</v>
      </c>
      <c r="AQ216" s="5" t="str">
        <f t="shared" si="67"/>
        <v xml:space="preserve">DEB </v>
      </c>
    </row>
    <row r="217" spans="1:55" ht="21" hidden="1" x14ac:dyDescent="0.2">
      <c r="A217" s="12" t="s">
        <v>69</v>
      </c>
      <c r="B217" s="18" t="s">
        <v>536</v>
      </c>
      <c r="C217" s="19" t="s">
        <v>545</v>
      </c>
      <c r="D217" s="61">
        <v>62</v>
      </c>
      <c r="E217" s="35">
        <v>354787</v>
      </c>
      <c r="F217" s="20" t="s">
        <v>602</v>
      </c>
      <c r="G217" s="20" t="s">
        <v>603</v>
      </c>
      <c r="H217" s="51">
        <v>1979</v>
      </c>
      <c r="I217" s="30">
        <v>59.5</v>
      </c>
      <c r="J217" s="19" t="s">
        <v>557</v>
      </c>
      <c r="K217" s="34" t="s">
        <v>69</v>
      </c>
      <c r="L217" s="31">
        <v>29</v>
      </c>
      <c r="M217" s="31">
        <v>32</v>
      </c>
      <c r="N217" s="31">
        <v>-34</v>
      </c>
      <c r="O217" s="36">
        <f t="shared" si="60"/>
        <v>32</v>
      </c>
      <c r="P217" s="31">
        <v>37</v>
      </c>
      <c r="Q217" s="31">
        <v>41</v>
      </c>
      <c r="R217" s="31">
        <v>44</v>
      </c>
      <c r="S217" s="36">
        <f t="shared" si="61"/>
        <v>44</v>
      </c>
      <c r="T217" s="37">
        <f t="shared" si="62"/>
        <v>76</v>
      </c>
      <c r="U217" s="65">
        <f t="shared" si="63"/>
        <v>-43</v>
      </c>
      <c r="V217" s="41" t="str">
        <f t="shared" si="64"/>
        <v xml:space="preserve">DEB </v>
      </c>
      <c r="W217" s="33">
        <f t="shared" si="65"/>
        <v>1</v>
      </c>
      <c r="X217" s="40" t="str">
        <f>IF(I217="","",IF(A217="H",IF(OR(H217="SEN",H217&lt;1995),VLOOKUP(I217,Feuil1!$A$11:$F$29,6),IF(AND(H217&gt;1994,H217&lt;1998),VLOOKUP(I217,Feuil1!$A$11:$F$29,5),IF(AND(H217&gt;1997,H217&lt;2000),VLOOKUP(I217,Feuil1!$A$11:$F$29,4),IF(AND(H217&gt;1999,H217&lt;2002),VLOOKUP(I217,Feuil1!$A$11:$F$29,3),VLOOKUP(I217,Feuil1!$A$11:$F$29,2))))),IF(OR(H217="SEN",H217&lt;1995),VLOOKUP(I217,Feuil1!$G$11:$L$25,6),IF(AND(H217&gt;1994,H217&lt;1998),VLOOKUP(I217,Feuil1!$G$11:$L$25,5),IF(AND(H217&gt;1997,H217&lt;2000),VLOOKUP(I217,Feuil1!$G$11:$L$25,4),IF(AND(H217&gt;1999,H217&lt;2002),VLOOKUP(I217,Feuil1!$G$11:$L$25,3),VLOOKUP(I217,Feuil1!$G$11:$L$25,2)))))))</f>
        <v>FS63</v>
      </c>
      <c r="Y217" s="39">
        <f t="shared" si="66"/>
        <v>105.04884586440332</v>
      </c>
      <c r="Z217" s="45"/>
      <c r="AA217" s="49" t="s">
        <v>12</v>
      </c>
      <c r="AB217" s="3">
        <f>T217-HLOOKUP(X217,Feuil1!$C$1:$BL$10,2,FALSE)</f>
        <v>1</v>
      </c>
      <c r="AC217" s="3">
        <f>T217-HLOOKUP(X217,Feuil1!$C$1:$BL$10,3,FALSE)</f>
        <v>-9</v>
      </c>
      <c r="AD217" s="3">
        <f>T217-HLOOKUP(X217,Feuil1!$C$1:$BL$10,4,FALSE)</f>
        <v>-19</v>
      </c>
      <c r="AE217" s="3">
        <f>T217-HLOOKUP(X217,Feuil1!$C$1:$BL$10,5,FALSE)</f>
        <v>-34</v>
      </c>
      <c r="AF217" s="3">
        <f>T217-HLOOKUP(X217,Feuil1!$C$1:$BL$10,6,FALSE)</f>
        <v>-49</v>
      </c>
      <c r="AG217" s="3">
        <f>T217-HLOOKUP(X217,Feuil1!$C$1:$BL$10,7,FALSE)</f>
        <v>-64</v>
      </c>
      <c r="AH217" s="3">
        <f>T217-HLOOKUP(X217,Feuil1!$C$1:$BL$10,8,FALSE)</f>
        <v>-84</v>
      </c>
      <c r="AI217" s="3">
        <f>T217-HLOOKUP(X217,Feuil1!$C$1:$BL$10,9,FALSE)</f>
        <v>-104</v>
      </c>
      <c r="AJ217" s="3">
        <f>T217-HLOOKUP(X217,Feuil1!$C$1:$BL$10,10,FALSE)</f>
        <v>-124</v>
      </c>
      <c r="AQ217" s="5" t="str">
        <f t="shared" si="67"/>
        <v xml:space="preserve">DEB </v>
      </c>
    </row>
    <row r="218" spans="1:55" ht="21" hidden="1" x14ac:dyDescent="0.2">
      <c r="A218" s="12" t="s">
        <v>69</v>
      </c>
      <c r="B218" s="18" t="s">
        <v>71</v>
      </c>
      <c r="C218" s="19" t="s">
        <v>801</v>
      </c>
      <c r="D218" s="61">
        <v>63</v>
      </c>
      <c r="E218" s="35">
        <v>392615</v>
      </c>
      <c r="F218" s="20" t="s">
        <v>840</v>
      </c>
      <c r="G218" s="20" t="s">
        <v>456</v>
      </c>
      <c r="H218" s="51">
        <v>1993</v>
      </c>
      <c r="I218" s="30">
        <v>61.1</v>
      </c>
      <c r="J218" s="19" t="s">
        <v>841</v>
      </c>
      <c r="K218" s="34" t="s">
        <v>69</v>
      </c>
      <c r="L218" s="31">
        <v>30</v>
      </c>
      <c r="M218" s="31">
        <v>-33</v>
      </c>
      <c r="N218" s="31">
        <v>33</v>
      </c>
      <c r="O218" s="36">
        <f t="shared" si="60"/>
        <v>33</v>
      </c>
      <c r="P218" s="31">
        <v>-40</v>
      </c>
      <c r="Q218" s="31">
        <v>40</v>
      </c>
      <c r="R218" s="31">
        <v>43</v>
      </c>
      <c r="S218" s="36">
        <f t="shared" si="61"/>
        <v>43</v>
      </c>
      <c r="T218" s="37">
        <f t="shared" si="62"/>
        <v>76</v>
      </c>
      <c r="U218" s="65">
        <f t="shared" si="63"/>
        <v>-46.2</v>
      </c>
      <c r="V218" s="41" t="str">
        <f t="shared" si="64"/>
        <v xml:space="preserve">DEB </v>
      </c>
      <c r="W218" s="33">
        <f t="shared" si="65"/>
        <v>1</v>
      </c>
      <c r="X218" s="40" t="str">
        <f>IF(I218="","",IF(A218="H",IF(OR(H218="SEN",H218&lt;1995),VLOOKUP(I218,Feuil1!$A$11:$F$29,6),IF(AND(H218&gt;1994,H218&lt;1998),VLOOKUP(I218,Feuil1!$A$11:$F$29,5),IF(AND(H218&gt;1997,H218&lt;2000),VLOOKUP(I218,Feuil1!$A$11:$F$29,4),IF(AND(H218&gt;1999,H218&lt;2002),VLOOKUP(I218,Feuil1!$A$11:$F$29,3),VLOOKUP(I218,Feuil1!$A$11:$F$29,2))))),IF(OR(H218="SEN",H218&lt;1995),VLOOKUP(I218,Feuil1!$G$11:$L$25,6),IF(AND(H218&gt;1994,H218&lt;1998),VLOOKUP(I218,Feuil1!$G$11:$L$25,5),IF(AND(H218&gt;1997,H218&lt;2000),VLOOKUP(I218,Feuil1!$G$11:$L$25,4),IF(AND(H218&gt;1999,H218&lt;2002),VLOOKUP(I218,Feuil1!$G$11:$L$25,3),VLOOKUP(I218,Feuil1!$G$11:$L$25,2)))))))</f>
        <v>FS63</v>
      </c>
      <c r="Y218" s="39">
        <f t="shared" si="66"/>
        <v>103.11567053618754</v>
      </c>
      <c r="Z218" s="45"/>
      <c r="AA218" s="49" t="s">
        <v>12</v>
      </c>
      <c r="AB218" s="3">
        <f>T218-HLOOKUP(X218,Feuil1!$C$1:$BL$10,2,FALSE)</f>
        <v>1</v>
      </c>
      <c r="AC218" s="3">
        <f>T218-HLOOKUP(X218,Feuil1!$C$1:$BL$10,3,FALSE)</f>
        <v>-9</v>
      </c>
      <c r="AD218" s="3">
        <f>T218-HLOOKUP(X218,Feuil1!$C$1:$BL$10,4,FALSE)</f>
        <v>-19</v>
      </c>
      <c r="AE218" s="3">
        <f>T218-HLOOKUP(X218,Feuil1!$C$1:$BL$10,5,FALSE)</f>
        <v>-34</v>
      </c>
      <c r="AF218" s="3">
        <f>T218-HLOOKUP(X218,Feuil1!$C$1:$BL$10,6,FALSE)</f>
        <v>-49</v>
      </c>
      <c r="AG218" s="3">
        <f>T218-HLOOKUP(X218,Feuil1!$C$1:$BL$10,7,FALSE)</f>
        <v>-64</v>
      </c>
      <c r="AH218" s="3">
        <f>T218-HLOOKUP(X218,Feuil1!$C$1:$BL$10,8,FALSE)</f>
        <v>-84</v>
      </c>
      <c r="AI218" s="3">
        <f>T218-HLOOKUP(X218,Feuil1!$C$1:$BL$10,9,FALSE)</f>
        <v>-104</v>
      </c>
      <c r="AJ218" s="3">
        <f>T218-HLOOKUP(X218,Feuil1!$C$1:$BL$10,10,FALSE)</f>
        <v>-124</v>
      </c>
      <c r="AQ218" s="5" t="str">
        <f t="shared" si="67"/>
        <v xml:space="preserve">DEB </v>
      </c>
      <c r="BC218" s="13"/>
    </row>
    <row r="219" spans="1:55" s="13" customFormat="1" ht="21" hidden="1" x14ac:dyDescent="0.2">
      <c r="A219" s="12" t="s">
        <v>69</v>
      </c>
      <c r="B219" s="18" t="s">
        <v>298</v>
      </c>
      <c r="C219" s="19" t="s">
        <v>299</v>
      </c>
      <c r="D219" s="61">
        <v>64</v>
      </c>
      <c r="E219" s="35">
        <v>287957</v>
      </c>
      <c r="F219" s="20" t="s">
        <v>377</v>
      </c>
      <c r="G219" s="20" t="s">
        <v>378</v>
      </c>
      <c r="H219" s="51">
        <v>1978</v>
      </c>
      <c r="I219" s="30">
        <v>59.6</v>
      </c>
      <c r="J219" s="19" t="s">
        <v>315</v>
      </c>
      <c r="K219" s="34" t="s">
        <v>69</v>
      </c>
      <c r="L219" s="31">
        <v>30</v>
      </c>
      <c r="M219" s="31">
        <v>32</v>
      </c>
      <c r="N219" s="31">
        <v>34</v>
      </c>
      <c r="O219" s="36">
        <f t="shared" si="60"/>
        <v>34</v>
      </c>
      <c r="P219" s="31">
        <v>36</v>
      </c>
      <c r="Q219" s="31">
        <v>38</v>
      </c>
      <c r="R219" s="31">
        <v>41</v>
      </c>
      <c r="S219" s="36">
        <f t="shared" si="61"/>
        <v>41</v>
      </c>
      <c r="T219" s="37">
        <f t="shared" si="62"/>
        <v>75</v>
      </c>
      <c r="U219" s="65">
        <f t="shared" si="63"/>
        <v>-44.2</v>
      </c>
      <c r="V219" s="41" t="str">
        <f t="shared" si="64"/>
        <v xml:space="preserve">DEB </v>
      </c>
      <c r="W219" s="33">
        <f t="shared" si="65"/>
        <v>0</v>
      </c>
      <c r="X219" s="40" t="str">
        <f>IF(I219="","",IF(A219="H",IF(OR(H219="SEN",H219&lt;1995),VLOOKUP(I219,Feuil1!$A$11:$F$29,6),IF(AND(H219&gt;1994,H219&lt;1998),VLOOKUP(I219,Feuil1!$A$11:$F$29,5),IF(AND(H219&gt;1997,H219&lt;2000),VLOOKUP(I219,Feuil1!$A$11:$F$29,4),IF(AND(H219&gt;1999,H219&lt;2002),VLOOKUP(I219,Feuil1!$A$11:$F$29,3),VLOOKUP(I219,Feuil1!$A$11:$F$29,2))))),IF(OR(H219="SEN",H219&lt;1995),VLOOKUP(I219,Feuil1!$G$11:$L$25,6),IF(AND(H219&gt;1994,H219&lt;1998),VLOOKUP(I219,Feuil1!$G$11:$L$25,5),IF(AND(H219&gt;1997,H219&lt;2000),VLOOKUP(I219,Feuil1!$G$11:$L$25,4),IF(AND(H219&gt;1999,H219&lt;2002),VLOOKUP(I219,Feuil1!$G$11:$L$25,3),VLOOKUP(I219,Feuil1!$G$11:$L$25,2)))))))</f>
        <v>FS63</v>
      </c>
      <c r="Y219" s="39">
        <f t="shared" si="66"/>
        <v>103.54315865572187</v>
      </c>
      <c r="Z219" s="45"/>
      <c r="AA219" s="49" t="s">
        <v>12</v>
      </c>
      <c r="AB219" s="3">
        <f>T219-HLOOKUP(X219,Feuil1!$C$1:$BL$10,2,FALSE)</f>
        <v>0</v>
      </c>
      <c r="AC219" s="3">
        <f>T219-HLOOKUP(X219,Feuil1!$C$1:$BL$10,3,FALSE)</f>
        <v>-10</v>
      </c>
      <c r="AD219" s="3">
        <f>T219-HLOOKUP(X219,Feuil1!$C$1:$BL$10,4,FALSE)</f>
        <v>-20</v>
      </c>
      <c r="AE219" s="3">
        <f>T219-HLOOKUP(X219,Feuil1!$C$1:$BL$10,5,FALSE)</f>
        <v>-35</v>
      </c>
      <c r="AF219" s="3">
        <f>T219-HLOOKUP(X219,Feuil1!$C$1:$BL$10,6,FALSE)</f>
        <v>-50</v>
      </c>
      <c r="AG219" s="3">
        <f>T219-HLOOKUP(X219,Feuil1!$C$1:$BL$10,7,FALSE)</f>
        <v>-65</v>
      </c>
      <c r="AH219" s="3">
        <f>T219-HLOOKUP(X219,Feuil1!$C$1:$BL$10,8,FALSE)</f>
        <v>-85</v>
      </c>
      <c r="AI219" s="3">
        <f>T219-HLOOKUP(X219,Feuil1!$C$1:$BL$10,9,FALSE)</f>
        <v>-105</v>
      </c>
      <c r="AJ219" s="3">
        <f>T219-HLOOKUP(X219,Feuil1!$C$1:$BL$10,10,FALSE)</f>
        <v>-125</v>
      </c>
      <c r="AK219" s="5"/>
      <c r="AL219" s="5"/>
      <c r="AM219" s="5"/>
      <c r="AN219" s="5"/>
      <c r="AO219" s="5"/>
      <c r="AP219" s="5"/>
      <c r="AQ219" s="5" t="str">
        <f t="shared" si="67"/>
        <v xml:space="preserve">DEB </v>
      </c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</row>
    <row r="220" spans="1:55" s="13" customFormat="1" ht="21" hidden="1" x14ac:dyDescent="0.2">
      <c r="A220" s="12" t="s">
        <v>69</v>
      </c>
      <c r="B220" s="67" t="s">
        <v>298</v>
      </c>
      <c r="C220" s="68" t="s">
        <v>404</v>
      </c>
      <c r="D220" s="69">
        <v>65</v>
      </c>
      <c r="E220" s="70">
        <v>378541</v>
      </c>
      <c r="F220" s="71" t="s">
        <v>458</v>
      </c>
      <c r="G220" s="71" t="s">
        <v>459</v>
      </c>
      <c r="H220" s="72">
        <v>1993</v>
      </c>
      <c r="I220" s="73">
        <v>60.3</v>
      </c>
      <c r="J220" s="68" t="s">
        <v>431</v>
      </c>
      <c r="K220" s="74" t="s">
        <v>69</v>
      </c>
      <c r="L220" s="75">
        <v>30</v>
      </c>
      <c r="M220" s="75">
        <v>-33</v>
      </c>
      <c r="N220" s="75">
        <v>33</v>
      </c>
      <c r="O220" s="76">
        <f t="shared" ref="O220:O227" si="68">IF(H220="","",IF(MAXA(L220:N220)&lt;=0,0,MAXA(L220:N220)))</f>
        <v>33</v>
      </c>
      <c r="P220" s="75">
        <v>35</v>
      </c>
      <c r="Q220" s="75">
        <v>37</v>
      </c>
      <c r="R220" s="75">
        <v>40</v>
      </c>
      <c r="S220" s="76">
        <f t="shared" ref="S220:S227" si="69">IF(H220="","",IF(MAXA(P220:R220)&lt;=0,0,MAXA(P220:R220)))</f>
        <v>40</v>
      </c>
      <c r="T220" s="77">
        <f t="shared" ref="T220:T227" si="70">IF(H220="","",IF(OR(O220=0,S220=0),0,O220+S220))</f>
        <v>73</v>
      </c>
      <c r="U220" s="78">
        <f t="shared" ref="U220:U227" si="71">T220-I220*2</f>
        <v>-47.599999999999994</v>
      </c>
      <c r="V220" s="79" t="str">
        <f t="shared" ref="V220:V227" si="72">IF(H220="","",AQ220)</f>
        <v xml:space="preserve">DEB </v>
      </c>
      <c r="W220" s="80">
        <f t="shared" ref="W220:W227" si="73">IF(AJ220&gt;=0,AJ220,IF(AI220&gt;=0,AI220,IF(AH220&gt;=0,AH220,IF(AG220&gt;=0,AG220,IF(AF220&gt;=0,AF220,IF(AE220&gt;=0,AE220,IF(AD220&gt;=0,AD220,IF(AC220&gt;=0,AC220,AB220))))))))</f>
        <v>-2</v>
      </c>
      <c r="X220" s="81" t="str">
        <f>IF(I220="","",IF(A220="H",IF(OR(H220="SEN",H220&lt;1995),VLOOKUP(I220,Feuil1!$A$11:$F$29,6),IF(AND(H220&gt;1994,H220&lt;1998),VLOOKUP(I220,Feuil1!$A$11:$F$29,5),IF(AND(H220&gt;1997,H220&lt;2000),VLOOKUP(I220,Feuil1!$A$11:$F$29,4),IF(AND(H220&gt;1999,H220&lt;2002),VLOOKUP(I220,Feuil1!$A$11:$F$29,3),VLOOKUP(I220,Feuil1!$A$11:$F$29,2))))),IF(OR(H220="SEN",H220&lt;1995),VLOOKUP(I220,Feuil1!$G$11:$L$25,6),IF(AND(H220&gt;1994,H220&lt;1998),VLOOKUP(I220,Feuil1!$G$11:$L$25,5),IF(AND(H220&gt;1997,H220&lt;2000),VLOOKUP(I220,Feuil1!$G$11:$L$25,4),IF(AND(H220&gt;1999,H220&lt;2002),VLOOKUP(I220,Feuil1!$G$11:$L$25,3),VLOOKUP(I220,Feuil1!$G$11:$L$25,2)))))))</f>
        <v>FS63</v>
      </c>
      <c r="Y220" s="39">
        <f t="shared" ref="Y220:Y227" si="74">IF(I220="","",IF(A220="H",10^(0.794358141*LOG(I220/174.393)^2)*T220,IF(A220="F",10^(0.89726074*LOG(I220/148.026)^2)*T220,"")))</f>
        <v>99.956421632102661</v>
      </c>
      <c r="Z220" s="45"/>
      <c r="AA220" s="49" t="s">
        <v>12</v>
      </c>
      <c r="AB220" s="3">
        <f>T220-HLOOKUP(X220,Feuil1!$C$1:$BL$10,2,FALSE)</f>
        <v>-2</v>
      </c>
      <c r="AC220" s="3">
        <f>T220-HLOOKUP(X220,Feuil1!$C$1:$BL$10,3,FALSE)</f>
        <v>-12</v>
      </c>
      <c r="AD220" s="3">
        <f>T220-HLOOKUP(X220,Feuil1!$C$1:$BL$10,4,FALSE)</f>
        <v>-22</v>
      </c>
      <c r="AE220" s="3">
        <f>T220-HLOOKUP(X220,Feuil1!$C$1:$BL$10,5,FALSE)</f>
        <v>-37</v>
      </c>
      <c r="AF220" s="3">
        <f>T220-HLOOKUP(X220,Feuil1!$C$1:$BL$10,6,FALSE)</f>
        <v>-52</v>
      </c>
      <c r="AG220" s="3">
        <f>T220-HLOOKUP(X220,Feuil1!$C$1:$BL$10,7,FALSE)</f>
        <v>-67</v>
      </c>
      <c r="AH220" s="3">
        <f>T220-HLOOKUP(X220,Feuil1!$C$1:$BL$10,8,FALSE)</f>
        <v>-87</v>
      </c>
      <c r="AI220" s="3">
        <f>T220-HLOOKUP(X220,Feuil1!$C$1:$BL$10,9,FALSE)</f>
        <v>-107</v>
      </c>
      <c r="AJ220" s="3">
        <f>T220-HLOOKUP(X220,Feuil1!$C$1:$BL$10,10,FALSE)</f>
        <v>-127</v>
      </c>
      <c r="AK220" s="5"/>
      <c r="AL220" s="5"/>
      <c r="AM220" s="5"/>
      <c r="AN220" s="5"/>
      <c r="AO220" s="5"/>
      <c r="AP220" s="5"/>
      <c r="AQ220" s="5" t="str">
        <f t="shared" ref="AQ220:AQ227" si="75">IF(AJ220&gt;=0,$AJ$1,IF(AI220&gt;=0,$AI$1,IF(AH220&gt;=0,$AH$1,IF(AG220&gt;=0,$AG$1,IF(AF220&gt;=0,$AF$1,IF(AE220&gt;=0,$AE$1,IF(AD220&gt;=0,$AD$1,IF(AC220&gt;=0,$AC$1,$AB$1))))))))</f>
        <v xml:space="preserve">DEB </v>
      </c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</row>
    <row r="221" spans="1:55" s="13" customFormat="1" ht="21" hidden="1" x14ac:dyDescent="0.2">
      <c r="A221" s="12" t="s">
        <v>69</v>
      </c>
      <c r="B221" s="18" t="s">
        <v>108</v>
      </c>
      <c r="C221" s="19" t="s">
        <v>109</v>
      </c>
      <c r="D221" s="61">
        <v>66</v>
      </c>
      <c r="E221" s="35">
        <v>376675</v>
      </c>
      <c r="F221" s="20" t="s">
        <v>181</v>
      </c>
      <c r="G221" s="20" t="s">
        <v>182</v>
      </c>
      <c r="H221" s="51">
        <v>1986</v>
      </c>
      <c r="I221" s="30">
        <v>62.35</v>
      </c>
      <c r="J221" s="19" t="s">
        <v>155</v>
      </c>
      <c r="K221" s="34" t="s">
        <v>69</v>
      </c>
      <c r="L221" s="31">
        <v>30</v>
      </c>
      <c r="M221" s="31">
        <v>-33</v>
      </c>
      <c r="N221" s="31">
        <v>33</v>
      </c>
      <c r="O221" s="36">
        <f t="shared" si="68"/>
        <v>33</v>
      </c>
      <c r="P221" s="31">
        <v>37</v>
      </c>
      <c r="Q221" s="31">
        <v>40</v>
      </c>
      <c r="R221" s="31">
        <v>-43</v>
      </c>
      <c r="S221" s="36">
        <f t="shared" si="69"/>
        <v>40</v>
      </c>
      <c r="T221" s="37">
        <f t="shared" si="70"/>
        <v>73</v>
      </c>
      <c r="U221" s="65">
        <f t="shared" si="71"/>
        <v>-51.7</v>
      </c>
      <c r="V221" s="41" t="str">
        <f t="shared" si="72"/>
        <v xml:space="preserve">DEB </v>
      </c>
      <c r="W221" s="33">
        <f t="shared" si="73"/>
        <v>-2</v>
      </c>
      <c r="X221" s="40" t="str">
        <f>IF(I221="","",IF(A221="H",IF(OR(H221="SEN",H221&lt;1995),VLOOKUP(I221,Feuil1!$A$11:$F$29,6),IF(AND(H221&gt;1994,H221&lt;1998),VLOOKUP(I221,Feuil1!$A$11:$F$29,5),IF(AND(H221&gt;1997,H221&lt;2000),VLOOKUP(I221,Feuil1!$A$11:$F$29,4),IF(AND(H221&gt;1999,H221&lt;2002),VLOOKUP(I221,Feuil1!$A$11:$F$29,3),VLOOKUP(I221,Feuil1!$A$11:$F$29,2))))),IF(OR(H221="SEN",H221&lt;1995),VLOOKUP(I221,Feuil1!$G$11:$L$25,6),IF(AND(H221&gt;1994,H221&lt;1998),VLOOKUP(I221,Feuil1!$G$11:$L$25,5),IF(AND(H221&gt;1997,H221&lt;2000),VLOOKUP(I221,Feuil1!$G$11:$L$25,4),IF(AND(H221&gt;1999,H221&lt;2002),VLOOKUP(I221,Feuil1!$G$11:$L$25,3),VLOOKUP(I221,Feuil1!$G$11:$L$25,2)))))))</f>
        <v>FS63</v>
      </c>
      <c r="Y221" s="39">
        <f t="shared" si="74"/>
        <v>97.687251466163332</v>
      </c>
      <c r="Z221" s="45"/>
      <c r="AA221" s="49" t="s">
        <v>12</v>
      </c>
      <c r="AB221" s="3">
        <f>T221-HLOOKUP(X221,Feuil1!$C$1:$BL$10,2,FALSE)</f>
        <v>-2</v>
      </c>
      <c r="AC221" s="3">
        <f>T221-HLOOKUP(X221,Feuil1!$C$1:$BL$10,3,FALSE)</f>
        <v>-12</v>
      </c>
      <c r="AD221" s="3">
        <f>T221-HLOOKUP(X221,Feuil1!$C$1:$BL$10,4,FALSE)</f>
        <v>-22</v>
      </c>
      <c r="AE221" s="3">
        <f>T221-HLOOKUP(X221,Feuil1!$C$1:$BL$10,5,FALSE)</f>
        <v>-37</v>
      </c>
      <c r="AF221" s="3">
        <f>T221-HLOOKUP(X221,Feuil1!$C$1:$BL$10,6,FALSE)</f>
        <v>-52</v>
      </c>
      <c r="AG221" s="3">
        <f>T221-HLOOKUP(X221,Feuil1!$C$1:$BL$10,7,FALSE)</f>
        <v>-67</v>
      </c>
      <c r="AH221" s="3">
        <f>T221-HLOOKUP(X221,Feuil1!$C$1:$BL$10,8,FALSE)</f>
        <v>-87</v>
      </c>
      <c r="AI221" s="3">
        <f>T221-HLOOKUP(X221,Feuil1!$C$1:$BL$10,9,FALSE)</f>
        <v>-107</v>
      </c>
      <c r="AJ221" s="3">
        <f>T221-HLOOKUP(X221,Feuil1!$C$1:$BL$10,10,FALSE)</f>
        <v>-127</v>
      </c>
      <c r="AK221" s="5"/>
      <c r="AL221" s="5"/>
      <c r="AM221" s="5"/>
      <c r="AN221" s="5"/>
      <c r="AO221" s="5"/>
      <c r="AP221" s="5"/>
      <c r="AQ221" s="5" t="str">
        <f t="shared" si="75"/>
        <v xml:space="preserve">DEB </v>
      </c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</row>
    <row r="222" spans="1:55" s="13" customFormat="1" ht="21" hidden="1" x14ac:dyDescent="0.2">
      <c r="A222" s="12" t="s">
        <v>69</v>
      </c>
      <c r="B222" s="18" t="s">
        <v>71</v>
      </c>
      <c r="C222" s="19" t="s">
        <v>801</v>
      </c>
      <c r="D222" s="61">
        <v>67</v>
      </c>
      <c r="E222" s="35">
        <v>377</v>
      </c>
      <c r="F222" s="20" t="s">
        <v>838</v>
      </c>
      <c r="G222" s="20" t="s">
        <v>839</v>
      </c>
      <c r="H222" s="51">
        <v>1986</v>
      </c>
      <c r="I222" s="30">
        <v>58.35</v>
      </c>
      <c r="J222" s="19" t="s">
        <v>837</v>
      </c>
      <c r="K222" s="34" t="s">
        <v>69</v>
      </c>
      <c r="L222" s="31">
        <v>25</v>
      </c>
      <c r="M222" s="31">
        <v>27</v>
      </c>
      <c r="N222" s="31">
        <v>-30</v>
      </c>
      <c r="O222" s="36">
        <f t="shared" si="68"/>
        <v>27</v>
      </c>
      <c r="P222" s="31">
        <v>35</v>
      </c>
      <c r="Q222" s="31">
        <v>38</v>
      </c>
      <c r="R222" s="31">
        <v>40</v>
      </c>
      <c r="S222" s="36">
        <f t="shared" si="69"/>
        <v>40</v>
      </c>
      <c r="T222" s="37">
        <f t="shared" si="70"/>
        <v>67</v>
      </c>
      <c r="U222" s="65">
        <f t="shared" si="71"/>
        <v>-49.7</v>
      </c>
      <c r="V222" s="41" t="str">
        <f t="shared" si="72"/>
        <v xml:space="preserve">DEB </v>
      </c>
      <c r="W222" s="33">
        <f t="shared" si="73"/>
        <v>-8</v>
      </c>
      <c r="X222" s="40" t="str">
        <f>IF(I222="","",IF(A222="H",IF(OR(H222="SEN",H222&lt;1995),VLOOKUP(I222,Feuil1!$A$11:$F$29,6),IF(AND(H222&gt;1994,H222&lt;1998),VLOOKUP(I222,Feuil1!$A$11:$F$29,5),IF(AND(H222&gt;1997,H222&lt;2000),VLOOKUP(I222,Feuil1!$A$11:$F$29,4),IF(AND(H222&gt;1999,H222&lt;2002),VLOOKUP(I222,Feuil1!$A$11:$F$29,3),VLOOKUP(I222,Feuil1!$A$11:$F$29,2))))),IF(OR(H222="SEN",H222&lt;1995),VLOOKUP(I222,Feuil1!$G$11:$L$25,6),IF(AND(H222&gt;1994,H222&lt;1998),VLOOKUP(I222,Feuil1!$G$11:$L$25,5),IF(AND(H222&gt;1997,H222&lt;2000),VLOOKUP(I222,Feuil1!$G$11:$L$25,4),IF(AND(H222&gt;1999,H222&lt;2002),VLOOKUP(I222,Feuil1!$G$11:$L$25,3),VLOOKUP(I222,Feuil1!$G$11:$L$25,2)))))))</f>
        <v>FS63</v>
      </c>
      <c r="Y222" s="39">
        <f t="shared" si="74"/>
        <v>93.915573694737105</v>
      </c>
      <c r="Z222" s="45"/>
      <c r="AA222" s="49" t="s">
        <v>12</v>
      </c>
      <c r="AB222" s="3">
        <f>T222-HLOOKUP(X222,Feuil1!$C$1:$BL$10,2,FALSE)</f>
        <v>-8</v>
      </c>
      <c r="AC222" s="3">
        <f>T222-HLOOKUP(X222,Feuil1!$C$1:$BL$10,3,FALSE)</f>
        <v>-18</v>
      </c>
      <c r="AD222" s="3">
        <f>T222-HLOOKUP(X222,Feuil1!$C$1:$BL$10,4,FALSE)</f>
        <v>-28</v>
      </c>
      <c r="AE222" s="3">
        <f>T222-HLOOKUP(X222,Feuil1!$C$1:$BL$10,5,FALSE)</f>
        <v>-43</v>
      </c>
      <c r="AF222" s="3">
        <f>T222-HLOOKUP(X222,Feuil1!$C$1:$BL$10,6,FALSE)</f>
        <v>-58</v>
      </c>
      <c r="AG222" s="3">
        <f>T222-HLOOKUP(X222,Feuil1!$C$1:$BL$10,7,FALSE)</f>
        <v>-73</v>
      </c>
      <c r="AH222" s="3">
        <f>T222-HLOOKUP(X222,Feuil1!$C$1:$BL$10,8,FALSE)</f>
        <v>-93</v>
      </c>
      <c r="AI222" s="3">
        <f>T222-HLOOKUP(X222,Feuil1!$C$1:$BL$10,9,FALSE)</f>
        <v>-113</v>
      </c>
      <c r="AJ222" s="3">
        <f>T222-HLOOKUP(X222,Feuil1!$C$1:$BL$10,10,FALSE)</f>
        <v>-133</v>
      </c>
      <c r="AK222" s="5"/>
      <c r="AL222" s="5"/>
      <c r="AM222" s="5"/>
      <c r="AN222" s="5"/>
      <c r="AO222" s="5"/>
      <c r="AP222" s="5"/>
      <c r="AQ222" s="5" t="str">
        <f t="shared" si="75"/>
        <v xml:space="preserve">DEB </v>
      </c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</row>
    <row r="223" spans="1:55" s="13" customFormat="1" ht="21" hidden="1" x14ac:dyDescent="0.2">
      <c r="A223" s="12" t="s">
        <v>69</v>
      </c>
      <c r="B223" s="18" t="s">
        <v>71</v>
      </c>
      <c r="C223" s="19" t="s">
        <v>72</v>
      </c>
      <c r="D223" s="61">
        <v>68</v>
      </c>
      <c r="E223" s="35">
        <v>383921</v>
      </c>
      <c r="F223" s="20" t="s">
        <v>953</v>
      </c>
      <c r="G223" s="20" t="s">
        <v>954</v>
      </c>
      <c r="H223" s="51">
        <v>1994</v>
      </c>
      <c r="I223" s="30">
        <v>62.3</v>
      </c>
      <c r="J223" s="19" t="s">
        <v>927</v>
      </c>
      <c r="K223" s="34" t="s">
        <v>69</v>
      </c>
      <c r="L223" s="31">
        <v>23</v>
      </c>
      <c r="M223" s="31">
        <v>26</v>
      </c>
      <c r="N223" s="31">
        <v>28</v>
      </c>
      <c r="O223" s="36">
        <f t="shared" si="68"/>
        <v>28</v>
      </c>
      <c r="P223" s="31">
        <v>28</v>
      </c>
      <c r="Q223" s="31">
        <v>31</v>
      </c>
      <c r="R223" s="31">
        <v>33</v>
      </c>
      <c r="S223" s="36">
        <f t="shared" si="69"/>
        <v>33</v>
      </c>
      <c r="T223" s="37">
        <f t="shared" si="70"/>
        <v>61</v>
      </c>
      <c r="U223" s="65">
        <f t="shared" si="71"/>
        <v>-63.599999999999994</v>
      </c>
      <c r="V223" s="32" t="str">
        <f t="shared" si="72"/>
        <v xml:space="preserve">DEB </v>
      </c>
      <c r="W223" s="33">
        <f t="shared" si="73"/>
        <v>-14</v>
      </c>
      <c r="X223" s="40" t="str">
        <f>IF(I223="","",IF(A223="H",IF(OR(H223="SEN",H223&lt;1995),VLOOKUP(I223,Feuil1!$A$11:$F$29,6),IF(AND(H223&gt;1994,H223&lt;1998),VLOOKUP(I223,Feuil1!$A$11:$F$29,5),IF(AND(H223&gt;1997,H223&lt;2000),VLOOKUP(I223,Feuil1!$A$11:$F$29,4),IF(AND(H223&gt;1999,H223&lt;2002),VLOOKUP(I223,Feuil1!$A$11:$F$29,3),VLOOKUP(I223,Feuil1!$A$11:$F$29,2))))),IF(OR(H223="SEN",H223&lt;1995),VLOOKUP(I223,Feuil1!$G$11:$L$25,6),IF(AND(H223&gt;1994,H223&lt;1998),VLOOKUP(I223,Feuil1!$G$11:$L$25,5),IF(AND(H223&gt;1997,H223&lt;2000),VLOOKUP(I223,Feuil1!$G$11:$L$25,4),IF(AND(H223&gt;1999,H223&lt;2002),VLOOKUP(I223,Feuil1!$G$11:$L$25,3),VLOOKUP(I223,Feuil1!$G$11:$L$25,2)))))))</f>
        <v>FS63</v>
      </c>
      <c r="Y223" s="39">
        <f t="shared" si="74"/>
        <v>81.673233429026411</v>
      </c>
      <c r="Z223" s="45"/>
      <c r="AA223" s="49" t="s">
        <v>12</v>
      </c>
      <c r="AB223" s="3">
        <f>T223-HLOOKUP(X223,Feuil1!$C$1:$BL$10,2,FALSE)</f>
        <v>-14</v>
      </c>
      <c r="AC223" s="3">
        <f>T223-HLOOKUP(X223,Feuil1!$C$1:$BL$10,3,FALSE)</f>
        <v>-24</v>
      </c>
      <c r="AD223" s="3">
        <f>T223-HLOOKUP(X223,Feuil1!$C$1:$BL$10,4,FALSE)</f>
        <v>-34</v>
      </c>
      <c r="AE223" s="3">
        <f>T223-HLOOKUP(X223,Feuil1!$C$1:$BL$10,5,FALSE)</f>
        <v>-49</v>
      </c>
      <c r="AF223" s="3">
        <f>T223-HLOOKUP(X223,Feuil1!$C$1:$BL$10,6,FALSE)</f>
        <v>-64</v>
      </c>
      <c r="AG223" s="3">
        <f>T223-HLOOKUP(X223,Feuil1!$C$1:$BL$10,7,FALSE)</f>
        <v>-79</v>
      </c>
      <c r="AH223" s="3">
        <f>T223-HLOOKUP(X223,Feuil1!$C$1:$BL$10,8,FALSE)</f>
        <v>-99</v>
      </c>
      <c r="AI223" s="3">
        <f>T223-HLOOKUP(X223,Feuil1!$C$1:$BL$10,9,FALSE)</f>
        <v>-119</v>
      </c>
      <c r="AJ223" s="3">
        <f>T223-HLOOKUP(X223,Feuil1!$C$1:$BL$10,10,FALSE)</f>
        <v>-139</v>
      </c>
      <c r="AK223" s="5"/>
      <c r="AL223" s="5"/>
      <c r="AM223" s="5"/>
      <c r="AN223" s="5"/>
      <c r="AO223" s="5"/>
      <c r="AP223" s="5"/>
      <c r="AQ223" s="5" t="str">
        <f t="shared" si="75"/>
        <v xml:space="preserve">DEB </v>
      </c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</row>
    <row r="224" spans="1:55" s="13" customFormat="1" ht="21" hidden="1" x14ac:dyDescent="0.2">
      <c r="A224" s="12" t="s">
        <v>69</v>
      </c>
      <c r="B224" s="18" t="s">
        <v>108</v>
      </c>
      <c r="C224" s="19" t="s">
        <v>119</v>
      </c>
      <c r="D224" s="61">
        <v>69</v>
      </c>
      <c r="E224" s="35">
        <v>385689</v>
      </c>
      <c r="F224" s="20" t="s">
        <v>217</v>
      </c>
      <c r="G224" s="20" t="s">
        <v>218</v>
      </c>
      <c r="H224" s="51">
        <v>1984</v>
      </c>
      <c r="I224" s="30">
        <v>62.9</v>
      </c>
      <c r="J224" s="19" t="s">
        <v>170</v>
      </c>
      <c r="K224" s="34" t="s">
        <v>69</v>
      </c>
      <c r="L224" s="31">
        <v>20</v>
      </c>
      <c r="M224" s="31">
        <v>23</v>
      </c>
      <c r="N224" s="31">
        <v>26</v>
      </c>
      <c r="O224" s="36">
        <f t="shared" si="68"/>
        <v>26</v>
      </c>
      <c r="P224" s="31">
        <v>30</v>
      </c>
      <c r="Q224" s="31">
        <v>32</v>
      </c>
      <c r="R224" s="31">
        <v>35</v>
      </c>
      <c r="S224" s="36">
        <f t="shared" si="69"/>
        <v>35</v>
      </c>
      <c r="T224" s="37">
        <f t="shared" si="70"/>
        <v>61</v>
      </c>
      <c r="U224" s="65">
        <f t="shared" si="71"/>
        <v>-64.8</v>
      </c>
      <c r="V224" s="41" t="str">
        <f t="shared" si="72"/>
        <v xml:space="preserve">DEB </v>
      </c>
      <c r="W224" s="33">
        <f t="shared" si="73"/>
        <v>-14</v>
      </c>
      <c r="X224" s="40" t="str">
        <f>IF(I224="","",IF(A224="H",IF(OR(H224="SEN",H224&lt;1995),VLOOKUP(I224,Feuil1!$A$11:$F$29,6),IF(AND(H224&gt;1994,H224&lt;1998),VLOOKUP(I224,Feuil1!$A$11:$F$29,5),IF(AND(H224&gt;1997,H224&lt;2000),VLOOKUP(I224,Feuil1!$A$11:$F$29,4),IF(AND(H224&gt;1999,H224&lt;2002),VLOOKUP(I224,Feuil1!$A$11:$F$29,3),VLOOKUP(I224,Feuil1!$A$11:$F$29,2))))),IF(OR(H224="SEN",H224&lt;1995),VLOOKUP(I224,Feuil1!$G$11:$L$25,6),IF(AND(H224&gt;1994,H224&lt;1998),VLOOKUP(I224,Feuil1!$G$11:$L$25,5),IF(AND(H224&gt;1997,H224&lt;2000),VLOOKUP(I224,Feuil1!$G$11:$L$25,4),IF(AND(H224&gt;1999,H224&lt;2002),VLOOKUP(I224,Feuil1!$G$11:$L$25,3),VLOOKUP(I224,Feuil1!$G$11:$L$25,2)))))))</f>
        <v>FS63</v>
      </c>
      <c r="Y224" s="39">
        <f t="shared" si="74"/>
        <v>81.149854445854899</v>
      </c>
      <c r="Z224" s="45"/>
      <c r="AA224" s="49" t="s">
        <v>12</v>
      </c>
      <c r="AB224" s="3">
        <f>T224-HLOOKUP(X224,Feuil1!$C$1:$BL$10,2,FALSE)</f>
        <v>-14</v>
      </c>
      <c r="AC224" s="3">
        <f>T224-HLOOKUP(X224,Feuil1!$C$1:$BL$10,3,FALSE)</f>
        <v>-24</v>
      </c>
      <c r="AD224" s="3">
        <f>T224-HLOOKUP(X224,Feuil1!$C$1:$BL$10,4,FALSE)</f>
        <v>-34</v>
      </c>
      <c r="AE224" s="3">
        <f>T224-HLOOKUP(X224,Feuil1!$C$1:$BL$10,5,FALSE)</f>
        <v>-49</v>
      </c>
      <c r="AF224" s="3">
        <f>T224-HLOOKUP(X224,Feuil1!$C$1:$BL$10,6,FALSE)</f>
        <v>-64</v>
      </c>
      <c r="AG224" s="3">
        <f>T224-HLOOKUP(X224,Feuil1!$C$1:$BL$10,7,FALSE)</f>
        <v>-79</v>
      </c>
      <c r="AH224" s="3">
        <f>T224-HLOOKUP(X224,Feuil1!$C$1:$BL$10,8,FALSE)</f>
        <v>-99</v>
      </c>
      <c r="AI224" s="3">
        <f>T224-HLOOKUP(X224,Feuil1!$C$1:$BL$10,9,FALSE)</f>
        <v>-119</v>
      </c>
      <c r="AJ224" s="3">
        <f>T224-HLOOKUP(X224,Feuil1!$C$1:$BL$10,10,FALSE)</f>
        <v>-139</v>
      </c>
      <c r="AK224" s="5"/>
      <c r="AL224" s="5"/>
      <c r="AM224" s="5"/>
      <c r="AN224" s="5"/>
      <c r="AO224" s="5"/>
      <c r="AP224" s="5"/>
      <c r="AQ224" s="5" t="str">
        <f t="shared" si="75"/>
        <v xml:space="preserve">DEB </v>
      </c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</row>
    <row r="225" spans="1:55" s="13" customFormat="1" ht="21" hidden="1" x14ac:dyDescent="0.2">
      <c r="A225" s="12" t="s">
        <v>69</v>
      </c>
      <c r="B225" s="18" t="s">
        <v>298</v>
      </c>
      <c r="C225" s="19" t="s">
        <v>299</v>
      </c>
      <c r="D225" s="61">
        <v>70</v>
      </c>
      <c r="E225" s="35">
        <v>386222</v>
      </c>
      <c r="F225" s="20" t="s">
        <v>379</v>
      </c>
      <c r="G225" s="20" t="s">
        <v>372</v>
      </c>
      <c r="H225" s="51">
        <v>1992</v>
      </c>
      <c r="I225" s="30">
        <v>60.5</v>
      </c>
      <c r="J225" s="19" t="s">
        <v>380</v>
      </c>
      <c r="K225" s="34" t="s">
        <v>69</v>
      </c>
      <c r="L225" s="31">
        <v>16</v>
      </c>
      <c r="M225" s="31">
        <v>19</v>
      </c>
      <c r="N225" s="31">
        <v>22</v>
      </c>
      <c r="O225" s="36">
        <f t="shared" si="68"/>
        <v>22</v>
      </c>
      <c r="P225" s="31">
        <v>22</v>
      </c>
      <c r="Q225" s="31">
        <v>26</v>
      </c>
      <c r="R225" s="31">
        <v>30</v>
      </c>
      <c r="S225" s="36">
        <f t="shared" si="69"/>
        <v>30</v>
      </c>
      <c r="T225" s="37">
        <f t="shared" si="70"/>
        <v>52</v>
      </c>
      <c r="U225" s="65">
        <f t="shared" si="71"/>
        <v>-69</v>
      </c>
      <c r="V225" s="41" t="str">
        <f t="shared" si="72"/>
        <v xml:space="preserve">DEB </v>
      </c>
      <c r="W225" s="33">
        <f t="shared" si="73"/>
        <v>-23</v>
      </c>
      <c r="X225" s="40" t="str">
        <f>IF(I225="","",IF(A225="H",IF(OR(H225="SEN",H225&lt;1995),VLOOKUP(I225,Feuil1!$A$11:$F$29,6),IF(AND(H225&gt;1994,H225&lt;1998),VLOOKUP(I225,Feuil1!$A$11:$F$29,5),IF(AND(H225&gt;1997,H225&lt;2000),VLOOKUP(I225,Feuil1!$A$11:$F$29,4),IF(AND(H225&gt;1999,H225&lt;2002),VLOOKUP(I225,Feuil1!$A$11:$F$29,3),VLOOKUP(I225,Feuil1!$A$11:$F$29,2))))),IF(OR(H225="SEN",H225&lt;1995),VLOOKUP(I225,Feuil1!$G$11:$L$25,6),IF(AND(H225&gt;1994,H225&lt;1998),VLOOKUP(I225,Feuil1!$G$11:$L$25,5),IF(AND(H225&gt;1997,H225&lt;2000),VLOOKUP(I225,Feuil1!$G$11:$L$25,4),IF(AND(H225&gt;1999,H225&lt;2002),VLOOKUP(I225,Feuil1!$G$11:$L$25,3),VLOOKUP(I225,Feuil1!$G$11:$L$25,2)))))))</f>
        <v>FS63</v>
      </c>
      <c r="Y225" s="39">
        <f t="shared" si="74"/>
        <v>71.037315106957905</v>
      </c>
      <c r="Z225" s="45"/>
      <c r="AA225" s="49" t="s">
        <v>12</v>
      </c>
      <c r="AB225" s="3">
        <f>T225-HLOOKUP(X225,Feuil1!$C$1:$BL$10,2,FALSE)</f>
        <v>-23</v>
      </c>
      <c r="AC225" s="3">
        <f>T225-HLOOKUP(X225,Feuil1!$C$1:$BL$10,3,FALSE)</f>
        <v>-33</v>
      </c>
      <c r="AD225" s="3">
        <f>T225-HLOOKUP(X225,Feuil1!$C$1:$BL$10,4,FALSE)</f>
        <v>-43</v>
      </c>
      <c r="AE225" s="3">
        <f>T225-HLOOKUP(X225,Feuil1!$C$1:$BL$10,5,FALSE)</f>
        <v>-58</v>
      </c>
      <c r="AF225" s="3">
        <f>T225-HLOOKUP(X225,Feuil1!$C$1:$BL$10,6,FALSE)</f>
        <v>-73</v>
      </c>
      <c r="AG225" s="3">
        <f>T225-HLOOKUP(X225,Feuil1!$C$1:$BL$10,7,FALSE)</f>
        <v>-88</v>
      </c>
      <c r="AH225" s="3">
        <f>T225-HLOOKUP(X225,Feuil1!$C$1:$BL$10,8,FALSE)</f>
        <v>-108</v>
      </c>
      <c r="AI225" s="3">
        <f>T225-HLOOKUP(X225,Feuil1!$C$1:$BL$10,9,FALSE)</f>
        <v>-128</v>
      </c>
      <c r="AJ225" s="3">
        <f>T225-HLOOKUP(X225,Feuil1!$C$1:$BL$10,10,FALSE)</f>
        <v>-148</v>
      </c>
      <c r="AK225" s="5"/>
      <c r="AL225" s="5"/>
      <c r="AM225" s="5"/>
      <c r="AN225" s="5"/>
      <c r="AO225" s="5"/>
      <c r="AP225" s="5"/>
      <c r="AQ225" s="5" t="str">
        <f t="shared" si="75"/>
        <v xml:space="preserve">DEB </v>
      </c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</row>
    <row r="226" spans="1:55" s="13" customFormat="1" ht="21" hidden="1" x14ac:dyDescent="0.2">
      <c r="A226" s="12" t="s">
        <v>69</v>
      </c>
      <c r="B226" s="18" t="s">
        <v>536</v>
      </c>
      <c r="C226" s="19" t="s">
        <v>545</v>
      </c>
      <c r="D226" s="61">
        <v>71</v>
      </c>
      <c r="E226" s="35">
        <v>356063</v>
      </c>
      <c r="F226" s="20" t="s">
        <v>613</v>
      </c>
      <c r="G226" s="20" t="s">
        <v>614</v>
      </c>
      <c r="H226" s="51">
        <v>1994</v>
      </c>
      <c r="I226" s="30">
        <v>60.8</v>
      </c>
      <c r="J226" s="19" t="s">
        <v>591</v>
      </c>
      <c r="K226" s="34" t="s">
        <v>69</v>
      </c>
      <c r="L226" s="31">
        <v>20</v>
      </c>
      <c r="M226" s="31" t="s">
        <v>615</v>
      </c>
      <c r="N226" s="31" t="s">
        <v>615</v>
      </c>
      <c r="O226" s="36">
        <f t="shared" si="68"/>
        <v>20</v>
      </c>
      <c r="P226" s="31">
        <v>20</v>
      </c>
      <c r="Q226" s="31" t="s">
        <v>615</v>
      </c>
      <c r="R226" s="31" t="s">
        <v>615</v>
      </c>
      <c r="S226" s="36">
        <f t="shared" si="69"/>
        <v>20</v>
      </c>
      <c r="T226" s="37">
        <f t="shared" si="70"/>
        <v>40</v>
      </c>
      <c r="U226" s="65">
        <f t="shared" si="71"/>
        <v>-81.599999999999994</v>
      </c>
      <c r="V226" s="41" t="str">
        <f t="shared" si="72"/>
        <v xml:space="preserve">DEB </v>
      </c>
      <c r="W226" s="33">
        <f t="shared" si="73"/>
        <v>-35</v>
      </c>
      <c r="X226" s="40" t="str">
        <f>IF(I226="","",IF(A226="H",IF(OR(H226="SEN",H226&lt;1995),VLOOKUP(I226,Feuil1!$A$11:$F$29,6),IF(AND(H226&gt;1994,H226&lt;1998),VLOOKUP(I226,Feuil1!$A$11:$F$29,5),IF(AND(H226&gt;1997,H226&lt;2000),VLOOKUP(I226,Feuil1!$A$11:$F$29,4),IF(AND(H226&gt;1999,H226&lt;2002),VLOOKUP(I226,Feuil1!$A$11:$F$29,3),VLOOKUP(I226,Feuil1!$A$11:$F$29,2))))),IF(OR(H226="SEN",H226&lt;1995),VLOOKUP(I226,Feuil1!$G$11:$L$25,6),IF(AND(H226&gt;1994,H226&lt;1998),VLOOKUP(I226,Feuil1!$G$11:$L$25,5),IF(AND(H226&gt;1997,H226&lt;2000),VLOOKUP(I226,Feuil1!$G$11:$L$25,4),IF(AND(H226&gt;1999,H226&lt;2002),VLOOKUP(I226,Feuil1!$G$11:$L$25,3),VLOOKUP(I226,Feuil1!$G$11:$L$25,2)))))))</f>
        <v>FS63</v>
      </c>
      <c r="Y226" s="39">
        <f t="shared" si="74"/>
        <v>54.456451865052514</v>
      </c>
      <c r="Z226" s="45"/>
      <c r="AA226" s="49" t="s">
        <v>12</v>
      </c>
      <c r="AB226" s="3">
        <f>T226-HLOOKUP(X226,Feuil1!$C$1:$BL$10,2,FALSE)</f>
        <v>-35</v>
      </c>
      <c r="AC226" s="3">
        <f>T226-HLOOKUP(X226,Feuil1!$C$1:$BL$10,3,FALSE)</f>
        <v>-45</v>
      </c>
      <c r="AD226" s="3">
        <f>T226-HLOOKUP(X226,Feuil1!$C$1:$BL$10,4,FALSE)</f>
        <v>-55</v>
      </c>
      <c r="AE226" s="3">
        <f>T226-HLOOKUP(X226,Feuil1!$C$1:$BL$10,5,FALSE)</f>
        <v>-70</v>
      </c>
      <c r="AF226" s="3">
        <f>T226-HLOOKUP(X226,Feuil1!$C$1:$BL$10,6,FALSE)</f>
        <v>-85</v>
      </c>
      <c r="AG226" s="3">
        <f>T226-HLOOKUP(X226,Feuil1!$C$1:$BL$10,7,FALSE)</f>
        <v>-100</v>
      </c>
      <c r="AH226" s="3">
        <f>T226-HLOOKUP(X226,Feuil1!$C$1:$BL$10,8,FALSE)</f>
        <v>-120</v>
      </c>
      <c r="AI226" s="3">
        <f>T226-HLOOKUP(X226,Feuil1!$C$1:$BL$10,9,FALSE)</f>
        <v>-140</v>
      </c>
      <c r="AJ226" s="3">
        <f>T226-HLOOKUP(X226,Feuil1!$C$1:$BL$10,10,FALSE)</f>
        <v>-160</v>
      </c>
      <c r="AK226" s="5"/>
      <c r="AL226" s="5"/>
      <c r="AM226" s="5"/>
      <c r="AN226" s="5"/>
      <c r="AO226" s="5"/>
      <c r="AP226" s="5"/>
      <c r="AQ226" s="5" t="str">
        <f t="shared" si="75"/>
        <v xml:space="preserve">DEB </v>
      </c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</row>
    <row r="227" spans="1:55" s="13" customFormat="1" ht="21" hidden="1" x14ac:dyDescent="0.2">
      <c r="A227" s="12" t="s">
        <v>69</v>
      </c>
      <c r="B227" s="18" t="s">
        <v>688</v>
      </c>
      <c r="C227" s="19" t="s">
        <v>689</v>
      </c>
      <c r="D227" s="61">
        <v>72</v>
      </c>
      <c r="E227" s="35">
        <v>360543</v>
      </c>
      <c r="F227" s="20" t="s">
        <v>720</v>
      </c>
      <c r="G227" s="20" t="s">
        <v>709</v>
      </c>
      <c r="H227" s="51">
        <v>1969</v>
      </c>
      <c r="I227" s="30">
        <v>61.25</v>
      </c>
      <c r="J227" s="19" t="s">
        <v>697</v>
      </c>
      <c r="K227" s="34" t="s">
        <v>69</v>
      </c>
      <c r="L227" s="31">
        <v>22</v>
      </c>
      <c r="M227" s="31">
        <v>-25</v>
      </c>
      <c r="N227" s="31">
        <v>-25</v>
      </c>
      <c r="O227" s="36">
        <f t="shared" si="68"/>
        <v>22</v>
      </c>
      <c r="P227" s="31">
        <v>-34</v>
      </c>
      <c r="Q227" s="31">
        <v>-34</v>
      </c>
      <c r="R227" s="31">
        <v>-34</v>
      </c>
      <c r="S227" s="36">
        <f t="shared" si="69"/>
        <v>0</v>
      </c>
      <c r="T227" s="37">
        <f t="shared" si="70"/>
        <v>0</v>
      </c>
      <c r="U227" s="65">
        <f t="shared" si="71"/>
        <v>-122.5</v>
      </c>
      <c r="V227" s="41" t="str">
        <f t="shared" si="72"/>
        <v xml:space="preserve">DEB </v>
      </c>
      <c r="W227" s="33">
        <f t="shared" si="73"/>
        <v>-75</v>
      </c>
      <c r="X227" s="40" t="str">
        <f>IF(I227="","",IF(A227="H",IF(OR(H227="SEN",H227&lt;1995),VLOOKUP(I227,Feuil1!$A$11:$F$29,6),IF(AND(H227&gt;1994,H227&lt;1998),VLOOKUP(I227,Feuil1!$A$11:$F$29,5),IF(AND(H227&gt;1997,H227&lt;2000),VLOOKUP(I227,Feuil1!$A$11:$F$29,4),IF(AND(H227&gt;1999,H227&lt;2002),VLOOKUP(I227,Feuil1!$A$11:$F$29,3),VLOOKUP(I227,Feuil1!$A$11:$F$29,2))))),IF(OR(H227="SEN",H227&lt;1995),VLOOKUP(I227,Feuil1!$G$11:$L$25,6),IF(AND(H227&gt;1994,H227&lt;1998),VLOOKUP(I227,Feuil1!$G$11:$L$25,5),IF(AND(H227&gt;1997,H227&lt;2000),VLOOKUP(I227,Feuil1!$G$11:$L$25,4),IF(AND(H227&gt;1999,H227&lt;2002),VLOOKUP(I227,Feuil1!$G$11:$L$25,3),VLOOKUP(I227,Feuil1!$G$11:$L$25,2)))))))</f>
        <v>FS63</v>
      </c>
      <c r="Y227" s="39">
        <f t="shared" si="74"/>
        <v>0</v>
      </c>
      <c r="Z227" s="45"/>
      <c r="AA227" s="49" t="s">
        <v>12</v>
      </c>
      <c r="AB227" s="3">
        <f>T227-HLOOKUP(X227,Feuil1!$C$1:$BL$10,2,FALSE)</f>
        <v>-75</v>
      </c>
      <c r="AC227" s="3">
        <f>T227-HLOOKUP(X227,Feuil1!$C$1:$BL$10,3,FALSE)</f>
        <v>-85</v>
      </c>
      <c r="AD227" s="3">
        <f>T227-HLOOKUP(X227,Feuil1!$C$1:$BL$10,4,FALSE)</f>
        <v>-95</v>
      </c>
      <c r="AE227" s="3">
        <f>T227-HLOOKUP(X227,Feuil1!$C$1:$BL$10,5,FALSE)</f>
        <v>-110</v>
      </c>
      <c r="AF227" s="3">
        <f>T227-HLOOKUP(X227,Feuil1!$C$1:$BL$10,6,FALSE)</f>
        <v>-125</v>
      </c>
      <c r="AG227" s="3">
        <f>T227-HLOOKUP(X227,Feuil1!$C$1:$BL$10,7,FALSE)</f>
        <v>-140</v>
      </c>
      <c r="AH227" s="3">
        <f>T227-HLOOKUP(X227,Feuil1!$C$1:$BL$10,8,FALSE)</f>
        <v>-160</v>
      </c>
      <c r="AI227" s="3">
        <f>T227-HLOOKUP(X227,Feuil1!$C$1:$BL$10,9,FALSE)</f>
        <v>-180</v>
      </c>
      <c r="AJ227" s="3">
        <f>T227-HLOOKUP(X227,Feuil1!$C$1:$BL$10,10,FALSE)</f>
        <v>-200</v>
      </c>
      <c r="AK227" s="5"/>
      <c r="AL227" s="5"/>
      <c r="AM227" s="5"/>
      <c r="AN227" s="5"/>
      <c r="AO227" s="5"/>
      <c r="AP227" s="5"/>
      <c r="AQ227" s="5" t="str">
        <f t="shared" si="75"/>
        <v xml:space="preserve">DEB </v>
      </c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</row>
    <row r="228" spans="1:55" s="13" customFormat="1" ht="15" hidden="1" customHeight="1" thickBot="1" x14ac:dyDescent="0.25">
      <c r="A228" s="89"/>
      <c r="B228" s="90"/>
      <c r="C228" s="91"/>
      <c r="D228" s="92"/>
      <c r="E228" s="93"/>
      <c r="F228" s="94"/>
      <c r="G228" s="94"/>
      <c r="H228" s="95"/>
      <c r="I228" s="96"/>
      <c r="J228" s="91"/>
      <c r="K228" s="97"/>
      <c r="L228" s="98"/>
      <c r="M228" s="98"/>
      <c r="N228" s="98"/>
      <c r="O228" s="99"/>
      <c r="P228" s="98"/>
      <c r="Q228" s="98"/>
      <c r="R228" s="98"/>
      <c r="S228" s="99"/>
      <c r="T228" s="100"/>
      <c r="U228" s="101"/>
      <c r="V228" s="102"/>
      <c r="W228" s="103"/>
      <c r="X228" s="104"/>
      <c r="Y228" s="105"/>
      <c r="Z228" s="45"/>
      <c r="AA228" s="45" t="s">
        <v>12</v>
      </c>
      <c r="AB228" s="3" t="e">
        <f>T228-HLOOKUP(X228,Feuil1!$C$1:$BL$10,2,FALSE)</f>
        <v>#N/A</v>
      </c>
      <c r="AC228" s="3" t="e">
        <f>T228-HLOOKUP(X228,Feuil1!$C$1:$BL$10,3,FALSE)</f>
        <v>#N/A</v>
      </c>
      <c r="AD228" s="3" t="e">
        <f>T228-HLOOKUP(X228,Feuil1!$C$1:$BL$10,4,FALSE)</f>
        <v>#N/A</v>
      </c>
      <c r="AE228" s="3" t="e">
        <f>T228-HLOOKUP(X228,Feuil1!$C$1:$BL$10,5,FALSE)</f>
        <v>#N/A</v>
      </c>
      <c r="AF228" s="3" t="e">
        <f>T228-HLOOKUP(X228,Feuil1!$C$1:$BL$10,6,FALSE)</f>
        <v>#N/A</v>
      </c>
      <c r="AG228" s="3" t="e">
        <f>T228-HLOOKUP(X228,Feuil1!$C$1:$BL$10,7,FALSE)</f>
        <v>#N/A</v>
      </c>
      <c r="AH228" s="3" t="e">
        <f>T228-HLOOKUP(X228,Feuil1!$C$1:$BL$10,8,FALSE)</f>
        <v>#N/A</v>
      </c>
      <c r="AI228" s="3" t="e">
        <f>T228-HLOOKUP(X228,Feuil1!$C$1:$BL$10,9,FALSE)</f>
        <v>#N/A</v>
      </c>
      <c r="AJ228" s="3" t="e">
        <f>T228-HLOOKUP(X228,Feuil1!$C$1:$BL$10,10,FALSE)</f>
        <v>#N/A</v>
      </c>
      <c r="AK228" s="5"/>
      <c r="AL228" s="5"/>
      <c r="AM228" s="5"/>
      <c r="AN228" s="5"/>
      <c r="AO228" s="5"/>
      <c r="AP228" s="5"/>
      <c r="AQ228" s="5" t="e">
        <f t="shared" ref="AQ228" si="76">IF(AJ228&gt;=0,$AJ$1,IF(AI228&gt;=0,$AI$1,IF(AH228&gt;=0,$AH$1,IF(AG228&gt;=0,$AG$1,IF(AF228&gt;=0,$AF$1,IF(AE228&gt;=0,$AE$1,IF(AD228&gt;=0,$AD$1,IF(AC228&gt;=0,$AC$1,$AB$1))))))))</f>
        <v>#N/A</v>
      </c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</row>
    <row r="229" spans="1:55" s="13" customFormat="1" ht="21" hidden="1" x14ac:dyDescent="0.2">
      <c r="A229" s="12" t="s">
        <v>69</v>
      </c>
      <c r="B229" s="18" t="s">
        <v>71</v>
      </c>
      <c r="C229" s="19" t="s">
        <v>801</v>
      </c>
      <c r="D229" s="61">
        <v>1</v>
      </c>
      <c r="E229" s="35">
        <v>199418</v>
      </c>
      <c r="F229" s="20" t="s">
        <v>854</v>
      </c>
      <c r="G229" s="20" t="s">
        <v>855</v>
      </c>
      <c r="H229" s="51">
        <v>1982</v>
      </c>
      <c r="I229" s="30">
        <v>68.8</v>
      </c>
      <c r="J229" s="19" t="s">
        <v>806</v>
      </c>
      <c r="K229" s="34" t="s">
        <v>856</v>
      </c>
      <c r="L229" s="31">
        <v>90</v>
      </c>
      <c r="M229" s="31">
        <v>93</v>
      </c>
      <c r="N229" s="31">
        <v>96</v>
      </c>
      <c r="O229" s="36">
        <f t="shared" ref="O229:O275" si="77">IF(H229="","",IF(MAXA(L229:N229)&lt;=0,0,MAXA(L229:N229)))</f>
        <v>96</v>
      </c>
      <c r="P229" s="31">
        <v>113</v>
      </c>
      <c r="Q229" s="31">
        <v>118</v>
      </c>
      <c r="R229" s="31">
        <v>123</v>
      </c>
      <c r="S229" s="36">
        <f t="shared" ref="S229:S275" si="78">IF(H229="","",IF(MAXA(P229:R229)&lt;=0,0,MAXA(P229:R229)))</f>
        <v>123</v>
      </c>
      <c r="T229" s="37">
        <f t="shared" ref="T229:T275" si="79">IF(H229="","",IF(OR(O229=0,S229=0),0,O229+S229))</f>
        <v>219</v>
      </c>
      <c r="U229" s="65">
        <f t="shared" ref="U229:U275" si="80">T229-I229*2</f>
        <v>81.400000000000006</v>
      </c>
      <c r="V229" s="41" t="str">
        <f t="shared" ref="V229:V275" si="81">IF(H229="","",AQ229)</f>
        <v>OLY +</v>
      </c>
      <c r="W229" s="33">
        <f t="shared" ref="W229:W275" si="82">IF(AJ229&gt;=0,AJ229,IF(AI229&gt;=0,AI229,IF(AH229&gt;=0,AH229,IF(AG229&gt;=0,AG229,IF(AF229&gt;=0,AF229,IF(AE229&gt;=0,AE229,IF(AD229&gt;=0,AD229,IF(AC229&gt;=0,AC229,AB229))))))))</f>
        <v>14</v>
      </c>
      <c r="X229" s="40" t="str">
        <f>IF(I229="","",IF(A229="H",IF(OR(H229="SEN",H229&lt;1995),VLOOKUP(I229,Feuil1!$A$11:$F$29,6),IF(AND(H229&gt;1994,H229&lt;1998),VLOOKUP(I229,Feuil1!$A$11:$F$29,5),IF(AND(H229&gt;1997,H229&lt;2000),VLOOKUP(I229,Feuil1!$A$11:$F$29,4),IF(AND(H229&gt;1999,H229&lt;2002),VLOOKUP(I229,Feuil1!$A$11:$F$29,3),VLOOKUP(I229,Feuil1!$A$11:$F$29,2))))),IF(OR(H229="SEN",H229&lt;1995),VLOOKUP(I229,Feuil1!$G$11:$L$25,6),IF(AND(H229&gt;1994,H229&lt;1998),VLOOKUP(I229,Feuil1!$G$11:$L$25,5),IF(AND(H229&gt;1997,H229&lt;2000),VLOOKUP(I229,Feuil1!$G$11:$L$25,4),IF(AND(H229&gt;1999,H229&lt;2002),VLOOKUP(I229,Feuil1!$G$11:$L$25,3),VLOOKUP(I229,Feuil1!$G$11:$L$25,2)))))))</f>
        <v>FS69</v>
      </c>
      <c r="Y229" s="39">
        <f t="shared" ref="Y229:Y275" si="83">IF(I229="","",IF(A229="H",10^(0.794358141*LOG(I229/174.393)^2)*T229,IF(A229="F",10^(0.89726074*LOG(I229/148.026)^2)*T229,"")))</f>
        <v>275.2902712518387</v>
      </c>
      <c r="Z229" s="45"/>
      <c r="AA229" s="49" t="s">
        <v>12</v>
      </c>
      <c r="AB229" s="3">
        <f>T229-HLOOKUP(X229,Feuil1!$C$1:$BL$10,2,FALSE)</f>
        <v>139</v>
      </c>
      <c r="AC229" s="3">
        <f>T229-HLOOKUP(X229,Feuil1!$C$1:$BL$10,3,FALSE)</f>
        <v>129</v>
      </c>
      <c r="AD229" s="3">
        <f>T229-HLOOKUP(X229,Feuil1!$C$1:$BL$10,4,FALSE)</f>
        <v>114</v>
      </c>
      <c r="AE229" s="3">
        <f>T229-HLOOKUP(X229,Feuil1!$C$1:$BL$10,5,FALSE)</f>
        <v>99</v>
      </c>
      <c r="AF229" s="3">
        <f>T229-HLOOKUP(X229,Feuil1!$C$1:$BL$10,6,FALSE)</f>
        <v>84</v>
      </c>
      <c r="AG229" s="3">
        <f>T229-HLOOKUP(X229,Feuil1!$C$1:$BL$10,7,FALSE)</f>
        <v>69</v>
      </c>
      <c r="AH229" s="3">
        <f>T229-HLOOKUP(X229,Feuil1!$C$1:$BL$10,8,FALSE)</f>
        <v>49</v>
      </c>
      <c r="AI229" s="3">
        <f>T229-HLOOKUP(X229,Feuil1!$C$1:$BL$10,9,FALSE)</f>
        <v>29</v>
      </c>
      <c r="AJ229" s="3">
        <f>T229-HLOOKUP(X229,Feuil1!$C$1:$BL$10,10,FALSE)</f>
        <v>14</v>
      </c>
      <c r="AK229" s="5"/>
      <c r="AL229" s="5"/>
      <c r="AM229" s="5"/>
      <c r="AN229" s="5"/>
      <c r="AO229" s="5"/>
      <c r="AP229" s="5"/>
      <c r="AQ229" s="5" t="str">
        <f t="shared" ref="AQ229:AQ275" si="84">IF(AJ229&gt;=0,$AJ$1,IF(AI229&gt;=0,$AI$1,IF(AH229&gt;=0,$AH$1,IF(AG229&gt;=0,$AG$1,IF(AF229&gt;=0,$AF$1,IF(AE229&gt;=0,$AE$1,IF(AD229&gt;=0,$AD$1,IF(AC229&gt;=0,$AC$1,$AB$1))))))))</f>
        <v>OLY +</v>
      </c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</row>
    <row r="230" spans="1:55" s="13" customFormat="1" ht="21" hidden="1" x14ac:dyDescent="0.2">
      <c r="A230" s="12" t="s">
        <v>69</v>
      </c>
      <c r="B230" s="18" t="s">
        <v>108</v>
      </c>
      <c r="C230" s="19" t="s">
        <v>264</v>
      </c>
      <c r="D230" s="61">
        <v>2</v>
      </c>
      <c r="E230" s="35">
        <v>391211</v>
      </c>
      <c r="F230" s="20" t="s">
        <v>287</v>
      </c>
      <c r="G230" s="20" t="s">
        <v>288</v>
      </c>
      <c r="H230" s="51">
        <v>1991</v>
      </c>
      <c r="I230" s="30">
        <v>68.34</v>
      </c>
      <c r="J230" s="19" t="s">
        <v>267</v>
      </c>
      <c r="K230" s="34" t="s">
        <v>289</v>
      </c>
      <c r="L230" s="31">
        <v>85</v>
      </c>
      <c r="M230" s="31">
        <v>90</v>
      </c>
      <c r="N230" s="31">
        <v>-96</v>
      </c>
      <c r="O230" s="36">
        <f t="shared" si="77"/>
        <v>90</v>
      </c>
      <c r="P230" s="31">
        <v>115</v>
      </c>
      <c r="Q230" s="31">
        <v>120</v>
      </c>
      <c r="R230" s="31">
        <v>125</v>
      </c>
      <c r="S230" s="36">
        <f t="shared" si="78"/>
        <v>125</v>
      </c>
      <c r="T230" s="37">
        <f t="shared" si="79"/>
        <v>215</v>
      </c>
      <c r="U230" s="65">
        <f t="shared" si="80"/>
        <v>78.319999999999993</v>
      </c>
      <c r="V230" s="41" t="str">
        <f t="shared" si="81"/>
        <v>OLY +</v>
      </c>
      <c r="W230" s="33">
        <f t="shared" si="82"/>
        <v>10</v>
      </c>
      <c r="X230" s="40" t="str">
        <f>IF(I230="","",IF(A230="H",IF(OR(H230="SEN",H230&lt;1995),VLOOKUP(I230,Feuil1!$A$11:$F$29,6),IF(AND(H230&gt;1994,H230&lt;1998),VLOOKUP(I230,Feuil1!$A$11:$F$29,5),IF(AND(H230&gt;1997,H230&lt;2000),VLOOKUP(I230,Feuil1!$A$11:$F$29,4),IF(AND(H230&gt;1999,H230&lt;2002),VLOOKUP(I230,Feuil1!$A$11:$F$29,3),VLOOKUP(I230,Feuil1!$A$11:$F$29,2))))),IF(OR(H230="SEN",H230&lt;1995),VLOOKUP(I230,Feuil1!$G$11:$L$25,6),IF(AND(H230&gt;1994,H230&lt;1998),VLOOKUP(I230,Feuil1!$G$11:$L$25,5),IF(AND(H230&gt;1997,H230&lt;2000),VLOOKUP(I230,Feuil1!$G$11:$L$25,4),IF(AND(H230&gt;1999,H230&lt;2002),VLOOKUP(I230,Feuil1!$G$11:$L$25,3),VLOOKUP(I230,Feuil1!$G$11:$L$25,2)))))))</f>
        <v>FS69</v>
      </c>
      <c r="Y230" s="39">
        <f t="shared" si="83"/>
        <v>271.35168994522496</v>
      </c>
      <c r="Z230" s="45"/>
      <c r="AA230" s="49" t="s">
        <v>12</v>
      </c>
      <c r="AB230" s="3">
        <f>T230-HLOOKUP(X230,Feuil1!$C$1:$BL$10,2,FALSE)</f>
        <v>135</v>
      </c>
      <c r="AC230" s="3">
        <f>T230-HLOOKUP(X230,Feuil1!$C$1:$BL$10,3,FALSE)</f>
        <v>125</v>
      </c>
      <c r="AD230" s="3">
        <f>T230-HLOOKUP(X230,Feuil1!$C$1:$BL$10,4,FALSE)</f>
        <v>110</v>
      </c>
      <c r="AE230" s="3">
        <f>T230-HLOOKUP(X230,Feuil1!$C$1:$BL$10,5,FALSE)</f>
        <v>95</v>
      </c>
      <c r="AF230" s="3">
        <f>T230-HLOOKUP(X230,Feuil1!$C$1:$BL$10,6,FALSE)</f>
        <v>80</v>
      </c>
      <c r="AG230" s="3">
        <f>T230-HLOOKUP(X230,Feuil1!$C$1:$BL$10,7,FALSE)</f>
        <v>65</v>
      </c>
      <c r="AH230" s="3">
        <f>T230-HLOOKUP(X230,Feuil1!$C$1:$BL$10,8,FALSE)</f>
        <v>45</v>
      </c>
      <c r="AI230" s="3">
        <f>T230-HLOOKUP(X230,Feuil1!$C$1:$BL$10,9,FALSE)</f>
        <v>25</v>
      </c>
      <c r="AJ230" s="3">
        <f>T230-HLOOKUP(X230,Feuil1!$C$1:$BL$10,10,FALSE)</f>
        <v>10</v>
      </c>
      <c r="AK230" s="5"/>
      <c r="AL230" s="5"/>
      <c r="AM230" s="5"/>
      <c r="AN230" s="5"/>
      <c r="AO230" s="5"/>
      <c r="AP230" s="5"/>
      <c r="AQ230" s="5" t="str">
        <f t="shared" si="84"/>
        <v>OLY +</v>
      </c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</row>
    <row r="231" spans="1:55" s="13" customFormat="1" ht="21" x14ac:dyDescent="0.2">
      <c r="A231" s="12" t="s">
        <v>69</v>
      </c>
      <c r="B231" s="18" t="s">
        <v>649</v>
      </c>
      <c r="C231" s="19" t="s">
        <v>648</v>
      </c>
      <c r="D231" s="61">
        <v>3</v>
      </c>
      <c r="E231" s="35">
        <v>94140</v>
      </c>
      <c r="F231" s="20" t="s">
        <v>656</v>
      </c>
      <c r="G231" s="20" t="s">
        <v>657</v>
      </c>
      <c r="H231" s="51">
        <v>1979</v>
      </c>
      <c r="I231" s="30">
        <v>67.09</v>
      </c>
      <c r="J231" s="19" t="s">
        <v>647</v>
      </c>
      <c r="K231" s="34" t="s">
        <v>69</v>
      </c>
      <c r="L231" s="31">
        <v>70</v>
      </c>
      <c r="M231" s="31">
        <v>75</v>
      </c>
      <c r="N231" s="31">
        <v>-77</v>
      </c>
      <c r="O231" s="36">
        <f t="shared" si="77"/>
        <v>75</v>
      </c>
      <c r="P231" s="31">
        <v>90</v>
      </c>
      <c r="Q231" s="31">
        <v>95</v>
      </c>
      <c r="R231" s="31">
        <v>-100</v>
      </c>
      <c r="S231" s="36">
        <f t="shared" si="78"/>
        <v>95</v>
      </c>
      <c r="T231" s="37">
        <f t="shared" si="79"/>
        <v>170</v>
      </c>
      <c r="U231" s="65">
        <f t="shared" si="80"/>
        <v>35.819999999999993</v>
      </c>
      <c r="V231" s="41" t="str">
        <f t="shared" si="81"/>
        <v>INTB +</v>
      </c>
      <c r="W231" s="33">
        <f t="shared" si="82"/>
        <v>0</v>
      </c>
      <c r="X231" s="40" t="str">
        <f>IF(I231="","",IF(A231="H",IF(OR(H231="SEN",H231&lt;1995),VLOOKUP(I231,Feuil1!$A$11:$F$29,6),IF(AND(H231&gt;1994,H231&lt;1998),VLOOKUP(I231,Feuil1!$A$11:$F$29,5),IF(AND(H231&gt;1997,H231&lt;2000),VLOOKUP(I231,Feuil1!$A$11:$F$29,4),IF(AND(H231&gt;1999,H231&lt;2002),VLOOKUP(I231,Feuil1!$A$11:$F$29,3),VLOOKUP(I231,Feuil1!$A$11:$F$29,2))))),IF(OR(H231="SEN",H231&lt;1995),VLOOKUP(I231,Feuil1!$G$11:$L$25,6),IF(AND(H231&gt;1994,H231&lt;1998),VLOOKUP(I231,Feuil1!$G$11:$L$25,5),IF(AND(H231&gt;1997,H231&lt;2000),VLOOKUP(I231,Feuil1!$G$11:$L$25,4),IF(AND(H231&gt;1999,H231&lt;2002),VLOOKUP(I231,Feuil1!$G$11:$L$25,3),VLOOKUP(I231,Feuil1!$G$11:$L$25,2)))))))</f>
        <v>FS69</v>
      </c>
      <c r="Y231" s="39">
        <f t="shared" si="83"/>
        <v>216.98506866342373</v>
      </c>
      <c r="Z231" s="45"/>
      <c r="AA231" s="49" t="s">
        <v>12</v>
      </c>
      <c r="AB231" s="3">
        <f>T231-HLOOKUP(X231,Feuil1!$C$1:$BL$10,2,FALSE)</f>
        <v>90</v>
      </c>
      <c r="AC231" s="3">
        <f>T231-HLOOKUP(X231,Feuil1!$C$1:$BL$10,3,FALSE)</f>
        <v>80</v>
      </c>
      <c r="AD231" s="3">
        <f>T231-HLOOKUP(X231,Feuil1!$C$1:$BL$10,4,FALSE)</f>
        <v>65</v>
      </c>
      <c r="AE231" s="3">
        <f>T231-HLOOKUP(X231,Feuil1!$C$1:$BL$10,5,FALSE)</f>
        <v>50</v>
      </c>
      <c r="AF231" s="3">
        <f>T231-HLOOKUP(X231,Feuil1!$C$1:$BL$10,6,FALSE)</f>
        <v>35</v>
      </c>
      <c r="AG231" s="3">
        <f>T231-HLOOKUP(X231,Feuil1!$C$1:$BL$10,7,FALSE)</f>
        <v>20</v>
      </c>
      <c r="AH231" s="3">
        <f>T231-HLOOKUP(X231,Feuil1!$C$1:$BL$10,8,FALSE)</f>
        <v>0</v>
      </c>
      <c r="AI231" s="3">
        <f>T231-HLOOKUP(X231,Feuil1!$C$1:$BL$10,9,FALSE)</f>
        <v>-20</v>
      </c>
      <c r="AJ231" s="3">
        <f>T231-HLOOKUP(X231,Feuil1!$C$1:$BL$10,10,FALSE)</f>
        <v>-35</v>
      </c>
      <c r="AK231" s="5"/>
      <c r="AL231" s="5"/>
      <c r="AM231" s="5"/>
      <c r="AN231" s="5"/>
      <c r="AO231" s="5"/>
      <c r="AP231" s="5"/>
      <c r="AQ231" s="5" t="str">
        <f t="shared" si="84"/>
        <v>INTB +</v>
      </c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</row>
    <row r="232" spans="1:55" s="13" customFormat="1" ht="21" hidden="1" x14ac:dyDescent="0.2">
      <c r="A232" s="12" t="s">
        <v>69</v>
      </c>
      <c r="B232" s="18" t="s">
        <v>298</v>
      </c>
      <c r="C232" s="19" t="s">
        <v>299</v>
      </c>
      <c r="D232" s="61">
        <v>4</v>
      </c>
      <c r="E232" s="35">
        <v>379286</v>
      </c>
      <c r="F232" s="20" t="s">
        <v>381</v>
      </c>
      <c r="G232" s="20" t="s">
        <v>382</v>
      </c>
      <c r="H232" s="51">
        <v>1989</v>
      </c>
      <c r="I232" s="30">
        <v>68.7</v>
      </c>
      <c r="J232" s="19" t="s">
        <v>315</v>
      </c>
      <c r="K232" s="34" t="s">
        <v>383</v>
      </c>
      <c r="L232" s="31">
        <v>65</v>
      </c>
      <c r="M232" s="31">
        <v>70</v>
      </c>
      <c r="N232" s="31">
        <v>72</v>
      </c>
      <c r="O232" s="36">
        <f t="shared" si="77"/>
        <v>72</v>
      </c>
      <c r="P232" s="31">
        <v>85</v>
      </c>
      <c r="Q232" s="31">
        <v>90</v>
      </c>
      <c r="R232" s="31">
        <v>-92</v>
      </c>
      <c r="S232" s="36">
        <f t="shared" si="78"/>
        <v>90</v>
      </c>
      <c r="T232" s="37">
        <f t="shared" si="79"/>
        <v>162</v>
      </c>
      <c r="U232" s="65">
        <f t="shared" si="80"/>
        <v>24.599999999999994</v>
      </c>
      <c r="V232" s="41" t="str">
        <f t="shared" si="81"/>
        <v>NAT +</v>
      </c>
      <c r="W232" s="33">
        <f t="shared" si="82"/>
        <v>12</v>
      </c>
      <c r="X232" s="40" t="str">
        <f>IF(I232="","",IF(A232="H",IF(OR(H232="SEN",H232&lt;1995),VLOOKUP(I232,Feuil1!$A$11:$F$29,6),IF(AND(H232&gt;1994,H232&lt;1998),VLOOKUP(I232,Feuil1!$A$11:$F$29,5),IF(AND(H232&gt;1997,H232&lt;2000),VLOOKUP(I232,Feuil1!$A$11:$F$29,4),IF(AND(H232&gt;1999,H232&lt;2002),VLOOKUP(I232,Feuil1!$A$11:$F$29,3),VLOOKUP(I232,Feuil1!$A$11:$F$29,2))))),IF(OR(H232="SEN",H232&lt;1995),VLOOKUP(I232,Feuil1!$G$11:$L$25,6),IF(AND(H232&gt;1994,H232&lt;1998),VLOOKUP(I232,Feuil1!$G$11:$L$25,5),IF(AND(H232&gt;1997,H232&lt;2000),VLOOKUP(I232,Feuil1!$G$11:$L$25,4),IF(AND(H232&gt;1999,H232&lt;2002),VLOOKUP(I232,Feuil1!$G$11:$L$25,3),VLOOKUP(I232,Feuil1!$G$11:$L$25,2)))))))</f>
        <v>FS69</v>
      </c>
      <c r="Y232" s="39">
        <f t="shared" si="83"/>
        <v>203.81649405657623</v>
      </c>
      <c r="Z232" s="45"/>
      <c r="AA232" s="49" t="s">
        <v>12</v>
      </c>
      <c r="AB232" s="3">
        <f>T232-HLOOKUP(X232,Feuil1!$C$1:$BL$10,2,FALSE)</f>
        <v>82</v>
      </c>
      <c r="AC232" s="3">
        <f>T232-HLOOKUP(X232,Feuil1!$C$1:$BL$10,3,FALSE)</f>
        <v>72</v>
      </c>
      <c r="AD232" s="3">
        <f>T232-HLOOKUP(X232,Feuil1!$C$1:$BL$10,4,FALSE)</f>
        <v>57</v>
      </c>
      <c r="AE232" s="3">
        <f>T232-HLOOKUP(X232,Feuil1!$C$1:$BL$10,5,FALSE)</f>
        <v>42</v>
      </c>
      <c r="AF232" s="3">
        <f>T232-HLOOKUP(X232,Feuil1!$C$1:$BL$10,6,FALSE)</f>
        <v>27</v>
      </c>
      <c r="AG232" s="3">
        <f>T232-HLOOKUP(X232,Feuil1!$C$1:$BL$10,7,FALSE)</f>
        <v>12</v>
      </c>
      <c r="AH232" s="3">
        <f>T232-HLOOKUP(X232,Feuil1!$C$1:$BL$10,8,FALSE)</f>
        <v>-8</v>
      </c>
      <c r="AI232" s="3">
        <f>T232-HLOOKUP(X232,Feuil1!$C$1:$BL$10,9,FALSE)</f>
        <v>-28</v>
      </c>
      <c r="AJ232" s="3">
        <f>T232-HLOOKUP(X232,Feuil1!$C$1:$BL$10,10,FALSE)</f>
        <v>-43</v>
      </c>
      <c r="AK232" s="5"/>
      <c r="AL232" s="5"/>
      <c r="AM232" s="5"/>
      <c r="AN232" s="5"/>
      <c r="AO232" s="5"/>
      <c r="AP232" s="5"/>
      <c r="AQ232" s="5" t="str">
        <f t="shared" si="84"/>
        <v>NAT +</v>
      </c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</row>
    <row r="233" spans="1:55" s="13" customFormat="1" ht="21" hidden="1" x14ac:dyDescent="0.2">
      <c r="A233" s="12" t="s">
        <v>69</v>
      </c>
      <c r="B233" s="67" t="s">
        <v>721</v>
      </c>
      <c r="C233" s="68" t="s">
        <v>745</v>
      </c>
      <c r="D233" s="69">
        <v>5</v>
      </c>
      <c r="E233" s="70">
        <v>115950</v>
      </c>
      <c r="F233" s="71" t="s">
        <v>767</v>
      </c>
      <c r="G233" s="71" t="s">
        <v>680</v>
      </c>
      <c r="H233" s="72">
        <v>1992</v>
      </c>
      <c r="I233" s="73">
        <v>63.2</v>
      </c>
      <c r="J233" s="68" t="s">
        <v>761</v>
      </c>
      <c r="K233" s="74" t="s">
        <v>69</v>
      </c>
      <c r="L233" s="75">
        <v>65</v>
      </c>
      <c r="M233" s="75">
        <v>68</v>
      </c>
      <c r="N233" s="75">
        <v>70</v>
      </c>
      <c r="O233" s="76">
        <f t="shared" si="77"/>
        <v>70</v>
      </c>
      <c r="P233" s="75">
        <v>80</v>
      </c>
      <c r="Q233" s="75">
        <v>83</v>
      </c>
      <c r="R233" s="75">
        <v>-85</v>
      </c>
      <c r="S233" s="76">
        <f t="shared" si="78"/>
        <v>83</v>
      </c>
      <c r="T233" s="77">
        <f t="shared" si="79"/>
        <v>153</v>
      </c>
      <c r="U233" s="78">
        <f t="shared" si="80"/>
        <v>26.599999999999994</v>
      </c>
      <c r="V233" s="79" t="str">
        <f t="shared" si="81"/>
        <v>NAT +</v>
      </c>
      <c r="W233" s="80">
        <f t="shared" si="82"/>
        <v>3</v>
      </c>
      <c r="X233" s="81" t="str">
        <f>IF(I233="","",IF(A233="H",IF(OR(H233="SEN",H233&lt;1995),VLOOKUP(I233,Feuil1!$A$11:$F$29,6),IF(AND(H233&gt;1994,H233&lt;1998),VLOOKUP(I233,Feuil1!$A$11:$F$29,5),IF(AND(H233&gt;1997,H233&lt;2000),VLOOKUP(I233,Feuil1!$A$11:$F$29,4),IF(AND(H233&gt;1999,H233&lt;2002),VLOOKUP(I233,Feuil1!$A$11:$F$29,3),VLOOKUP(I233,Feuil1!$A$11:$F$29,2))))),IF(OR(H233="SEN",H233&lt;1995),VLOOKUP(I233,Feuil1!$G$11:$L$25,6),IF(AND(H233&gt;1994,H233&lt;1998),VLOOKUP(I233,Feuil1!$G$11:$L$25,5),IF(AND(H233&gt;1997,H233&lt;2000),VLOOKUP(I233,Feuil1!$G$11:$L$25,4),IF(AND(H233&gt;1999,H233&lt;2002),VLOOKUP(I233,Feuil1!$G$11:$L$25,3),VLOOKUP(I233,Feuil1!$G$11:$L$25,2)))))))</f>
        <v>FS69</v>
      </c>
      <c r="Y233" s="39">
        <f t="shared" si="83"/>
        <v>202.89664217800396</v>
      </c>
      <c r="Z233" s="45"/>
      <c r="AA233" s="49" t="s">
        <v>12</v>
      </c>
      <c r="AB233" s="3">
        <f>T233-HLOOKUP(X233,Feuil1!$C$1:$BL$10,2,FALSE)</f>
        <v>73</v>
      </c>
      <c r="AC233" s="3">
        <f>T233-HLOOKUP(X233,Feuil1!$C$1:$BL$10,3,FALSE)</f>
        <v>63</v>
      </c>
      <c r="AD233" s="3">
        <f>T233-HLOOKUP(X233,Feuil1!$C$1:$BL$10,4,FALSE)</f>
        <v>48</v>
      </c>
      <c r="AE233" s="3">
        <f>T233-HLOOKUP(X233,Feuil1!$C$1:$BL$10,5,FALSE)</f>
        <v>33</v>
      </c>
      <c r="AF233" s="3">
        <f>T233-HLOOKUP(X233,Feuil1!$C$1:$BL$10,6,FALSE)</f>
        <v>18</v>
      </c>
      <c r="AG233" s="3">
        <f>T233-HLOOKUP(X233,Feuil1!$C$1:$BL$10,7,FALSE)</f>
        <v>3</v>
      </c>
      <c r="AH233" s="3">
        <f>T233-HLOOKUP(X233,Feuil1!$C$1:$BL$10,8,FALSE)</f>
        <v>-17</v>
      </c>
      <c r="AI233" s="3">
        <f>T233-HLOOKUP(X233,Feuil1!$C$1:$BL$10,9,FALSE)</f>
        <v>-37</v>
      </c>
      <c r="AJ233" s="3">
        <f>T233-HLOOKUP(X233,Feuil1!$C$1:$BL$10,10,FALSE)</f>
        <v>-52</v>
      </c>
      <c r="AK233" s="5"/>
      <c r="AL233" s="5"/>
      <c r="AM233" s="5"/>
      <c r="AN233" s="5"/>
      <c r="AO233" s="5"/>
      <c r="AP233" s="5"/>
      <c r="AQ233" s="5" t="str">
        <f t="shared" si="84"/>
        <v>NAT +</v>
      </c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</row>
    <row r="234" spans="1:55" s="13" customFormat="1" ht="21" hidden="1" x14ac:dyDescent="0.2">
      <c r="A234" s="12" t="s">
        <v>69</v>
      </c>
      <c r="B234" s="18" t="s">
        <v>108</v>
      </c>
      <c r="C234" s="19" t="s">
        <v>119</v>
      </c>
      <c r="D234" s="61">
        <v>6</v>
      </c>
      <c r="E234" s="35">
        <v>176279</v>
      </c>
      <c r="F234" s="20" t="s">
        <v>219</v>
      </c>
      <c r="G234" s="20" t="s">
        <v>220</v>
      </c>
      <c r="H234" s="51">
        <v>1993</v>
      </c>
      <c r="I234" s="30">
        <v>68.7</v>
      </c>
      <c r="J234" s="19" t="s">
        <v>221</v>
      </c>
      <c r="K234" s="34" t="s">
        <v>69</v>
      </c>
      <c r="L234" s="31">
        <v>63</v>
      </c>
      <c r="M234" s="31">
        <v>68</v>
      </c>
      <c r="N234" s="31">
        <v>70</v>
      </c>
      <c r="O234" s="36">
        <f t="shared" si="77"/>
        <v>70</v>
      </c>
      <c r="P234" s="31">
        <v>75</v>
      </c>
      <c r="Q234" s="31">
        <v>80</v>
      </c>
      <c r="R234" s="31">
        <v>83</v>
      </c>
      <c r="S234" s="36">
        <f t="shared" si="78"/>
        <v>83</v>
      </c>
      <c r="T234" s="37">
        <f t="shared" si="79"/>
        <v>153</v>
      </c>
      <c r="U234" s="65">
        <f t="shared" si="80"/>
        <v>15.599999999999994</v>
      </c>
      <c r="V234" s="41" t="str">
        <f t="shared" si="81"/>
        <v>NAT +</v>
      </c>
      <c r="W234" s="33">
        <f t="shared" si="82"/>
        <v>3</v>
      </c>
      <c r="X234" s="40" t="str">
        <f>IF(I234="","",IF(A234="H",IF(OR(H234="SEN",H234&lt;1995),VLOOKUP(I234,Feuil1!$A$11:$F$29,6),IF(AND(H234&gt;1994,H234&lt;1998),VLOOKUP(I234,Feuil1!$A$11:$F$29,5),IF(AND(H234&gt;1997,H234&lt;2000),VLOOKUP(I234,Feuil1!$A$11:$F$29,4),IF(AND(H234&gt;1999,H234&lt;2002),VLOOKUP(I234,Feuil1!$A$11:$F$29,3),VLOOKUP(I234,Feuil1!$A$11:$F$29,2))))),IF(OR(H234="SEN",H234&lt;1995),VLOOKUP(I234,Feuil1!$G$11:$L$25,6),IF(AND(H234&gt;1994,H234&lt;1998),VLOOKUP(I234,Feuil1!$G$11:$L$25,5),IF(AND(H234&gt;1997,H234&lt;2000),VLOOKUP(I234,Feuil1!$G$11:$L$25,4),IF(AND(H234&gt;1999,H234&lt;2002),VLOOKUP(I234,Feuil1!$G$11:$L$25,3),VLOOKUP(I234,Feuil1!$G$11:$L$25,2)))))))</f>
        <v>FS69</v>
      </c>
      <c r="Y234" s="39">
        <f t="shared" si="83"/>
        <v>192.49335549787756</v>
      </c>
      <c r="Z234" s="45"/>
      <c r="AA234" s="49" t="s">
        <v>12</v>
      </c>
      <c r="AB234" s="3">
        <f>T234-HLOOKUP(X234,Feuil1!$C$1:$BL$10,2,FALSE)</f>
        <v>73</v>
      </c>
      <c r="AC234" s="3">
        <f>T234-HLOOKUP(X234,Feuil1!$C$1:$BL$10,3,FALSE)</f>
        <v>63</v>
      </c>
      <c r="AD234" s="3">
        <f>T234-HLOOKUP(X234,Feuil1!$C$1:$BL$10,4,FALSE)</f>
        <v>48</v>
      </c>
      <c r="AE234" s="3">
        <f>T234-HLOOKUP(X234,Feuil1!$C$1:$BL$10,5,FALSE)</f>
        <v>33</v>
      </c>
      <c r="AF234" s="3">
        <f>T234-HLOOKUP(X234,Feuil1!$C$1:$BL$10,6,FALSE)</f>
        <v>18</v>
      </c>
      <c r="AG234" s="3">
        <f>T234-HLOOKUP(X234,Feuil1!$C$1:$BL$10,7,FALSE)</f>
        <v>3</v>
      </c>
      <c r="AH234" s="3">
        <f>T234-HLOOKUP(X234,Feuil1!$C$1:$BL$10,8,FALSE)</f>
        <v>-17</v>
      </c>
      <c r="AI234" s="3">
        <f>T234-HLOOKUP(X234,Feuil1!$C$1:$BL$10,9,FALSE)</f>
        <v>-37</v>
      </c>
      <c r="AJ234" s="3">
        <f>T234-HLOOKUP(X234,Feuil1!$C$1:$BL$10,10,FALSE)</f>
        <v>-52</v>
      </c>
      <c r="AK234" s="5"/>
      <c r="AL234" s="5"/>
      <c r="AM234" s="5"/>
      <c r="AN234" s="5"/>
      <c r="AO234" s="5"/>
      <c r="AP234" s="5"/>
      <c r="AQ234" s="5" t="str">
        <f t="shared" si="84"/>
        <v>NAT +</v>
      </c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</row>
    <row r="235" spans="1:55" s="13" customFormat="1" ht="21" hidden="1" x14ac:dyDescent="0.2">
      <c r="A235" s="12" t="s">
        <v>69</v>
      </c>
      <c r="B235" s="18" t="s">
        <v>108</v>
      </c>
      <c r="C235" s="19" t="s">
        <v>109</v>
      </c>
      <c r="D235" s="61">
        <v>7</v>
      </c>
      <c r="E235" s="35" t="s">
        <v>183</v>
      </c>
      <c r="F235" s="20" t="s">
        <v>184</v>
      </c>
      <c r="G235" s="20" t="s">
        <v>159</v>
      </c>
      <c r="H235" s="51">
        <v>1985</v>
      </c>
      <c r="I235" s="30">
        <v>69</v>
      </c>
      <c r="J235" s="19" t="s">
        <v>112</v>
      </c>
      <c r="K235" s="34" t="s">
        <v>69</v>
      </c>
      <c r="L235" s="31">
        <v>67</v>
      </c>
      <c r="M235" s="31">
        <v>70</v>
      </c>
      <c r="N235" s="31">
        <v>-72</v>
      </c>
      <c r="O235" s="36">
        <f t="shared" si="77"/>
        <v>70</v>
      </c>
      <c r="P235" s="31">
        <v>79</v>
      </c>
      <c r="Q235" s="31">
        <v>83</v>
      </c>
      <c r="R235" s="31">
        <v>-86</v>
      </c>
      <c r="S235" s="36">
        <f t="shared" si="78"/>
        <v>83</v>
      </c>
      <c r="T235" s="37">
        <f t="shared" si="79"/>
        <v>153</v>
      </c>
      <c r="U235" s="65">
        <f t="shared" si="80"/>
        <v>15</v>
      </c>
      <c r="V235" s="41" t="str">
        <f t="shared" si="81"/>
        <v>NAT +</v>
      </c>
      <c r="W235" s="33">
        <f t="shared" si="82"/>
        <v>3</v>
      </c>
      <c r="X235" s="40" t="str">
        <f>IF(I235="","",IF(A235="H",IF(OR(H235="SEN",H235&lt;1995),VLOOKUP(I235,Feuil1!$A$11:$F$29,6),IF(AND(H235&gt;1994,H235&lt;1998),VLOOKUP(I235,Feuil1!$A$11:$F$29,5),IF(AND(H235&gt;1997,H235&lt;2000),VLOOKUP(I235,Feuil1!$A$11:$F$29,4),IF(AND(H235&gt;1999,H235&lt;2002),VLOOKUP(I235,Feuil1!$A$11:$F$29,3),VLOOKUP(I235,Feuil1!$A$11:$F$29,2))))),IF(OR(H235="SEN",H235&lt;1995),VLOOKUP(I235,Feuil1!$G$11:$L$25,6),IF(AND(H235&gt;1994,H235&lt;1998),VLOOKUP(I235,Feuil1!$G$11:$L$25,5),IF(AND(H235&gt;1997,H235&lt;2000),VLOOKUP(I235,Feuil1!$G$11:$L$25,4),IF(AND(H235&gt;1999,H235&lt;2002),VLOOKUP(I235,Feuil1!$G$11:$L$25,3),VLOOKUP(I235,Feuil1!$G$11:$L$25,2)))))))</f>
        <v>FS69</v>
      </c>
      <c r="Y235" s="39">
        <f t="shared" si="83"/>
        <v>191.99363757099655</v>
      </c>
      <c r="Z235" s="45"/>
      <c r="AA235" s="49" t="s">
        <v>12</v>
      </c>
      <c r="AB235" s="3">
        <f>T235-HLOOKUP(X235,Feuil1!$C$1:$BL$10,2,FALSE)</f>
        <v>73</v>
      </c>
      <c r="AC235" s="3">
        <f>T235-HLOOKUP(X235,Feuil1!$C$1:$BL$10,3,FALSE)</f>
        <v>63</v>
      </c>
      <c r="AD235" s="3">
        <f>T235-HLOOKUP(X235,Feuil1!$C$1:$BL$10,4,FALSE)</f>
        <v>48</v>
      </c>
      <c r="AE235" s="3">
        <f>T235-HLOOKUP(X235,Feuil1!$C$1:$BL$10,5,FALSE)</f>
        <v>33</v>
      </c>
      <c r="AF235" s="3">
        <f>T235-HLOOKUP(X235,Feuil1!$C$1:$BL$10,6,FALSE)</f>
        <v>18</v>
      </c>
      <c r="AG235" s="3">
        <f>T235-HLOOKUP(X235,Feuil1!$C$1:$BL$10,7,FALSE)</f>
        <v>3</v>
      </c>
      <c r="AH235" s="3">
        <f>T235-HLOOKUP(X235,Feuil1!$C$1:$BL$10,8,FALSE)</f>
        <v>-17</v>
      </c>
      <c r="AI235" s="3">
        <f>T235-HLOOKUP(X235,Feuil1!$C$1:$BL$10,9,FALSE)</f>
        <v>-37</v>
      </c>
      <c r="AJ235" s="3">
        <f>T235-HLOOKUP(X235,Feuil1!$C$1:$BL$10,10,FALSE)</f>
        <v>-52</v>
      </c>
      <c r="AK235" s="5"/>
      <c r="AL235" s="5"/>
      <c r="AM235" s="5"/>
      <c r="AN235" s="5"/>
      <c r="AO235" s="5"/>
      <c r="AP235" s="5"/>
      <c r="AQ235" s="5" t="str">
        <f t="shared" si="84"/>
        <v>NAT +</v>
      </c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</row>
    <row r="236" spans="1:55" s="13" customFormat="1" ht="21" hidden="1" x14ac:dyDescent="0.2">
      <c r="A236" s="12" t="s">
        <v>69</v>
      </c>
      <c r="B236" s="67" t="s">
        <v>536</v>
      </c>
      <c r="C236" s="68" t="s">
        <v>545</v>
      </c>
      <c r="D236" s="69">
        <v>8</v>
      </c>
      <c r="E236" s="70">
        <v>250351</v>
      </c>
      <c r="F236" s="71" t="s">
        <v>582</v>
      </c>
      <c r="G236" s="71" t="s">
        <v>583</v>
      </c>
      <c r="H236" s="72">
        <v>1985</v>
      </c>
      <c r="I236" s="73">
        <v>63.9</v>
      </c>
      <c r="J236" s="68" t="s">
        <v>548</v>
      </c>
      <c r="K236" s="74" t="s">
        <v>69</v>
      </c>
      <c r="L236" s="75">
        <v>64</v>
      </c>
      <c r="M236" s="75">
        <v>-68</v>
      </c>
      <c r="N236" s="75">
        <v>68</v>
      </c>
      <c r="O236" s="76">
        <f t="shared" si="77"/>
        <v>68</v>
      </c>
      <c r="P236" s="75">
        <v>82</v>
      </c>
      <c r="Q236" s="75">
        <v>-85</v>
      </c>
      <c r="R236" s="75">
        <v>-85</v>
      </c>
      <c r="S236" s="76">
        <f t="shared" si="78"/>
        <v>82</v>
      </c>
      <c r="T236" s="77">
        <f t="shared" si="79"/>
        <v>150</v>
      </c>
      <c r="U236" s="78">
        <f t="shared" si="80"/>
        <v>22.200000000000003</v>
      </c>
      <c r="V236" s="79" t="str">
        <f t="shared" si="81"/>
        <v>NAT +</v>
      </c>
      <c r="W236" s="80">
        <f t="shared" si="82"/>
        <v>0</v>
      </c>
      <c r="X236" s="81" t="str">
        <f>IF(I236="","",IF(A236="H",IF(OR(H236="SEN",H236&lt;1995),VLOOKUP(I236,Feuil1!$A$11:$F$29,6),IF(AND(H236&gt;1994,H236&lt;1998),VLOOKUP(I236,Feuil1!$A$11:$F$29,5),IF(AND(H236&gt;1997,H236&lt;2000),VLOOKUP(I236,Feuil1!$A$11:$F$29,4),IF(AND(H236&gt;1999,H236&lt;2002),VLOOKUP(I236,Feuil1!$A$11:$F$29,3),VLOOKUP(I236,Feuil1!$A$11:$F$29,2))))),IF(OR(H236="SEN",H236&lt;1995),VLOOKUP(I236,Feuil1!$G$11:$L$25,6),IF(AND(H236&gt;1994,H236&lt;1998),VLOOKUP(I236,Feuil1!$G$11:$L$25,5),IF(AND(H236&gt;1997,H236&lt;2000),VLOOKUP(I236,Feuil1!$G$11:$L$25,4),IF(AND(H236&gt;1999,H236&lt;2002),VLOOKUP(I236,Feuil1!$G$11:$L$25,3),VLOOKUP(I236,Feuil1!$G$11:$L$25,2)))))))</f>
        <v>FS69</v>
      </c>
      <c r="Y236" s="39">
        <f t="shared" si="83"/>
        <v>197.47957104400226</v>
      </c>
      <c r="Z236" s="45"/>
      <c r="AA236" s="49" t="s">
        <v>12</v>
      </c>
      <c r="AB236" s="3">
        <f>T236-HLOOKUP(X236,Feuil1!$C$1:$BL$10,2,FALSE)</f>
        <v>70</v>
      </c>
      <c r="AC236" s="3">
        <f>T236-HLOOKUP(X236,Feuil1!$C$1:$BL$10,3,FALSE)</f>
        <v>60</v>
      </c>
      <c r="AD236" s="3">
        <f>T236-HLOOKUP(X236,Feuil1!$C$1:$BL$10,4,FALSE)</f>
        <v>45</v>
      </c>
      <c r="AE236" s="3">
        <f>T236-HLOOKUP(X236,Feuil1!$C$1:$BL$10,5,FALSE)</f>
        <v>30</v>
      </c>
      <c r="AF236" s="3">
        <f>T236-HLOOKUP(X236,Feuil1!$C$1:$BL$10,6,FALSE)</f>
        <v>15</v>
      </c>
      <c r="AG236" s="3">
        <f>T236-HLOOKUP(X236,Feuil1!$C$1:$BL$10,7,FALSE)</f>
        <v>0</v>
      </c>
      <c r="AH236" s="3">
        <f>T236-HLOOKUP(X236,Feuil1!$C$1:$BL$10,8,FALSE)</f>
        <v>-20</v>
      </c>
      <c r="AI236" s="3">
        <f>T236-HLOOKUP(X236,Feuil1!$C$1:$BL$10,9,FALSE)</f>
        <v>-40</v>
      </c>
      <c r="AJ236" s="3">
        <f>T236-HLOOKUP(X236,Feuil1!$C$1:$BL$10,10,FALSE)</f>
        <v>-55</v>
      </c>
      <c r="AK236" s="5"/>
      <c r="AL236" s="5"/>
      <c r="AM236" s="5"/>
      <c r="AN236" s="5"/>
      <c r="AO236" s="5"/>
      <c r="AP236" s="5"/>
      <c r="AQ236" s="5" t="str">
        <f t="shared" si="84"/>
        <v>NAT +</v>
      </c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</row>
    <row r="237" spans="1:55" s="13" customFormat="1" ht="21" hidden="1" x14ac:dyDescent="0.2">
      <c r="A237" s="12" t="s">
        <v>69</v>
      </c>
      <c r="B237" s="18" t="s">
        <v>108</v>
      </c>
      <c r="C237" s="19" t="s">
        <v>119</v>
      </c>
      <c r="D237" s="61">
        <v>9</v>
      </c>
      <c r="E237" s="35">
        <v>319461</v>
      </c>
      <c r="F237" s="20" t="s">
        <v>222</v>
      </c>
      <c r="G237" s="20" t="s">
        <v>223</v>
      </c>
      <c r="H237" s="51">
        <v>1984</v>
      </c>
      <c r="I237" s="30">
        <v>68.7</v>
      </c>
      <c r="J237" s="19" t="s">
        <v>138</v>
      </c>
      <c r="K237" s="34" t="s">
        <v>69</v>
      </c>
      <c r="L237" s="31">
        <v>-60</v>
      </c>
      <c r="M237" s="31">
        <v>60</v>
      </c>
      <c r="N237" s="31">
        <v>64</v>
      </c>
      <c r="O237" s="36">
        <f t="shared" si="77"/>
        <v>64</v>
      </c>
      <c r="P237" s="31">
        <v>75</v>
      </c>
      <c r="Q237" s="31">
        <v>79</v>
      </c>
      <c r="R237" s="31">
        <v>82</v>
      </c>
      <c r="S237" s="36">
        <f t="shared" si="78"/>
        <v>82</v>
      </c>
      <c r="T237" s="37">
        <f t="shared" si="79"/>
        <v>146</v>
      </c>
      <c r="U237" s="65">
        <f t="shared" si="80"/>
        <v>8.5999999999999943</v>
      </c>
      <c r="V237" s="41" t="str">
        <f t="shared" si="81"/>
        <v>FED +</v>
      </c>
      <c r="W237" s="33">
        <f t="shared" si="82"/>
        <v>11</v>
      </c>
      <c r="X237" s="40" t="str">
        <f>IF(I237="","",IF(A237="H",IF(OR(H237="SEN",H237&lt;1995),VLOOKUP(I237,Feuil1!$A$11:$F$29,6),IF(AND(H237&gt;1994,H237&lt;1998),VLOOKUP(I237,Feuil1!$A$11:$F$29,5),IF(AND(H237&gt;1997,H237&lt;2000),VLOOKUP(I237,Feuil1!$A$11:$F$29,4),IF(AND(H237&gt;1999,H237&lt;2002),VLOOKUP(I237,Feuil1!$A$11:$F$29,3),VLOOKUP(I237,Feuil1!$A$11:$F$29,2))))),IF(OR(H237="SEN",H237&lt;1995),VLOOKUP(I237,Feuil1!$G$11:$L$25,6),IF(AND(H237&gt;1994,H237&lt;1998),VLOOKUP(I237,Feuil1!$G$11:$L$25,5),IF(AND(H237&gt;1997,H237&lt;2000),VLOOKUP(I237,Feuil1!$G$11:$L$25,4),IF(AND(H237&gt;1999,H237&lt;2002),VLOOKUP(I237,Feuil1!$G$11:$L$25,3),VLOOKUP(I237,Feuil1!$G$11:$L$25,2)))))))</f>
        <v>FS69</v>
      </c>
      <c r="Y237" s="39">
        <f t="shared" si="83"/>
        <v>183.68646995222301</v>
      </c>
      <c r="Z237" s="45"/>
      <c r="AA237" s="49" t="s">
        <v>12</v>
      </c>
      <c r="AB237" s="3">
        <f>T237-HLOOKUP(X237,Feuil1!$C$1:$BL$10,2,FALSE)</f>
        <v>66</v>
      </c>
      <c r="AC237" s="3">
        <f>T237-HLOOKUP(X237,Feuil1!$C$1:$BL$10,3,FALSE)</f>
        <v>56</v>
      </c>
      <c r="AD237" s="3">
        <f>T237-HLOOKUP(X237,Feuil1!$C$1:$BL$10,4,FALSE)</f>
        <v>41</v>
      </c>
      <c r="AE237" s="3">
        <f>T237-HLOOKUP(X237,Feuil1!$C$1:$BL$10,5,FALSE)</f>
        <v>26</v>
      </c>
      <c r="AF237" s="3">
        <f>T237-HLOOKUP(X237,Feuil1!$C$1:$BL$10,6,FALSE)</f>
        <v>11</v>
      </c>
      <c r="AG237" s="3">
        <f>T237-HLOOKUP(X237,Feuil1!$C$1:$BL$10,7,FALSE)</f>
        <v>-4</v>
      </c>
      <c r="AH237" s="3">
        <f>T237-HLOOKUP(X237,Feuil1!$C$1:$BL$10,8,FALSE)</f>
        <v>-24</v>
      </c>
      <c r="AI237" s="3">
        <f>T237-HLOOKUP(X237,Feuil1!$C$1:$BL$10,9,FALSE)</f>
        <v>-44</v>
      </c>
      <c r="AJ237" s="3">
        <f>T237-HLOOKUP(X237,Feuil1!$C$1:$BL$10,10,FALSE)</f>
        <v>-59</v>
      </c>
      <c r="AK237" s="5"/>
      <c r="AL237" s="5"/>
      <c r="AM237" s="5"/>
      <c r="AN237" s="5"/>
      <c r="AO237" s="5"/>
      <c r="AP237" s="5"/>
      <c r="AQ237" s="5" t="str">
        <f t="shared" si="84"/>
        <v>FED +</v>
      </c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</row>
    <row r="238" spans="1:55" s="13" customFormat="1" ht="21" hidden="1" x14ac:dyDescent="0.2">
      <c r="A238" s="12" t="s">
        <v>69</v>
      </c>
      <c r="B238" s="18" t="s">
        <v>71</v>
      </c>
      <c r="C238" s="19" t="s">
        <v>801</v>
      </c>
      <c r="D238" s="61">
        <v>10</v>
      </c>
      <c r="E238" s="35">
        <v>230430</v>
      </c>
      <c r="F238" s="20" t="s">
        <v>832</v>
      </c>
      <c r="G238" s="20" t="s">
        <v>833</v>
      </c>
      <c r="H238" s="51">
        <v>1991</v>
      </c>
      <c r="I238" s="30">
        <v>64.349999999999994</v>
      </c>
      <c r="J238" s="19" t="s">
        <v>803</v>
      </c>
      <c r="K238" s="34" t="s">
        <v>69</v>
      </c>
      <c r="L238" s="31">
        <v>61</v>
      </c>
      <c r="M238" s="31">
        <v>64</v>
      </c>
      <c r="N238" s="31">
        <v>-66</v>
      </c>
      <c r="O238" s="36">
        <f t="shared" si="77"/>
        <v>64</v>
      </c>
      <c r="P238" s="31">
        <v>72</v>
      </c>
      <c r="Q238" s="31">
        <v>75</v>
      </c>
      <c r="R238" s="31">
        <v>-77</v>
      </c>
      <c r="S238" s="36">
        <f t="shared" si="78"/>
        <v>75</v>
      </c>
      <c r="T238" s="37">
        <f t="shared" si="79"/>
        <v>139</v>
      </c>
      <c r="U238" s="65">
        <f t="shared" si="80"/>
        <v>10.300000000000011</v>
      </c>
      <c r="V238" s="41" t="str">
        <f t="shared" si="81"/>
        <v>FED +</v>
      </c>
      <c r="W238" s="33">
        <f t="shared" si="82"/>
        <v>4</v>
      </c>
      <c r="X238" s="40" t="str">
        <f>IF(I238="","",IF(A238="H",IF(OR(H238="SEN",H238&lt;1995),VLOOKUP(I238,Feuil1!$A$11:$F$29,6),IF(AND(H238&gt;1994,H238&lt;1998),VLOOKUP(I238,Feuil1!$A$11:$F$29,5),IF(AND(H238&gt;1997,H238&lt;2000),VLOOKUP(I238,Feuil1!$A$11:$F$29,4),IF(AND(H238&gt;1999,H238&lt;2002),VLOOKUP(I238,Feuil1!$A$11:$F$29,3),VLOOKUP(I238,Feuil1!$A$11:$F$29,2))))),IF(OR(H238="SEN",H238&lt;1995),VLOOKUP(I238,Feuil1!$G$11:$L$25,6),IF(AND(H238&gt;1994,H238&lt;1998),VLOOKUP(I238,Feuil1!$G$11:$L$25,5),IF(AND(H238&gt;1997,H238&lt;2000),VLOOKUP(I238,Feuil1!$G$11:$L$25,4),IF(AND(H238&gt;1999,H238&lt;2002),VLOOKUP(I238,Feuil1!$G$11:$L$25,3),VLOOKUP(I238,Feuil1!$G$11:$L$25,2)))))))</f>
        <v>FS69</v>
      </c>
      <c r="Y238" s="39">
        <f t="shared" si="83"/>
        <v>182.16238393937996</v>
      </c>
      <c r="Z238" s="45"/>
      <c r="AA238" s="49" t="s">
        <v>12</v>
      </c>
      <c r="AB238" s="3">
        <f>T238-HLOOKUP(X238,Feuil1!$C$1:$BL$10,2,FALSE)</f>
        <v>59</v>
      </c>
      <c r="AC238" s="3">
        <f>T238-HLOOKUP(X238,Feuil1!$C$1:$BL$10,3,FALSE)</f>
        <v>49</v>
      </c>
      <c r="AD238" s="3">
        <f>T238-HLOOKUP(X238,Feuil1!$C$1:$BL$10,4,FALSE)</f>
        <v>34</v>
      </c>
      <c r="AE238" s="3">
        <f>T238-HLOOKUP(X238,Feuil1!$C$1:$BL$10,5,FALSE)</f>
        <v>19</v>
      </c>
      <c r="AF238" s="3">
        <f>T238-HLOOKUP(X238,Feuil1!$C$1:$BL$10,6,FALSE)</f>
        <v>4</v>
      </c>
      <c r="AG238" s="3">
        <f>T238-HLOOKUP(X238,Feuil1!$C$1:$BL$10,7,FALSE)</f>
        <v>-11</v>
      </c>
      <c r="AH238" s="3">
        <f>T238-HLOOKUP(X238,Feuil1!$C$1:$BL$10,8,FALSE)</f>
        <v>-31</v>
      </c>
      <c r="AI238" s="3">
        <f>T238-HLOOKUP(X238,Feuil1!$C$1:$BL$10,9,FALSE)</f>
        <v>-51</v>
      </c>
      <c r="AJ238" s="3">
        <f>T238-HLOOKUP(X238,Feuil1!$C$1:$BL$10,10,FALSE)</f>
        <v>-66</v>
      </c>
      <c r="AK238" s="5"/>
      <c r="AL238" s="5"/>
      <c r="AM238" s="5"/>
      <c r="AN238" s="5"/>
      <c r="AO238" s="5"/>
      <c r="AP238" s="5"/>
      <c r="AQ238" s="5" t="str">
        <f t="shared" si="84"/>
        <v>FED +</v>
      </c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</row>
    <row r="239" spans="1:55" s="13" customFormat="1" ht="21" hidden="1" x14ac:dyDescent="0.2">
      <c r="A239" s="12" t="s">
        <v>69</v>
      </c>
      <c r="B239" s="18" t="s">
        <v>71</v>
      </c>
      <c r="C239" s="19" t="s">
        <v>997</v>
      </c>
      <c r="D239" s="61">
        <v>11</v>
      </c>
      <c r="E239" s="35">
        <v>357422</v>
      </c>
      <c r="F239" s="20" t="s">
        <v>1000</v>
      </c>
      <c r="G239" s="20" t="s">
        <v>999</v>
      </c>
      <c r="H239" s="51">
        <v>1992</v>
      </c>
      <c r="I239" s="30">
        <v>68.8</v>
      </c>
      <c r="J239" s="19" t="s">
        <v>1001</v>
      </c>
      <c r="K239" s="34" t="s">
        <v>69</v>
      </c>
      <c r="L239" s="31">
        <v>55</v>
      </c>
      <c r="M239" s="31">
        <v>59</v>
      </c>
      <c r="N239" s="31">
        <v>-62</v>
      </c>
      <c r="O239" s="36">
        <f t="shared" si="77"/>
        <v>59</v>
      </c>
      <c r="P239" s="31">
        <v>76</v>
      </c>
      <c r="Q239" s="31">
        <v>-80</v>
      </c>
      <c r="R239" s="31">
        <v>80</v>
      </c>
      <c r="S239" s="36">
        <f t="shared" si="78"/>
        <v>80</v>
      </c>
      <c r="T239" s="37">
        <f t="shared" si="79"/>
        <v>139</v>
      </c>
      <c r="U239" s="65">
        <f t="shared" si="80"/>
        <v>1.4000000000000057</v>
      </c>
      <c r="V239" s="32" t="str">
        <f t="shared" si="81"/>
        <v>FED +</v>
      </c>
      <c r="W239" s="33">
        <f t="shared" si="82"/>
        <v>4</v>
      </c>
      <c r="X239" s="40" t="str">
        <f>IF(I239="","",IF(A239="H",IF(OR(H239="SEN",H239&lt;1995),VLOOKUP(I239,Feuil1!$A$11:$F$29,6),IF(AND(H239&gt;1994,H239&lt;1998),VLOOKUP(I239,Feuil1!$A$11:$F$29,5),IF(AND(H239&gt;1997,H239&lt;2000),VLOOKUP(I239,Feuil1!$A$11:$F$29,4),IF(AND(H239&gt;1999,H239&lt;2002),VLOOKUP(I239,Feuil1!$A$11:$F$29,3),VLOOKUP(I239,Feuil1!$A$11:$F$29,2))))),IF(OR(H239="SEN",H239&lt;1995),VLOOKUP(I239,Feuil1!$G$11:$L$25,6),IF(AND(H239&gt;1994,H239&lt;1998),VLOOKUP(I239,Feuil1!$G$11:$L$25,5),IF(AND(H239&gt;1997,H239&lt;2000),VLOOKUP(I239,Feuil1!$G$11:$L$25,4),IF(AND(H239&gt;1999,H239&lt;2002),VLOOKUP(I239,Feuil1!$G$11:$L$25,3),VLOOKUP(I239,Feuil1!$G$11:$L$25,2)))))))</f>
        <v>FS69</v>
      </c>
      <c r="Y239" s="39">
        <f t="shared" si="83"/>
        <v>174.72761508678349</v>
      </c>
      <c r="Z239" s="45"/>
      <c r="AA239" s="49" t="s">
        <v>12</v>
      </c>
      <c r="AB239" s="3">
        <f>T239-HLOOKUP(X239,Feuil1!$C$1:$BL$10,2,FALSE)</f>
        <v>59</v>
      </c>
      <c r="AC239" s="3">
        <f>T239-HLOOKUP(X239,Feuil1!$C$1:$BL$10,3,FALSE)</f>
        <v>49</v>
      </c>
      <c r="AD239" s="3">
        <f>T239-HLOOKUP(X239,Feuil1!$C$1:$BL$10,4,FALSE)</f>
        <v>34</v>
      </c>
      <c r="AE239" s="3">
        <f>T239-HLOOKUP(X239,Feuil1!$C$1:$BL$10,5,FALSE)</f>
        <v>19</v>
      </c>
      <c r="AF239" s="3">
        <f>T239-HLOOKUP(X239,Feuil1!$C$1:$BL$10,6,FALSE)</f>
        <v>4</v>
      </c>
      <c r="AG239" s="3">
        <f>T239-HLOOKUP(X239,Feuil1!$C$1:$BL$10,7,FALSE)</f>
        <v>-11</v>
      </c>
      <c r="AH239" s="3">
        <f>T239-HLOOKUP(X239,Feuil1!$C$1:$BL$10,8,FALSE)</f>
        <v>-31</v>
      </c>
      <c r="AI239" s="3">
        <f>T239-HLOOKUP(X239,Feuil1!$C$1:$BL$10,9,FALSE)</f>
        <v>-51</v>
      </c>
      <c r="AJ239" s="3">
        <f>T239-HLOOKUP(X239,Feuil1!$C$1:$BL$10,10,FALSE)</f>
        <v>-66</v>
      </c>
      <c r="AK239" s="5"/>
      <c r="AL239" s="5"/>
      <c r="AM239" s="5"/>
      <c r="AN239" s="5"/>
      <c r="AO239" s="5"/>
      <c r="AP239" s="5"/>
      <c r="AQ239" s="5" t="str">
        <f t="shared" si="84"/>
        <v>FED +</v>
      </c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</row>
    <row r="240" spans="1:55" s="13" customFormat="1" ht="21" hidden="1" x14ac:dyDescent="0.2">
      <c r="A240" s="12" t="s">
        <v>69</v>
      </c>
      <c r="B240" s="18" t="s">
        <v>108</v>
      </c>
      <c r="C240" s="19" t="s">
        <v>119</v>
      </c>
      <c r="D240" s="61">
        <v>12</v>
      </c>
      <c r="E240" s="35">
        <v>20829</v>
      </c>
      <c r="F240" s="20" t="s">
        <v>224</v>
      </c>
      <c r="G240" s="20" t="s">
        <v>225</v>
      </c>
      <c r="H240" s="51">
        <v>1979</v>
      </c>
      <c r="I240" s="30">
        <v>68.2</v>
      </c>
      <c r="J240" s="19" t="s">
        <v>122</v>
      </c>
      <c r="K240" s="34" t="s">
        <v>69</v>
      </c>
      <c r="L240" s="31">
        <v>56</v>
      </c>
      <c r="M240" s="31">
        <v>59</v>
      </c>
      <c r="N240" s="31">
        <v>62</v>
      </c>
      <c r="O240" s="36">
        <f t="shared" si="77"/>
        <v>62</v>
      </c>
      <c r="P240" s="31">
        <v>69</v>
      </c>
      <c r="Q240" s="31">
        <v>73</v>
      </c>
      <c r="R240" s="31">
        <v>-75</v>
      </c>
      <c r="S240" s="36">
        <f t="shared" si="78"/>
        <v>73</v>
      </c>
      <c r="T240" s="37">
        <f t="shared" si="79"/>
        <v>135</v>
      </c>
      <c r="U240" s="65">
        <f t="shared" si="80"/>
        <v>-1.4000000000000057</v>
      </c>
      <c r="V240" s="41" t="str">
        <f t="shared" si="81"/>
        <v>FED +</v>
      </c>
      <c r="W240" s="33">
        <f t="shared" si="82"/>
        <v>0</v>
      </c>
      <c r="X240" s="40" t="str">
        <f>IF(I240="","",IF(A240="H",IF(OR(H240="SEN",H240&lt;1995),VLOOKUP(I240,Feuil1!$A$11:$F$29,6),IF(AND(H240&gt;1994,H240&lt;1998),VLOOKUP(I240,Feuil1!$A$11:$F$29,5),IF(AND(H240&gt;1997,H240&lt;2000),VLOOKUP(I240,Feuil1!$A$11:$F$29,4),IF(AND(H240&gt;1999,H240&lt;2002),VLOOKUP(I240,Feuil1!$A$11:$F$29,3),VLOOKUP(I240,Feuil1!$A$11:$F$29,2))))),IF(OR(H240="SEN",H240&lt;1995),VLOOKUP(I240,Feuil1!$G$11:$L$25,6),IF(AND(H240&gt;1994,H240&lt;1998),VLOOKUP(I240,Feuil1!$G$11:$L$25,5),IF(AND(H240&gt;1997,H240&lt;2000),VLOOKUP(I240,Feuil1!$G$11:$L$25,4),IF(AND(H240&gt;1999,H240&lt;2002),VLOOKUP(I240,Feuil1!$G$11:$L$25,3),VLOOKUP(I240,Feuil1!$G$11:$L$25,2)))))))</f>
        <v>FS69</v>
      </c>
      <c r="Y240" s="39">
        <f t="shared" si="83"/>
        <v>170.59449309121661</v>
      </c>
      <c r="Z240" s="45"/>
      <c r="AA240" s="49" t="s">
        <v>12</v>
      </c>
      <c r="AB240" s="3">
        <f>T240-HLOOKUP(X240,Feuil1!$C$1:$BL$10,2,FALSE)</f>
        <v>55</v>
      </c>
      <c r="AC240" s="3">
        <f>T240-HLOOKUP(X240,Feuil1!$C$1:$BL$10,3,FALSE)</f>
        <v>45</v>
      </c>
      <c r="AD240" s="3">
        <f>T240-HLOOKUP(X240,Feuil1!$C$1:$BL$10,4,FALSE)</f>
        <v>30</v>
      </c>
      <c r="AE240" s="3">
        <f>T240-HLOOKUP(X240,Feuil1!$C$1:$BL$10,5,FALSE)</f>
        <v>15</v>
      </c>
      <c r="AF240" s="3">
        <f>T240-HLOOKUP(X240,Feuil1!$C$1:$BL$10,6,FALSE)</f>
        <v>0</v>
      </c>
      <c r="AG240" s="3">
        <f>T240-HLOOKUP(X240,Feuil1!$C$1:$BL$10,7,FALSE)</f>
        <v>-15</v>
      </c>
      <c r="AH240" s="3">
        <f>T240-HLOOKUP(X240,Feuil1!$C$1:$BL$10,8,FALSE)</f>
        <v>-35</v>
      </c>
      <c r="AI240" s="3">
        <f>T240-HLOOKUP(X240,Feuil1!$C$1:$BL$10,9,FALSE)</f>
        <v>-55</v>
      </c>
      <c r="AJ240" s="3">
        <f>T240-HLOOKUP(X240,Feuil1!$C$1:$BL$10,10,FALSE)</f>
        <v>-70</v>
      </c>
      <c r="AK240" s="5"/>
      <c r="AL240" s="5"/>
      <c r="AM240" s="5"/>
      <c r="AN240" s="5"/>
      <c r="AO240" s="5"/>
      <c r="AP240" s="5"/>
      <c r="AQ240" s="5" t="str">
        <f t="shared" si="84"/>
        <v>FED +</v>
      </c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</row>
    <row r="241" spans="1:55" s="13" customFormat="1" ht="21" hidden="1" x14ac:dyDescent="0.2">
      <c r="A241" s="12" t="s">
        <v>69</v>
      </c>
      <c r="B241" s="67" t="s">
        <v>108</v>
      </c>
      <c r="C241" s="68" t="s">
        <v>119</v>
      </c>
      <c r="D241" s="69">
        <v>13</v>
      </c>
      <c r="E241" s="70">
        <v>324052</v>
      </c>
      <c r="F241" s="71" t="s">
        <v>209</v>
      </c>
      <c r="G241" s="71" t="s">
        <v>210</v>
      </c>
      <c r="H241" s="72">
        <v>1992</v>
      </c>
      <c r="I241" s="73">
        <v>64.3</v>
      </c>
      <c r="J241" s="68" t="s">
        <v>144</v>
      </c>
      <c r="K241" s="74" t="s">
        <v>69</v>
      </c>
      <c r="L241" s="75">
        <v>53</v>
      </c>
      <c r="M241" s="75">
        <v>56</v>
      </c>
      <c r="N241" s="75">
        <v>58</v>
      </c>
      <c r="O241" s="76">
        <f t="shared" si="77"/>
        <v>58</v>
      </c>
      <c r="P241" s="75">
        <v>71</v>
      </c>
      <c r="Q241" s="75">
        <v>74</v>
      </c>
      <c r="R241" s="75">
        <v>-77</v>
      </c>
      <c r="S241" s="76">
        <f t="shared" si="78"/>
        <v>74</v>
      </c>
      <c r="T241" s="77">
        <f t="shared" si="79"/>
        <v>132</v>
      </c>
      <c r="U241" s="78">
        <f t="shared" si="80"/>
        <v>3.4000000000000057</v>
      </c>
      <c r="V241" s="79" t="str">
        <f t="shared" si="81"/>
        <v>IRG +</v>
      </c>
      <c r="W241" s="80">
        <f t="shared" si="82"/>
        <v>12</v>
      </c>
      <c r="X241" s="81" t="str">
        <f>IF(I241="","",IF(A241="H",IF(OR(H241="SEN",H241&lt;1995),VLOOKUP(I241,Feuil1!$A$11:$F$29,6),IF(AND(H241&gt;1994,H241&lt;1998),VLOOKUP(I241,Feuil1!$A$11:$F$29,5),IF(AND(H241&gt;1997,H241&lt;2000),VLOOKUP(I241,Feuil1!$A$11:$F$29,4),IF(AND(H241&gt;1999,H241&lt;2002),VLOOKUP(I241,Feuil1!$A$11:$F$29,3),VLOOKUP(I241,Feuil1!$A$11:$F$29,2))))),IF(OR(H241="SEN",H241&lt;1995),VLOOKUP(I241,Feuil1!$G$11:$L$25,6),IF(AND(H241&gt;1994,H241&lt;1998),VLOOKUP(I241,Feuil1!$G$11:$L$25,5),IF(AND(H241&gt;1997,H241&lt;2000),VLOOKUP(I241,Feuil1!$G$11:$L$25,4),IF(AND(H241&gt;1999,H241&lt;2002),VLOOKUP(I241,Feuil1!$G$11:$L$25,3),VLOOKUP(I241,Feuil1!$G$11:$L$25,2)))))))</f>
        <v>FS69</v>
      </c>
      <c r="Y241" s="39">
        <f t="shared" si="83"/>
        <v>173.07610116098027</v>
      </c>
      <c r="Z241" s="45"/>
      <c r="AA241" s="49" t="s">
        <v>12</v>
      </c>
      <c r="AB241" s="3">
        <f>T241-HLOOKUP(X241,Feuil1!$C$1:$BL$10,2,FALSE)</f>
        <v>52</v>
      </c>
      <c r="AC241" s="3">
        <f>T241-HLOOKUP(X241,Feuil1!$C$1:$BL$10,3,FALSE)</f>
        <v>42</v>
      </c>
      <c r="AD241" s="3">
        <f>T241-HLOOKUP(X241,Feuil1!$C$1:$BL$10,4,FALSE)</f>
        <v>27</v>
      </c>
      <c r="AE241" s="3">
        <f>T241-HLOOKUP(X241,Feuil1!$C$1:$BL$10,5,FALSE)</f>
        <v>12</v>
      </c>
      <c r="AF241" s="3">
        <f>T241-HLOOKUP(X241,Feuil1!$C$1:$BL$10,6,FALSE)</f>
        <v>-3</v>
      </c>
      <c r="AG241" s="3">
        <f>T241-HLOOKUP(X241,Feuil1!$C$1:$BL$10,7,FALSE)</f>
        <v>-18</v>
      </c>
      <c r="AH241" s="3">
        <f>T241-HLOOKUP(X241,Feuil1!$C$1:$BL$10,8,FALSE)</f>
        <v>-38</v>
      </c>
      <c r="AI241" s="3">
        <f>T241-HLOOKUP(X241,Feuil1!$C$1:$BL$10,9,FALSE)</f>
        <v>-58</v>
      </c>
      <c r="AJ241" s="3">
        <f>T241-HLOOKUP(X241,Feuil1!$C$1:$BL$10,10,FALSE)</f>
        <v>-73</v>
      </c>
      <c r="AK241" s="5"/>
      <c r="AL241" s="5"/>
      <c r="AM241" s="5"/>
      <c r="AN241" s="5"/>
      <c r="AO241" s="5"/>
      <c r="AP241" s="5"/>
      <c r="AQ241" s="5" t="str">
        <f t="shared" si="84"/>
        <v>IRG +</v>
      </c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</row>
    <row r="242" spans="1:55" s="13" customFormat="1" ht="21" hidden="1" x14ac:dyDescent="0.2">
      <c r="A242" s="12" t="s">
        <v>69</v>
      </c>
      <c r="B242" s="67" t="s">
        <v>71</v>
      </c>
      <c r="C242" s="68" t="s">
        <v>801</v>
      </c>
      <c r="D242" s="69">
        <v>14</v>
      </c>
      <c r="E242" s="70">
        <v>332675</v>
      </c>
      <c r="F242" s="71" t="s">
        <v>859</v>
      </c>
      <c r="G242" s="71" t="s">
        <v>282</v>
      </c>
      <c r="H242" s="72">
        <v>1983</v>
      </c>
      <c r="I242" s="73">
        <v>66.39</v>
      </c>
      <c r="J242" s="68" t="s">
        <v>837</v>
      </c>
      <c r="K242" s="74" t="s">
        <v>69</v>
      </c>
      <c r="L242" s="75">
        <v>50</v>
      </c>
      <c r="M242" s="75">
        <v>53</v>
      </c>
      <c r="N242" s="75">
        <v>-55</v>
      </c>
      <c r="O242" s="76">
        <f t="shared" si="77"/>
        <v>53</v>
      </c>
      <c r="P242" s="75">
        <v>65</v>
      </c>
      <c r="Q242" s="75">
        <v>68</v>
      </c>
      <c r="R242" s="75">
        <v>70</v>
      </c>
      <c r="S242" s="76">
        <f t="shared" si="78"/>
        <v>70</v>
      </c>
      <c r="T242" s="77">
        <f t="shared" si="79"/>
        <v>123</v>
      </c>
      <c r="U242" s="78">
        <f t="shared" si="80"/>
        <v>-9.7800000000000011</v>
      </c>
      <c r="V242" s="79" t="str">
        <f t="shared" si="81"/>
        <v>IRG +</v>
      </c>
      <c r="W242" s="80">
        <f t="shared" si="82"/>
        <v>3</v>
      </c>
      <c r="X242" s="81" t="str">
        <f>IF(I242="","",IF(A242="H",IF(OR(H242="SEN",H242&lt;1995),VLOOKUP(I242,Feuil1!$A$11:$F$29,6),IF(AND(H242&gt;1994,H242&lt;1998),VLOOKUP(I242,Feuil1!$A$11:$F$29,5),IF(AND(H242&gt;1997,H242&lt;2000),VLOOKUP(I242,Feuil1!$A$11:$F$29,4),IF(AND(H242&gt;1999,H242&lt;2002),VLOOKUP(I242,Feuil1!$A$11:$F$29,3),VLOOKUP(I242,Feuil1!$A$11:$F$29,2))))),IF(OR(H242="SEN",H242&lt;1995),VLOOKUP(I242,Feuil1!$G$11:$L$25,6),IF(AND(H242&gt;1994,H242&lt;1998),VLOOKUP(I242,Feuil1!$G$11:$L$25,5),IF(AND(H242&gt;1997,H242&lt;2000),VLOOKUP(I242,Feuil1!$G$11:$L$25,4),IF(AND(H242&gt;1999,H242&lt;2002),VLOOKUP(I242,Feuil1!$G$11:$L$25,3),VLOOKUP(I242,Feuil1!$G$11:$L$25,2)))))))</f>
        <v>FS69</v>
      </c>
      <c r="Y242" s="39">
        <f t="shared" si="83"/>
        <v>158.02070351982684</v>
      </c>
      <c r="Z242" s="45"/>
      <c r="AA242" s="49" t="s">
        <v>12</v>
      </c>
      <c r="AB242" s="3">
        <f>T242-HLOOKUP(X242,Feuil1!$C$1:$BL$10,2,FALSE)</f>
        <v>43</v>
      </c>
      <c r="AC242" s="3">
        <f>T242-HLOOKUP(X242,Feuil1!$C$1:$BL$10,3,FALSE)</f>
        <v>33</v>
      </c>
      <c r="AD242" s="3">
        <f>T242-HLOOKUP(X242,Feuil1!$C$1:$BL$10,4,FALSE)</f>
        <v>18</v>
      </c>
      <c r="AE242" s="3">
        <f>T242-HLOOKUP(X242,Feuil1!$C$1:$BL$10,5,FALSE)</f>
        <v>3</v>
      </c>
      <c r="AF242" s="3">
        <f>T242-HLOOKUP(X242,Feuil1!$C$1:$BL$10,6,FALSE)</f>
        <v>-12</v>
      </c>
      <c r="AG242" s="3">
        <f>T242-HLOOKUP(X242,Feuil1!$C$1:$BL$10,7,FALSE)</f>
        <v>-27</v>
      </c>
      <c r="AH242" s="3">
        <f>T242-HLOOKUP(X242,Feuil1!$C$1:$BL$10,8,FALSE)</f>
        <v>-47</v>
      </c>
      <c r="AI242" s="3">
        <f>T242-HLOOKUP(X242,Feuil1!$C$1:$BL$10,9,FALSE)</f>
        <v>-67</v>
      </c>
      <c r="AJ242" s="3">
        <f>T242-HLOOKUP(X242,Feuil1!$C$1:$BL$10,10,FALSE)</f>
        <v>-82</v>
      </c>
      <c r="AK242" s="5"/>
      <c r="AL242" s="5"/>
      <c r="AM242" s="5"/>
      <c r="AN242" s="5"/>
      <c r="AO242" s="5"/>
      <c r="AP242" s="5"/>
      <c r="AQ242" s="5" t="str">
        <f t="shared" si="84"/>
        <v>IRG +</v>
      </c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</row>
    <row r="243" spans="1:55" s="13" customFormat="1" ht="21" hidden="1" x14ac:dyDescent="0.2">
      <c r="A243" s="12" t="s">
        <v>69</v>
      </c>
      <c r="B243" s="67" t="s">
        <v>298</v>
      </c>
      <c r="C243" s="68" t="s">
        <v>299</v>
      </c>
      <c r="D243" s="69">
        <v>15</v>
      </c>
      <c r="E243" s="70">
        <v>382101</v>
      </c>
      <c r="F243" s="71" t="s">
        <v>365</v>
      </c>
      <c r="G243" s="71" t="s">
        <v>231</v>
      </c>
      <c r="H243" s="72">
        <v>1988</v>
      </c>
      <c r="I243" s="73">
        <v>64.900000000000006</v>
      </c>
      <c r="J243" s="68" t="s">
        <v>339</v>
      </c>
      <c r="K243" s="74" t="s">
        <v>69</v>
      </c>
      <c r="L243" s="75">
        <v>48</v>
      </c>
      <c r="M243" s="75">
        <v>-52</v>
      </c>
      <c r="N243" s="75">
        <v>-52</v>
      </c>
      <c r="O243" s="76">
        <f t="shared" si="77"/>
        <v>48</v>
      </c>
      <c r="P243" s="75">
        <v>68</v>
      </c>
      <c r="Q243" s="75">
        <v>73</v>
      </c>
      <c r="R243" s="75">
        <v>-78</v>
      </c>
      <c r="S243" s="76">
        <f t="shared" si="78"/>
        <v>73</v>
      </c>
      <c r="T243" s="77">
        <f t="shared" si="79"/>
        <v>121</v>
      </c>
      <c r="U243" s="78">
        <f t="shared" si="80"/>
        <v>-8.8000000000000114</v>
      </c>
      <c r="V243" s="79" t="str">
        <f t="shared" si="81"/>
        <v>IRG +</v>
      </c>
      <c r="W243" s="80">
        <f t="shared" si="82"/>
        <v>1</v>
      </c>
      <c r="X243" s="81" t="str">
        <f>IF(I243="","",IF(A243="H",IF(OR(H243="SEN",H243&lt;1995),VLOOKUP(I243,Feuil1!$A$11:$F$29,6),IF(AND(H243&gt;1994,H243&lt;1998),VLOOKUP(I243,Feuil1!$A$11:$F$29,5),IF(AND(H243&gt;1997,H243&lt;2000),VLOOKUP(I243,Feuil1!$A$11:$F$29,4),IF(AND(H243&gt;1999,H243&lt;2002),VLOOKUP(I243,Feuil1!$A$11:$F$29,3),VLOOKUP(I243,Feuil1!$A$11:$F$29,2))))),IF(OR(H243="SEN",H243&lt;1995),VLOOKUP(I243,Feuil1!$G$11:$L$25,6),IF(AND(H243&gt;1994,H243&lt;1998),VLOOKUP(I243,Feuil1!$G$11:$L$25,5),IF(AND(H243&gt;1997,H243&lt;2000),VLOOKUP(I243,Feuil1!$G$11:$L$25,4),IF(AND(H243&gt;1999,H243&lt;2002),VLOOKUP(I243,Feuil1!$G$11:$L$25,3),VLOOKUP(I243,Feuil1!$G$11:$L$25,2)))))))</f>
        <v>FS69</v>
      </c>
      <c r="Y243" s="39">
        <f t="shared" si="83"/>
        <v>157.70368722130945</v>
      </c>
      <c r="Z243" s="45"/>
      <c r="AA243" s="49" t="s">
        <v>12</v>
      </c>
      <c r="AB243" s="3">
        <f>T243-HLOOKUP(X243,Feuil1!$C$1:$BL$10,2,FALSE)</f>
        <v>41</v>
      </c>
      <c r="AC243" s="3">
        <f>T243-HLOOKUP(X243,Feuil1!$C$1:$BL$10,3,FALSE)</f>
        <v>31</v>
      </c>
      <c r="AD243" s="3">
        <f>T243-HLOOKUP(X243,Feuil1!$C$1:$BL$10,4,FALSE)</f>
        <v>16</v>
      </c>
      <c r="AE243" s="3">
        <f>T243-HLOOKUP(X243,Feuil1!$C$1:$BL$10,5,FALSE)</f>
        <v>1</v>
      </c>
      <c r="AF243" s="3">
        <f>T243-HLOOKUP(X243,Feuil1!$C$1:$BL$10,6,FALSE)</f>
        <v>-14</v>
      </c>
      <c r="AG243" s="3">
        <f>T243-HLOOKUP(X243,Feuil1!$C$1:$BL$10,7,FALSE)</f>
        <v>-29</v>
      </c>
      <c r="AH243" s="3">
        <f>T243-HLOOKUP(X243,Feuil1!$C$1:$BL$10,8,FALSE)</f>
        <v>-49</v>
      </c>
      <c r="AI243" s="3">
        <f>T243-HLOOKUP(X243,Feuil1!$C$1:$BL$10,9,FALSE)</f>
        <v>-69</v>
      </c>
      <c r="AJ243" s="3">
        <f>T243-HLOOKUP(X243,Feuil1!$C$1:$BL$10,10,FALSE)</f>
        <v>-84</v>
      </c>
      <c r="AK243" s="5"/>
      <c r="AL243" s="5"/>
      <c r="AM243" s="5"/>
      <c r="AN243" s="5"/>
      <c r="AO243" s="5"/>
      <c r="AP243" s="5"/>
      <c r="AQ243" s="5" t="str">
        <f t="shared" si="84"/>
        <v>IRG +</v>
      </c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</row>
    <row r="244" spans="1:55" s="13" customFormat="1" ht="21" hidden="1" x14ac:dyDescent="0.2">
      <c r="A244" s="12" t="s">
        <v>69</v>
      </c>
      <c r="B244" s="18" t="s">
        <v>536</v>
      </c>
      <c r="C244" s="19" t="s">
        <v>541</v>
      </c>
      <c r="D244" s="61">
        <v>16</v>
      </c>
      <c r="E244" s="35">
        <v>169798</v>
      </c>
      <c r="F244" s="20" t="s">
        <v>542</v>
      </c>
      <c r="G244" s="20" t="s">
        <v>635</v>
      </c>
      <c r="H244" s="51">
        <v>1966</v>
      </c>
      <c r="I244" s="30">
        <v>69</v>
      </c>
      <c r="J244" s="19" t="s">
        <v>544</v>
      </c>
      <c r="K244" s="34" t="s">
        <v>69</v>
      </c>
      <c r="L244" s="31">
        <v>49</v>
      </c>
      <c r="M244" s="31">
        <v>51</v>
      </c>
      <c r="N244" s="31">
        <v>53</v>
      </c>
      <c r="O244" s="36">
        <f t="shared" si="77"/>
        <v>53</v>
      </c>
      <c r="P244" s="31">
        <v>64</v>
      </c>
      <c r="Q244" s="31">
        <v>67</v>
      </c>
      <c r="R244" s="31">
        <v>-68</v>
      </c>
      <c r="S244" s="36">
        <f t="shared" si="78"/>
        <v>67</v>
      </c>
      <c r="T244" s="37">
        <f t="shared" si="79"/>
        <v>120</v>
      </c>
      <c r="U244" s="65">
        <f t="shared" si="80"/>
        <v>-18</v>
      </c>
      <c r="V244" s="41" t="str">
        <f t="shared" si="81"/>
        <v>IRG +</v>
      </c>
      <c r="W244" s="33">
        <f t="shared" si="82"/>
        <v>0</v>
      </c>
      <c r="X244" s="40" t="str">
        <f>IF(I244="","",IF(A244="H",IF(OR(H244="SEN",H244&lt;1995),VLOOKUP(I244,Feuil1!$A$11:$F$29,6),IF(AND(H244&gt;1994,H244&lt;1998),VLOOKUP(I244,Feuil1!$A$11:$F$29,5),IF(AND(H244&gt;1997,H244&lt;2000),VLOOKUP(I244,Feuil1!$A$11:$F$29,4),IF(AND(H244&gt;1999,H244&lt;2002),VLOOKUP(I244,Feuil1!$A$11:$F$29,3),VLOOKUP(I244,Feuil1!$A$11:$F$29,2))))),IF(OR(H244="SEN",H244&lt;1995),VLOOKUP(I244,Feuil1!$G$11:$L$25,6),IF(AND(H244&gt;1994,H244&lt;1998),VLOOKUP(I244,Feuil1!$G$11:$L$25,5),IF(AND(H244&gt;1997,H244&lt;2000),VLOOKUP(I244,Feuil1!$G$11:$L$25,4),IF(AND(H244&gt;1999,H244&lt;2002),VLOOKUP(I244,Feuil1!$G$11:$L$25,3),VLOOKUP(I244,Feuil1!$G$11:$L$25,2)))))))</f>
        <v>FS69</v>
      </c>
      <c r="Y244" s="39">
        <f t="shared" si="83"/>
        <v>150.5832451537228</v>
      </c>
      <c r="Z244" s="45"/>
      <c r="AA244" s="49" t="s">
        <v>12</v>
      </c>
      <c r="AB244" s="3">
        <f>T244-HLOOKUP(X244,Feuil1!$C$1:$BL$10,2,FALSE)</f>
        <v>40</v>
      </c>
      <c r="AC244" s="3">
        <f>T244-HLOOKUP(X244,Feuil1!$C$1:$BL$10,3,FALSE)</f>
        <v>30</v>
      </c>
      <c r="AD244" s="3">
        <f>T244-HLOOKUP(X244,Feuil1!$C$1:$BL$10,4,FALSE)</f>
        <v>15</v>
      </c>
      <c r="AE244" s="3">
        <f>T244-HLOOKUP(X244,Feuil1!$C$1:$BL$10,5,FALSE)</f>
        <v>0</v>
      </c>
      <c r="AF244" s="3">
        <f>T244-HLOOKUP(X244,Feuil1!$C$1:$BL$10,6,FALSE)</f>
        <v>-15</v>
      </c>
      <c r="AG244" s="3">
        <f>T244-HLOOKUP(X244,Feuil1!$C$1:$BL$10,7,FALSE)</f>
        <v>-30</v>
      </c>
      <c r="AH244" s="3">
        <f>T244-HLOOKUP(X244,Feuil1!$C$1:$BL$10,8,FALSE)</f>
        <v>-50</v>
      </c>
      <c r="AI244" s="3">
        <f>T244-HLOOKUP(X244,Feuil1!$C$1:$BL$10,9,FALSE)</f>
        <v>-70</v>
      </c>
      <c r="AJ244" s="3">
        <f>T244-HLOOKUP(X244,Feuil1!$C$1:$BL$10,10,FALSE)</f>
        <v>-85</v>
      </c>
      <c r="AK244" s="5"/>
      <c r="AL244" s="5"/>
      <c r="AM244" s="5"/>
      <c r="AN244" s="5"/>
      <c r="AO244" s="5"/>
      <c r="AP244" s="5"/>
      <c r="AQ244" s="5" t="str">
        <f t="shared" si="84"/>
        <v>IRG +</v>
      </c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</row>
    <row r="245" spans="1:55" s="13" customFormat="1" ht="21" hidden="1" x14ac:dyDescent="0.2">
      <c r="A245" s="12" t="s">
        <v>69</v>
      </c>
      <c r="B245" s="18" t="s">
        <v>298</v>
      </c>
      <c r="C245" s="19" t="s">
        <v>299</v>
      </c>
      <c r="D245" s="61">
        <v>17</v>
      </c>
      <c r="E245" s="35">
        <v>380682</v>
      </c>
      <c r="F245" s="20" t="s">
        <v>384</v>
      </c>
      <c r="G245" s="20" t="s">
        <v>114</v>
      </c>
      <c r="H245" s="51">
        <v>1990</v>
      </c>
      <c r="I245" s="30">
        <v>68.900000000000006</v>
      </c>
      <c r="J245" s="19" t="s">
        <v>385</v>
      </c>
      <c r="K245" s="34" t="s">
        <v>69</v>
      </c>
      <c r="L245" s="31">
        <v>43</v>
      </c>
      <c r="M245" s="31">
        <v>48</v>
      </c>
      <c r="N245" s="31">
        <v>-50</v>
      </c>
      <c r="O245" s="36">
        <f t="shared" si="77"/>
        <v>48</v>
      </c>
      <c r="P245" s="31">
        <v>62</v>
      </c>
      <c r="Q245" s="31">
        <v>66</v>
      </c>
      <c r="R245" s="31">
        <v>-70</v>
      </c>
      <c r="S245" s="36">
        <f t="shared" si="78"/>
        <v>66</v>
      </c>
      <c r="T245" s="37">
        <f t="shared" si="79"/>
        <v>114</v>
      </c>
      <c r="U245" s="65">
        <f t="shared" si="80"/>
        <v>-23.800000000000011</v>
      </c>
      <c r="V245" s="41" t="str">
        <f t="shared" si="81"/>
        <v>REG +</v>
      </c>
      <c r="W245" s="33">
        <f t="shared" si="82"/>
        <v>9</v>
      </c>
      <c r="X245" s="40" t="str">
        <f>IF(I245="","",IF(A245="H",IF(OR(H245="SEN",H245&lt;1995),VLOOKUP(I245,Feuil1!$A$11:$F$29,6),IF(AND(H245&gt;1994,H245&lt;1998),VLOOKUP(I245,Feuil1!$A$11:$F$29,5),IF(AND(H245&gt;1997,H245&lt;2000),VLOOKUP(I245,Feuil1!$A$11:$F$29,4),IF(AND(H245&gt;1999,H245&lt;2002),VLOOKUP(I245,Feuil1!$A$11:$F$29,3),VLOOKUP(I245,Feuil1!$A$11:$F$29,2))))),IF(OR(H245="SEN",H245&lt;1995),VLOOKUP(I245,Feuil1!$G$11:$L$25,6),IF(AND(H245&gt;1994,H245&lt;1998),VLOOKUP(I245,Feuil1!$G$11:$L$25,5),IF(AND(H245&gt;1997,H245&lt;2000),VLOOKUP(I245,Feuil1!$G$11:$L$25,4),IF(AND(H245&gt;1999,H245&lt;2002),VLOOKUP(I245,Feuil1!$G$11:$L$25,3),VLOOKUP(I245,Feuil1!$G$11:$L$25,2)))))))</f>
        <v>FS69</v>
      </c>
      <c r="Y245" s="39">
        <f t="shared" si="83"/>
        <v>143.17767299394674</v>
      </c>
      <c r="Z245" s="45"/>
      <c r="AA245" s="49" t="s">
        <v>12</v>
      </c>
      <c r="AB245" s="3">
        <f>T245-HLOOKUP(X245,Feuil1!$C$1:$BL$10,2,FALSE)</f>
        <v>34</v>
      </c>
      <c r="AC245" s="3">
        <f>T245-HLOOKUP(X245,Feuil1!$C$1:$BL$10,3,FALSE)</f>
        <v>24</v>
      </c>
      <c r="AD245" s="3">
        <f>T245-HLOOKUP(X245,Feuil1!$C$1:$BL$10,4,FALSE)</f>
        <v>9</v>
      </c>
      <c r="AE245" s="3">
        <f>T245-HLOOKUP(X245,Feuil1!$C$1:$BL$10,5,FALSE)</f>
        <v>-6</v>
      </c>
      <c r="AF245" s="3">
        <f>T245-HLOOKUP(X245,Feuil1!$C$1:$BL$10,6,FALSE)</f>
        <v>-21</v>
      </c>
      <c r="AG245" s="3">
        <f>T245-HLOOKUP(X245,Feuil1!$C$1:$BL$10,7,FALSE)</f>
        <v>-36</v>
      </c>
      <c r="AH245" s="3">
        <f>T245-HLOOKUP(X245,Feuil1!$C$1:$BL$10,8,FALSE)</f>
        <v>-56</v>
      </c>
      <c r="AI245" s="3">
        <f>T245-HLOOKUP(X245,Feuil1!$C$1:$BL$10,9,FALSE)</f>
        <v>-76</v>
      </c>
      <c r="AJ245" s="3">
        <f>T245-HLOOKUP(X245,Feuil1!$C$1:$BL$10,10,FALSE)</f>
        <v>-91</v>
      </c>
      <c r="AK245" s="5"/>
      <c r="AL245" s="5"/>
      <c r="AM245" s="5"/>
      <c r="AN245" s="5"/>
      <c r="AO245" s="5"/>
      <c r="AP245" s="5"/>
      <c r="AQ245" s="5" t="str">
        <f t="shared" si="84"/>
        <v>REG +</v>
      </c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</row>
    <row r="246" spans="1:55" s="13" customFormat="1" ht="21" hidden="1" x14ac:dyDescent="0.2">
      <c r="A246" s="12" t="s">
        <v>69</v>
      </c>
      <c r="B246" s="18" t="s">
        <v>298</v>
      </c>
      <c r="C246" s="19" t="s">
        <v>476</v>
      </c>
      <c r="D246" s="61">
        <v>18</v>
      </c>
      <c r="E246" s="35">
        <v>204929</v>
      </c>
      <c r="F246" s="20" t="s">
        <v>530</v>
      </c>
      <c r="G246" s="20" t="s">
        <v>531</v>
      </c>
      <c r="H246" s="51">
        <v>1968</v>
      </c>
      <c r="I246" s="30">
        <v>69</v>
      </c>
      <c r="J246" s="19" t="s">
        <v>484</v>
      </c>
      <c r="K246" s="34" t="s">
        <v>69</v>
      </c>
      <c r="L246" s="31">
        <v>50</v>
      </c>
      <c r="M246" s="31">
        <v>-54</v>
      </c>
      <c r="N246" s="31">
        <v>54</v>
      </c>
      <c r="O246" s="36">
        <f t="shared" si="77"/>
        <v>54</v>
      </c>
      <c r="P246" s="31">
        <v>55</v>
      </c>
      <c r="Q246" s="31">
        <v>57</v>
      </c>
      <c r="R246" s="31">
        <v>60</v>
      </c>
      <c r="S246" s="36">
        <f t="shared" si="78"/>
        <v>60</v>
      </c>
      <c r="T246" s="37">
        <f t="shared" si="79"/>
        <v>114</v>
      </c>
      <c r="U246" s="65">
        <f t="shared" si="80"/>
        <v>-24</v>
      </c>
      <c r="V246" s="41" t="str">
        <f t="shared" si="81"/>
        <v>REG +</v>
      </c>
      <c r="W246" s="33">
        <f t="shared" si="82"/>
        <v>9</v>
      </c>
      <c r="X246" s="40" t="str">
        <f>IF(I246="","",IF(A246="H",IF(OR(H246="SEN",H246&lt;1995),VLOOKUP(I246,Feuil1!$A$11:$F$29,6),IF(AND(H246&gt;1994,H246&lt;1998),VLOOKUP(I246,Feuil1!$A$11:$F$29,5),IF(AND(H246&gt;1997,H246&lt;2000),VLOOKUP(I246,Feuil1!$A$11:$F$29,4),IF(AND(H246&gt;1999,H246&lt;2002),VLOOKUP(I246,Feuil1!$A$11:$F$29,3),VLOOKUP(I246,Feuil1!$A$11:$F$29,2))))),IF(OR(H246="SEN",H246&lt;1995),VLOOKUP(I246,Feuil1!$G$11:$L$25,6),IF(AND(H246&gt;1994,H246&lt;1998),VLOOKUP(I246,Feuil1!$G$11:$L$25,5),IF(AND(H246&gt;1997,H246&lt;2000),VLOOKUP(I246,Feuil1!$G$11:$L$25,4),IF(AND(H246&gt;1999,H246&lt;2002),VLOOKUP(I246,Feuil1!$G$11:$L$25,3),VLOOKUP(I246,Feuil1!$G$11:$L$25,2)))))))</f>
        <v>FS69</v>
      </c>
      <c r="Y246" s="39">
        <f t="shared" si="83"/>
        <v>143.05408289603665</v>
      </c>
      <c r="Z246" s="45"/>
      <c r="AA246" s="49" t="s">
        <v>12</v>
      </c>
      <c r="AB246" s="3">
        <f>T246-HLOOKUP(X246,Feuil1!$C$1:$BL$10,2,FALSE)</f>
        <v>34</v>
      </c>
      <c r="AC246" s="3">
        <f>T246-HLOOKUP(X246,Feuil1!$C$1:$BL$10,3,FALSE)</f>
        <v>24</v>
      </c>
      <c r="AD246" s="3">
        <f>T246-HLOOKUP(X246,Feuil1!$C$1:$BL$10,4,FALSE)</f>
        <v>9</v>
      </c>
      <c r="AE246" s="3">
        <f>T246-HLOOKUP(X246,Feuil1!$C$1:$BL$10,5,FALSE)</f>
        <v>-6</v>
      </c>
      <c r="AF246" s="3">
        <f>T246-HLOOKUP(X246,Feuil1!$C$1:$BL$10,6,FALSE)</f>
        <v>-21</v>
      </c>
      <c r="AG246" s="3">
        <f>T246-HLOOKUP(X246,Feuil1!$C$1:$BL$10,7,FALSE)</f>
        <v>-36</v>
      </c>
      <c r="AH246" s="3">
        <f>T246-HLOOKUP(X246,Feuil1!$C$1:$BL$10,8,FALSE)</f>
        <v>-56</v>
      </c>
      <c r="AI246" s="3">
        <f>T246-HLOOKUP(X246,Feuil1!$C$1:$BL$10,9,FALSE)</f>
        <v>-76</v>
      </c>
      <c r="AJ246" s="3">
        <f>T246-HLOOKUP(X246,Feuil1!$C$1:$BL$10,10,FALSE)</f>
        <v>-91</v>
      </c>
      <c r="AK246" s="5"/>
      <c r="AL246" s="5"/>
      <c r="AM246" s="5"/>
      <c r="AN246" s="5"/>
      <c r="AO246" s="5"/>
      <c r="AP246" s="5"/>
      <c r="AQ246" s="5" t="str">
        <f t="shared" si="84"/>
        <v>REG +</v>
      </c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</row>
    <row r="247" spans="1:55" s="13" customFormat="1" ht="21" hidden="1" x14ac:dyDescent="0.2">
      <c r="A247" s="12" t="s">
        <v>69</v>
      </c>
      <c r="B247" s="18" t="s">
        <v>721</v>
      </c>
      <c r="C247" s="19" t="s">
        <v>745</v>
      </c>
      <c r="D247" s="61">
        <v>19</v>
      </c>
      <c r="E247" s="35">
        <v>17886</v>
      </c>
      <c r="F247" s="20" t="s">
        <v>768</v>
      </c>
      <c r="G247" s="20" t="s">
        <v>769</v>
      </c>
      <c r="H247" s="51">
        <v>1956</v>
      </c>
      <c r="I247" s="30">
        <v>66.2</v>
      </c>
      <c r="J247" s="19" t="s">
        <v>748</v>
      </c>
      <c r="K247" s="34" t="s">
        <v>69</v>
      </c>
      <c r="L247" s="31">
        <v>45</v>
      </c>
      <c r="M247" s="31">
        <v>47</v>
      </c>
      <c r="N247" s="31">
        <v>49</v>
      </c>
      <c r="O247" s="36">
        <f t="shared" si="77"/>
        <v>49</v>
      </c>
      <c r="P247" s="31">
        <v>55</v>
      </c>
      <c r="Q247" s="31">
        <v>58</v>
      </c>
      <c r="R247" s="31">
        <v>61</v>
      </c>
      <c r="S247" s="36">
        <f t="shared" si="78"/>
        <v>61</v>
      </c>
      <c r="T247" s="37">
        <f t="shared" si="79"/>
        <v>110</v>
      </c>
      <c r="U247" s="65">
        <f t="shared" si="80"/>
        <v>-22.400000000000006</v>
      </c>
      <c r="V247" s="41" t="str">
        <f t="shared" si="81"/>
        <v>REG +</v>
      </c>
      <c r="W247" s="33">
        <f t="shared" si="82"/>
        <v>5</v>
      </c>
      <c r="X247" s="40" t="str">
        <f>IF(I247="","",IF(A247="H",IF(OR(H247="SEN",H247&lt;1995),VLOOKUP(I247,Feuil1!$A$11:$F$29,6),IF(AND(H247&gt;1994,H247&lt;1998),VLOOKUP(I247,Feuil1!$A$11:$F$29,5),IF(AND(H247&gt;1997,H247&lt;2000),VLOOKUP(I247,Feuil1!$A$11:$F$29,4),IF(AND(H247&gt;1999,H247&lt;2002),VLOOKUP(I247,Feuil1!$A$11:$F$29,3),VLOOKUP(I247,Feuil1!$A$11:$F$29,2))))),IF(OR(H247="SEN",H247&lt;1995),VLOOKUP(I247,Feuil1!$G$11:$L$25,6),IF(AND(H247&gt;1994,H247&lt;1998),VLOOKUP(I247,Feuil1!$G$11:$L$25,5),IF(AND(H247&gt;1997,H247&lt;2000),VLOOKUP(I247,Feuil1!$G$11:$L$25,4),IF(AND(H247&gt;1999,H247&lt;2002),VLOOKUP(I247,Feuil1!$G$11:$L$25,3),VLOOKUP(I247,Feuil1!$G$11:$L$25,2)))))))</f>
        <v>FS69</v>
      </c>
      <c r="Y247" s="39">
        <f t="shared" si="83"/>
        <v>141.57311063047894</v>
      </c>
      <c r="Z247" s="45"/>
      <c r="AA247" s="49" t="s">
        <v>12</v>
      </c>
      <c r="AB247" s="3">
        <f>T247-HLOOKUP(X247,Feuil1!$C$1:$BL$10,2,FALSE)</f>
        <v>30</v>
      </c>
      <c r="AC247" s="3">
        <f>T247-HLOOKUP(X247,Feuil1!$C$1:$BL$10,3,FALSE)</f>
        <v>20</v>
      </c>
      <c r="AD247" s="3">
        <f>T247-HLOOKUP(X247,Feuil1!$C$1:$BL$10,4,FALSE)</f>
        <v>5</v>
      </c>
      <c r="AE247" s="3">
        <f>T247-HLOOKUP(X247,Feuil1!$C$1:$BL$10,5,FALSE)</f>
        <v>-10</v>
      </c>
      <c r="AF247" s="3">
        <f>T247-HLOOKUP(X247,Feuil1!$C$1:$BL$10,6,FALSE)</f>
        <v>-25</v>
      </c>
      <c r="AG247" s="3">
        <f>T247-HLOOKUP(X247,Feuil1!$C$1:$BL$10,7,FALSE)</f>
        <v>-40</v>
      </c>
      <c r="AH247" s="3">
        <f>T247-HLOOKUP(X247,Feuil1!$C$1:$BL$10,8,FALSE)</f>
        <v>-60</v>
      </c>
      <c r="AI247" s="3">
        <f>T247-HLOOKUP(X247,Feuil1!$C$1:$BL$10,9,FALSE)</f>
        <v>-80</v>
      </c>
      <c r="AJ247" s="3">
        <f>T247-HLOOKUP(X247,Feuil1!$C$1:$BL$10,10,FALSE)</f>
        <v>-95</v>
      </c>
      <c r="AK247" s="5"/>
      <c r="AL247" s="5"/>
      <c r="AM247" s="5"/>
      <c r="AN247" s="5"/>
      <c r="AO247" s="5"/>
      <c r="AP247" s="5"/>
      <c r="AQ247" s="5" t="str">
        <f t="shared" si="84"/>
        <v>REG +</v>
      </c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</row>
    <row r="248" spans="1:55" s="13" customFormat="1" ht="21" hidden="1" x14ac:dyDescent="0.2">
      <c r="A248" s="12" t="s">
        <v>69</v>
      </c>
      <c r="B248" s="18" t="s">
        <v>108</v>
      </c>
      <c r="C248" s="19" t="s">
        <v>119</v>
      </c>
      <c r="D248" s="61">
        <v>20</v>
      </c>
      <c r="E248" s="35">
        <v>106080</v>
      </c>
      <c r="F248" s="20" t="s">
        <v>226</v>
      </c>
      <c r="G248" s="20" t="s">
        <v>227</v>
      </c>
      <c r="H248" s="51">
        <v>1988</v>
      </c>
      <c r="I248" s="30">
        <v>67.900000000000006</v>
      </c>
      <c r="J248" s="19" t="s">
        <v>173</v>
      </c>
      <c r="K248" s="34" t="s">
        <v>69</v>
      </c>
      <c r="L248" s="31">
        <v>42</v>
      </c>
      <c r="M248" s="31">
        <v>47</v>
      </c>
      <c r="N248" s="31">
        <v>50</v>
      </c>
      <c r="O248" s="36">
        <f t="shared" si="77"/>
        <v>50</v>
      </c>
      <c r="P248" s="31">
        <v>60</v>
      </c>
      <c r="Q248" s="31">
        <v>-65</v>
      </c>
      <c r="R248" s="31">
        <v>-65</v>
      </c>
      <c r="S248" s="36">
        <f t="shared" si="78"/>
        <v>60</v>
      </c>
      <c r="T248" s="37">
        <f t="shared" si="79"/>
        <v>110</v>
      </c>
      <c r="U248" s="65">
        <f t="shared" si="80"/>
        <v>-25.800000000000011</v>
      </c>
      <c r="V248" s="41" t="str">
        <f t="shared" si="81"/>
        <v>REG +</v>
      </c>
      <c r="W248" s="33">
        <f t="shared" si="82"/>
        <v>5</v>
      </c>
      <c r="X248" s="40" t="str">
        <f>IF(I248="","",IF(A248="H",IF(OR(H248="SEN",H248&lt;1995),VLOOKUP(I248,Feuil1!$A$11:$F$29,6),IF(AND(H248&gt;1994,H248&lt;1998),VLOOKUP(I248,Feuil1!$A$11:$F$29,5),IF(AND(H248&gt;1997,H248&lt;2000),VLOOKUP(I248,Feuil1!$A$11:$F$29,4),IF(AND(H248&gt;1999,H248&lt;2002),VLOOKUP(I248,Feuil1!$A$11:$F$29,3),VLOOKUP(I248,Feuil1!$A$11:$F$29,2))))),IF(OR(H248="SEN",H248&lt;1995),VLOOKUP(I248,Feuil1!$G$11:$L$25,6),IF(AND(H248&gt;1994,H248&lt;1998),VLOOKUP(I248,Feuil1!$G$11:$L$25,5),IF(AND(H248&gt;1997,H248&lt;2000),VLOOKUP(I248,Feuil1!$G$11:$L$25,4),IF(AND(H248&gt;1999,H248&lt;2002),VLOOKUP(I248,Feuil1!$G$11:$L$25,3),VLOOKUP(I248,Feuil1!$G$11:$L$25,2)))))))</f>
        <v>FS69</v>
      </c>
      <c r="Y248" s="39">
        <f t="shared" si="83"/>
        <v>139.37457034373506</v>
      </c>
      <c r="Z248" s="45"/>
      <c r="AA248" s="49" t="s">
        <v>12</v>
      </c>
      <c r="AB248" s="3">
        <f>T248-HLOOKUP(X248,Feuil1!$C$1:$BL$10,2,FALSE)</f>
        <v>30</v>
      </c>
      <c r="AC248" s="3">
        <f>T248-HLOOKUP(X248,Feuil1!$C$1:$BL$10,3,FALSE)</f>
        <v>20</v>
      </c>
      <c r="AD248" s="3">
        <f>T248-HLOOKUP(X248,Feuil1!$C$1:$BL$10,4,FALSE)</f>
        <v>5</v>
      </c>
      <c r="AE248" s="3">
        <f>T248-HLOOKUP(X248,Feuil1!$C$1:$BL$10,5,FALSE)</f>
        <v>-10</v>
      </c>
      <c r="AF248" s="3">
        <f>T248-HLOOKUP(X248,Feuil1!$C$1:$BL$10,6,FALSE)</f>
        <v>-25</v>
      </c>
      <c r="AG248" s="3">
        <f>T248-HLOOKUP(X248,Feuil1!$C$1:$BL$10,7,FALSE)</f>
        <v>-40</v>
      </c>
      <c r="AH248" s="3">
        <f>T248-HLOOKUP(X248,Feuil1!$C$1:$BL$10,8,FALSE)</f>
        <v>-60</v>
      </c>
      <c r="AI248" s="3">
        <f>T248-HLOOKUP(X248,Feuil1!$C$1:$BL$10,9,FALSE)</f>
        <v>-80</v>
      </c>
      <c r="AJ248" s="3">
        <f>T248-HLOOKUP(X248,Feuil1!$C$1:$BL$10,10,FALSE)</f>
        <v>-95</v>
      </c>
      <c r="AK248" s="5"/>
      <c r="AL248" s="5"/>
      <c r="AM248" s="5"/>
      <c r="AN248" s="5"/>
      <c r="AO248" s="5"/>
      <c r="AP248" s="5"/>
      <c r="AQ248" s="5" t="str">
        <f t="shared" si="84"/>
        <v>REG +</v>
      </c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</row>
    <row r="249" spans="1:55" s="13" customFormat="1" ht="21" hidden="1" x14ac:dyDescent="0.2">
      <c r="A249" s="12" t="s">
        <v>69</v>
      </c>
      <c r="B249" s="18" t="s">
        <v>108</v>
      </c>
      <c r="C249" s="19" t="s">
        <v>119</v>
      </c>
      <c r="D249" s="61">
        <v>21</v>
      </c>
      <c r="E249" s="35">
        <v>324051</v>
      </c>
      <c r="F249" s="20" t="s">
        <v>228</v>
      </c>
      <c r="G249" s="20" t="s">
        <v>229</v>
      </c>
      <c r="H249" s="51">
        <v>1987</v>
      </c>
      <c r="I249" s="30">
        <v>66.5</v>
      </c>
      <c r="J249" s="19" t="s">
        <v>144</v>
      </c>
      <c r="K249" s="34" t="s">
        <v>69</v>
      </c>
      <c r="L249" s="31">
        <v>45</v>
      </c>
      <c r="M249" s="31">
        <v>49</v>
      </c>
      <c r="N249" s="31">
        <v>-52</v>
      </c>
      <c r="O249" s="36">
        <f t="shared" si="77"/>
        <v>49</v>
      </c>
      <c r="P249" s="31">
        <v>54</v>
      </c>
      <c r="Q249" s="31">
        <v>57</v>
      </c>
      <c r="R249" s="31">
        <v>60</v>
      </c>
      <c r="S249" s="36">
        <f t="shared" si="78"/>
        <v>60</v>
      </c>
      <c r="T249" s="37">
        <f t="shared" si="79"/>
        <v>109</v>
      </c>
      <c r="U249" s="65">
        <f t="shared" si="80"/>
        <v>-24</v>
      </c>
      <c r="V249" s="41" t="str">
        <f t="shared" si="81"/>
        <v>REG +</v>
      </c>
      <c r="W249" s="33">
        <f t="shared" si="82"/>
        <v>4</v>
      </c>
      <c r="X249" s="40" t="str">
        <f>IF(I249="","",IF(A249="H",IF(OR(H249="SEN",H249&lt;1995),VLOOKUP(I249,Feuil1!$A$11:$F$29,6),IF(AND(H249&gt;1994,H249&lt;1998),VLOOKUP(I249,Feuil1!$A$11:$F$29,5),IF(AND(H249&gt;1997,H249&lt;2000),VLOOKUP(I249,Feuil1!$A$11:$F$29,4),IF(AND(H249&gt;1999,H249&lt;2002),VLOOKUP(I249,Feuil1!$A$11:$F$29,3),VLOOKUP(I249,Feuil1!$A$11:$F$29,2))))),IF(OR(H249="SEN",H249&lt;1995),VLOOKUP(I249,Feuil1!$G$11:$L$25,6),IF(AND(H249&gt;1994,H249&lt;1998),VLOOKUP(I249,Feuil1!$G$11:$L$25,5),IF(AND(H249&gt;1997,H249&lt;2000),VLOOKUP(I249,Feuil1!$G$11:$L$25,4),IF(AND(H249&gt;1999,H249&lt;2002),VLOOKUP(I249,Feuil1!$G$11:$L$25,3),VLOOKUP(I249,Feuil1!$G$11:$L$25,2)))))))</f>
        <v>FS69</v>
      </c>
      <c r="Y249" s="39">
        <f t="shared" si="83"/>
        <v>139.88995853087374</v>
      </c>
      <c r="Z249" s="45"/>
      <c r="AA249" s="49" t="s">
        <v>12</v>
      </c>
      <c r="AB249" s="3">
        <f>T249-HLOOKUP(X249,Feuil1!$C$1:$BL$10,2,FALSE)</f>
        <v>29</v>
      </c>
      <c r="AC249" s="3">
        <f>T249-HLOOKUP(X249,Feuil1!$C$1:$BL$10,3,FALSE)</f>
        <v>19</v>
      </c>
      <c r="AD249" s="3">
        <f>T249-HLOOKUP(X249,Feuil1!$C$1:$BL$10,4,FALSE)</f>
        <v>4</v>
      </c>
      <c r="AE249" s="3">
        <f>T249-HLOOKUP(X249,Feuil1!$C$1:$BL$10,5,FALSE)</f>
        <v>-11</v>
      </c>
      <c r="AF249" s="3">
        <f>T249-HLOOKUP(X249,Feuil1!$C$1:$BL$10,6,FALSE)</f>
        <v>-26</v>
      </c>
      <c r="AG249" s="3">
        <f>T249-HLOOKUP(X249,Feuil1!$C$1:$BL$10,7,FALSE)</f>
        <v>-41</v>
      </c>
      <c r="AH249" s="3">
        <f>T249-HLOOKUP(X249,Feuil1!$C$1:$BL$10,8,FALSE)</f>
        <v>-61</v>
      </c>
      <c r="AI249" s="3">
        <f>T249-HLOOKUP(X249,Feuil1!$C$1:$BL$10,9,FALSE)</f>
        <v>-81</v>
      </c>
      <c r="AJ249" s="3">
        <f>T249-HLOOKUP(X249,Feuil1!$C$1:$BL$10,10,FALSE)</f>
        <v>-96</v>
      </c>
      <c r="AK249" s="5"/>
      <c r="AL249" s="5"/>
      <c r="AM249" s="5"/>
      <c r="AN249" s="5"/>
      <c r="AO249" s="5"/>
      <c r="AP249" s="5"/>
      <c r="AQ249" s="5" t="str">
        <f t="shared" si="84"/>
        <v>REG +</v>
      </c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</row>
    <row r="250" spans="1:55" s="13" customFormat="1" ht="21" hidden="1" x14ac:dyDescent="0.2">
      <c r="A250" s="12" t="s">
        <v>69</v>
      </c>
      <c r="B250" s="18" t="s">
        <v>298</v>
      </c>
      <c r="C250" s="19" t="s">
        <v>299</v>
      </c>
      <c r="D250" s="61">
        <v>22</v>
      </c>
      <c r="E250" s="35">
        <v>381264</v>
      </c>
      <c r="F250" s="20" t="s">
        <v>386</v>
      </c>
      <c r="G250" s="20" t="s">
        <v>354</v>
      </c>
      <c r="H250" s="51">
        <v>1982</v>
      </c>
      <c r="I250" s="30">
        <v>63.9</v>
      </c>
      <c r="J250" s="19" t="s">
        <v>349</v>
      </c>
      <c r="K250" s="34" t="s">
        <v>69</v>
      </c>
      <c r="L250" s="31">
        <v>-40</v>
      </c>
      <c r="M250" s="31">
        <v>40</v>
      </c>
      <c r="N250" s="31">
        <v>45</v>
      </c>
      <c r="O250" s="36">
        <f t="shared" si="77"/>
        <v>45</v>
      </c>
      <c r="P250" s="31">
        <v>55</v>
      </c>
      <c r="Q250" s="31">
        <v>60</v>
      </c>
      <c r="R250" s="31">
        <v>62</v>
      </c>
      <c r="S250" s="36">
        <f t="shared" si="78"/>
        <v>62</v>
      </c>
      <c r="T250" s="37">
        <f t="shared" si="79"/>
        <v>107</v>
      </c>
      <c r="U250" s="65">
        <f t="shared" si="80"/>
        <v>-20.799999999999997</v>
      </c>
      <c r="V250" s="41" t="str">
        <f t="shared" si="81"/>
        <v>REG +</v>
      </c>
      <c r="W250" s="33">
        <f t="shared" si="82"/>
        <v>2</v>
      </c>
      <c r="X250" s="40" t="str">
        <f>IF(I250="","",IF(A250="H",IF(OR(H250="SEN",H250&lt;1995),VLOOKUP(I250,Feuil1!$A$11:$F$29,6),IF(AND(H250&gt;1994,H250&lt;1998),VLOOKUP(I250,Feuil1!$A$11:$F$29,5),IF(AND(H250&gt;1997,H250&lt;2000),VLOOKUP(I250,Feuil1!$A$11:$F$29,4),IF(AND(H250&gt;1999,H250&lt;2002),VLOOKUP(I250,Feuil1!$A$11:$F$29,3),VLOOKUP(I250,Feuil1!$A$11:$F$29,2))))),IF(OR(H250="SEN",H250&lt;1995),VLOOKUP(I250,Feuil1!$G$11:$L$25,6),IF(AND(H250&gt;1994,H250&lt;1998),VLOOKUP(I250,Feuil1!$G$11:$L$25,5),IF(AND(H250&gt;1997,H250&lt;2000),VLOOKUP(I250,Feuil1!$G$11:$L$25,4),IF(AND(H250&gt;1999,H250&lt;2002),VLOOKUP(I250,Feuil1!$G$11:$L$25,3),VLOOKUP(I250,Feuil1!$G$11:$L$25,2)))))))</f>
        <v>FS69</v>
      </c>
      <c r="Y250" s="39">
        <f t="shared" si="83"/>
        <v>140.86876067805494</v>
      </c>
      <c r="Z250" s="45"/>
      <c r="AA250" s="49" t="s">
        <v>12</v>
      </c>
      <c r="AB250" s="3">
        <f>T250-HLOOKUP(X250,Feuil1!$C$1:$BL$10,2,FALSE)</f>
        <v>27</v>
      </c>
      <c r="AC250" s="3">
        <f>T250-HLOOKUP(X250,Feuil1!$C$1:$BL$10,3,FALSE)</f>
        <v>17</v>
      </c>
      <c r="AD250" s="3">
        <f>T250-HLOOKUP(X250,Feuil1!$C$1:$BL$10,4,FALSE)</f>
        <v>2</v>
      </c>
      <c r="AE250" s="3">
        <f>T250-HLOOKUP(X250,Feuil1!$C$1:$BL$10,5,FALSE)</f>
        <v>-13</v>
      </c>
      <c r="AF250" s="3">
        <f>T250-HLOOKUP(X250,Feuil1!$C$1:$BL$10,6,FALSE)</f>
        <v>-28</v>
      </c>
      <c r="AG250" s="3">
        <f>T250-HLOOKUP(X250,Feuil1!$C$1:$BL$10,7,FALSE)</f>
        <v>-43</v>
      </c>
      <c r="AH250" s="3">
        <f>T250-HLOOKUP(X250,Feuil1!$C$1:$BL$10,8,FALSE)</f>
        <v>-63</v>
      </c>
      <c r="AI250" s="3">
        <f>T250-HLOOKUP(X250,Feuil1!$C$1:$BL$10,9,FALSE)</f>
        <v>-83</v>
      </c>
      <c r="AJ250" s="3">
        <f>T250-HLOOKUP(X250,Feuil1!$C$1:$BL$10,10,FALSE)</f>
        <v>-98</v>
      </c>
      <c r="AK250" s="5"/>
      <c r="AL250" s="5"/>
      <c r="AM250" s="5"/>
      <c r="AN250" s="5"/>
      <c r="AO250" s="5"/>
      <c r="AP250" s="5"/>
      <c r="AQ250" s="5" t="str">
        <f t="shared" si="84"/>
        <v>REG +</v>
      </c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</row>
    <row r="251" spans="1:55" s="13" customFormat="1" ht="21" hidden="1" x14ac:dyDescent="0.2">
      <c r="A251" s="12" t="s">
        <v>69</v>
      </c>
      <c r="B251" s="18" t="s">
        <v>298</v>
      </c>
      <c r="C251" s="19" t="s">
        <v>404</v>
      </c>
      <c r="D251" s="61">
        <v>23</v>
      </c>
      <c r="E251" s="35">
        <v>373854</v>
      </c>
      <c r="F251" s="20" t="s">
        <v>471</v>
      </c>
      <c r="G251" s="20" t="s">
        <v>472</v>
      </c>
      <c r="H251" s="51">
        <v>1986</v>
      </c>
      <c r="I251" s="30">
        <v>67.2</v>
      </c>
      <c r="J251" s="19" t="s">
        <v>467</v>
      </c>
      <c r="K251" s="34" t="s">
        <v>69</v>
      </c>
      <c r="L251" s="31">
        <v>44</v>
      </c>
      <c r="M251" s="31">
        <v>-48</v>
      </c>
      <c r="N251" s="31">
        <v>-48</v>
      </c>
      <c r="O251" s="36">
        <f t="shared" si="77"/>
        <v>44</v>
      </c>
      <c r="P251" s="31">
        <v>54</v>
      </c>
      <c r="Q251" s="31">
        <v>58</v>
      </c>
      <c r="R251" s="31">
        <v>62</v>
      </c>
      <c r="S251" s="36">
        <f t="shared" si="78"/>
        <v>62</v>
      </c>
      <c r="T251" s="37">
        <f t="shared" si="79"/>
        <v>106</v>
      </c>
      <c r="U251" s="65">
        <f t="shared" si="80"/>
        <v>-28.400000000000006</v>
      </c>
      <c r="V251" s="41" t="str">
        <f t="shared" si="81"/>
        <v>REG +</v>
      </c>
      <c r="W251" s="33">
        <f t="shared" si="82"/>
        <v>1</v>
      </c>
      <c r="X251" s="40" t="str">
        <f>IF(I251="","",IF(A251="H",IF(OR(H251="SEN",H251&lt;1995),VLOOKUP(I251,Feuil1!$A$11:$F$29,6),IF(AND(H251&gt;1994,H251&lt;1998),VLOOKUP(I251,Feuil1!$A$11:$F$29,5),IF(AND(H251&gt;1997,H251&lt;2000),VLOOKUP(I251,Feuil1!$A$11:$F$29,4),IF(AND(H251&gt;1999,H251&lt;2002),VLOOKUP(I251,Feuil1!$A$11:$F$29,3),VLOOKUP(I251,Feuil1!$A$11:$F$29,2))))),IF(OR(H251="SEN",H251&lt;1995),VLOOKUP(I251,Feuil1!$G$11:$L$25,6),IF(AND(H251&gt;1994,H251&lt;1998),VLOOKUP(I251,Feuil1!$G$11:$L$25,5),IF(AND(H251&gt;1997,H251&lt;2000),VLOOKUP(I251,Feuil1!$G$11:$L$25,4),IF(AND(H251&gt;1999,H251&lt;2002),VLOOKUP(I251,Feuil1!$G$11:$L$25,3),VLOOKUP(I251,Feuil1!$G$11:$L$25,2)))))))</f>
        <v>FS69</v>
      </c>
      <c r="Y251" s="39">
        <f t="shared" si="83"/>
        <v>135.16008243580777</v>
      </c>
      <c r="Z251" s="45"/>
      <c r="AA251" s="49" t="s">
        <v>12</v>
      </c>
      <c r="AB251" s="3">
        <f>T251-HLOOKUP(X251,Feuil1!$C$1:$BL$10,2,FALSE)</f>
        <v>26</v>
      </c>
      <c r="AC251" s="3">
        <f>T251-HLOOKUP(X251,Feuil1!$C$1:$BL$10,3,FALSE)</f>
        <v>16</v>
      </c>
      <c r="AD251" s="3">
        <f>T251-HLOOKUP(X251,Feuil1!$C$1:$BL$10,4,FALSE)</f>
        <v>1</v>
      </c>
      <c r="AE251" s="3">
        <f>T251-HLOOKUP(X251,Feuil1!$C$1:$BL$10,5,FALSE)</f>
        <v>-14</v>
      </c>
      <c r="AF251" s="3">
        <f>T251-HLOOKUP(X251,Feuil1!$C$1:$BL$10,6,FALSE)</f>
        <v>-29</v>
      </c>
      <c r="AG251" s="3">
        <f>T251-HLOOKUP(X251,Feuil1!$C$1:$BL$10,7,FALSE)</f>
        <v>-44</v>
      </c>
      <c r="AH251" s="3">
        <f>T251-HLOOKUP(X251,Feuil1!$C$1:$BL$10,8,FALSE)</f>
        <v>-64</v>
      </c>
      <c r="AI251" s="3">
        <f>T251-HLOOKUP(X251,Feuil1!$C$1:$BL$10,9,FALSE)</f>
        <v>-84</v>
      </c>
      <c r="AJ251" s="3">
        <f>T251-HLOOKUP(X251,Feuil1!$C$1:$BL$10,10,FALSE)</f>
        <v>-99</v>
      </c>
      <c r="AK251" s="5"/>
      <c r="AL251" s="5"/>
      <c r="AM251" s="5"/>
      <c r="AN251" s="5"/>
      <c r="AO251" s="5"/>
      <c r="AP251" s="5"/>
      <c r="AQ251" s="5" t="str">
        <f t="shared" si="84"/>
        <v>REG +</v>
      </c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</row>
    <row r="252" spans="1:55" s="13" customFormat="1" ht="21" hidden="1" x14ac:dyDescent="0.2">
      <c r="A252" s="12" t="s">
        <v>69</v>
      </c>
      <c r="B252" s="67" t="s">
        <v>298</v>
      </c>
      <c r="C252" s="68" t="s">
        <v>299</v>
      </c>
      <c r="D252" s="69">
        <v>24</v>
      </c>
      <c r="E252" s="70">
        <v>366519</v>
      </c>
      <c r="F252" s="71" t="s">
        <v>368</v>
      </c>
      <c r="G252" s="71" t="s">
        <v>269</v>
      </c>
      <c r="H252" s="72">
        <v>1986</v>
      </c>
      <c r="I252" s="73">
        <v>64.5</v>
      </c>
      <c r="J252" s="68" t="s">
        <v>302</v>
      </c>
      <c r="K252" s="74" t="s">
        <v>69</v>
      </c>
      <c r="L252" s="75">
        <v>35</v>
      </c>
      <c r="M252" s="75">
        <v>38</v>
      </c>
      <c r="N252" s="75">
        <v>-42</v>
      </c>
      <c r="O252" s="76">
        <f t="shared" si="77"/>
        <v>38</v>
      </c>
      <c r="P252" s="75">
        <v>52</v>
      </c>
      <c r="Q252" s="75">
        <v>55</v>
      </c>
      <c r="R252" s="75">
        <v>58</v>
      </c>
      <c r="S252" s="76">
        <f t="shared" si="78"/>
        <v>58</v>
      </c>
      <c r="T252" s="77">
        <f t="shared" si="79"/>
        <v>96</v>
      </c>
      <c r="U252" s="78">
        <f t="shared" si="80"/>
        <v>-33</v>
      </c>
      <c r="V252" s="79" t="str">
        <f t="shared" si="81"/>
        <v>DEP +</v>
      </c>
      <c r="W252" s="80">
        <f t="shared" si="82"/>
        <v>6</v>
      </c>
      <c r="X252" s="81" t="str">
        <f>IF(I252="","",IF(A252="H",IF(OR(H252="SEN",H252&lt;1995),VLOOKUP(I252,Feuil1!$A$11:$F$29,6),IF(AND(H252&gt;1994,H252&lt;1998),VLOOKUP(I252,Feuil1!$A$11:$F$29,5),IF(AND(H252&gt;1997,H252&lt;2000),VLOOKUP(I252,Feuil1!$A$11:$F$29,4),IF(AND(H252&gt;1999,H252&lt;2002),VLOOKUP(I252,Feuil1!$A$11:$F$29,3),VLOOKUP(I252,Feuil1!$A$11:$F$29,2))))),IF(OR(H252="SEN",H252&lt;1995),VLOOKUP(I252,Feuil1!$G$11:$L$25,6),IF(AND(H252&gt;1994,H252&lt;1998),VLOOKUP(I252,Feuil1!$G$11:$L$25,5),IF(AND(H252&gt;1997,H252&lt;2000),VLOOKUP(I252,Feuil1!$G$11:$L$25,4),IF(AND(H252&gt;1999,H252&lt;2002),VLOOKUP(I252,Feuil1!$G$11:$L$25,3),VLOOKUP(I252,Feuil1!$G$11:$L$25,2)))))))</f>
        <v>FS69</v>
      </c>
      <c r="Y252" s="39">
        <f t="shared" si="83"/>
        <v>125.62022436555441</v>
      </c>
      <c r="Z252" s="45"/>
      <c r="AA252" s="49" t="s">
        <v>12</v>
      </c>
      <c r="AB252" s="3">
        <f>T252-HLOOKUP(X252,Feuil1!$C$1:$BL$10,2,FALSE)</f>
        <v>16</v>
      </c>
      <c r="AC252" s="3">
        <f>T252-HLOOKUP(X252,Feuil1!$C$1:$BL$10,3,FALSE)</f>
        <v>6</v>
      </c>
      <c r="AD252" s="3">
        <f>T252-HLOOKUP(X252,Feuil1!$C$1:$BL$10,4,FALSE)</f>
        <v>-9</v>
      </c>
      <c r="AE252" s="3">
        <f>T252-HLOOKUP(X252,Feuil1!$C$1:$BL$10,5,FALSE)</f>
        <v>-24</v>
      </c>
      <c r="AF252" s="3">
        <f>T252-HLOOKUP(X252,Feuil1!$C$1:$BL$10,6,FALSE)</f>
        <v>-39</v>
      </c>
      <c r="AG252" s="3">
        <f>T252-HLOOKUP(X252,Feuil1!$C$1:$BL$10,7,FALSE)</f>
        <v>-54</v>
      </c>
      <c r="AH252" s="3">
        <f>T252-HLOOKUP(X252,Feuil1!$C$1:$BL$10,8,FALSE)</f>
        <v>-74</v>
      </c>
      <c r="AI252" s="3">
        <f>T252-HLOOKUP(X252,Feuil1!$C$1:$BL$10,9,FALSE)</f>
        <v>-94</v>
      </c>
      <c r="AJ252" s="3">
        <f>T252-HLOOKUP(X252,Feuil1!$C$1:$BL$10,10,FALSE)</f>
        <v>-109</v>
      </c>
      <c r="AK252" s="5"/>
      <c r="AL252" s="5"/>
      <c r="AM252" s="5"/>
      <c r="AN252" s="5"/>
      <c r="AO252" s="5"/>
      <c r="AP252" s="5"/>
      <c r="AQ252" s="5" t="str">
        <f t="shared" si="84"/>
        <v>DEP +</v>
      </c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</row>
    <row r="253" spans="1:55" s="13" customFormat="1" ht="21" hidden="1" x14ac:dyDescent="0.2">
      <c r="A253" s="12" t="s">
        <v>69</v>
      </c>
      <c r="B253" s="18" t="s">
        <v>298</v>
      </c>
      <c r="C253" s="19" t="s">
        <v>299</v>
      </c>
      <c r="D253" s="61">
        <v>25</v>
      </c>
      <c r="E253" s="35">
        <v>379284</v>
      </c>
      <c r="F253" s="20" t="s">
        <v>387</v>
      </c>
      <c r="G253" s="20" t="s">
        <v>367</v>
      </c>
      <c r="H253" s="51">
        <v>1980</v>
      </c>
      <c r="I253" s="30">
        <v>67</v>
      </c>
      <c r="J253" s="19" t="s">
        <v>315</v>
      </c>
      <c r="K253" s="34" t="s">
        <v>69</v>
      </c>
      <c r="L253" s="31">
        <v>40</v>
      </c>
      <c r="M253" s="31">
        <v>-46</v>
      </c>
      <c r="N253" s="31">
        <v>-46</v>
      </c>
      <c r="O253" s="36">
        <f t="shared" si="77"/>
        <v>40</v>
      </c>
      <c r="P253" s="31">
        <v>45</v>
      </c>
      <c r="Q253" s="31">
        <v>50</v>
      </c>
      <c r="R253" s="31">
        <v>55</v>
      </c>
      <c r="S253" s="36">
        <f t="shared" si="78"/>
        <v>55</v>
      </c>
      <c r="T253" s="37">
        <f t="shared" si="79"/>
        <v>95</v>
      </c>
      <c r="U253" s="65">
        <f t="shared" si="80"/>
        <v>-39</v>
      </c>
      <c r="V253" s="41" t="str">
        <f t="shared" si="81"/>
        <v>DEP +</v>
      </c>
      <c r="W253" s="33">
        <f t="shared" si="82"/>
        <v>5</v>
      </c>
      <c r="X253" s="40" t="str">
        <f>IF(I253="","",IF(A253="H",IF(OR(H253="SEN",H253&lt;1995),VLOOKUP(I253,Feuil1!$A$11:$F$29,6),IF(AND(H253&gt;1994,H253&lt;1998),VLOOKUP(I253,Feuil1!$A$11:$F$29,5),IF(AND(H253&gt;1997,H253&lt;2000),VLOOKUP(I253,Feuil1!$A$11:$F$29,4),IF(AND(H253&gt;1999,H253&lt;2002),VLOOKUP(I253,Feuil1!$A$11:$F$29,3),VLOOKUP(I253,Feuil1!$A$11:$F$29,2))))),IF(OR(H253="SEN",H253&lt;1995),VLOOKUP(I253,Feuil1!$G$11:$L$25,6),IF(AND(H253&gt;1994,H253&lt;1998),VLOOKUP(I253,Feuil1!$G$11:$L$25,5),IF(AND(H253&gt;1997,H253&lt;2000),VLOOKUP(I253,Feuil1!$G$11:$L$25,4),IF(AND(H253&gt;1999,H253&lt;2002),VLOOKUP(I253,Feuil1!$G$11:$L$25,3),VLOOKUP(I253,Feuil1!$G$11:$L$25,2)))))))</f>
        <v>FS69</v>
      </c>
      <c r="Y253" s="39">
        <f t="shared" si="83"/>
        <v>121.35687716863184</v>
      </c>
      <c r="Z253" s="45"/>
      <c r="AA253" s="49" t="s">
        <v>12</v>
      </c>
      <c r="AB253" s="3">
        <f>T253-HLOOKUP(X253,Feuil1!$C$1:$BL$10,2,FALSE)</f>
        <v>15</v>
      </c>
      <c r="AC253" s="3">
        <f>T253-HLOOKUP(X253,Feuil1!$C$1:$BL$10,3,FALSE)</f>
        <v>5</v>
      </c>
      <c r="AD253" s="3">
        <f>T253-HLOOKUP(X253,Feuil1!$C$1:$BL$10,4,FALSE)</f>
        <v>-10</v>
      </c>
      <c r="AE253" s="3">
        <f>T253-HLOOKUP(X253,Feuil1!$C$1:$BL$10,5,FALSE)</f>
        <v>-25</v>
      </c>
      <c r="AF253" s="3">
        <f>T253-HLOOKUP(X253,Feuil1!$C$1:$BL$10,6,FALSE)</f>
        <v>-40</v>
      </c>
      <c r="AG253" s="3">
        <f>T253-HLOOKUP(X253,Feuil1!$C$1:$BL$10,7,FALSE)</f>
        <v>-55</v>
      </c>
      <c r="AH253" s="3">
        <f>T253-HLOOKUP(X253,Feuil1!$C$1:$BL$10,8,FALSE)</f>
        <v>-75</v>
      </c>
      <c r="AI253" s="3">
        <f>T253-HLOOKUP(X253,Feuil1!$C$1:$BL$10,9,FALSE)</f>
        <v>-95</v>
      </c>
      <c r="AJ253" s="3">
        <f>T253-HLOOKUP(X253,Feuil1!$C$1:$BL$10,10,FALSE)</f>
        <v>-110</v>
      </c>
      <c r="AK253" s="5"/>
      <c r="AL253" s="5"/>
      <c r="AM253" s="5"/>
      <c r="AN253" s="5"/>
      <c r="AO253" s="5"/>
      <c r="AP253" s="5"/>
      <c r="AQ253" s="5" t="str">
        <f t="shared" si="84"/>
        <v>DEP +</v>
      </c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</row>
    <row r="254" spans="1:55" s="13" customFormat="1" ht="21" hidden="1" x14ac:dyDescent="0.2">
      <c r="A254" s="12" t="s">
        <v>69</v>
      </c>
      <c r="B254" s="18" t="s">
        <v>536</v>
      </c>
      <c r="C254" s="19" t="s">
        <v>545</v>
      </c>
      <c r="D254" s="61">
        <v>26</v>
      </c>
      <c r="E254" s="35">
        <v>342295</v>
      </c>
      <c r="F254" s="20" t="s">
        <v>594</v>
      </c>
      <c r="G254" s="20" t="s">
        <v>595</v>
      </c>
      <c r="H254" s="51">
        <v>1978</v>
      </c>
      <c r="I254" s="30">
        <v>68.400000000000006</v>
      </c>
      <c r="J254" s="19" t="s">
        <v>560</v>
      </c>
      <c r="K254" s="34" t="s">
        <v>69</v>
      </c>
      <c r="L254" s="31">
        <v>35</v>
      </c>
      <c r="M254" s="31">
        <v>38</v>
      </c>
      <c r="N254" s="31">
        <v>40</v>
      </c>
      <c r="O254" s="36">
        <f t="shared" si="77"/>
        <v>40</v>
      </c>
      <c r="P254" s="31">
        <v>48</v>
      </c>
      <c r="Q254" s="31">
        <v>51</v>
      </c>
      <c r="R254" s="31">
        <v>55</v>
      </c>
      <c r="S254" s="36">
        <f t="shared" si="78"/>
        <v>55</v>
      </c>
      <c r="T254" s="37">
        <f t="shared" si="79"/>
        <v>95</v>
      </c>
      <c r="U254" s="65">
        <f t="shared" si="80"/>
        <v>-41.800000000000011</v>
      </c>
      <c r="V254" s="41" t="str">
        <f t="shared" si="81"/>
        <v>DEP +</v>
      </c>
      <c r="W254" s="33">
        <f t="shared" si="82"/>
        <v>5</v>
      </c>
      <c r="X254" s="40" t="str">
        <f>IF(I254="","",IF(A254="H",IF(OR(H254="SEN",H254&lt;1995),VLOOKUP(I254,Feuil1!$A$11:$F$29,6),IF(AND(H254&gt;1994,H254&lt;1998),VLOOKUP(I254,Feuil1!$A$11:$F$29,5),IF(AND(H254&gt;1997,H254&lt;2000),VLOOKUP(I254,Feuil1!$A$11:$F$29,4),IF(AND(H254&gt;1999,H254&lt;2002),VLOOKUP(I254,Feuil1!$A$11:$F$29,3),VLOOKUP(I254,Feuil1!$A$11:$F$29,2))))),IF(OR(H254="SEN",H254&lt;1995),VLOOKUP(I254,Feuil1!$G$11:$L$25,6),IF(AND(H254&gt;1994,H254&lt;1998),VLOOKUP(I254,Feuil1!$G$11:$L$25,5),IF(AND(H254&gt;1997,H254&lt;2000),VLOOKUP(I254,Feuil1!$G$11:$L$25,4),IF(AND(H254&gt;1999,H254&lt;2002),VLOOKUP(I254,Feuil1!$G$11:$L$25,3),VLOOKUP(I254,Feuil1!$G$11:$L$25,2)))))))</f>
        <v>FS69</v>
      </c>
      <c r="Y254" s="39">
        <f t="shared" si="83"/>
        <v>119.83625615867206</v>
      </c>
      <c r="Z254" s="45"/>
      <c r="AA254" s="49" t="s">
        <v>12</v>
      </c>
      <c r="AB254" s="3">
        <f>T254-HLOOKUP(X254,Feuil1!$C$1:$BL$10,2,FALSE)</f>
        <v>15</v>
      </c>
      <c r="AC254" s="3">
        <f>T254-HLOOKUP(X254,Feuil1!$C$1:$BL$10,3,FALSE)</f>
        <v>5</v>
      </c>
      <c r="AD254" s="3">
        <f>T254-HLOOKUP(X254,Feuil1!$C$1:$BL$10,4,FALSE)</f>
        <v>-10</v>
      </c>
      <c r="AE254" s="3">
        <f>T254-HLOOKUP(X254,Feuil1!$C$1:$BL$10,5,FALSE)</f>
        <v>-25</v>
      </c>
      <c r="AF254" s="3">
        <f>T254-HLOOKUP(X254,Feuil1!$C$1:$BL$10,6,FALSE)</f>
        <v>-40</v>
      </c>
      <c r="AG254" s="3">
        <f>T254-HLOOKUP(X254,Feuil1!$C$1:$BL$10,7,FALSE)</f>
        <v>-55</v>
      </c>
      <c r="AH254" s="3">
        <f>T254-HLOOKUP(X254,Feuil1!$C$1:$BL$10,8,FALSE)</f>
        <v>-75</v>
      </c>
      <c r="AI254" s="3">
        <f>T254-HLOOKUP(X254,Feuil1!$C$1:$BL$10,9,FALSE)</f>
        <v>-95</v>
      </c>
      <c r="AJ254" s="3">
        <f>T254-HLOOKUP(X254,Feuil1!$C$1:$BL$10,10,FALSE)</f>
        <v>-110</v>
      </c>
      <c r="AK254" s="5"/>
      <c r="AL254" s="5"/>
      <c r="AM254" s="5"/>
      <c r="AN254" s="5"/>
      <c r="AO254" s="5"/>
      <c r="AP254" s="5"/>
      <c r="AQ254" s="5" t="str">
        <f t="shared" si="84"/>
        <v>DEP +</v>
      </c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</row>
    <row r="255" spans="1:55" s="13" customFormat="1" ht="21" hidden="1" x14ac:dyDescent="0.2">
      <c r="A255" s="12" t="s">
        <v>69</v>
      </c>
      <c r="B255" s="18" t="s">
        <v>721</v>
      </c>
      <c r="C255" s="19" t="s">
        <v>745</v>
      </c>
      <c r="D255" s="61">
        <v>27</v>
      </c>
      <c r="E255" s="35">
        <v>383833</v>
      </c>
      <c r="F255" s="20" t="s">
        <v>770</v>
      </c>
      <c r="G255" s="20" t="s">
        <v>771</v>
      </c>
      <c r="H255" s="51">
        <v>1992</v>
      </c>
      <c r="I255" s="30">
        <v>69</v>
      </c>
      <c r="J255" s="19" t="s">
        <v>750</v>
      </c>
      <c r="K255" s="34" t="s">
        <v>69</v>
      </c>
      <c r="L255" s="31">
        <v>39</v>
      </c>
      <c r="M255" s="31">
        <v>-42</v>
      </c>
      <c r="N255" s="31">
        <v>-42</v>
      </c>
      <c r="O255" s="36">
        <f t="shared" si="77"/>
        <v>39</v>
      </c>
      <c r="P255" s="31">
        <v>50</v>
      </c>
      <c r="Q255" s="31">
        <v>-55</v>
      </c>
      <c r="R255" s="31">
        <v>55</v>
      </c>
      <c r="S255" s="36">
        <f t="shared" si="78"/>
        <v>55</v>
      </c>
      <c r="T255" s="37">
        <f t="shared" si="79"/>
        <v>94</v>
      </c>
      <c r="U255" s="65">
        <f t="shared" si="80"/>
        <v>-44</v>
      </c>
      <c r="V255" s="41" t="str">
        <f t="shared" si="81"/>
        <v>DEP +</v>
      </c>
      <c r="W255" s="33">
        <f t="shared" si="82"/>
        <v>4</v>
      </c>
      <c r="X255" s="40" t="str">
        <f>IF(I255="","",IF(A255="H",IF(OR(H255="SEN",H255&lt;1995),VLOOKUP(I255,Feuil1!$A$11:$F$29,6),IF(AND(H255&gt;1994,H255&lt;1998),VLOOKUP(I255,Feuil1!$A$11:$F$29,5),IF(AND(H255&gt;1997,H255&lt;2000),VLOOKUP(I255,Feuil1!$A$11:$F$29,4),IF(AND(H255&gt;1999,H255&lt;2002),VLOOKUP(I255,Feuil1!$A$11:$F$29,3),VLOOKUP(I255,Feuil1!$A$11:$F$29,2))))),IF(OR(H255="SEN",H255&lt;1995),VLOOKUP(I255,Feuil1!$G$11:$L$25,6),IF(AND(H255&gt;1994,H255&lt;1998),VLOOKUP(I255,Feuil1!$G$11:$L$25,5),IF(AND(H255&gt;1997,H255&lt;2000),VLOOKUP(I255,Feuil1!$G$11:$L$25,4),IF(AND(H255&gt;1999,H255&lt;2002),VLOOKUP(I255,Feuil1!$G$11:$L$25,3),VLOOKUP(I255,Feuil1!$G$11:$L$25,2)))))))</f>
        <v>FS69</v>
      </c>
      <c r="Y255" s="39">
        <f t="shared" si="83"/>
        <v>117.95687537041618</v>
      </c>
      <c r="Z255" s="45"/>
      <c r="AA255" s="49" t="s">
        <v>12</v>
      </c>
      <c r="AB255" s="3">
        <f>T255-HLOOKUP(X255,Feuil1!$C$1:$BL$10,2,FALSE)</f>
        <v>14</v>
      </c>
      <c r="AC255" s="3">
        <f>T255-HLOOKUP(X255,Feuil1!$C$1:$BL$10,3,FALSE)</f>
        <v>4</v>
      </c>
      <c r="AD255" s="3">
        <f>T255-HLOOKUP(X255,Feuil1!$C$1:$BL$10,4,FALSE)</f>
        <v>-11</v>
      </c>
      <c r="AE255" s="3">
        <f>T255-HLOOKUP(X255,Feuil1!$C$1:$BL$10,5,FALSE)</f>
        <v>-26</v>
      </c>
      <c r="AF255" s="3">
        <f>T255-HLOOKUP(X255,Feuil1!$C$1:$BL$10,6,FALSE)</f>
        <v>-41</v>
      </c>
      <c r="AG255" s="3">
        <f>T255-HLOOKUP(X255,Feuil1!$C$1:$BL$10,7,FALSE)</f>
        <v>-56</v>
      </c>
      <c r="AH255" s="3">
        <f>T255-HLOOKUP(X255,Feuil1!$C$1:$BL$10,8,FALSE)</f>
        <v>-76</v>
      </c>
      <c r="AI255" s="3">
        <f>T255-HLOOKUP(X255,Feuil1!$C$1:$BL$10,9,FALSE)</f>
        <v>-96</v>
      </c>
      <c r="AJ255" s="3">
        <f>T255-HLOOKUP(X255,Feuil1!$C$1:$BL$10,10,FALSE)</f>
        <v>-111</v>
      </c>
      <c r="AK255" s="5"/>
      <c r="AL255" s="5"/>
      <c r="AM255" s="5"/>
      <c r="AN255" s="5"/>
      <c r="AO255" s="5"/>
      <c r="AP255" s="5"/>
      <c r="AQ255" s="5" t="str">
        <f t="shared" si="84"/>
        <v>DEP +</v>
      </c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</row>
    <row r="256" spans="1:55" s="13" customFormat="1" ht="21" hidden="1" x14ac:dyDescent="0.2">
      <c r="A256" s="12" t="s">
        <v>69</v>
      </c>
      <c r="B256" s="67" t="s">
        <v>108</v>
      </c>
      <c r="C256" s="68" t="s">
        <v>119</v>
      </c>
      <c r="D256" s="69">
        <v>28</v>
      </c>
      <c r="E256" s="70">
        <v>134532</v>
      </c>
      <c r="F256" s="71" t="s">
        <v>213</v>
      </c>
      <c r="G256" s="71" t="s">
        <v>214</v>
      </c>
      <c r="H256" s="72">
        <v>1957</v>
      </c>
      <c r="I256" s="73">
        <v>63.6</v>
      </c>
      <c r="J256" s="68" t="s">
        <v>173</v>
      </c>
      <c r="K256" s="74" t="s">
        <v>69</v>
      </c>
      <c r="L256" s="75">
        <v>35</v>
      </c>
      <c r="M256" s="75">
        <v>-39</v>
      </c>
      <c r="N256" s="75">
        <v>39</v>
      </c>
      <c r="O256" s="76">
        <f t="shared" si="77"/>
        <v>39</v>
      </c>
      <c r="P256" s="75">
        <v>49</v>
      </c>
      <c r="Q256" s="75">
        <v>52</v>
      </c>
      <c r="R256" s="75">
        <v>54</v>
      </c>
      <c r="S256" s="76">
        <f t="shared" si="78"/>
        <v>54</v>
      </c>
      <c r="T256" s="77">
        <f t="shared" si="79"/>
        <v>93</v>
      </c>
      <c r="U256" s="78">
        <f t="shared" si="80"/>
        <v>-34.200000000000003</v>
      </c>
      <c r="V256" s="79" t="str">
        <f t="shared" si="81"/>
        <v>DEP +</v>
      </c>
      <c r="W256" s="80">
        <f t="shared" si="82"/>
        <v>3</v>
      </c>
      <c r="X256" s="81" t="str">
        <f>IF(I256="","",IF(A256="H",IF(OR(H256="SEN",H256&lt;1995),VLOOKUP(I256,Feuil1!$A$11:$F$29,6),IF(AND(H256&gt;1994,H256&lt;1998),VLOOKUP(I256,Feuil1!$A$11:$F$29,5),IF(AND(H256&gt;1997,H256&lt;2000),VLOOKUP(I256,Feuil1!$A$11:$F$29,4),IF(AND(H256&gt;1999,H256&lt;2002),VLOOKUP(I256,Feuil1!$A$11:$F$29,3),VLOOKUP(I256,Feuil1!$A$11:$F$29,2))))),IF(OR(H256="SEN",H256&lt;1995),VLOOKUP(I256,Feuil1!$G$11:$L$25,6),IF(AND(H256&gt;1994,H256&lt;1998),VLOOKUP(I256,Feuil1!$G$11:$L$25,5),IF(AND(H256&gt;1997,H256&lt;2000),VLOOKUP(I256,Feuil1!$G$11:$L$25,4),IF(AND(H256&gt;1999,H256&lt;2002),VLOOKUP(I256,Feuil1!$G$11:$L$25,3),VLOOKUP(I256,Feuil1!$G$11:$L$25,2)))))))</f>
        <v>FS69</v>
      </c>
      <c r="Y256" s="39">
        <f t="shared" si="83"/>
        <v>122.81620318519209</v>
      </c>
      <c r="Z256" s="45"/>
      <c r="AA256" s="49" t="s">
        <v>12</v>
      </c>
      <c r="AB256" s="3">
        <f>T256-HLOOKUP(X256,Feuil1!$C$1:$BL$10,2,FALSE)</f>
        <v>13</v>
      </c>
      <c r="AC256" s="3">
        <f>T256-HLOOKUP(X256,Feuil1!$C$1:$BL$10,3,FALSE)</f>
        <v>3</v>
      </c>
      <c r="AD256" s="3">
        <f>T256-HLOOKUP(X256,Feuil1!$C$1:$BL$10,4,FALSE)</f>
        <v>-12</v>
      </c>
      <c r="AE256" s="3">
        <f>T256-HLOOKUP(X256,Feuil1!$C$1:$BL$10,5,FALSE)</f>
        <v>-27</v>
      </c>
      <c r="AF256" s="3">
        <f>T256-HLOOKUP(X256,Feuil1!$C$1:$BL$10,6,FALSE)</f>
        <v>-42</v>
      </c>
      <c r="AG256" s="3">
        <f>T256-HLOOKUP(X256,Feuil1!$C$1:$BL$10,7,FALSE)</f>
        <v>-57</v>
      </c>
      <c r="AH256" s="3">
        <f>T256-HLOOKUP(X256,Feuil1!$C$1:$BL$10,8,FALSE)</f>
        <v>-77</v>
      </c>
      <c r="AI256" s="3">
        <f>T256-HLOOKUP(X256,Feuil1!$C$1:$BL$10,9,FALSE)</f>
        <v>-97</v>
      </c>
      <c r="AJ256" s="3">
        <f>T256-HLOOKUP(X256,Feuil1!$C$1:$BL$10,10,FALSE)</f>
        <v>-112</v>
      </c>
      <c r="AK256" s="5"/>
      <c r="AL256" s="5"/>
      <c r="AM256" s="5"/>
      <c r="AN256" s="5"/>
      <c r="AO256" s="5"/>
      <c r="AP256" s="5"/>
      <c r="AQ256" s="5" t="str">
        <f t="shared" si="84"/>
        <v>DEP +</v>
      </c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</row>
    <row r="257" spans="1:55" s="13" customFormat="1" ht="21" hidden="1" x14ac:dyDescent="0.2">
      <c r="A257" s="12" t="s">
        <v>69</v>
      </c>
      <c r="B257" s="67" t="s">
        <v>108</v>
      </c>
      <c r="C257" s="68" t="s">
        <v>119</v>
      </c>
      <c r="D257" s="69">
        <v>29</v>
      </c>
      <c r="E257" s="70">
        <v>364658</v>
      </c>
      <c r="F257" s="71" t="s">
        <v>211</v>
      </c>
      <c r="G257" s="71" t="s">
        <v>212</v>
      </c>
      <c r="H257" s="72">
        <v>1985</v>
      </c>
      <c r="I257" s="73">
        <v>63.55</v>
      </c>
      <c r="J257" s="68" t="s">
        <v>122</v>
      </c>
      <c r="K257" s="74" t="s">
        <v>69</v>
      </c>
      <c r="L257" s="75">
        <v>34</v>
      </c>
      <c r="M257" s="75">
        <v>37</v>
      </c>
      <c r="N257" s="75">
        <v>39</v>
      </c>
      <c r="O257" s="76">
        <f t="shared" si="77"/>
        <v>39</v>
      </c>
      <c r="P257" s="75">
        <v>47</v>
      </c>
      <c r="Q257" s="75">
        <v>-49</v>
      </c>
      <c r="R257" s="75">
        <v>51</v>
      </c>
      <c r="S257" s="76">
        <f t="shared" si="78"/>
        <v>51</v>
      </c>
      <c r="T257" s="77">
        <f t="shared" si="79"/>
        <v>90</v>
      </c>
      <c r="U257" s="78">
        <f t="shared" si="80"/>
        <v>-37.099999999999994</v>
      </c>
      <c r="V257" s="79" t="str">
        <f t="shared" si="81"/>
        <v>DEP +</v>
      </c>
      <c r="W257" s="80">
        <f t="shared" si="82"/>
        <v>0</v>
      </c>
      <c r="X257" s="81" t="str">
        <f>IF(I257="","",IF(A257="H",IF(OR(H257="SEN",H257&lt;1995),VLOOKUP(I257,Feuil1!$A$11:$F$29,6),IF(AND(H257&gt;1994,H257&lt;1998),VLOOKUP(I257,Feuil1!$A$11:$F$29,5),IF(AND(H257&gt;1997,H257&lt;2000),VLOOKUP(I257,Feuil1!$A$11:$F$29,4),IF(AND(H257&gt;1999,H257&lt;2002),VLOOKUP(I257,Feuil1!$A$11:$F$29,3),VLOOKUP(I257,Feuil1!$A$11:$F$29,2))))),IF(OR(H257="SEN",H257&lt;1995),VLOOKUP(I257,Feuil1!$G$11:$L$25,6),IF(AND(H257&gt;1994,H257&lt;1998),VLOOKUP(I257,Feuil1!$G$11:$L$25,5),IF(AND(H257&gt;1997,H257&lt;2000),VLOOKUP(I257,Feuil1!$G$11:$L$25,4),IF(AND(H257&gt;1999,H257&lt;2002),VLOOKUP(I257,Feuil1!$G$11:$L$25,3),VLOOKUP(I257,Feuil1!$G$11:$L$25,2)))))))</f>
        <v>FS69</v>
      </c>
      <c r="Y257" s="39">
        <f t="shared" si="83"/>
        <v>118.91597692324326</v>
      </c>
      <c r="Z257" s="45"/>
      <c r="AA257" s="49" t="s">
        <v>12</v>
      </c>
      <c r="AB257" s="3">
        <f>T257-HLOOKUP(X257,Feuil1!$C$1:$BL$10,2,FALSE)</f>
        <v>10</v>
      </c>
      <c r="AC257" s="3">
        <f>T257-HLOOKUP(X257,Feuil1!$C$1:$BL$10,3,FALSE)</f>
        <v>0</v>
      </c>
      <c r="AD257" s="3">
        <f>T257-HLOOKUP(X257,Feuil1!$C$1:$BL$10,4,FALSE)</f>
        <v>-15</v>
      </c>
      <c r="AE257" s="3">
        <f>T257-HLOOKUP(X257,Feuil1!$C$1:$BL$10,5,FALSE)</f>
        <v>-30</v>
      </c>
      <c r="AF257" s="3">
        <f>T257-HLOOKUP(X257,Feuil1!$C$1:$BL$10,6,FALSE)</f>
        <v>-45</v>
      </c>
      <c r="AG257" s="3">
        <f>T257-HLOOKUP(X257,Feuil1!$C$1:$BL$10,7,FALSE)</f>
        <v>-60</v>
      </c>
      <c r="AH257" s="3">
        <f>T257-HLOOKUP(X257,Feuil1!$C$1:$BL$10,8,FALSE)</f>
        <v>-80</v>
      </c>
      <c r="AI257" s="3">
        <f>T257-HLOOKUP(X257,Feuil1!$C$1:$BL$10,9,FALSE)</f>
        <v>-100</v>
      </c>
      <c r="AJ257" s="3">
        <f>T257-HLOOKUP(X257,Feuil1!$C$1:$BL$10,10,FALSE)</f>
        <v>-115</v>
      </c>
      <c r="AK257" s="5"/>
      <c r="AL257" s="5"/>
      <c r="AM257" s="5"/>
      <c r="AN257" s="5"/>
      <c r="AO257" s="5"/>
      <c r="AP257" s="5"/>
      <c r="AQ257" s="5" t="str">
        <f t="shared" si="84"/>
        <v>DEP +</v>
      </c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</row>
    <row r="258" spans="1:55" s="13" customFormat="1" ht="21" hidden="1" x14ac:dyDescent="0.2">
      <c r="A258" s="12" t="s">
        <v>69</v>
      </c>
      <c r="B258" s="18" t="s">
        <v>536</v>
      </c>
      <c r="C258" s="19" t="s">
        <v>545</v>
      </c>
      <c r="D258" s="61">
        <v>30</v>
      </c>
      <c r="E258" s="35">
        <v>222167</v>
      </c>
      <c r="F258" s="20" t="s">
        <v>596</v>
      </c>
      <c r="G258" s="20" t="s">
        <v>597</v>
      </c>
      <c r="H258" s="51">
        <v>1982</v>
      </c>
      <c r="I258" s="30">
        <v>63.8</v>
      </c>
      <c r="J258" s="19" t="s">
        <v>557</v>
      </c>
      <c r="K258" s="34" t="s">
        <v>69</v>
      </c>
      <c r="L258" s="31">
        <v>34</v>
      </c>
      <c r="M258" s="31">
        <v>37</v>
      </c>
      <c r="N258" s="31">
        <v>40</v>
      </c>
      <c r="O258" s="36">
        <f t="shared" si="77"/>
        <v>40</v>
      </c>
      <c r="P258" s="31">
        <v>42</v>
      </c>
      <c r="Q258" s="31">
        <v>46</v>
      </c>
      <c r="R258" s="31">
        <v>50</v>
      </c>
      <c r="S258" s="36">
        <f t="shared" si="78"/>
        <v>50</v>
      </c>
      <c r="T258" s="37">
        <f t="shared" si="79"/>
        <v>90</v>
      </c>
      <c r="U258" s="65">
        <f t="shared" si="80"/>
        <v>-37.599999999999994</v>
      </c>
      <c r="V258" s="41" t="str">
        <f t="shared" si="81"/>
        <v>DEP +</v>
      </c>
      <c r="W258" s="33">
        <f t="shared" si="82"/>
        <v>0</v>
      </c>
      <c r="X258" s="40" t="str">
        <f>IF(I258="","",IF(A258="H",IF(OR(H258="SEN",H258&lt;1995),VLOOKUP(I258,Feuil1!$A$11:$F$29,6),IF(AND(H258&gt;1994,H258&lt;1998),VLOOKUP(I258,Feuil1!$A$11:$F$29,5),IF(AND(H258&gt;1997,H258&lt;2000),VLOOKUP(I258,Feuil1!$A$11:$F$29,4),IF(AND(H258&gt;1999,H258&lt;2002),VLOOKUP(I258,Feuil1!$A$11:$F$29,3),VLOOKUP(I258,Feuil1!$A$11:$F$29,2))))),IF(OR(H258="SEN",H258&lt;1995),VLOOKUP(I258,Feuil1!$G$11:$L$25,6),IF(AND(H258&gt;1994,H258&lt;1998),VLOOKUP(I258,Feuil1!$G$11:$L$25,5),IF(AND(H258&gt;1997,H258&lt;2000),VLOOKUP(I258,Feuil1!$G$11:$L$25,4),IF(AND(H258&gt;1999,H258&lt;2002),VLOOKUP(I258,Feuil1!$G$11:$L$25,3),VLOOKUP(I258,Feuil1!$G$11:$L$25,2)))))))</f>
        <v>FS69</v>
      </c>
      <c r="Y258" s="39">
        <f t="shared" si="83"/>
        <v>118.60941384456594</v>
      </c>
      <c r="Z258" s="45"/>
      <c r="AA258" s="49" t="s">
        <v>12</v>
      </c>
      <c r="AB258" s="3">
        <f>T258-HLOOKUP(X258,Feuil1!$C$1:$BL$10,2,FALSE)</f>
        <v>10</v>
      </c>
      <c r="AC258" s="3">
        <f>T258-HLOOKUP(X258,Feuil1!$C$1:$BL$10,3,FALSE)</f>
        <v>0</v>
      </c>
      <c r="AD258" s="3">
        <f>T258-HLOOKUP(X258,Feuil1!$C$1:$BL$10,4,FALSE)</f>
        <v>-15</v>
      </c>
      <c r="AE258" s="3">
        <f>T258-HLOOKUP(X258,Feuil1!$C$1:$BL$10,5,FALSE)</f>
        <v>-30</v>
      </c>
      <c r="AF258" s="3">
        <f>T258-HLOOKUP(X258,Feuil1!$C$1:$BL$10,6,FALSE)</f>
        <v>-45</v>
      </c>
      <c r="AG258" s="3">
        <f>T258-HLOOKUP(X258,Feuil1!$C$1:$BL$10,7,FALSE)</f>
        <v>-60</v>
      </c>
      <c r="AH258" s="3">
        <f>T258-HLOOKUP(X258,Feuil1!$C$1:$BL$10,8,FALSE)</f>
        <v>-80</v>
      </c>
      <c r="AI258" s="3">
        <f>T258-HLOOKUP(X258,Feuil1!$C$1:$BL$10,9,FALSE)</f>
        <v>-100</v>
      </c>
      <c r="AJ258" s="3">
        <f>T258-HLOOKUP(X258,Feuil1!$C$1:$BL$10,10,FALSE)</f>
        <v>-115</v>
      </c>
      <c r="AK258" s="5"/>
      <c r="AL258" s="5"/>
      <c r="AM258" s="5"/>
      <c r="AN258" s="5"/>
      <c r="AO258" s="5"/>
      <c r="AP258" s="5"/>
      <c r="AQ258" s="5" t="str">
        <f t="shared" si="84"/>
        <v>DEP +</v>
      </c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</row>
    <row r="259" spans="1:55" s="13" customFormat="1" ht="21" hidden="1" x14ac:dyDescent="0.2">
      <c r="A259" s="12" t="s">
        <v>69</v>
      </c>
      <c r="B259" s="67" t="s">
        <v>298</v>
      </c>
      <c r="C259" s="68" t="s">
        <v>299</v>
      </c>
      <c r="D259" s="69">
        <v>31</v>
      </c>
      <c r="E259" s="70">
        <v>256340</v>
      </c>
      <c r="F259" s="71" t="s">
        <v>370</v>
      </c>
      <c r="G259" s="71" t="s">
        <v>172</v>
      </c>
      <c r="H259" s="72">
        <v>1973</v>
      </c>
      <c r="I259" s="73">
        <v>64</v>
      </c>
      <c r="J259" s="68" t="s">
        <v>309</v>
      </c>
      <c r="K259" s="74" t="s">
        <v>69</v>
      </c>
      <c r="L259" s="75">
        <v>30</v>
      </c>
      <c r="M259" s="75">
        <v>35</v>
      </c>
      <c r="N259" s="75">
        <v>-40</v>
      </c>
      <c r="O259" s="76">
        <f t="shared" si="77"/>
        <v>35</v>
      </c>
      <c r="P259" s="75">
        <v>50</v>
      </c>
      <c r="Q259" s="75">
        <v>55</v>
      </c>
      <c r="R259" s="75">
        <v>-58</v>
      </c>
      <c r="S259" s="76">
        <f t="shared" si="78"/>
        <v>55</v>
      </c>
      <c r="T259" s="77">
        <f t="shared" si="79"/>
        <v>90</v>
      </c>
      <c r="U259" s="78">
        <f t="shared" si="80"/>
        <v>-38</v>
      </c>
      <c r="V259" s="79" t="str">
        <f t="shared" si="81"/>
        <v>DEP +</v>
      </c>
      <c r="W259" s="80">
        <f t="shared" si="82"/>
        <v>0</v>
      </c>
      <c r="X259" s="81" t="str">
        <f>IF(I259="","",IF(A259="H",IF(OR(H259="SEN",H259&lt;1995),VLOOKUP(I259,Feuil1!$A$11:$F$29,6),IF(AND(H259&gt;1994,H259&lt;1998),VLOOKUP(I259,Feuil1!$A$11:$F$29,5),IF(AND(H259&gt;1997,H259&lt;2000),VLOOKUP(I259,Feuil1!$A$11:$F$29,4),IF(AND(H259&gt;1999,H259&lt;2002),VLOOKUP(I259,Feuil1!$A$11:$F$29,3),VLOOKUP(I259,Feuil1!$A$11:$F$29,2))))),IF(OR(H259="SEN",H259&lt;1995),VLOOKUP(I259,Feuil1!$G$11:$L$25,6),IF(AND(H259&gt;1994,H259&lt;1998),VLOOKUP(I259,Feuil1!$G$11:$L$25,5),IF(AND(H259&gt;1997,H259&lt;2000),VLOOKUP(I259,Feuil1!$G$11:$L$25,4),IF(AND(H259&gt;1999,H259&lt;2002),VLOOKUP(I259,Feuil1!$G$11:$L$25,3),VLOOKUP(I259,Feuil1!$G$11:$L$25,2)))))))</f>
        <v>FS69</v>
      </c>
      <c r="Y259" s="39">
        <f t="shared" si="83"/>
        <v>118.36661193414432</v>
      </c>
      <c r="Z259" s="45"/>
      <c r="AA259" s="49" t="s">
        <v>12</v>
      </c>
      <c r="AB259" s="3">
        <f>T259-HLOOKUP(X259,Feuil1!$C$1:$BL$10,2,FALSE)</f>
        <v>10</v>
      </c>
      <c r="AC259" s="3">
        <f>T259-HLOOKUP(X259,Feuil1!$C$1:$BL$10,3,FALSE)</f>
        <v>0</v>
      </c>
      <c r="AD259" s="3">
        <f>T259-HLOOKUP(X259,Feuil1!$C$1:$BL$10,4,FALSE)</f>
        <v>-15</v>
      </c>
      <c r="AE259" s="3">
        <f>T259-HLOOKUP(X259,Feuil1!$C$1:$BL$10,5,FALSE)</f>
        <v>-30</v>
      </c>
      <c r="AF259" s="3">
        <f>T259-HLOOKUP(X259,Feuil1!$C$1:$BL$10,6,FALSE)</f>
        <v>-45</v>
      </c>
      <c r="AG259" s="3">
        <f>T259-HLOOKUP(X259,Feuil1!$C$1:$BL$10,7,FALSE)</f>
        <v>-60</v>
      </c>
      <c r="AH259" s="3">
        <f>T259-HLOOKUP(X259,Feuil1!$C$1:$BL$10,8,FALSE)</f>
        <v>-80</v>
      </c>
      <c r="AI259" s="3">
        <f>T259-HLOOKUP(X259,Feuil1!$C$1:$BL$10,9,FALSE)</f>
        <v>-100</v>
      </c>
      <c r="AJ259" s="3">
        <f>T259-HLOOKUP(X259,Feuil1!$C$1:$BL$10,10,FALSE)</f>
        <v>-115</v>
      </c>
      <c r="AK259" s="5"/>
      <c r="AL259" s="5"/>
      <c r="AM259" s="5"/>
      <c r="AN259" s="5"/>
      <c r="AO259" s="5"/>
      <c r="AP259" s="5"/>
      <c r="AQ259" s="5" t="str">
        <f t="shared" si="84"/>
        <v>DEP +</v>
      </c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</row>
    <row r="260" spans="1:55" s="13" customFormat="1" ht="21" hidden="1" x14ac:dyDescent="0.2">
      <c r="A260" s="12" t="s">
        <v>69</v>
      </c>
      <c r="B260" s="18" t="s">
        <v>298</v>
      </c>
      <c r="C260" s="19" t="s">
        <v>299</v>
      </c>
      <c r="D260" s="61">
        <v>32</v>
      </c>
      <c r="E260" s="35">
        <v>389607</v>
      </c>
      <c r="F260" s="20" t="s">
        <v>388</v>
      </c>
      <c r="G260" s="20" t="s">
        <v>389</v>
      </c>
      <c r="H260" s="51">
        <v>1990</v>
      </c>
      <c r="I260" s="30">
        <v>64.3</v>
      </c>
      <c r="J260" s="19" t="s">
        <v>349</v>
      </c>
      <c r="K260" s="34" t="s">
        <v>69</v>
      </c>
      <c r="L260" s="31">
        <v>35</v>
      </c>
      <c r="M260" s="31">
        <v>40</v>
      </c>
      <c r="N260" s="31">
        <v>-43</v>
      </c>
      <c r="O260" s="36">
        <f t="shared" si="77"/>
        <v>40</v>
      </c>
      <c r="P260" s="31">
        <v>46</v>
      </c>
      <c r="Q260" s="31">
        <v>50</v>
      </c>
      <c r="R260" s="31">
        <v>-55</v>
      </c>
      <c r="S260" s="36">
        <f t="shared" si="78"/>
        <v>50</v>
      </c>
      <c r="T260" s="37">
        <f t="shared" si="79"/>
        <v>90</v>
      </c>
      <c r="U260" s="65">
        <f t="shared" si="80"/>
        <v>-38.599999999999994</v>
      </c>
      <c r="V260" s="41" t="str">
        <f t="shared" si="81"/>
        <v>DEP +</v>
      </c>
      <c r="W260" s="33">
        <f t="shared" si="82"/>
        <v>0</v>
      </c>
      <c r="X260" s="40" t="str">
        <f>IF(I260="","",IF(A260="H",IF(OR(H260="SEN",H260&lt;1995),VLOOKUP(I260,Feuil1!$A$11:$F$29,6),IF(AND(H260&gt;1994,H260&lt;1998),VLOOKUP(I260,Feuil1!$A$11:$F$29,5),IF(AND(H260&gt;1997,H260&lt;2000),VLOOKUP(I260,Feuil1!$A$11:$F$29,4),IF(AND(H260&gt;1999,H260&lt;2002),VLOOKUP(I260,Feuil1!$A$11:$F$29,3),VLOOKUP(I260,Feuil1!$A$11:$F$29,2))))),IF(OR(H260="SEN",H260&lt;1995),VLOOKUP(I260,Feuil1!$G$11:$L$25,6),IF(AND(H260&gt;1994,H260&lt;1998),VLOOKUP(I260,Feuil1!$G$11:$L$25,5),IF(AND(H260&gt;1997,H260&lt;2000),VLOOKUP(I260,Feuil1!$G$11:$L$25,4),IF(AND(H260&gt;1999,H260&lt;2002),VLOOKUP(I260,Feuil1!$G$11:$L$25,3),VLOOKUP(I260,Feuil1!$G$11:$L$25,2)))))))</f>
        <v>FS69</v>
      </c>
      <c r="Y260" s="39">
        <f t="shared" si="83"/>
        <v>118.00643260975927</v>
      </c>
      <c r="Z260" s="45"/>
      <c r="AA260" s="49" t="s">
        <v>12</v>
      </c>
      <c r="AB260" s="3">
        <f>T260-HLOOKUP(X260,Feuil1!$C$1:$BL$10,2,FALSE)</f>
        <v>10</v>
      </c>
      <c r="AC260" s="3">
        <f>T260-HLOOKUP(X260,Feuil1!$C$1:$BL$10,3,FALSE)</f>
        <v>0</v>
      </c>
      <c r="AD260" s="3">
        <f>T260-HLOOKUP(X260,Feuil1!$C$1:$BL$10,4,FALSE)</f>
        <v>-15</v>
      </c>
      <c r="AE260" s="3">
        <f>T260-HLOOKUP(X260,Feuil1!$C$1:$BL$10,5,FALSE)</f>
        <v>-30</v>
      </c>
      <c r="AF260" s="3">
        <f>T260-HLOOKUP(X260,Feuil1!$C$1:$BL$10,6,FALSE)</f>
        <v>-45</v>
      </c>
      <c r="AG260" s="3">
        <f>T260-HLOOKUP(X260,Feuil1!$C$1:$BL$10,7,FALSE)</f>
        <v>-60</v>
      </c>
      <c r="AH260" s="3">
        <f>T260-HLOOKUP(X260,Feuil1!$C$1:$BL$10,8,FALSE)</f>
        <v>-80</v>
      </c>
      <c r="AI260" s="3">
        <f>T260-HLOOKUP(X260,Feuil1!$C$1:$BL$10,9,FALSE)</f>
        <v>-100</v>
      </c>
      <c r="AJ260" s="3">
        <f>T260-HLOOKUP(X260,Feuil1!$C$1:$BL$10,10,FALSE)</f>
        <v>-115</v>
      </c>
      <c r="AK260" s="5"/>
      <c r="AL260" s="5"/>
      <c r="AM260" s="5"/>
      <c r="AN260" s="5"/>
      <c r="AO260" s="5"/>
      <c r="AP260" s="5"/>
      <c r="AQ260" s="5" t="str">
        <f t="shared" si="84"/>
        <v>DEP +</v>
      </c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</row>
    <row r="261" spans="1:55" s="13" customFormat="1" ht="21" hidden="1" x14ac:dyDescent="0.2">
      <c r="A261" s="12" t="s">
        <v>69</v>
      </c>
      <c r="B261" s="18" t="s">
        <v>71</v>
      </c>
      <c r="C261" s="19" t="s">
        <v>883</v>
      </c>
      <c r="D261" s="61">
        <v>33</v>
      </c>
      <c r="E261" s="35">
        <v>359600</v>
      </c>
      <c r="F261" s="20" t="s">
        <v>916</v>
      </c>
      <c r="G261" s="20" t="s">
        <v>314</v>
      </c>
      <c r="H261" s="51">
        <v>1969</v>
      </c>
      <c r="I261" s="30">
        <v>65.3</v>
      </c>
      <c r="J261" s="19" t="s">
        <v>904</v>
      </c>
      <c r="K261" s="34" t="s">
        <v>69</v>
      </c>
      <c r="L261" s="31">
        <v>35</v>
      </c>
      <c r="M261" s="31">
        <v>-40</v>
      </c>
      <c r="N261" s="31">
        <v>40</v>
      </c>
      <c r="O261" s="36">
        <f t="shared" si="77"/>
        <v>40</v>
      </c>
      <c r="P261" s="31">
        <v>45</v>
      </c>
      <c r="Q261" s="31">
        <v>50</v>
      </c>
      <c r="R261" s="31">
        <v>-53</v>
      </c>
      <c r="S261" s="36">
        <f t="shared" si="78"/>
        <v>50</v>
      </c>
      <c r="T261" s="37">
        <f t="shared" si="79"/>
        <v>90</v>
      </c>
      <c r="U261" s="65">
        <f t="shared" si="80"/>
        <v>-40.599999999999994</v>
      </c>
      <c r="V261" s="41" t="str">
        <f t="shared" si="81"/>
        <v>DEP +</v>
      </c>
      <c r="W261" s="33">
        <f t="shared" si="82"/>
        <v>0</v>
      </c>
      <c r="X261" s="40" t="str">
        <f>IF(I261="","",IF(A261="H",IF(OR(H261="SEN",H261&lt;1995),VLOOKUP(I261,Feuil1!$A$11:$F$29,6),IF(AND(H261&gt;1994,H261&lt;1998),VLOOKUP(I261,Feuil1!$A$11:$F$29,5),IF(AND(H261&gt;1997,H261&lt;2000),VLOOKUP(I261,Feuil1!$A$11:$F$29,4),IF(AND(H261&gt;1999,H261&lt;2002),VLOOKUP(I261,Feuil1!$A$11:$F$29,3),VLOOKUP(I261,Feuil1!$A$11:$F$29,2))))),IF(OR(H261="SEN",H261&lt;1995),VLOOKUP(I261,Feuil1!$G$11:$L$25,6),IF(AND(H261&gt;1994,H261&lt;1998),VLOOKUP(I261,Feuil1!$G$11:$L$25,5),IF(AND(H261&gt;1997,H261&lt;2000),VLOOKUP(I261,Feuil1!$G$11:$L$25,4),IF(AND(H261&gt;1999,H261&lt;2002),VLOOKUP(I261,Feuil1!$G$11:$L$25,3),VLOOKUP(I261,Feuil1!$G$11:$L$25,2)))))))</f>
        <v>FS69</v>
      </c>
      <c r="Y261" s="39">
        <f t="shared" si="83"/>
        <v>116.83974256514131</v>
      </c>
      <c r="Z261" s="45"/>
      <c r="AA261" s="49" t="s">
        <v>12</v>
      </c>
      <c r="AB261" s="3">
        <f>T261-HLOOKUP(X261,Feuil1!$C$1:$BL$10,2,FALSE)</f>
        <v>10</v>
      </c>
      <c r="AC261" s="3">
        <f>T261-HLOOKUP(X261,Feuil1!$C$1:$BL$10,3,FALSE)</f>
        <v>0</v>
      </c>
      <c r="AD261" s="3">
        <f>T261-HLOOKUP(X261,Feuil1!$C$1:$BL$10,4,FALSE)</f>
        <v>-15</v>
      </c>
      <c r="AE261" s="3">
        <f>T261-HLOOKUP(X261,Feuil1!$C$1:$BL$10,5,FALSE)</f>
        <v>-30</v>
      </c>
      <c r="AF261" s="3">
        <f>T261-HLOOKUP(X261,Feuil1!$C$1:$BL$10,6,FALSE)</f>
        <v>-45</v>
      </c>
      <c r="AG261" s="3">
        <f>T261-HLOOKUP(X261,Feuil1!$C$1:$BL$10,7,FALSE)</f>
        <v>-60</v>
      </c>
      <c r="AH261" s="3">
        <f>T261-HLOOKUP(X261,Feuil1!$C$1:$BL$10,8,FALSE)</f>
        <v>-80</v>
      </c>
      <c r="AI261" s="3">
        <f>T261-HLOOKUP(X261,Feuil1!$C$1:$BL$10,9,FALSE)</f>
        <v>-100</v>
      </c>
      <c r="AJ261" s="3">
        <f>T261-HLOOKUP(X261,Feuil1!$C$1:$BL$10,10,FALSE)</f>
        <v>-115</v>
      </c>
      <c r="AK261" s="5"/>
      <c r="AL261" s="5"/>
      <c r="AM261" s="5"/>
      <c r="AN261" s="5"/>
      <c r="AO261" s="5"/>
      <c r="AP261" s="5"/>
      <c r="AQ261" s="5" t="str">
        <f t="shared" si="84"/>
        <v>DEP +</v>
      </c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</row>
    <row r="262" spans="1:55" s="13" customFormat="1" ht="21" hidden="1" x14ac:dyDescent="0.2">
      <c r="A262" s="12" t="s">
        <v>69</v>
      </c>
      <c r="B262" s="18" t="s">
        <v>721</v>
      </c>
      <c r="C262" s="19" t="s">
        <v>775</v>
      </c>
      <c r="D262" s="61">
        <v>34</v>
      </c>
      <c r="E262" s="35">
        <v>262220</v>
      </c>
      <c r="F262" s="20" t="s">
        <v>797</v>
      </c>
      <c r="G262" s="20" t="s">
        <v>798</v>
      </c>
      <c r="H262" s="51">
        <v>1988</v>
      </c>
      <c r="I262" s="30">
        <v>65.7</v>
      </c>
      <c r="J262" s="19" t="s">
        <v>796</v>
      </c>
      <c r="K262" s="34" t="s">
        <v>69</v>
      </c>
      <c r="L262" s="31">
        <v>36</v>
      </c>
      <c r="M262" s="31">
        <v>38</v>
      </c>
      <c r="N262" s="31">
        <v>-40</v>
      </c>
      <c r="O262" s="36">
        <f t="shared" si="77"/>
        <v>38</v>
      </c>
      <c r="P262" s="31">
        <v>47</v>
      </c>
      <c r="Q262" s="31">
        <v>50</v>
      </c>
      <c r="R262" s="31">
        <v>52</v>
      </c>
      <c r="S262" s="36">
        <f t="shared" si="78"/>
        <v>52</v>
      </c>
      <c r="T262" s="37">
        <f t="shared" si="79"/>
        <v>90</v>
      </c>
      <c r="U262" s="65">
        <f t="shared" si="80"/>
        <v>-41.400000000000006</v>
      </c>
      <c r="V262" s="41" t="str">
        <f t="shared" si="81"/>
        <v>DEP +</v>
      </c>
      <c r="W262" s="33">
        <f t="shared" si="82"/>
        <v>0</v>
      </c>
      <c r="X262" s="40" t="str">
        <f>IF(I262="","",IF(A262="H",IF(OR(H262="SEN",H262&lt;1995),VLOOKUP(I262,Feuil1!$A$11:$F$29,6),IF(AND(H262&gt;1994,H262&lt;1998),VLOOKUP(I262,Feuil1!$A$11:$F$29,5),IF(AND(H262&gt;1997,H262&lt;2000),VLOOKUP(I262,Feuil1!$A$11:$F$29,4),IF(AND(H262&gt;1999,H262&lt;2002),VLOOKUP(I262,Feuil1!$A$11:$F$29,3),VLOOKUP(I262,Feuil1!$A$11:$F$29,2))))),IF(OR(H262="SEN",H262&lt;1995),VLOOKUP(I262,Feuil1!$G$11:$L$25,6),IF(AND(H262&gt;1994,H262&lt;1998),VLOOKUP(I262,Feuil1!$G$11:$L$25,5),IF(AND(H262&gt;1997,H262&lt;2000),VLOOKUP(I262,Feuil1!$G$11:$L$25,4),IF(AND(H262&gt;1999,H262&lt;2002),VLOOKUP(I262,Feuil1!$G$11:$L$25,3),VLOOKUP(I262,Feuil1!$G$11:$L$25,2)))))))</f>
        <v>FS69</v>
      </c>
      <c r="Y262" s="39">
        <f t="shared" si="83"/>
        <v>116.38721891377347</v>
      </c>
      <c r="Z262" s="45"/>
      <c r="AA262" s="49" t="s">
        <v>12</v>
      </c>
      <c r="AB262" s="3">
        <f>T262-HLOOKUP(X262,Feuil1!$C$1:$BL$10,2,FALSE)</f>
        <v>10</v>
      </c>
      <c r="AC262" s="3">
        <f>T262-HLOOKUP(X262,Feuil1!$C$1:$BL$10,3,FALSE)</f>
        <v>0</v>
      </c>
      <c r="AD262" s="3">
        <f>T262-HLOOKUP(X262,Feuil1!$C$1:$BL$10,4,FALSE)</f>
        <v>-15</v>
      </c>
      <c r="AE262" s="3">
        <f>T262-HLOOKUP(X262,Feuil1!$C$1:$BL$10,5,FALSE)</f>
        <v>-30</v>
      </c>
      <c r="AF262" s="3">
        <f>T262-HLOOKUP(X262,Feuil1!$C$1:$BL$10,6,FALSE)</f>
        <v>-45</v>
      </c>
      <c r="AG262" s="3">
        <f>T262-HLOOKUP(X262,Feuil1!$C$1:$BL$10,7,FALSE)</f>
        <v>-60</v>
      </c>
      <c r="AH262" s="3">
        <f>T262-HLOOKUP(X262,Feuil1!$C$1:$BL$10,8,FALSE)</f>
        <v>-80</v>
      </c>
      <c r="AI262" s="3">
        <f>T262-HLOOKUP(X262,Feuil1!$C$1:$BL$10,9,FALSE)</f>
        <v>-100</v>
      </c>
      <c r="AJ262" s="3">
        <f>T262-HLOOKUP(X262,Feuil1!$C$1:$BL$10,10,FALSE)</f>
        <v>-115</v>
      </c>
      <c r="AK262" s="5"/>
      <c r="AL262" s="5"/>
      <c r="AM262" s="5"/>
      <c r="AN262" s="5"/>
      <c r="AO262" s="5"/>
      <c r="AP262" s="5"/>
      <c r="AQ262" s="5" t="str">
        <f t="shared" si="84"/>
        <v>DEP +</v>
      </c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</row>
    <row r="263" spans="1:55" s="13" customFormat="1" ht="21" hidden="1" x14ac:dyDescent="0.2">
      <c r="A263" s="12" t="s">
        <v>69</v>
      </c>
      <c r="B263" s="18" t="s">
        <v>71</v>
      </c>
      <c r="C263" s="19" t="s">
        <v>72</v>
      </c>
      <c r="D263" s="61">
        <v>35</v>
      </c>
      <c r="E263" s="35">
        <v>356463</v>
      </c>
      <c r="F263" s="20" t="s">
        <v>982</v>
      </c>
      <c r="G263" s="20" t="s">
        <v>983</v>
      </c>
      <c r="H263" s="51">
        <v>1981</v>
      </c>
      <c r="I263" s="30">
        <v>66.400000000000006</v>
      </c>
      <c r="J263" s="19" t="s">
        <v>964</v>
      </c>
      <c r="K263" s="34" t="s">
        <v>69</v>
      </c>
      <c r="L263" s="31">
        <v>36</v>
      </c>
      <c r="M263" s="31">
        <v>38</v>
      </c>
      <c r="N263" s="31">
        <v>-40</v>
      </c>
      <c r="O263" s="36">
        <f t="shared" si="77"/>
        <v>38</v>
      </c>
      <c r="P263" s="31">
        <v>46</v>
      </c>
      <c r="Q263" s="31">
        <v>49</v>
      </c>
      <c r="R263" s="31">
        <v>-51</v>
      </c>
      <c r="S263" s="36">
        <f t="shared" si="78"/>
        <v>49</v>
      </c>
      <c r="T263" s="37">
        <f t="shared" si="79"/>
        <v>87</v>
      </c>
      <c r="U263" s="65">
        <f t="shared" si="80"/>
        <v>-45.800000000000011</v>
      </c>
      <c r="V263" s="41" t="str">
        <f t="shared" si="81"/>
        <v xml:space="preserve">DEB </v>
      </c>
      <c r="W263" s="33">
        <f t="shared" si="82"/>
        <v>7</v>
      </c>
      <c r="X263" s="40" t="str">
        <f>IF(I263="","",IF(A263="H",IF(OR(H263="SEN",H263&lt;1995),VLOOKUP(I263,Feuil1!$A$11:$F$29,6),IF(AND(H263&gt;1994,H263&lt;1998),VLOOKUP(I263,Feuil1!$A$11:$F$29,5),IF(AND(H263&gt;1997,H263&lt;2000),VLOOKUP(I263,Feuil1!$A$11:$F$29,4),IF(AND(H263&gt;1999,H263&lt;2002),VLOOKUP(I263,Feuil1!$A$11:$F$29,3),VLOOKUP(I263,Feuil1!$A$11:$F$29,2))))),IF(OR(H263="SEN",H263&lt;1995),VLOOKUP(I263,Feuil1!$G$11:$L$25,6),IF(AND(H263&gt;1994,H263&lt;1998),VLOOKUP(I263,Feuil1!$G$11:$L$25,5),IF(AND(H263&gt;1997,H263&lt;2000),VLOOKUP(I263,Feuil1!$G$11:$L$25,4),IF(AND(H263&gt;1999,H263&lt;2002),VLOOKUP(I263,Feuil1!$G$11:$L$25,3),VLOOKUP(I263,Feuil1!$G$11:$L$25,2)))))))</f>
        <v>FS69</v>
      </c>
      <c r="Y263" s="39">
        <f t="shared" si="83"/>
        <v>111.76022303295953</v>
      </c>
      <c r="Z263" s="45"/>
      <c r="AA263" s="49" t="s">
        <v>12</v>
      </c>
      <c r="AB263" s="3">
        <f>T263-HLOOKUP(X263,Feuil1!$C$1:$BL$10,2,FALSE)</f>
        <v>7</v>
      </c>
      <c r="AC263" s="3">
        <f>T263-HLOOKUP(X263,Feuil1!$C$1:$BL$10,3,FALSE)</f>
        <v>-3</v>
      </c>
      <c r="AD263" s="3">
        <f>T263-HLOOKUP(X263,Feuil1!$C$1:$BL$10,4,FALSE)</f>
        <v>-18</v>
      </c>
      <c r="AE263" s="3">
        <f>T263-HLOOKUP(X263,Feuil1!$C$1:$BL$10,5,FALSE)</f>
        <v>-33</v>
      </c>
      <c r="AF263" s="3">
        <f>T263-HLOOKUP(X263,Feuil1!$C$1:$BL$10,6,FALSE)</f>
        <v>-48</v>
      </c>
      <c r="AG263" s="3">
        <f>T263-HLOOKUP(X263,Feuil1!$C$1:$BL$10,7,FALSE)</f>
        <v>-63</v>
      </c>
      <c r="AH263" s="3">
        <f>T263-HLOOKUP(X263,Feuil1!$C$1:$BL$10,8,FALSE)</f>
        <v>-83</v>
      </c>
      <c r="AI263" s="3">
        <f>T263-HLOOKUP(X263,Feuil1!$C$1:$BL$10,9,FALSE)</f>
        <v>-103</v>
      </c>
      <c r="AJ263" s="3">
        <f>T263-HLOOKUP(X263,Feuil1!$C$1:$BL$10,10,FALSE)</f>
        <v>-118</v>
      </c>
      <c r="AK263" s="5"/>
      <c r="AL263" s="5"/>
      <c r="AM263" s="5"/>
      <c r="AN263" s="5"/>
      <c r="AO263" s="5"/>
      <c r="AP263" s="5"/>
      <c r="AQ263" s="5" t="str">
        <f t="shared" si="84"/>
        <v xml:space="preserve">DEB </v>
      </c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</row>
    <row r="264" spans="1:55" s="13" customFormat="1" ht="21" hidden="1" x14ac:dyDescent="0.2">
      <c r="A264" s="12" t="s">
        <v>69</v>
      </c>
      <c r="B264" s="67" t="s">
        <v>71</v>
      </c>
      <c r="C264" s="68" t="s">
        <v>801</v>
      </c>
      <c r="D264" s="69">
        <v>36</v>
      </c>
      <c r="E264" s="70">
        <v>186993</v>
      </c>
      <c r="F264" s="71" t="s">
        <v>853</v>
      </c>
      <c r="G264" s="71" t="s">
        <v>563</v>
      </c>
      <c r="H264" s="72">
        <v>1990</v>
      </c>
      <c r="I264" s="73">
        <v>67.569999999999993</v>
      </c>
      <c r="J264" s="68" t="s">
        <v>803</v>
      </c>
      <c r="K264" s="74" t="s">
        <v>69</v>
      </c>
      <c r="L264" s="75">
        <v>32</v>
      </c>
      <c r="M264" s="75">
        <v>36</v>
      </c>
      <c r="N264" s="75">
        <v>38</v>
      </c>
      <c r="O264" s="76">
        <f t="shared" si="77"/>
        <v>38</v>
      </c>
      <c r="P264" s="75">
        <v>43</v>
      </c>
      <c r="Q264" s="75">
        <v>47</v>
      </c>
      <c r="R264" s="75">
        <v>49</v>
      </c>
      <c r="S264" s="76">
        <f t="shared" si="78"/>
        <v>49</v>
      </c>
      <c r="T264" s="77">
        <f t="shared" si="79"/>
        <v>87</v>
      </c>
      <c r="U264" s="78">
        <f t="shared" si="80"/>
        <v>-48.139999999999986</v>
      </c>
      <c r="V264" s="79" t="str">
        <f t="shared" si="81"/>
        <v xml:space="preserve">DEB </v>
      </c>
      <c r="W264" s="80">
        <f t="shared" si="82"/>
        <v>7</v>
      </c>
      <c r="X264" s="81" t="str">
        <f>IF(I264="","",IF(A264="H",IF(OR(H264="SEN",H264&lt;1995),VLOOKUP(I264,Feuil1!$A$11:$F$29,6),IF(AND(H264&gt;1994,H264&lt;1998),VLOOKUP(I264,Feuil1!$A$11:$F$29,5),IF(AND(H264&gt;1997,H264&lt;2000),VLOOKUP(I264,Feuil1!$A$11:$F$29,4),IF(AND(H264&gt;1999,H264&lt;2002),VLOOKUP(I264,Feuil1!$A$11:$F$29,3),VLOOKUP(I264,Feuil1!$A$11:$F$29,2))))),IF(OR(H264="SEN",H264&lt;1995),VLOOKUP(I264,Feuil1!$G$11:$L$25,6),IF(AND(H264&gt;1994,H264&lt;1998),VLOOKUP(I264,Feuil1!$G$11:$L$25,5),IF(AND(H264&gt;1997,H264&lt;2000),VLOOKUP(I264,Feuil1!$G$11:$L$25,4),IF(AND(H264&gt;1999,H264&lt;2002),VLOOKUP(I264,Feuil1!$G$11:$L$25,3),VLOOKUP(I264,Feuil1!$G$11:$L$25,2)))))))</f>
        <v>FS69</v>
      </c>
      <c r="Y264" s="39">
        <f t="shared" si="83"/>
        <v>110.56031621398083</v>
      </c>
      <c r="Z264" s="45"/>
      <c r="AA264" s="49" t="s">
        <v>12</v>
      </c>
      <c r="AB264" s="3">
        <f>T264-HLOOKUP(X264,Feuil1!$C$1:$BL$10,2,FALSE)</f>
        <v>7</v>
      </c>
      <c r="AC264" s="3">
        <f>T264-HLOOKUP(X264,Feuil1!$C$1:$BL$10,3,FALSE)</f>
        <v>-3</v>
      </c>
      <c r="AD264" s="3">
        <f>T264-HLOOKUP(X264,Feuil1!$C$1:$BL$10,4,FALSE)</f>
        <v>-18</v>
      </c>
      <c r="AE264" s="3">
        <f>T264-HLOOKUP(X264,Feuil1!$C$1:$BL$10,5,FALSE)</f>
        <v>-33</v>
      </c>
      <c r="AF264" s="3">
        <f>T264-HLOOKUP(X264,Feuil1!$C$1:$BL$10,6,FALSE)</f>
        <v>-48</v>
      </c>
      <c r="AG264" s="3">
        <f>T264-HLOOKUP(X264,Feuil1!$C$1:$BL$10,7,FALSE)</f>
        <v>-63</v>
      </c>
      <c r="AH264" s="3">
        <f>T264-HLOOKUP(X264,Feuil1!$C$1:$BL$10,8,FALSE)</f>
        <v>-83</v>
      </c>
      <c r="AI264" s="3">
        <f>T264-HLOOKUP(X264,Feuil1!$C$1:$BL$10,9,FALSE)</f>
        <v>-103</v>
      </c>
      <c r="AJ264" s="3">
        <f>T264-HLOOKUP(X264,Feuil1!$C$1:$BL$10,10,FALSE)</f>
        <v>-118</v>
      </c>
      <c r="AK264" s="5"/>
      <c r="AL264" s="5"/>
      <c r="AM264" s="5"/>
      <c r="AN264" s="5"/>
      <c r="AO264" s="5"/>
      <c r="AP264" s="5"/>
      <c r="AQ264" s="5" t="str">
        <f t="shared" si="84"/>
        <v xml:space="preserve">DEB </v>
      </c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</row>
    <row r="265" spans="1:55" s="13" customFormat="1" ht="21" hidden="1" x14ac:dyDescent="0.2">
      <c r="A265" s="12" t="s">
        <v>69</v>
      </c>
      <c r="B265" s="67" t="s">
        <v>71</v>
      </c>
      <c r="C265" s="68" t="s">
        <v>801</v>
      </c>
      <c r="D265" s="69">
        <v>37</v>
      </c>
      <c r="E265" s="70">
        <v>380058</v>
      </c>
      <c r="F265" s="71" t="s">
        <v>850</v>
      </c>
      <c r="G265" s="71" t="s">
        <v>426</v>
      </c>
      <c r="H265" s="72">
        <v>1988</v>
      </c>
      <c r="I265" s="73">
        <v>63.3</v>
      </c>
      <c r="J265" s="68" t="s">
        <v>841</v>
      </c>
      <c r="K265" s="74" t="s">
        <v>69</v>
      </c>
      <c r="L265" s="75">
        <v>32</v>
      </c>
      <c r="M265" s="75">
        <v>37</v>
      </c>
      <c r="N265" s="75">
        <v>-42</v>
      </c>
      <c r="O265" s="76">
        <f t="shared" si="77"/>
        <v>37</v>
      </c>
      <c r="P265" s="75">
        <v>42</v>
      </c>
      <c r="Q265" s="75">
        <v>48</v>
      </c>
      <c r="R265" s="75">
        <v>-55</v>
      </c>
      <c r="S265" s="76">
        <f t="shared" si="78"/>
        <v>48</v>
      </c>
      <c r="T265" s="77">
        <f t="shared" si="79"/>
        <v>85</v>
      </c>
      <c r="U265" s="78">
        <f t="shared" si="80"/>
        <v>-41.599999999999994</v>
      </c>
      <c r="V265" s="79" t="str">
        <f t="shared" si="81"/>
        <v xml:space="preserve">DEB </v>
      </c>
      <c r="W265" s="80">
        <f t="shared" si="82"/>
        <v>5</v>
      </c>
      <c r="X265" s="81" t="str">
        <f>IF(I265="","",IF(A265="H",IF(OR(H265="SEN",H265&lt;1995),VLOOKUP(I265,Feuil1!$A$11:$F$29,6),IF(AND(H265&gt;1994,H265&lt;1998),VLOOKUP(I265,Feuil1!$A$11:$F$29,5),IF(AND(H265&gt;1997,H265&lt;2000),VLOOKUP(I265,Feuil1!$A$11:$F$29,4),IF(AND(H265&gt;1999,H265&lt;2002),VLOOKUP(I265,Feuil1!$A$11:$F$29,3),VLOOKUP(I265,Feuil1!$A$11:$F$29,2))))),IF(OR(H265="SEN",H265&lt;1995),VLOOKUP(I265,Feuil1!$G$11:$L$25,6),IF(AND(H265&gt;1994,H265&lt;1998),VLOOKUP(I265,Feuil1!$G$11:$L$25,5),IF(AND(H265&gt;1997,H265&lt;2000),VLOOKUP(I265,Feuil1!$G$11:$L$25,4),IF(AND(H265&gt;1999,H265&lt;2002),VLOOKUP(I265,Feuil1!$G$11:$L$25,3),VLOOKUP(I265,Feuil1!$G$11:$L$25,2)))))))</f>
        <v>FS69</v>
      </c>
      <c r="Y265" s="39">
        <f t="shared" si="83"/>
        <v>112.60232033587982</v>
      </c>
      <c r="Z265" s="45"/>
      <c r="AA265" s="49" t="s">
        <v>12</v>
      </c>
      <c r="AB265" s="3">
        <f>T265-HLOOKUP(X265,Feuil1!$C$1:$BL$10,2,FALSE)</f>
        <v>5</v>
      </c>
      <c r="AC265" s="3">
        <f>T265-HLOOKUP(X265,Feuil1!$C$1:$BL$10,3,FALSE)</f>
        <v>-5</v>
      </c>
      <c r="AD265" s="3">
        <f>T265-HLOOKUP(X265,Feuil1!$C$1:$BL$10,4,FALSE)</f>
        <v>-20</v>
      </c>
      <c r="AE265" s="3">
        <f>T265-HLOOKUP(X265,Feuil1!$C$1:$BL$10,5,FALSE)</f>
        <v>-35</v>
      </c>
      <c r="AF265" s="3">
        <f>T265-HLOOKUP(X265,Feuil1!$C$1:$BL$10,6,FALSE)</f>
        <v>-50</v>
      </c>
      <c r="AG265" s="3">
        <f>T265-HLOOKUP(X265,Feuil1!$C$1:$BL$10,7,FALSE)</f>
        <v>-65</v>
      </c>
      <c r="AH265" s="3">
        <f>T265-HLOOKUP(X265,Feuil1!$C$1:$BL$10,8,FALSE)</f>
        <v>-85</v>
      </c>
      <c r="AI265" s="3">
        <f>T265-HLOOKUP(X265,Feuil1!$C$1:$BL$10,9,FALSE)</f>
        <v>-105</v>
      </c>
      <c r="AJ265" s="3">
        <f>T265-HLOOKUP(X265,Feuil1!$C$1:$BL$10,10,FALSE)</f>
        <v>-120</v>
      </c>
      <c r="AK265" s="5"/>
      <c r="AL265" s="5"/>
      <c r="AM265" s="5"/>
      <c r="AN265" s="5"/>
      <c r="AO265" s="5"/>
      <c r="AP265" s="5"/>
      <c r="AQ265" s="5" t="str">
        <f t="shared" si="84"/>
        <v xml:space="preserve">DEB </v>
      </c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</row>
    <row r="266" spans="1:55" s="13" customFormat="1" ht="21" hidden="1" x14ac:dyDescent="0.2">
      <c r="A266" s="12" t="s">
        <v>69</v>
      </c>
      <c r="B266" s="18" t="s">
        <v>108</v>
      </c>
      <c r="C266" s="19" t="s">
        <v>146</v>
      </c>
      <c r="D266" s="61">
        <v>38</v>
      </c>
      <c r="E266" s="35">
        <v>349744</v>
      </c>
      <c r="F266" s="20" t="s">
        <v>260</v>
      </c>
      <c r="G266" s="20" t="s">
        <v>261</v>
      </c>
      <c r="H266" s="51">
        <v>1974</v>
      </c>
      <c r="I266" s="30">
        <v>67.5</v>
      </c>
      <c r="J266" s="19" t="s">
        <v>149</v>
      </c>
      <c r="K266" s="34" t="s">
        <v>69</v>
      </c>
      <c r="L266" s="31">
        <v>33</v>
      </c>
      <c r="M266" s="31">
        <v>-35</v>
      </c>
      <c r="N266" s="31">
        <v>35</v>
      </c>
      <c r="O266" s="36">
        <f t="shared" si="77"/>
        <v>35</v>
      </c>
      <c r="P266" s="31">
        <v>40</v>
      </c>
      <c r="Q266" s="31">
        <v>45</v>
      </c>
      <c r="R266" s="31">
        <v>50</v>
      </c>
      <c r="S266" s="36">
        <f t="shared" si="78"/>
        <v>50</v>
      </c>
      <c r="T266" s="37">
        <f t="shared" si="79"/>
        <v>85</v>
      </c>
      <c r="U266" s="65">
        <f t="shared" si="80"/>
        <v>-50</v>
      </c>
      <c r="V266" s="41" t="str">
        <f t="shared" si="81"/>
        <v xml:space="preserve">DEB </v>
      </c>
      <c r="W266" s="33">
        <f t="shared" si="82"/>
        <v>5</v>
      </c>
      <c r="X266" s="40" t="str">
        <f>IF(I266="","",IF(A266="H",IF(OR(H266="SEN",H266&lt;1995),VLOOKUP(I266,Feuil1!$A$11:$F$29,6),IF(AND(H266&gt;1994,H266&lt;1998),VLOOKUP(I266,Feuil1!$A$11:$F$29,5),IF(AND(H266&gt;1997,H266&lt;2000),VLOOKUP(I266,Feuil1!$A$11:$F$29,4),IF(AND(H266&gt;1999,H266&lt;2002),VLOOKUP(I266,Feuil1!$A$11:$F$29,3),VLOOKUP(I266,Feuil1!$A$11:$F$29,2))))),IF(OR(H266="SEN",H266&lt;1995),VLOOKUP(I266,Feuil1!$G$11:$L$25,6),IF(AND(H266&gt;1994,H266&lt;1998),VLOOKUP(I266,Feuil1!$G$11:$L$25,5),IF(AND(H266&gt;1997,H266&lt;2000),VLOOKUP(I266,Feuil1!$G$11:$L$25,4),IF(AND(H266&gt;1999,H266&lt;2002),VLOOKUP(I266,Feuil1!$G$11:$L$25,3),VLOOKUP(I266,Feuil1!$G$11:$L$25,2)))))))</f>
        <v>FS69</v>
      </c>
      <c r="Y266" s="39">
        <f t="shared" si="83"/>
        <v>108.0871958259706</v>
      </c>
      <c r="Z266" s="45"/>
      <c r="AA266" s="49" t="s">
        <v>12</v>
      </c>
      <c r="AB266" s="3">
        <f>T266-HLOOKUP(X266,Feuil1!$C$1:$BL$10,2,FALSE)</f>
        <v>5</v>
      </c>
      <c r="AC266" s="3">
        <f>T266-HLOOKUP(X266,Feuil1!$C$1:$BL$10,3,FALSE)</f>
        <v>-5</v>
      </c>
      <c r="AD266" s="3">
        <f>T266-HLOOKUP(X266,Feuil1!$C$1:$BL$10,4,FALSE)</f>
        <v>-20</v>
      </c>
      <c r="AE266" s="3">
        <f>T266-HLOOKUP(X266,Feuil1!$C$1:$BL$10,5,FALSE)</f>
        <v>-35</v>
      </c>
      <c r="AF266" s="3">
        <f>T266-HLOOKUP(X266,Feuil1!$C$1:$BL$10,6,FALSE)</f>
        <v>-50</v>
      </c>
      <c r="AG266" s="3">
        <f>T266-HLOOKUP(X266,Feuil1!$C$1:$BL$10,7,FALSE)</f>
        <v>-65</v>
      </c>
      <c r="AH266" s="3">
        <f>T266-HLOOKUP(X266,Feuil1!$C$1:$BL$10,8,FALSE)</f>
        <v>-85</v>
      </c>
      <c r="AI266" s="3">
        <f>T266-HLOOKUP(X266,Feuil1!$C$1:$BL$10,9,FALSE)</f>
        <v>-105</v>
      </c>
      <c r="AJ266" s="3">
        <f>T266-HLOOKUP(X266,Feuil1!$C$1:$BL$10,10,FALSE)</f>
        <v>-120</v>
      </c>
      <c r="AK266" s="5"/>
      <c r="AL266" s="5"/>
      <c r="AM266" s="5"/>
      <c r="AN266" s="5"/>
      <c r="AO266" s="5"/>
      <c r="AP266" s="5"/>
      <c r="AQ266" s="5" t="str">
        <f t="shared" si="84"/>
        <v xml:space="preserve">DEB </v>
      </c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</row>
    <row r="267" spans="1:55" s="13" customFormat="1" ht="21" hidden="1" x14ac:dyDescent="0.2">
      <c r="A267" s="12" t="s">
        <v>69</v>
      </c>
      <c r="B267" s="18" t="s">
        <v>71</v>
      </c>
      <c r="C267" s="19" t="s">
        <v>883</v>
      </c>
      <c r="D267" s="61">
        <v>39</v>
      </c>
      <c r="E267" s="35">
        <v>124214</v>
      </c>
      <c r="F267" s="20" t="s">
        <v>917</v>
      </c>
      <c r="G267" s="20" t="s">
        <v>918</v>
      </c>
      <c r="H267" s="51">
        <v>1983</v>
      </c>
      <c r="I267" s="30">
        <v>67.5</v>
      </c>
      <c r="J267" s="19" t="s">
        <v>919</v>
      </c>
      <c r="K267" s="34" t="s">
        <v>69</v>
      </c>
      <c r="L267" s="31">
        <v>30</v>
      </c>
      <c r="M267" s="31">
        <v>33</v>
      </c>
      <c r="N267" s="31">
        <v>35</v>
      </c>
      <c r="O267" s="36">
        <f t="shared" si="77"/>
        <v>35</v>
      </c>
      <c r="P267" s="31">
        <v>43</v>
      </c>
      <c r="Q267" s="31">
        <v>47</v>
      </c>
      <c r="R267" s="31">
        <v>-50</v>
      </c>
      <c r="S267" s="36">
        <f t="shared" si="78"/>
        <v>47</v>
      </c>
      <c r="T267" s="37">
        <f t="shared" si="79"/>
        <v>82</v>
      </c>
      <c r="U267" s="65">
        <f t="shared" si="80"/>
        <v>-53</v>
      </c>
      <c r="V267" s="32" t="str">
        <f t="shared" si="81"/>
        <v xml:space="preserve">DEB </v>
      </c>
      <c r="W267" s="33">
        <f t="shared" si="82"/>
        <v>2</v>
      </c>
      <c r="X267" s="40" t="str">
        <f>IF(I267="","",IF(A267="H",IF(OR(H267="SEN",H267&lt;1995),VLOOKUP(I267,Feuil1!$A$11:$F$29,6),IF(AND(H267&gt;1994,H267&lt;1998),VLOOKUP(I267,Feuil1!$A$11:$F$29,5),IF(AND(H267&gt;1997,H267&lt;2000),VLOOKUP(I267,Feuil1!$A$11:$F$29,4),IF(AND(H267&gt;1999,H267&lt;2002),VLOOKUP(I267,Feuil1!$A$11:$F$29,3),VLOOKUP(I267,Feuil1!$A$11:$F$29,2))))),IF(OR(H267="SEN",H267&lt;1995),VLOOKUP(I267,Feuil1!$G$11:$L$25,6),IF(AND(H267&gt;1994,H267&lt;1998),VLOOKUP(I267,Feuil1!$G$11:$L$25,5),IF(AND(H267&gt;1997,H267&lt;2000),VLOOKUP(I267,Feuil1!$G$11:$L$25,4),IF(AND(H267&gt;1999,H267&lt;2002),VLOOKUP(I267,Feuil1!$G$11:$L$25,3),VLOOKUP(I267,Feuil1!$G$11:$L$25,2)))))))</f>
        <v>FS69</v>
      </c>
      <c r="Y267" s="39">
        <f t="shared" si="83"/>
        <v>104.27235362034811</v>
      </c>
      <c r="Z267" s="45"/>
      <c r="AA267" s="49" t="s">
        <v>12</v>
      </c>
      <c r="AB267" s="3">
        <f>T267-HLOOKUP(X267,Feuil1!$C$1:$BL$10,2,FALSE)</f>
        <v>2</v>
      </c>
      <c r="AC267" s="3">
        <f>T267-HLOOKUP(X267,Feuil1!$C$1:$BL$10,3,FALSE)</f>
        <v>-8</v>
      </c>
      <c r="AD267" s="3">
        <f>T267-HLOOKUP(X267,Feuil1!$C$1:$BL$10,4,FALSE)</f>
        <v>-23</v>
      </c>
      <c r="AE267" s="3">
        <f>T267-HLOOKUP(X267,Feuil1!$C$1:$BL$10,5,FALSE)</f>
        <v>-38</v>
      </c>
      <c r="AF267" s="3">
        <f>T267-HLOOKUP(X267,Feuil1!$C$1:$BL$10,6,FALSE)</f>
        <v>-53</v>
      </c>
      <c r="AG267" s="3">
        <f>T267-HLOOKUP(X267,Feuil1!$C$1:$BL$10,7,FALSE)</f>
        <v>-68</v>
      </c>
      <c r="AH267" s="3">
        <f>T267-HLOOKUP(X267,Feuil1!$C$1:$BL$10,8,FALSE)</f>
        <v>-88</v>
      </c>
      <c r="AI267" s="3">
        <f>T267-HLOOKUP(X267,Feuil1!$C$1:$BL$10,9,FALSE)</f>
        <v>-108</v>
      </c>
      <c r="AJ267" s="3">
        <f>T267-HLOOKUP(X267,Feuil1!$C$1:$BL$10,10,FALSE)</f>
        <v>-123</v>
      </c>
      <c r="AK267" s="5"/>
      <c r="AL267" s="5"/>
      <c r="AM267" s="5"/>
      <c r="AN267" s="5"/>
      <c r="AO267" s="5"/>
      <c r="AP267" s="5"/>
      <c r="AQ267" s="5" t="str">
        <f t="shared" si="84"/>
        <v xml:space="preserve">DEB </v>
      </c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</row>
    <row r="268" spans="1:55" s="13" customFormat="1" ht="21" hidden="1" x14ac:dyDescent="0.2">
      <c r="A268" s="12" t="s">
        <v>69</v>
      </c>
      <c r="B268" s="18" t="s">
        <v>298</v>
      </c>
      <c r="C268" s="19" t="s">
        <v>299</v>
      </c>
      <c r="D268" s="61">
        <v>40</v>
      </c>
      <c r="E268" s="35">
        <v>110465</v>
      </c>
      <c r="F268" s="20" t="s">
        <v>390</v>
      </c>
      <c r="G268" s="20" t="s">
        <v>391</v>
      </c>
      <c r="H268" s="51">
        <v>1987</v>
      </c>
      <c r="I268" s="30">
        <v>66.099999999999994</v>
      </c>
      <c r="J268" s="19" t="s">
        <v>380</v>
      </c>
      <c r="K268" s="34" t="s">
        <v>69</v>
      </c>
      <c r="L268" s="31">
        <v>32</v>
      </c>
      <c r="M268" s="31">
        <v>35</v>
      </c>
      <c r="N268" s="31">
        <v>-37</v>
      </c>
      <c r="O268" s="36">
        <f t="shared" si="77"/>
        <v>35</v>
      </c>
      <c r="P268" s="31">
        <v>43</v>
      </c>
      <c r="Q268" s="31">
        <v>-46</v>
      </c>
      <c r="R268" s="31">
        <v>-46</v>
      </c>
      <c r="S268" s="36">
        <f t="shared" si="78"/>
        <v>43</v>
      </c>
      <c r="T268" s="37">
        <f t="shared" si="79"/>
        <v>78</v>
      </c>
      <c r="U268" s="65">
        <f t="shared" si="80"/>
        <v>-54.199999999999989</v>
      </c>
      <c r="V268" s="41" t="str">
        <f t="shared" si="81"/>
        <v xml:space="preserve">DEB </v>
      </c>
      <c r="W268" s="33">
        <f t="shared" si="82"/>
        <v>-2</v>
      </c>
      <c r="X268" s="40" t="str">
        <f>IF(I268="","",IF(A268="H",IF(OR(H268="SEN",H268&lt;1995),VLOOKUP(I268,Feuil1!$A$11:$F$29,6),IF(AND(H268&gt;1994,H268&lt;1998),VLOOKUP(I268,Feuil1!$A$11:$F$29,5),IF(AND(H268&gt;1997,H268&lt;2000),VLOOKUP(I268,Feuil1!$A$11:$F$29,4),IF(AND(H268&gt;1999,H268&lt;2002),VLOOKUP(I268,Feuil1!$A$11:$F$29,3),VLOOKUP(I268,Feuil1!$A$11:$F$29,2))))),IF(OR(H268="SEN",H268&lt;1995),VLOOKUP(I268,Feuil1!$G$11:$L$25,6),IF(AND(H268&gt;1994,H268&lt;1998),VLOOKUP(I268,Feuil1!$G$11:$L$25,5),IF(AND(H268&gt;1997,H268&lt;2000),VLOOKUP(I268,Feuil1!$G$11:$L$25,4),IF(AND(H268&gt;1999,H268&lt;2002),VLOOKUP(I268,Feuil1!$G$11:$L$25,3),VLOOKUP(I268,Feuil1!$G$11:$L$25,2)))))))</f>
        <v>FS69</v>
      </c>
      <c r="Y268" s="39">
        <f t="shared" si="83"/>
        <v>100.48351556236388</v>
      </c>
      <c r="Z268" s="45"/>
      <c r="AA268" s="49" t="s">
        <v>12</v>
      </c>
      <c r="AB268" s="3">
        <f>T268-HLOOKUP(X268,Feuil1!$C$1:$BL$10,2,FALSE)</f>
        <v>-2</v>
      </c>
      <c r="AC268" s="3">
        <f>T268-HLOOKUP(X268,Feuil1!$C$1:$BL$10,3,FALSE)</f>
        <v>-12</v>
      </c>
      <c r="AD268" s="3">
        <f>T268-HLOOKUP(X268,Feuil1!$C$1:$BL$10,4,FALSE)</f>
        <v>-27</v>
      </c>
      <c r="AE268" s="3">
        <f>T268-HLOOKUP(X268,Feuil1!$C$1:$BL$10,5,FALSE)</f>
        <v>-42</v>
      </c>
      <c r="AF268" s="3">
        <f>T268-HLOOKUP(X268,Feuil1!$C$1:$BL$10,6,FALSE)</f>
        <v>-57</v>
      </c>
      <c r="AG268" s="3">
        <f>T268-HLOOKUP(X268,Feuil1!$C$1:$BL$10,7,FALSE)</f>
        <v>-72</v>
      </c>
      <c r="AH268" s="3">
        <f>T268-HLOOKUP(X268,Feuil1!$C$1:$BL$10,8,FALSE)</f>
        <v>-92</v>
      </c>
      <c r="AI268" s="3">
        <f>T268-HLOOKUP(X268,Feuil1!$C$1:$BL$10,9,FALSE)</f>
        <v>-112</v>
      </c>
      <c r="AJ268" s="3">
        <f>T268-HLOOKUP(X268,Feuil1!$C$1:$BL$10,10,FALSE)</f>
        <v>-127</v>
      </c>
      <c r="AK268" s="5"/>
      <c r="AL268" s="5"/>
      <c r="AM268" s="5"/>
      <c r="AN268" s="5"/>
      <c r="AO268" s="5"/>
      <c r="AP268" s="5"/>
      <c r="AQ268" s="5" t="str">
        <f t="shared" si="84"/>
        <v xml:space="preserve">DEB </v>
      </c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</row>
    <row r="269" spans="1:55" s="13" customFormat="1" ht="21" hidden="1" x14ac:dyDescent="0.2">
      <c r="A269" s="12" t="s">
        <v>69</v>
      </c>
      <c r="B269" s="18" t="s">
        <v>298</v>
      </c>
      <c r="C269" s="19" t="s">
        <v>299</v>
      </c>
      <c r="D269" s="61">
        <v>41</v>
      </c>
      <c r="E269" s="35">
        <v>385242</v>
      </c>
      <c r="F269" s="20" t="s">
        <v>392</v>
      </c>
      <c r="G269" s="20" t="s">
        <v>393</v>
      </c>
      <c r="H269" s="51">
        <v>1978</v>
      </c>
      <c r="I269" s="30">
        <v>63.7</v>
      </c>
      <c r="J269" s="19" t="s">
        <v>339</v>
      </c>
      <c r="K269" s="34" t="s">
        <v>69</v>
      </c>
      <c r="L269" s="31">
        <v>30</v>
      </c>
      <c r="M269" s="31">
        <v>32</v>
      </c>
      <c r="N269" s="31">
        <v>-35</v>
      </c>
      <c r="O269" s="36">
        <f t="shared" si="77"/>
        <v>32</v>
      </c>
      <c r="P269" s="31">
        <v>40</v>
      </c>
      <c r="Q269" s="31">
        <v>45</v>
      </c>
      <c r="R269" s="31">
        <v>-48</v>
      </c>
      <c r="S269" s="36">
        <f t="shared" si="78"/>
        <v>45</v>
      </c>
      <c r="T269" s="37">
        <f t="shared" si="79"/>
        <v>77</v>
      </c>
      <c r="U269" s="65">
        <f t="shared" si="80"/>
        <v>-50.400000000000006</v>
      </c>
      <c r="V269" s="41" t="str">
        <f t="shared" si="81"/>
        <v xml:space="preserve">DEB </v>
      </c>
      <c r="W269" s="33">
        <f t="shared" si="82"/>
        <v>-3</v>
      </c>
      <c r="X269" s="40" t="str">
        <f>IF(I269="","",IF(A269="H",IF(OR(H269="SEN",H269&lt;1995),VLOOKUP(I269,Feuil1!$A$11:$F$29,6),IF(AND(H269&gt;1994,H269&lt;1998),VLOOKUP(I269,Feuil1!$A$11:$F$29,5),IF(AND(H269&gt;1997,H269&lt;2000),VLOOKUP(I269,Feuil1!$A$11:$F$29,4),IF(AND(H269&gt;1999,H269&lt;2002),VLOOKUP(I269,Feuil1!$A$11:$F$29,3),VLOOKUP(I269,Feuil1!$A$11:$F$29,2))))),IF(OR(H269="SEN",H269&lt;1995),VLOOKUP(I269,Feuil1!$G$11:$L$25,6),IF(AND(H269&gt;1994,H269&lt;1998),VLOOKUP(I269,Feuil1!$G$11:$L$25,5),IF(AND(H269&gt;1997,H269&lt;2000),VLOOKUP(I269,Feuil1!$G$11:$L$25,4),IF(AND(H269&gt;1999,H269&lt;2002),VLOOKUP(I269,Feuil1!$G$11:$L$25,3),VLOOKUP(I269,Feuil1!$G$11:$L$25,2)))))))</f>
        <v>FS69</v>
      </c>
      <c r="Y269" s="39">
        <f t="shared" si="83"/>
        <v>101.5815045228174</v>
      </c>
      <c r="Z269" s="45"/>
      <c r="AA269" s="49" t="s">
        <v>12</v>
      </c>
      <c r="AB269" s="3">
        <f>T269-HLOOKUP(X269,Feuil1!$C$1:$BL$10,2,FALSE)</f>
        <v>-3</v>
      </c>
      <c r="AC269" s="3">
        <f>T269-HLOOKUP(X269,Feuil1!$C$1:$BL$10,3,FALSE)</f>
        <v>-13</v>
      </c>
      <c r="AD269" s="3">
        <f>T269-HLOOKUP(X269,Feuil1!$C$1:$BL$10,4,FALSE)</f>
        <v>-28</v>
      </c>
      <c r="AE269" s="3">
        <f>T269-HLOOKUP(X269,Feuil1!$C$1:$BL$10,5,FALSE)</f>
        <v>-43</v>
      </c>
      <c r="AF269" s="3">
        <f>T269-HLOOKUP(X269,Feuil1!$C$1:$BL$10,6,FALSE)</f>
        <v>-58</v>
      </c>
      <c r="AG269" s="3">
        <f>T269-HLOOKUP(X269,Feuil1!$C$1:$BL$10,7,FALSE)</f>
        <v>-73</v>
      </c>
      <c r="AH269" s="3">
        <f>T269-HLOOKUP(X269,Feuil1!$C$1:$BL$10,8,FALSE)</f>
        <v>-93</v>
      </c>
      <c r="AI269" s="3">
        <f>T269-HLOOKUP(X269,Feuil1!$C$1:$BL$10,9,FALSE)</f>
        <v>-113</v>
      </c>
      <c r="AJ269" s="3">
        <f>T269-HLOOKUP(X269,Feuil1!$C$1:$BL$10,10,FALSE)</f>
        <v>-128</v>
      </c>
      <c r="AK269" s="5"/>
      <c r="AL269" s="5"/>
      <c r="AM269" s="5"/>
      <c r="AN269" s="5"/>
      <c r="AO269" s="5"/>
      <c r="AP269" s="5"/>
      <c r="AQ269" s="5" t="str">
        <f t="shared" si="84"/>
        <v xml:space="preserve">DEB </v>
      </c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</row>
    <row r="270" spans="1:55" s="13" customFormat="1" ht="21" hidden="1" x14ac:dyDescent="0.2">
      <c r="A270" s="12" t="s">
        <v>69</v>
      </c>
      <c r="B270" s="18" t="s">
        <v>298</v>
      </c>
      <c r="C270" s="19" t="s">
        <v>404</v>
      </c>
      <c r="D270" s="61">
        <v>42</v>
      </c>
      <c r="E270" s="35">
        <v>374959</v>
      </c>
      <c r="F270" s="20" t="s">
        <v>468</v>
      </c>
      <c r="G270" s="20" t="s">
        <v>272</v>
      </c>
      <c r="H270" s="51">
        <v>1992</v>
      </c>
      <c r="I270" s="30">
        <v>66.7</v>
      </c>
      <c r="J270" s="19" t="s">
        <v>467</v>
      </c>
      <c r="K270" s="34" t="s">
        <v>69</v>
      </c>
      <c r="L270" s="31">
        <v>25</v>
      </c>
      <c r="M270" s="31">
        <v>29</v>
      </c>
      <c r="N270" s="31">
        <v>-32</v>
      </c>
      <c r="O270" s="36">
        <f t="shared" si="77"/>
        <v>29</v>
      </c>
      <c r="P270" s="31">
        <v>40</v>
      </c>
      <c r="Q270" s="31">
        <v>45</v>
      </c>
      <c r="R270" s="31">
        <v>47</v>
      </c>
      <c r="S270" s="36">
        <f t="shared" si="78"/>
        <v>47</v>
      </c>
      <c r="T270" s="37">
        <f t="shared" si="79"/>
        <v>76</v>
      </c>
      <c r="U270" s="65">
        <f t="shared" si="80"/>
        <v>-57.400000000000006</v>
      </c>
      <c r="V270" s="41" t="str">
        <f t="shared" si="81"/>
        <v xml:space="preserve">DEB </v>
      </c>
      <c r="W270" s="33">
        <f t="shared" si="82"/>
        <v>-4</v>
      </c>
      <c r="X270" s="40" t="str">
        <f>IF(I270="","",IF(A270="H",IF(OR(H270="SEN",H270&lt;1995),VLOOKUP(I270,Feuil1!$A$11:$F$29,6),IF(AND(H270&gt;1994,H270&lt;1998),VLOOKUP(I270,Feuil1!$A$11:$F$29,5),IF(AND(H270&gt;1997,H270&lt;2000),VLOOKUP(I270,Feuil1!$A$11:$F$29,4),IF(AND(H270&gt;1999,H270&lt;2002),VLOOKUP(I270,Feuil1!$A$11:$F$29,3),VLOOKUP(I270,Feuil1!$A$11:$F$29,2))))),IF(OR(H270="SEN",H270&lt;1995),VLOOKUP(I270,Feuil1!$G$11:$L$25,6),IF(AND(H270&gt;1994,H270&lt;1998),VLOOKUP(I270,Feuil1!$G$11:$L$25,5),IF(AND(H270&gt;1997,H270&lt;2000),VLOOKUP(I270,Feuil1!$G$11:$L$25,4),IF(AND(H270&gt;1999,H270&lt;2002),VLOOKUP(I270,Feuil1!$G$11:$L$25,3),VLOOKUP(I270,Feuil1!$G$11:$L$25,2)))))))</f>
        <v>FS69</v>
      </c>
      <c r="Y270" s="39">
        <f t="shared" si="83"/>
        <v>97.355801505532085</v>
      </c>
      <c r="Z270" s="45"/>
      <c r="AA270" s="49" t="s">
        <v>12</v>
      </c>
      <c r="AB270" s="3">
        <f>T270-HLOOKUP(X270,Feuil1!$C$1:$BL$10,2,FALSE)</f>
        <v>-4</v>
      </c>
      <c r="AC270" s="3">
        <f>T270-HLOOKUP(X270,Feuil1!$C$1:$BL$10,3,FALSE)</f>
        <v>-14</v>
      </c>
      <c r="AD270" s="3">
        <f>T270-HLOOKUP(X270,Feuil1!$C$1:$BL$10,4,FALSE)</f>
        <v>-29</v>
      </c>
      <c r="AE270" s="3">
        <f>T270-HLOOKUP(X270,Feuil1!$C$1:$BL$10,5,FALSE)</f>
        <v>-44</v>
      </c>
      <c r="AF270" s="3">
        <f>T270-HLOOKUP(X270,Feuil1!$C$1:$BL$10,6,FALSE)</f>
        <v>-59</v>
      </c>
      <c r="AG270" s="3">
        <f>T270-HLOOKUP(X270,Feuil1!$C$1:$BL$10,7,FALSE)</f>
        <v>-74</v>
      </c>
      <c r="AH270" s="3">
        <f>T270-HLOOKUP(X270,Feuil1!$C$1:$BL$10,8,FALSE)</f>
        <v>-94</v>
      </c>
      <c r="AI270" s="3">
        <f>T270-HLOOKUP(X270,Feuil1!$C$1:$BL$10,9,FALSE)</f>
        <v>-114</v>
      </c>
      <c r="AJ270" s="3">
        <f>T270-HLOOKUP(X270,Feuil1!$C$1:$BL$10,10,FALSE)</f>
        <v>-129</v>
      </c>
      <c r="AK270" s="5"/>
      <c r="AL270" s="5"/>
      <c r="AM270" s="5"/>
      <c r="AN270" s="5"/>
      <c r="AO270" s="5"/>
      <c r="AP270" s="5"/>
      <c r="AQ270" s="5" t="str">
        <f t="shared" si="84"/>
        <v xml:space="preserve">DEB </v>
      </c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</row>
    <row r="271" spans="1:55" s="13" customFormat="1" ht="21" hidden="1" x14ac:dyDescent="0.2">
      <c r="A271" s="12" t="s">
        <v>69</v>
      </c>
      <c r="B271" s="67" t="s">
        <v>71</v>
      </c>
      <c r="C271" s="68" t="s">
        <v>801</v>
      </c>
      <c r="D271" s="69">
        <v>43</v>
      </c>
      <c r="E271" s="70">
        <v>376179</v>
      </c>
      <c r="F271" s="71" t="s">
        <v>851</v>
      </c>
      <c r="G271" s="71" t="s">
        <v>507</v>
      </c>
      <c r="H271" s="72">
        <v>1978</v>
      </c>
      <c r="I271" s="73">
        <v>63.3</v>
      </c>
      <c r="J271" s="68" t="s">
        <v>841</v>
      </c>
      <c r="K271" s="74" t="s">
        <v>69</v>
      </c>
      <c r="L271" s="75">
        <v>27</v>
      </c>
      <c r="M271" s="75">
        <v>30</v>
      </c>
      <c r="N271" s="75">
        <v>-33</v>
      </c>
      <c r="O271" s="76">
        <f t="shared" si="77"/>
        <v>30</v>
      </c>
      <c r="P271" s="75">
        <v>40</v>
      </c>
      <c r="Q271" s="75">
        <v>-42</v>
      </c>
      <c r="R271" s="75">
        <v>42</v>
      </c>
      <c r="S271" s="76">
        <f t="shared" si="78"/>
        <v>42</v>
      </c>
      <c r="T271" s="77">
        <f t="shared" si="79"/>
        <v>72</v>
      </c>
      <c r="U271" s="78">
        <f t="shared" si="80"/>
        <v>-54.599999999999994</v>
      </c>
      <c r="V271" s="79" t="str">
        <f t="shared" si="81"/>
        <v xml:space="preserve">DEB </v>
      </c>
      <c r="W271" s="80">
        <f t="shared" si="82"/>
        <v>-8</v>
      </c>
      <c r="X271" s="81" t="str">
        <f>IF(I271="","",IF(A271="H",IF(OR(H271="SEN",H271&lt;1995),VLOOKUP(I271,Feuil1!$A$11:$F$29,6),IF(AND(H271&gt;1994,H271&lt;1998),VLOOKUP(I271,Feuil1!$A$11:$F$29,5),IF(AND(H271&gt;1997,H271&lt;2000),VLOOKUP(I271,Feuil1!$A$11:$F$29,4),IF(AND(H271&gt;1999,H271&lt;2002),VLOOKUP(I271,Feuil1!$A$11:$F$29,3),VLOOKUP(I271,Feuil1!$A$11:$F$29,2))))),IF(OR(H271="SEN",H271&lt;1995),VLOOKUP(I271,Feuil1!$G$11:$L$25,6),IF(AND(H271&gt;1994,H271&lt;1998),VLOOKUP(I271,Feuil1!$G$11:$L$25,5),IF(AND(H271&gt;1997,H271&lt;2000),VLOOKUP(I271,Feuil1!$G$11:$L$25,4),IF(AND(H271&gt;1999,H271&lt;2002),VLOOKUP(I271,Feuil1!$G$11:$L$25,3),VLOOKUP(I271,Feuil1!$G$11:$L$25,2)))))))</f>
        <v>FS69</v>
      </c>
      <c r="Y271" s="39">
        <f t="shared" si="83"/>
        <v>95.380788990392318</v>
      </c>
      <c r="Z271" s="45"/>
      <c r="AA271" s="49" t="s">
        <v>12</v>
      </c>
      <c r="AB271" s="3">
        <f>T271-HLOOKUP(X271,Feuil1!$C$1:$BL$10,2,FALSE)</f>
        <v>-8</v>
      </c>
      <c r="AC271" s="3">
        <f>T271-HLOOKUP(X271,Feuil1!$C$1:$BL$10,3,FALSE)</f>
        <v>-18</v>
      </c>
      <c r="AD271" s="3">
        <f>T271-HLOOKUP(X271,Feuil1!$C$1:$BL$10,4,FALSE)</f>
        <v>-33</v>
      </c>
      <c r="AE271" s="3">
        <f>T271-HLOOKUP(X271,Feuil1!$C$1:$BL$10,5,FALSE)</f>
        <v>-48</v>
      </c>
      <c r="AF271" s="3">
        <f>T271-HLOOKUP(X271,Feuil1!$C$1:$BL$10,6,FALSE)</f>
        <v>-63</v>
      </c>
      <c r="AG271" s="3">
        <f>T271-HLOOKUP(X271,Feuil1!$C$1:$BL$10,7,FALSE)</f>
        <v>-78</v>
      </c>
      <c r="AH271" s="3">
        <f>T271-HLOOKUP(X271,Feuil1!$C$1:$BL$10,8,FALSE)</f>
        <v>-98</v>
      </c>
      <c r="AI271" s="3">
        <f>T271-HLOOKUP(X271,Feuil1!$C$1:$BL$10,9,FALSE)</f>
        <v>-118</v>
      </c>
      <c r="AJ271" s="3">
        <f>T271-HLOOKUP(X271,Feuil1!$C$1:$BL$10,10,FALSE)</f>
        <v>-133</v>
      </c>
      <c r="AK271" s="5"/>
      <c r="AL271" s="5"/>
      <c r="AM271" s="5"/>
      <c r="AN271" s="5"/>
      <c r="AO271" s="5"/>
      <c r="AP271" s="5"/>
      <c r="AQ271" s="5" t="str">
        <f t="shared" si="84"/>
        <v xml:space="preserve">DEB </v>
      </c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</row>
    <row r="272" spans="1:55" s="13" customFormat="1" ht="21.75" hidden="1" customHeight="1" x14ac:dyDescent="0.2">
      <c r="A272" s="12" t="s">
        <v>69</v>
      </c>
      <c r="B272" s="18" t="s">
        <v>298</v>
      </c>
      <c r="C272" s="19" t="s">
        <v>476</v>
      </c>
      <c r="D272" s="61">
        <v>44</v>
      </c>
      <c r="E272" s="35">
        <v>263675</v>
      </c>
      <c r="F272" s="20" t="s">
        <v>532</v>
      </c>
      <c r="G272" s="20" t="s">
        <v>533</v>
      </c>
      <c r="H272" s="51">
        <v>1957</v>
      </c>
      <c r="I272" s="30">
        <v>69</v>
      </c>
      <c r="J272" s="19" t="s">
        <v>484</v>
      </c>
      <c r="K272" s="34" t="s">
        <v>69</v>
      </c>
      <c r="L272" s="31">
        <v>27</v>
      </c>
      <c r="M272" s="31">
        <v>29</v>
      </c>
      <c r="N272" s="31">
        <v>30</v>
      </c>
      <c r="O272" s="36">
        <f t="shared" si="77"/>
        <v>30</v>
      </c>
      <c r="P272" s="31">
        <v>37</v>
      </c>
      <c r="Q272" s="31">
        <v>-39</v>
      </c>
      <c r="R272" s="31">
        <v>40</v>
      </c>
      <c r="S272" s="36">
        <f t="shared" si="78"/>
        <v>40</v>
      </c>
      <c r="T272" s="37">
        <f t="shared" si="79"/>
        <v>70</v>
      </c>
      <c r="U272" s="65">
        <f t="shared" si="80"/>
        <v>-68</v>
      </c>
      <c r="V272" s="41" t="str">
        <f t="shared" si="81"/>
        <v xml:space="preserve">DEB </v>
      </c>
      <c r="W272" s="33">
        <f t="shared" si="82"/>
        <v>-10</v>
      </c>
      <c r="X272" s="40" t="str">
        <f>IF(I272="","",IF(A272="H",IF(OR(H272="SEN",H272&lt;1995),VLOOKUP(I272,Feuil1!$A$11:$F$29,6),IF(AND(H272&gt;1994,H272&lt;1998),VLOOKUP(I272,Feuil1!$A$11:$F$29,5),IF(AND(H272&gt;1997,H272&lt;2000),VLOOKUP(I272,Feuil1!$A$11:$F$29,4),IF(AND(H272&gt;1999,H272&lt;2002),VLOOKUP(I272,Feuil1!$A$11:$F$29,3),VLOOKUP(I272,Feuil1!$A$11:$F$29,2))))),IF(OR(H272="SEN",H272&lt;1995),VLOOKUP(I272,Feuil1!$G$11:$L$25,6),IF(AND(H272&gt;1994,H272&lt;1998),VLOOKUP(I272,Feuil1!$G$11:$L$25,5),IF(AND(H272&gt;1997,H272&lt;2000),VLOOKUP(I272,Feuil1!$G$11:$L$25,4),IF(AND(H272&gt;1999,H272&lt;2002),VLOOKUP(I272,Feuil1!$G$11:$L$25,3),VLOOKUP(I272,Feuil1!$G$11:$L$25,2)))))))</f>
        <v>FS69</v>
      </c>
      <c r="Y272" s="39">
        <f t="shared" si="83"/>
        <v>87.840226339671631</v>
      </c>
      <c r="Z272" s="45"/>
      <c r="AA272" s="49" t="s">
        <v>12</v>
      </c>
      <c r="AB272" s="3">
        <f>T272-HLOOKUP(X272,Feuil1!$C$1:$BL$10,2,FALSE)</f>
        <v>-10</v>
      </c>
      <c r="AC272" s="3">
        <f>T272-HLOOKUP(X272,Feuil1!$C$1:$BL$10,3,FALSE)</f>
        <v>-20</v>
      </c>
      <c r="AD272" s="3">
        <f>T272-HLOOKUP(X272,Feuil1!$C$1:$BL$10,4,FALSE)</f>
        <v>-35</v>
      </c>
      <c r="AE272" s="3">
        <f>T272-HLOOKUP(X272,Feuil1!$C$1:$BL$10,5,FALSE)</f>
        <v>-50</v>
      </c>
      <c r="AF272" s="3">
        <f>T272-HLOOKUP(X272,Feuil1!$C$1:$BL$10,6,FALSE)</f>
        <v>-65</v>
      </c>
      <c r="AG272" s="3">
        <f>T272-HLOOKUP(X272,Feuil1!$C$1:$BL$10,7,FALSE)</f>
        <v>-80</v>
      </c>
      <c r="AH272" s="3">
        <f>T272-HLOOKUP(X272,Feuil1!$C$1:$BL$10,8,FALSE)</f>
        <v>-100</v>
      </c>
      <c r="AI272" s="3">
        <f>T272-HLOOKUP(X272,Feuil1!$C$1:$BL$10,9,FALSE)</f>
        <v>-120</v>
      </c>
      <c r="AJ272" s="3">
        <f>T272-HLOOKUP(X272,Feuil1!$C$1:$BL$10,10,FALSE)</f>
        <v>-135</v>
      </c>
      <c r="AK272" s="5"/>
      <c r="AL272" s="5"/>
      <c r="AM272" s="5"/>
      <c r="AN272" s="5"/>
      <c r="AO272" s="5"/>
      <c r="AP272" s="5"/>
      <c r="AQ272" s="5" t="str">
        <f t="shared" si="84"/>
        <v xml:space="preserve">DEB </v>
      </c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</row>
    <row r="273" spans="1:55" s="13" customFormat="1" ht="21" hidden="1" x14ac:dyDescent="0.2">
      <c r="A273" s="12" t="s">
        <v>69</v>
      </c>
      <c r="B273" s="18" t="s">
        <v>71</v>
      </c>
      <c r="C273" s="19" t="s">
        <v>72</v>
      </c>
      <c r="D273" s="61">
        <v>45</v>
      </c>
      <c r="E273" s="35">
        <v>380619</v>
      </c>
      <c r="F273" s="20" t="s">
        <v>985</v>
      </c>
      <c r="G273" s="20" t="s">
        <v>494</v>
      </c>
      <c r="H273" s="51">
        <v>1979</v>
      </c>
      <c r="I273" s="30">
        <v>67.2</v>
      </c>
      <c r="J273" s="19" t="s">
        <v>948</v>
      </c>
      <c r="K273" s="34" t="s">
        <v>69</v>
      </c>
      <c r="L273" s="31">
        <v>27</v>
      </c>
      <c r="M273" s="31">
        <v>30</v>
      </c>
      <c r="N273" s="31">
        <v>32</v>
      </c>
      <c r="O273" s="36">
        <f t="shared" si="77"/>
        <v>32</v>
      </c>
      <c r="P273" s="31">
        <v>37</v>
      </c>
      <c r="Q273" s="31">
        <v>-40</v>
      </c>
      <c r="R273" s="31">
        <v>-40</v>
      </c>
      <c r="S273" s="36">
        <f t="shared" si="78"/>
        <v>37</v>
      </c>
      <c r="T273" s="37">
        <f t="shared" si="79"/>
        <v>69</v>
      </c>
      <c r="U273" s="65">
        <f t="shared" si="80"/>
        <v>-65.400000000000006</v>
      </c>
      <c r="V273" s="32" t="str">
        <f t="shared" si="81"/>
        <v xml:space="preserve">DEB </v>
      </c>
      <c r="W273" s="33">
        <f t="shared" si="82"/>
        <v>-11</v>
      </c>
      <c r="X273" s="40" t="str">
        <f>IF(I273="","",IF(A273="H",IF(OR(H273="SEN",H273&lt;1995),VLOOKUP(I273,Feuil1!$A$11:$F$29,6),IF(AND(H273&gt;1994,H273&lt;1998),VLOOKUP(I273,Feuil1!$A$11:$F$29,5),IF(AND(H273&gt;1997,H273&lt;2000),VLOOKUP(I273,Feuil1!$A$11:$F$29,4),IF(AND(H273&gt;1999,H273&lt;2002),VLOOKUP(I273,Feuil1!$A$11:$F$29,3),VLOOKUP(I273,Feuil1!$A$11:$F$29,2))))),IF(OR(H273="SEN",H273&lt;1995),VLOOKUP(I273,Feuil1!$G$11:$L$25,6),IF(AND(H273&gt;1994,H273&lt;1998),VLOOKUP(I273,Feuil1!$G$11:$L$25,5),IF(AND(H273&gt;1997,H273&lt;2000),VLOOKUP(I273,Feuil1!$G$11:$L$25,4),IF(AND(H273&gt;1999,H273&lt;2002),VLOOKUP(I273,Feuil1!$G$11:$L$25,3),VLOOKUP(I273,Feuil1!$G$11:$L$25,2)))))))</f>
        <v>FS69</v>
      </c>
      <c r="Y273" s="39">
        <f t="shared" si="83"/>
        <v>87.981563095006933</v>
      </c>
      <c r="Z273" s="45"/>
      <c r="AA273" s="49" t="s">
        <v>12</v>
      </c>
      <c r="AB273" s="3">
        <f>T273-HLOOKUP(X273,Feuil1!$C$1:$BL$10,2,FALSE)</f>
        <v>-11</v>
      </c>
      <c r="AC273" s="3">
        <f>T273-HLOOKUP(X273,Feuil1!$C$1:$BL$10,3,FALSE)</f>
        <v>-21</v>
      </c>
      <c r="AD273" s="3">
        <f>T273-HLOOKUP(X273,Feuil1!$C$1:$BL$10,4,FALSE)</f>
        <v>-36</v>
      </c>
      <c r="AE273" s="3">
        <f>T273-HLOOKUP(X273,Feuil1!$C$1:$BL$10,5,FALSE)</f>
        <v>-51</v>
      </c>
      <c r="AF273" s="3">
        <f>T273-HLOOKUP(X273,Feuil1!$C$1:$BL$10,6,FALSE)</f>
        <v>-66</v>
      </c>
      <c r="AG273" s="3">
        <f>T273-HLOOKUP(X273,Feuil1!$C$1:$BL$10,7,FALSE)</f>
        <v>-81</v>
      </c>
      <c r="AH273" s="3">
        <f>T273-HLOOKUP(X273,Feuil1!$C$1:$BL$10,8,FALSE)</f>
        <v>-101</v>
      </c>
      <c r="AI273" s="3">
        <f>T273-HLOOKUP(X273,Feuil1!$C$1:$BL$10,9,FALSE)</f>
        <v>-121</v>
      </c>
      <c r="AJ273" s="3">
        <f>T273-HLOOKUP(X273,Feuil1!$C$1:$BL$10,10,FALSE)</f>
        <v>-136</v>
      </c>
      <c r="AK273" s="5"/>
      <c r="AL273" s="5"/>
      <c r="AM273" s="5"/>
      <c r="AN273" s="5"/>
      <c r="AO273" s="5"/>
      <c r="AP273" s="5"/>
      <c r="AQ273" s="5" t="str">
        <f t="shared" si="84"/>
        <v xml:space="preserve">DEB </v>
      </c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</row>
    <row r="274" spans="1:55" s="13" customFormat="1" ht="21" hidden="1" x14ac:dyDescent="0.2">
      <c r="A274" s="12" t="s">
        <v>69</v>
      </c>
      <c r="B274" s="18" t="s">
        <v>71</v>
      </c>
      <c r="C274" s="19" t="s">
        <v>72</v>
      </c>
      <c r="D274" s="61">
        <v>46</v>
      </c>
      <c r="E274" s="35">
        <v>249168</v>
      </c>
      <c r="F274" s="20" t="s">
        <v>350</v>
      </c>
      <c r="G274" s="20" t="s">
        <v>764</v>
      </c>
      <c r="H274" s="51">
        <v>1974</v>
      </c>
      <c r="I274" s="30">
        <v>67.599999999999994</v>
      </c>
      <c r="J274" s="19" t="s">
        <v>923</v>
      </c>
      <c r="K274" s="34" t="s">
        <v>69</v>
      </c>
      <c r="L274" s="31">
        <v>24</v>
      </c>
      <c r="M274" s="31">
        <v>26</v>
      </c>
      <c r="N274" s="31">
        <v>-28</v>
      </c>
      <c r="O274" s="36">
        <f t="shared" si="77"/>
        <v>26</v>
      </c>
      <c r="P274" s="31">
        <v>37</v>
      </c>
      <c r="Q274" s="31">
        <v>40</v>
      </c>
      <c r="R274" s="31">
        <v>42</v>
      </c>
      <c r="S274" s="36">
        <f t="shared" si="78"/>
        <v>42</v>
      </c>
      <c r="T274" s="37">
        <f t="shared" si="79"/>
        <v>68</v>
      </c>
      <c r="U274" s="65">
        <f t="shared" si="80"/>
        <v>-67.199999999999989</v>
      </c>
      <c r="V274" s="32" t="str">
        <f t="shared" si="81"/>
        <v xml:space="preserve">DEB </v>
      </c>
      <c r="W274" s="33">
        <f t="shared" si="82"/>
        <v>-12</v>
      </c>
      <c r="X274" s="40" t="str">
        <f>IF(I274="","",IF(A274="H",IF(OR(H274="SEN",H274&lt;1995),VLOOKUP(I274,Feuil1!$A$11:$F$29,6),IF(AND(H274&gt;1994,H274&lt;1998),VLOOKUP(I274,Feuil1!$A$11:$F$29,5),IF(AND(H274&gt;1997,H274&lt;2000),VLOOKUP(I274,Feuil1!$A$11:$F$29,4),IF(AND(H274&gt;1999,H274&lt;2002),VLOOKUP(I274,Feuil1!$A$11:$F$29,3),VLOOKUP(I274,Feuil1!$A$11:$F$29,2))))),IF(OR(H274="SEN",H274&lt;1995),VLOOKUP(I274,Feuil1!$G$11:$L$25,6),IF(AND(H274&gt;1994,H274&lt;1998),VLOOKUP(I274,Feuil1!$G$11:$L$25,5),IF(AND(H274&gt;1997,H274&lt;2000),VLOOKUP(I274,Feuil1!$G$11:$L$25,4),IF(AND(H274&gt;1999,H274&lt;2002),VLOOKUP(I274,Feuil1!$G$11:$L$25,3),VLOOKUP(I274,Feuil1!$G$11:$L$25,2)))))))</f>
        <v>FS69</v>
      </c>
      <c r="Y274" s="39">
        <f t="shared" si="83"/>
        <v>86.391525548996867</v>
      </c>
      <c r="Z274" s="45"/>
      <c r="AA274" s="49" t="s">
        <v>12</v>
      </c>
      <c r="AB274" s="3">
        <f>T274-HLOOKUP(X274,Feuil1!$C$1:$BL$10,2,FALSE)</f>
        <v>-12</v>
      </c>
      <c r="AC274" s="3">
        <f>T274-HLOOKUP(X274,Feuil1!$C$1:$BL$10,3,FALSE)</f>
        <v>-22</v>
      </c>
      <c r="AD274" s="3">
        <f>T274-HLOOKUP(X274,Feuil1!$C$1:$BL$10,4,FALSE)</f>
        <v>-37</v>
      </c>
      <c r="AE274" s="3">
        <f>T274-HLOOKUP(X274,Feuil1!$C$1:$BL$10,5,FALSE)</f>
        <v>-52</v>
      </c>
      <c r="AF274" s="3">
        <f>T274-HLOOKUP(X274,Feuil1!$C$1:$BL$10,6,FALSE)</f>
        <v>-67</v>
      </c>
      <c r="AG274" s="3">
        <f>T274-HLOOKUP(X274,Feuil1!$C$1:$BL$10,7,FALSE)</f>
        <v>-82</v>
      </c>
      <c r="AH274" s="3">
        <f>T274-HLOOKUP(X274,Feuil1!$C$1:$BL$10,8,FALSE)</f>
        <v>-102</v>
      </c>
      <c r="AI274" s="3">
        <f>T274-HLOOKUP(X274,Feuil1!$C$1:$BL$10,9,FALSE)</f>
        <v>-122</v>
      </c>
      <c r="AJ274" s="3">
        <f>T274-HLOOKUP(X274,Feuil1!$C$1:$BL$10,10,FALSE)</f>
        <v>-137</v>
      </c>
      <c r="AK274" s="5"/>
      <c r="AL274" s="5"/>
      <c r="AM274" s="5"/>
      <c r="AN274" s="5"/>
      <c r="AO274" s="5"/>
      <c r="AP274" s="5"/>
      <c r="AQ274" s="5" t="str">
        <f t="shared" si="84"/>
        <v xml:space="preserve">DEB </v>
      </c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</row>
    <row r="275" spans="1:55" s="13" customFormat="1" ht="21" hidden="1" x14ac:dyDescent="0.2">
      <c r="A275" s="12" t="s">
        <v>69</v>
      </c>
      <c r="B275" s="67" t="s">
        <v>721</v>
      </c>
      <c r="C275" s="68" t="s">
        <v>745</v>
      </c>
      <c r="D275" s="69">
        <v>47</v>
      </c>
      <c r="E275" s="70">
        <v>383854</v>
      </c>
      <c r="F275" s="71" t="s">
        <v>772</v>
      </c>
      <c r="G275" s="71" t="s">
        <v>436</v>
      </c>
      <c r="H275" s="72">
        <v>1992</v>
      </c>
      <c r="I275" s="73">
        <v>65.599999999999994</v>
      </c>
      <c r="J275" s="68" t="s">
        <v>750</v>
      </c>
      <c r="K275" s="74" t="s">
        <v>69</v>
      </c>
      <c r="L275" s="75">
        <v>25</v>
      </c>
      <c r="M275" s="75">
        <v>-27</v>
      </c>
      <c r="N275" s="75">
        <v>27</v>
      </c>
      <c r="O275" s="76">
        <f t="shared" si="77"/>
        <v>27</v>
      </c>
      <c r="P275" s="75">
        <v>32</v>
      </c>
      <c r="Q275" s="75">
        <v>-35</v>
      </c>
      <c r="R275" s="75">
        <v>35</v>
      </c>
      <c r="S275" s="76">
        <f t="shared" si="78"/>
        <v>35</v>
      </c>
      <c r="T275" s="77">
        <f t="shared" si="79"/>
        <v>62</v>
      </c>
      <c r="U275" s="78">
        <f t="shared" si="80"/>
        <v>-69.199999999999989</v>
      </c>
      <c r="V275" s="79" t="str">
        <f t="shared" si="81"/>
        <v xml:space="preserve">DEB </v>
      </c>
      <c r="W275" s="80">
        <f t="shared" si="82"/>
        <v>-18</v>
      </c>
      <c r="X275" s="81" t="str">
        <f>IF(I275="","",IF(A275="H",IF(OR(H275="SEN",H275&lt;1995),VLOOKUP(I275,Feuil1!$A$11:$F$29,6),IF(AND(H275&gt;1994,H275&lt;1998),VLOOKUP(I275,Feuil1!$A$11:$F$29,5),IF(AND(H275&gt;1997,H275&lt;2000),VLOOKUP(I275,Feuil1!$A$11:$F$29,4),IF(AND(H275&gt;1999,H275&lt;2002),VLOOKUP(I275,Feuil1!$A$11:$F$29,3),VLOOKUP(I275,Feuil1!$A$11:$F$29,2))))),IF(OR(H275="SEN",H275&lt;1995),VLOOKUP(I275,Feuil1!$G$11:$L$25,6),IF(AND(H275&gt;1994,H275&lt;1998),VLOOKUP(I275,Feuil1!$G$11:$L$25,5),IF(AND(H275&gt;1997,H275&lt;2000),VLOOKUP(I275,Feuil1!$G$11:$L$25,4),IF(AND(H275&gt;1999,H275&lt;2002),VLOOKUP(I275,Feuil1!$G$11:$L$25,3),VLOOKUP(I275,Feuil1!$G$11:$L$25,2)))))))</f>
        <v>FS69</v>
      </c>
      <c r="Y275" s="39">
        <f t="shared" si="83"/>
        <v>80.255286700265259</v>
      </c>
      <c r="Z275" s="45"/>
      <c r="AA275" s="49" t="s">
        <v>12</v>
      </c>
      <c r="AB275" s="3">
        <f>T275-HLOOKUP(X275,Feuil1!$C$1:$BL$10,2,FALSE)</f>
        <v>-18</v>
      </c>
      <c r="AC275" s="3">
        <f>T275-HLOOKUP(X275,Feuil1!$C$1:$BL$10,3,FALSE)</f>
        <v>-28</v>
      </c>
      <c r="AD275" s="3">
        <f>T275-HLOOKUP(X275,Feuil1!$C$1:$BL$10,4,FALSE)</f>
        <v>-43</v>
      </c>
      <c r="AE275" s="3">
        <f>T275-HLOOKUP(X275,Feuil1!$C$1:$BL$10,5,FALSE)</f>
        <v>-58</v>
      </c>
      <c r="AF275" s="3">
        <f>T275-HLOOKUP(X275,Feuil1!$C$1:$BL$10,6,FALSE)</f>
        <v>-73</v>
      </c>
      <c r="AG275" s="3">
        <f>T275-HLOOKUP(X275,Feuil1!$C$1:$BL$10,7,FALSE)</f>
        <v>-88</v>
      </c>
      <c r="AH275" s="3">
        <f>T275-HLOOKUP(X275,Feuil1!$C$1:$BL$10,8,FALSE)</f>
        <v>-108</v>
      </c>
      <c r="AI275" s="3">
        <f>T275-HLOOKUP(X275,Feuil1!$C$1:$BL$10,9,FALSE)</f>
        <v>-128</v>
      </c>
      <c r="AJ275" s="3">
        <f>T275-HLOOKUP(X275,Feuil1!$C$1:$BL$10,10,FALSE)</f>
        <v>-143</v>
      </c>
      <c r="AK275" s="5"/>
      <c r="AL275" s="5"/>
      <c r="AM275" s="5"/>
      <c r="AN275" s="5"/>
      <c r="AO275" s="5"/>
      <c r="AP275" s="5"/>
      <c r="AQ275" s="5" t="str">
        <f t="shared" si="84"/>
        <v xml:space="preserve">DEB </v>
      </c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</row>
    <row r="276" spans="1:55" s="13" customFormat="1" ht="15" hidden="1" customHeight="1" thickBot="1" x14ac:dyDescent="0.25">
      <c r="A276" s="89"/>
      <c r="B276" s="90"/>
      <c r="C276" s="91"/>
      <c r="D276" s="92"/>
      <c r="E276" s="93"/>
      <c r="F276" s="94"/>
      <c r="G276" s="94"/>
      <c r="H276" s="95"/>
      <c r="I276" s="96"/>
      <c r="J276" s="91"/>
      <c r="K276" s="97"/>
      <c r="L276" s="98"/>
      <c r="M276" s="98"/>
      <c r="N276" s="98"/>
      <c r="O276" s="99"/>
      <c r="P276" s="98"/>
      <c r="Q276" s="98"/>
      <c r="R276" s="98"/>
      <c r="S276" s="99"/>
      <c r="T276" s="100"/>
      <c r="U276" s="101"/>
      <c r="V276" s="102"/>
      <c r="W276" s="103"/>
      <c r="X276" s="104"/>
      <c r="Y276" s="105"/>
      <c r="Z276" s="45"/>
      <c r="AA276" s="45" t="s">
        <v>12</v>
      </c>
      <c r="AB276" s="3" t="e">
        <f>T276-HLOOKUP(X276,Feuil1!$C$1:$BL$10,2,FALSE)</f>
        <v>#N/A</v>
      </c>
      <c r="AC276" s="3" t="e">
        <f>T276-HLOOKUP(X276,Feuil1!$C$1:$BL$10,3,FALSE)</f>
        <v>#N/A</v>
      </c>
      <c r="AD276" s="3" t="e">
        <f>T276-HLOOKUP(X276,Feuil1!$C$1:$BL$10,4,FALSE)</f>
        <v>#N/A</v>
      </c>
      <c r="AE276" s="3" t="e">
        <f>T276-HLOOKUP(X276,Feuil1!$C$1:$BL$10,5,FALSE)</f>
        <v>#N/A</v>
      </c>
      <c r="AF276" s="3" t="e">
        <f>T276-HLOOKUP(X276,Feuil1!$C$1:$BL$10,6,FALSE)</f>
        <v>#N/A</v>
      </c>
      <c r="AG276" s="3" t="e">
        <f>T276-HLOOKUP(X276,Feuil1!$C$1:$BL$10,7,FALSE)</f>
        <v>#N/A</v>
      </c>
      <c r="AH276" s="3" t="e">
        <f>T276-HLOOKUP(X276,Feuil1!$C$1:$BL$10,8,FALSE)</f>
        <v>#N/A</v>
      </c>
      <c r="AI276" s="3" t="e">
        <f>T276-HLOOKUP(X276,Feuil1!$C$1:$BL$10,9,FALSE)</f>
        <v>#N/A</v>
      </c>
      <c r="AJ276" s="3" t="e">
        <f>T276-HLOOKUP(X276,Feuil1!$C$1:$BL$10,10,FALSE)</f>
        <v>#N/A</v>
      </c>
      <c r="AK276" s="5"/>
      <c r="AL276" s="5"/>
      <c r="AM276" s="5"/>
      <c r="AN276" s="5"/>
      <c r="AO276" s="5"/>
      <c r="AP276" s="5"/>
      <c r="AQ276" s="5" t="e">
        <f t="shared" ref="AQ276" si="85">IF(AJ276&gt;=0,$AJ$1,IF(AI276&gt;=0,$AI$1,IF(AH276&gt;=0,$AH$1,IF(AG276&gt;=0,$AG$1,IF(AF276&gt;=0,$AF$1,IF(AE276&gt;=0,$AE$1,IF(AD276&gt;=0,$AD$1,IF(AC276&gt;=0,$AC$1,$AB$1))))))))</f>
        <v>#N/A</v>
      </c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</row>
    <row r="277" spans="1:55" s="13" customFormat="1" ht="21" hidden="1" x14ac:dyDescent="0.2">
      <c r="A277" s="12" t="s">
        <v>69</v>
      </c>
      <c r="B277" s="18" t="s">
        <v>71</v>
      </c>
      <c r="C277" s="19" t="s">
        <v>872</v>
      </c>
      <c r="D277" s="61">
        <v>1</v>
      </c>
      <c r="E277" s="35">
        <v>287541</v>
      </c>
      <c r="F277" s="20" t="s">
        <v>881</v>
      </c>
      <c r="G277" s="20" t="s">
        <v>882</v>
      </c>
      <c r="H277" s="51">
        <v>1988</v>
      </c>
      <c r="I277" s="30">
        <v>73.349999999999994</v>
      </c>
      <c r="J277" s="19" t="s">
        <v>874</v>
      </c>
      <c r="K277" s="34" t="s">
        <v>69</v>
      </c>
      <c r="L277" s="31">
        <v>100</v>
      </c>
      <c r="M277" s="31">
        <v>104</v>
      </c>
      <c r="N277" s="31">
        <v>107</v>
      </c>
      <c r="O277" s="36">
        <f t="shared" ref="O277:O306" si="86">IF(H277="","",IF(MAXA(L277:N277)&lt;=0,0,MAXA(L277:N277)))</f>
        <v>107</v>
      </c>
      <c r="P277" s="31">
        <v>125</v>
      </c>
      <c r="Q277" s="31">
        <v>-131</v>
      </c>
      <c r="R277" s="31">
        <v>131</v>
      </c>
      <c r="S277" s="36">
        <f t="shared" ref="S277:S306" si="87">IF(H277="","",IF(MAXA(P277:R277)&lt;=0,0,MAXA(P277:R277)))</f>
        <v>131</v>
      </c>
      <c r="T277" s="37">
        <f t="shared" ref="T277:T306" si="88">IF(H277="","",IF(OR(O277=0,S277=0),0,O277+S277))</f>
        <v>238</v>
      </c>
      <c r="U277" s="65">
        <f t="shared" ref="U277:U306" si="89">T277-I277*2</f>
        <v>91.300000000000011</v>
      </c>
      <c r="V277" s="41" t="str">
        <f t="shared" ref="V277:V306" si="90">IF(H277="","",AQ277)</f>
        <v>OLY +</v>
      </c>
      <c r="W277" s="33">
        <f t="shared" ref="W277:W306" si="91">IF(AJ277&gt;=0,AJ277,IF(AI277&gt;=0,AI277,IF(AH277&gt;=0,AH277,IF(AG277&gt;=0,AG277,IF(AF277&gt;=0,AF277,IF(AE277&gt;=0,AE277,IF(AD277&gt;=0,AD277,IF(AC277&gt;=0,AC277,AB277))))))))</f>
        <v>28</v>
      </c>
      <c r="X277" s="40" t="str">
        <f>IF(I277="","",IF(A277="H",IF(OR(H277="SEN",H277&lt;1995),VLOOKUP(I277,Feuil1!$A$11:$F$29,6),IF(AND(H277&gt;1994,H277&lt;1998),VLOOKUP(I277,Feuil1!$A$11:$F$29,5),IF(AND(H277&gt;1997,H277&lt;2000),VLOOKUP(I277,Feuil1!$A$11:$F$29,4),IF(AND(H277&gt;1999,H277&lt;2002),VLOOKUP(I277,Feuil1!$A$11:$F$29,3),VLOOKUP(I277,Feuil1!$A$11:$F$29,2))))),IF(OR(H277="SEN",H277&lt;1995),VLOOKUP(I277,Feuil1!$G$11:$L$25,6),IF(AND(H277&gt;1994,H277&lt;1998),VLOOKUP(I277,Feuil1!$G$11:$L$25,5),IF(AND(H277&gt;1997,H277&lt;2000),VLOOKUP(I277,Feuil1!$G$11:$L$25,4),IF(AND(H277&gt;1999,H277&lt;2002),VLOOKUP(I277,Feuil1!$G$11:$L$25,3),VLOOKUP(I277,Feuil1!$G$11:$L$25,2)))))))</f>
        <v>FS75</v>
      </c>
      <c r="Y277" s="39">
        <f t="shared" ref="Y277:Y306" si="92">IF(I277="","",IF(A277="H",10^(0.794358141*LOG(I277/174.393)^2)*T277,IF(A277="F",10^(0.89726074*LOG(I277/148.026)^2)*T277,"")))</f>
        <v>288.41021864518041</v>
      </c>
      <c r="Z277" s="45"/>
      <c r="AA277" s="49" t="s">
        <v>12</v>
      </c>
      <c r="AB277" s="3">
        <f>T277-HLOOKUP(X277,Feuil1!$C$1:$BL$10,2,FALSE)</f>
        <v>143</v>
      </c>
      <c r="AC277" s="3">
        <f>T277-HLOOKUP(X277,Feuil1!$C$1:$BL$10,3,FALSE)</f>
        <v>133</v>
      </c>
      <c r="AD277" s="3">
        <f>T277-HLOOKUP(X277,Feuil1!$C$1:$BL$10,4,FALSE)</f>
        <v>123</v>
      </c>
      <c r="AE277" s="3">
        <f>T277-HLOOKUP(X277,Feuil1!$C$1:$BL$10,5,FALSE)</f>
        <v>108</v>
      </c>
      <c r="AF277" s="3">
        <f>T277-HLOOKUP(X277,Feuil1!$C$1:$BL$10,6,FALSE)</f>
        <v>93</v>
      </c>
      <c r="AG277" s="3">
        <f>T277-HLOOKUP(X277,Feuil1!$C$1:$BL$10,7,FALSE)</f>
        <v>78</v>
      </c>
      <c r="AH277" s="3">
        <f>T277-HLOOKUP(X277,Feuil1!$C$1:$BL$10,8,FALSE)</f>
        <v>58</v>
      </c>
      <c r="AI277" s="3">
        <f>T277-HLOOKUP(X277,Feuil1!$C$1:$BL$10,9,FALSE)</f>
        <v>43</v>
      </c>
      <c r="AJ277" s="3">
        <f>T277-HLOOKUP(X277,Feuil1!$C$1:$BL$10,10,FALSE)</f>
        <v>28</v>
      </c>
      <c r="AK277" s="5"/>
      <c r="AL277" s="5"/>
      <c r="AM277" s="5"/>
      <c r="AN277" s="5"/>
      <c r="AO277" s="5"/>
      <c r="AP277" s="5"/>
      <c r="AQ277" s="5" t="str">
        <f t="shared" ref="AQ277:AQ306" si="93">IF(AJ277&gt;=0,$AJ$1,IF(AI277&gt;=0,$AI$1,IF(AH277&gt;=0,$AH$1,IF(AG277&gt;=0,$AG$1,IF(AF277&gt;=0,$AF$1,IF(AE277&gt;=0,$AE$1,IF(AD277&gt;=0,$AD$1,IF(AC277&gt;=0,$AC$1,$AB$1))))))))</f>
        <v>OLY +</v>
      </c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</row>
    <row r="278" spans="1:55" s="13" customFormat="1" ht="21" hidden="1" x14ac:dyDescent="0.2">
      <c r="A278" s="12" t="s">
        <v>69</v>
      </c>
      <c r="B278" s="67" t="s">
        <v>71</v>
      </c>
      <c r="C278" s="68" t="s">
        <v>801</v>
      </c>
      <c r="D278" s="69">
        <v>2</v>
      </c>
      <c r="E278" s="70">
        <v>199418</v>
      </c>
      <c r="F278" s="71" t="s">
        <v>854</v>
      </c>
      <c r="G278" s="71" t="s">
        <v>855</v>
      </c>
      <c r="H278" s="72">
        <v>1982</v>
      </c>
      <c r="I278" s="73">
        <v>69.2</v>
      </c>
      <c r="J278" s="68" t="s">
        <v>806</v>
      </c>
      <c r="K278" s="74" t="s">
        <v>856</v>
      </c>
      <c r="L278" s="75">
        <v>90</v>
      </c>
      <c r="M278" s="75">
        <v>93</v>
      </c>
      <c r="N278" s="75">
        <v>95</v>
      </c>
      <c r="O278" s="76">
        <f t="shared" si="86"/>
        <v>95</v>
      </c>
      <c r="P278" s="75">
        <v>113</v>
      </c>
      <c r="Q278" s="75">
        <v>118</v>
      </c>
      <c r="R278" s="75">
        <v>-121</v>
      </c>
      <c r="S278" s="76">
        <f t="shared" si="87"/>
        <v>118</v>
      </c>
      <c r="T278" s="77">
        <f t="shared" si="88"/>
        <v>213</v>
      </c>
      <c r="U278" s="78">
        <f t="shared" si="89"/>
        <v>74.599999999999994</v>
      </c>
      <c r="V278" s="79" t="str">
        <f t="shared" si="90"/>
        <v>OLY +</v>
      </c>
      <c r="W278" s="80">
        <f t="shared" si="91"/>
        <v>3</v>
      </c>
      <c r="X278" s="81" t="str">
        <f>IF(I278="","",IF(A278="H",IF(OR(H278="SEN",H278&lt;1995),VLOOKUP(I278,Feuil1!$A$11:$F$29,6),IF(AND(H278&gt;1994,H278&lt;1998),VLOOKUP(I278,Feuil1!$A$11:$F$29,5),IF(AND(H278&gt;1997,H278&lt;2000),VLOOKUP(I278,Feuil1!$A$11:$F$29,4),IF(AND(H278&gt;1999,H278&lt;2002),VLOOKUP(I278,Feuil1!$A$11:$F$29,3),VLOOKUP(I278,Feuil1!$A$11:$F$29,2))))),IF(OR(H278="SEN",H278&lt;1995),VLOOKUP(I278,Feuil1!$G$11:$L$25,6),IF(AND(H278&gt;1994,H278&lt;1998),VLOOKUP(I278,Feuil1!$G$11:$L$25,5),IF(AND(H278&gt;1997,H278&lt;2000),VLOOKUP(I278,Feuil1!$G$11:$L$25,4),IF(AND(H278&gt;1999,H278&lt;2002),VLOOKUP(I278,Feuil1!$G$11:$L$25,3),VLOOKUP(I278,Feuil1!$G$11:$L$25,2)))))))</f>
        <v>FS75</v>
      </c>
      <c r="Y278" s="39">
        <f t="shared" si="92"/>
        <v>266.82632891345986</v>
      </c>
      <c r="Z278" s="45"/>
      <c r="AA278" s="49" t="s">
        <v>12</v>
      </c>
      <c r="AB278" s="3">
        <f>T278-HLOOKUP(X278,Feuil1!$C$1:$BL$10,2,FALSE)</f>
        <v>118</v>
      </c>
      <c r="AC278" s="3">
        <f>T278-HLOOKUP(X278,Feuil1!$C$1:$BL$10,3,FALSE)</f>
        <v>108</v>
      </c>
      <c r="AD278" s="3">
        <f>T278-HLOOKUP(X278,Feuil1!$C$1:$BL$10,4,FALSE)</f>
        <v>98</v>
      </c>
      <c r="AE278" s="3">
        <f>T278-HLOOKUP(X278,Feuil1!$C$1:$BL$10,5,FALSE)</f>
        <v>83</v>
      </c>
      <c r="AF278" s="3">
        <f>T278-HLOOKUP(X278,Feuil1!$C$1:$BL$10,6,FALSE)</f>
        <v>68</v>
      </c>
      <c r="AG278" s="3">
        <f>T278-HLOOKUP(X278,Feuil1!$C$1:$BL$10,7,FALSE)</f>
        <v>53</v>
      </c>
      <c r="AH278" s="3">
        <f>T278-HLOOKUP(X278,Feuil1!$C$1:$BL$10,8,FALSE)</f>
        <v>33</v>
      </c>
      <c r="AI278" s="3">
        <f>T278-HLOOKUP(X278,Feuil1!$C$1:$BL$10,9,FALSE)</f>
        <v>18</v>
      </c>
      <c r="AJ278" s="3">
        <f>T278-HLOOKUP(X278,Feuil1!$C$1:$BL$10,10,FALSE)</f>
        <v>3</v>
      </c>
      <c r="AK278" s="5"/>
      <c r="AL278" s="5"/>
      <c r="AM278" s="5"/>
      <c r="AN278" s="5"/>
      <c r="AO278" s="5"/>
      <c r="AP278" s="5"/>
      <c r="AQ278" s="5" t="str">
        <f t="shared" si="93"/>
        <v>OLY +</v>
      </c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</row>
    <row r="279" spans="1:55" s="13" customFormat="1" ht="21" x14ac:dyDescent="0.2">
      <c r="A279" s="12" t="s">
        <v>69</v>
      </c>
      <c r="B279" s="18" t="s">
        <v>298</v>
      </c>
      <c r="C279" s="19" t="s">
        <v>476</v>
      </c>
      <c r="D279" s="61">
        <v>3</v>
      </c>
      <c r="E279" s="35">
        <v>314914</v>
      </c>
      <c r="F279" s="20" t="s">
        <v>534</v>
      </c>
      <c r="G279" s="20" t="s">
        <v>535</v>
      </c>
      <c r="H279" s="51">
        <v>1994</v>
      </c>
      <c r="I279" s="30">
        <v>74.650000000000006</v>
      </c>
      <c r="J279" s="19" t="s">
        <v>503</v>
      </c>
      <c r="K279" s="34" t="s">
        <v>525</v>
      </c>
      <c r="L279" s="31">
        <v>-90</v>
      </c>
      <c r="M279" s="31">
        <v>90</v>
      </c>
      <c r="N279" s="31">
        <v>93</v>
      </c>
      <c r="O279" s="36">
        <f t="shared" si="86"/>
        <v>93</v>
      </c>
      <c r="P279" s="31">
        <v>109</v>
      </c>
      <c r="Q279" s="31">
        <v>112</v>
      </c>
      <c r="R279" s="31">
        <v>-114</v>
      </c>
      <c r="S279" s="36">
        <f t="shared" si="87"/>
        <v>112</v>
      </c>
      <c r="T279" s="37">
        <f t="shared" si="88"/>
        <v>205</v>
      </c>
      <c r="U279" s="65">
        <f t="shared" si="89"/>
        <v>55.699999999999989</v>
      </c>
      <c r="V279" s="41" t="str">
        <f t="shared" si="90"/>
        <v>INTA +</v>
      </c>
      <c r="W279" s="33">
        <f t="shared" si="91"/>
        <v>10</v>
      </c>
      <c r="X279" s="40" t="str">
        <f>IF(I279="","",IF(A279="H",IF(OR(H279="SEN",H279&lt;1995),VLOOKUP(I279,Feuil1!$A$11:$F$29,6),IF(AND(H279&gt;1994,H279&lt;1998),VLOOKUP(I279,Feuil1!$A$11:$F$29,5),IF(AND(H279&gt;1997,H279&lt;2000),VLOOKUP(I279,Feuil1!$A$11:$F$29,4),IF(AND(H279&gt;1999,H279&lt;2002),VLOOKUP(I279,Feuil1!$A$11:$F$29,3),VLOOKUP(I279,Feuil1!$A$11:$F$29,2))))),IF(OR(H279="SEN",H279&lt;1995),VLOOKUP(I279,Feuil1!$G$11:$L$25,6),IF(AND(H279&gt;1994,H279&lt;1998),VLOOKUP(I279,Feuil1!$G$11:$L$25,5),IF(AND(H279&gt;1997,H279&lt;2000),VLOOKUP(I279,Feuil1!$G$11:$L$25,4),IF(AND(H279&gt;1999,H279&lt;2002),VLOOKUP(I279,Feuil1!$G$11:$L$25,3),VLOOKUP(I279,Feuil1!$G$11:$L$25,2)))))))</f>
        <v>FS75</v>
      </c>
      <c r="Y279" s="39">
        <f t="shared" si="92"/>
        <v>246.07340380408519</v>
      </c>
      <c r="Z279" s="45"/>
      <c r="AA279" s="49" t="s">
        <v>12</v>
      </c>
      <c r="AB279" s="3">
        <f>T279-HLOOKUP(X279,Feuil1!$C$1:$BL$10,2,FALSE)</f>
        <v>110</v>
      </c>
      <c r="AC279" s="3">
        <f>T279-HLOOKUP(X279,Feuil1!$C$1:$BL$10,3,FALSE)</f>
        <v>100</v>
      </c>
      <c r="AD279" s="3">
        <f>T279-HLOOKUP(X279,Feuil1!$C$1:$BL$10,4,FALSE)</f>
        <v>90</v>
      </c>
      <c r="AE279" s="3">
        <f>T279-HLOOKUP(X279,Feuil1!$C$1:$BL$10,5,FALSE)</f>
        <v>75</v>
      </c>
      <c r="AF279" s="3">
        <f>T279-HLOOKUP(X279,Feuil1!$C$1:$BL$10,6,FALSE)</f>
        <v>60</v>
      </c>
      <c r="AG279" s="3">
        <f>T279-HLOOKUP(X279,Feuil1!$C$1:$BL$10,7,FALSE)</f>
        <v>45</v>
      </c>
      <c r="AH279" s="3">
        <f>T279-HLOOKUP(X279,Feuil1!$C$1:$BL$10,8,FALSE)</f>
        <v>25</v>
      </c>
      <c r="AI279" s="3">
        <f>T279-HLOOKUP(X279,Feuil1!$C$1:$BL$10,9,FALSE)</f>
        <v>10</v>
      </c>
      <c r="AJ279" s="3">
        <f>T279-HLOOKUP(X279,Feuil1!$C$1:$BL$10,10,FALSE)</f>
        <v>-5</v>
      </c>
      <c r="AK279" s="5"/>
      <c r="AL279" s="5"/>
      <c r="AM279" s="5"/>
      <c r="AN279" s="5"/>
      <c r="AO279" s="5"/>
      <c r="AP279" s="5"/>
      <c r="AQ279" s="5" t="str">
        <f t="shared" si="93"/>
        <v>INTA +</v>
      </c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</row>
    <row r="280" spans="1:55" s="13" customFormat="1" ht="21" hidden="1" x14ac:dyDescent="0.2">
      <c r="A280" s="12" t="s">
        <v>69</v>
      </c>
      <c r="B280" s="67" t="s">
        <v>108</v>
      </c>
      <c r="C280" s="68" t="s">
        <v>119</v>
      </c>
      <c r="D280" s="69">
        <v>4</v>
      </c>
      <c r="E280" s="70">
        <v>176279</v>
      </c>
      <c r="F280" s="71" t="s">
        <v>219</v>
      </c>
      <c r="G280" s="71" t="s">
        <v>220</v>
      </c>
      <c r="H280" s="72">
        <v>1993</v>
      </c>
      <c r="I280" s="73">
        <v>70.7</v>
      </c>
      <c r="J280" s="68" t="s">
        <v>221</v>
      </c>
      <c r="K280" s="74" t="s">
        <v>69</v>
      </c>
      <c r="L280" s="75">
        <v>70</v>
      </c>
      <c r="M280" s="75">
        <v>73</v>
      </c>
      <c r="N280" s="75">
        <v>-75</v>
      </c>
      <c r="O280" s="76">
        <f t="shared" si="86"/>
        <v>73</v>
      </c>
      <c r="P280" s="75">
        <v>80</v>
      </c>
      <c r="Q280" s="75">
        <v>87</v>
      </c>
      <c r="R280" s="75">
        <v>-90</v>
      </c>
      <c r="S280" s="76">
        <f t="shared" si="87"/>
        <v>87</v>
      </c>
      <c r="T280" s="77">
        <f t="shared" si="88"/>
        <v>160</v>
      </c>
      <c r="U280" s="78">
        <f t="shared" si="89"/>
        <v>18.599999999999994</v>
      </c>
      <c r="V280" s="79" t="str">
        <f t="shared" si="90"/>
        <v>NAT +</v>
      </c>
      <c r="W280" s="80">
        <f t="shared" si="91"/>
        <v>0</v>
      </c>
      <c r="X280" s="81" t="str">
        <f>IF(I280="","",IF(A280="H",IF(OR(H280="SEN",H280&lt;1995),VLOOKUP(I280,Feuil1!$A$11:$F$29,6),IF(AND(H280&gt;1994,H280&lt;1998),VLOOKUP(I280,Feuil1!$A$11:$F$29,5),IF(AND(H280&gt;1997,H280&lt;2000),VLOOKUP(I280,Feuil1!$A$11:$F$29,4),IF(AND(H280&gt;1999,H280&lt;2002),VLOOKUP(I280,Feuil1!$A$11:$F$29,3),VLOOKUP(I280,Feuil1!$A$11:$F$29,2))))),IF(OR(H280="SEN",H280&lt;1995),VLOOKUP(I280,Feuil1!$G$11:$L$25,6),IF(AND(H280&gt;1994,H280&lt;1998),VLOOKUP(I280,Feuil1!$G$11:$L$25,5),IF(AND(H280&gt;1997,H280&lt;2000),VLOOKUP(I280,Feuil1!$G$11:$L$25,4),IF(AND(H280&gt;1999,H280&lt;2002),VLOOKUP(I280,Feuil1!$G$11:$L$25,3),VLOOKUP(I280,Feuil1!$G$11:$L$25,2)))))))</f>
        <v>FS75</v>
      </c>
      <c r="Y280" s="39">
        <f t="shared" si="92"/>
        <v>197.9373433044498</v>
      </c>
      <c r="Z280" s="45"/>
      <c r="AA280" s="49" t="s">
        <v>12</v>
      </c>
      <c r="AB280" s="3">
        <f>T280-HLOOKUP(X280,Feuil1!$C$1:$BL$10,2,FALSE)</f>
        <v>65</v>
      </c>
      <c r="AC280" s="3">
        <f>T280-HLOOKUP(X280,Feuil1!$C$1:$BL$10,3,FALSE)</f>
        <v>55</v>
      </c>
      <c r="AD280" s="3">
        <f>T280-HLOOKUP(X280,Feuil1!$C$1:$BL$10,4,FALSE)</f>
        <v>45</v>
      </c>
      <c r="AE280" s="3">
        <f>T280-HLOOKUP(X280,Feuil1!$C$1:$BL$10,5,FALSE)</f>
        <v>30</v>
      </c>
      <c r="AF280" s="3">
        <f>T280-HLOOKUP(X280,Feuil1!$C$1:$BL$10,6,FALSE)</f>
        <v>15</v>
      </c>
      <c r="AG280" s="3">
        <f>T280-HLOOKUP(X280,Feuil1!$C$1:$BL$10,7,FALSE)</f>
        <v>0</v>
      </c>
      <c r="AH280" s="3">
        <f>T280-HLOOKUP(X280,Feuil1!$C$1:$BL$10,8,FALSE)</f>
        <v>-20</v>
      </c>
      <c r="AI280" s="3">
        <f>T280-HLOOKUP(X280,Feuil1!$C$1:$BL$10,9,FALSE)</f>
        <v>-35</v>
      </c>
      <c r="AJ280" s="3">
        <f>T280-HLOOKUP(X280,Feuil1!$C$1:$BL$10,10,FALSE)</f>
        <v>-50</v>
      </c>
      <c r="AK280" s="5"/>
      <c r="AL280" s="5"/>
      <c r="AM280" s="5"/>
      <c r="AN280" s="5"/>
      <c r="AO280" s="5"/>
      <c r="AP280" s="5"/>
      <c r="AQ280" s="5" t="str">
        <f t="shared" si="93"/>
        <v>NAT +</v>
      </c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</row>
    <row r="281" spans="1:55" s="13" customFormat="1" ht="21" hidden="1" x14ac:dyDescent="0.2">
      <c r="A281" s="12" t="s">
        <v>69</v>
      </c>
      <c r="B281" s="67" t="s">
        <v>108</v>
      </c>
      <c r="C281" s="68" t="s">
        <v>119</v>
      </c>
      <c r="D281" s="69">
        <v>5</v>
      </c>
      <c r="E281" s="70">
        <v>319461</v>
      </c>
      <c r="F281" s="71" t="s">
        <v>222</v>
      </c>
      <c r="G281" s="71" t="s">
        <v>223</v>
      </c>
      <c r="H281" s="72">
        <v>1984</v>
      </c>
      <c r="I281" s="73">
        <v>70.5</v>
      </c>
      <c r="J281" s="68" t="s">
        <v>138</v>
      </c>
      <c r="K281" s="74" t="s">
        <v>69</v>
      </c>
      <c r="L281" s="75">
        <v>61</v>
      </c>
      <c r="M281" s="75">
        <v>65</v>
      </c>
      <c r="N281" s="75">
        <v>68</v>
      </c>
      <c r="O281" s="76">
        <f t="shared" si="86"/>
        <v>68</v>
      </c>
      <c r="P281" s="75">
        <v>81</v>
      </c>
      <c r="Q281" s="75">
        <v>85</v>
      </c>
      <c r="R281" s="75">
        <v>-88</v>
      </c>
      <c r="S281" s="76">
        <f t="shared" si="87"/>
        <v>85</v>
      </c>
      <c r="T281" s="77">
        <f t="shared" si="88"/>
        <v>153</v>
      </c>
      <c r="U281" s="78">
        <f t="shared" si="89"/>
        <v>12</v>
      </c>
      <c r="V281" s="79" t="str">
        <f t="shared" si="90"/>
        <v>FED +</v>
      </c>
      <c r="W281" s="80">
        <f t="shared" si="91"/>
        <v>8</v>
      </c>
      <c r="X281" s="81" t="str">
        <f>IF(I281="","",IF(A281="H",IF(OR(H281="SEN",H281&lt;1995),VLOOKUP(I281,Feuil1!$A$11:$F$29,6),IF(AND(H281&gt;1994,H281&lt;1998),VLOOKUP(I281,Feuil1!$A$11:$F$29,5),IF(AND(H281&gt;1997,H281&lt;2000),VLOOKUP(I281,Feuil1!$A$11:$F$29,4),IF(AND(H281&gt;1999,H281&lt;2002),VLOOKUP(I281,Feuil1!$A$11:$F$29,3),VLOOKUP(I281,Feuil1!$A$11:$F$29,2))))),IF(OR(H281="SEN",H281&lt;1995),VLOOKUP(I281,Feuil1!$G$11:$L$25,6),IF(AND(H281&gt;1994,H281&lt;1998),VLOOKUP(I281,Feuil1!$G$11:$L$25,5),IF(AND(H281&gt;1997,H281&lt;2000),VLOOKUP(I281,Feuil1!$G$11:$L$25,4),IF(AND(H281&gt;1999,H281&lt;2002),VLOOKUP(I281,Feuil1!$G$11:$L$25,3),VLOOKUP(I281,Feuil1!$G$11:$L$25,2)))))))</f>
        <v>FS75</v>
      </c>
      <c r="Y281" s="39">
        <f t="shared" si="92"/>
        <v>189.58722304530369</v>
      </c>
      <c r="Z281" s="45"/>
      <c r="AA281" s="49" t="s">
        <v>12</v>
      </c>
      <c r="AB281" s="3">
        <f>T281-HLOOKUP(X281,Feuil1!$C$1:$BL$10,2,FALSE)</f>
        <v>58</v>
      </c>
      <c r="AC281" s="3">
        <f>T281-HLOOKUP(X281,Feuil1!$C$1:$BL$10,3,FALSE)</f>
        <v>48</v>
      </c>
      <c r="AD281" s="3">
        <f>T281-HLOOKUP(X281,Feuil1!$C$1:$BL$10,4,FALSE)</f>
        <v>38</v>
      </c>
      <c r="AE281" s="3">
        <f>T281-HLOOKUP(X281,Feuil1!$C$1:$BL$10,5,FALSE)</f>
        <v>23</v>
      </c>
      <c r="AF281" s="3">
        <f>T281-HLOOKUP(X281,Feuil1!$C$1:$BL$10,6,FALSE)</f>
        <v>8</v>
      </c>
      <c r="AG281" s="3">
        <f>T281-HLOOKUP(X281,Feuil1!$C$1:$BL$10,7,FALSE)</f>
        <v>-7</v>
      </c>
      <c r="AH281" s="3">
        <f>T281-HLOOKUP(X281,Feuil1!$C$1:$BL$10,8,FALSE)</f>
        <v>-27</v>
      </c>
      <c r="AI281" s="3">
        <f>T281-HLOOKUP(X281,Feuil1!$C$1:$BL$10,9,FALSE)</f>
        <v>-42</v>
      </c>
      <c r="AJ281" s="3">
        <f>T281-HLOOKUP(X281,Feuil1!$C$1:$BL$10,10,FALSE)</f>
        <v>-57</v>
      </c>
      <c r="AK281" s="5"/>
      <c r="AL281" s="5"/>
      <c r="AM281" s="5"/>
      <c r="AN281" s="5"/>
      <c r="AO281" s="5"/>
      <c r="AP281" s="5"/>
      <c r="AQ281" s="5" t="str">
        <f t="shared" si="93"/>
        <v>FED +</v>
      </c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</row>
    <row r="282" spans="1:55" s="13" customFormat="1" ht="21" hidden="1" x14ac:dyDescent="0.2">
      <c r="A282" s="12" t="s">
        <v>69</v>
      </c>
      <c r="B282" s="18" t="s">
        <v>649</v>
      </c>
      <c r="C282" s="19" t="s">
        <v>648</v>
      </c>
      <c r="D282" s="61">
        <v>6</v>
      </c>
      <c r="E282" s="35">
        <v>326348</v>
      </c>
      <c r="F282" s="20" t="s">
        <v>658</v>
      </c>
      <c r="G282" s="20" t="s">
        <v>968</v>
      </c>
      <c r="H282" s="51">
        <v>1992</v>
      </c>
      <c r="I282" s="30">
        <v>69.73</v>
      </c>
      <c r="J282" s="19" t="s">
        <v>642</v>
      </c>
      <c r="K282" s="34" t="s">
        <v>69</v>
      </c>
      <c r="L282" s="31">
        <v>60</v>
      </c>
      <c r="M282" s="31">
        <v>-65</v>
      </c>
      <c r="N282" s="31">
        <v>-65</v>
      </c>
      <c r="O282" s="36">
        <f t="shared" si="86"/>
        <v>60</v>
      </c>
      <c r="P282" s="31">
        <v>75</v>
      </c>
      <c r="Q282" s="31">
        <v>80</v>
      </c>
      <c r="R282" s="31">
        <v>85</v>
      </c>
      <c r="S282" s="36">
        <f t="shared" si="87"/>
        <v>85</v>
      </c>
      <c r="T282" s="37">
        <f t="shared" si="88"/>
        <v>145</v>
      </c>
      <c r="U282" s="65">
        <f t="shared" si="89"/>
        <v>5.539999999999992</v>
      </c>
      <c r="V282" s="41" t="str">
        <f t="shared" si="90"/>
        <v>FED +</v>
      </c>
      <c r="W282" s="33">
        <f t="shared" si="91"/>
        <v>0</v>
      </c>
      <c r="X282" s="40" t="str">
        <f>IF(I282="","",IF(A282="H",IF(OR(H282="SEN",H282&lt;1995),VLOOKUP(I282,Feuil1!$A$11:$F$29,6),IF(AND(H282&gt;1994,H282&lt;1998),VLOOKUP(I282,Feuil1!$A$11:$F$29,5),IF(AND(H282&gt;1997,H282&lt;2000),VLOOKUP(I282,Feuil1!$A$11:$F$29,4),IF(AND(H282&gt;1999,H282&lt;2002),VLOOKUP(I282,Feuil1!$A$11:$F$29,3),VLOOKUP(I282,Feuil1!$A$11:$F$29,2))))),IF(OR(H282="SEN",H282&lt;1995),VLOOKUP(I282,Feuil1!$G$11:$L$25,6),IF(AND(H282&gt;1994,H282&lt;1998),VLOOKUP(I282,Feuil1!$G$11:$L$25,5),IF(AND(H282&gt;1997,H282&lt;2000),VLOOKUP(I282,Feuil1!$G$11:$L$25,4),IF(AND(H282&gt;1999,H282&lt;2002),VLOOKUP(I282,Feuil1!$G$11:$L$25,3),VLOOKUP(I282,Feuil1!$G$11:$L$25,2)))))))</f>
        <v>FS75</v>
      </c>
      <c r="Y282" s="39">
        <f t="shared" si="92"/>
        <v>180.82700207379841</v>
      </c>
      <c r="Z282" s="45"/>
      <c r="AA282" s="49" t="s">
        <v>12</v>
      </c>
      <c r="AB282" s="3">
        <f>T282-HLOOKUP(X282,Feuil1!$C$1:$BL$10,2,FALSE)</f>
        <v>50</v>
      </c>
      <c r="AC282" s="3">
        <f>T282-HLOOKUP(X282,Feuil1!$C$1:$BL$10,3,FALSE)</f>
        <v>40</v>
      </c>
      <c r="AD282" s="3">
        <f>T282-HLOOKUP(X282,Feuil1!$C$1:$BL$10,4,FALSE)</f>
        <v>30</v>
      </c>
      <c r="AE282" s="3">
        <f>T282-HLOOKUP(X282,Feuil1!$C$1:$BL$10,5,FALSE)</f>
        <v>15</v>
      </c>
      <c r="AF282" s="3">
        <f>T282-HLOOKUP(X282,Feuil1!$C$1:$BL$10,6,FALSE)</f>
        <v>0</v>
      </c>
      <c r="AG282" s="3">
        <f>T282-HLOOKUP(X282,Feuil1!$C$1:$BL$10,7,FALSE)</f>
        <v>-15</v>
      </c>
      <c r="AH282" s="3">
        <f>T282-HLOOKUP(X282,Feuil1!$C$1:$BL$10,8,FALSE)</f>
        <v>-35</v>
      </c>
      <c r="AI282" s="3">
        <f>T282-HLOOKUP(X282,Feuil1!$C$1:$BL$10,9,FALSE)</f>
        <v>-50</v>
      </c>
      <c r="AJ282" s="3">
        <f>T282-HLOOKUP(X282,Feuil1!$C$1:$BL$10,10,FALSE)</f>
        <v>-65</v>
      </c>
      <c r="AK282" s="5"/>
      <c r="AL282" s="5"/>
      <c r="AM282" s="5"/>
      <c r="AN282" s="5"/>
      <c r="AO282" s="5"/>
      <c r="AP282" s="5"/>
      <c r="AQ282" s="5" t="str">
        <f t="shared" si="93"/>
        <v>FED +</v>
      </c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</row>
    <row r="283" spans="1:55" s="13" customFormat="1" ht="21" hidden="1" x14ac:dyDescent="0.2">
      <c r="A283" s="12" t="s">
        <v>69</v>
      </c>
      <c r="B283" s="18" t="s">
        <v>71</v>
      </c>
      <c r="C283" s="19" t="s">
        <v>72</v>
      </c>
      <c r="D283" s="61">
        <v>7</v>
      </c>
      <c r="E283" s="35">
        <v>372486</v>
      </c>
      <c r="F283" s="20" t="s">
        <v>960</v>
      </c>
      <c r="G283" s="20" t="s">
        <v>961</v>
      </c>
      <c r="H283" s="51">
        <v>1993</v>
      </c>
      <c r="I283" s="30">
        <v>73.53</v>
      </c>
      <c r="J283" s="19" t="s">
        <v>923</v>
      </c>
      <c r="K283" s="34" t="s">
        <v>69</v>
      </c>
      <c r="L283" s="31">
        <v>60</v>
      </c>
      <c r="M283" s="31">
        <v>-65</v>
      </c>
      <c r="N283" s="31">
        <v>65</v>
      </c>
      <c r="O283" s="36">
        <f t="shared" si="86"/>
        <v>65</v>
      </c>
      <c r="P283" s="31">
        <v>-75</v>
      </c>
      <c r="Q283" s="31">
        <v>77</v>
      </c>
      <c r="R283" s="31">
        <v>80</v>
      </c>
      <c r="S283" s="36">
        <f t="shared" si="87"/>
        <v>80</v>
      </c>
      <c r="T283" s="37">
        <f t="shared" si="88"/>
        <v>145</v>
      </c>
      <c r="U283" s="65">
        <f t="shared" si="89"/>
        <v>-2.0600000000000023</v>
      </c>
      <c r="V283" s="41" t="str">
        <f t="shared" si="90"/>
        <v>FED +</v>
      </c>
      <c r="W283" s="33">
        <f t="shared" si="91"/>
        <v>0</v>
      </c>
      <c r="X283" s="40" t="str">
        <f>IF(I283="","",IF(A283="H",IF(OR(H283="SEN",H283&lt;1995),VLOOKUP(I283,Feuil1!$A$11:$F$29,6),IF(AND(H283&gt;1994,H283&lt;1998),VLOOKUP(I283,Feuil1!$A$11:$F$29,5),IF(AND(H283&gt;1997,H283&lt;2000),VLOOKUP(I283,Feuil1!$A$11:$F$29,4),IF(AND(H283&gt;1999,H283&lt;2002),VLOOKUP(I283,Feuil1!$A$11:$F$29,3),VLOOKUP(I283,Feuil1!$A$11:$F$29,2))))),IF(OR(H283="SEN",H283&lt;1995),VLOOKUP(I283,Feuil1!$G$11:$L$25,6),IF(AND(H283&gt;1994,H283&lt;1998),VLOOKUP(I283,Feuil1!$G$11:$L$25,5),IF(AND(H283&gt;1997,H283&lt;2000),VLOOKUP(I283,Feuil1!$G$11:$L$25,4),IF(AND(H283&gt;1999,H283&lt;2002),VLOOKUP(I283,Feuil1!$G$11:$L$25,3),VLOOKUP(I283,Feuil1!$G$11:$L$25,2)))))))</f>
        <v>FS75</v>
      </c>
      <c r="Y283" s="39">
        <f t="shared" si="92"/>
        <v>175.47700810676341</v>
      </c>
      <c r="Z283" s="45"/>
      <c r="AA283" s="49" t="s">
        <v>12</v>
      </c>
      <c r="AB283" s="3">
        <f>T283-HLOOKUP(X283,Feuil1!$C$1:$BL$10,2,FALSE)</f>
        <v>50</v>
      </c>
      <c r="AC283" s="3">
        <f>T283-HLOOKUP(X283,Feuil1!$C$1:$BL$10,3,FALSE)</f>
        <v>40</v>
      </c>
      <c r="AD283" s="3">
        <f>T283-HLOOKUP(X283,Feuil1!$C$1:$BL$10,4,FALSE)</f>
        <v>30</v>
      </c>
      <c r="AE283" s="3">
        <f>T283-HLOOKUP(X283,Feuil1!$C$1:$BL$10,5,FALSE)</f>
        <v>15</v>
      </c>
      <c r="AF283" s="3">
        <f>T283-HLOOKUP(X283,Feuil1!$C$1:$BL$10,6,FALSE)</f>
        <v>0</v>
      </c>
      <c r="AG283" s="3">
        <f>T283-HLOOKUP(X283,Feuil1!$C$1:$BL$10,7,FALSE)</f>
        <v>-15</v>
      </c>
      <c r="AH283" s="3">
        <f>T283-HLOOKUP(X283,Feuil1!$C$1:$BL$10,8,FALSE)</f>
        <v>-35</v>
      </c>
      <c r="AI283" s="3">
        <f>T283-HLOOKUP(X283,Feuil1!$C$1:$BL$10,9,FALSE)</f>
        <v>-50</v>
      </c>
      <c r="AJ283" s="3">
        <f>T283-HLOOKUP(X283,Feuil1!$C$1:$BL$10,10,FALSE)</f>
        <v>-65</v>
      </c>
      <c r="AK283" s="5"/>
      <c r="AL283" s="5"/>
      <c r="AM283" s="5"/>
      <c r="AN283" s="5"/>
      <c r="AO283" s="5"/>
      <c r="AP283" s="5"/>
      <c r="AQ283" s="5" t="str">
        <f t="shared" si="93"/>
        <v>FED +</v>
      </c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</row>
    <row r="284" spans="1:55" s="13" customFormat="1" ht="21" hidden="1" x14ac:dyDescent="0.2">
      <c r="A284" s="12" t="s">
        <v>69</v>
      </c>
      <c r="B284" s="67" t="s">
        <v>108</v>
      </c>
      <c r="C284" s="68" t="s">
        <v>119</v>
      </c>
      <c r="D284" s="69">
        <v>8</v>
      </c>
      <c r="E284" s="70">
        <v>20829</v>
      </c>
      <c r="F284" s="71" t="s">
        <v>224</v>
      </c>
      <c r="G284" s="71" t="s">
        <v>225</v>
      </c>
      <c r="H284" s="72">
        <v>1979</v>
      </c>
      <c r="I284" s="73">
        <v>69.2</v>
      </c>
      <c r="J284" s="68" t="s">
        <v>122</v>
      </c>
      <c r="K284" s="74" t="s">
        <v>69</v>
      </c>
      <c r="L284" s="75">
        <v>55</v>
      </c>
      <c r="M284" s="75">
        <v>57</v>
      </c>
      <c r="N284" s="75">
        <v>59</v>
      </c>
      <c r="O284" s="76">
        <f t="shared" si="86"/>
        <v>59</v>
      </c>
      <c r="P284" s="75">
        <v>66</v>
      </c>
      <c r="Q284" s="75">
        <v>69</v>
      </c>
      <c r="R284" s="75">
        <v>71</v>
      </c>
      <c r="S284" s="76">
        <f t="shared" si="87"/>
        <v>71</v>
      </c>
      <c r="T284" s="77">
        <f t="shared" si="88"/>
        <v>130</v>
      </c>
      <c r="U284" s="78">
        <f t="shared" si="89"/>
        <v>-8.4000000000000057</v>
      </c>
      <c r="V284" s="79" t="str">
        <f t="shared" si="90"/>
        <v>IRG +</v>
      </c>
      <c r="W284" s="80">
        <f t="shared" si="91"/>
        <v>0</v>
      </c>
      <c r="X284" s="81" t="str">
        <f>IF(I284="","",IF(A284="H",IF(OR(H284="SEN",H284&lt;1995),VLOOKUP(I284,Feuil1!$A$11:$F$29,6),IF(AND(H284&gt;1994,H284&lt;1998),VLOOKUP(I284,Feuil1!$A$11:$F$29,5),IF(AND(H284&gt;1997,H284&lt;2000),VLOOKUP(I284,Feuil1!$A$11:$F$29,4),IF(AND(H284&gt;1999,H284&lt;2002),VLOOKUP(I284,Feuil1!$A$11:$F$29,3),VLOOKUP(I284,Feuil1!$A$11:$F$29,2))))),IF(OR(H284="SEN",H284&lt;1995),VLOOKUP(I284,Feuil1!$G$11:$L$25,6),IF(AND(H284&gt;1994,H284&lt;1998),VLOOKUP(I284,Feuil1!$G$11:$L$25,5),IF(AND(H284&gt;1997,H284&lt;2000),VLOOKUP(I284,Feuil1!$G$11:$L$25,4),IF(AND(H284&gt;1999,H284&lt;2002),VLOOKUP(I284,Feuil1!$G$11:$L$25,3),VLOOKUP(I284,Feuil1!$G$11:$L$25,2)))))))</f>
        <v>FS75</v>
      </c>
      <c r="Y284" s="39">
        <f t="shared" si="92"/>
        <v>162.85175004107879</v>
      </c>
      <c r="Z284" s="45"/>
      <c r="AA284" s="49" t="s">
        <v>12</v>
      </c>
      <c r="AB284" s="3">
        <f>T284-HLOOKUP(X284,Feuil1!$C$1:$BL$10,2,FALSE)</f>
        <v>35</v>
      </c>
      <c r="AC284" s="3">
        <f>T284-HLOOKUP(X284,Feuil1!$C$1:$BL$10,3,FALSE)</f>
        <v>25</v>
      </c>
      <c r="AD284" s="3">
        <f>T284-HLOOKUP(X284,Feuil1!$C$1:$BL$10,4,FALSE)</f>
        <v>15</v>
      </c>
      <c r="AE284" s="3">
        <f>T284-HLOOKUP(X284,Feuil1!$C$1:$BL$10,5,FALSE)</f>
        <v>0</v>
      </c>
      <c r="AF284" s="3">
        <f>T284-HLOOKUP(X284,Feuil1!$C$1:$BL$10,6,FALSE)</f>
        <v>-15</v>
      </c>
      <c r="AG284" s="3">
        <f>T284-HLOOKUP(X284,Feuil1!$C$1:$BL$10,7,FALSE)</f>
        <v>-30</v>
      </c>
      <c r="AH284" s="3">
        <f>T284-HLOOKUP(X284,Feuil1!$C$1:$BL$10,8,FALSE)</f>
        <v>-50</v>
      </c>
      <c r="AI284" s="3">
        <f>T284-HLOOKUP(X284,Feuil1!$C$1:$BL$10,9,FALSE)</f>
        <v>-65</v>
      </c>
      <c r="AJ284" s="3">
        <f>T284-HLOOKUP(X284,Feuil1!$C$1:$BL$10,10,FALSE)</f>
        <v>-80</v>
      </c>
      <c r="AK284" s="5"/>
      <c r="AL284" s="5"/>
      <c r="AM284" s="5"/>
      <c r="AN284" s="5"/>
      <c r="AO284" s="5"/>
      <c r="AP284" s="5"/>
      <c r="AQ284" s="5" t="str">
        <f t="shared" si="93"/>
        <v>IRG +</v>
      </c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</row>
    <row r="285" spans="1:55" s="13" customFormat="1" ht="21" hidden="1" x14ac:dyDescent="0.2">
      <c r="A285" s="12" t="s">
        <v>69</v>
      </c>
      <c r="B285" s="18" t="s">
        <v>71</v>
      </c>
      <c r="C285" s="19" t="s">
        <v>72</v>
      </c>
      <c r="D285" s="61">
        <v>9</v>
      </c>
      <c r="E285" s="35">
        <v>127621</v>
      </c>
      <c r="F285" s="20" t="s">
        <v>952</v>
      </c>
      <c r="G285" s="20" t="s">
        <v>727</v>
      </c>
      <c r="H285" s="51">
        <v>1994</v>
      </c>
      <c r="I285" s="30">
        <v>72.599999999999994</v>
      </c>
      <c r="J285" s="19" t="s">
        <v>927</v>
      </c>
      <c r="K285" s="34" t="s">
        <v>69</v>
      </c>
      <c r="L285" s="31">
        <v>50</v>
      </c>
      <c r="M285" s="31">
        <v>55</v>
      </c>
      <c r="N285" s="31">
        <v>57</v>
      </c>
      <c r="O285" s="36">
        <f t="shared" si="86"/>
        <v>57</v>
      </c>
      <c r="P285" s="31">
        <v>62</v>
      </c>
      <c r="Q285" s="31">
        <v>67</v>
      </c>
      <c r="R285" s="31">
        <v>-70</v>
      </c>
      <c r="S285" s="36">
        <f t="shared" si="87"/>
        <v>67</v>
      </c>
      <c r="T285" s="37">
        <f t="shared" si="88"/>
        <v>124</v>
      </c>
      <c r="U285" s="65">
        <f t="shared" si="89"/>
        <v>-21.199999999999989</v>
      </c>
      <c r="V285" s="32" t="str">
        <f t="shared" si="90"/>
        <v>REG +</v>
      </c>
      <c r="W285" s="33">
        <f t="shared" si="91"/>
        <v>9</v>
      </c>
      <c r="X285" s="40" t="str">
        <f>IF(I285="","",IF(A285="H",IF(OR(H285="SEN",H285&lt;1995),VLOOKUP(I285,Feuil1!$A$11:$F$29,6),IF(AND(H285&gt;1994,H285&lt;1998),VLOOKUP(I285,Feuil1!$A$11:$F$29,5),IF(AND(H285&gt;1997,H285&lt;2000),VLOOKUP(I285,Feuil1!$A$11:$F$29,4),IF(AND(H285&gt;1999,H285&lt;2002),VLOOKUP(I285,Feuil1!$A$11:$F$29,3),VLOOKUP(I285,Feuil1!$A$11:$F$29,2))))),IF(OR(H285="SEN",H285&lt;1995),VLOOKUP(I285,Feuil1!$G$11:$L$25,6),IF(AND(H285&gt;1994,H285&lt;1998),VLOOKUP(I285,Feuil1!$G$11:$L$25,5),IF(AND(H285&gt;1997,H285&lt;2000),VLOOKUP(I285,Feuil1!$G$11:$L$25,4),IF(AND(H285&gt;1999,H285&lt;2002),VLOOKUP(I285,Feuil1!$G$11:$L$25,3),VLOOKUP(I285,Feuil1!$G$11:$L$25,2)))))))</f>
        <v>FS75</v>
      </c>
      <c r="Y285" s="39">
        <f t="shared" si="92"/>
        <v>151.11784514224007</v>
      </c>
      <c r="Z285" s="45"/>
      <c r="AA285" s="49" t="s">
        <v>12</v>
      </c>
      <c r="AB285" s="3">
        <f>T285-HLOOKUP(X285,Feuil1!$C$1:$BL$10,2,FALSE)</f>
        <v>29</v>
      </c>
      <c r="AC285" s="3">
        <f>T285-HLOOKUP(X285,Feuil1!$C$1:$BL$10,3,FALSE)</f>
        <v>19</v>
      </c>
      <c r="AD285" s="3">
        <f>T285-HLOOKUP(X285,Feuil1!$C$1:$BL$10,4,FALSE)</f>
        <v>9</v>
      </c>
      <c r="AE285" s="3">
        <f>T285-HLOOKUP(X285,Feuil1!$C$1:$BL$10,5,FALSE)</f>
        <v>-6</v>
      </c>
      <c r="AF285" s="3">
        <f>T285-HLOOKUP(X285,Feuil1!$C$1:$BL$10,6,FALSE)</f>
        <v>-21</v>
      </c>
      <c r="AG285" s="3">
        <f>T285-HLOOKUP(X285,Feuil1!$C$1:$BL$10,7,FALSE)</f>
        <v>-36</v>
      </c>
      <c r="AH285" s="3">
        <f>T285-HLOOKUP(X285,Feuil1!$C$1:$BL$10,8,FALSE)</f>
        <v>-56</v>
      </c>
      <c r="AI285" s="3">
        <f>T285-HLOOKUP(X285,Feuil1!$C$1:$BL$10,9,FALSE)</f>
        <v>-71</v>
      </c>
      <c r="AJ285" s="3">
        <f>T285-HLOOKUP(X285,Feuil1!$C$1:$BL$10,10,FALSE)</f>
        <v>-86</v>
      </c>
      <c r="AK285" s="5"/>
      <c r="AL285" s="5"/>
      <c r="AM285" s="5"/>
      <c r="AN285" s="5"/>
      <c r="AO285" s="5"/>
      <c r="AP285" s="5"/>
      <c r="AQ285" s="5" t="str">
        <f t="shared" si="93"/>
        <v>REG +</v>
      </c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</row>
    <row r="286" spans="1:55" s="13" customFormat="1" ht="21" hidden="1" x14ac:dyDescent="0.2">
      <c r="A286" s="12" t="s">
        <v>69</v>
      </c>
      <c r="B286" s="67" t="s">
        <v>298</v>
      </c>
      <c r="C286" s="68" t="s">
        <v>476</v>
      </c>
      <c r="D286" s="69">
        <v>10</v>
      </c>
      <c r="E286" s="70">
        <v>204929</v>
      </c>
      <c r="F286" s="71" t="s">
        <v>530</v>
      </c>
      <c r="G286" s="71" t="s">
        <v>531</v>
      </c>
      <c r="H286" s="72">
        <v>1968</v>
      </c>
      <c r="I286" s="73">
        <v>70.400000000000006</v>
      </c>
      <c r="J286" s="68" t="s">
        <v>484</v>
      </c>
      <c r="K286" s="74" t="s">
        <v>69</v>
      </c>
      <c r="L286" s="75">
        <v>52</v>
      </c>
      <c r="M286" s="75">
        <v>56</v>
      </c>
      <c r="N286" s="75">
        <v>58</v>
      </c>
      <c r="O286" s="76">
        <f t="shared" si="86"/>
        <v>58</v>
      </c>
      <c r="P286" s="75">
        <v>-57</v>
      </c>
      <c r="Q286" s="75">
        <v>57</v>
      </c>
      <c r="R286" s="75">
        <v>63</v>
      </c>
      <c r="S286" s="76">
        <f t="shared" si="87"/>
        <v>63</v>
      </c>
      <c r="T286" s="77">
        <f t="shared" si="88"/>
        <v>121</v>
      </c>
      <c r="U286" s="78">
        <f t="shared" si="89"/>
        <v>-19.800000000000011</v>
      </c>
      <c r="V286" s="79" t="str">
        <f t="shared" si="90"/>
        <v>REG +</v>
      </c>
      <c r="W286" s="80">
        <f t="shared" si="91"/>
        <v>6</v>
      </c>
      <c r="X286" s="81" t="str">
        <f>IF(I286="","",IF(A286="H",IF(OR(H286="SEN",H286&lt;1995),VLOOKUP(I286,Feuil1!$A$11:$F$29,6),IF(AND(H286&gt;1994,H286&lt;1998),VLOOKUP(I286,Feuil1!$A$11:$F$29,5),IF(AND(H286&gt;1997,H286&lt;2000),VLOOKUP(I286,Feuil1!$A$11:$F$29,4),IF(AND(H286&gt;1999,H286&lt;2002),VLOOKUP(I286,Feuil1!$A$11:$F$29,3),VLOOKUP(I286,Feuil1!$A$11:$F$29,2))))),IF(OR(H286="SEN",H286&lt;1995),VLOOKUP(I286,Feuil1!$G$11:$L$25,6),IF(AND(H286&gt;1994,H286&lt;1998),VLOOKUP(I286,Feuil1!$G$11:$L$25,5),IF(AND(H286&gt;1997,H286&lt;2000),VLOOKUP(I286,Feuil1!$G$11:$L$25,4),IF(AND(H286&gt;1999,H286&lt;2002),VLOOKUP(I286,Feuil1!$G$11:$L$25,3),VLOOKUP(I286,Feuil1!$G$11:$L$25,2)))))))</f>
        <v>FS75</v>
      </c>
      <c r="Y286" s="39">
        <f t="shared" si="92"/>
        <v>150.05819633034145</v>
      </c>
      <c r="Z286" s="45"/>
      <c r="AA286" s="49" t="s">
        <v>12</v>
      </c>
      <c r="AB286" s="3">
        <f>T286-HLOOKUP(X286,Feuil1!$C$1:$BL$10,2,FALSE)</f>
        <v>26</v>
      </c>
      <c r="AC286" s="3">
        <f>T286-HLOOKUP(X286,Feuil1!$C$1:$BL$10,3,FALSE)</f>
        <v>16</v>
      </c>
      <c r="AD286" s="3">
        <f>T286-HLOOKUP(X286,Feuil1!$C$1:$BL$10,4,FALSE)</f>
        <v>6</v>
      </c>
      <c r="AE286" s="3">
        <f>T286-HLOOKUP(X286,Feuil1!$C$1:$BL$10,5,FALSE)</f>
        <v>-9</v>
      </c>
      <c r="AF286" s="3">
        <f>T286-HLOOKUP(X286,Feuil1!$C$1:$BL$10,6,FALSE)</f>
        <v>-24</v>
      </c>
      <c r="AG286" s="3">
        <f>T286-HLOOKUP(X286,Feuil1!$C$1:$BL$10,7,FALSE)</f>
        <v>-39</v>
      </c>
      <c r="AH286" s="3">
        <f>T286-HLOOKUP(X286,Feuil1!$C$1:$BL$10,8,FALSE)</f>
        <v>-59</v>
      </c>
      <c r="AI286" s="3">
        <f>T286-HLOOKUP(X286,Feuil1!$C$1:$BL$10,9,FALSE)</f>
        <v>-74</v>
      </c>
      <c r="AJ286" s="3">
        <f>T286-HLOOKUP(X286,Feuil1!$C$1:$BL$10,10,FALSE)</f>
        <v>-89</v>
      </c>
      <c r="AK286" s="5"/>
      <c r="AL286" s="5"/>
      <c r="AM286" s="5"/>
      <c r="AN286" s="5"/>
      <c r="AO286" s="5"/>
      <c r="AP286" s="5"/>
      <c r="AQ286" s="5" t="str">
        <f t="shared" si="93"/>
        <v>REG +</v>
      </c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</row>
    <row r="287" spans="1:55" s="13" customFormat="1" ht="21" hidden="1" x14ac:dyDescent="0.2">
      <c r="A287" s="12" t="s">
        <v>69</v>
      </c>
      <c r="B287" s="18" t="s">
        <v>108</v>
      </c>
      <c r="C287" s="19" t="s">
        <v>146</v>
      </c>
      <c r="D287" s="61">
        <v>11</v>
      </c>
      <c r="E287" s="35">
        <v>193724</v>
      </c>
      <c r="F287" s="20" t="s">
        <v>262</v>
      </c>
      <c r="G287" s="20" t="s">
        <v>263</v>
      </c>
      <c r="H287" s="51">
        <v>1989</v>
      </c>
      <c r="I287" s="30">
        <v>72.599999999999994</v>
      </c>
      <c r="J287" s="19" t="s">
        <v>152</v>
      </c>
      <c r="K287" s="34" t="s">
        <v>69</v>
      </c>
      <c r="L287" s="31">
        <v>47</v>
      </c>
      <c r="M287" s="31">
        <v>53</v>
      </c>
      <c r="N287" s="31">
        <v>55</v>
      </c>
      <c r="O287" s="36">
        <f t="shared" si="86"/>
        <v>55</v>
      </c>
      <c r="P287" s="31">
        <v>60</v>
      </c>
      <c r="Q287" s="31">
        <v>64</v>
      </c>
      <c r="R287" s="31">
        <v>66</v>
      </c>
      <c r="S287" s="36">
        <f t="shared" si="87"/>
        <v>66</v>
      </c>
      <c r="T287" s="37">
        <f t="shared" si="88"/>
        <v>121</v>
      </c>
      <c r="U287" s="65">
        <f t="shared" si="89"/>
        <v>-24.199999999999989</v>
      </c>
      <c r="V287" s="41" t="str">
        <f t="shared" si="90"/>
        <v>REG +</v>
      </c>
      <c r="W287" s="33">
        <f t="shared" si="91"/>
        <v>6</v>
      </c>
      <c r="X287" s="40" t="str">
        <f>IF(I287="","",IF(A287="H",IF(OR(H287="SEN",H287&lt;1995),VLOOKUP(I287,Feuil1!$A$11:$F$29,6),IF(AND(H287&gt;1994,H287&lt;1998),VLOOKUP(I287,Feuil1!$A$11:$F$29,5),IF(AND(H287&gt;1997,H287&lt;2000),VLOOKUP(I287,Feuil1!$A$11:$F$29,4),IF(AND(H287&gt;1999,H287&lt;2002),VLOOKUP(I287,Feuil1!$A$11:$F$29,3),VLOOKUP(I287,Feuil1!$A$11:$F$29,2))))),IF(OR(H287="SEN",H287&lt;1995),VLOOKUP(I287,Feuil1!$G$11:$L$25,6),IF(AND(H287&gt;1994,H287&lt;1998),VLOOKUP(I287,Feuil1!$G$11:$L$25,5),IF(AND(H287&gt;1997,H287&lt;2000),VLOOKUP(I287,Feuil1!$G$11:$L$25,4),IF(AND(H287&gt;1999,H287&lt;2002),VLOOKUP(I287,Feuil1!$G$11:$L$25,3),VLOOKUP(I287,Feuil1!$G$11:$L$25,2)))))))</f>
        <v>FS75</v>
      </c>
      <c r="Y287" s="39">
        <f t="shared" si="92"/>
        <v>147.46176824363749</v>
      </c>
      <c r="Z287" s="45"/>
      <c r="AA287" s="49" t="s">
        <v>12</v>
      </c>
      <c r="AB287" s="3">
        <f>T287-HLOOKUP(X287,Feuil1!$C$1:$BL$10,2,FALSE)</f>
        <v>26</v>
      </c>
      <c r="AC287" s="3">
        <f>T287-HLOOKUP(X287,Feuil1!$C$1:$BL$10,3,FALSE)</f>
        <v>16</v>
      </c>
      <c r="AD287" s="3">
        <f>T287-HLOOKUP(X287,Feuil1!$C$1:$BL$10,4,FALSE)</f>
        <v>6</v>
      </c>
      <c r="AE287" s="3">
        <f>T287-HLOOKUP(X287,Feuil1!$C$1:$BL$10,5,FALSE)</f>
        <v>-9</v>
      </c>
      <c r="AF287" s="3">
        <f>T287-HLOOKUP(X287,Feuil1!$C$1:$BL$10,6,FALSE)</f>
        <v>-24</v>
      </c>
      <c r="AG287" s="3">
        <f>T287-HLOOKUP(X287,Feuil1!$C$1:$BL$10,7,FALSE)</f>
        <v>-39</v>
      </c>
      <c r="AH287" s="3">
        <f>T287-HLOOKUP(X287,Feuil1!$C$1:$BL$10,8,FALSE)</f>
        <v>-59</v>
      </c>
      <c r="AI287" s="3">
        <f>T287-HLOOKUP(X287,Feuil1!$C$1:$BL$10,9,FALSE)</f>
        <v>-74</v>
      </c>
      <c r="AJ287" s="3">
        <f>T287-HLOOKUP(X287,Feuil1!$C$1:$BL$10,10,FALSE)</f>
        <v>-89</v>
      </c>
      <c r="AK287" s="5"/>
      <c r="AL287" s="5"/>
      <c r="AM287" s="5"/>
      <c r="AN287" s="5"/>
      <c r="AO287" s="5"/>
      <c r="AP287" s="5"/>
      <c r="AQ287" s="5" t="str">
        <f t="shared" si="93"/>
        <v>REG +</v>
      </c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</row>
    <row r="288" spans="1:55" s="13" customFormat="1" ht="21" hidden="1" x14ac:dyDescent="0.2">
      <c r="A288" s="12" t="s">
        <v>69</v>
      </c>
      <c r="B288" s="18" t="s">
        <v>71</v>
      </c>
      <c r="C288" s="19" t="s">
        <v>72</v>
      </c>
      <c r="D288" s="61">
        <v>12</v>
      </c>
      <c r="E288" s="35">
        <v>357872</v>
      </c>
      <c r="F288" s="20" t="s">
        <v>976</v>
      </c>
      <c r="G288" s="20" t="s">
        <v>977</v>
      </c>
      <c r="H288" s="51">
        <v>1983</v>
      </c>
      <c r="I288" s="30">
        <v>73</v>
      </c>
      <c r="J288" s="19" t="s">
        <v>921</v>
      </c>
      <c r="K288" s="34" t="s">
        <v>69</v>
      </c>
      <c r="L288" s="31">
        <v>47</v>
      </c>
      <c r="M288" s="31">
        <v>51</v>
      </c>
      <c r="N288" s="31">
        <v>53</v>
      </c>
      <c r="O288" s="36">
        <f t="shared" si="86"/>
        <v>53</v>
      </c>
      <c r="P288" s="31">
        <v>58</v>
      </c>
      <c r="Q288" s="31">
        <v>-62</v>
      </c>
      <c r="R288" s="31">
        <v>63</v>
      </c>
      <c r="S288" s="36">
        <f t="shared" si="87"/>
        <v>63</v>
      </c>
      <c r="T288" s="37">
        <f t="shared" si="88"/>
        <v>116</v>
      </c>
      <c r="U288" s="65">
        <f t="shared" si="89"/>
        <v>-30</v>
      </c>
      <c r="V288" s="41" t="str">
        <f t="shared" si="90"/>
        <v>REG +</v>
      </c>
      <c r="W288" s="33">
        <f t="shared" si="91"/>
        <v>1</v>
      </c>
      <c r="X288" s="40" t="str">
        <f>IF(I288="","",IF(A288="H",IF(OR(H288="SEN",H288&lt;1995),VLOOKUP(I288,Feuil1!$A$11:$F$29,6),IF(AND(H288&gt;1994,H288&lt;1998),VLOOKUP(I288,Feuil1!$A$11:$F$29,5),IF(AND(H288&gt;1997,H288&lt;2000),VLOOKUP(I288,Feuil1!$A$11:$F$29,4),IF(AND(H288&gt;1999,H288&lt;2002),VLOOKUP(I288,Feuil1!$A$11:$F$29,3),VLOOKUP(I288,Feuil1!$A$11:$F$29,2))))),IF(OR(H288="SEN",H288&lt;1995),VLOOKUP(I288,Feuil1!$G$11:$L$25,6),IF(AND(H288&gt;1994,H288&lt;1998),VLOOKUP(I288,Feuil1!$G$11:$L$25,5),IF(AND(H288&gt;1997,H288&lt;2000),VLOOKUP(I288,Feuil1!$G$11:$L$25,4),IF(AND(H288&gt;1999,H288&lt;2002),VLOOKUP(I288,Feuil1!$G$11:$L$25,3),VLOOKUP(I288,Feuil1!$G$11:$L$25,2)))))))</f>
        <v>FS75</v>
      </c>
      <c r="Y288" s="39">
        <f t="shared" si="92"/>
        <v>140.93934855107011</v>
      </c>
      <c r="Z288" s="45"/>
      <c r="AA288" s="49" t="s">
        <v>12</v>
      </c>
      <c r="AB288" s="3">
        <f>T288-HLOOKUP(X288,Feuil1!$C$1:$BL$10,2,FALSE)</f>
        <v>21</v>
      </c>
      <c r="AC288" s="3">
        <f>T288-HLOOKUP(X288,Feuil1!$C$1:$BL$10,3,FALSE)</f>
        <v>11</v>
      </c>
      <c r="AD288" s="3">
        <f>T288-HLOOKUP(X288,Feuil1!$C$1:$BL$10,4,FALSE)</f>
        <v>1</v>
      </c>
      <c r="AE288" s="3">
        <f>T288-HLOOKUP(X288,Feuil1!$C$1:$BL$10,5,FALSE)</f>
        <v>-14</v>
      </c>
      <c r="AF288" s="3">
        <f>T288-HLOOKUP(X288,Feuil1!$C$1:$BL$10,6,FALSE)</f>
        <v>-29</v>
      </c>
      <c r="AG288" s="3">
        <f>T288-HLOOKUP(X288,Feuil1!$C$1:$BL$10,7,FALSE)</f>
        <v>-44</v>
      </c>
      <c r="AH288" s="3">
        <f>T288-HLOOKUP(X288,Feuil1!$C$1:$BL$10,8,FALSE)</f>
        <v>-64</v>
      </c>
      <c r="AI288" s="3">
        <f>T288-HLOOKUP(X288,Feuil1!$C$1:$BL$10,9,FALSE)</f>
        <v>-79</v>
      </c>
      <c r="AJ288" s="3">
        <f>T288-HLOOKUP(X288,Feuil1!$C$1:$BL$10,10,FALSE)</f>
        <v>-94</v>
      </c>
      <c r="AK288" s="5"/>
      <c r="AL288" s="5"/>
      <c r="AM288" s="5"/>
      <c r="AN288" s="5"/>
      <c r="AO288" s="5"/>
      <c r="AP288" s="5"/>
      <c r="AQ288" s="5" t="str">
        <f t="shared" si="93"/>
        <v>REG +</v>
      </c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</row>
    <row r="289" spans="1:55" s="13" customFormat="1" ht="21" hidden="1" x14ac:dyDescent="0.2">
      <c r="A289" s="12" t="s">
        <v>69</v>
      </c>
      <c r="B289" s="18" t="s">
        <v>108</v>
      </c>
      <c r="C289" s="19" t="s">
        <v>119</v>
      </c>
      <c r="D289" s="61">
        <v>13</v>
      </c>
      <c r="E289" s="35">
        <v>306844</v>
      </c>
      <c r="F289" s="20" t="s">
        <v>230</v>
      </c>
      <c r="G289" s="20" t="s">
        <v>231</v>
      </c>
      <c r="H289" s="51">
        <v>1983</v>
      </c>
      <c r="I289" s="30">
        <v>73.3</v>
      </c>
      <c r="J289" s="19" t="s">
        <v>122</v>
      </c>
      <c r="K289" s="34" t="s">
        <v>69</v>
      </c>
      <c r="L289" s="31">
        <v>45</v>
      </c>
      <c r="M289" s="31">
        <v>48</v>
      </c>
      <c r="N289" s="31">
        <v>51</v>
      </c>
      <c r="O289" s="36">
        <f t="shared" si="86"/>
        <v>51</v>
      </c>
      <c r="P289" s="31">
        <v>55</v>
      </c>
      <c r="Q289" s="31">
        <v>60</v>
      </c>
      <c r="R289" s="31">
        <v>64</v>
      </c>
      <c r="S289" s="36">
        <f t="shared" si="87"/>
        <v>64</v>
      </c>
      <c r="T289" s="37">
        <f t="shared" si="88"/>
        <v>115</v>
      </c>
      <c r="U289" s="65">
        <f t="shared" si="89"/>
        <v>-31.599999999999994</v>
      </c>
      <c r="V289" s="41" t="str">
        <f t="shared" si="90"/>
        <v>REG +</v>
      </c>
      <c r="W289" s="33">
        <f t="shared" si="91"/>
        <v>0</v>
      </c>
      <c r="X289" s="40" t="str">
        <f>IF(I289="","",IF(A289="H",IF(OR(H289="SEN",H289&lt;1995),VLOOKUP(I289,Feuil1!$A$11:$F$29,6),IF(AND(H289&gt;1994,H289&lt;1998),VLOOKUP(I289,Feuil1!$A$11:$F$29,5),IF(AND(H289&gt;1997,H289&lt;2000),VLOOKUP(I289,Feuil1!$A$11:$F$29,4),IF(AND(H289&gt;1999,H289&lt;2002),VLOOKUP(I289,Feuil1!$A$11:$F$29,3),VLOOKUP(I289,Feuil1!$A$11:$F$29,2))))),IF(OR(H289="SEN",H289&lt;1995),VLOOKUP(I289,Feuil1!$G$11:$L$25,6),IF(AND(H289&gt;1994,H289&lt;1998),VLOOKUP(I289,Feuil1!$G$11:$L$25,5),IF(AND(H289&gt;1997,H289&lt;2000),VLOOKUP(I289,Feuil1!$G$11:$L$25,4),IF(AND(H289&gt;1999,H289&lt;2002),VLOOKUP(I289,Feuil1!$G$11:$L$25,3),VLOOKUP(I289,Feuil1!$G$11:$L$25,2)))))))</f>
        <v>FS75</v>
      </c>
      <c r="Y289" s="39">
        <f t="shared" si="92"/>
        <v>139.40991445998731</v>
      </c>
      <c r="Z289" s="45"/>
      <c r="AA289" s="49" t="s">
        <v>12</v>
      </c>
      <c r="AB289" s="3">
        <f>T289-HLOOKUP(X289,Feuil1!$C$1:$BL$10,2,FALSE)</f>
        <v>20</v>
      </c>
      <c r="AC289" s="3">
        <f>T289-HLOOKUP(X289,Feuil1!$C$1:$BL$10,3,FALSE)</f>
        <v>10</v>
      </c>
      <c r="AD289" s="3">
        <f>T289-HLOOKUP(X289,Feuil1!$C$1:$BL$10,4,FALSE)</f>
        <v>0</v>
      </c>
      <c r="AE289" s="3">
        <f>T289-HLOOKUP(X289,Feuil1!$C$1:$BL$10,5,FALSE)</f>
        <v>-15</v>
      </c>
      <c r="AF289" s="3">
        <f>T289-HLOOKUP(X289,Feuil1!$C$1:$BL$10,6,FALSE)</f>
        <v>-30</v>
      </c>
      <c r="AG289" s="3">
        <f>T289-HLOOKUP(X289,Feuil1!$C$1:$BL$10,7,FALSE)</f>
        <v>-45</v>
      </c>
      <c r="AH289" s="3">
        <f>T289-HLOOKUP(X289,Feuil1!$C$1:$BL$10,8,FALSE)</f>
        <v>-65</v>
      </c>
      <c r="AI289" s="3">
        <f>T289-HLOOKUP(X289,Feuil1!$C$1:$BL$10,9,FALSE)</f>
        <v>-80</v>
      </c>
      <c r="AJ289" s="3">
        <f>T289-HLOOKUP(X289,Feuil1!$C$1:$BL$10,10,FALSE)</f>
        <v>-95</v>
      </c>
      <c r="AK289" s="5"/>
      <c r="AL289" s="5"/>
      <c r="AM289" s="5"/>
      <c r="AN289" s="5"/>
      <c r="AO289" s="5"/>
      <c r="AP289" s="5"/>
      <c r="AQ289" s="5" t="str">
        <f t="shared" si="93"/>
        <v>REG +</v>
      </c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</row>
    <row r="290" spans="1:55" s="13" customFormat="1" ht="21" hidden="1" x14ac:dyDescent="0.2">
      <c r="A290" s="12" t="s">
        <v>69</v>
      </c>
      <c r="B290" s="18" t="s">
        <v>108</v>
      </c>
      <c r="C290" s="19" t="s">
        <v>119</v>
      </c>
      <c r="D290" s="61">
        <v>14</v>
      </c>
      <c r="E290" s="35">
        <v>360265</v>
      </c>
      <c r="F290" s="20" t="s">
        <v>232</v>
      </c>
      <c r="G290" s="20" t="s">
        <v>233</v>
      </c>
      <c r="H290" s="51">
        <v>1992</v>
      </c>
      <c r="I290" s="30">
        <v>74.8</v>
      </c>
      <c r="J290" s="19" t="s">
        <v>161</v>
      </c>
      <c r="K290" s="34" t="s">
        <v>69</v>
      </c>
      <c r="L290" s="31">
        <v>46</v>
      </c>
      <c r="M290" s="31">
        <v>49</v>
      </c>
      <c r="N290" s="31">
        <v>52</v>
      </c>
      <c r="O290" s="36">
        <f t="shared" si="86"/>
        <v>52</v>
      </c>
      <c r="P290" s="31">
        <v>57</v>
      </c>
      <c r="Q290" s="31">
        <v>60</v>
      </c>
      <c r="R290" s="31">
        <v>63</v>
      </c>
      <c r="S290" s="36">
        <f t="shared" si="87"/>
        <v>63</v>
      </c>
      <c r="T290" s="37">
        <f t="shared" si="88"/>
        <v>115</v>
      </c>
      <c r="U290" s="65">
        <f t="shared" si="89"/>
        <v>-34.599999999999994</v>
      </c>
      <c r="V290" s="41" t="str">
        <f t="shared" si="90"/>
        <v>REG +</v>
      </c>
      <c r="W290" s="33">
        <f t="shared" si="91"/>
        <v>0</v>
      </c>
      <c r="X290" s="40" t="str">
        <f>IF(I290="","",IF(A290="H",IF(OR(H290="SEN",H290&lt;1995),VLOOKUP(I290,Feuil1!$A$11:$F$29,6),IF(AND(H290&gt;1994,H290&lt;1998),VLOOKUP(I290,Feuil1!$A$11:$F$29,5),IF(AND(H290&gt;1997,H290&lt;2000),VLOOKUP(I290,Feuil1!$A$11:$F$29,4),IF(AND(H290&gt;1999,H290&lt;2002),VLOOKUP(I290,Feuil1!$A$11:$F$29,3),VLOOKUP(I290,Feuil1!$A$11:$F$29,2))))),IF(OR(H290="SEN",H290&lt;1995),VLOOKUP(I290,Feuil1!$G$11:$L$25,6),IF(AND(H290&gt;1994,H290&lt;1998),VLOOKUP(I290,Feuil1!$G$11:$L$25,5),IF(AND(H290&gt;1997,H290&lt;2000),VLOOKUP(I290,Feuil1!$G$11:$L$25,4),IF(AND(H290&gt;1999,H290&lt;2002),VLOOKUP(I290,Feuil1!$G$11:$L$25,3),VLOOKUP(I290,Feuil1!$G$11:$L$25,2)))))))</f>
        <v>FS75</v>
      </c>
      <c r="Y290" s="39">
        <f t="shared" si="92"/>
        <v>137.89363417801727</v>
      </c>
      <c r="Z290" s="45"/>
      <c r="AA290" s="49" t="s">
        <v>12</v>
      </c>
      <c r="AB290" s="3">
        <f>T290-HLOOKUP(X290,Feuil1!$C$1:$BL$10,2,FALSE)</f>
        <v>20</v>
      </c>
      <c r="AC290" s="3">
        <f>T290-HLOOKUP(X290,Feuil1!$C$1:$BL$10,3,FALSE)</f>
        <v>10</v>
      </c>
      <c r="AD290" s="3">
        <f>T290-HLOOKUP(X290,Feuil1!$C$1:$BL$10,4,FALSE)</f>
        <v>0</v>
      </c>
      <c r="AE290" s="3">
        <f>T290-HLOOKUP(X290,Feuil1!$C$1:$BL$10,5,FALSE)</f>
        <v>-15</v>
      </c>
      <c r="AF290" s="3">
        <f>T290-HLOOKUP(X290,Feuil1!$C$1:$BL$10,6,FALSE)</f>
        <v>-30</v>
      </c>
      <c r="AG290" s="3">
        <f>T290-HLOOKUP(X290,Feuil1!$C$1:$BL$10,7,FALSE)</f>
        <v>-45</v>
      </c>
      <c r="AH290" s="3">
        <f>T290-HLOOKUP(X290,Feuil1!$C$1:$BL$10,8,FALSE)</f>
        <v>-65</v>
      </c>
      <c r="AI290" s="3">
        <f>T290-HLOOKUP(X290,Feuil1!$C$1:$BL$10,9,FALSE)</f>
        <v>-80</v>
      </c>
      <c r="AJ290" s="3">
        <f>T290-HLOOKUP(X290,Feuil1!$C$1:$BL$10,10,FALSE)</f>
        <v>-95</v>
      </c>
      <c r="AK290" s="5"/>
      <c r="AL290" s="5"/>
      <c r="AM290" s="5"/>
      <c r="AN290" s="5"/>
      <c r="AO290" s="5"/>
      <c r="AP290" s="5"/>
      <c r="AQ290" s="5" t="str">
        <f t="shared" si="93"/>
        <v>REG +</v>
      </c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</row>
    <row r="291" spans="1:55" s="13" customFormat="1" ht="21" hidden="1" x14ac:dyDescent="0.2">
      <c r="A291" s="12" t="s">
        <v>69</v>
      </c>
      <c r="B291" s="18" t="s">
        <v>298</v>
      </c>
      <c r="C291" s="19" t="s">
        <v>476</v>
      </c>
      <c r="D291" s="61">
        <v>15</v>
      </c>
      <c r="E291" s="35">
        <v>316550</v>
      </c>
      <c r="F291" s="20" t="s">
        <v>521</v>
      </c>
      <c r="G291" s="20" t="s">
        <v>522</v>
      </c>
      <c r="H291" s="51">
        <v>1972</v>
      </c>
      <c r="I291" s="30">
        <v>72.3</v>
      </c>
      <c r="J291" s="19" t="s">
        <v>503</v>
      </c>
      <c r="K291" s="34" t="s">
        <v>69</v>
      </c>
      <c r="L291" s="31">
        <v>42</v>
      </c>
      <c r="M291" s="31">
        <v>45</v>
      </c>
      <c r="N291" s="31">
        <v>47</v>
      </c>
      <c r="O291" s="36">
        <f t="shared" si="86"/>
        <v>47</v>
      </c>
      <c r="P291" s="31">
        <v>57</v>
      </c>
      <c r="Q291" s="31">
        <v>60</v>
      </c>
      <c r="R291" s="31">
        <v>62</v>
      </c>
      <c r="S291" s="36">
        <f t="shared" si="87"/>
        <v>62</v>
      </c>
      <c r="T291" s="37">
        <f t="shared" si="88"/>
        <v>109</v>
      </c>
      <c r="U291" s="65">
        <f t="shared" si="89"/>
        <v>-35.599999999999994</v>
      </c>
      <c r="V291" s="41" t="str">
        <f t="shared" si="90"/>
        <v>DEP +</v>
      </c>
      <c r="W291" s="33">
        <f t="shared" si="91"/>
        <v>4</v>
      </c>
      <c r="X291" s="40" t="str">
        <f>IF(I291="","",IF(A291="H",IF(OR(H291="SEN",H291&lt;1995),VLOOKUP(I291,Feuil1!$A$11:$F$29,6),IF(AND(H291&gt;1994,H291&lt;1998),VLOOKUP(I291,Feuil1!$A$11:$F$29,5),IF(AND(H291&gt;1997,H291&lt;2000),VLOOKUP(I291,Feuil1!$A$11:$F$29,4),IF(AND(H291&gt;1999,H291&lt;2002),VLOOKUP(I291,Feuil1!$A$11:$F$29,3),VLOOKUP(I291,Feuil1!$A$11:$F$29,2))))),IF(OR(H291="SEN",H291&lt;1995),VLOOKUP(I291,Feuil1!$G$11:$L$25,6),IF(AND(H291&gt;1994,H291&lt;1998),VLOOKUP(I291,Feuil1!$G$11:$L$25,5),IF(AND(H291&gt;1997,H291&lt;2000),VLOOKUP(I291,Feuil1!$G$11:$L$25,4),IF(AND(H291&gt;1999,H291&lt;2002),VLOOKUP(I291,Feuil1!$G$11:$L$25,3),VLOOKUP(I291,Feuil1!$G$11:$L$25,2)))))))</f>
        <v>FS75</v>
      </c>
      <c r="Y291" s="39">
        <f t="shared" si="92"/>
        <v>133.14410575372969</v>
      </c>
      <c r="Z291" s="45"/>
      <c r="AA291" s="49" t="s">
        <v>12</v>
      </c>
      <c r="AB291" s="3">
        <f>T291-HLOOKUP(X291,Feuil1!$C$1:$BL$10,2,FALSE)</f>
        <v>14</v>
      </c>
      <c r="AC291" s="3">
        <f>T291-HLOOKUP(X291,Feuil1!$C$1:$BL$10,3,FALSE)</f>
        <v>4</v>
      </c>
      <c r="AD291" s="3">
        <f>T291-HLOOKUP(X291,Feuil1!$C$1:$BL$10,4,FALSE)</f>
        <v>-6</v>
      </c>
      <c r="AE291" s="3">
        <f>T291-HLOOKUP(X291,Feuil1!$C$1:$BL$10,5,FALSE)</f>
        <v>-21</v>
      </c>
      <c r="AF291" s="3">
        <f>T291-HLOOKUP(X291,Feuil1!$C$1:$BL$10,6,FALSE)</f>
        <v>-36</v>
      </c>
      <c r="AG291" s="3">
        <f>T291-HLOOKUP(X291,Feuil1!$C$1:$BL$10,7,FALSE)</f>
        <v>-51</v>
      </c>
      <c r="AH291" s="3">
        <f>T291-HLOOKUP(X291,Feuil1!$C$1:$BL$10,8,FALSE)</f>
        <v>-71</v>
      </c>
      <c r="AI291" s="3">
        <f>T291-HLOOKUP(X291,Feuil1!$C$1:$BL$10,9,FALSE)</f>
        <v>-86</v>
      </c>
      <c r="AJ291" s="3">
        <f>T291-HLOOKUP(X291,Feuil1!$C$1:$BL$10,10,FALSE)</f>
        <v>-101</v>
      </c>
      <c r="AK291" s="5"/>
      <c r="AL291" s="5"/>
      <c r="AM291" s="5"/>
      <c r="AN291" s="5"/>
      <c r="AO291" s="5"/>
      <c r="AP291" s="5"/>
      <c r="AQ291" s="5" t="str">
        <f t="shared" si="93"/>
        <v>DEP +</v>
      </c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</row>
    <row r="292" spans="1:55" s="13" customFormat="1" ht="21" hidden="1" x14ac:dyDescent="0.2">
      <c r="A292" s="12" t="s">
        <v>69</v>
      </c>
      <c r="B292" s="18" t="s">
        <v>536</v>
      </c>
      <c r="C292" s="19" t="s">
        <v>545</v>
      </c>
      <c r="D292" s="61">
        <v>16</v>
      </c>
      <c r="E292" s="35">
        <v>64384</v>
      </c>
      <c r="F292" s="20" t="s">
        <v>562</v>
      </c>
      <c r="G292" s="20" t="s">
        <v>593</v>
      </c>
      <c r="H292" s="51">
        <v>1967</v>
      </c>
      <c r="I292" s="30">
        <v>74.7</v>
      </c>
      <c r="J292" s="19" t="s">
        <v>557</v>
      </c>
      <c r="K292" s="34" t="s">
        <v>69</v>
      </c>
      <c r="L292" s="31">
        <v>-42</v>
      </c>
      <c r="M292" s="31">
        <v>45</v>
      </c>
      <c r="N292" s="31">
        <v>-48</v>
      </c>
      <c r="O292" s="36">
        <f t="shared" si="86"/>
        <v>45</v>
      </c>
      <c r="P292" s="31">
        <v>60</v>
      </c>
      <c r="Q292" s="31">
        <v>64</v>
      </c>
      <c r="R292" s="31">
        <v>-70</v>
      </c>
      <c r="S292" s="36">
        <f t="shared" si="87"/>
        <v>64</v>
      </c>
      <c r="T292" s="37">
        <f t="shared" si="88"/>
        <v>109</v>
      </c>
      <c r="U292" s="65">
        <f t="shared" si="89"/>
        <v>-40.400000000000006</v>
      </c>
      <c r="V292" s="41" t="str">
        <f t="shared" si="90"/>
        <v>DEP +</v>
      </c>
      <c r="W292" s="33">
        <f t="shared" si="91"/>
        <v>4</v>
      </c>
      <c r="X292" s="40" t="str">
        <f>IF(I292="","",IF(A292="H",IF(OR(H292="SEN",H292&lt;1995),VLOOKUP(I292,Feuil1!$A$11:$F$29,6),IF(AND(H292&gt;1994,H292&lt;1998),VLOOKUP(I292,Feuil1!$A$11:$F$29,5),IF(AND(H292&gt;1997,H292&lt;2000),VLOOKUP(I292,Feuil1!$A$11:$F$29,4),IF(AND(H292&gt;1999,H292&lt;2002),VLOOKUP(I292,Feuil1!$A$11:$F$29,3),VLOOKUP(I292,Feuil1!$A$11:$F$29,2))))),IF(OR(H292="SEN",H292&lt;1995),VLOOKUP(I292,Feuil1!$G$11:$L$25,6),IF(AND(H292&gt;1994,H292&lt;1998),VLOOKUP(I292,Feuil1!$G$11:$L$25,5),IF(AND(H292&gt;1997,H292&lt;2000),VLOOKUP(I292,Feuil1!$G$11:$L$25,4),IF(AND(H292&gt;1999,H292&lt;2002),VLOOKUP(I292,Feuil1!$G$11:$L$25,3),VLOOKUP(I292,Feuil1!$G$11:$L$25,2)))))))</f>
        <v>FS75</v>
      </c>
      <c r="Y292" s="39">
        <f t="shared" si="92"/>
        <v>130.79232065165638</v>
      </c>
      <c r="Z292" s="45"/>
      <c r="AA292" s="49" t="s">
        <v>12</v>
      </c>
      <c r="AB292" s="3">
        <f>T292-HLOOKUP(X292,Feuil1!$C$1:$BL$10,2,FALSE)</f>
        <v>14</v>
      </c>
      <c r="AC292" s="3">
        <f>T292-HLOOKUP(X292,Feuil1!$C$1:$BL$10,3,FALSE)</f>
        <v>4</v>
      </c>
      <c r="AD292" s="3">
        <f>T292-HLOOKUP(X292,Feuil1!$C$1:$BL$10,4,FALSE)</f>
        <v>-6</v>
      </c>
      <c r="AE292" s="3">
        <f>T292-HLOOKUP(X292,Feuil1!$C$1:$BL$10,5,FALSE)</f>
        <v>-21</v>
      </c>
      <c r="AF292" s="3">
        <f>T292-HLOOKUP(X292,Feuil1!$C$1:$BL$10,6,FALSE)</f>
        <v>-36</v>
      </c>
      <c r="AG292" s="3">
        <f>T292-HLOOKUP(X292,Feuil1!$C$1:$BL$10,7,FALSE)</f>
        <v>-51</v>
      </c>
      <c r="AH292" s="3">
        <f>T292-HLOOKUP(X292,Feuil1!$C$1:$BL$10,8,FALSE)</f>
        <v>-71</v>
      </c>
      <c r="AI292" s="3">
        <f>T292-HLOOKUP(X292,Feuil1!$C$1:$BL$10,9,FALSE)</f>
        <v>-86</v>
      </c>
      <c r="AJ292" s="3">
        <f>T292-HLOOKUP(X292,Feuil1!$C$1:$BL$10,10,FALSE)</f>
        <v>-101</v>
      </c>
      <c r="AK292" s="5"/>
      <c r="AL292" s="5"/>
      <c r="AM292" s="5"/>
      <c r="AN292" s="5"/>
      <c r="AO292" s="5"/>
      <c r="AP292" s="5"/>
      <c r="AQ292" s="5" t="str">
        <f t="shared" si="93"/>
        <v>DEP +</v>
      </c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</row>
    <row r="293" spans="1:55" s="13" customFormat="1" ht="21" hidden="1" x14ac:dyDescent="0.2">
      <c r="A293" s="12" t="s">
        <v>69</v>
      </c>
      <c r="B293" s="18" t="s">
        <v>298</v>
      </c>
      <c r="C293" s="19" t="s">
        <v>299</v>
      </c>
      <c r="D293" s="61">
        <v>17</v>
      </c>
      <c r="E293" s="35">
        <v>350463</v>
      </c>
      <c r="F293" s="20" t="s">
        <v>394</v>
      </c>
      <c r="G293" s="20" t="s">
        <v>395</v>
      </c>
      <c r="H293" s="51">
        <v>1994</v>
      </c>
      <c r="I293" s="30">
        <v>71.900000000000006</v>
      </c>
      <c r="J293" s="19" t="s">
        <v>362</v>
      </c>
      <c r="K293" s="34" t="s">
        <v>69</v>
      </c>
      <c r="L293" s="31">
        <v>45</v>
      </c>
      <c r="M293" s="31">
        <v>-47</v>
      </c>
      <c r="N293" s="31">
        <v>50</v>
      </c>
      <c r="O293" s="36">
        <f t="shared" si="86"/>
        <v>50</v>
      </c>
      <c r="P293" s="31">
        <v>-55</v>
      </c>
      <c r="Q293" s="31">
        <v>55</v>
      </c>
      <c r="R293" s="31">
        <v>-60</v>
      </c>
      <c r="S293" s="36">
        <f t="shared" si="87"/>
        <v>55</v>
      </c>
      <c r="T293" s="37">
        <f t="shared" si="88"/>
        <v>105</v>
      </c>
      <c r="U293" s="65">
        <f t="shared" si="89"/>
        <v>-38.800000000000011</v>
      </c>
      <c r="V293" s="41" t="str">
        <f t="shared" si="90"/>
        <v>DEP +</v>
      </c>
      <c r="W293" s="33">
        <f t="shared" si="91"/>
        <v>0</v>
      </c>
      <c r="X293" s="40" t="str">
        <f>IF(I293="","",IF(A293="H",IF(OR(H293="SEN",H293&lt;1995),VLOOKUP(I293,Feuil1!$A$11:$F$29,6),IF(AND(H293&gt;1994,H293&lt;1998),VLOOKUP(I293,Feuil1!$A$11:$F$29,5),IF(AND(H293&gt;1997,H293&lt;2000),VLOOKUP(I293,Feuil1!$A$11:$F$29,4),IF(AND(H293&gt;1999,H293&lt;2002),VLOOKUP(I293,Feuil1!$A$11:$F$29,3),VLOOKUP(I293,Feuil1!$A$11:$F$29,2))))),IF(OR(H293="SEN",H293&lt;1995),VLOOKUP(I293,Feuil1!$G$11:$L$25,6),IF(AND(H293&gt;1994,H293&lt;1998),VLOOKUP(I293,Feuil1!$G$11:$L$25,5),IF(AND(H293&gt;1997,H293&lt;2000),VLOOKUP(I293,Feuil1!$G$11:$L$25,4),IF(AND(H293&gt;1999,H293&lt;2002),VLOOKUP(I293,Feuil1!$G$11:$L$25,3),VLOOKUP(I293,Feuil1!$G$11:$L$25,2)))))))</f>
        <v>FS75</v>
      </c>
      <c r="Y293" s="39">
        <f t="shared" si="92"/>
        <v>128.65761587918348</v>
      </c>
      <c r="Z293" s="45"/>
      <c r="AA293" s="49" t="s">
        <v>12</v>
      </c>
      <c r="AB293" s="3">
        <f>T293-HLOOKUP(X293,Feuil1!$C$1:$BL$10,2,FALSE)</f>
        <v>10</v>
      </c>
      <c r="AC293" s="3">
        <f>T293-HLOOKUP(X293,Feuil1!$C$1:$BL$10,3,FALSE)</f>
        <v>0</v>
      </c>
      <c r="AD293" s="3">
        <f>T293-HLOOKUP(X293,Feuil1!$C$1:$BL$10,4,FALSE)</f>
        <v>-10</v>
      </c>
      <c r="AE293" s="3">
        <f>T293-HLOOKUP(X293,Feuil1!$C$1:$BL$10,5,FALSE)</f>
        <v>-25</v>
      </c>
      <c r="AF293" s="3">
        <f>T293-HLOOKUP(X293,Feuil1!$C$1:$BL$10,6,FALSE)</f>
        <v>-40</v>
      </c>
      <c r="AG293" s="3">
        <f>T293-HLOOKUP(X293,Feuil1!$C$1:$BL$10,7,FALSE)</f>
        <v>-55</v>
      </c>
      <c r="AH293" s="3">
        <f>T293-HLOOKUP(X293,Feuil1!$C$1:$BL$10,8,FALSE)</f>
        <v>-75</v>
      </c>
      <c r="AI293" s="3">
        <f>T293-HLOOKUP(X293,Feuil1!$C$1:$BL$10,9,FALSE)</f>
        <v>-90</v>
      </c>
      <c r="AJ293" s="3">
        <f>T293-HLOOKUP(X293,Feuil1!$C$1:$BL$10,10,FALSE)</f>
        <v>-105</v>
      </c>
      <c r="AK293" s="5"/>
      <c r="AL293" s="5"/>
      <c r="AM293" s="5"/>
      <c r="AN293" s="5"/>
      <c r="AO293" s="5"/>
      <c r="AP293" s="5"/>
      <c r="AQ293" s="5" t="str">
        <f t="shared" si="93"/>
        <v>DEP +</v>
      </c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</row>
    <row r="294" spans="1:55" s="13" customFormat="1" ht="21" hidden="1" x14ac:dyDescent="0.2">
      <c r="A294" s="12" t="s">
        <v>69</v>
      </c>
      <c r="B294" s="18" t="s">
        <v>298</v>
      </c>
      <c r="C294" s="19" t="s">
        <v>404</v>
      </c>
      <c r="D294" s="61">
        <v>18</v>
      </c>
      <c r="E294" s="35">
        <v>345627</v>
      </c>
      <c r="F294" s="20" t="s">
        <v>455</v>
      </c>
      <c r="G294" s="20" t="s">
        <v>456</v>
      </c>
      <c r="H294" s="51">
        <v>1994</v>
      </c>
      <c r="I294" s="30">
        <v>72.8</v>
      </c>
      <c r="J294" s="19" t="s">
        <v>431</v>
      </c>
      <c r="K294" s="34" t="s">
        <v>69</v>
      </c>
      <c r="L294" s="31">
        <v>45</v>
      </c>
      <c r="M294" s="31">
        <v>48</v>
      </c>
      <c r="N294" s="31">
        <v>-50</v>
      </c>
      <c r="O294" s="36">
        <f t="shared" si="86"/>
        <v>48</v>
      </c>
      <c r="P294" s="31">
        <v>50</v>
      </c>
      <c r="Q294" s="31">
        <v>55</v>
      </c>
      <c r="R294" s="31">
        <v>-58</v>
      </c>
      <c r="S294" s="36">
        <f t="shared" si="87"/>
        <v>55</v>
      </c>
      <c r="T294" s="37">
        <f t="shared" si="88"/>
        <v>103</v>
      </c>
      <c r="U294" s="65">
        <f t="shared" si="89"/>
        <v>-42.599999999999994</v>
      </c>
      <c r="V294" s="41" t="str">
        <f t="shared" si="90"/>
        <v xml:space="preserve">DEB </v>
      </c>
      <c r="W294" s="33">
        <f t="shared" si="91"/>
        <v>8</v>
      </c>
      <c r="X294" s="40" t="str">
        <f>IF(I294="","",IF(A294="H",IF(OR(H294="SEN",H294&lt;1995),VLOOKUP(I294,Feuil1!$A$11:$F$29,6),IF(AND(H294&gt;1994,H294&lt;1998),VLOOKUP(I294,Feuil1!$A$11:$F$29,5),IF(AND(H294&gt;1997,H294&lt;2000),VLOOKUP(I294,Feuil1!$A$11:$F$29,4),IF(AND(H294&gt;1999,H294&lt;2002),VLOOKUP(I294,Feuil1!$A$11:$F$29,3),VLOOKUP(I294,Feuil1!$A$11:$F$29,2))))),IF(OR(H294="SEN",H294&lt;1995),VLOOKUP(I294,Feuil1!$G$11:$L$25,6),IF(AND(H294&gt;1994,H294&lt;1998),VLOOKUP(I294,Feuil1!$G$11:$L$25,5),IF(AND(H294&gt;1997,H294&lt;2000),VLOOKUP(I294,Feuil1!$G$11:$L$25,4),IF(AND(H294&gt;1999,H294&lt;2002),VLOOKUP(I294,Feuil1!$G$11:$L$25,3),VLOOKUP(I294,Feuil1!$G$11:$L$25,2)))))))</f>
        <v>FS75</v>
      </c>
      <c r="Y294" s="39">
        <f t="shared" si="92"/>
        <v>125.33408930840423</v>
      </c>
      <c r="Z294" s="45"/>
      <c r="AA294" s="49" t="s">
        <v>12</v>
      </c>
      <c r="AB294" s="3">
        <f>T294-HLOOKUP(X294,Feuil1!$C$1:$BL$10,2,FALSE)</f>
        <v>8</v>
      </c>
      <c r="AC294" s="3">
        <f>T294-HLOOKUP(X294,Feuil1!$C$1:$BL$10,3,FALSE)</f>
        <v>-2</v>
      </c>
      <c r="AD294" s="3">
        <f>T294-HLOOKUP(X294,Feuil1!$C$1:$BL$10,4,FALSE)</f>
        <v>-12</v>
      </c>
      <c r="AE294" s="3">
        <f>T294-HLOOKUP(X294,Feuil1!$C$1:$BL$10,5,FALSE)</f>
        <v>-27</v>
      </c>
      <c r="AF294" s="3">
        <f>T294-HLOOKUP(X294,Feuil1!$C$1:$BL$10,6,FALSE)</f>
        <v>-42</v>
      </c>
      <c r="AG294" s="3">
        <f>T294-HLOOKUP(X294,Feuil1!$C$1:$BL$10,7,FALSE)</f>
        <v>-57</v>
      </c>
      <c r="AH294" s="3">
        <f>T294-HLOOKUP(X294,Feuil1!$C$1:$BL$10,8,FALSE)</f>
        <v>-77</v>
      </c>
      <c r="AI294" s="3">
        <f>T294-HLOOKUP(X294,Feuil1!$C$1:$BL$10,9,FALSE)</f>
        <v>-92</v>
      </c>
      <c r="AJ294" s="3">
        <f>T294-HLOOKUP(X294,Feuil1!$C$1:$BL$10,10,FALSE)</f>
        <v>-107</v>
      </c>
      <c r="AK294" s="5"/>
      <c r="AL294" s="5"/>
      <c r="AM294" s="5"/>
      <c r="AN294" s="5"/>
      <c r="AO294" s="5"/>
      <c r="AP294" s="5"/>
      <c r="AQ294" s="5" t="str">
        <f t="shared" si="93"/>
        <v xml:space="preserve">DEB </v>
      </c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</row>
    <row r="295" spans="1:55" s="13" customFormat="1" ht="21" hidden="1" x14ac:dyDescent="0.2">
      <c r="A295" s="12" t="s">
        <v>69</v>
      </c>
      <c r="B295" s="18" t="s">
        <v>108</v>
      </c>
      <c r="C295" s="19" t="s">
        <v>109</v>
      </c>
      <c r="D295" s="61">
        <v>19</v>
      </c>
      <c r="E295" s="35" t="s">
        <v>185</v>
      </c>
      <c r="F295" s="20" t="s">
        <v>186</v>
      </c>
      <c r="G295" s="20" t="s">
        <v>187</v>
      </c>
      <c r="H295" s="51">
        <v>1994</v>
      </c>
      <c r="I295" s="30">
        <v>72.5</v>
      </c>
      <c r="J295" s="19" t="s">
        <v>155</v>
      </c>
      <c r="K295" s="34" t="s">
        <v>69</v>
      </c>
      <c r="L295" s="31">
        <v>37</v>
      </c>
      <c r="M295" s="31">
        <v>-40</v>
      </c>
      <c r="N295" s="31">
        <v>40</v>
      </c>
      <c r="O295" s="36">
        <f t="shared" si="86"/>
        <v>40</v>
      </c>
      <c r="P295" s="31">
        <v>53</v>
      </c>
      <c r="Q295" s="31">
        <v>58</v>
      </c>
      <c r="R295" s="31">
        <v>61</v>
      </c>
      <c r="S295" s="36">
        <f t="shared" si="87"/>
        <v>61</v>
      </c>
      <c r="T295" s="37">
        <f t="shared" si="88"/>
        <v>101</v>
      </c>
      <c r="U295" s="65">
        <f t="shared" si="89"/>
        <v>-44</v>
      </c>
      <c r="V295" s="41" t="str">
        <f t="shared" si="90"/>
        <v xml:space="preserve">DEB </v>
      </c>
      <c r="W295" s="33">
        <f t="shared" si="91"/>
        <v>6</v>
      </c>
      <c r="X295" s="40" t="str">
        <f>IF(I295="","",IF(A295="H",IF(OR(H295="SEN",H295&lt;1995),VLOOKUP(I295,Feuil1!$A$11:$F$29,6),IF(AND(H295&gt;1994,H295&lt;1998),VLOOKUP(I295,Feuil1!$A$11:$F$29,5),IF(AND(H295&gt;1997,H295&lt;2000),VLOOKUP(I295,Feuil1!$A$11:$F$29,4),IF(AND(H295&gt;1999,H295&lt;2002),VLOOKUP(I295,Feuil1!$A$11:$F$29,3),VLOOKUP(I295,Feuil1!$A$11:$F$29,2))))),IF(OR(H295="SEN",H295&lt;1995),VLOOKUP(I295,Feuil1!$G$11:$L$25,6),IF(AND(H295&gt;1994,H295&lt;1998),VLOOKUP(I295,Feuil1!$G$11:$L$25,5),IF(AND(H295&gt;1997,H295&lt;2000),VLOOKUP(I295,Feuil1!$G$11:$L$25,4),IF(AND(H295&gt;1999,H295&lt;2002),VLOOKUP(I295,Feuil1!$G$11:$L$25,3),VLOOKUP(I295,Feuil1!$G$11:$L$25,2)))))))</f>
        <v>FS75</v>
      </c>
      <c r="Y295" s="39">
        <f t="shared" si="92"/>
        <v>123.18224909211759</v>
      </c>
      <c r="Z295" s="45"/>
      <c r="AA295" s="49" t="s">
        <v>12</v>
      </c>
      <c r="AB295" s="3">
        <f>T295-HLOOKUP(X295,Feuil1!$C$1:$BL$10,2,FALSE)</f>
        <v>6</v>
      </c>
      <c r="AC295" s="3">
        <f>T295-HLOOKUP(X295,Feuil1!$C$1:$BL$10,3,FALSE)</f>
        <v>-4</v>
      </c>
      <c r="AD295" s="3">
        <f>T295-HLOOKUP(X295,Feuil1!$C$1:$BL$10,4,FALSE)</f>
        <v>-14</v>
      </c>
      <c r="AE295" s="3">
        <f>T295-HLOOKUP(X295,Feuil1!$C$1:$BL$10,5,FALSE)</f>
        <v>-29</v>
      </c>
      <c r="AF295" s="3">
        <f>T295-HLOOKUP(X295,Feuil1!$C$1:$BL$10,6,FALSE)</f>
        <v>-44</v>
      </c>
      <c r="AG295" s="3">
        <f>T295-HLOOKUP(X295,Feuil1!$C$1:$BL$10,7,FALSE)</f>
        <v>-59</v>
      </c>
      <c r="AH295" s="3">
        <f>T295-HLOOKUP(X295,Feuil1!$C$1:$BL$10,8,FALSE)</f>
        <v>-79</v>
      </c>
      <c r="AI295" s="3">
        <f>T295-HLOOKUP(X295,Feuil1!$C$1:$BL$10,9,FALSE)</f>
        <v>-94</v>
      </c>
      <c r="AJ295" s="3">
        <f>T295-HLOOKUP(X295,Feuil1!$C$1:$BL$10,10,FALSE)</f>
        <v>-109</v>
      </c>
      <c r="AK295" s="5"/>
      <c r="AL295" s="5"/>
      <c r="AM295" s="5"/>
      <c r="AN295" s="5"/>
      <c r="AO295" s="5"/>
      <c r="AP295" s="5"/>
      <c r="AQ295" s="5" t="str">
        <f t="shared" si="93"/>
        <v xml:space="preserve">DEB </v>
      </c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</row>
    <row r="296" spans="1:55" s="13" customFormat="1" ht="21" hidden="1" x14ac:dyDescent="0.2">
      <c r="A296" s="12" t="s">
        <v>69</v>
      </c>
      <c r="B296" s="18" t="s">
        <v>71</v>
      </c>
      <c r="C296" s="19" t="s">
        <v>801</v>
      </c>
      <c r="D296" s="61">
        <v>20</v>
      </c>
      <c r="E296" s="35">
        <v>377641</v>
      </c>
      <c r="F296" s="20" t="s">
        <v>865</v>
      </c>
      <c r="G296" s="20" t="s">
        <v>426</v>
      </c>
      <c r="H296" s="51">
        <v>1981</v>
      </c>
      <c r="I296" s="30">
        <v>74.2</v>
      </c>
      <c r="J296" s="19" t="s">
        <v>837</v>
      </c>
      <c r="K296" s="34" t="s">
        <v>69</v>
      </c>
      <c r="L296" s="31">
        <v>40</v>
      </c>
      <c r="M296" s="31">
        <v>43</v>
      </c>
      <c r="N296" s="31">
        <v>-45</v>
      </c>
      <c r="O296" s="36">
        <f t="shared" si="86"/>
        <v>43</v>
      </c>
      <c r="P296" s="31">
        <v>55</v>
      </c>
      <c r="Q296" s="31">
        <v>58</v>
      </c>
      <c r="R296" s="31">
        <v>0</v>
      </c>
      <c r="S296" s="36">
        <f t="shared" si="87"/>
        <v>58</v>
      </c>
      <c r="T296" s="37">
        <f t="shared" si="88"/>
        <v>101</v>
      </c>
      <c r="U296" s="65">
        <f t="shared" si="89"/>
        <v>-47.400000000000006</v>
      </c>
      <c r="V296" s="32" t="str">
        <f t="shared" si="90"/>
        <v xml:space="preserve">DEB </v>
      </c>
      <c r="W296" s="33">
        <f t="shared" si="91"/>
        <v>6</v>
      </c>
      <c r="X296" s="40" t="str">
        <f>IF(I296="","",IF(A296="H",IF(OR(H296="SEN",H296&lt;1995),VLOOKUP(I296,Feuil1!$A$11:$F$29,6),IF(AND(H296&gt;1994,H296&lt;1998),VLOOKUP(I296,Feuil1!$A$11:$F$29,5),IF(AND(H296&gt;1997,H296&lt;2000),VLOOKUP(I296,Feuil1!$A$11:$F$29,4),IF(AND(H296&gt;1999,H296&lt;2002),VLOOKUP(I296,Feuil1!$A$11:$F$29,3),VLOOKUP(I296,Feuil1!$A$11:$F$29,2))))),IF(OR(H296="SEN",H296&lt;1995),VLOOKUP(I296,Feuil1!$G$11:$L$25,6),IF(AND(H296&gt;1994,H296&lt;1998),VLOOKUP(I296,Feuil1!$G$11:$L$25,5),IF(AND(H296&gt;1997,H296&lt;2000),VLOOKUP(I296,Feuil1!$G$11:$L$25,4),IF(AND(H296&gt;1999,H296&lt;2002),VLOOKUP(I296,Feuil1!$G$11:$L$25,3),VLOOKUP(I296,Feuil1!$G$11:$L$25,2)))))))</f>
        <v>FS75</v>
      </c>
      <c r="Y296" s="39">
        <f t="shared" si="92"/>
        <v>121.62962443041954</v>
      </c>
      <c r="Z296" s="45"/>
      <c r="AA296" s="49" t="s">
        <v>12</v>
      </c>
      <c r="AB296" s="3">
        <f>T296-HLOOKUP(X296,Feuil1!$C$1:$BL$10,2,FALSE)</f>
        <v>6</v>
      </c>
      <c r="AC296" s="3">
        <f>T296-HLOOKUP(X296,Feuil1!$C$1:$BL$10,3,FALSE)</f>
        <v>-4</v>
      </c>
      <c r="AD296" s="3">
        <f>T296-HLOOKUP(X296,Feuil1!$C$1:$BL$10,4,FALSE)</f>
        <v>-14</v>
      </c>
      <c r="AE296" s="3">
        <f>T296-HLOOKUP(X296,Feuil1!$C$1:$BL$10,5,FALSE)</f>
        <v>-29</v>
      </c>
      <c r="AF296" s="3">
        <f>T296-HLOOKUP(X296,Feuil1!$C$1:$BL$10,6,FALSE)</f>
        <v>-44</v>
      </c>
      <c r="AG296" s="3">
        <f>T296-HLOOKUP(X296,Feuil1!$C$1:$BL$10,7,FALSE)</f>
        <v>-59</v>
      </c>
      <c r="AH296" s="3">
        <f>T296-HLOOKUP(X296,Feuil1!$C$1:$BL$10,8,FALSE)</f>
        <v>-79</v>
      </c>
      <c r="AI296" s="3">
        <f>T296-HLOOKUP(X296,Feuil1!$C$1:$BL$10,9,FALSE)</f>
        <v>-94</v>
      </c>
      <c r="AJ296" s="3">
        <f>T296-HLOOKUP(X296,Feuil1!$C$1:$BL$10,10,FALSE)</f>
        <v>-109</v>
      </c>
      <c r="AK296" s="5"/>
      <c r="AL296" s="5"/>
      <c r="AM296" s="5"/>
      <c r="AN296" s="5"/>
      <c r="AO296" s="5"/>
      <c r="AP296" s="5"/>
      <c r="AQ296" s="5" t="str">
        <f t="shared" si="93"/>
        <v xml:space="preserve">DEB </v>
      </c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</row>
    <row r="297" spans="1:55" s="13" customFormat="1" ht="21" hidden="1" x14ac:dyDescent="0.2">
      <c r="A297" s="12" t="s">
        <v>69</v>
      </c>
      <c r="B297" s="18" t="s">
        <v>108</v>
      </c>
      <c r="C297" s="19" t="s">
        <v>264</v>
      </c>
      <c r="D297" s="61">
        <v>21</v>
      </c>
      <c r="E297" s="35">
        <v>363720</v>
      </c>
      <c r="F297" s="20" t="s">
        <v>290</v>
      </c>
      <c r="G297" s="20" t="s">
        <v>291</v>
      </c>
      <c r="H297" s="51">
        <v>1979</v>
      </c>
      <c r="I297" s="30">
        <v>72.400000000000006</v>
      </c>
      <c r="J297" s="19" t="s">
        <v>267</v>
      </c>
      <c r="K297" s="34" t="s">
        <v>69</v>
      </c>
      <c r="L297" s="31">
        <v>38</v>
      </c>
      <c r="M297" s="31">
        <v>40</v>
      </c>
      <c r="N297" s="31">
        <v>42</v>
      </c>
      <c r="O297" s="36">
        <f t="shared" si="86"/>
        <v>42</v>
      </c>
      <c r="P297" s="31">
        <v>54</v>
      </c>
      <c r="Q297" s="31">
        <v>58</v>
      </c>
      <c r="R297" s="31">
        <v>-60</v>
      </c>
      <c r="S297" s="36">
        <f t="shared" si="87"/>
        <v>58</v>
      </c>
      <c r="T297" s="37">
        <f t="shared" si="88"/>
        <v>100</v>
      </c>
      <c r="U297" s="65">
        <f t="shared" si="89"/>
        <v>-44.800000000000011</v>
      </c>
      <c r="V297" s="41" t="str">
        <f t="shared" si="90"/>
        <v xml:space="preserve">DEB </v>
      </c>
      <c r="W297" s="33">
        <f t="shared" si="91"/>
        <v>5</v>
      </c>
      <c r="X297" s="40" t="str">
        <f>IF(I297="","",IF(A297="H",IF(OR(H297="SEN",H297&lt;1995),VLOOKUP(I297,Feuil1!$A$11:$F$29,6),IF(AND(H297&gt;1994,H297&lt;1998),VLOOKUP(I297,Feuil1!$A$11:$F$29,5),IF(AND(H297&gt;1997,H297&lt;2000),VLOOKUP(I297,Feuil1!$A$11:$F$29,4),IF(AND(H297&gt;1999,H297&lt;2002),VLOOKUP(I297,Feuil1!$A$11:$F$29,3),VLOOKUP(I297,Feuil1!$A$11:$F$29,2))))),IF(OR(H297="SEN",H297&lt;1995),VLOOKUP(I297,Feuil1!$G$11:$L$25,6),IF(AND(H297&gt;1994,H297&lt;1998),VLOOKUP(I297,Feuil1!$G$11:$L$25,5),IF(AND(H297&gt;1997,H297&lt;2000),VLOOKUP(I297,Feuil1!$G$11:$L$25,4),IF(AND(H297&gt;1999,H297&lt;2002),VLOOKUP(I297,Feuil1!$G$11:$L$25,3),VLOOKUP(I297,Feuil1!$G$11:$L$25,2)))))))</f>
        <v>FS75</v>
      </c>
      <c r="Y297" s="39">
        <f t="shared" si="92"/>
        <v>122.05639749847383</v>
      </c>
      <c r="Z297" s="45"/>
      <c r="AA297" s="49" t="s">
        <v>12</v>
      </c>
      <c r="AB297" s="3">
        <f>T297-HLOOKUP(X297,Feuil1!$C$1:$BL$10,2,FALSE)</f>
        <v>5</v>
      </c>
      <c r="AC297" s="3">
        <f>T297-HLOOKUP(X297,Feuil1!$C$1:$BL$10,3,FALSE)</f>
        <v>-5</v>
      </c>
      <c r="AD297" s="3">
        <f>T297-HLOOKUP(X297,Feuil1!$C$1:$BL$10,4,FALSE)</f>
        <v>-15</v>
      </c>
      <c r="AE297" s="3">
        <f>T297-HLOOKUP(X297,Feuil1!$C$1:$BL$10,5,FALSE)</f>
        <v>-30</v>
      </c>
      <c r="AF297" s="3">
        <f>T297-HLOOKUP(X297,Feuil1!$C$1:$BL$10,6,FALSE)</f>
        <v>-45</v>
      </c>
      <c r="AG297" s="3">
        <f>T297-HLOOKUP(X297,Feuil1!$C$1:$BL$10,7,FALSE)</f>
        <v>-60</v>
      </c>
      <c r="AH297" s="3">
        <f>T297-HLOOKUP(X297,Feuil1!$C$1:$BL$10,8,FALSE)</f>
        <v>-80</v>
      </c>
      <c r="AI297" s="3">
        <f>T297-HLOOKUP(X297,Feuil1!$C$1:$BL$10,9,FALSE)</f>
        <v>-95</v>
      </c>
      <c r="AJ297" s="3">
        <f>T297-HLOOKUP(X297,Feuil1!$C$1:$BL$10,10,FALSE)</f>
        <v>-110</v>
      </c>
      <c r="AK297" s="5"/>
      <c r="AL297" s="5"/>
      <c r="AM297" s="5"/>
      <c r="AN297" s="5"/>
      <c r="AO297" s="5"/>
      <c r="AP297" s="5"/>
      <c r="AQ297" s="5" t="str">
        <f t="shared" si="93"/>
        <v xml:space="preserve">DEB </v>
      </c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</row>
    <row r="298" spans="1:55" s="13" customFormat="1" ht="21" hidden="1" x14ac:dyDescent="0.2">
      <c r="A298" s="12" t="s">
        <v>69</v>
      </c>
      <c r="B298" s="18" t="s">
        <v>536</v>
      </c>
      <c r="C298" s="19" t="s">
        <v>541</v>
      </c>
      <c r="D298" s="61">
        <v>22</v>
      </c>
      <c r="E298" s="35">
        <v>390214</v>
      </c>
      <c r="F298" s="20" t="s">
        <v>636</v>
      </c>
      <c r="G298" s="20" t="s">
        <v>426</v>
      </c>
      <c r="H298" s="51">
        <v>1989</v>
      </c>
      <c r="I298" s="30">
        <v>69.900000000000006</v>
      </c>
      <c r="J298" s="19" t="s">
        <v>637</v>
      </c>
      <c r="K298" s="34" t="s">
        <v>69</v>
      </c>
      <c r="L298" s="31">
        <v>30</v>
      </c>
      <c r="M298" s="31">
        <v>35</v>
      </c>
      <c r="N298" s="31">
        <v>-37</v>
      </c>
      <c r="O298" s="36">
        <f t="shared" si="86"/>
        <v>35</v>
      </c>
      <c r="P298" s="31">
        <v>38</v>
      </c>
      <c r="Q298" s="31">
        <v>42</v>
      </c>
      <c r="R298" s="31">
        <v>45</v>
      </c>
      <c r="S298" s="36">
        <f t="shared" si="87"/>
        <v>45</v>
      </c>
      <c r="T298" s="37">
        <f t="shared" si="88"/>
        <v>80</v>
      </c>
      <c r="U298" s="65">
        <f t="shared" si="89"/>
        <v>-59.800000000000011</v>
      </c>
      <c r="V298" s="41" t="str">
        <f t="shared" si="90"/>
        <v xml:space="preserve">DEB </v>
      </c>
      <c r="W298" s="33">
        <f t="shared" si="91"/>
        <v>-15</v>
      </c>
      <c r="X298" s="40" t="str">
        <f>IF(I298="","",IF(A298="H",IF(OR(H298="SEN",H298&lt;1995),VLOOKUP(I298,Feuil1!$A$11:$F$29,6),IF(AND(H298&gt;1994,H298&lt;1998),VLOOKUP(I298,Feuil1!$A$11:$F$29,5),IF(AND(H298&gt;1997,H298&lt;2000),VLOOKUP(I298,Feuil1!$A$11:$F$29,4),IF(AND(H298&gt;1999,H298&lt;2002),VLOOKUP(I298,Feuil1!$A$11:$F$29,3),VLOOKUP(I298,Feuil1!$A$11:$F$29,2))))),IF(OR(H298="SEN",H298&lt;1995),VLOOKUP(I298,Feuil1!$G$11:$L$25,6),IF(AND(H298&gt;1994,H298&lt;1998),VLOOKUP(I298,Feuil1!$G$11:$L$25,5),IF(AND(H298&gt;1997,H298&lt;2000),VLOOKUP(I298,Feuil1!$G$11:$L$25,4),IF(AND(H298&gt;1999,H298&lt;2002),VLOOKUP(I298,Feuil1!$G$11:$L$25,3),VLOOKUP(I298,Feuil1!$G$11:$L$25,2)))))))</f>
        <v>FS75</v>
      </c>
      <c r="Y298" s="39">
        <f t="shared" si="92"/>
        <v>99.624434487392449</v>
      </c>
      <c r="Z298" s="45"/>
      <c r="AA298" s="49" t="s">
        <v>12</v>
      </c>
      <c r="AB298" s="3">
        <f>T298-HLOOKUP(X298,Feuil1!$C$1:$BL$10,2,FALSE)</f>
        <v>-15</v>
      </c>
      <c r="AC298" s="3">
        <f>T298-HLOOKUP(X298,Feuil1!$C$1:$BL$10,3,FALSE)</f>
        <v>-25</v>
      </c>
      <c r="AD298" s="3">
        <f>T298-HLOOKUP(X298,Feuil1!$C$1:$BL$10,4,FALSE)</f>
        <v>-35</v>
      </c>
      <c r="AE298" s="3">
        <f>T298-HLOOKUP(X298,Feuil1!$C$1:$BL$10,5,FALSE)</f>
        <v>-50</v>
      </c>
      <c r="AF298" s="3">
        <f>T298-HLOOKUP(X298,Feuil1!$C$1:$BL$10,6,FALSE)</f>
        <v>-65</v>
      </c>
      <c r="AG298" s="3">
        <f>T298-HLOOKUP(X298,Feuil1!$C$1:$BL$10,7,FALSE)</f>
        <v>-80</v>
      </c>
      <c r="AH298" s="3">
        <f>T298-HLOOKUP(X298,Feuil1!$C$1:$BL$10,8,FALSE)</f>
        <v>-100</v>
      </c>
      <c r="AI298" s="3">
        <f>T298-HLOOKUP(X298,Feuil1!$C$1:$BL$10,9,FALSE)</f>
        <v>-115</v>
      </c>
      <c r="AJ298" s="3">
        <f>T298-HLOOKUP(X298,Feuil1!$C$1:$BL$10,10,FALSE)</f>
        <v>-130</v>
      </c>
      <c r="AK298" s="5"/>
      <c r="AL298" s="5"/>
      <c r="AM298" s="5"/>
      <c r="AN298" s="5"/>
      <c r="AO298" s="5"/>
      <c r="AP298" s="5"/>
      <c r="AQ298" s="5" t="str">
        <f t="shared" si="93"/>
        <v xml:space="preserve">DEB </v>
      </c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</row>
    <row r="299" spans="1:55" s="13" customFormat="1" ht="21" hidden="1" x14ac:dyDescent="0.2">
      <c r="A299" s="12" t="s">
        <v>69</v>
      </c>
      <c r="B299" s="18" t="s">
        <v>108</v>
      </c>
      <c r="C299" s="19" t="s">
        <v>119</v>
      </c>
      <c r="D299" s="61">
        <v>23</v>
      </c>
      <c r="E299" s="35">
        <v>245886</v>
      </c>
      <c r="F299" s="20" t="s">
        <v>234</v>
      </c>
      <c r="G299" s="20" t="s">
        <v>208</v>
      </c>
      <c r="H299" s="51">
        <v>1976</v>
      </c>
      <c r="I299" s="30">
        <v>73.849999999999994</v>
      </c>
      <c r="J299" s="19" t="s">
        <v>173</v>
      </c>
      <c r="K299" s="34" t="s">
        <v>69</v>
      </c>
      <c r="L299" s="31">
        <v>32</v>
      </c>
      <c r="M299" s="31">
        <v>35</v>
      </c>
      <c r="N299" s="31">
        <v>-37</v>
      </c>
      <c r="O299" s="36">
        <f t="shared" si="86"/>
        <v>35</v>
      </c>
      <c r="P299" s="31">
        <v>40</v>
      </c>
      <c r="Q299" s="31">
        <v>44</v>
      </c>
      <c r="R299" s="31">
        <v>-47</v>
      </c>
      <c r="S299" s="36">
        <f t="shared" si="87"/>
        <v>44</v>
      </c>
      <c r="T299" s="37">
        <f t="shared" si="88"/>
        <v>79</v>
      </c>
      <c r="U299" s="65">
        <f t="shared" si="89"/>
        <v>-68.699999999999989</v>
      </c>
      <c r="V299" s="41" t="str">
        <f t="shared" si="90"/>
        <v xml:space="preserve">DEB </v>
      </c>
      <c r="W299" s="33">
        <f t="shared" si="91"/>
        <v>-16</v>
      </c>
      <c r="X299" s="40" t="str">
        <f>IF(I299="","",IF(A299="H",IF(OR(H299="SEN",H299&lt;1995),VLOOKUP(I299,Feuil1!$A$11:$F$29,6),IF(AND(H299&gt;1994,H299&lt;1998),VLOOKUP(I299,Feuil1!$A$11:$F$29,5),IF(AND(H299&gt;1997,H299&lt;2000),VLOOKUP(I299,Feuil1!$A$11:$F$29,4),IF(AND(H299&gt;1999,H299&lt;2002),VLOOKUP(I299,Feuil1!$A$11:$F$29,3),VLOOKUP(I299,Feuil1!$A$11:$F$29,2))))),IF(OR(H299="SEN",H299&lt;1995),VLOOKUP(I299,Feuil1!$G$11:$L$25,6),IF(AND(H299&gt;1994,H299&lt;1998),VLOOKUP(I299,Feuil1!$G$11:$L$25,5),IF(AND(H299&gt;1997,H299&lt;2000),VLOOKUP(I299,Feuil1!$G$11:$L$25,4),IF(AND(H299&gt;1999,H299&lt;2002),VLOOKUP(I299,Feuil1!$G$11:$L$25,3),VLOOKUP(I299,Feuil1!$G$11:$L$25,2)))))))</f>
        <v>FS75</v>
      </c>
      <c r="Y299" s="39">
        <f t="shared" si="92"/>
        <v>95.379290567853076</v>
      </c>
      <c r="Z299" s="45"/>
      <c r="AA299" s="49" t="s">
        <v>12</v>
      </c>
      <c r="AB299" s="3">
        <f>T299-HLOOKUP(X299,Feuil1!$C$1:$BL$10,2,FALSE)</f>
        <v>-16</v>
      </c>
      <c r="AC299" s="3">
        <f>T299-HLOOKUP(X299,Feuil1!$C$1:$BL$10,3,FALSE)</f>
        <v>-26</v>
      </c>
      <c r="AD299" s="3">
        <f>T299-HLOOKUP(X299,Feuil1!$C$1:$BL$10,4,FALSE)</f>
        <v>-36</v>
      </c>
      <c r="AE299" s="3">
        <f>T299-HLOOKUP(X299,Feuil1!$C$1:$BL$10,5,FALSE)</f>
        <v>-51</v>
      </c>
      <c r="AF299" s="3">
        <f>T299-HLOOKUP(X299,Feuil1!$C$1:$BL$10,6,FALSE)</f>
        <v>-66</v>
      </c>
      <c r="AG299" s="3">
        <f>T299-HLOOKUP(X299,Feuil1!$C$1:$BL$10,7,FALSE)</f>
        <v>-81</v>
      </c>
      <c r="AH299" s="3">
        <f>T299-HLOOKUP(X299,Feuil1!$C$1:$BL$10,8,FALSE)</f>
        <v>-101</v>
      </c>
      <c r="AI299" s="3">
        <f>T299-HLOOKUP(X299,Feuil1!$C$1:$BL$10,9,FALSE)</f>
        <v>-116</v>
      </c>
      <c r="AJ299" s="3">
        <f>T299-HLOOKUP(X299,Feuil1!$C$1:$BL$10,10,FALSE)</f>
        <v>-131</v>
      </c>
      <c r="AK299" s="5"/>
      <c r="AL299" s="5"/>
      <c r="AM299" s="5"/>
      <c r="AN299" s="5"/>
      <c r="AO299" s="5"/>
      <c r="AP299" s="5"/>
      <c r="AQ299" s="5" t="str">
        <f t="shared" si="93"/>
        <v xml:space="preserve">DEB </v>
      </c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</row>
    <row r="300" spans="1:55" s="13" customFormat="1" ht="21" hidden="1" x14ac:dyDescent="0.2">
      <c r="A300" s="12" t="s">
        <v>69</v>
      </c>
      <c r="B300" s="18" t="s">
        <v>71</v>
      </c>
      <c r="C300" s="19" t="s">
        <v>72</v>
      </c>
      <c r="D300" s="61">
        <v>24</v>
      </c>
      <c r="E300" s="35">
        <v>328836</v>
      </c>
      <c r="F300" s="20" t="s">
        <v>958</v>
      </c>
      <c r="G300" s="20" t="s">
        <v>426</v>
      </c>
      <c r="H300" s="51">
        <v>1994</v>
      </c>
      <c r="I300" s="30">
        <v>73.8</v>
      </c>
      <c r="J300" s="19" t="s">
        <v>959</v>
      </c>
      <c r="K300" s="34"/>
      <c r="L300" s="31">
        <v>28</v>
      </c>
      <c r="M300" s="31">
        <v>31</v>
      </c>
      <c r="N300" s="31">
        <v>-34</v>
      </c>
      <c r="O300" s="36">
        <f t="shared" si="86"/>
        <v>31</v>
      </c>
      <c r="P300" s="31">
        <v>38</v>
      </c>
      <c r="Q300" s="31">
        <v>43</v>
      </c>
      <c r="R300" s="31">
        <v>46</v>
      </c>
      <c r="S300" s="36">
        <f t="shared" si="87"/>
        <v>46</v>
      </c>
      <c r="T300" s="37">
        <f t="shared" si="88"/>
        <v>77</v>
      </c>
      <c r="U300" s="65">
        <f t="shared" si="89"/>
        <v>-70.599999999999994</v>
      </c>
      <c r="V300" s="32" t="str">
        <f t="shared" si="90"/>
        <v xml:space="preserve">DEB </v>
      </c>
      <c r="W300" s="33">
        <f t="shared" si="91"/>
        <v>-18</v>
      </c>
      <c r="X300" s="40" t="str">
        <f>IF(I300="","",IF(A300="H",IF(OR(H300="SEN",H300&lt;1995),VLOOKUP(I300,Feuil1!$A$11:$F$29,6),IF(AND(H300&gt;1994,H300&lt;1998),VLOOKUP(I300,Feuil1!$A$11:$F$29,5),IF(AND(H300&gt;1997,H300&lt;2000),VLOOKUP(I300,Feuil1!$A$11:$F$29,4),IF(AND(H300&gt;1999,H300&lt;2002),VLOOKUP(I300,Feuil1!$A$11:$F$29,3),VLOOKUP(I300,Feuil1!$A$11:$F$29,2))))),IF(OR(H300="SEN",H300&lt;1995),VLOOKUP(I300,Feuil1!$G$11:$L$25,6),IF(AND(H300&gt;1994,H300&lt;1998),VLOOKUP(I300,Feuil1!$G$11:$L$25,5),IF(AND(H300&gt;1997,H300&lt;2000),VLOOKUP(I300,Feuil1!$G$11:$L$25,4),IF(AND(H300&gt;1999,H300&lt;2002),VLOOKUP(I300,Feuil1!$G$11:$L$25,3),VLOOKUP(I300,Feuil1!$G$11:$L$25,2)))))))</f>
        <v>FS75</v>
      </c>
      <c r="Y300" s="39">
        <f t="shared" si="92"/>
        <v>92.998768882879858</v>
      </c>
      <c r="Z300" s="45"/>
      <c r="AA300" s="49" t="s">
        <v>12</v>
      </c>
      <c r="AB300" s="3">
        <f>T300-HLOOKUP(X300,Feuil1!$C$1:$BL$10,2,FALSE)</f>
        <v>-18</v>
      </c>
      <c r="AC300" s="3">
        <f>T300-HLOOKUP(X300,Feuil1!$C$1:$BL$10,3,FALSE)</f>
        <v>-28</v>
      </c>
      <c r="AD300" s="3">
        <f>T300-HLOOKUP(X300,Feuil1!$C$1:$BL$10,4,FALSE)</f>
        <v>-38</v>
      </c>
      <c r="AE300" s="3">
        <f>T300-HLOOKUP(X300,Feuil1!$C$1:$BL$10,5,FALSE)</f>
        <v>-53</v>
      </c>
      <c r="AF300" s="3">
        <f>T300-HLOOKUP(X300,Feuil1!$C$1:$BL$10,6,FALSE)</f>
        <v>-68</v>
      </c>
      <c r="AG300" s="3">
        <f>T300-HLOOKUP(X300,Feuil1!$C$1:$BL$10,7,FALSE)</f>
        <v>-83</v>
      </c>
      <c r="AH300" s="3">
        <f>T300-HLOOKUP(X300,Feuil1!$C$1:$BL$10,8,FALSE)</f>
        <v>-103</v>
      </c>
      <c r="AI300" s="3">
        <f>T300-HLOOKUP(X300,Feuil1!$C$1:$BL$10,9,FALSE)</f>
        <v>-118</v>
      </c>
      <c r="AJ300" s="3">
        <f>T300-HLOOKUP(X300,Feuil1!$C$1:$BL$10,10,FALSE)</f>
        <v>-133</v>
      </c>
      <c r="AK300" s="5"/>
      <c r="AL300" s="5"/>
      <c r="AM300" s="5"/>
      <c r="AN300" s="5"/>
      <c r="AO300" s="5"/>
      <c r="AP300" s="5"/>
      <c r="AQ300" s="5" t="str">
        <f t="shared" si="93"/>
        <v xml:space="preserve">DEB </v>
      </c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</row>
    <row r="301" spans="1:55" s="13" customFormat="1" ht="21" hidden="1" x14ac:dyDescent="0.2">
      <c r="A301" s="12" t="s">
        <v>69</v>
      </c>
      <c r="B301" s="18" t="s">
        <v>298</v>
      </c>
      <c r="C301" s="19" t="s">
        <v>404</v>
      </c>
      <c r="D301" s="61">
        <v>25</v>
      </c>
      <c r="E301" s="35">
        <v>354857</v>
      </c>
      <c r="F301" s="20" t="s">
        <v>460</v>
      </c>
      <c r="G301" s="20" t="s">
        <v>461</v>
      </c>
      <c r="H301" s="51">
        <v>1976</v>
      </c>
      <c r="I301" s="30">
        <v>70.3</v>
      </c>
      <c r="J301" s="19" t="s">
        <v>412</v>
      </c>
      <c r="K301" s="34" t="s">
        <v>69</v>
      </c>
      <c r="L301" s="31">
        <v>30</v>
      </c>
      <c r="M301" s="31">
        <v>33</v>
      </c>
      <c r="N301" s="31">
        <v>35</v>
      </c>
      <c r="O301" s="36">
        <f t="shared" si="86"/>
        <v>35</v>
      </c>
      <c r="P301" s="31">
        <v>34</v>
      </c>
      <c r="Q301" s="31">
        <v>37</v>
      </c>
      <c r="R301" s="31">
        <v>40</v>
      </c>
      <c r="S301" s="36">
        <f t="shared" si="87"/>
        <v>40</v>
      </c>
      <c r="T301" s="37">
        <f t="shared" si="88"/>
        <v>75</v>
      </c>
      <c r="U301" s="65">
        <f t="shared" si="89"/>
        <v>-65.599999999999994</v>
      </c>
      <c r="V301" s="41" t="str">
        <f t="shared" si="90"/>
        <v xml:space="preserve">DEB </v>
      </c>
      <c r="W301" s="33">
        <f t="shared" si="91"/>
        <v>-20</v>
      </c>
      <c r="X301" s="40" t="str">
        <f>IF(I301="","",IF(A301="H",IF(OR(H301="SEN",H301&lt;1995),VLOOKUP(I301,Feuil1!$A$11:$F$29,6),IF(AND(H301&gt;1994,H301&lt;1998),VLOOKUP(I301,Feuil1!$A$11:$F$29,5),IF(AND(H301&gt;1997,H301&lt;2000),VLOOKUP(I301,Feuil1!$A$11:$F$29,4),IF(AND(H301&gt;1999,H301&lt;2002),VLOOKUP(I301,Feuil1!$A$11:$F$29,3),VLOOKUP(I301,Feuil1!$A$11:$F$29,2))))),IF(OR(H301="SEN",H301&lt;1995),VLOOKUP(I301,Feuil1!$G$11:$L$25,6),IF(AND(H301&gt;1994,H301&lt;1998),VLOOKUP(I301,Feuil1!$G$11:$L$25,5),IF(AND(H301&gt;1997,H301&lt;2000),VLOOKUP(I301,Feuil1!$G$11:$L$25,4),IF(AND(H301&gt;1999,H301&lt;2002),VLOOKUP(I301,Feuil1!$G$11:$L$25,3),VLOOKUP(I301,Feuil1!$G$11:$L$25,2)))))))</f>
        <v>FS75</v>
      </c>
      <c r="Y301" s="39">
        <f t="shared" si="92"/>
        <v>93.08796209552952</v>
      </c>
      <c r="Z301" s="45"/>
      <c r="AA301" s="49" t="s">
        <v>12</v>
      </c>
      <c r="AB301" s="3">
        <f>T301-HLOOKUP(X301,Feuil1!$C$1:$BL$10,2,FALSE)</f>
        <v>-20</v>
      </c>
      <c r="AC301" s="3">
        <f>T301-HLOOKUP(X301,Feuil1!$C$1:$BL$10,3,FALSE)</f>
        <v>-30</v>
      </c>
      <c r="AD301" s="3">
        <f>T301-HLOOKUP(X301,Feuil1!$C$1:$BL$10,4,FALSE)</f>
        <v>-40</v>
      </c>
      <c r="AE301" s="3">
        <f>T301-HLOOKUP(X301,Feuil1!$C$1:$BL$10,5,FALSE)</f>
        <v>-55</v>
      </c>
      <c r="AF301" s="3">
        <f>T301-HLOOKUP(X301,Feuil1!$C$1:$BL$10,6,FALSE)</f>
        <v>-70</v>
      </c>
      <c r="AG301" s="3">
        <f>T301-HLOOKUP(X301,Feuil1!$C$1:$BL$10,7,FALSE)</f>
        <v>-85</v>
      </c>
      <c r="AH301" s="3">
        <f>T301-HLOOKUP(X301,Feuil1!$C$1:$BL$10,8,FALSE)</f>
        <v>-105</v>
      </c>
      <c r="AI301" s="3">
        <f>T301-HLOOKUP(X301,Feuil1!$C$1:$BL$10,9,FALSE)</f>
        <v>-120</v>
      </c>
      <c r="AJ301" s="3">
        <f>T301-HLOOKUP(X301,Feuil1!$C$1:$BL$10,10,FALSE)</f>
        <v>-135</v>
      </c>
      <c r="AK301" s="5"/>
      <c r="AL301" s="5"/>
      <c r="AM301" s="5"/>
      <c r="AN301" s="5"/>
      <c r="AO301" s="5"/>
      <c r="AP301" s="5"/>
      <c r="AQ301" s="5" t="str">
        <f t="shared" si="93"/>
        <v xml:space="preserve">DEB </v>
      </c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</row>
    <row r="302" spans="1:55" s="13" customFormat="1" ht="21" hidden="1" x14ac:dyDescent="0.2">
      <c r="A302" s="12" t="s">
        <v>69</v>
      </c>
      <c r="B302" s="18" t="s">
        <v>721</v>
      </c>
      <c r="C302" s="19" t="s">
        <v>745</v>
      </c>
      <c r="D302" s="61">
        <v>26</v>
      </c>
      <c r="E302" s="35">
        <v>365251</v>
      </c>
      <c r="F302" s="20" t="s">
        <v>773</v>
      </c>
      <c r="G302" s="20" t="s">
        <v>774</v>
      </c>
      <c r="H302" s="51">
        <v>1973</v>
      </c>
      <c r="I302" s="30">
        <v>75</v>
      </c>
      <c r="J302" s="19" t="s">
        <v>748</v>
      </c>
      <c r="K302" s="34" t="s">
        <v>69</v>
      </c>
      <c r="L302" s="31">
        <v>26</v>
      </c>
      <c r="M302" s="31">
        <v>29</v>
      </c>
      <c r="N302" s="31">
        <v>31</v>
      </c>
      <c r="O302" s="36">
        <f t="shared" si="86"/>
        <v>31</v>
      </c>
      <c r="P302" s="31">
        <v>37</v>
      </c>
      <c r="Q302" s="31">
        <v>41</v>
      </c>
      <c r="R302" s="31">
        <v>-42</v>
      </c>
      <c r="S302" s="36">
        <f t="shared" si="87"/>
        <v>41</v>
      </c>
      <c r="T302" s="37">
        <f t="shared" si="88"/>
        <v>72</v>
      </c>
      <c r="U302" s="65">
        <f t="shared" si="89"/>
        <v>-78</v>
      </c>
      <c r="V302" s="41" t="str">
        <f t="shared" si="90"/>
        <v xml:space="preserve">DEB </v>
      </c>
      <c r="W302" s="33">
        <f t="shared" si="91"/>
        <v>-23</v>
      </c>
      <c r="X302" s="40" t="str">
        <f>IF(I302="","",IF(A302="H",IF(OR(H302="SEN",H302&lt;1995),VLOOKUP(I302,Feuil1!$A$11:$F$29,6),IF(AND(H302&gt;1994,H302&lt;1998),VLOOKUP(I302,Feuil1!$A$11:$F$29,5),IF(AND(H302&gt;1997,H302&lt;2000),VLOOKUP(I302,Feuil1!$A$11:$F$29,4),IF(AND(H302&gt;1999,H302&lt;2002),VLOOKUP(I302,Feuil1!$A$11:$F$29,3),VLOOKUP(I302,Feuil1!$A$11:$F$29,2))))),IF(OR(H302="SEN",H302&lt;1995),VLOOKUP(I302,Feuil1!$G$11:$L$25,6),IF(AND(H302&gt;1994,H302&lt;1998),VLOOKUP(I302,Feuil1!$G$11:$L$25,5),IF(AND(H302&gt;1997,H302&lt;2000),VLOOKUP(I302,Feuil1!$G$11:$L$25,4),IF(AND(H302&gt;1999,H302&lt;2002),VLOOKUP(I302,Feuil1!$G$11:$L$25,3),VLOOKUP(I302,Feuil1!$G$11:$L$25,2)))))))</f>
        <v>FS75</v>
      </c>
      <c r="Y302" s="39">
        <f t="shared" si="92"/>
        <v>86.211099289643244</v>
      </c>
      <c r="Z302" s="45"/>
      <c r="AA302" s="49" t="s">
        <v>12</v>
      </c>
      <c r="AB302" s="3">
        <f>T302-HLOOKUP(X302,Feuil1!$C$1:$BL$10,2,FALSE)</f>
        <v>-23</v>
      </c>
      <c r="AC302" s="3">
        <f>T302-HLOOKUP(X302,Feuil1!$C$1:$BL$10,3,FALSE)</f>
        <v>-33</v>
      </c>
      <c r="AD302" s="3">
        <f>T302-HLOOKUP(X302,Feuil1!$C$1:$BL$10,4,FALSE)</f>
        <v>-43</v>
      </c>
      <c r="AE302" s="3">
        <f>T302-HLOOKUP(X302,Feuil1!$C$1:$BL$10,5,FALSE)</f>
        <v>-58</v>
      </c>
      <c r="AF302" s="3">
        <f>T302-HLOOKUP(X302,Feuil1!$C$1:$BL$10,6,FALSE)</f>
        <v>-73</v>
      </c>
      <c r="AG302" s="3">
        <f>T302-HLOOKUP(X302,Feuil1!$C$1:$BL$10,7,FALSE)</f>
        <v>-88</v>
      </c>
      <c r="AH302" s="3">
        <f>T302-HLOOKUP(X302,Feuil1!$C$1:$BL$10,8,FALSE)</f>
        <v>-108</v>
      </c>
      <c r="AI302" s="3">
        <f>T302-HLOOKUP(X302,Feuil1!$C$1:$BL$10,9,FALSE)</f>
        <v>-123</v>
      </c>
      <c r="AJ302" s="3">
        <f>T302-HLOOKUP(X302,Feuil1!$C$1:$BL$10,10,FALSE)</f>
        <v>-138</v>
      </c>
      <c r="AK302" s="5"/>
      <c r="AL302" s="5"/>
      <c r="AM302" s="5"/>
      <c r="AN302" s="5"/>
      <c r="AO302" s="5"/>
      <c r="AP302" s="5"/>
      <c r="AQ302" s="5" t="str">
        <f t="shared" si="93"/>
        <v xml:space="preserve">DEB </v>
      </c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</row>
    <row r="303" spans="1:55" s="13" customFormat="1" ht="21" hidden="1" x14ac:dyDescent="0.2">
      <c r="A303" s="12" t="s">
        <v>69</v>
      </c>
      <c r="B303" s="67" t="s">
        <v>298</v>
      </c>
      <c r="C303" s="68" t="s">
        <v>476</v>
      </c>
      <c r="D303" s="69">
        <v>27</v>
      </c>
      <c r="E303" s="70">
        <v>263675</v>
      </c>
      <c r="F303" s="71" t="s">
        <v>532</v>
      </c>
      <c r="G303" s="71" t="s">
        <v>533</v>
      </c>
      <c r="H303" s="72">
        <v>1957</v>
      </c>
      <c r="I303" s="73">
        <v>69.599999999999994</v>
      </c>
      <c r="J303" s="68" t="s">
        <v>484</v>
      </c>
      <c r="K303" s="74" t="s">
        <v>69</v>
      </c>
      <c r="L303" s="75">
        <v>28</v>
      </c>
      <c r="M303" s="75">
        <v>-30</v>
      </c>
      <c r="N303" s="75">
        <v>30</v>
      </c>
      <c r="O303" s="76">
        <f t="shared" si="86"/>
        <v>30</v>
      </c>
      <c r="P303" s="75">
        <v>38</v>
      </c>
      <c r="Q303" s="75">
        <v>-40</v>
      </c>
      <c r="R303" s="75">
        <v>40</v>
      </c>
      <c r="S303" s="76">
        <f t="shared" si="87"/>
        <v>40</v>
      </c>
      <c r="T303" s="77">
        <f t="shared" si="88"/>
        <v>70</v>
      </c>
      <c r="U303" s="78">
        <f t="shared" si="89"/>
        <v>-69.199999999999989</v>
      </c>
      <c r="V303" s="79" t="str">
        <f t="shared" si="90"/>
        <v xml:space="preserve">DEB </v>
      </c>
      <c r="W303" s="80">
        <f t="shared" si="91"/>
        <v>-25</v>
      </c>
      <c r="X303" s="81" t="str">
        <f>IF(I303="","",IF(A303="H",IF(OR(H303="SEN",H303&lt;1995),VLOOKUP(I303,Feuil1!$A$11:$F$29,6),IF(AND(H303&gt;1994,H303&lt;1998),VLOOKUP(I303,Feuil1!$A$11:$F$29,5),IF(AND(H303&gt;1997,H303&lt;2000),VLOOKUP(I303,Feuil1!$A$11:$F$29,4),IF(AND(H303&gt;1999,H303&lt;2002),VLOOKUP(I303,Feuil1!$A$11:$F$29,3),VLOOKUP(I303,Feuil1!$A$11:$F$29,2))))),IF(OR(H303="SEN",H303&lt;1995),VLOOKUP(I303,Feuil1!$G$11:$L$25,6),IF(AND(H303&gt;1994,H303&lt;1998),VLOOKUP(I303,Feuil1!$G$11:$L$25,5),IF(AND(H303&gt;1997,H303&lt;2000),VLOOKUP(I303,Feuil1!$G$11:$L$25,4),IF(AND(H303&gt;1999,H303&lt;2002),VLOOKUP(I303,Feuil1!$G$11:$L$25,3),VLOOKUP(I303,Feuil1!$G$11:$L$25,2)))))))</f>
        <v>FS75</v>
      </c>
      <c r="Y303" s="39">
        <f t="shared" si="92"/>
        <v>87.391532492795108</v>
      </c>
      <c r="Z303" s="45"/>
      <c r="AA303" s="49" t="s">
        <v>12</v>
      </c>
      <c r="AB303" s="3">
        <f>T303-HLOOKUP(X303,Feuil1!$C$1:$BL$10,2,FALSE)</f>
        <v>-25</v>
      </c>
      <c r="AC303" s="3">
        <f>T303-HLOOKUP(X303,Feuil1!$C$1:$BL$10,3,FALSE)</f>
        <v>-35</v>
      </c>
      <c r="AD303" s="3">
        <f>T303-HLOOKUP(X303,Feuil1!$C$1:$BL$10,4,FALSE)</f>
        <v>-45</v>
      </c>
      <c r="AE303" s="3">
        <f>T303-HLOOKUP(X303,Feuil1!$C$1:$BL$10,5,FALSE)</f>
        <v>-60</v>
      </c>
      <c r="AF303" s="3">
        <f>T303-HLOOKUP(X303,Feuil1!$C$1:$BL$10,6,FALSE)</f>
        <v>-75</v>
      </c>
      <c r="AG303" s="3">
        <f>T303-HLOOKUP(X303,Feuil1!$C$1:$BL$10,7,FALSE)</f>
        <v>-90</v>
      </c>
      <c r="AH303" s="3">
        <f>T303-HLOOKUP(X303,Feuil1!$C$1:$BL$10,8,FALSE)</f>
        <v>-110</v>
      </c>
      <c r="AI303" s="3">
        <f>T303-HLOOKUP(X303,Feuil1!$C$1:$BL$10,9,FALSE)</f>
        <v>-125</v>
      </c>
      <c r="AJ303" s="3">
        <f>T303-HLOOKUP(X303,Feuil1!$C$1:$BL$10,10,FALSE)</f>
        <v>-140</v>
      </c>
      <c r="AK303" s="5"/>
      <c r="AL303" s="5"/>
      <c r="AM303" s="5"/>
      <c r="AN303" s="5"/>
      <c r="AO303" s="5"/>
      <c r="AP303" s="5"/>
      <c r="AQ303" s="5" t="str">
        <f t="shared" si="93"/>
        <v xml:space="preserve">DEB </v>
      </c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</row>
    <row r="304" spans="1:55" s="13" customFormat="1" ht="21" hidden="1" x14ac:dyDescent="0.2">
      <c r="A304" s="12" t="s">
        <v>69</v>
      </c>
      <c r="B304" s="18" t="s">
        <v>536</v>
      </c>
      <c r="C304" s="19" t="s">
        <v>545</v>
      </c>
      <c r="D304" s="61">
        <v>28</v>
      </c>
      <c r="E304" s="35">
        <v>307081</v>
      </c>
      <c r="F304" s="20" t="s">
        <v>564</v>
      </c>
      <c r="G304" s="20" t="s">
        <v>609</v>
      </c>
      <c r="H304" s="51">
        <v>1972</v>
      </c>
      <c r="I304" s="30">
        <v>72.2</v>
      </c>
      <c r="J304" s="19" t="s">
        <v>557</v>
      </c>
      <c r="K304" s="34" t="s">
        <v>69</v>
      </c>
      <c r="L304" s="31">
        <v>27</v>
      </c>
      <c r="M304" s="31">
        <v>30</v>
      </c>
      <c r="N304" s="31">
        <v>-32</v>
      </c>
      <c r="O304" s="36">
        <f t="shared" si="86"/>
        <v>30</v>
      </c>
      <c r="P304" s="31">
        <v>36</v>
      </c>
      <c r="Q304" s="31">
        <v>38</v>
      </c>
      <c r="R304" s="31">
        <v>40</v>
      </c>
      <c r="S304" s="36">
        <f t="shared" si="87"/>
        <v>40</v>
      </c>
      <c r="T304" s="37">
        <f t="shared" si="88"/>
        <v>70</v>
      </c>
      <c r="U304" s="65">
        <f t="shared" si="89"/>
        <v>-74.400000000000006</v>
      </c>
      <c r="V304" s="41" t="str">
        <f t="shared" si="90"/>
        <v xml:space="preserve">DEB </v>
      </c>
      <c r="W304" s="33">
        <f t="shared" si="91"/>
        <v>-25</v>
      </c>
      <c r="X304" s="40" t="str">
        <f>IF(I304="","",IF(A304="H",IF(OR(H304="SEN",H304&lt;1995),VLOOKUP(I304,Feuil1!$A$11:$F$29,6),IF(AND(H304&gt;1994,H304&lt;1998),VLOOKUP(I304,Feuil1!$A$11:$F$29,5),IF(AND(H304&gt;1997,H304&lt;2000),VLOOKUP(I304,Feuil1!$A$11:$F$29,4),IF(AND(H304&gt;1999,H304&lt;2002),VLOOKUP(I304,Feuil1!$A$11:$F$29,3),VLOOKUP(I304,Feuil1!$A$11:$F$29,2))))),IF(OR(H304="SEN",H304&lt;1995),VLOOKUP(I304,Feuil1!$G$11:$L$25,6),IF(AND(H304&gt;1994,H304&lt;1998),VLOOKUP(I304,Feuil1!$G$11:$L$25,5),IF(AND(H304&gt;1997,H304&lt;2000),VLOOKUP(I304,Feuil1!$G$11:$L$25,4),IF(AND(H304&gt;1999,H304&lt;2002),VLOOKUP(I304,Feuil1!$G$11:$L$25,3),VLOOKUP(I304,Feuil1!$G$11:$L$25,2)))))))</f>
        <v>FS75</v>
      </c>
      <c r="Y304" s="39">
        <f t="shared" si="92"/>
        <v>85.571569629966078</v>
      </c>
      <c r="Z304" s="45"/>
      <c r="AA304" s="49" t="s">
        <v>12</v>
      </c>
      <c r="AB304" s="3">
        <f>T304-HLOOKUP(X304,Feuil1!$C$1:$BL$10,2,FALSE)</f>
        <v>-25</v>
      </c>
      <c r="AC304" s="3">
        <f>T304-HLOOKUP(X304,Feuil1!$C$1:$BL$10,3,FALSE)</f>
        <v>-35</v>
      </c>
      <c r="AD304" s="3">
        <f>T304-HLOOKUP(X304,Feuil1!$C$1:$BL$10,4,FALSE)</f>
        <v>-45</v>
      </c>
      <c r="AE304" s="3">
        <f>T304-HLOOKUP(X304,Feuil1!$C$1:$BL$10,5,FALSE)</f>
        <v>-60</v>
      </c>
      <c r="AF304" s="3">
        <f>T304-HLOOKUP(X304,Feuil1!$C$1:$BL$10,6,FALSE)</f>
        <v>-75</v>
      </c>
      <c r="AG304" s="3">
        <f>T304-HLOOKUP(X304,Feuil1!$C$1:$BL$10,7,FALSE)</f>
        <v>-90</v>
      </c>
      <c r="AH304" s="3">
        <f>T304-HLOOKUP(X304,Feuil1!$C$1:$BL$10,8,FALSE)</f>
        <v>-110</v>
      </c>
      <c r="AI304" s="3">
        <f>T304-HLOOKUP(X304,Feuil1!$C$1:$BL$10,9,FALSE)</f>
        <v>-125</v>
      </c>
      <c r="AJ304" s="3">
        <f>T304-HLOOKUP(X304,Feuil1!$C$1:$BL$10,10,FALSE)</f>
        <v>-140</v>
      </c>
      <c r="AK304" s="5"/>
      <c r="AL304" s="5"/>
      <c r="AM304" s="5"/>
      <c r="AN304" s="5"/>
      <c r="AO304" s="5"/>
      <c r="AP304" s="5"/>
      <c r="AQ304" s="5" t="str">
        <f t="shared" si="93"/>
        <v xml:space="preserve">DEB </v>
      </c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</row>
    <row r="305" spans="1:55" s="13" customFormat="1" ht="21" hidden="1" x14ac:dyDescent="0.2">
      <c r="A305" s="12" t="s">
        <v>69</v>
      </c>
      <c r="B305" s="18" t="s">
        <v>298</v>
      </c>
      <c r="C305" s="19" t="s">
        <v>299</v>
      </c>
      <c r="D305" s="61">
        <v>29</v>
      </c>
      <c r="E305" s="35">
        <v>384912</v>
      </c>
      <c r="F305" s="20" t="s">
        <v>396</v>
      </c>
      <c r="G305" s="20" t="s">
        <v>121</v>
      </c>
      <c r="H305" s="51">
        <v>1959</v>
      </c>
      <c r="I305" s="30">
        <v>74.5</v>
      </c>
      <c r="J305" s="19" t="s">
        <v>309</v>
      </c>
      <c r="K305" s="34" t="s">
        <v>69</v>
      </c>
      <c r="L305" s="31">
        <v>20</v>
      </c>
      <c r="M305" s="31">
        <v>22</v>
      </c>
      <c r="N305" s="31">
        <v>-25</v>
      </c>
      <c r="O305" s="36">
        <f t="shared" si="86"/>
        <v>22</v>
      </c>
      <c r="P305" s="31">
        <v>-25</v>
      </c>
      <c r="Q305" s="31">
        <v>30</v>
      </c>
      <c r="R305" s="31">
        <v>32</v>
      </c>
      <c r="S305" s="36">
        <f t="shared" si="87"/>
        <v>32</v>
      </c>
      <c r="T305" s="37">
        <f t="shared" si="88"/>
        <v>54</v>
      </c>
      <c r="U305" s="65">
        <f t="shared" si="89"/>
        <v>-95</v>
      </c>
      <c r="V305" s="41" t="str">
        <f t="shared" si="90"/>
        <v xml:space="preserve">DEB </v>
      </c>
      <c r="W305" s="33">
        <f t="shared" si="91"/>
        <v>-41</v>
      </c>
      <c r="X305" s="40" t="str">
        <f>IF(I305="","",IF(A305="H",IF(OR(H305="SEN",H305&lt;1995),VLOOKUP(I305,Feuil1!$A$11:$F$29,6),IF(AND(H305&gt;1994,H305&lt;1998),VLOOKUP(I305,Feuil1!$A$11:$F$29,5),IF(AND(H305&gt;1997,H305&lt;2000),VLOOKUP(I305,Feuil1!$A$11:$F$29,4),IF(AND(H305&gt;1999,H305&lt;2002),VLOOKUP(I305,Feuil1!$A$11:$F$29,3),VLOOKUP(I305,Feuil1!$A$11:$F$29,2))))),IF(OR(H305="SEN",H305&lt;1995),VLOOKUP(I305,Feuil1!$G$11:$L$25,6),IF(AND(H305&gt;1994,H305&lt;1998),VLOOKUP(I305,Feuil1!$G$11:$L$25,5),IF(AND(H305&gt;1997,H305&lt;2000),VLOOKUP(I305,Feuil1!$G$11:$L$25,4),IF(AND(H305&gt;1999,H305&lt;2002),VLOOKUP(I305,Feuil1!$G$11:$L$25,3),VLOOKUP(I305,Feuil1!$G$11:$L$25,2)))))))</f>
        <v>FS75</v>
      </c>
      <c r="Y305" s="39">
        <f t="shared" si="92"/>
        <v>64.88903506063636</v>
      </c>
      <c r="Z305" s="45"/>
      <c r="AA305" s="49" t="s">
        <v>12</v>
      </c>
      <c r="AB305" s="3">
        <f>T305-HLOOKUP(X305,Feuil1!$C$1:$BL$10,2,FALSE)</f>
        <v>-41</v>
      </c>
      <c r="AC305" s="3">
        <f>T305-HLOOKUP(X305,Feuil1!$C$1:$BL$10,3,FALSE)</f>
        <v>-51</v>
      </c>
      <c r="AD305" s="3">
        <f>T305-HLOOKUP(X305,Feuil1!$C$1:$BL$10,4,FALSE)</f>
        <v>-61</v>
      </c>
      <c r="AE305" s="3">
        <f>T305-HLOOKUP(X305,Feuil1!$C$1:$BL$10,5,FALSE)</f>
        <v>-76</v>
      </c>
      <c r="AF305" s="3">
        <f>T305-HLOOKUP(X305,Feuil1!$C$1:$BL$10,6,FALSE)</f>
        <v>-91</v>
      </c>
      <c r="AG305" s="3">
        <f>T305-HLOOKUP(X305,Feuil1!$C$1:$BL$10,7,FALSE)</f>
        <v>-106</v>
      </c>
      <c r="AH305" s="3">
        <f>T305-HLOOKUP(X305,Feuil1!$C$1:$BL$10,8,FALSE)</f>
        <v>-126</v>
      </c>
      <c r="AI305" s="3">
        <f>T305-HLOOKUP(X305,Feuil1!$C$1:$BL$10,9,FALSE)</f>
        <v>-141</v>
      </c>
      <c r="AJ305" s="3">
        <f>T305-HLOOKUP(X305,Feuil1!$C$1:$BL$10,10,FALSE)</f>
        <v>-156</v>
      </c>
      <c r="AK305" s="5"/>
      <c r="AL305" s="5"/>
      <c r="AM305" s="5"/>
      <c r="AN305" s="5"/>
      <c r="AO305" s="5"/>
      <c r="AP305" s="5"/>
      <c r="AQ305" s="5" t="str">
        <f t="shared" si="93"/>
        <v xml:space="preserve">DEB </v>
      </c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</row>
    <row r="306" spans="1:55" s="13" customFormat="1" ht="21" hidden="1" x14ac:dyDescent="0.2">
      <c r="A306" s="12" t="s">
        <v>69</v>
      </c>
      <c r="B306" s="18" t="s">
        <v>536</v>
      </c>
      <c r="C306" s="19" t="s">
        <v>545</v>
      </c>
      <c r="D306" s="61">
        <v>30</v>
      </c>
      <c r="E306" s="35">
        <v>376232</v>
      </c>
      <c r="F306" s="20" t="s">
        <v>598</v>
      </c>
      <c r="G306" s="20" t="s">
        <v>599</v>
      </c>
      <c r="H306" s="51">
        <v>1986</v>
      </c>
      <c r="I306" s="30">
        <v>74.400000000000006</v>
      </c>
      <c r="J306" s="19" t="s">
        <v>553</v>
      </c>
      <c r="K306" s="34" t="s">
        <v>69</v>
      </c>
      <c r="L306" s="31">
        <v>35</v>
      </c>
      <c r="M306" s="31">
        <v>-38</v>
      </c>
      <c r="N306" s="31">
        <v>-38</v>
      </c>
      <c r="O306" s="36">
        <f t="shared" si="86"/>
        <v>35</v>
      </c>
      <c r="P306" s="31">
        <v>-50</v>
      </c>
      <c r="Q306" s="31">
        <v>-52</v>
      </c>
      <c r="R306" s="31">
        <v>-52</v>
      </c>
      <c r="S306" s="36">
        <f t="shared" si="87"/>
        <v>0</v>
      </c>
      <c r="T306" s="37">
        <f t="shared" si="88"/>
        <v>0</v>
      </c>
      <c r="U306" s="65">
        <f t="shared" si="89"/>
        <v>-148.80000000000001</v>
      </c>
      <c r="V306" s="41" t="str">
        <f t="shared" si="90"/>
        <v xml:space="preserve">DEB </v>
      </c>
      <c r="W306" s="33">
        <f t="shared" si="91"/>
        <v>-95</v>
      </c>
      <c r="X306" s="40" t="str">
        <f>IF(I306="","",IF(A306="H",IF(OR(H306="SEN",H306&lt;1995),VLOOKUP(I306,Feuil1!$A$11:$F$29,6),IF(AND(H306&gt;1994,H306&lt;1998),VLOOKUP(I306,Feuil1!$A$11:$F$29,5),IF(AND(H306&gt;1997,H306&lt;2000),VLOOKUP(I306,Feuil1!$A$11:$F$29,4),IF(AND(H306&gt;1999,H306&lt;2002),VLOOKUP(I306,Feuil1!$A$11:$F$29,3),VLOOKUP(I306,Feuil1!$A$11:$F$29,2))))),IF(OR(H306="SEN",H306&lt;1995),VLOOKUP(I306,Feuil1!$G$11:$L$25,6),IF(AND(H306&gt;1994,H306&lt;1998),VLOOKUP(I306,Feuil1!$G$11:$L$25,5),IF(AND(H306&gt;1997,H306&lt;2000),VLOOKUP(I306,Feuil1!$G$11:$L$25,4),IF(AND(H306&gt;1999,H306&lt;2002),VLOOKUP(I306,Feuil1!$G$11:$L$25,3),VLOOKUP(I306,Feuil1!$G$11:$L$25,2)))))))</f>
        <v>FS75</v>
      </c>
      <c r="Y306" s="39">
        <f t="shared" si="92"/>
        <v>0</v>
      </c>
      <c r="Z306" s="45"/>
      <c r="AA306" s="49" t="s">
        <v>12</v>
      </c>
      <c r="AB306" s="3">
        <f>T306-HLOOKUP(X306,Feuil1!$C$1:$BL$10,2,FALSE)</f>
        <v>-95</v>
      </c>
      <c r="AC306" s="3">
        <f>T306-HLOOKUP(X306,Feuil1!$C$1:$BL$10,3,FALSE)</f>
        <v>-105</v>
      </c>
      <c r="AD306" s="3">
        <f>T306-HLOOKUP(X306,Feuil1!$C$1:$BL$10,4,FALSE)</f>
        <v>-115</v>
      </c>
      <c r="AE306" s="3">
        <f>T306-HLOOKUP(X306,Feuil1!$C$1:$BL$10,5,FALSE)</f>
        <v>-130</v>
      </c>
      <c r="AF306" s="3">
        <f>T306-HLOOKUP(X306,Feuil1!$C$1:$BL$10,6,FALSE)</f>
        <v>-145</v>
      </c>
      <c r="AG306" s="3">
        <f>T306-HLOOKUP(X306,Feuil1!$C$1:$BL$10,7,FALSE)</f>
        <v>-160</v>
      </c>
      <c r="AH306" s="3">
        <f>T306-HLOOKUP(X306,Feuil1!$C$1:$BL$10,8,FALSE)</f>
        <v>-180</v>
      </c>
      <c r="AI306" s="3">
        <f>T306-HLOOKUP(X306,Feuil1!$C$1:$BL$10,9,FALSE)</f>
        <v>-195</v>
      </c>
      <c r="AJ306" s="3">
        <f>T306-HLOOKUP(X306,Feuil1!$C$1:$BL$10,10,FALSE)</f>
        <v>-210</v>
      </c>
      <c r="AK306" s="5"/>
      <c r="AL306" s="5"/>
      <c r="AM306" s="5"/>
      <c r="AN306" s="5"/>
      <c r="AO306" s="5"/>
      <c r="AP306" s="5"/>
      <c r="AQ306" s="5" t="str">
        <f t="shared" si="93"/>
        <v xml:space="preserve">DEB </v>
      </c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</row>
    <row r="307" spans="1:55" s="13" customFormat="1" ht="15" hidden="1" customHeight="1" thickBot="1" x14ac:dyDescent="0.25">
      <c r="A307" s="89"/>
      <c r="B307" s="90"/>
      <c r="C307" s="91"/>
      <c r="D307" s="92"/>
      <c r="E307" s="93"/>
      <c r="F307" s="94"/>
      <c r="G307" s="94"/>
      <c r="H307" s="95"/>
      <c r="I307" s="96"/>
      <c r="J307" s="91"/>
      <c r="K307" s="97"/>
      <c r="L307" s="98"/>
      <c r="M307" s="98"/>
      <c r="N307" s="98"/>
      <c r="O307" s="99"/>
      <c r="P307" s="98"/>
      <c r="Q307" s="98"/>
      <c r="R307" s="98"/>
      <c r="S307" s="99"/>
      <c r="T307" s="100"/>
      <c r="U307" s="101"/>
      <c r="V307" s="102"/>
      <c r="W307" s="103"/>
      <c r="X307" s="104"/>
      <c r="Y307" s="105"/>
      <c r="Z307" s="45"/>
      <c r="AA307" s="45" t="s">
        <v>12</v>
      </c>
      <c r="AB307" s="3" t="e">
        <f>T307-HLOOKUP(X307,Feuil1!$C$1:$BL$10,2,FALSE)</f>
        <v>#N/A</v>
      </c>
      <c r="AC307" s="3" t="e">
        <f>T307-HLOOKUP(X307,Feuil1!$C$1:$BL$10,3,FALSE)</f>
        <v>#N/A</v>
      </c>
      <c r="AD307" s="3" t="e">
        <f>T307-HLOOKUP(X307,Feuil1!$C$1:$BL$10,4,FALSE)</f>
        <v>#N/A</v>
      </c>
      <c r="AE307" s="3" t="e">
        <f>T307-HLOOKUP(X307,Feuil1!$C$1:$BL$10,5,FALSE)</f>
        <v>#N/A</v>
      </c>
      <c r="AF307" s="3" t="e">
        <f>T307-HLOOKUP(X307,Feuil1!$C$1:$BL$10,6,FALSE)</f>
        <v>#N/A</v>
      </c>
      <c r="AG307" s="3" t="e">
        <f>T307-HLOOKUP(X307,Feuil1!$C$1:$BL$10,7,FALSE)</f>
        <v>#N/A</v>
      </c>
      <c r="AH307" s="3" t="e">
        <f>T307-HLOOKUP(X307,Feuil1!$C$1:$BL$10,8,FALSE)</f>
        <v>#N/A</v>
      </c>
      <c r="AI307" s="3" t="e">
        <f>T307-HLOOKUP(X307,Feuil1!$C$1:$BL$10,9,FALSE)</f>
        <v>#N/A</v>
      </c>
      <c r="AJ307" s="3" t="e">
        <f>T307-HLOOKUP(X307,Feuil1!$C$1:$BL$10,10,FALSE)</f>
        <v>#N/A</v>
      </c>
      <c r="AK307" s="5"/>
      <c r="AL307" s="5"/>
      <c r="AM307" s="5"/>
      <c r="AN307" s="5"/>
      <c r="AO307" s="5"/>
      <c r="AP307" s="5"/>
      <c r="AQ307" s="5" t="e">
        <f t="shared" ref="AQ307" si="94">IF(AJ307&gt;=0,$AJ$1,IF(AI307&gt;=0,$AI$1,IF(AH307&gt;=0,$AH$1,IF(AG307&gt;=0,$AG$1,IF(AF307&gt;=0,$AF$1,IF(AE307&gt;=0,$AE$1,IF(AD307&gt;=0,$AD$1,IF(AC307&gt;=0,$AC$1,$AB$1))))))))</f>
        <v>#N/A</v>
      </c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</row>
    <row r="308" spans="1:55" s="13" customFormat="1" ht="21" hidden="1" x14ac:dyDescent="0.2">
      <c r="A308" s="12" t="s">
        <v>69</v>
      </c>
      <c r="B308" s="67" t="s">
        <v>71</v>
      </c>
      <c r="C308" s="68" t="s">
        <v>872</v>
      </c>
      <c r="D308" s="69">
        <v>1</v>
      </c>
      <c r="E308" s="70">
        <v>287541</v>
      </c>
      <c r="F308" s="71" t="s">
        <v>881</v>
      </c>
      <c r="G308" s="71" t="s">
        <v>882</v>
      </c>
      <c r="H308" s="72">
        <v>1988</v>
      </c>
      <c r="I308" s="73">
        <v>75.27</v>
      </c>
      <c r="J308" s="68" t="s">
        <v>874</v>
      </c>
      <c r="K308" s="74" t="s">
        <v>69</v>
      </c>
      <c r="L308" s="75">
        <v>95</v>
      </c>
      <c r="M308" s="75">
        <v>100</v>
      </c>
      <c r="N308" s="75">
        <v>105</v>
      </c>
      <c r="O308" s="76">
        <f t="shared" ref="O308:O335" si="95">IF(H308="","",IF(MAXA(L308:N308)&lt;=0,0,MAXA(L308:N308)))</f>
        <v>105</v>
      </c>
      <c r="P308" s="75">
        <v>120</v>
      </c>
      <c r="Q308" s="75">
        <v>130</v>
      </c>
      <c r="R308" s="75"/>
      <c r="S308" s="76">
        <f t="shared" ref="S308:S335" si="96">IF(H308="","",IF(MAXA(P308:R308)&lt;=0,0,MAXA(P308:R308)))</f>
        <v>130</v>
      </c>
      <c r="T308" s="77">
        <f t="shared" ref="T308:T335" si="97">IF(H308="","",IF(OR(O308=0,S308=0),0,O308+S308))</f>
        <v>235</v>
      </c>
      <c r="U308" s="78">
        <f t="shared" ref="U308:U335" si="98">T308-I308*2</f>
        <v>84.460000000000008</v>
      </c>
      <c r="V308" s="79" t="str">
        <f t="shared" ref="V308:V335" si="99">IF(H308="","",AQ308)</f>
        <v>OLY +</v>
      </c>
      <c r="W308" s="80">
        <f t="shared" ref="W308:W335" si="100">IF(AJ308&gt;=0,AJ308,IF(AI308&gt;=0,AI308,IF(AH308&gt;=0,AH308,IF(AG308&gt;=0,AG308,IF(AF308&gt;=0,AF308,IF(AE308&gt;=0,AE308,IF(AD308&gt;=0,AD308,IF(AC308&gt;=0,AC308,AB308))))))))</f>
        <v>10</v>
      </c>
      <c r="X308" s="81" t="str">
        <f>IF(I308="","",IF(A308="H",IF(OR(H308="SEN",H308&lt;1995),VLOOKUP(I308,Feuil1!$A$11:$F$29,6),IF(AND(H308&gt;1994,H308&lt;1998),VLOOKUP(I308,Feuil1!$A$11:$F$29,5),IF(AND(H308&gt;1997,H308&lt;2000),VLOOKUP(I308,Feuil1!$A$11:$F$29,4),IF(AND(H308&gt;1999,H308&lt;2002),VLOOKUP(I308,Feuil1!$A$11:$F$29,3),VLOOKUP(I308,Feuil1!$A$11:$F$29,2))))),IF(OR(H308="SEN",H308&lt;1995),VLOOKUP(I308,Feuil1!$G$11:$L$25,6),IF(AND(H308&gt;1994,H308&lt;1998),VLOOKUP(I308,Feuil1!$G$11:$L$25,5),IF(AND(H308&gt;1997,H308&lt;2000),VLOOKUP(I308,Feuil1!$G$11:$L$25,4),IF(AND(H308&gt;1999,H308&lt;2002),VLOOKUP(I308,Feuil1!$G$11:$L$25,3),VLOOKUP(I308,Feuil1!$G$11:$L$25,2)))))))</f>
        <v>FS+75</v>
      </c>
      <c r="Y308" s="39">
        <f t="shared" ref="Y308:Y335" si="101">IF(I308="","",IF(A308="H",10^(0.794358141*LOG(I308/174.393)^2)*T308,IF(A308="F",10^(0.89726074*LOG(I308/148.026)^2)*T308,"")))</f>
        <v>280.84957744443415</v>
      </c>
      <c r="Z308" s="45"/>
      <c r="AA308" s="49" t="s">
        <v>12</v>
      </c>
      <c r="AB308" s="3">
        <f>T308-HLOOKUP(X308,Feuil1!$C$1:$BL$10,2,FALSE)</f>
        <v>135</v>
      </c>
      <c r="AC308" s="3">
        <f>T308-HLOOKUP(X308,Feuil1!$C$1:$BL$10,3,FALSE)</f>
        <v>125</v>
      </c>
      <c r="AD308" s="3">
        <f>T308-HLOOKUP(X308,Feuil1!$C$1:$BL$10,4,FALSE)</f>
        <v>110</v>
      </c>
      <c r="AE308" s="3">
        <f>T308-HLOOKUP(X308,Feuil1!$C$1:$BL$10,5,FALSE)</f>
        <v>95</v>
      </c>
      <c r="AF308" s="3">
        <f>T308-HLOOKUP(X308,Feuil1!$C$1:$BL$10,6,FALSE)</f>
        <v>85</v>
      </c>
      <c r="AG308" s="3">
        <f>T308-HLOOKUP(X308,Feuil1!$C$1:$BL$10,7,FALSE)</f>
        <v>65</v>
      </c>
      <c r="AH308" s="3">
        <f>T308-HLOOKUP(X308,Feuil1!$C$1:$BL$10,8,FALSE)</f>
        <v>45</v>
      </c>
      <c r="AI308" s="3">
        <f>T308-HLOOKUP(X308,Feuil1!$C$1:$BL$10,9,FALSE)</f>
        <v>25</v>
      </c>
      <c r="AJ308" s="3">
        <f>T308-HLOOKUP(X308,Feuil1!$C$1:$BL$10,10,FALSE)</f>
        <v>10</v>
      </c>
      <c r="AK308" s="5"/>
      <c r="AL308" s="5"/>
      <c r="AM308" s="5"/>
      <c r="AN308" s="5"/>
      <c r="AO308" s="5"/>
      <c r="AP308" s="5"/>
      <c r="AQ308" s="5" t="str">
        <f t="shared" ref="AQ308:AQ335" si="102">IF(AJ308&gt;=0,$AJ$1,IF(AI308&gt;=0,$AI$1,IF(AH308&gt;=0,$AH$1,IF(AG308&gt;=0,$AG$1,IF(AF308&gt;=0,$AF$1,IF(AE308&gt;=0,$AE$1,IF(AD308&gt;=0,$AD$1,IF(AC308&gt;=0,$AC$1,$AB$1))))))))</f>
        <v>OLY +</v>
      </c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</row>
    <row r="309" spans="1:55" s="13" customFormat="1" ht="21" x14ac:dyDescent="0.2">
      <c r="A309" s="12" t="s">
        <v>69</v>
      </c>
      <c r="B309" s="67" t="s">
        <v>298</v>
      </c>
      <c r="C309" s="68" t="s">
        <v>476</v>
      </c>
      <c r="D309" s="69">
        <v>2</v>
      </c>
      <c r="E309" s="70">
        <v>314914</v>
      </c>
      <c r="F309" s="71" t="s">
        <v>534</v>
      </c>
      <c r="G309" s="71" t="s">
        <v>535</v>
      </c>
      <c r="H309" s="72">
        <v>1994</v>
      </c>
      <c r="I309" s="73">
        <v>84.2</v>
      </c>
      <c r="J309" s="68" t="s">
        <v>503</v>
      </c>
      <c r="K309" s="74" t="s">
        <v>525</v>
      </c>
      <c r="L309" s="75">
        <v>88</v>
      </c>
      <c r="M309" s="75">
        <v>92</v>
      </c>
      <c r="N309" s="75">
        <v>95</v>
      </c>
      <c r="O309" s="76">
        <f t="shared" si="95"/>
        <v>95</v>
      </c>
      <c r="P309" s="75">
        <v>110</v>
      </c>
      <c r="Q309" s="75">
        <v>115</v>
      </c>
      <c r="R309" s="75">
        <v>-124</v>
      </c>
      <c r="S309" s="76">
        <f t="shared" si="96"/>
        <v>115</v>
      </c>
      <c r="T309" s="77">
        <f t="shared" si="97"/>
        <v>210</v>
      </c>
      <c r="U309" s="78">
        <f t="shared" si="98"/>
        <v>41.599999999999994</v>
      </c>
      <c r="V309" s="79" t="str">
        <f t="shared" si="99"/>
        <v>INTA +</v>
      </c>
      <c r="W309" s="80">
        <f t="shared" si="100"/>
        <v>0</v>
      </c>
      <c r="X309" s="81" t="str">
        <f>IF(I309="","",IF(A309="H",IF(OR(H309="SEN",H309&lt;1995),VLOOKUP(I309,Feuil1!$A$11:$F$29,6),IF(AND(H309&gt;1994,H309&lt;1998),VLOOKUP(I309,Feuil1!$A$11:$F$29,5),IF(AND(H309&gt;1997,H309&lt;2000),VLOOKUP(I309,Feuil1!$A$11:$F$29,4),IF(AND(H309&gt;1999,H309&lt;2002),VLOOKUP(I309,Feuil1!$A$11:$F$29,3),VLOOKUP(I309,Feuil1!$A$11:$F$29,2))))),IF(OR(H309="SEN",H309&lt;1995),VLOOKUP(I309,Feuil1!$G$11:$L$25,6),IF(AND(H309&gt;1994,H309&lt;1998),VLOOKUP(I309,Feuil1!$G$11:$L$25,5),IF(AND(H309&gt;1997,H309&lt;2000),VLOOKUP(I309,Feuil1!$G$11:$L$25,4),IF(AND(H309&gt;1999,H309&lt;2002),VLOOKUP(I309,Feuil1!$G$11:$L$25,3),VLOOKUP(I309,Feuil1!$G$11:$L$25,2)))))))</f>
        <v>FS+75</v>
      </c>
      <c r="Y309" s="39">
        <f t="shared" si="101"/>
        <v>237.73261293162034</v>
      </c>
      <c r="Z309" s="45"/>
      <c r="AA309" s="49" t="s">
        <v>12</v>
      </c>
      <c r="AB309" s="3">
        <f>T309-HLOOKUP(X309,Feuil1!$C$1:$BL$10,2,FALSE)</f>
        <v>110</v>
      </c>
      <c r="AC309" s="3">
        <f>T309-HLOOKUP(X309,Feuil1!$C$1:$BL$10,3,FALSE)</f>
        <v>100</v>
      </c>
      <c r="AD309" s="3">
        <f>T309-HLOOKUP(X309,Feuil1!$C$1:$BL$10,4,FALSE)</f>
        <v>85</v>
      </c>
      <c r="AE309" s="3">
        <f>T309-HLOOKUP(X309,Feuil1!$C$1:$BL$10,5,FALSE)</f>
        <v>70</v>
      </c>
      <c r="AF309" s="3">
        <f>T309-HLOOKUP(X309,Feuil1!$C$1:$BL$10,6,FALSE)</f>
        <v>60</v>
      </c>
      <c r="AG309" s="3">
        <f>T309-HLOOKUP(X309,Feuil1!$C$1:$BL$10,7,FALSE)</f>
        <v>40</v>
      </c>
      <c r="AH309" s="3">
        <f>T309-HLOOKUP(X309,Feuil1!$C$1:$BL$10,8,FALSE)</f>
        <v>20</v>
      </c>
      <c r="AI309" s="3">
        <f>T309-HLOOKUP(X309,Feuil1!$C$1:$BL$10,9,FALSE)</f>
        <v>0</v>
      </c>
      <c r="AJ309" s="3">
        <f>T309-HLOOKUP(X309,Feuil1!$C$1:$BL$10,10,FALSE)</f>
        <v>-15</v>
      </c>
      <c r="AK309" s="5"/>
      <c r="AL309" s="5"/>
      <c r="AM309" s="5"/>
      <c r="AN309" s="5"/>
      <c r="AO309" s="5"/>
      <c r="AP309" s="5"/>
      <c r="AQ309" s="5" t="str">
        <f t="shared" si="102"/>
        <v>INTA +</v>
      </c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</row>
    <row r="310" spans="1:55" s="13" customFormat="1" ht="21" x14ac:dyDescent="0.2">
      <c r="A310" s="12" t="s">
        <v>69</v>
      </c>
      <c r="B310" s="18" t="s">
        <v>721</v>
      </c>
      <c r="C310" s="19" t="s">
        <v>775</v>
      </c>
      <c r="D310" s="61">
        <v>3</v>
      </c>
      <c r="E310" s="35">
        <v>31734</v>
      </c>
      <c r="F310" s="20" t="s">
        <v>799</v>
      </c>
      <c r="G310" s="20" t="s">
        <v>800</v>
      </c>
      <c r="H310" s="51">
        <v>1982</v>
      </c>
      <c r="I310" s="30">
        <v>83.84</v>
      </c>
      <c r="J310" s="19" t="s">
        <v>780</v>
      </c>
      <c r="K310" s="34" t="s">
        <v>69</v>
      </c>
      <c r="L310" s="31">
        <v>88</v>
      </c>
      <c r="M310" s="31">
        <v>90</v>
      </c>
      <c r="N310" s="31">
        <v>-94</v>
      </c>
      <c r="O310" s="36">
        <f t="shared" si="95"/>
        <v>90</v>
      </c>
      <c r="P310" s="31">
        <v>110</v>
      </c>
      <c r="Q310" s="31">
        <v>113</v>
      </c>
      <c r="R310" s="31">
        <v>-115</v>
      </c>
      <c r="S310" s="36">
        <f t="shared" si="96"/>
        <v>113</v>
      </c>
      <c r="T310" s="37">
        <f t="shared" si="97"/>
        <v>203</v>
      </c>
      <c r="U310" s="65">
        <f t="shared" si="98"/>
        <v>35.319999999999993</v>
      </c>
      <c r="V310" s="41" t="str">
        <f t="shared" si="99"/>
        <v>INTB +</v>
      </c>
      <c r="W310" s="33">
        <f t="shared" si="100"/>
        <v>13</v>
      </c>
      <c r="X310" s="40" t="str">
        <f>IF(I310="","",IF(A310="H",IF(OR(H310="SEN",H310&lt;1995),VLOOKUP(I310,Feuil1!$A$11:$F$29,6),IF(AND(H310&gt;1994,H310&lt;1998),VLOOKUP(I310,Feuil1!$A$11:$F$29,5),IF(AND(H310&gt;1997,H310&lt;2000),VLOOKUP(I310,Feuil1!$A$11:$F$29,4),IF(AND(H310&gt;1999,H310&lt;2002),VLOOKUP(I310,Feuil1!$A$11:$F$29,3),VLOOKUP(I310,Feuil1!$A$11:$F$29,2))))),IF(OR(H310="SEN",H310&lt;1995),VLOOKUP(I310,Feuil1!$G$11:$L$25,6),IF(AND(H310&gt;1994,H310&lt;1998),VLOOKUP(I310,Feuil1!$G$11:$L$25,5),IF(AND(H310&gt;1997,H310&lt;2000),VLOOKUP(I310,Feuil1!$G$11:$L$25,4),IF(AND(H310&gt;1999,H310&lt;2002),VLOOKUP(I310,Feuil1!$G$11:$L$25,3),VLOOKUP(I310,Feuil1!$G$11:$L$25,2)))))))</f>
        <v>FS+75</v>
      </c>
      <c r="Y310" s="39">
        <f t="shared" si="101"/>
        <v>230.24320663858629</v>
      </c>
      <c r="Z310" s="45"/>
      <c r="AA310" s="49" t="s">
        <v>12</v>
      </c>
      <c r="AB310" s="3">
        <f>T310-HLOOKUP(X310,Feuil1!$C$1:$BL$10,2,FALSE)</f>
        <v>103</v>
      </c>
      <c r="AC310" s="3">
        <f>T310-HLOOKUP(X310,Feuil1!$C$1:$BL$10,3,FALSE)</f>
        <v>93</v>
      </c>
      <c r="AD310" s="3">
        <f>T310-HLOOKUP(X310,Feuil1!$C$1:$BL$10,4,FALSE)</f>
        <v>78</v>
      </c>
      <c r="AE310" s="3">
        <f>T310-HLOOKUP(X310,Feuil1!$C$1:$BL$10,5,FALSE)</f>
        <v>63</v>
      </c>
      <c r="AF310" s="3">
        <f>T310-HLOOKUP(X310,Feuil1!$C$1:$BL$10,6,FALSE)</f>
        <v>53</v>
      </c>
      <c r="AG310" s="3">
        <f>T310-HLOOKUP(X310,Feuil1!$C$1:$BL$10,7,FALSE)</f>
        <v>33</v>
      </c>
      <c r="AH310" s="3">
        <f>T310-HLOOKUP(X310,Feuil1!$C$1:$BL$10,8,FALSE)</f>
        <v>13</v>
      </c>
      <c r="AI310" s="3">
        <f>T310-HLOOKUP(X310,Feuil1!$C$1:$BL$10,9,FALSE)</f>
        <v>-7</v>
      </c>
      <c r="AJ310" s="3">
        <f>T310-HLOOKUP(X310,Feuil1!$C$1:$BL$10,10,FALSE)</f>
        <v>-22</v>
      </c>
      <c r="AK310" s="5"/>
      <c r="AL310" s="5"/>
      <c r="AM310" s="5"/>
      <c r="AN310" s="5"/>
      <c r="AO310" s="5"/>
      <c r="AP310" s="5"/>
      <c r="AQ310" s="5" t="str">
        <f t="shared" si="102"/>
        <v>INTB +</v>
      </c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</row>
    <row r="311" spans="1:55" s="13" customFormat="1" ht="21" hidden="1" x14ac:dyDescent="0.2">
      <c r="A311" s="12" t="s">
        <v>69</v>
      </c>
      <c r="B311" s="18" t="s">
        <v>108</v>
      </c>
      <c r="C311" s="19" t="s">
        <v>264</v>
      </c>
      <c r="D311" s="61">
        <v>4</v>
      </c>
      <c r="E311" s="35">
        <v>378763</v>
      </c>
      <c r="F311" s="20" t="s">
        <v>292</v>
      </c>
      <c r="G311" s="20" t="s">
        <v>293</v>
      </c>
      <c r="H311" s="51">
        <v>1984</v>
      </c>
      <c r="I311" s="30">
        <v>81.3</v>
      </c>
      <c r="J311" s="19" t="s">
        <v>267</v>
      </c>
      <c r="K311" s="34" t="s">
        <v>289</v>
      </c>
      <c r="L311" s="31">
        <v>70</v>
      </c>
      <c r="M311" s="31">
        <v>75</v>
      </c>
      <c r="N311" s="31">
        <v>78</v>
      </c>
      <c r="O311" s="36">
        <f t="shared" si="95"/>
        <v>78</v>
      </c>
      <c r="P311" s="31">
        <v>92</v>
      </c>
      <c r="Q311" s="31">
        <v>98</v>
      </c>
      <c r="R311" s="31">
        <v>103</v>
      </c>
      <c r="S311" s="36">
        <f t="shared" si="96"/>
        <v>103</v>
      </c>
      <c r="T311" s="37">
        <f t="shared" si="97"/>
        <v>181</v>
      </c>
      <c r="U311" s="65">
        <f t="shared" si="98"/>
        <v>18.400000000000006</v>
      </c>
      <c r="V311" s="41" t="str">
        <f t="shared" si="99"/>
        <v>NAT +</v>
      </c>
      <c r="W311" s="33">
        <f t="shared" si="100"/>
        <v>11</v>
      </c>
      <c r="X311" s="40" t="str">
        <f>IF(I311="","",IF(A311="H",IF(OR(H311="SEN",H311&lt;1995),VLOOKUP(I311,Feuil1!$A$11:$F$29,6),IF(AND(H311&gt;1994,H311&lt;1998),VLOOKUP(I311,Feuil1!$A$11:$F$29,5),IF(AND(H311&gt;1997,H311&lt;2000),VLOOKUP(I311,Feuil1!$A$11:$F$29,4),IF(AND(H311&gt;1999,H311&lt;2002),VLOOKUP(I311,Feuil1!$A$11:$F$29,3),VLOOKUP(I311,Feuil1!$A$11:$F$29,2))))),IF(OR(H311="SEN",H311&lt;1995),VLOOKUP(I311,Feuil1!$G$11:$L$25,6),IF(AND(H311&gt;1994,H311&lt;1998),VLOOKUP(I311,Feuil1!$G$11:$L$25,5),IF(AND(H311&gt;1997,H311&lt;2000),VLOOKUP(I311,Feuil1!$G$11:$L$25,4),IF(AND(H311&gt;1999,H311&lt;2002),VLOOKUP(I311,Feuil1!$G$11:$L$25,3),VLOOKUP(I311,Feuil1!$G$11:$L$25,2)))))))</f>
        <v>FS+75</v>
      </c>
      <c r="Y311" s="39">
        <f t="shared" si="101"/>
        <v>208.1847502107787</v>
      </c>
      <c r="Z311" s="45"/>
      <c r="AA311" s="49" t="s">
        <v>12</v>
      </c>
      <c r="AB311" s="3">
        <f>T311-HLOOKUP(X311,Feuil1!$C$1:$BL$10,2,FALSE)</f>
        <v>81</v>
      </c>
      <c r="AC311" s="3">
        <f>T311-HLOOKUP(X311,Feuil1!$C$1:$BL$10,3,FALSE)</f>
        <v>71</v>
      </c>
      <c r="AD311" s="3">
        <f>T311-HLOOKUP(X311,Feuil1!$C$1:$BL$10,4,FALSE)</f>
        <v>56</v>
      </c>
      <c r="AE311" s="3">
        <f>T311-HLOOKUP(X311,Feuil1!$C$1:$BL$10,5,FALSE)</f>
        <v>41</v>
      </c>
      <c r="AF311" s="3">
        <f>T311-HLOOKUP(X311,Feuil1!$C$1:$BL$10,6,FALSE)</f>
        <v>31</v>
      </c>
      <c r="AG311" s="3">
        <f>T311-HLOOKUP(X311,Feuil1!$C$1:$BL$10,7,FALSE)</f>
        <v>11</v>
      </c>
      <c r="AH311" s="3">
        <f>T311-HLOOKUP(X311,Feuil1!$C$1:$BL$10,8,FALSE)</f>
        <v>-9</v>
      </c>
      <c r="AI311" s="3">
        <f>T311-HLOOKUP(X311,Feuil1!$C$1:$BL$10,9,FALSE)</f>
        <v>-29</v>
      </c>
      <c r="AJ311" s="3">
        <f>T311-HLOOKUP(X311,Feuil1!$C$1:$BL$10,10,FALSE)</f>
        <v>-44</v>
      </c>
      <c r="AK311" s="5"/>
      <c r="AL311" s="5"/>
      <c r="AM311" s="5"/>
      <c r="AN311" s="5"/>
      <c r="AO311" s="5"/>
      <c r="AP311" s="5"/>
      <c r="AQ311" s="5" t="str">
        <f t="shared" si="102"/>
        <v>NAT +</v>
      </c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</row>
    <row r="312" spans="1:55" s="13" customFormat="1" ht="21" hidden="1" x14ac:dyDescent="0.2">
      <c r="A312" s="12" t="s">
        <v>69</v>
      </c>
      <c r="B312" s="18" t="s">
        <v>108</v>
      </c>
      <c r="C312" s="19" t="s">
        <v>264</v>
      </c>
      <c r="D312" s="61">
        <v>5</v>
      </c>
      <c r="E312" s="35">
        <v>357580</v>
      </c>
      <c r="F312" s="20" t="s">
        <v>294</v>
      </c>
      <c r="G312" s="20" t="s">
        <v>295</v>
      </c>
      <c r="H312" s="51">
        <v>1983</v>
      </c>
      <c r="I312" s="30">
        <v>80.25</v>
      </c>
      <c r="J312" s="19" t="s">
        <v>267</v>
      </c>
      <c r="K312" s="34" t="s">
        <v>69</v>
      </c>
      <c r="L312" s="31">
        <v>64</v>
      </c>
      <c r="M312" s="31">
        <v>67</v>
      </c>
      <c r="N312" s="31">
        <v>-70</v>
      </c>
      <c r="O312" s="36">
        <f t="shared" si="95"/>
        <v>67</v>
      </c>
      <c r="P312" s="31">
        <v>94</v>
      </c>
      <c r="Q312" s="31">
        <v>98</v>
      </c>
      <c r="R312" s="31">
        <v>-101</v>
      </c>
      <c r="S312" s="36">
        <f t="shared" si="96"/>
        <v>98</v>
      </c>
      <c r="T312" s="37">
        <f t="shared" si="97"/>
        <v>165</v>
      </c>
      <c r="U312" s="65">
        <f t="shared" si="98"/>
        <v>4.5</v>
      </c>
      <c r="V312" s="41" t="str">
        <f t="shared" si="99"/>
        <v>FED +</v>
      </c>
      <c r="W312" s="33">
        <f t="shared" si="100"/>
        <v>15</v>
      </c>
      <c r="X312" s="40" t="str">
        <f>IF(I312="","",IF(A312="H",IF(OR(H312="SEN",H312&lt;1995),VLOOKUP(I312,Feuil1!$A$11:$F$29,6),IF(AND(H312&gt;1994,H312&lt;1998),VLOOKUP(I312,Feuil1!$A$11:$F$29,5),IF(AND(H312&gt;1997,H312&lt;2000),VLOOKUP(I312,Feuil1!$A$11:$F$29,4),IF(AND(H312&gt;1999,H312&lt;2002),VLOOKUP(I312,Feuil1!$A$11:$F$29,3),VLOOKUP(I312,Feuil1!$A$11:$F$29,2))))),IF(OR(H312="SEN",H312&lt;1995),VLOOKUP(I312,Feuil1!$G$11:$L$25,6),IF(AND(H312&gt;1994,H312&lt;1998),VLOOKUP(I312,Feuil1!$G$11:$L$25,5),IF(AND(H312&gt;1997,H312&lt;2000),VLOOKUP(I312,Feuil1!$G$11:$L$25,4),IF(AND(H312&gt;1999,H312&lt;2002),VLOOKUP(I312,Feuil1!$G$11:$L$25,3),VLOOKUP(I312,Feuil1!$G$11:$L$25,2)))))))</f>
        <v>FS+75</v>
      </c>
      <c r="Y312" s="39">
        <f t="shared" si="101"/>
        <v>190.9499029093071</v>
      </c>
      <c r="Z312" s="45"/>
      <c r="AA312" s="49" t="s">
        <v>12</v>
      </c>
      <c r="AB312" s="3">
        <f>T312-HLOOKUP(X312,Feuil1!$C$1:$BL$10,2,FALSE)</f>
        <v>65</v>
      </c>
      <c r="AC312" s="3">
        <f>T312-HLOOKUP(X312,Feuil1!$C$1:$BL$10,3,FALSE)</f>
        <v>55</v>
      </c>
      <c r="AD312" s="3">
        <f>T312-HLOOKUP(X312,Feuil1!$C$1:$BL$10,4,FALSE)</f>
        <v>40</v>
      </c>
      <c r="AE312" s="3">
        <f>T312-HLOOKUP(X312,Feuil1!$C$1:$BL$10,5,FALSE)</f>
        <v>25</v>
      </c>
      <c r="AF312" s="3">
        <f>T312-HLOOKUP(X312,Feuil1!$C$1:$BL$10,6,FALSE)</f>
        <v>15</v>
      </c>
      <c r="AG312" s="3">
        <f>T312-HLOOKUP(X312,Feuil1!$C$1:$BL$10,7,FALSE)</f>
        <v>-5</v>
      </c>
      <c r="AH312" s="3">
        <f>T312-HLOOKUP(X312,Feuil1!$C$1:$BL$10,8,FALSE)</f>
        <v>-25</v>
      </c>
      <c r="AI312" s="3">
        <f>T312-HLOOKUP(X312,Feuil1!$C$1:$BL$10,9,FALSE)</f>
        <v>-45</v>
      </c>
      <c r="AJ312" s="3">
        <f>T312-HLOOKUP(X312,Feuil1!$C$1:$BL$10,10,FALSE)</f>
        <v>-60</v>
      </c>
      <c r="AK312" s="5"/>
      <c r="AL312" s="5"/>
      <c r="AM312" s="5"/>
      <c r="AN312" s="5"/>
      <c r="AO312" s="5"/>
      <c r="AP312" s="5"/>
      <c r="AQ312" s="5" t="str">
        <f t="shared" si="102"/>
        <v>FED +</v>
      </c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</row>
    <row r="313" spans="1:55" s="13" customFormat="1" ht="21" hidden="1" x14ac:dyDescent="0.2">
      <c r="A313" s="12" t="s">
        <v>69</v>
      </c>
      <c r="B313" s="18" t="s">
        <v>108</v>
      </c>
      <c r="C313" s="19" t="s">
        <v>119</v>
      </c>
      <c r="D313" s="61">
        <v>6</v>
      </c>
      <c r="E313" s="35">
        <v>134752</v>
      </c>
      <c r="F313" s="20" t="s">
        <v>235</v>
      </c>
      <c r="G313" s="20" t="s">
        <v>236</v>
      </c>
      <c r="H313" s="51">
        <v>1992</v>
      </c>
      <c r="I313" s="30">
        <v>77.599999999999994</v>
      </c>
      <c r="J313" s="19" t="s">
        <v>122</v>
      </c>
      <c r="K313" s="34" t="s">
        <v>69</v>
      </c>
      <c r="L313" s="31">
        <v>62</v>
      </c>
      <c r="M313" s="31">
        <v>66</v>
      </c>
      <c r="N313" s="31">
        <v>69</v>
      </c>
      <c r="O313" s="36">
        <f t="shared" si="95"/>
        <v>69</v>
      </c>
      <c r="P313" s="31">
        <v>79</v>
      </c>
      <c r="Q313" s="31">
        <v>84</v>
      </c>
      <c r="R313" s="31">
        <v>-86</v>
      </c>
      <c r="S313" s="36">
        <f t="shared" si="96"/>
        <v>84</v>
      </c>
      <c r="T313" s="37">
        <f t="shared" si="97"/>
        <v>153</v>
      </c>
      <c r="U313" s="65">
        <f t="shared" si="98"/>
        <v>-2.1999999999999886</v>
      </c>
      <c r="V313" s="41" t="str">
        <f t="shared" si="99"/>
        <v>FED +</v>
      </c>
      <c r="W313" s="33">
        <f t="shared" si="100"/>
        <v>3</v>
      </c>
      <c r="X313" s="40" t="str">
        <f>IF(I313="","",IF(A313="H",IF(OR(H313="SEN",H313&lt;1995),VLOOKUP(I313,Feuil1!$A$11:$F$29,6),IF(AND(H313&gt;1994,H313&lt;1998),VLOOKUP(I313,Feuil1!$A$11:$F$29,5),IF(AND(H313&gt;1997,H313&lt;2000),VLOOKUP(I313,Feuil1!$A$11:$F$29,4),IF(AND(H313&gt;1999,H313&lt;2002),VLOOKUP(I313,Feuil1!$A$11:$F$29,3),VLOOKUP(I313,Feuil1!$A$11:$F$29,2))))),IF(OR(H313="SEN",H313&lt;1995),VLOOKUP(I313,Feuil1!$G$11:$L$25,6),IF(AND(H313&gt;1994,H313&lt;1998),VLOOKUP(I313,Feuil1!$G$11:$L$25,5),IF(AND(H313&gt;1997,H313&lt;2000),VLOOKUP(I313,Feuil1!$G$11:$L$25,4),IF(AND(H313&gt;1999,H313&lt;2002),VLOOKUP(I313,Feuil1!$G$11:$L$25,3),VLOOKUP(I313,Feuil1!$G$11:$L$25,2)))))))</f>
        <v>FS+75</v>
      </c>
      <c r="Y313" s="39">
        <f t="shared" si="101"/>
        <v>180.00152813799374</v>
      </c>
      <c r="Z313" s="45"/>
      <c r="AA313" s="49" t="s">
        <v>12</v>
      </c>
      <c r="AB313" s="3">
        <f>T313-HLOOKUP(X313,Feuil1!$C$1:$BL$10,2,FALSE)</f>
        <v>53</v>
      </c>
      <c r="AC313" s="3">
        <f>T313-HLOOKUP(X313,Feuil1!$C$1:$BL$10,3,FALSE)</f>
        <v>43</v>
      </c>
      <c r="AD313" s="3">
        <f>T313-HLOOKUP(X313,Feuil1!$C$1:$BL$10,4,FALSE)</f>
        <v>28</v>
      </c>
      <c r="AE313" s="3">
        <f>T313-HLOOKUP(X313,Feuil1!$C$1:$BL$10,5,FALSE)</f>
        <v>13</v>
      </c>
      <c r="AF313" s="3">
        <f>T313-HLOOKUP(X313,Feuil1!$C$1:$BL$10,6,FALSE)</f>
        <v>3</v>
      </c>
      <c r="AG313" s="3">
        <f>T313-HLOOKUP(X313,Feuil1!$C$1:$BL$10,7,FALSE)</f>
        <v>-17</v>
      </c>
      <c r="AH313" s="3">
        <f>T313-HLOOKUP(X313,Feuil1!$C$1:$BL$10,8,FALSE)</f>
        <v>-37</v>
      </c>
      <c r="AI313" s="3">
        <f>T313-HLOOKUP(X313,Feuil1!$C$1:$BL$10,9,FALSE)</f>
        <v>-57</v>
      </c>
      <c r="AJ313" s="3">
        <f>T313-HLOOKUP(X313,Feuil1!$C$1:$BL$10,10,FALSE)</f>
        <v>-72</v>
      </c>
      <c r="AK313" s="5"/>
      <c r="AL313" s="5"/>
      <c r="AM313" s="5"/>
      <c r="AN313" s="5"/>
      <c r="AO313" s="5"/>
      <c r="AP313" s="5"/>
      <c r="AQ313" s="5" t="str">
        <f t="shared" si="102"/>
        <v>FED +</v>
      </c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</row>
    <row r="314" spans="1:55" s="13" customFormat="1" ht="21" hidden="1" x14ac:dyDescent="0.2">
      <c r="A314" s="12" t="s">
        <v>69</v>
      </c>
      <c r="B314" s="18" t="s">
        <v>298</v>
      </c>
      <c r="C314" s="19" t="s">
        <v>299</v>
      </c>
      <c r="D314" s="61">
        <v>7</v>
      </c>
      <c r="E314" s="35">
        <v>45169</v>
      </c>
      <c r="F314" s="20" t="s">
        <v>397</v>
      </c>
      <c r="G314" s="20" t="s">
        <v>398</v>
      </c>
      <c r="H314" s="51">
        <v>1985</v>
      </c>
      <c r="I314" s="30">
        <v>79.739999999999995</v>
      </c>
      <c r="J314" s="19" t="s">
        <v>362</v>
      </c>
      <c r="K314" s="34" t="s">
        <v>69</v>
      </c>
      <c r="L314" s="31">
        <v>58</v>
      </c>
      <c r="M314" s="31">
        <v>62</v>
      </c>
      <c r="N314" s="31">
        <v>65</v>
      </c>
      <c r="O314" s="36">
        <f t="shared" si="95"/>
        <v>65</v>
      </c>
      <c r="P314" s="31">
        <v>75</v>
      </c>
      <c r="Q314" s="31">
        <v>80</v>
      </c>
      <c r="R314" s="31">
        <v>85</v>
      </c>
      <c r="S314" s="36">
        <f t="shared" si="96"/>
        <v>85</v>
      </c>
      <c r="T314" s="37">
        <f t="shared" si="97"/>
        <v>150</v>
      </c>
      <c r="U314" s="65">
        <f t="shared" si="98"/>
        <v>-9.4799999999999898</v>
      </c>
      <c r="V314" s="41" t="str">
        <f t="shared" si="99"/>
        <v>FED +</v>
      </c>
      <c r="W314" s="33">
        <f t="shared" si="100"/>
        <v>0</v>
      </c>
      <c r="X314" s="40" t="str">
        <f>IF(I314="","",IF(A314="H",IF(OR(H314="SEN",H314&lt;1995),VLOOKUP(I314,Feuil1!$A$11:$F$29,6),IF(AND(H314&gt;1994,H314&lt;1998),VLOOKUP(I314,Feuil1!$A$11:$F$29,5),IF(AND(H314&gt;1997,H314&lt;2000),VLOOKUP(I314,Feuil1!$A$11:$F$29,4),IF(AND(H314&gt;1999,H314&lt;2002),VLOOKUP(I314,Feuil1!$A$11:$F$29,3),VLOOKUP(I314,Feuil1!$A$11:$F$29,2))))),IF(OR(H314="SEN",H314&lt;1995),VLOOKUP(I314,Feuil1!$G$11:$L$25,6),IF(AND(H314&gt;1994,H314&lt;1998),VLOOKUP(I314,Feuil1!$G$11:$L$25,5),IF(AND(H314&gt;1997,H314&lt;2000),VLOOKUP(I314,Feuil1!$G$11:$L$25,4),IF(AND(H314&gt;1999,H314&lt;2002),VLOOKUP(I314,Feuil1!$G$11:$L$25,3),VLOOKUP(I314,Feuil1!$G$11:$L$25,2)))))))</f>
        <v>FS+75</v>
      </c>
      <c r="Y314" s="39">
        <f t="shared" si="101"/>
        <v>174.12245217956945</v>
      </c>
      <c r="Z314" s="45"/>
      <c r="AA314" s="49" t="s">
        <v>12</v>
      </c>
      <c r="AB314" s="3">
        <f>T314-HLOOKUP(X314,Feuil1!$C$1:$BL$10,2,FALSE)</f>
        <v>50</v>
      </c>
      <c r="AC314" s="3">
        <f>T314-HLOOKUP(X314,Feuil1!$C$1:$BL$10,3,FALSE)</f>
        <v>40</v>
      </c>
      <c r="AD314" s="3">
        <f>T314-HLOOKUP(X314,Feuil1!$C$1:$BL$10,4,FALSE)</f>
        <v>25</v>
      </c>
      <c r="AE314" s="3">
        <f>T314-HLOOKUP(X314,Feuil1!$C$1:$BL$10,5,FALSE)</f>
        <v>10</v>
      </c>
      <c r="AF314" s="3">
        <f>T314-HLOOKUP(X314,Feuil1!$C$1:$BL$10,6,FALSE)</f>
        <v>0</v>
      </c>
      <c r="AG314" s="3">
        <f>T314-HLOOKUP(X314,Feuil1!$C$1:$BL$10,7,FALSE)</f>
        <v>-20</v>
      </c>
      <c r="AH314" s="3">
        <f>T314-HLOOKUP(X314,Feuil1!$C$1:$BL$10,8,FALSE)</f>
        <v>-40</v>
      </c>
      <c r="AI314" s="3">
        <f>T314-HLOOKUP(X314,Feuil1!$C$1:$BL$10,9,FALSE)</f>
        <v>-60</v>
      </c>
      <c r="AJ314" s="3">
        <f>T314-HLOOKUP(X314,Feuil1!$C$1:$BL$10,10,FALSE)</f>
        <v>-75</v>
      </c>
      <c r="AK314" s="5"/>
      <c r="AL314" s="5"/>
      <c r="AM314" s="5"/>
      <c r="AN314" s="5"/>
      <c r="AO314" s="5"/>
      <c r="AP314" s="5"/>
      <c r="AQ314" s="5" t="str">
        <f t="shared" si="102"/>
        <v>FED +</v>
      </c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</row>
    <row r="315" spans="1:55" s="13" customFormat="1" ht="21" hidden="1" x14ac:dyDescent="0.2">
      <c r="A315" s="12" t="s">
        <v>69</v>
      </c>
      <c r="B315" s="18" t="s">
        <v>649</v>
      </c>
      <c r="C315" s="19" t="s">
        <v>648</v>
      </c>
      <c r="D315" s="61">
        <v>8</v>
      </c>
      <c r="E315" s="35">
        <v>250372</v>
      </c>
      <c r="F315" s="20" t="s">
        <v>659</v>
      </c>
      <c r="G315" s="20" t="s">
        <v>660</v>
      </c>
      <c r="H315" s="51">
        <v>1993</v>
      </c>
      <c r="I315" s="30">
        <v>90.86</v>
      </c>
      <c r="J315" s="19" t="s">
        <v>647</v>
      </c>
      <c r="K315" s="34" t="s">
        <v>69</v>
      </c>
      <c r="L315" s="31">
        <v>55</v>
      </c>
      <c r="M315" s="31">
        <v>-58</v>
      </c>
      <c r="N315" s="31">
        <v>58</v>
      </c>
      <c r="O315" s="36">
        <f t="shared" si="95"/>
        <v>58</v>
      </c>
      <c r="P315" s="31">
        <v>65</v>
      </c>
      <c r="Q315" s="31">
        <v>70</v>
      </c>
      <c r="R315" s="31">
        <v>75</v>
      </c>
      <c r="S315" s="36">
        <f t="shared" si="96"/>
        <v>75</v>
      </c>
      <c r="T315" s="37">
        <f t="shared" si="97"/>
        <v>133</v>
      </c>
      <c r="U315" s="65">
        <f t="shared" si="98"/>
        <v>-48.72</v>
      </c>
      <c r="V315" s="41" t="str">
        <f t="shared" si="99"/>
        <v>REG +</v>
      </c>
      <c r="W315" s="33">
        <f t="shared" si="100"/>
        <v>8</v>
      </c>
      <c r="X315" s="40" t="str">
        <f>IF(I315="","",IF(A315="H",IF(OR(H315="SEN",H315&lt;1995),VLOOKUP(I315,Feuil1!$A$11:$F$29,6),IF(AND(H315&gt;1994,H315&lt;1998),VLOOKUP(I315,Feuil1!$A$11:$F$29,5),IF(AND(H315&gt;1997,H315&lt;2000),VLOOKUP(I315,Feuil1!$A$11:$F$29,4),IF(AND(H315&gt;1999,H315&lt;2002),VLOOKUP(I315,Feuil1!$A$11:$F$29,3),VLOOKUP(I315,Feuil1!$A$11:$F$29,2))))),IF(OR(H315="SEN",H315&lt;1995),VLOOKUP(I315,Feuil1!$G$11:$L$25,6),IF(AND(H315&gt;1994,H315&lt;1998),VLOOKUP(I315,Feuil1!$G$11:$L$25,5),IF(AND(H315&gt;1997,H315&lt;2000),VLOOKUP(I315,Feuil1!$G$11:$L$25,4),IF(AND(H315&gt;1999,H315&lt;2002),VLOOKUP(I315,Feuil1!$G$11:$L$25,3),VLOOKUP(I315,Feuil1!$G$11:$L$25,2)))))))</f>
        <v>FS+75</v>
      </c>
      <c r="Y315" s="39">
        <f t="shared" si="101"/>
        <v>145.93683274790104</v>
      </c>
      <c r="Z315" s="45"/>
      <c r="AA315" s="49" t="s">
        <v>12</v>
      </c>
      <c r="AB315" s="3">
        <f>T315-HLOOKUP(X315,Feuil1!$C$1:$BL$10,2,FALSE)</f>
        <v>33</v>
      </c>
      <c r="AC315" s="3">
        <f>T315-HLOOKUP(X315,Feuil1!$C$1:$BL$10,3,FALSE)</f>
        <v>23</v>
      </c>
      <c r="AD315" s="3">
        <f>T315-HLOOKUP(X315,Feuil1!$C$1:$BL$10,4,FALSE)</f>
        <v>8</v>
      </c>
      <c r="AE315" s="3">
        <f>T315-HLOOKUP(X315,Feuil1!$C$1:$BL$10,5,FALSE)</f>
        <v>-7</v>
      </c>
      <c r="AF315" s="3">
        <f>T315-HLOOKUP(X315,Feuil1!$C$1:$BL$10,6,FALSE)</f>
        <v>-17</v>
      </c>
      <c r="AG315" s="3">
        <f>T315-HLOOKUP(X315,Feuil1!$C$1:$BL$10,7,FALSE)</f>
        <v>-37</v>
      </c>
      <c r="AH315" s="3">
        <f>T315-HLOOKUP(X315,Feuil1!$C$1:$BL$10,8,FALSE)</f>
        <v>-57</v>
      </c>
      <c r="AI315" s="3">
        <f>T315-HLOOKUP(X315,Feuil1!$C$1:$BL$10,9,FALSE)</f>
        <v>-77</v>
      </c>
      <c r="AJ315" s="3">
        <f>T315-HLOOKUP(X315,Feuil1!$C$1:$BL$10,10,FALSE)</f>
        <v>-92</v>
      </c>
      <c r="AK315" s="5"/>
      <c r="AL315" s="5"/>
      <c r="AM315" s="5"/>
      <c r="AN315" s="5"/>
      <c r="AO315" s="5"/>
      <c r="AP315" s="5"/>
      <c r="AQ315" s="5" t="str">
        <f t="shared" si="102"/>
        <v>REG +</v>
      </c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</row>
    <row r="316" spans="1:55" s="13" customFormat="1" ht="21" hidden="1" x14ac:dyDescent="0.2">
      <c r="A316" s="12" t="s">
        <v>69</v>
      </c>
      <c r="B316" s="18" t="s">
        <v>108</v>
      </c>
      <c r="C316" s="19" t="s">
        <v>119</v>
      </c>
      <c r="D316" s="61">
        <v>9</v>
      </c>
      <c r="E316" s="35">
        <v>68212</v>
      </c>
      <c r="F316" s="20" t="s">
        <v>237</v>
      </c>
      <c r="G316" s="20" t="s">
        <v>197</v>
      </c>
      <c r="H316" s="51">
        <v>1991</v>
      </c>
      <c r="I316" s="30">
        <v>89.1</v>
      </c>
      <c r="J316" s="19" t="s">
        <v>122</v>
      </c>
      <c r="K316" s="34" t="s">
        <v>69</v>
      </c>
      <c r="L316" s="31">
        <v>53</v>
      </c>
      <c r="M316" s="31">
        <v>56</v>
      </c>
      <c r="N316" s="31">
        <v>58</v>
      </c>
      <c r="O316" s="36">
        <f t="shared" si="95"/>
        <v>58</v>
      </c>
      <c r="P316" s="31">
        <v>68</v>
      </c>
      <c r="Q316" s="31">
        <v>71</v>
      </c>
      <c r="R316" s="31">
        <v>74</v>
      </c>
      <c r="S316" s="36">
        <f t="shared" si="96"/>
        <v>74</v>
      </c>
      <c r="T316" s="37">
        <f t="shared" si="97"/>
        <v>132</v>
      </c>
      <c r="U316" s="65">
        <f t="shared" si="98"/>
        <v>-46.199999999999989</v>
      </c>
      <c r="V316" s="41" t="str">
        <f t="shared" si="99"/>
        <v>REG +</v>
      </c>
      <c r="W316" s="33">
        <f t="shared" si="100"/>
        <v>7</v>
      </c>
      <c r="X316" s="40" t="str">
        <f>IF(I316="","",IF(A316="H",IF(OR(H316="SEN",H316&lt;1995),VLOOKUP(I316,Feuil1!$A$11:$F$29,6),IF(AND(H316&gt;1994,H316&lt;1998),VLOOKUP(I316,Feuil1!$A$11:$F$29,5),IF(AND(H316&gt;1997,H316&lt;2000),VLOOKUP(I316,Feuil1!$A$11:$F$29,4),IF(AND(H316&gt;1999,H316&lt;2002),VLOOKUP(I316,Feuil1!$A$11:$F$29,3),VLOOKUP(I316,Feuil1!$A$11:$F$29,2))))),IF(OR(H316="SEN",H316&lt;1995),VLOOKUP(I316,Feuil1!$G$11:$L$25,6),IF(AND(H316&gt;1994,H316&lt;1998),VLOOKUP(I316,Feuil1!$G$11:$L$25,5),IF(AND(H316&gt;1997,H316&lt;2000),VLOOKUP(I316,Feuil1!$G$11:$L$25,4),IF(AND(H316&gt;1999,H316&lt;2002),VLOOKUP(I316,Feuil1!$G$11:$L$25,3),VLOOKUP(I316,Feuil1!$G$11:$L$25,2)))))))</f>
        <v>FS+75</v>
      </c>
      <c r="Y316" s="39">
        <f t="shared" si="101"/>
        <v>145.94299853629104</v>
      </c>
      <c r="Z316" s="45"/>
      <c r="AA316" s="49" t="s">
        <v>12</v>
      </c>
      <c r="AB316" s="3">
        <f>T316-HLOOKUP(X316,Feuil1!$C$1:$BL$10,2,FALSE)</f>
        <v>32</v>
      </c>
      <c r="AC316" s="3">
        <f>T316-HLOOKUP(X316,Feuil1!$C$1:$BL$10,3,FALSE)</f>
        <v>22</v>
      </c>
      <c r="AD316" s="3">
        <f>T316-HLOOKUP(X316,Feuil1!$C$1:$BL$10,4,FALSE)</f>
        <v>7</v>
      </c>
      <c r="AE316" s="3">
        <f>T316-HLOOKUP(X316,Feuil1!$C$1:$BL$10,5,FALSE)</f>
        <v>-8</v>
      </c>
      <c r="AF316" s="3">
        <f>T316-HLOOKUP(X316,Feuil1!$C$1:$BL$10,6,FALSE)</f>
        <v>-18</v>
      </c>
      <c r="AG316" s="3">
        <f>T316-HLOOKUP(X316,Feuil1!$C$1:$BL$10,7,FALSE)</f>
        <v>-38</v>
      </c>
      <c r="AH316" s="3">
        <f>T316-HLOOKUP(X316,Feuil1!$C$1:$BL$10,8,FALSE)</f>
        <v>-58</v>
      </c>
      <c r="AI316" s="3">
        <f>T316-HLOOKUP(X316,Feuil1!$C$1:$BL$10,9,FALSE)</f>
        <v>-78</v>
      </c>
      <c r="AJ316" s="3">
        <f>T316-HLOOKUP(X316,Feuil1!$C$1:$BL$10,10,FALSE)</f>
        <v>-93</v>
      </c>
      <c r="AK316" s="5"/>
      <c r="AL316" s="5"/>
      <c r="AM316" s="5"/>
      <c r="AN316" s="5"/>
      <c r="AO316" s="5"/>
      <c r="AP316" s="5"/>
      <c r="AQ316" s="5" t="str">
        <f t="shared" si="102"/>
        <v>REG +</v>
      </c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</row>
    <row r="317" spans="1:55" s="13" customFormat="1" ht="21" hidden="1" x14ac:dyDescent="0.2">
      <c r="A317" s="12" t="s">
        <v>69</v>
      </c>
      <c r="B317" s="67" t="s">
        <v>108</v>
      </c>
      <c r="C317" s="68" t="s">
        <v>119</v>
      </c>
      <c r="D317" s="69">
        <v>10</v>
      </c>
      <c r="E317" s="70">
        <v>306844</v>
      </c>
      <c r="F317" s="71" t="s">
        <v>230</v>
      </c>
      <c r="G317" s="71" t="s">
        <v>231</v>
      </c>
      <c r="H317" s="72">
        <v>1983</v>
      </c>
      <c r="I317" s="73">
        <v>76.5</v>
      </c>
      <c r="J317" s="68" t="s">
        <v>122</v>
      </c>
      <c r="K317" s="74" t="s">
        <v>69</v>
      </c>
      <c r="L317" s="75">
        <v>46</v>
      </c>
      <c r="M317" s="75">
        <v>49</v>
      </c>
      <c r="N317" s="75">
        <v>51</v>
      </c>
      <c r="O317" s="76">
        <f t="shared" si="95"/>
        <v>51</v>
      </c>
      <c r="P317" s="75">
        <v>62</v>
      </c>
      <c r="Q317" s="75">
        <v>65</v>
      </c>
      <c r="R317" s="75">
        <v>-67</v>
      </c>
      <c r="S317" s="76">
        <f t="shared" si="96"/>
        <v>65</v>
      </c>
      <c r="T317" s="77">
        <f t="shared" si="97"/>
        <v>116</v>
      </c>
      <c r="U317" s="78">
        <f t="shared" si="98"/>
        <v>-37</v>
      </c>
      <c r="V317" s="79" t="str">
        <f t="shared" si="99"/>
        <v>DEP +</v>
      </c>
      <c r="W317" s="80">
        <f t="shared" si="100"/>
        <v>6</v>
      </c>
      <c r="X317" s="81" t="str">
        <f>IF(I317="","",IF(A317="H",IF(OR(H317="SEN",H317&lt;1995),VLOOKUP(I317,Feuil1!$A$11:$F$29,6),IF(AND(H317&gt;1994,H317&lt;1998),VLOOKUP(I317,Feuil1!$A$11:$F$29,5),IF(AND(H317&gt;1997,H317&lt;2000),VLOOKUP(I317,Feuil1!$A$11:$F$29,4),IF(AND(H317&gt;1999,H317&lt;2002),VLOOKUP(I317,Feuil1!$A$11:$F$29,3),VLOOKUP(I317,Feuil1!$A$11:$F$29,2))))),IF(OR(H317="SEN",H317&lt;1995),VLOOKUP(I317,Feuil1!$G$11:$L$25,6),IF(AND(H317&gt;1994,H317&lt;1998),VLOOKUP(I317,Feuil1!$G$11:$L$25,5),IF(AND(H317&gt;1997,H317&lt;2000),VLOOKUP(I317,Feuil1!$G$11:$L$25,4),IF(AND(H317&gt;1999,H317&lt;2002),VLOOKUP(I317,Feuil1!$G$11:$L$25,3),VLOOKUP(I317,Feuil1!$G$11:$L$25,2)))))))</f>
        <v>FS+75</v>
      </c>
      <c r="Y317" s="39">
        <f t="shared" si="101"/>
        <v>137.46684864780568</v>
      </c>
      <c r="Z317" s="45"/>
      <c r="AA317" s="49" t="s">
        <v>12</v>
      </c>
      <c r="AB317" s="3">
        <f>T317-HLOOKUP(X317,Feuil1!$C$1:$BL$10,2,FALSE)</f>
        <v>16</v>
      </c>
      <c r="AC317" s="3">
        <f>T317-HLOOKUP(X317,Feuil1!$C$1:$BL$10,3,FALSE)</f>
        <v>6</v>
      </c>
      <c r="AD317" s="3">
        <f>T317-HLOOKUP(X317,Feuil1!$C$1:$BL$10,4,FALSE)</f>
        <v>-9</v>
      </c>
      <c r="AE317" s="3">
        <f>T317-HLOOKUP(X317,Feuil1!$C$1:$BL$10,5,FALSE)</f>
        <v>-24</v>
      </c>
      <c r="AF317" s="3">
        <f>T317-HLOOKUP(X317,Feuil1!$C$1:$BL$10,6,FALSE)</f>
        <v>-34</v>
      </c>
      <c r="AG317" s="3">
        <f>T317-HLOOKUP(X317,Feuil1!$C$1:$BL$10,7,FALSE)</f>
        <v>-54</v>
      </c>
      <c r="AH317" s="3">
        <f>T317-HLOOKUP(X317,Feuil1!$C$1:$BL$10,8,FALSE)</f>
        <v>-74</v>
      </c>
      <c r="AI317" s="3">
        <f>T317-HLOOKUP(X317,Feuil1!$C$1:$BL$10,9,FALSE)</f>
        <v>-94</v>
      </c>
      <c r="AJ317" s="3">
        <f>T317-HLOOKUP(X317,Feuil1!$C$1:$BL$10,10,FALSE)</f>
        <v>-109</v>
      </c>
      <c r="AK317" s="5"/>
      <c r="AL317" s="5"/>
      <c r="AM317" s="5"/>
      <c r="AN317" s="5"/>
      <c r="AO317" s="5"/>
      <c r="AP317" s="5"/>
      <c r="AQ317" s="5" t="str">
        <f t="shared" si="102"/>
        <v>DEP +</v>
      </c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</row>
    <row r="318" spans="1:55" s="13" customFormat="1" ht="21" hidden="1" x14ac:dyDescent="0.2">
      <c r="A318" s="12" t="s">
        <v>69</v>
      </c>
      <c r="B318" s="18" t="s">
        <v>298</v>
      </c>
      <c r="C318" s="19" t="s">
        <v>404</v>
      </c>
      <c r="D318" s="61">
        <v>11</v>
      </c>
      <c r="E318" s="35">
        <v>351935</v>
      </c>
      <c r="F318" s="20" t="s">
        <v>447</v>
      </c>
      <c r="G318" s="20" t="s">
        <v>448</v>
      </c>
      <c r="H318" s="51">
        <v>1988</v>
      </c>
      <c r="I318" s="30">
        <v>94.5</v>
      </c>
      <c r="J318" s="19" t="s">
        <v>406</v>
      </c>
      <c r="K318" s="34" t="s">
        <v>69</v>
      </c>
      <c r="L318" s="31">
        <v>45</v>
      </c>
      <c r="M318" s="31">
        <v>-50</v>
      </c>
      <c r="N318" s="31">
        <v>50</v>
      </c>
      <c r="O318" s="36">
        <f t="shared" si="95"/>
        <v>50</v>
      </c>
      <c r="P318" s="31">
        <v>57</v>
      </c>
      <c r="Q318" s="31">
        <v>61</v>
      </c>
      <c r="R318" s="31">
        <v>65</v>
      </c>
      <c r="S318" s="36">
        <f t="shared" si="96"/>
        <v>65</v>
      </c>
      <c r="T318" s="37">
        <f t="shared" si="97"/>
        <v>115</v>
      </c>
      <c r="U318" s="65">
        <f t="shared" si="98"/>
        <v>-74</v>
      </c>
      <c r="V318" s="41" t="str">
        <f t="shared" si="99"/>
        <v>DEP +</v>
      </c>
      <c r="W318" s="33">
        <f t="shared" si="100"/>
        <v>5</v>
      </c>
      <c r="X318" s="40" t="str">
        <f>IF(I318="","",IF(A318="H",IF(OR(H318="SEN",H318&lt;1995),VLOOKUP(I318,Feuil1!$A$11:$F$29,6),IF(AND(H318&gt;1994,H318&lt;1998),VLOOKUP(I318,Feuil1!$A$11:$F$29,5),IF(AND(H318&gt;1997,H318&lt;2000),VLOOKUP(I318,Feuil1!$A$11:$F$29,4),IF(AND(H318&gt;1999,H318&lt;2002),VLOOKUP(I318,Feuil1!$A$11:$F$29,3),VLOOKUP(I318,Feuil1!$A$11:$F$29,2))))),IF(OR(H318="SEN",H318&lt;1995),VLOOKUP(I318,Feuil1!$G$11:$L$25,6),IF(AND(H318&gt;1994,H318&lt;1998),VLOOKUP(I318,Feuil1!$G$11:$L$25,5),IF(AND(H318&gt;1997,H318&lt;2000),VLOOKUP(I318,Feuil1!$G$11:$L$25,4),IF(AND(H318&gt;1999,H318&lt;2002),VLOOKUP(I318,Feuil1!$G$11:$L$25,3),VLOOKUP(I318,Feuil1!$G$11:$L$25,2)))))))</f>
        <v>FS+75</v>
      </c>
      <c r="Y318" s="39">
        <f t="shared" si="101"/>
        <v>124.38939702804215</v>
      </c>
      <c r="Z318" s="45"/>
      <c r="AA318" s="49" t="s">
        <v>12</v>
      </c>
      <c r="AB318" s="3">
        <f>T318-HLOOKUP(X318,Feuil1!$C$1:$BL$10,2,FALSE)</f>
        <v>15</v>
      </c>
      <c r="AC318" s="3">
        <f>T318-HLOOKUP(X318,Feuil1!$C$1:$BL$10,3,FALSE)</f>
        <v>5</v>
      </c>
      <c r="AD318" s="3">
        <f>T318-HLOOKUP(X318,Feuil1!$C$1:$BL$10,4,FALSE)</f>
        <v>-10</v>
      </c>
      <c r="AE318" s="3">
        <f>T318-HLOOKUP(X318,Feuil1!$C$1:$BL$10,5,FALSE)</f>
        <v>-25</v>
      </c>
      <c r="AF318" s="3">
        <f>T318-HLOOKUP(X318,Feuil1!$C$1:$BL$10,6,FALSE)</f>
        <v>-35</v>
      </c>
      <c r="AG318" s="3">
        <f>T318-HLOOKUP(X318,Feuil1!$C$1:$BL$10,7,FALSE)</f>
        <v>-55</v>
      </c>
      <c r="AH318" s="3">
        <f>T318-HLOOKUP(X318,Feuil1!$C$1:$BL$10,8,FALSE)</f>
        <v>-75</v>
      </c>
      <c r="AI318" s="3">
        <f>T318-HLOOKUP(X318,Feuil1!$C$1:$BL$10,9,FALSE)</f>
        <v>-95</v>
      </c>
      <c r="AJ318" s="3">
        <f>T318-HLOOKUP(X318,Feuil1!$C$1:$BL$10,10,FALSE)</f>
        <v>-110</v>
      </c>
      <c r="AK318" s="5"/>
      <c r="AL318" s="5"/>
      <c r="AM318" s="5"/>
      <c r="AN318" s="5"/>
      <c r="AO318" s="5"/>
      <c r="AP318" s="5"/>
      <c r="AQ318" s="5" t="str">
        <f t="shared" si="102"/>
        <v>DEP +</v>
      </c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</row>
    <row r="319" spans="1:55" s="13" customFormat="1" ht="21" hidden="1" x14ac:dyDescent="0.2">
      <c r="A319" s="12" t="s">
        <v>69</v>
      </c>
      <c r="B319" s="67" t="s">
        <v>108</v>
      </c>
      <c r="C319" s="68" t="s">
        <v>119</v>
      </c>
      <c r="D319" s="69">
        <v>12</v>
      </c>
      <c r="E319" s="70">
        <v>360265</v>
      </c>
      <c r="F319" s="71" t="s">
        <v>232</v>
      </c>
      <c r="G319" s="71" t="s">
        <v>233</v>
      </c>
      <c r="H319" s="72">
        <v>1992</v>
      </c>
      <c r="I319" s="73">
        <v>75.599999999999994</v>
      </c>
      <c r="J319" s="68" t="s">
        <v>161</v>
      </c>
      <c r="K319" s="74" t="s">
        <v>69</v>
      </c>
      <c r="L319" s="75">
        <v>49</v>
      </c>
      <c r="M319" s="75">
        <v>-52</v>
      </c>
      <c r="N319" s="75">
        <v>-55</v>
      </c>
      <c r="O319" s="76">
        <f t="shared" si="95"/>
        <v>49</v>
      </c>
      <c r="P319" s="75">
        <v>63</v>
      </c>
      <c r="Q319" s="75">
        <v>-66</v>
      </c>
      <c r="R319" s="75">
        <v>-66</v>
      </c>
      <c r="S319" s="76">
        <f t="shared" si="96"/>
        <v>63</v>
      </c>
      <c r="T319" s="77">
        <f t="shared" si="97"/>
        <v>112</v>
      </c>
      <c r="U319" s="78">
        <f t="shared" si="98"/>
        <v>-39.199999999999989</v>
      </c>
      <c r="V319" s="79" t="str">
        <f t="shared" si="99"/>
        <v>DEP +</v>
      </c>
      <c r="W319" s="80">
        <f t="shared" si="100"/>
        <v>2</v>
      </c>
      <c r="X319" s="81" t="str">
        <f>IF(I319="","",IF(A319="H",IF(OR(H319="SEN",H319&lt;1995),VLOOKUP(I319,Feuil1!$A$11:$F$29,6),IF(AND(H319&gt;1994,H319&lt;1998),VLOOKUP(I319,Feuil1!$A$11:$F$29,5),IF(AND(H319&gt;1997,H319&lt;2000),VLOOKUP(I319,Feuil1!$A$11:$F$29,4),IF(AND(H319&gt;1999,H319&lt;2002),VLOOKUP(I319,Feuil1!$A$11:$F$29,3),VLOOKUP(I319,Feuil1!$A$11:$F$29,2))))),IF(OR(H319="SEN",H319&lt;1995),VLOOKUP(I319,Feuil1!$G$11:$L$25,6),IF(AND(H319&gt;1994,H319&lt;1998),VLOOKUP(I319,Feuil1!$G$11:$L$25,5),IF(AND(H319&gt;1997,H319&lt;2000),VLOOKUP(I319,Feuil1!$G$11:$L$25,4),IF(AND(H319&gt;1999,H319&lt;2002),VLOOKUP(I319,Feuil1!$G$11:$L$25,3),VLOOKUP(I319,Feuil1!$G$11:$L$25,2)))))))</f>
        <v>FS+75</v>
      </c>
      <c r="Y319" s="39">
        <f t="shared" si="101"/>
        <v>133.54443214745396</v>
      </c>
      <c r="Z319" s="45"/>
      <c r="AA319" s="49" t="s">
        <v>12</v>
      </c>
      <c r="AB319" s="3">
        <f>T319-HLOOKUP(X319,Feuil1!$C$1:$BL$10,2,FALSE)</f>
        <v>12</v>
      </c>
      <c r="AC319" s="3">
        <f>T319-HLOOKUP(X319,Feuil1!$C$1:$BL$10,3,FALSE)</f>
        <v>2</v>
      </c>
      <c r="AD319" s="3">
        <f>T319-HLOOKUP(X319,Feuil1!$C$1:$BL$10,4,FALSE)</f>
        <v>-13</v>
      </c>
      <c r="AE319" s="3">
        <f>T319-HLOOKUP(X319,Feuil1!$C$1:$BL$10,5,FALSE)</f>
        <v>-28</v>
      </c>
      <c r="AF319" s="3">
        <f>T319-HLOOKUP(X319,Feuil1!$C$1:$BL$10,6,FALSE)</f>
        <v>-38</v>
      </c>
      <c r="AG319" s="3">
        <f>T319-HLOOKUP(X319,Feuil1!$C$1:$BL$10,7,FALSE)</f>
        <v>-58</v>
      </c>
      <c r="AH319" s="3">
        <f>T319-HLOOKUP(X319,Feuil1!$C$1:$BL$10,8,FALSE)</f>
        <v>-78</v>
      </c>
      <c r="AI319" s="3">
        <f>T319-HLOOKUP(X319,Feuil1!$C$1:$BL$10,9,FALSE)</f>
        <v>-98</v>
      </c>
      <c r="AJ319" s="3">
        <f>T319-HLOOKUP(X319,Feuil1!$C$1:$BL$10,10,FALSE)</f>
        <v>-113</v>
      </c>
      <c r="AK319" s="5"/>
      <c r="AL319" s="5"/>
      <c r="AM319" s="5"/>
      <c r="AN319" s="5"/>
      <c r="AO319" s="5"/>
      <c r="AP319" s="5"/>
      <c r="AQ319" s="5" t="str">
        <f t="shared" si="102"/>
        <v>DEP +</v>
      </c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</row>
    <row r="320" spans="1:55" s="13" customFormat="1" ht="21" hidden="1" x14ac:dyDescent="0.2">
      <c r="A320" s="12" t="s">
        <v>69</v>
      </c>
      <c r="B320" s="18" t="s">
        <v>721</v>
      </c>
      <c r="C320" s="19" t="s">
        <v>722</v>
      </c>
      <c r="D320" s="61">
        <v>13</v>
      </c>
      <c r="E320" s="35">
        <v>248274</v>
      </c>
      <c r="F320" s="20" t="s">
        <v>740</v>
      </c>
      <c r="G320" s="20" t="s">
        <v>741</v>
      </c>
      <c r="H320" s="51">
        <v>1964</v>
      </c>
      <c r="I320" s="30">
        <v>84.2</v>
      </c>
      <c r="J320" s="19" t="s">
        <v>735</v>
      </c>
      <c r="K320" s="34" t="s">
        <v>69</v>
      </c>
      <c r="L320" s="31">
        <v>46</v>
      </c>
      <c r="M320" s="31">
        <v>48</v>
      </c>
      <c r="N320" s="31">
        <v>-50</v>
      </c>
      <c r="O320" s="36">
        <f t="shared" si="95"/>
        <v>48</v>
      </c>
      <c r="P320" s="31">
        <v>57</v>
      </c>
      <c r="Q320" s="31">
        <v>60</v>
      </c>
      <c r="R320" s="31">
        <v>63</v>
      </c>
      <c r="S320" s="36">
        <f t="shared" si="96"/>
        <v>63</v>
      </c>
      <c r="T320" s="37">
        <f t="shared" si="97"/>
        <v>111</v>
      </c>
      <c r="U320" s="65">
        <f t="shared" si="98"/>
        <v>-57.400000000000006</v>
      </c>
      <c r="V320" s="41" t="str">
        <f t="shared" si="99"/>
        <v>DEP +</v>
      </c>
      <c r="W320" s="33">
        <f t="shared" si="100"/>
        <v>1</v>
      </c>
      <c r="X320" s="40" t="str">
        <f>IF(I320="","",IF(A320="H",IF(OR(H320="SEN",H320&lt;1995),VLOOKUP(I320,Feuil1!$A$11:$F$29,6),IF(AND(H320&gt;1994,H320&lt;1998),VLOOKUP(I320,Feuil1!$A$11:$F$29,5),IF(AND(H320&gt;1997,H320&lt;2000),VLOOKUP(I320,Feuil1!$A$11:$F$29,4),IF(AND(H320&gt;1999,H320&lt;2002),VLOOKUP(I320,Feuil1!$A$11:$F$29,3),VLOOKUP(I320,Feuil1!$A$11:$F$29,2))))),IF(OR(H320="SEN",H320&lt;1995),VLOOKUP(I320,Feuil1!$G$11:$L$25,6),IF(AND(H320&gt;1994,H320&lt;1998),VLOOKUP(I320,Feuil1!$G$11:$L$25,5),IF(AND(H320&gt;1997,H320&lt;2000),VLOOKUP(I320,Feuil1!$G$11:$L$25,4),IF(AND(H320&gt;1999,H320&lt;2002),VLOOKUP(I320,Feuil1!$G$11:$L$25,3),VLOOKUP(I320,Feuil1!$G$11:$L$25,2)))))))</f>
        <v>FS+75</v>
      </c>
      <c r="Y320" s="39">
        <f t="shared" si="101"/>
        <v>125.65866683528505</v>
      </c>
      <c r="Z320" s="45"/>
      <c r="AA320" s="49" t="s">
        <v>12</v>
      </c>
      <c r="AB320" s="3">
        <f>T320-HLOOKUP(X320,Feuil1!$C$1:$BL$10,2,FALSE)</f>
        <v>11</v>
      </c>
      <c r="AC320" s="3">
        <f>T320-HLOOKUP(X320,Feuil1!$C$1:$BL$10,3,FALSE)</f>
        <v>1</v>
      </c>
      <c r="AD320" s="3">
        <f>T320-HLOOKUP(X320,Feuil1!$C$1:$BL$10,4,FALSE)</f>
        <v>-14</v>
      </c>
      <c r="AE320" s="3">
        <f>T320-HLOOKUP(X320,Feuil1!$C$1:$BL$10,5,FALSE)</f>
        <v>-29</v>
      </c>
      <c r="AF320" s="3">
        <f>T320-HLOOKUP(X320,Feuil1!$C$1:$BL$10,6,FALSE)</f>
        <v>-39</v>
      </c>
      <c r="AG320" s="3">
        <f>T320-HLOOKUP(X320,Feuil1!$C$1:$BL$10,7,FALSE)</f>
        <v>-59</v>
      </c>
      <c r="AH320" s="3">
        <f>T320-HLOOKUP(X320,Feuil1!$C$1:$BL$10,8,FALSE)</f>
        <v>-79</v>
      </c>
      <c r="AI320" s="3">
        <f>T320-HLOOKUP(X320,Feuil1!$C$1:$BL$10,9,FALSE)</f>
        <v>-99</v>
      </c>
      <c r="AJ320" s="3">
        <f>T320-HLOOKUP(X320,Feuil1!$C$1:$BL$10,10,FALSE)</f>
        <v>-114</v>
      </c>
      <c r="AK320" s="5"/>
      <c r="AL320" s="5"/>
      <c r="AM320" s="5"/>
      <c r="AN320" s="5"/>
      <c r="AO320" s="5"/>
      <c r="AP320" s="5"/>
      <c r="AQ320" s="5" t="str">
        <f t="shared" si="102"/>
        <v>DEP +</v>
      </c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</row>
    <row r="321" spans="1:55" s="13" customFormat="1" ht="21" hidden="1" x14ac:dyDescent="0.2">
      <c r="A321" s="12" t="s">
        <v>69</v>
      </c>
      <c r="B321" s="18" t="s">
        <v>298</v>
      </c>
      <c r="C321" s="19" t="s">
        <v>299</v>
      </c>
      <c r="D321" s="61">
        <v>14</v>
      </c>
      <c r="E321" s="35">
        <v>357796</v>
      </c>
      <c r="F321" s="20" t="s">
        <v>399</v>
      </c>
      <c r="G321" s="20" t="s">
        <v>347</v>
      </c>
      <c r="H321" s="51">
        <v>1983</v>
      </c>
      <c r="I321" s="30">
        <v>79.8</v>
      </c>
      <c r="J321" s="19" t="s">
        <v>302</v>
      </c>
      <c r="K321" s="34" t="s">
        <v>69</v>
      </c>
      <c r="L321" s="31">
        <v>45</v>
      </c>
      <c r="M321" s="31">
        <v>-50</v>
      </c>
      <c r="N321" s="31">
        <v>50</v>
      </c>
      <c r="O321" s="36">
        <f t="shared" si="95"/>
        <v>50</v>
      </c>
      <c r="P321" s="31">
        <v>60</v>
      </c>
      <c r="Q321" s="31">
        <v>-67</v>
      </c>
      <c r="R321" s="31">
        <v>-67</v>
      </c>
      <c r="S321" s="36">
        <f t="shared" si="96"/>
        <v>60</v>
      </c>
      <c r="T321" s="37">
        <f t="shared" si="97"/>
        <v>110</v>
      </c>
      <c r="U321" s="65">
        <f t="shared" si="98"/>
        <v>-49.599999999999994</v>
      </c>
      <c r="V321" s="41" t="str">
        <f t="shared" si="99"/>
        <v>DEP +</v>
      </c>
      <c r="W321" s="33">
        <f t="shared" si="100"/>
        <v>0</v>
      </c>
      <c r="X321" s="40" t="str">
        <f>IF(I321="","",IF(A321="H",IF(OR(H321="SEN",H321&lt;1995),VLOOKUP(I321,Feuil1!$A$11:$F$29,6),IF(AND(H321&gt;1994,H321&lt;1998),VLOOKUP(I321,Feuil1!$A$11:$F$29,5),IF(AND(H321&gt;1997,H321&lt;2000),VLOOKUP(I321,Feuil1!$A$11:$F$29,4),IF(AND(H321&gt;1999,H321&lt;2002),VLOOKUP(I321,Feuil1!$A$11:$F$29,3),VLOOKUP(I321,Feuil1!$A$11:$F$29,2))))),IF(OR(H321="SEN",H321&lt;1995),VLOOKUP(I321,Feuil1!$G$11:$L$25,6),IF(AND(H321&gt;1994,H321&lt;1998),VLOOKUP(I321,Feuil1!$G$11:$L$25,5),IF(AND(H321&gt;1997,H321&lt;2000),VLOOKUP(I321,Feuil1!$G$11:$L$25,4),IF(AND(H321&gt;1999,H321&lt;2002),VLOOKUP(I321,Feuil1!$G$11:$L$25,3),VLOOKUP(I321,Feuil1!$G$11:$L$25,2)))))))</f>
        <v>FS+75</v>
      </c>
      <c r="Y321" s="39">
        <f t="shared" si="101"/>
        <v>127.64353038326678</v>
      </c>
      <c r="Z321" s="45"/>
      <c r="AA321" s="49" t="s">
        <v>12</v>
      </c>
      <c r="AB321" s="3">
        <f>T321-HLOOKUP(X321,Feuil1!$C$1:$BL$10,2,FALSE)</f>
        <v>10</v>
      </c>
      <c r="AC321" s="3">
        <f>T321-HLOOKUP(X321,Feuil1!$C$1:$BL$10,3,FALSE)</f>
        <v>0</v>
      </c>
      <c r="AD321" s="3">
        <f>T321-HLOOKUP(X321,Feuil1!$C$1:$BL$10,4,FALSE)</f>
        <v>-15</v>
      </c>
      <c r="AE321" s="3">
        <f>T321-HLOOKUP(X321,Feuil1!$C$1:$BL$10,5,FALSE)</f>
        <v>-30</v>
      </c>
      <c r="AF321" s="3">
        <f>T321-HLOOKUP(X321,Feuil1!$C$1:$BL$10,6,FALSE)</f>
        <v>-40</v>
      </c>
      <c r="AG321" s="3">
        <f>T321-HLOOKUP(X321,Feuil1!$C$1:$BL$10,7,FALSE)</f>
        <v>-60</v>
      </c>
      <c r="AH321" s="3">
        <f>T321-HLOOKUP(X321,Feuil1!$C$1:$BL$10,8,FALSE)</f>
        <v>-80</v>
      </c>
      <c r="AI321" s="3">
        <f>T321-HLOOKUP(X321,Feuil1!$C$1:$BL$10,9,FALSE)</f>
        <v>-100</v>
      </c>
      <c r="AJ321" s="3">
        <f>T321-HLOOKUP(X321,Feuil1!$C$1:$BL$10,10,FALSE)</f>
        <v>-115</v>
      </c>
      <c r="AK321" s="5"/>
      <c r="AL321" s="5"/>
      <c r="AM321" s="5"/>
      <c r="AN321" s="5"/>
      <c r="AO321" s="5"/>
      <c r="AP321" s="5"/>
      <c r="AQ321" s="5" t="str">
        <f t="shared" si="102"/>
        <v>DEP +</v>
      </c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</row>
    <row r="322" spans="1:55" s="13" customFormat="1" ht="21" hidden="1" x14ac:dyDescent="0.2">
      <c r="A322" s="12" t="s">
        <v>69</v>
      </c>
      <c r="B322" s="18" t="s">
        <v>71</v>
      </c>
      <c r="C322" s="19" t="s">
        <v>801</v>
      </c>
      <c r="D322" s="61">
        <v>15</v>
      </c>
      <c r="E322" s="35">
        <v>377639</v>
      </c>
      <c r="F322" s="20" t="s">
        <v>835</v>
      </c>
      <c r="G322" s="20" t="s">
        <v>836</v>
      </c>
      <c r="H322" s="51">
        <v>1979</v>
      </c>
      <c r="I322" s="30">
        <v>79.3</v>
      </c>
      <c r="J322" s="19" t="s">
        <v>837</v>
      </c>
      <c r="K322" s="34" t="s">
        <v>69</v>
      </c>
      <c r="L322" s="31">
        <v>40</v>
      </c>
      <c r="M322" s="31">
        <v>45</v>
      </c>
      <c r="N322" s="31">
        <v>-47</v>
      </c>
      <c r="O322" s="36">
        <f t="shared" si="95"/>
        <v>45</v>
      </c>
      <c r="P322" s="31">
        <v>55</v>
      </c>
      <c r="Q322" s="31">
        <v>58</v>
      </c>
      <c r="R322" s="31">
        <v>60</v>
      </c>
      <c r="S322" s="36">
        <f t="shared" si="96"/>
        <v>60</v>
      </c>
      <c r="T322" s="37">
        <f t="shared" si="97"/>
        <v>105</v>
      </c>
      <c r="U322" s="65">
        <f t="shared" si="98"/>
        <v>-53.599999999999994</v>
      </c>
      <c r="V322" s="41" t="str">
        <f t="shared" si="99"/>
        <v xml:space="preserve">DEB </v>
      </c>
      <c r="W322" s="33">
        <f t="shared" si="100"/>
        <v>5</v>
      </c>
      <c r="X322" s="40" t="str">
        <f>IF(I322="","",IF(A322="H",IF(OR(H322="SEN",H322&lt;1995),VLOOKUP(I322,Feuil1!$A$11:$F$29,6),IF(AND(H322&gt;1994,H322&lt;1998),VLOOKUP(I322,Feuil1!$A$11:$F$29,5),IF(AND(H322&gt;1997,H322&lt;2000),VLOOKUP(I322,Feuil1!$A$11:$F$29,4),IF(AND(H322&gt;1999,H322&lt;2002),VLOOKUP(I322,Feuil1!$A$11:$F$29,3),VLOOKUP(I322,Feuil1!$A$11:$F$29,2))))),IF(OR(H322="SEN",H322&lt;1995),VLOOKUP(I322,Feuil1!$G$11:$L$25,6),IF(AND(H322&gt;1994,H322&lt;1998),VLOOKUP(I322,Feuil1!$G$11:$L$25,5),IF(AND(H322&gt;1997,H322&lt;2000),VLOOKUP(I322,Feuil1!$G$11:$L$25,4),IF(AND(H322&gt;1999,H322&lt;2002),VLOOKUP(I322,Feuil1!$G$11:$L$25,3),VLOOKUP(I322,Feuil1!$G$11:$L$25,2)))))))</f>
        <v>FS+75</v>
      </c>
      <c r="Y322" s="39">
        <f t="shared" si="101"/>
        <v>122.21275940995001</v>
      </c>
      <c r="Z322" s="45"/>
      <c r="AA322" s="49" t="s">
        <v>12</v>
      </c>
      <c r="AB322" s="3">
        <f>T322-HLOOKUP(X322,Feuil1!$C$1:$BL$10,2,FALSE)</f>
        <v>5</v>
      </c>
      <c r="AC322" s="3">
        <f>T322-HLOOKUP(X322,Feuil1!$C$1:$BL$10,3,FALSE)</f>
        <v>-5</v>
      </c>
      <c r="AD322" s="3">
        <f>T322-HLOOKUP(X322,Feuil1!$C$1:$BL$10,4,FALSE)</f>
        <v>-20</v>
      </c>
      <c r="AE322" s="3">
        <f>T322-HLOOKUP(X322,Feuil1!$C$1:$BL$10,5,FALSE)</f>
        <v>-35</v>
      </c>
      <c r="AF322" s="3">
        <f>T322-HLOOKUP(X322,Feuil1!$C$1:$BL$10,6,FALSE)</f>
        <v>-45</v>
      </c>
      <c r="AG322" s="3">
        <f>T322-HLOOKUP(X322,Feuil1!$C$1:$BL$10,7,FALSE)</f>
        <v>-65</v>
      </c>
      <c r="AH322" s="3">
        <f>T322-HLOOKUP(X322,Feuil1!$C$1:$BL$10,8,FALSE)</f>
        <v>-85</v>
      </c>
      <c r="AI322" s="3">
        <f>T322-HLOOKUP(X322,Feuil1!$C$1:$BL$10,9,FALSE)</f>
        <v>-105</v>
      </c>
      <c r="AJ322" s="3">
        <f>T322-HLOOKUP(X322,Feuil1!$C$1:$BL$10,10,FALSE)</f>
        <v>-120</v>
      </c>
      <c r="AK322" s="5"/>
      <c r="AL322" s="5"/>
      <c r="AM322" s="5"/>
      <c r="AN322" s="5"/>
      <c r="AO322" s="5"/>
      <c r="AP322" s="5"/>
      <c r="AQ322" s="5" t="str">
        <f t="shared" si="102"/>
        <v xml:space="preserve">DEB </v>
      </c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</row>
    <row r="323" spans="1:55" s="13" customFormat="1" ht="21" hidden="1" x14ac:dyDescent="0.2">
      <c r="A323" s="12" t="s">
        <v>69</v>
      </c>
      <c r="B323" s="18" t="s">
        <v>108</v>
      </c>
      <c r="C323" s="19" t="s">
        <v>109</v>
      </c>
      <c r="D323" s="61">
        <v>16</v>
      </c>
      <c r="E323" s="35">
        <v>363537</v>
      </c>
      <c r="F323" s="20" t="s">
        <v>188</v>
      </c>
      <c r="G323" s="20" t="s">
        <v>189</v>
      </c>
      <c r="H323" s="51">
        <v>1974</v>
      </c>
      <c r="I323" s="30">
        <v>120.4</v>
      </c>
      <c r="J323" s="19" t="s">
        <v>155</v>
      </c>
      <c r="K323" s="34" t="s">
        <v>69</v>
      </c>
      <c r="L323" s="31">
        <v>40</v>
      </c>
      <c r="M323" s="31">
        <v>45</v>
      </c>
      <c r="N323" s="31">
        <v>-50</v>
      </c>
      <c r="O323" s="36">
        <f t="shared" si="95"/>
        <v>45</v>
      </c>
      <c r="P323" s="31">
        <v>55</v>
      </c>
      <c r="Q323" s="31">
        <v>-60</v>
      </c>
      <c r="R323" s="31">
        <v>60</v>
      </c>
      <c r="S323" s="36">
        <f t="shared" si="96"/>
        <v>60</v>
      </c>
      <c r="T323" s="37">
        <f t="shared" si="97"/>
        <v>105</v>
      </c>
      <c r="U323" s="65">
        <f t="shared" si="98"/>
        <v>-135.80000000000001</v>
      </c>
      <c r="V323" s="41" t="str">
        <f t="shared" si="99"/>
        <v xml:space="preserve">DEB </v>
      </c>
      <c r="W323" s="33">
        <f t="shared" si="100"/>
        <v>5</v>
      </c>
      <c r="X323" s="40" t="str">
        <f>IF(I323="","",IF(A323="H",IF(OR(H323="SEN",H323&lt;1995),VLOOKUP(I323,Feuil1!$A$11:$F$29,6),IF(AND(H323&gt;1994,H323&lt;1998),VLOOKUP(I323,Feuil1!$A$11:$F$29,5),IF(AND(H323&gt;1997,H323&lt;2000),VLOOKUP(I323,Feuil1!$A$11:$F$29,4),IF(AND(H323&gt;1999,H323&lt;2002),VLOOKUP(I323,Feuil1!$A$11:$F$29,3),VLOOKUP(I323,Feuil1!$A$11:$F$29,2))))),IF(OR(H323="SEN",H323&lt;1995),VLOOKUP(I323,Feuil1!$G$11:$L$25,6),IF(AND(H323&gt;1994,H323&lt;1998),VLOOKUP(I323,Feuil1!$G$11:$L$25,5),IF(AND(H323&gt;1997,H323&lt;2000),VLOOKUP(I323,Feuil1!$G$11:$L$25,4),IF(AND(H323&gt;1999,H323&lt;2002),VLOOKUP(I323,Feuil1!$G$11:$L$25,3),VLOOKUP(I323,Feuil1!$G$11:$L$25,2)))))))</f>
        <v>FS+75</v>
      </c>
      <c r="Y323" s="39">
        <f t="shared" si="101"/>
        <v>106.76049867371697</v>
      </c>
      <c r="Z323" s="45"/>
      <c r="AA323" s="49" t="s">
        <v>12</v>
      </c>
      <c r="AB323" s="3">
        <f>T323-HLOOKUP(X323,Feuil1!$C$1:$BL$10,2,FALSE)</f>
        <v>5</v>
      </c>
      <c r="AC323" s="3">
        <f>T323-HLOOKUP(X323,Feuil1!$C$1:$BL$10,3,FALSE)</f>
        <v>-5</v>
      </c>
      <c r="AD323" s="3">
        <f>T323-HLOOKUP(X323,Feuil1!$C$1:$BL$10,4,FALSE)</f>
        <v>-20</v>
      </c>
      <c r="AE323" s="3">
        <f>T323-HLOOKUP(X323,Feuil1!$C$1:$BL$10,5,FALSE)</f>
        <v>-35</v>
      </c>
      <c r="AF323" s="3">
        <f>T323-HLOOKUP(X323,Feuil1!$C$1:$BL$10,6,FALSE)</f>
        <v>-45</v>
      </c>
      <c r="AG323" s="3">
        <f>T323-HLOOKUP(X323,Feuil1!$C$1:$BL$10,7,FALSE)</f>
        <v>-65</v>
      </c>
      <c r="AH323" s="3">
        <f>T323-HLOOKUP(X323,Feuil1!$C$1:$BL$10,8,FALSE)</f>
        <v>-85</v>
      </c>
      <c r="AI323" s="3">
        <f>T323-HLOOKUP(X323,Feuil1!$C$1:$BL$10,9,FALSE)</f>
        <v>-105</v>
      </c>
      <c r="AJ323" s="3">
        <f>T323-HLOOKUP(X323,Feuil1!$C$1:$BL$10,10,FALSE)</f>
        <v>-120</v>
      </c>
      <c r="AK323" s="5"/>
      <c r="AL323" s="5"/>
      <c r="AM323" s="5"/>
      <c r="AN323" s="5"/>
      <c r="AO323" s="5"/>
      <c r="AP323" s="5"/>
      <c r="AQ323" s="5" t="str">
        <f t="shared" si="102"/>
        <v xml:space="preserve">DEB </v>
      </c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</row>
    <row r="324" spans="1:55" s="13" customFormat="1" ht="21" hidden="1" x14ac:dyDescent="0.2">
      <c r="A324" s="12" t="s">
        <v>69</v>
      </c>
      <c r="B324" s="18" t="s">
        <v>536</v>
      </c>
      <c r="C324" s="19" t="s">
        <v>545</v>
      </c>
      <c r="D324" s="61">
        <v>17</v>
      </c>
      <c r="E324" s="35">
        <v>376232</v>
      </c>
      <c r="F324" s="20" t="s">
        <v>598</v>
      </c>
      <c r="G324" s="20" t="s">
        <v>599</v>
      </c>
      <c r="H324" s="51">
        <v>1986</v>
      </c>
      <c r="I324" s="30">
        <v>75.2</v>
      </c>
      <c r="J324" s="19" t="s">
        <v>553</v>
      </c>
      <c r="K324" s="34" t="s">
        <v>69</v>
      </c>
      <c r="L324" s="31">
        <v>30</v>
      </c>
      <c r="M324" s="31">
        <v>35</v>
      </c>
      <c r="N324" s="31">
        <v>-40</v>
      </c>
      <c r="O324" s="36">
        <f t="shared" si="95"/>
        <v>35</v>
      </c>
      <c r="P324" s="31">
        <v>50</v>
      </c>
      <c r="Q324" s="31">
        <v>55</v>
      </c>
      <c r="R324" s="31">
        <v>-60</v>
      </c>
      <c r="S324" s="36">
        <f t="shared" si="96"/>
        <v>55</v>
      </c>
      <c r="T324" s="37">
        <f t="shared" si="97"/>
        <v>90</v>
      </c>
      <c r="U324" s="65">
        <f t="shared" si="98"/>
        <v>-60.400000000000006</v>
      </c>
      <c r="V324" s="41" t="str">
        <f t="shared" si="99"/>
        <v xml:space="preserve">DEB </v>
      </c>
      <c r="W324" s="33">
        <f t="shared" si="100"/>
        <v>-10</v>
      </c>
      <c r="X324" s="40" t="str">
        <f>IF(I324="","",IF(A324="H",IF(OR(H324="SEN",H324&lt;1995),VLOOKUP(I324,Feuil1!$A$11:$F$29,6),IF(AND(H324&gt;1994,H324&lt;1998),VLOOKUP(I324,Feuil1!$A$11:$F$29,5),IF(AND(H324&gt;1997,H324&lt;2000),VLOOKUP(I324,Feuil1!$A$11:$F$29,4),IF(AND(H324&gt;1999,H324&lt;2002),VLOOKUP(I324,Feuil1!$A$11:$F$29,3),VLOOKUP(I324,Feuil1!$A$11:$F$29,2))))),IF(OR(H324="SEN",H324&lt;1995),VLOOKUP(I324,Feuil1!$G$11:$L$25,6),IF(AND(H324&gt;1994,H324&lt;1998),VLOOKUP(I324,Feuil1!$G$11:$L$25,5),IF(AND(H324&gt;1997,H324&lt;2000),VLOOKUP(I324,Feuil1!$G$11:$L$25,4),IF(AND(H324&gt;1999,H324&lt;2002),VLOOKUP(I324,Feuil1!$G$11:$L$25,3),VLOOKUP(I324,Feuil1!$G$11:$L$25,2)))))))</f>
        <v>FS+75</v>
      </c>
      <c r="Y324" s="39">
        <f t="shared" si="101"/>
        <v>107.61220950696193</v>
      </c>
      <c r="Z324" s="45"/>
      <c r="AA324" s="49" t="s">
        <v>12</v>
      </c>
      <c r="AB324" s="3">
        <f>T324-HLOOKUP(X324,Feuil1!$C$1:$BL$10,2,FALSE)</f>
        <v>-10</v>
      </c>
      <c r="AC324" s="3">
        <f>T324-HLOOKUP(X324,Feuil1!$C$1:$BL$10,3,FALSE)</f>
        <v>-20</v>
      </c>
      <c r="AD324" s="3">
        <f>T324-HLOOKUP(X324,Feuil1!$C$1:$BL$10,4,FALSE)</f>
        <v>-35</v>
      </c>
      <c r="AE324" s="3">
        <f>T324-HLOOKUP(X324,Feuil1!$C$1:$BL$10,5,FALSE)</f>
        <v>-50</v>
      </c>
      <c r="AF324" s="3">
        <f>T324-HLOOKUP(X324,Feuil1!$C$1:$BL$10,6,FALSE)</f>
        <v>-60</v>
      </c>
      <c r="AG324" s="3">
        <f>T324-HLOOKUP(X324,Feuil1!$C$1:$BL$10,7,FALSE)</f>
        <v>-80</v>
      </c>
      <c r="AH324" s="3">
        <f>T324-HLOOKUP(X324,Feuil1!$C$1:$BL$10,8,FALSE)</f>
        <v>-100</v>
      </c>
      <c r="AI324" s="3">
        <f>T324-HLOOKUP(X324,Feuil1!$C$1:$BL$10,9,FALSE)</f>
        <v>-120</v>
      </c>
      <c r="AJ324" s="3">
        <f>T324-HLOOKUP(X324,Feuil1!$C$1:$BL$10,10,FALSE)</f>
        <v>-135</v>
      </c>
      <c r="AK324" s="5"/>
      <c r="AL324" s="5"/>
      <c r="AM324" s="5"/>
      <c r="AN324" s="5"/>
      <c r="AO324" s="5"/>
      <c r="AP324" s="5"/>
      <c r="AQ324" s="5" t="str">
        <f t="shared" si="102"/>
        <v xml:space="preserve">DEB </v>
      </c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</row>
    <row r="325" spans="1:55" s="13" customFormat="1" ht="21" hidden="1" x14ac:dyDescent="0.2">
      <c r="A325" s="12" t="s">
        <v>69</v>
      </c>
      <c r="B325" s="18" t="s">
        <v>71</v>
      </c>
      <c r="C325" s="19" t="s">
        <v>801</v>
      </c>
      <c r="D325" s="61">
        <v>18</v>
      </c>
      <c r="E325" s="35">
        <v>378194</v>
      </c>
      <c r="F325" s="20" t="s">
        <v>857</v>
      </c>
      <c r="G325" s="20" t="s">
        <v>858</v>
      </c>
      <c r="H325" s="51">
        <v>1980</v>
      </c>
      <c r="I325" s="30">
        <v>78.900000000000006</v>
      </c>
      <c r="J325" s="19" t="s">
        <v>841</v>
      </c>
      <c r="K325" s="34" t="s">
        <v>69</v>
      </c>
      <c r="L325" s="31">
        <v>35</v>
      </c>
      <c r="M325" s="31">
        <v>-38</v>
      </c>
      <c r="N325" s="31">
        <v>38</v>
      </c>
      <c r="O325" s="36">
        <f t="shared" si="95"/>
        <v>38</v>
      </c>
      <c r="P325" s="31">
        <v>45</v>
      </c>
      <c r="Q325" s="31">
        <v>48</v>
      </c>
      <c r="R325" s="31">
        <v>52</v>
      </c>
      <c r="S325" s="36">
        <f t="shared" si="96"/>
        <v>52</v>
      </c>
      <c r="T325" s="37">
        <f t="shared" si="97"/>
        <v>90</v>
      </c>
      <c r="U325" s="65">
        <f t="shared" si="98"/>
        <v>-67.800000000000011</v>
      </c>
      <c r="V325" s="41" t="str">
        <f t="shared" si="99"/>
        <v xml:space="preserve">DEB </v>
      </c>
      <c r="W325" s="33">
        <f t="shared" si="100"/>
        <v>-10</v>
      </c>
      <c r="X325" s="40" t="str">
        <f>IF(I325="","",IF(A325="H",IF(OR(H325="SEN",H325&lt;1995),VLOOKUP(I325,Feuil1!$A$11:$F$29,6),IF(AND(H325&gt;1994,H325&lt;1998),VLOOKUP(I325,Feuil1!$A$11:$F$29,5),IF(AND(H325&gt;1997,H325&lt;2000),VLOOKUP(I325,Feuil1!$A$11:$F$29,4),IF(AND(H325&gt;1999,H325&lt;2002),VLOOKUP(I325,Feuil1!$A$11:$F$29,3),VLOOKUP(I325,Feuil1!$A$11:$F$29,2))))),IF(OR(H325="SEN",H325&lt;1995),VLOOKUP(I325,Feuil1!$G$11:$L$25,6),IF(AND(H325&gt;1994,H325&lt;1998),VLOOKUP(I325,Feuil1!$G$11:$L$25,5),IF(AND(H325&gt;1997,H325&lt;2000),VLOOKUP(I325,Feuil1!$G$11:$L$25,4),IF(AND(H325&gt;1999,H325&lt;2002),VLOOKUP(I325,Feuil1!$G$11:$L$25,3),VLOOKUP(I325,Feuil1!$G$11:$L$25,2)))))))</f>
        <v>FS+75</v>
      </c>
      <c r="Y325" s="39">
        <f t="shared" si="101"/>
        <v>105.01283460405207</v>
      </c>
      <c r="Z325" s="45"/>
      <c r="AA325" s="49" t="s">
        <v>12</v>
      </c>
      <c r="AB325" s="3">
        <f>T325-HLOOKUP(X325,Feuil1!$C$1:$BL$10,2,FALSE)</f>
        <v>-10</v>
      </c>
      <c r="AC325" s="3">
        <f>T325-HLOOKUP(X325,Feuil1!$C$1:$BL$10,3,FALSE)</f>
        <v>-20</v>
      </c>
      <c r="AD325" s="3">
        <f>T325-HLOOKUP(X325,Feuil1!$C$1:$BL$10,4,FALSE)</f>
        <v>-35</v>
      </c>
      <c r="AE325" s="3">
        <f>T325-HLOOKUP(X325,Feuil1!$C$1:$BL$10,5,FALSE)</f>
        <v>-50</v>
      </c>
      <c r="AF325" s="3">
        <f>T325-HLOOKUP(X325,Feuil1!$C$1:$BL$10,6,FALSE)</f>
        <v>-60</v>
      </c>
      <c r="AG325" s="3">
        <f>T325-HLOOKUP(X325,Feuil1!$C$1:$BL$10,7,FALSE)</f>
        <v>-80</v>
      </c>
      <c r="AH325" s="3">
        <f>T325-HLOOKUP(X325,Feuil1!$C$1:$BL$10,8,FALSE)</f>
        <v>-100</v>
      </c>
      <c r="AI325" s="3">
        <f>T325-HLOOKUP(X325,Feuil1!$C$1:$BL$10,9,FALSE)</f>
        <v>-120</v>
      </c>
      <c r="AJ325" s="3">
        <f>T325-HLOOKUP(X325,Feuil1!$C$1:$BL$10,10,FALSE)</f>
        <v>-135</v>
      </c>
      <c r="AK325" s="5"/>
      <c r="AL325" s="5"/>
      <c r="AM325" s="5"/>
      <c r="AN325" s="5"/>
      <c r="AO325" s="5"/>
      <c r="AP325" s="5"/>
      <c r="AQ325" s="5" t="str">
        <f t="shared" si="102"/>
        <v xml:space="preserve">DEB </v>
      </c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</row>
    <row r="326" spans="1:55" s="13" customFormat="1" ht="21" hidden="1" x14ac:dyDescent="0.2">
      <c r="A326" s="12" t="s">
        <v>69</v>
      </c>
      <c r="B326" s="18" t="s">
        <v>298</v>
      </c>
      <c r="C326" s="19" t="s">
        <v>404</v>
      </c>
      <c r="D326" s="61">
        <v>19</v>
      </c>
      <c r="E326" s="35">
        <v>160407</v>
      </c>
      <c r="F326" s="20" t="s">
        <v>473</v>
      </c>
      <c r="G326" s="20" t="s">
        <v>474</v>
      </c>
      <c r="H326" s="51">
        <v>1994</v>
      </c>
      <c r="I326" s="30">
        <v>90.4</v>
      </c>
      <c r="J326" s="19" t="s">
        <v>475</v>
      </c>
      <c r="K326" s="34" t="s">
        <v>69</v>
      </c>
      <c r="L326" s="31">
        <v>30</v>
      </c>
      <c r="M326" s="31">
        <v>35</v>
      </c>
      <c r="N326" s="31">
        <v>40</v>
      </c>
      <c r="O326" s="36">
        <f t="shared" si="95"/>
        <v>40</v>
      </c>
      <c r="P326" s="31">
        <v>40</v>
      </c>
      <c r="Q326" s="31">
        <v>45</v>
      </c>
      <c r="R326" s="31">
        <v>50</v>
      </c>
      <c r="S326" s="36">
        <f t="shared" si="96"/>
        <v>50</v>
      </c>
      <c r="T326" s="37">
        <f t="shared" si="97"/>
        <v>90</v>
      </c>
      <c r="U326" s="65">
        <f t="shared" si="98"/>
        <v>-90.800000000000011</v>
      </c>
      <c r="V326" s="41" t="str">
        <f t="shared" si="99"/>
        <v xml:space="preserve">DEB </v>
      </c>
      <c r="W326" s="33">
        <f t="shared" si="100"/>
        <v>-10</v>
      </c>
      <c r="X326" s="40" t="str">
        <f>IF(I326="","",IF(A326="H",IF(OR(H326="SEN",H326&lt;1995),VLOOKUP(I326,Feuil1!$A$11:$F$29,6),IF(AND(H326&gt;1994,H326&lt;1998),VLOOKUP(I326,Feuil1!$A$11:$F$29,5),IF(AND(H326&gt;1997,H326&lt;2000),VLOOKUP(I326,Feuil1!$A$11:$F$29,4),IF(AND(H326&gt;1999,H326&lt;2002),VLOOKUP(I326,Feuil1!$A$11:$F$29,3),VLOOKUP(I326,Feuil1!$A$11:$F$29,2))))),IF(OR(H326="SEN",H326&lt;1995),VLOOKUP(I326,Feuil1!$G$11:$L$25,6),IF(AND(H326&gt;1994,H326&lt;1998),VLOOKUP(I326,Feuil1!$G$11:$L$25,5),IF(AND(H326&gt;1997,H326&lt;2000),VLOOKUP(I326,Feuil1!$G$11:$L$25,4),IF(AND(H326&gt;1999,H326&lt;2002),VLOOKUP(I326,Feuil1!$G$11:$L$25,3),VLOOKUP(I326,Feuil1!$G$11:$L$25,2)))))))</f>
        <v>FS+75</v>
      </c>
      <c r="Y326" s="39">
        <f t="shared" si="101"/>
        <v>98.946083570209382</v>
      </c>
      <c r="Z326" s="45"/>
      <c r="AA326" s="49" t="s">
        <v>12</v>
      </c>
      <c r="AB326" s="3">
        <f>T326-HLOOKUP(X326,Feuil1!$C$1:$BL$10,2,FALSE)</f>
        <v>-10</v>
      </c>
      <c r="AC326" s="3">
        <f>T326-HLOOKUP(X326,Feuil1!$C$1:$BL$10,3,FALSE)</f>
        <v>-20</v>
      </c>
      <c r="AD326" s="3">
        <f>T326-HLOOKUP(X326,Feuil1!$C$1:$BL$10,4,FALSE)</f>
        <v>-35</v>
      </c>
      <c r="AE326" s="3">
        <f>T326-HLOOKUP(X326,Feuil1!$C$1:$BL$10,5,FALSE)</f>
        <v>-50</v>
      </c>
      <c r="AF326" s="3">
        <f>T326-HLOOKUP(X326,Feuil1!$C$1:$BL$10,6,FALSE)</f>
        <v>-60</v>
      </c>
      <c r="AG326" s="3">
        <f>T326-HLOOKUP(X326,Feuil1!$C$1:$BL$10,7,FALSE)</f>
        <v>-80</v>
      </c>
      <c r="AH326" s="3">
        <f>T326-HLOOKUP(X326,Feuil1!$C$1:$BL$10,8,FALSE)</f>
        <v>-100</v>
      </c>
      <c r="AI326" s="3">
        <f>T326-HLOOKUP(X326,Feuil1!$C$1:$BL$10,9,FALSE)</f>
        <v>-120</v>
      </c>
      <c r="AJ326" s="3">
        <f>T326-HLOOKUP(X326,Feuil1!$C$1:$BL$10,10,FALSE)</f>
        <v>-135</v>
      </c>
      <c r="AK326" s="5"/>
      <c r="AL326" s="5"/>
      <c r="AM326" s="5"/>
      <c r="AN326" s="5"/>
      <c r="AO326" s="5"/>
      <c r="AP326" s="5"/>
      <c r="AQ326" s="5" t="str">
        <f t="shared" si="102"/>
        <v xml:space="preserve">DEB </v>
      </c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</row>
    <row r="327" spans="1:55" s="13" customFormat="1" ht="21" hidden="1" x14ac:dyDescent="0.2">
      <c r="A327" s="12" t="s">
        <v>69</v>
      </c>
      <c r="B327" s="18" t="s">
        <v>108</v>
      </c>
      <c r="C327" s="19" t="s">
        <v>119</v>
      </c>
      <c r="D327" s="61">
        <v>20</v>
      </c>
      <c r="E327" s="35">
        <v>312822</v>
      </c>
      <c r="F327" s="20" t="s">
        <v>238</v>
      </c>
      <c r="G327" s="20" t="s">
        <v>430</v>
      </c>
      <c r="H327" s="51">
        <v>1992</v>
      </c>
      <c r="I327" s="30">
        <v>77.8</v>
      </c>
      <c r="J327" s="19" t="s">
        <v>161</v>
      </c>
      <c r="K327" s="34" t="s">
        <v>69</v>
      </c>
      <c r="L327" s="31">
        <v>35</v>
      </c>
      <c r="M327" s="31">
        <v>38</v>
      </c>
      <c r="N327" s="31">
        <v>-41</v>
      </c>
      <c r="O327" s="36">
        <f t="shared" si="95"/>
        <v>38</v>
      </c>
      <c r="P327" s="31">
        <v>48</v>
      </c>
      <c r="Q327" s="31">
        <v>51</v>
      </c>
      <c r="R327" s="31">
        <v>-53</v>
      </c>
      <c r="S327" s="36">
        <f t="shared" si="96"/>
        <v>51</v>
      </c>
      <c r="T327" s="37">
        <f t="shared" si="97"/>
        <v>89</v>
      </c>
      <c r="U327" s="65">
        <f t="shared" si="98"/>
        <v>-66.599999999999994</v>
      </c>
      <c r="V327" s="41" t="str">
        <f t="shared" si="99"/>
        <v xml:space="preserve">DEB </v>
      </c>
      <c r="W327" s="33">
        <f t="shared" si="100"/>
        <v>-11</v>
      </c>
      <c r="X327" s="40" t="str">
        <f>IF(I327="","",IF(A327="H",IF(OR(H327="SEN",H327&lt;1995),VLOOKUP(I327,Feuil1!$A$11:$F$29,6),IF(AND(H327&gt;1994,H327&lt;1998),VLOOKUP(I327,Feuil1!$A$11:$F$29,5),IF(AND(H327&gt;1997,H327&lt;2000),VLOOKUP(I327,Feuil1!$A$11:$F$29,4),IF(AND(H327&gt;1999,H327&lt;2002),VLOOKUP(I327,Feuil1!$A$11:$F$29,3),VLOOKUP(I327,Feuil1!$A$11:$F$29,2))))),IF(OR(H327="SEN",H327&lt;1995),VLOOKUP(I327,Feuil1!$G$11:$L$25,6),IF(AND(H327&gt;1994,H327&lt;1998),VLOOKUP(I327,Feuil1!$G$11:$L$25,5),IF(AND(H327&gt;1997,H327&lt;2000),VLOOKUP(I327,Feuil1!$G$11:$L$25,4),IF(AND(H327&gt;1999,H327&lt;2002),VLOOKUP(I327,Feuil1!$G$11:$L$25,3),VLOOKUP(I327,Feuil1!$G$11:$L$25,2)))))))</f>
        <v>FS+75</v>
      </c>
      <c r="Y327" s="39">
        <f t="shared" si="101"/>
        <v>104.57147627788214</v>
      </c>
      <c r="Z327" s="45"/>
      <c r="AA327" s="49" t="s">
        <v>12</v>
      </c>
      <c r="AB327" s="3">
        <f>T327-HLOOKUP(X327,Feuil1!$C$1:$BL$10,2,FALSE)</f>
        <v>-11</v>
      </c>
      <c r="AC327" s="3">
        <f>T327-HLOOKUP(X327,Feuil1!$C$1:$BL$10,3,FALSE)</f>
        <v>-21</v>
      </c>
      <c r="AD327" s="3">
        <f>T327-HLOOKUP(X327,Feuil1!$C$1:$BL$10,4,FALSE)</f>
        <v>-36</v>
      </c>
      <c r="AE327" s="3">
        <f>T327-HLOOKUP(X327,Feuil1!$C$1:$BL$10,5,FALSE)</f>
        <v>-51</v>
      </c>
      <c r="AF327" s="3">
        <f>T327-HLOOKUP(X327,Feuil1!$C$1:$BL$10,6,FALSE)</f>
        <v>-61</v>
      </c>
      <c r="AG327" s="3">
        <f>T327-HLOOKUP(X327,Feuil1!$C$1:$BL$10,7,FALSE)</f>
        <v>-81</v>
      </c>
      <c r="AH327" s="3">
        <f>T327-HLOOKUP(X327,Feuil1!$C$1:$BL$10,8,FALSE)</f>
        <v>-101</v>
      </c>
      <c r="AI327" s="3">
        <f>T327-HLOOKUP(X327,Feuil1!$C$1:$BL$10,9,FALSE)</f>
        <v>-121</v>
      </c>
      <c r="AJ327" s="3">
        <f>T327-HLOOKUP(X327,Feuil1!$C$1:$BL$10,10,FALSE)</f>
        <v>-136</v>
      </c>
      <c r="AK327" s="5"/>
      <c r="AL327" s="5"/>
      <c r="AM327" s="5"/>
      <c r="AN327" s="5"/>
      <c r="AO327" s="5"/>
      <c r="AP327" s="5"/>
      <c r="AQ327" s="5" t="str">
        <f t="shared" si="102"/>
        <v xml:space="preserve">DEB </v>
      </c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</row>
    <row r="328" spans="1:55" s="13" customFormat="1" ht="21" hidden="1" x14ac:dyDescent="0.2">
      <c r="A328" s="12" t="s">
        <v>69</v>
      </c>
      <c r="B328" s="18" t="s">
        <v>536</v>
      </c>
      <c r="C328" s="19" t="s">
        <v>541</v>
      </c>
      <c r="D328" s="61">
        <v>21</v>
      </c>
      <c r="E328" s="35">
        <v>390209</v>
      </c>
      <c r="F328" s="20" t="s">
        <v>638</v>
      </c>
      <c r="G328" s="20" t="s">
        <v>421</v>
      </c>
      <c r="H328" s="51">
        <v>1990</v>
      </c>
      <c r="I328" s="30">
        <v>91</v>
      </c>
      <c r="J328" s="19" t="s">
        <v>544</v>
      </c>
      <c r="K328" s="34" t="s">
        <v>69</v>
      </c>
      <c r="L328" s="31">
        <v>30</v>
      </c>
      <c r="M328" s="31">
        <v>32</v>
      </c>
      <c r="N328" s="31">
        <v>35</v>
      </c>
      <c r="O328" s="36">
        <f t="shared" si="95"/>
        <v>35</v>
      </c>
      <c r="P328" s="31">
        <v>40</v>
      </c>
      <c r="Q328" s="31">
        <v>43</v>
      </c>
      <c r="R328" s="31">
        <v>46</v>
      </c>
      <c r="S328" s="36">
        <f t="shared" si="96"/>
        <v>46</v>
      </c>
      <c r="T328" s="37">
        <f t="shared" si="97"/>
        <v>81</v>
      </c>
      <c r="U328" s="65">
        <f t="shared" si="98"/>
        <v>-101</v>
      </c>
      <c r="V328" s="41" t="str">
        <f t="shared" si="99"/>
        <v xml:space="preserve">DEB </v>
      </c>
      <c r="W328" s="33">
        <f t="shared" si="100"/>
        <v>-19</v>
      </c>
      <c r="X328" s="40" t="str">
        <f>IF(I328="","",IF(A328="H",IF(OR(H328="SEN",H328&lt;1995),VLOOKUP(I328,Feuil1!$A$11:$F$29,6),IF(AND(H328&gt;1994,H328&lt;1998),VLOOKUP(I328,Feuil1!$A$11:$F$29,5),IF(AND(H328&gt;1997,H328&lt;2000),VLOOKUP(I328,Feuil1!$A$11:$F$29,4),IF(AND(H328&gt;1999,H328&lt;2002),VLOOKUP(I328,Feuil1!$A$11:$F$29,3),VLOOKUP(I328,Feuil1!$A$11:$F$29,2))))),IF(OR(H328="SEN",H328&lt;1995),VLOOKUP(I328,Feuil1!$G$11:$L$25,6),IF(AND(H328&gt;1994,H328&lt;1998),VLOOKUP(I328,Feuil1!$G$11:$L$25,5),IF(AND(H328&gt;1997,H328&lt;2000),VLOOKUP(I328,Feuil1!$G$11:$L$25,4),IF(AND(H328&gt;1999,H328&lt;2002),VLOOKUP(I328,Feuil1!$G$11:$L$25,3),VLOOKUP(I328,Feuil1!$G$11:$L$25,2)))))))</f>
        <v>FS+75</v>
      </c>
      <c r="Y328" s="39">
        <f t="shared" si="101"/>
        <v>88.826868820722268</v>
      </c>
      <c r="Z328" s="45"/>
      <c r="AA328" s="49" t="s">
        <v>12</v>
      </c>
      <c r="AB328" s="3">
        <f>T328-HLOOKUP(X328,Feuil1!$C$1:$BL$10,2,FALSE)</f>
        <v>-19</v>
      </c>
      <c r="AC328" s="3">
        <f>T328-HLOOKUP(X328,Feuil1!$C$1:$BL$10,3,FALSE)</f>
        <v>-29</v>
      </c>
      <c r="AD328" s="3">
        <f>T328-HLOOKUP(X328,Feuil1!$C$1:$BL$10,4,FALSE)</f>
        <v>-44</v>
      </c>
      <c r="AE328" s="3">
        <f>T328-HLOOKUP(X328,Feuil1!$C$1:$BL$10,5,FALSE)</f>
        <v>-59</v>
      </c>
      <c r="AF328" s="3">
        <f>T328-HLOOKUP(X328,Feuil1!$C$1:$BL$10,6,FALSE)</f>
        <v>-69</v>
      </c>
      <c r="AG328" s="3">
        <f>T328-HLOOKUP(X328,Feuil1!$C$1:$BL$10,7,FALSE)</f>
        <v>-89</v>
      </c>
      <c r="AH328" s="3">
        <f>T328-HLOOKUP(X328,Feuil1!$C$1:$BL$10,8,FALSE)</f>
        <v>-109</v>
      </c>
      <c r="AI328" s="3">
        <f>T328-HLOOKUP(X328,Feuil1!$C$1:$BL$10,9,FALSE)</f>
        <v>-129</v>
      </c>
      <c r="AJ328" s="3">
        <f>T328-HLOOKUP(X328,Feuil1!$C$1:$BL$10,10,FALSE)</f>
        <v>-144</v>
      </c>
      <c r="AK328" s="5"/>
      <c r="AL328" s="5"/>
      <c r="AM328" s="5"/>
      <c r="AN328" s="5"/>
      <c r="AO328" s="5"/>
      <c r="AP328" s="5"/>
      <c r="AQ328" s="5" t="str">
        <f t="shared" si="102"/>
        <v xml:space="preserve">DEB </v>
      </c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</row>
    <row r="329" spans="1:55" s="13" customFormat="1" ht="21" hidden="1" x14ac:dyDescent="0.2">
      <c r="A329" s="12" t="s">
        <v>69</v>
      </c>
      <c r="B329" s="18" t="s">
        <v>108</v>
      </c>
      <c r="C329" s="19" t="s">
        <v>119</v>
      </c>
      <c r="D329" s="61">
        <v>22</v>
      </c>
      <c r="E329" s="35">
        <v>689</v>
      </c>
      <c r="F329" s="20" t="s">
        <v>239</v>
      </c>
      <c r="G329" s="20" t="s">
        <v>240</v>
      </c>
      <c r="H329" s="51">
        <v>1962</v>
      </c>
      <c r="I329" s="30">
        <v>94.4</v>
      </c>
      <c r="J329" s="19" t="s">
        <v>122</v>
      </c>
      <c r="K329" s="34" t="s">
        <v>69</v>
      </c>
      <c r="L329" s="31">
        <v>31</v>
      </c>
      <c r="M329" s="31">
        <v>34</v>
      </c>
      <c r="N329" s="31">
        <v>36</v>
      </c>
      <c r="O329" s="36">
        <f t="shared" si="95"/>
        <v>36</v>
      </c>
      <c r="P329" s="31">
        <v>38</v>
      </c>
      <c r="Q329" s="31">
        <v>42</v>
      </c>
      <c r="R329" s="31">
        <v>45</v>
      </c>
      <c r="S329" s="36">
        <f t="shared" si="96"/>
        <v>45</v>
      </c>
      <c r="T329" s="37">
        <f t="shared" si="97"/>
        <v>81</v>
      </c>
      <c r="U329" s="65">
        <f t="shared" si="98"/>
        <v>-107.80000000000001</v>
      </c>
      <c r="V329" s="41" t="str">
        <f t="shared" si="99"/>
        <v xml:space="preserve">DEB </v>
      </c>
      <c r="W329" s="33">
        <f t="shared" si="100"/>
        <v>-19</v>
      </c>
      <c r="X329" s="40" t="str">
        <f>IF(I329="","",IF(A329="H",IF(OR(H329="SEN",H329&lt;1995),VLOOKUP(I329,Feuil1!$A$11:$F$29,6),IF(AND(H329&gt;1994,H329&lt;1998),VLOOKUP(I329,Feuil1!$A$11:$F$29,5),IF(AND(H329&gt;1997,H329&lt;2000),VLOOKUP(I329,Feuil1!$A$11:$F$29,4),IF(AND(H329&gt;1999,H329&lt;2002),VLOOKUP(I329,Feuil1!$A$11:$F$29,3),VLOOKUP(I329,Feuil1!$A$11:$F$29,2))))),IF(OR(H329="SEN",H329&lt;1995),VLOOKUP(I329,Feuil1!$G$11:$L$25,6),IF(AND(H329&gt;1994,H329&lt;1998),VLOOKUP(I329,Feuil1!$G$11:$L$25,5),IF(AND(H329&gt;1997,H329&lt;2000),VLOOKUP(I329,Feuil1!$G$11:$L$25,4),IF(AND(H329&gt;1999,H329&lt;2002),VLOOKUP(I329,Feuil1!$G$11:$L$25,3),VLOOKUP(I329,Feuil1!$G$11:$L$25,2)))))))</f>
        <v>FS+75</v>
      </c>
      <c r="Y329" s="39">
        <f t="shared" si="101"/>
        <v>87.645890315606152</v>
      </c>
      <c r="Z329" s="45"/>
      <c r="AA329" s="49" t="s">
        <v>12</v>
      </c>
      <c r="AB329" s="3">
        <f>T329-HLOOKUP(X329,Feuil1!$C$1:$BL$10,2,FALSE)</f>
        <v>-19</v>
      </c>
      <c r="AC329" s="3">
        <f>T329-HLOOKUP(X329,Feuil1!$C$1:$BL$10,3,FALSE)</f>
        <v>-29</v>
      </c>
      <c r="AD329" s="3">
        <f>T329-HLOOKUP(X329,Feuil1!$C$1:$BL$10,4,FALSE)</f>
        <v>-44</v>
      </c>
      <c r="AE329" s="3">
        <f>T329-HLOOKUP(X329,Feuil1!$C$1:$BL$10,5,FALSE)</f>
        <v>-59</v>
      </c>
      <c r="AF329" s="3">
        <f>T329-HLOOKUP(X329,Feuil1!$C$1:$BL$10,6,FALSE)</f>
        <v>-69</v>
      </c>
      <c r="AG329" s="3">
        <f>T329-HLOOKUP(X329,Feuil1!$C$1:$BL$10,7,FALSE)</f>
        <v>-89</v>
      </c>
      <c r="AH329" s="3">
        <f>T329-HLOOKUP(X329,Feuil1!$C$1:$BL$10,8,FALSE)</f>
        <v>-109</v>
      </c>
      <c r="AI329" s="3">
        <f>T329-HLOOKUP(X329,Feuil1!$C$1:$BL$10,9,FALSE)</f>
        <v>-129</v>
      </c>
      <c r="AJ329" s="3">
        <f>T329-HLOOKUP(X329,Feuil1!$C$1:$BL$10,10,FALSE)</f>
        <v>-144</v>
      </c>
      <c r="AK329" s="5"/>
      <c r="AL329" s="5"/>
      <c r="AM329" s="5"/>
      <c r="AN329" s="5"/>
      <c r="AO329" s="5"/>
      <c r="AP329" s="5"/>
      <c r="AQ329" s="5" t="str">
        <f t="shared" si="102"/>
        <v xml:space="preserve">DEB </v>
      </c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</row>
    <row r="330" spans="1:55" s="13" customFormat="1" ht="21" hidden="1" x14ac:dyDescent="0.2">
      <c r="A330" s="12" t="s">
        <v>69</v>
      </c>
      <c r="B330" s="18" t="s">
        <v>298</v>
      </c>
      <c r="C330" s="19" t="s">
        <v>299</v>
      </c>
      <c r="D330" s="61">
        <v>23</v>
      </c>
      <c r="E330" s="35">
        <v>384463</v>
      </c>
      <c r="F330" s="20" t="s">
        <v>400</v>
      </c>
      <c r="G330" s="20" t="s">
        <v>401</v>
      </c>
      <c r="H330" s="51">
        <v>1994</v>
      </c>
      <c r="I330" s="30">
        <v>75.8</v>
      </c>
      <c r="J330" s="19" t="s">
        <v>349</v>
      </c>
      <c r="K330" s="34" t="s">
        <v>69</v>
      </c>
      <c r="L330" s="31">
        <v>35</v>
      </c>
      <c r="M330" s="31">
        <v>-40</v>
      </c>
      <c r="N330" s="31">
        <v>-40</v>
      </c>
      <c r="O330" s="36">
        <f t="shared" si="95"/>
        <v>35</v>
      </c>
      <c r="P330" s="31">
        <v>35</v>
      </c>
      <c r="Q330" s="31">
        <v>40</v>
      </c>
      <c r="R330" s="31">
        <v>45</v>
      </c>
      <c r="S330" s="36">
        <f t="shared" si="96"/>
        <v>45</v>
      </c>
      <c r="T330" s="37">
        <f t="shared" si="97"/>
        <v>80</v>
      </c>
      <c r="U330" s="65">
        <f t="shared" si="98"/>
        <v>-71.599999999999994</v>
      </c>
      <c r="V330" s="41" t="str">
        <f t="shared" si="99"/>
        <v xml:space="preserve">DEB </v>
      </c>
      <c r="W330" s="33">
        <f t="shared" si="100"/>
        <v>-20</v>
      </c>
      <c r="X330" s="40" t="str">
        <f>IF(I330="","",IF(A330="H",IF(OR(H330="SEN",H330&lt;1995),VLOOKUP(I330,Feuil1!$A$11:$F$29,6),IF(AND(H330&gt;1994,H330&lt;1998),VLOOKUP(I330,Feuil1!$A$11:$F$29,5),IF(AND(H330&gt;1997,H330&lt;2000),VLOOKUP(I330,Feuil1!$A$11:$F$29,4),IF(AND(H330&gt;1999,H330&lt;2002),VLOOKUP(I330,Feuil1!$A$11:$F$29,3),VLOOKUP(I330,Feuil1!$A$11:$F$29,2))))),IF(OR(H330="SEN",H330&lt;1995),VLOOKUP(I330,Feuil1!$G$11:$L$25,6),IF(AND(H330&gt;1994,H330&lt;1998),VLOOKUP(I330,Feuil1!$G$11:$L$25,5),IF(AND(H330&gt;1997,H330&lt;2000),VLOOKUP(I330,Feuil1!$G$11:$L$25,4),IF(AND(H330&gt;1999,H330&lt;2002),VLOOKUP(I330,Feuil1!$G$11:$L$25,3),VLOOKUP(I330,Feuil1!$G$11:$L$25,2)))))))</f>
        <v>FS+75</v>
      </c>
      <c r="Y330" s="39">
        <f t="shared" si="101"/>
        <v>95.257255910451676</v>
      </c>
      <c r="Z330" s="45"/>
      <c r="AA330" s="49" t="s">
        <v>12</v>
      </c>
      <c r="AB330" s="3">
        <f>T330-HLOOKUP(X330,Feuil1!$C$1:$BL$10,2,FALSE)</f>
        <v>-20</v>
      </c>
      <c r="AC330" s="3">
        <f>T330-HLOOKUP(X330,Feuil1!$C$1:$BL$10,3,FALSE)</f>
        <v>-30</v>
      </c>
      <c r="AD330" s="3">
        <f>T330-HLOOKUP(X330,Feuil1!$C$1:$BL$10,4,FALSE)</f>
        <v>-45</v>
      </c>
      <c r="AE330" s="3">
        <f>T330-HLOOKUP(X330,Feuil1!$C$1:$BL$10,5,FALSE)</f>
        <v>-60</v>
      </c>
      <c r="AF330" s="3">
        <f>T330-HLOOKUP(X330,Feuil1!$C$1:$BL$10,6,FALSE)</f>
        <v>-70</v>
      </c>
      <c r="AG330" s="3">
        <f>T330-HLOOKUP(X330,Feuil1!$C$1:$BL$10,7,FALSE)</f>
        <v>-90</v>
      </c>
      <c r="AH330" s="3">
        <f>T330-HLOOKUP(X330,Feuil1!$C$1:$BL$10,8,FALSE)</f>
        <v>-110</v>
      </c>
      <c r="AI330" s="3">
        <f>T330-HLOOKUP(X330,Feuil1!$C$1:$BL$10,9,FALSE)</f>
        <v>-130</v>
      </c>
      <c r="AJ330" s="3">
        <f>T330-HLOOKUP(X330,Feuil1!$C$1:$BL$10,10,FALSE)</f>
        <v>-145</v>
      </c>
      <c r="AK330" s="5"/>
      <c r="AL330" s="5"/>
      <c r="AM330" s="5"/>
      <c r="AN330" s="5"/>
      <c r="AO330" s="5"/>
      <c r="AP330" s="5"/>
      <c r="AQ330" s="5" t="str">
        <f t="shared" si="102"/>
        <v xml:space="preserve">DEB </v>
      </c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</row>
    <row r="331" spans="1:55" s="13" customFormat="1" ht="21" hidden="1" x14ac:dyDescent="0.2">
      <c r="A331" s="12" t="s">
        <v>69</v>
      </c>
      <c r="B331" s="67" t="s">
        <v>71</v>
      </c>
      <c r="C331" s="68" t="s">
        <v>72</v>
      </c>
      <c r="D331" s="69">
        <v>24</v>
      </c>
      <c r="E331" s="70">
        <v>328836</v>
      </c>
      <c r="F331" s="71" t="s">
        <v>958</v>
      </c>
      <c r="G331" s="71" t="s">
        <v>426</v>
      </c>
      <c r="H331" s="72">
        <v>1994</v>
      </c>
      <c r="I331" s="73">
        <v>75.45</v>
      </c>
      <c r="J331" s="68" t="s">
        <v>959</v>
      </c>
      <c r="K331" s="74" t="s">
        <v>69</v>
      </c>
      <c r="L331" s="75">
        <v>32</v>
      </c>
      <c r="M331" s="75">
        <v>35</v>
      </c>
      <c r="N331" s="75">
        <v>-37</v>
      </c>
      <c r="O331" s="76">
        <f t="shared" si="95"/>
        <v>35</v>
      </c>
      <c r="P331" s="75">
        <v>40</v>
      </c>
      <c r="Q331" s="75">
        <v>-44</v>
      </c>
      <c r="R331" s="75">
        <v>44</v>
      </c>
      <c r="S331" s="76">
        <f t="shared" si="96"/>
        <v>44</v>
      </c>
      <c r="T331" s="77">
        <f t="shared" si="97"/>
        <v>79</v>
      </c>
      <c r="U331" s="78">
        <f t="shared" si="98"/>
        <v>-71.900000000000006</v>
      </c>
      <c r="V331" s="79" t="str">
        <f t="shared" si="99"/>
        <v xml:space="preserve">DEB </v>
      </c>
      <c r="W331" s="80">
        <f t="shared" si="100"/>
        <v>-21</v>
      </c>
      <c r="X331" s="81" t="str">
        <f>IF(I331="","",IF(A331="H",IF(OR(H331="SEN",H331&lt;1995),VLOOKUP(I331,Feuil1!$A$11:$F$29,6),IF(AND(H331&gt;1994,H331&lt;1998),VLOOKUP(I331,Feuil1!$A$11:$F$29,5),IF(AND(H331&gt;1997,H331&lt;2000),VLOOKUP(I331,Feuil1!$A$11:$F$29,4),IF(AND(H331&gt;1999,H331&lt;2002),VLOOKUP(I331,Feuil1!$A$11:$F$29,3),VLOOKUP(I331,Feuil1!$A$11:$F$29,2))))),IF(OR(H331="SEN",H331&lt;1995),VLOOKUP(I331,Feuil1!$G$11:$L$25,6),IF(AND(H331&gt;1994,H331&lt;1998),VLOOKUP(I331,Feuil1!$G$11:$L$25,5),IF(AND(H331&gt;1997,H331&lt;2000),VLOOKUP(I331,Feuil1!$G$11:$L$25,4),IF(AND(H331&gt;1999,H331&lt;2002),VLOOKUP(I331,Feuil1!$G$11:$L$25,3),VLOOKUP(I331,Feuil1!$G$11:$L$25,2)))))))</f>
        <v>FS+75</v>
      </c>
      <c r="Y331" s="39">
        <f t="shared" si="101"/>
        <v>94.294685119560924</v>
      </c>
      <c r="Z331" s="45"/>
      <c r="AA331" s="49" t="s">
        <v>12</v>
      </c>
      <c r="AB331" s="3">
        <f>T331-HLOOKUP(X331,Feuil1!$C$1:$BL$10,2,FALSE)</f>
        <v>-21</v>
      </c>
      <c r="AC331" s="3">
        <f>T331-HLOOKUP(X331,Feuil1!$C$1:$BL$10,3,FALSE)</f>
        <v>-31</v>
      </c>
      <c r="AD331" s="3">
        <f>T331-HLOOKUP(X331,Feuil1!$C$1:$BL$10,4,FALSE)</f>
        <v>-46</v>
      </c>
      <c r="AE331" s="3">
        <f>T331-HLOOKUP(X331,Feuil1!$C$1:$BL$10,5,FALSE)</f>
        <v>-61</v>
      </c>
      <c r="AF331" s="3">
        <f>T331-HLOOKUP(X331,Feuil1!$C$1:$BL$10,6,FALSE)</f>
        <v>-71</v>
      </c>
      <c r="AG331" s="3">
        <f>T331-HLOOKUP(X331,Feuil1!$C$1:$BL$10,7,FALSE)</f>
        <v>-91</v>
      </c>
      <c r="AH331" s="3">
        <f>T331-HLOOKUP(X331,Feuil1!$C$1:$BL$10,8,FALSE)</f>
        <v>-111</v>
      </c>
      <c r="AI331" s="3">
        <f>T331-HLOOKUP(X331,Feuil1!$C$1:$BL$10,9,FALSE)</f>
        <v>-131</v>
      </c>
      <c r="AJ331" s="3">
        <f>T331-HLOOKUP(X331,Feuil1!$C$1:$BL$10,10,FALSE)</f>
        <v>-146</v>
      </c>
      <c r="AK331" s="5"/>
      <c r="AL331" s="5"/>
      <c r="AM331" s="5"/>
      <c r="AN331" s="5"/>
      <c r="AO331" s="5"/>
      <c r="AP331" s="5"/>
      <c r="AQ331" s="5" t="str">
        <f t="shared" si="102"/>
        <v xml:space="preserve">DEB </v>
      </c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</row>
    <row r="332" spans="1:55" s="13" customFormat="1" ht="21" hidden="1" x14ac:dyDescent="0.2">
      <c r="A332" s="12" t="s">
        <v>69</v>
      </c>
      <c r="B332" s="18" t="s">
        <v>536</v>
      </c>
      <c r="C332" s="19" t="s">
        <v>541</v>
      </c>
      <c r="D332" s="61">
        <v>25</v>
      </c>
      <c r="E332" s="35">
        <v>389305</v>
      </c>
      <c r="F332" s="20" t="s">
        <v>639</v>
      </c>
      <c r="G332" s="20" t="s">
        <v>640</v>
      </c>
      <c r="H332" s="51">
        <v>1991</v>
      </c>
      <c r="I332" s="30">
        <v>83.8</v>
      </c>
      <c r="J332" s="19" t="s">
        <v>544</v>
      </c>
      <c r="K332" s="34" t="s">
        <v>69</v>
      </c>
      <c r="L332" s="31">
        <v>30</v>
      </c>
      <c r="M332" s="31">
        <v>32</v>
      </c>
      <c r="N332" s="31">
        <v>-35</v>
      </c>
      <c r="O332" s="36">
        <f t="shared" si="95"/>
        <v>32</v>
      </c>
      <c r="P332" s="31">
        <v>40</v>
      </c>
      <c r="Q332" s="31">
        <v>43</v>
      </c>
      <c r="R332" s="31">
        <v>46</v>
      </c>
      <c r="S332" s="36">
        <f t="shared" si="96"/>
        <v>46</v>
      </c>
      <c r="T332" s="37">
        <f t="shared" si="97"/>
        <v>78</v>
      </c>
      <c r="U332" s="65">
        <f t="shared" si="98"/>
        <v>-89.6</v>
      </c>
      <c r="V332" s="41" t="str">
        <f t="shared" si="99"/>
        <v xml:space="preserve">DEB </v>
      </c>
      <c r="W332" s="33">
        <f t="shared" si="100"/>
        <v>-22</v>
      </c>
      <c r="X332" s="40" t="str">
        <f>IF(I332="","",IF(A332="H",IF(OR(H332="SEN",H332&lt;1995),VLOOKUP(I332,Feuil1!$A$11:$F$29,6),IF(AND(H332&gt;1994,H332&lt;1998),VLOOKUP(I332,Feuil1!$A$11:$F$29,5),IF(AND(H332&gt;1997,H332&lt;2000),VLOOKUP(I332,Feuil1!$A$11:$F$29,4),IF(AND(H332&gt;1999,H332&lt;2002),VLOOKUP(I332,Feuil1!$A$11:$F$29,3),VLOOKUP(I332,Feuil1!$A$11:$F$29,2))))),IF(OR(H332="SEN",H332&lt;1995),VLOOKUP(I332,Feuil1!$G$11:$L$25,6),IF(AND(H332&gt;1994,H332&lt;1998),VLOOKUP(I332,Feuil1!$G$11:$L$25,5),IF(AND(H332&gt;1997,H332&lt;2000),VLOOKUP(I332,Feuil1!$G$11:$L$25,4),IF(AND(H332&gt;1999,H332&lt;2002),VLOOKUP(I332,Feuil1!$G$11:$L$25,3),VLOOKUP(I332,Feuil1!$G$11:$L$25,2)))))))</f>
        <v>FS+75</v>
      </c>
      <c r="Y332" s="39">
        <f t="shared" si="101"/>
        <v>88.486547338360879</v>
      </c>
      <c r="Z332" s="45"/>
      <c r="AA332" s="49" t="s">
        <v>12</v>
      </c>
      <c r="AB332" s="3">
        <f>T332-HLOOKUP(X332,Feuil1!$C$1:$BL$10,2,FALSE)</f>
        <v>-22</v>
      </c>
      <c r="AC332" s="3">
        <f>T332-HLOOKUP(X332,Feuil1!$C$1:$BL$10,3,FALSE)</f>
        <v>-32</v>
      </c>
      <c r="AD332" s="3">
        <f>T332-HLOOKUP(X332,Feuil1!$C$1:$BL$10,4,FALSE)</f>
        <v>-47</v>
      </c>
      <c r="AE332" s="3">
        <f>T332-HLOOKUP(X332,Feuil1!$C$1:$BL$10,5,FALSE)</f>
        <v>-62</v>
      </c>
      <c r="AF332" s="3">
        <f>T332-HLOOKUP(X332,Feuil1!$C$1:$BL$10,6,FALSE)</f>
        <v>-72</v>
      </c>
      <c r="AG332" s="3">
        <f>T332-HLOOKUP(X332,Feuil1!$C$1:$BL$10,7,FALSE)</f>
        <v>-92</v>
      </c>
      <c r="AH332" s="3">
        <f>T332-HLOOKUP(X332,Feuil1!$C$1:$BL$10,8,FALSE)</f>
        <v>-112</v>
      </c>
      <c r="AI332" s="3">
        <f>T332-HLOOKUP(X332,Feuil1!$C$1:$BL$10,9,FALSE)</f>
        <v>-132</v>
      </c>
      <c r="AJ332" s="3">
        <f>T332-HLOOKUP(X332,Feuil1!$C$1:$BL$10,10,FALSE)</f>
        <v>-147</v>
      </c>
      <c r="AK332" s="5"/>
      <c r="AL332" s="5"/>
      <c r="AM332" s="5"/>
      <c r="AN332" s="5"/>
      <c r="AO332" s="5"/>
      <c r="AP332" s="5"/>
      <c r="AQ332" s="5" t="str">
        <f t="shared" si="102"/>
        <v xml:space="preserve">DEB </v>
      </c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</row>
    <row r="333" spans="1:55" s="13" customFormat="1" ht="21" hidden="1" x14ac:dyDescent="0.2">
      <c r="A333" s="12" t="s">
        <v>69</v>
      </c>
      <c r="B333" s="18" t="s">
        <v>298</v>
      </c>
      <c r="C333" s="19" t="s">
        <v>299</v>
      </c>
      <c r="D333" s="61">
        <v>26</v>
      </c>
      <c r="E333" s="35">
        <v>373878</v>
      </c>
      <c r="F333" s="20" t="s">
        <v>402</v>
      </c>
      <c r="G333" s="20" t="s">
        <v>403</v>
      </c>
      <c r="H333" s="51">
        <v>1985</v>
      </c>
      <c r="I333" s="30">
        <v>83.87</v>
      </c>
      <c r="J333" s="19" t="s">
        <v>362</v>
      </c>
      <c r="K333" s="34" t="s">
        <v>69</v>
      </c>
      <c r="L333" s="31">
        <v>25</v>
      </c>
      <c r="M333" s="31">
        <v>30</v>
      </c>
      <c r="N333" s="31">
        <v>-35</v>
      </c>
      <c r="O333" s="36">
        <f t="shared" si="95"/>
        <v>30</v>
      </c>
      <c r="P333" s="31">
        <v>35</v>
      </c>
      <c r="Q333" s="31">
        <v>40</v>
      </c>
      <c r="R333" s="31">
        <v>45</v>
      </c>
      <c r="S333" s="36">
        <f t="shared" si="96"/>
        <v>45</v>
      </c>
      <c r="T333" s="37">
        <f t="shared" si="97"/>
        <v>75</v>
      </c>
      <c r="U333" s="65">
        <f t="shared" si="98"/>
        <v>-92.740000000000009</v>
      </c>
      <c r="V333" s="41" t="str">
        <f t="shared" si="99"/>
        <v xml:space="preserve">DEB </v>
      </c>
      <c r="W333" s="33">
        <f t="shared" si="100"/>
        <v>-25</v>
      </c>
      <c r="X333" s="40" t="str">
        <f>IF(I333="","",IF(A333="H",IF(OR(H333="SEN",H333&lt;1995),VLOOKUP(I333,Feuil1!$A$11:$F$29,6),IF(AND(H333&gt;1994,H333&lt;1998),VLOOKUP(I333,Feuil1!$A$11:$F$29,5),IF(AND(H333&gt;1997,H333&lt;2000),VLOOKUP(I333,Feuil1!$A$11:$F$29,4),IF(AND(H333&gt;1999,H333&lt;2002),VLOOKUP(I333,Feuil1!$A$11:$F$29,3),VLOOKUP(I333,Feuil1!$A$11:$F$29,2))))),IF(OR(H333="SEN",H333&lt;1995),VLOOKUP(I333,Feuil1!$G$11:$L$25,6),IF(AND(H333&gt;1994,H333&lt;1998),VLOOKUP(I333,Feuil1!$G$11:$L$25,5),IF(AND(H333&gt;1997,H333&lt;2000),VLOOKUP(I333,Feuil1!$G$11:$L$25,4),IF(AND(H333&gt;1999,H333&lt;2002),VLOOKUP(I333,Feuil1!$G$11:$L$25,3),VLOOKUP(I333,Feuil1!$G$11:$L$25,2)))))))</f>
        <v>FS+75</v>
      </c>
      <c r="Y333" s="39">
        <f t="shared" si="101"/>
        <v>85.051746306804489</v>
      </c>
      <c r="Z333" s="45"/>
      <c r="AA333" s="49" t="s">
        <v>12</v>
      </c>
      <c r="AB333" s="3">
        <f>T333-HLOOKUP(X333,Feuil1!$C$1:$BL$10,2,FALSE)</f>
        <v>-25</v>
      </c>
      <c r="AC333" s="3">
        <f>T333-HLOOKUP(X333,Feuil1!$C$1:$BL$10,3,FALSE)</f>
        <v>-35</v>
      </c>
      <c r="AD333" s="3">
        <f>T333-HLOOKUP(X333,Feuil1!$C$1:$BL$10,4,FALSE)</f>
        <v>-50</v>
      </c>
      <c r="AE333" s="3">
        <f>T333-HLOOKUP(X333,Feuil1!$C$1:$BL$10,5,FALSE)</f>
        <v>-65</v>
      </c>
      <c r="AF333" s="3">
        <f>T333-HLOOKUP(X333,Feuil1!$C$1:$BL$10,6,FALSE)</f>
        <v>-75</v>
      </c>
      <c r="AG333" s="3">
        <f>T333-HLOOKUP(X333,Feuil1!$C$1:$BL$10,7,FALSE)</f>
        <v>-95</v>
      </c>
      <c r="AH333" s="3">
        <f>T333-HLOOKUP(X333,Feuil1!$C$1:$BL$10,8,FALSE)</f>
        <v>-115</v>
      </c>
      <c r="AI333" s="3">
        <f>T333-HLOOKUP(X333,Feuil1!$C$1:$BL$10,9,FALSE)</f>
        <v>-135</v>
      </c>
      <c r="AJ333" s="3">
        <f>T333-HLOOKUP(X333,Feuil1!$C$1:$BL$10,10,FALSE)</f>
        <v>-150</v>
      </c>
      <c r="AK333" s="5"/>
      <c r="AL333" s="5"/>
      <c r="AM333" s="5"/>
      <c r="AN333" s="5"/>
      <c r="AO333" s="5"/>
      <c r="AP333" s="5"/>
      <c r="AQ333" s="5" t="str">
        <f t="shared" si="102"/>
        <v xml:space="preserve">DEB </v>
      </c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</row>
    <row r="334" spans="1:55" s="13" customFormat="1" ht="21" hidden="1" x14ac:dyDescent="0.2">
      <c r="A334" s="12" t="s">
        <v>69</v>
      </c>
      <c r="B334" s="18" t="s">
        <v>721</v>
      </c>
      <c r="C334" s="19" t="s">
        <v>722</v>
      </c>
      <c r="D334" s="61">
        <v>27</v>
      </c>
      <c r="E334" s="35">
        <v>379720</v>
      </c>
      <c r="F334" s="20" t="s">
        <v>742</v>
      </c>
      <c r="G334" s="20" t="s">
        <v>743</v>
      </c>
      <c r="H334" s="51">
        <v>1981</v>
      </c>
      <c r="I334" s="30">
        <v>80.5</v>
      </c>
      <c r="J334" s="19" t="s">
        <v>744</v>
      </c>
      <c r="K334" s="34" t="s">
        <v>69</v>
      </c>
      <c r="L334" s="31">
        <v>26</v>
      </c>
      <c r="M334" s="31">
        <v>28</v>
      </c>
      <c r="N334" s="31">
        <v>30</v>
      </c>
      <c r="O334" s="36">
        <f t="shared" si="95"/>
        <v>30</v>
      </c>
      <c r="P334" s="31">
        <v>33</v>
      </c>
      <c r="Q334" s="31">
        <v>36</v>
      </c>
      <c r="R334" s="31">
        <v>39</v>
      </c>
      <c r="S334" s="36">
        <f t="shared" si="96"/>
        <v>39</v>
      </c>
      <c r="T334" s="37">
        <f t="shared" si="97"/>
        <v>69</v>
      </c>
      <c r="U334" s="65">
        <f t="shared" si="98"/>
        <v>-92</v>
      </c>
      <c r="V334" s="41" t="str">
        <f t="shared" si="99"/>
        <v xml:space="preserve">DEB </v>
      </c>
      <c r="W334" s="33">
        <f t="shared" si="100"/>
        <v>-31</v>
      </c>
      <c r="X334" s="40" t="str">
        <f>IF(I334="","",IF(A334="H",IF(OR(H334="SEN",H334&lt;1995),VLOOKUP(I334,Feuil1!$A$11:$F$29,6),IF(AND(H334&gt;1994,H334&lt;1998),VLOOKUP(I334,Feuil1!$A$11:$F$29,5),IF(AND(H334&gt;1997,H334&lt;2000),VLOOKUP(I334,Feuil1!$A$11:$F$29,4),IF(AND(H334&gt;1999,H334&lt;2002),VLOOKUP(I334,Feuil1!$A$11:$F$29,3),VLOOKUP(I334,Feuil1!$A$11:$F$29,2))))),IF(OR(H334="SEN",H334&lt;1995),VLOOKUP(I334,Feuil1!$G$11:$L$25,6),IF(AND(H334&gt;1994,H334&lt;1998),VLOOKUP(I334,Feuil1!$G$11:$L$25,5),IF(AND(H334&gt;1997,H334&lt;2000),VLOOKUP(I334,Feuil1!$G$11:$L$25,4),IF(AND(H334&gt;1999,H334&lt;2002),VLOOKUP(I334,Feuil1!$G$11:$L$25,3),VLOOKUP(I334,Feuil1!$G$11:$L$25,2)))))))</f>
        <v>FS+75</v>
      </c>
      <c r="Y334" s="39">
        <f t="shared" si="101"/>
        <v>79.733654856928851</v>
      </c>
      <c r="Z334" s="45"/>
      <c r="AA334" s="49" t="s">
        <v>12</v>
      </c>
      <c r="AB334" s="3">
        <f>T334-HLOOKUP(X334,Feuil1!$C$1:$BL$10,2,FALSE)</f>
        <v>-31</v>
      </c>
      <c r="AC334" s="3">
        <f>T334-HLOOKUP(X334,Feuil1!$C$1:$BL$10,3,FALSE)</f>
        <v>-41</v>
      </c>
      <c r="AD334" s="3">
        <f>T334-HLOOKUP(X334,Feuil1!$C$1:$BL$10,4,FALSE)</f>
        <v>-56</v>
      </c>
      <c r="AE334" s="3">
        <f>T334-HLOOKUP(X334,Feuil1!$C$1:$BL$10,5,FALSE)</f>
        <v>-71</v>
      </c>
      <c r="AF334" s="3">
        <f>T334-HLOOKUP(X334,Feuil1!$C$1:$BL$10,6,FALSE)</f>
        <v>-81</v>
      </c>
      <c r="AG334" s="3">
        <f>T334-HLOOKUP(X334,Feuil1!$C$1:$BL$10,7,FALSE)</f>
        <v>-101</v>
      </c>
      <c r="AH334" s="3">
        <f>T334-HLOOKUP(X334,Feuil1!$C$1:$BL$10,8,FALSE)</f>
        <v>-121</v>
      </c>
      <c r="AI334" s="3">
        <f>T334-HLOOKUP(X334,Feuil1!$C$1:$BL$10,9,FALSE)</f>
        <v>-141</v>
      </c>
      <c r="AJ334" s="3">
        <f>T334-HLOOKUP(X334,Feuil1!$C$1:$BL$10,10,FALSE)</f>
        <v>-156</v>
      </c>
      <c r="AK334" s="5"/>
      <c r="AL334" s="5"/>
      <c r="AM334" s="5"/>
      <c r="AN334" s="5"/>
      <c r="AO334" s="5"/>
      <c r="AP334" s="5"/>
      <c r="AQ334" s="5" t="str">
        <f t="shared" si="102"/>
        <v xml:space="preserve">DEB </v>
      </c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</row>
    <row r="335" spans="1:55" s="13" customFormat="1" ht="21" hidden="1" x14ac:dyDescent="0.2">
      <c r="A335" s="12" t="s">
        <v>69</v>
      </c>
      <c r="B335" s="18" t="s">
        <v>108</v>
      </c>
      <c r="C335" s="19" t="s">
        <v>119</v>
      </c>
      <c r="D335" s="61">
        <v>28</v>
      </c>
      <c r="E335" s="35">
        <v>385635</v>
      </c>
      <c r="F335" s="20" t="s">
        <v>241</v>
      </c>
      <c r="G335" s="20" t="s">
        <v>242</v>
      </c>
      <c r="H335" s="51">
        <v>1986</v>
      </c>
      <c r="I335" s="30">
        <v>88.5</v>
      </c>
      <c r="J335" s="19" t="s">
        <v>170</v>
      </c>
      <c r="K335" s="34" t="s">
        <v>69</v>
      </c>
      <c r="L335" s="31">
        <v>23</v>
      </c>
      <c r="M335" s="31">
        <v>26</v>
      </c>
      <c r="N335" s="31">
        <v>29</v>
      </c>
      <c r="O335" s="36">
        <f t="shared" si="95"/>
        <v>29</v>
      </c>
      <c r="P335" s="31">
        <v>30</v>
      </c>
      <c r="Q335" s="31">
        <v>33</v>
      </c>
      <c r="R335" s="31">
        <v>35</v>
      </c>
      <c r="S335" s="36">
        <f t="shared" si="96"/>
        <v>35</v>
      </c>
      <c r="T335" s="37">
        <f t="shared" si="97"/>
        <v>64</v>
      </c>
      <c r="U335" s="65">
        <f t="shared" si="98"/>
        <v>-113</v>
      </c>
      <c r="V335" s="41" t="str">
        <f t="shared" si="99"/>
        <v xml:space="preserve">DEB </v>
      </c>
      <c r="W335" s="33">
        <f t="shared" si="100"/>
        <v>-36</v>
      </c>
      <c r="X335" s="40" t="str">
        <f>IF(I335="","",IF(A335="H",IF(OR(H335="SEN",H335&lt;1995),VLOOKUP(I335,Feuil1!$A$11:$F$29,6),IF(AND(H335&gt;1994,H335&lt;1998),VLOOKUP(I335,Feuil1!$A$11:$F$29,5),IF(AND(H335&gt;1997,H335&lt;2000),VLOOKUP(I335,Feuil1!$A$11:$F$29,4),IF(AND(H335&gt;1999,H335&lt;2002),VLOOKUP(I335,Feuil1!$A$11:$F$29,3),VLOOKUP(I335,Feuil1!$A$11:$F$29,2))))),IF(OR(H335="SEN",H335&lt;1995),VLOOKUP(I335,Feuil1!$G$11:$L$25,6),IF(AND(H335&gt;1994,H335&lt;1998),VLOOKUP(I335,Feuil1!$G$11:$L$25,5),IF(AND(H335&gt;1997,H335&lt;2000),VLOOKUP(I335,Feuil1!$G$11:$L$25,4),IF(AND(H335&gt;1999,H335&lt;2002),VLOOKUP(I335,Feuil1!$G$11:$L$25,3),VLOOKUP(I335,Feuil1!$G$11:$L$25,2)))))))</f>
        <v>FS+75</v>
      </c>
      <c r="Y335" s="39">
        <f t="shared" si="101"/>
        <v>70.950907828041878</v>
      </c>
      <c r="Z335" s="45"/>
      <c r="AA335" s="49" t="s">
        <v>12</v>
      </c>
      <c r="AB335" s="3">
        <f>T335-HLOOKUP(X335,Feuil1!$C$1:$BL$10,2,FALSE)</f>
        <v>-36</v>
      </c>
      <c r="AC335" s="3">
        <f>T335-HLOOKUP(X335,Feuil1!$C$1:$BL$10,3,FALSE)</f>
        <v>-46</v>
      </c>
      <c r="AD335" s="3">
        <f>T335-HLOOKUP(X335,Feuil1!$C$1:$BL$10,4,FALSE)</f>
        <v>-61</v>
      </c>
      <c r="AE335" s="3">
        <f>T335-HLOOKUP(X335,Feuil1!$C$1:$BL$10,5,FALSE)</f>
        <v>-76</v>
      </c>
      <c r="AF335" s="3">
        <f>T335-HLOOKUP(X335,Feuil1!$C$1:$BL$10,6,FALSE)</f>
        <v>-86</v>
      </c>
      <c r="AG335" s="3">
        <f>T335-HLOOKUP(X335,Feuil1!$C$1:$BL$10,7,FALSE)</f>
        <v>-106</v>
      </c>
      <c r="AH335" s="3">
        <f>T335-HLOOKUP(X335,Feuil1!$C$1:$BL$10,8,FALSE)</f>
        <v>-126</v>
      </c>
      <c r="AI335" s="3">
        <f>T335-HLOOKUP(X335,Feuil1!$C$1:$BL$10,9,FALSE)</f>
        <v>-146</v>
      </c>
      <c r="AJ335" s="3">
        <f>T335-HLOOKUP(X335,Feuil1!$C$1:$BL$10,10,FALSE)</f>
        <v>-161</v>
      </c>
      <c r="AK335" s="5"/>
      <c r="AL335" s="5"/>
      <c r="AM335" s="5"/>
      <c r="AN335" s="5"/>
      <c r="AO335" s="5"/>
      <c r="AP335" s="5"/>
      <c r="AQ335" s="5" t="str">
        <f t="shared" si="102"/>
        <v xml:space="preserve">DEB </v>
      </c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</row>
    <row r="336" spans="1:55" s="13" customFormat="1" ht="15" hidden="1" customHeight="1" thickBot="1" x14ac:dyDescent="0.25">
      <c r="A336" s="89"/>
      <c r="B336" s="90"/>
      <c r="C336" s="91"/>
      <c r="D336" s="92"/>
      <c r="E336" s="93"/>
      <c r="F336" s="94"/>
      <c r="G336" s="94"/>
      <c r="H336" s="95"/>
      <c r="I336" s="96"/>
      <c r="J336" s="91"/>
      <c r="K336" s="97"/>
      <c r="L336" s="98"/>
      <c r="M336" s="98"/>
      <c r="N336" s="98"/>
      <c r="O336" s="99"/>
      <c r="P336" s="98"/>
      <c r="Q336" s="98"/>
      <c r="R336" s="98"/>
      <c r="S336" s="99"/>
      <c r="T336" s="100"/>
      <c r="U336" s="101"/>
      <c r="V336" s="102"/>
      <c r="W336" s="103"/>
      <c r="X336" s="104"/>
      <c r="Y336" s="105"/>
      <c r="Z336" s="45"/>
      <c r="AA336" s="45" t="s">
        <v>12</v>
      </c>
      <c r="AB336" s="3" t="e">
        <f>T336-HLOOKUP(X336,Feuil1!$C$1:$BL$10,2,FALSE)</f>
        <v>#N/A</v>
      </c>
      <c r="AC336" s="3" t="e">
        <f>T336-HLOOKUP(X336,Feuil1!$C$1:$BL$10,3,FALSE)</f>
        <v>#N/A</v>
      </c>
      <c r="AD336" s="3" t="e">
        <f>T336-HLOOKUP(X336,Feuil1!$C$1:$BL$10,4,FALSE)</f>
        <v>#N/A</v>
      </c>
      <c r="AE336" s="3" t="e">
        <f>T336-HLOOKUP(X336,Feuil1!$C$1:$BL$10,5,FALSE)</f>
        <v>#N/A</v>
      </c>
      <c r="AF336" s="3" t="e">
        <f>T336-HLOOKUP(X336,Feuil1!$C$1:$BL$10,6,FALSE)</f>
        <v>#N/A</v>
      </c>
      <c r="AG336" s="3" t="e">
        <f>T336-HLOOKUP(X336,Feuil1!$C$1:$BL$10,7,FALSE)</f>
        <v>#N/A</v>
      </c>
      <c r="AH336" s="3" t="e">
        <f>T336-HLOOKUP(X336,Feuil1!$C$1:$BL$10,8,FALSE)</f>
        <v>#N/A</v>
      </c>
      <c r="AI336" s="3" t="e">
        <f>T336-HLOOKUP(X336,Feuil1!$C$1:$BL$10,9,FALSE)</f>
        <v>#N/A</v>
      </c>
      <c r="AJ336" s="3" t="e">
        <f>T336-HLOOKUP(X336,Feuil1!$C$1:$BL$10,10,FALSE)</f>
        <v>#N/A</v>
      </c>
      <c r="AK336" s="5"/>
      <c r="AL336" s="5"/>
      <c r="AM336" s="5"/>
      <c r="AN336" s="5"/>
      <c r="AO336" s="5"/>
      <c r="AP336" s="5"/>
      <c r="AQ336" s="5" t="e">
        <f t="shared" ref="AQ336" si="103">IF(AJ336&gt;=0,$AJ$1,IF(AI336&gt;=0,$AI$1,IF(AH336&gt;=0,$AH$1,IF(AG336&gt;=0,$AG$1,IF(AF336&gt;=0,$AF$1,IF(AE336&gt;=0,$AE$1,IF(AD336&gt;=0,$AD$1,IF(AC336&gt;=0,$AC$1,$AB$1))))))))</f>
        <v>#N/A</v>
      </c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</row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  <row r="604" hidden="1" x14ac:dyDescent="0.2"/>
    <row r="605" hidden="1" x14ac:dyDescent="0.2"/>
    <row r="606" hidden="1" x14ac:dyDescent="0.2"/>
    <row r="607" hidden="1" x14ac:dyDescent="0.2"/>
    <row r="608" hidden="1" x14ac:dyDescent="0.2"/>
    <row r="609" hidden="1" x14ac:dyDescent="0.2"/>
    <row r="610" hidden="1" x14ac:dyDescent="0.2"/>
    <row r="611" hidden="1" x14ac:dyDescent="0.2"/>
    <row r="612" hidden="1" x14ac:dyDescent="0.2"/>
    <row r="613" hidden="1" x14ac:dyDescent="0.2"/>
    <row r="614" hidden="1" x14ac:dyDescent="0.2"/>
    <row r="615" hidden="1" x14ac:dyDescent="0.2"/>
    <row r="616" hidden="1" x14ac:dyDescent="0.2"/>
    <row r="617" hidden="1" x14ac:dyDescent="0.2"/>
    <row r="618" hidden="1" x14ac:dyDescent="0.2"/>
    <row r="619" hidden="1" x14ac:dyDescent="0.2"/>
    <row r="620" hidden="1" x14ac:dyDescent="0.2"/>
    <row r="621" hidden="1" x14ac:dyDescent="0.2"/>
    <row r="622" hidden="1" x14ac:dyDescent="0.2"/>
    <row r="623" hidden="1" x14ac:dyDescent="0.2"/>
    <row r="624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  <row r="660" hidden="1" x14ac:dyDescent="0.2"/>
    <row r="661" hidden="1" x14ac:dyDescent="0.2"/>
    <row r="662" hidden="1" x14ac:dyDescent="0.2"/>
    <row r="663" hidden="1" x14ac:dyDescent="0.2"/>
    <row r="664" hidden="1" x14ac:dyDescent="0.2"/>
    <row r="665" hidden="1" x14ac:dyDescent="0.2"/>
    <row r="666" hidden="1" x14ac:dyDescent="0.2"/>
    <row r="667" hidden="1" x14ac:dyDescent="0.2"/>
    <row r="668" hidden="1" x14ac:dyDescent="0.2"/>
    <row r="669" hidden="1" x14ac:dyDescent="0.2"/>
    <row r="670" hidden="1" x14ac:dyDescent="0.2"/>
    <row r="671" hidden="1" x14ac:dyDescent="0.2"/>
    <row r="672" hidden="1" x14ac:dyDescent="0.2"/>
    <row r="673" hidden="1" x14ac:dyDescent="0.2"/>
    <row r="674" hidden="1" x14ac:dyDescent="0.2"/>
    <row r="675" hidden="1" x14ac:dyDescent="0.2"/>
    <row r="676" hidden="1" x14ac:dyDescent="0.2"/>
    <row r="677" hidden="1" x14ac:dyDescent="0.2"/>
    <row r="678" hidden="1" x14ac:dyDescent="0.2"/>
    <row r="679" hidden="1" x14ac:dyDescent="0.2"/>
    <row r="680" hidden="1" x14ac:dyDescent="0.2"/>
    <row r="681" hidden="1" x14ac:dyDescent="0.2"/>
    <row r="682" hidden="1" x14ac:dyDescent="0.2"/>
    <row r="683" hidden="1" x14ac:dyDescent="0.2"/>
    <row r="684" hidden="1" x14ac:dyDescent="0.2"/>
    <row r="685" hidden="1" x14ac:dyDescent="0.2"/>
    <row r="686" hidden="1" x14ac:dyDescent="0.2"/>
    <row r="687" hidden="1" x14ac:dyDescent="0.2"/>
    <row r="688" hidden="1" x14ac:dyDescent="0.2"/>
    <row r="689" hidden="1" x14ac:dyDescent="0.2"/>
    <row r="690" hidden="1" x14ac:dyDescent="0.2"/>
    <row r="691" hidden="1" x14ac:dyDescent="0.2"/>
    <row r="692" hidden="1" x14ac:dyDescent="0.2"/>
    <row r="693" hidden="1" x14ac:dyDescent="0.2"/>
    <row r="694" hidden="1" x14ac:dyDescent="0.2"/>
    <row r="695" hidden="1" x14ac:dyDescent="0.2"/>
    <row r="696" hidden="1" x14ac:dyDescent="0.2"/>
    <row r="697" hidden="1" x14ac:dyDescent="0.2"/>
    <row r="698" hidden="1" x14ac:dyDescent="0.2"/>
    <row r="699" hidden="1" x14ac:dyDescent="0.2"/>
    <row r="700" hidden="1" x14ac:dyDescent="0.2"/>
    <row r="701" hidden="1" x14ac:dyDescent="0.2"/>
    <row r="702" hidden="1" x14ac:dyDescent="0.2"/>
    <row r="703" hidden="1" x14ac:dyDescent="0.2"/>
    <row r="704" hidden="1" x14ac:dyDescent="0.2"/>
    <row r="705" hidden="1" x14ac:dyDescent="0.2"/>
    <row r="706" hidden="1" x14ac:dyDescent="0.2"/>
    <row r="707" hidden="1" x14ac:dyDescent="0.2"/>
    <row r="708" hidden="1" x14ac:dyDescent="0.2"/>
    <row r="709" hidden="1" x14ac:dyDescent="0.2"/>
    <row r="710" hidden="1" x14ac:dyDescent="0.2"/>
    <row r="711" hidden="1" x14ac:dyDescent="0.2"/>
    <row r="712" hidden="1" x14ac:dyDescent="0.2"/>
    <row r="713" hidden="1" x14ac:dyDescent="0.2"/>
    <row r="714" hidden="1" x14ac:dyDescent="0.2"/>
    <row r="715" hidden="1" x14ac:dyDescent="0.2"/>
    <row r="716" hidden="1" x14ac:dyDescent="0.2"/>
    <row r="717" hidden="1" x14ac:dyDescent="0.2"/>
    <row r="718" hidden="1" x14ac:dyDescent="0.2"/>
    <row r="719" hidden="1" x14ac:dyDescent="0.2"/>
    <row r="720" hidden="1" x14ac:dyDescent="0.2"/>
    <row r="721" spans="28:51" hidden="1" x14ac:dyDescent="0.2"/>
    <row r="722" spans="28:51" hidden="1" x14ac:dyDescent="0.2"/>
    <row r="723" spans="28:51" hidden="1" x14ac:dyDescent="0.2"/>
    <row r="724" spans="28:51" hidden="1" x14ac:dyDescent="0.2"/>
    <row r="725" spans="28:51" hidden="1" x14ac:dyDescent="0.2"/>
    <row r="726" spans="28:51" hidden="1" x14ac:dyDescent="0.2"/>
    <row r="727" spans="28:51" hidden="1" x14ac:dyDescent="0.2"/>
    <row r="728" spans="28:51" hidden="1" x14ac:dyDescent="0.2"/>
    <row r="729" spans="28:51" hidden="1" x14ac:dyDescent="0.2">
      <c r="AB729" s="15" t="s">
        <v>30</v>
      </c>
      <c r="AC729" s="15" t="s">
        <v>31</v>
      </c>
      <c r="AD729" s="15" t="s">
        <v>32</v>
      </c>
      <c r="AE729" s="15" t="s">
        <v>33</v>
      </c>
      <c r="AF729" s="15" t="s">
        <v>34</v>
      </c>
      <c r="AG729" s="15"/>
      <c r="AH729" s="15" t="s">
        <v>27</v>
      </c>
      <c r="AI729" s="15" t="s">
        <v>28</v>
      </c>
      <c r="AJ729" s="15" t="s">
        <v>29</v>
      </c>
      <c r="AK729" s="15" t="s">
        <v>30</v>
      </c>
      <c r="AL729" s="15" t="s">
        <v>31</v>
      </c>
      <c r="AM729" s="15" t="s">
        <v>32</v>
      </c>
      <c r="AN729" s="15" t="s">
        <v>33</v>
      </c>
      <c r="AO729" s="15" t="s">
        <v>34</v>
      </c>
      <c r="AP729" s="15"/>
      <c r="AQ729" s="15" t="s">
        <v>35</v>
      </c>
      <c r="AR729" s="15" t="s">
        <v>36</v>
      </c>
      <c r="AS729" s="15" t="s">
        <v>37</v>
      </c>
      <c r="AT729" s="15" t="s">
        <v>38</v>
      </c>
      <c r="AU729" s="15" t="s">
        <v>39</v>
      </c>
      <c r="AV729" s="15" t="s">
        <v>40</v>
      </c>
      <c r="AW729" s="15" t="s">
        <v>41</v>
      </c>
      <c r="AX729" s="15" t="s">
        <v>42</v>
      </c>
      <c r="AY729" s="15"/>
    </row>
    <row r="730" spans="28:51" hidden="1" x14ac:dyDescent="0.2">
      <c r="AB730" s="16">
        <v>145</v>
      </c>
      <c r="AC730" s="16">
        <v>160</v>
      </c>
      <c r="AD730" s="16">
        <v>170</v>
      </c>
      <c r="AE730" s="16">
        <v>180</v>
      </c>
      <c r="AF730" s="16">
        <v>190</v>
      </c>
      <c r="AG730" s="16"/>
      <c r="AH730" s="16">
        <v>100</v>
      </c>
      <c r="AI730" s="16">
        <v>115</v>
      </c>
      <c r="AJ730" s="16">
        <v>130</v>
      </c>
      <c r="AK730" s="16">
        <v>145</v>
      </c>
      <c r="AL730" s="16">
        <v>160</v>
      </c>
      <c r="AM730" s="16">
        <v>170</v>
      </c>
      <c r="AN730" s="16">
        <v>180</v>
      </c>
      <c r="AO730" s="16">
        <v>190</v>
      </c>
      <c r="AP730" s="16"/>
      <c r="AQ730" s="16">
        <v>115</v>
      </c>
      <c r="AR730" s="16">
        <v>135</v>
      </c>
      <c r="AS730" s="16">
        <v>150</v>
      </c>
      <c r="AT730" s="16">
        <v>165</v>
      </c>
      <c r="AU730" s="16">
        <v>180</v>
      </c>
      <c r="AV730" s="16">
        <v>190</v>
      </c>
      <c r="AW730" s="16">
        <v>200</v>
      </c>
      <c r="AX730" s="16">
        <v>210</v>
      </c>
      <c r="AY730" s="16"/>
    </row>
    <row r="731" spans="28:51" hidden="1" x14ac:dyDescent="0.2">
      <c r="AB731" s="16">
        <v>165</v>
      </c>
      <c r="AC731" s="16">
        <v>180</v>
      </c>
      <c r="AD731" s="16">
        <v>190</v>
      </c>
      <c r="AE731" s="16">
        <v>200</v>
      </c>
      <c r="AF731" s="16">
        <v>210</v>
      </c>
      <c r="AG731" s="16"/>
      <c r="AH731" s="16">
        <v>115</v>
      </c>
      <c r="AI731" s="16">
        <v>135</v>
      </c>
      <c r="AJ731" s="16">
        <v>150</v>
      </c>
      <c r="AK731" s="16">
        <v>165</v>
      </c>
      <c r="AL731" s="16">
        <v>180</v>
      </c>
      <c r="AM731" s="16">
        <v>190</v>
      </c>
      <c r="AN731" s="16">
        <v>200</v>
      </c>
      <c r="AO731" s="16">
        <v>210</v>
      </c>
      <c r="AP731" s="16"/>
      <c r="AQ731" s="16">
        <v>130</v>
      </c>
      <c r="AR731" s="16">
        <v>150</v>
      </c>
      <c r="AS731" s="16">
        <v>165</v>
      </c>
      <c r="AT731" s="16">
        <v>185</v>
      </c>
      <c r="AU731" s="16">
        <v>200</v>
      </c>
      <c r="AV731" s="16">
        <v>210</v>
      </c>
      <c r="AW731" s="16">
        <v>220</v>
      </c>
      <c r="AX731" s="16">
        <v>230</v>
      </c>
      <c r="AY731" s="16"/>
    </row>
    <row r="732" spans="28:51" hidden="1" x14ac:dyDescent="0.2">
      <c r="AB732" s="16">
        <v>185</v>
      </c>
      <c r="AC732" s="16">
        <v>200</v>
      </c>
      <c r="AD732" s="16">
        <v>210</v>
      </c>
      <c r="AE732" s="16">
        <v>220</v>
      </c>
      <c r="AF732" s="16">
        <v>230</v>
      </c>
      <c r="AG732" s="16"/>
      <c r="AH732" s="16">
        <v>130</v>
      </c>
      <c r="AI732" s="16">
        <v>150</v>
      </c>
      <c r="AJ732" s="16">
        <v>165</v>
      </c>
      <c r="AK732" s="16">
        <v>185</v>
      </c>
      <c r="AL732" s="16">
        <v>200</v>
      </c>
      <c r="AM732" s="16">
        <v>210</v>
      </c>
      <c r="AN732" s="16">
        <v>220</v>
      </c>
      <c r="AO732" s="16">
        <v>230</v>
      </c>
      <c r="AP732" s="16"/>
      <c r="AQ732" s="16">
        <v>145</v>
      </c>
      <c r="AR732" s="16">
        <v>165</v>
      </c>
      <c r="AS732" s="16">
        <v>180</v>
      </c>
      <c r="AT732" s="16">
        <v>200</v>
      </c>
      <c r="AU732" s="16">
        <v>220</v>
      </c>
      <c r="AV732" s="16">
        <v>230</v>
      </c>
      <c r="AW732" s="16">
        <v>240</v>
      </c>
      <c r="AX732" s="16">
        <v>250</v>
      </c>
      <c r="AY732" s="16"/>
    </row>
    <row r="733" spans="28:51" hidden="1" x14ac:dyDescent="0.2">
      <c r="AB733" s="16">
        <v>200</v>
      </c>
      <c r="AC733" s="16">
        <v>220</v>
      </c>
      <c r="AD733" s="16">
        <v>230</v>
      </c>
      <c r="AE733" s="16">
        <v>240</v>
      </c>
      <c r="AF733" s="16">
        <v>250</v>
      </c>
      <c r="AG733" s="16"/>
      <c r="AH733" s="16">
        <v>145</v>
      </c>
      <c r="AI733" s="16">
        <v>165</v>
      </c>
      <c r="AJ733" s="16">
        <v>180</v>
      </c>
      <c r="AK733" s="16">
        <v>200</v>
      </c>
      <c r="AL733" s="16">
        <v>220</v>
      </c>
      <c r="AM733" s="16">
        <v>230</v>
      </c>
      <c r="AN733" s="16">
        <v>240</v>
      </c>
      <c r="AO733" s="16">
        <v>250</v>
      </c>
      <c r="AP733" s="16"/>
      <c r="AQ733" s="16">
        <v>175</v>
      </c>
      <c r="AR733" s="16">
        <v>195</v>
      </c>
      <c r="AS733" s="16">
        <v>215</v>
      </c>
      <c r="AT733" s="16">
        <v>235</v>
      </c>
      <c r="AU733" s="16">
        <v>250</v>
      </c>
      <c r="AV733" s="16">
        <v>260</v>
      </c>
      <c r="AW733" s="16">
        <v>275</v>
      </c>
      <c r="AX733" s="16">
        <v>280</v>
      </c>
      <c r="AY733" s="16"/>
    </row>
    <row r="734" spans="28:51" hidden="1" x14ac:dyDescent="0.2">
      <c r="AB734" s="16">
        <v>235</v>
      </c>
      <c r="AC734" s="16">
        <v>250</v>
      </c>
      <c r="AD734" s="16">
        <v>260</v>
      </c>
      <c r="AE734" s="16">
        <v>275</v>
      </c>
      <c r="AF734" s="16">
        <v>280</v>
      </c>
      <c r="AG734" s="16"/>
      <c r="AH734" s="16">
        <v>175</v>
      </c>
      <c r="AI734" s="16">
        <v>195</v>
      </c>
      <c r="AJ734" s="16">
        <v>215</v>
      </c>
      <c r="AK734" s="16">
        <v>235</v>
      </c>
      <c r="AL734" s="16">
        <v>250</v>
      </c>
      <c r="AM734" s="16">
        <v>260</v>
      </c>
      <c r="AN734" s="16">
        <v>275</v>
      </c>
      <c r="AO734" s="16">
        <v>280</v>
      </c>
      <c r="AP734" s="16"/>
      <c r="AQ734" s="16">
        <v>210</v>
      </c>
      <c r="AR734" s="16">
        <v>230</v>
      </c>
      <c r="AS734" s="16">
        <v>250</v>
      </c>
      <c r="AT734" s="16">
        <v>270</v>
      </c>
      <c r="AU734" s="16">
        <v>290</v>
      </c>
      <c r="AV734" s="16">
        <v>300</v>
      </c>
      <c r="AW734" s="16">
        <v>310</v>
      </c>
      <c r="AX734" s="16">
        <v>325</v>
      </c>
      <c r="AY734" s="16"/>
    </row>
    <row r="735" spans="28:51" hidden="1" x14ac:dyDescent="0.2">
      <c r="AB735" s="16">
        <v>270</v>
      </c>
      <c r="AC735" s="16">
        <v>290</v>
      </c>
      <c r="AD735" s="16">
        <v>300</v>
      </c>
      <c r="AE735" s="16">
        <v>310</v>
      </c>
      <c r="AF735" s="16">
        <v>325</v>
      </c>
      <c r="AG735" s="16"/>
      <c r="AH735" s="16">
        <v>210</v>
      </c>
      <c r="AI735" s="16">
        <v>230</v>
      </c>
      <c r="AJ735" s="16">
        <v>250</v>
      </c>
      <c r="AK735" s="16">
        <v>270</v>
      </c>
      <c r="AL735" s="16">
        <v>290</v>
      </c>
      <c r="AM735" s="16">
        <v>300</v>
      </c>
      <c r="AN735" s="16">
        <v>310</v>
      </c>
      <c r="AO735" s="16">
        <v>325</v>
      </c>
      <c r="AP735" s="16"/>
      <c r="AQ735" s="16">
        <v>230</v>
      </c>
      <c r="AR735" s="16">
        <v>255</v>
      </c>
      <c r="AS735" s="16">
        <v>275</v>
      </c>
      <c r="AT735" s="16">
        <v>300</v>
      </c>
      <c r="AU735" s="16">
        <v>315</v>
      </c>
      <c r="AV735" s="16">
        <v>335</v>
      </c>
      <c r="AW735" s="16">
        <v>345</v>
      </c>
      <c r="AX735" s="16">
        <v>355</v>
      </c>
      <c r="AY735" s="16"/>
    </row>
    <row r="736" spans="28:51" hidden="1" x14ac:dyDescent="0.2">
      <c r="AB736" s="16">
        <v>320</v>
      </c>
      <c r="AC736" s="16">
        <v>335</v>
      </c>
      <c r="AD736" s="16">
        <v>355</v>
      </c>
      <c r="AE736" s="16">
        <v>370</v>
      </c>
      <c r="AF736" s="16">
        <v>380</v>
      </c>
      <c r="AG736" s="16"/>
      <c r="AH736" s="16">
        <v>245</v>
      </c>
      <c r="AI736" s="16">
        <v>270</v>
      </c>
      <c r="AJ736" s="16">
        <v>295</v>
      </c>
      <c r="AK736" s="16">
        <v>320</v>
      </c>
      <c r="AL736" s="16">
        <v>335</v>
      </c>
      <c r="AM736" s="16">
        <v>355</v>
      </c>
      <c r="AN736" s="16">
        <v>370</v>
      </c>
      <c r="AO736" s="16">
        <v>380</v>
      </c>
      <c r="AP736" s="16"/>
      <c r="AQ736" s="16">
        <v>245</v>
      </c>
      <c r="AR736" s="16">
        <v>270</v>
      </c>
      <c r="AS736" s="16">
        <v>295</v>
      </c>
      <c r="AT736" s="16">
        <v>320</v>
      </c>
      <c r="AU736" s="16">
        <v>335</v>
      </c>
      <c r="AV736" s="16">
        <v>355</v>
      </c>
      <c r="AW736" s="16">
        <v>370</v>
      </c>
      <c r="AX736" s="16">
        <v>380</v>
      </c>
      <c r="AY736" s="16"/>
    </row>
    <row r="737" hidden="1" x14ac:dyDescent="0.2"/>
    <row r="738" hidden="1" x14ac:dyDescent="0.2"/>
    <row r="739" hidden="1" x14ac:dyDescent="0.2"/>
    <row r="740" hidden="1" x14ac:dyDescent="0.2"/>
    <row r="741" hidden="1" x14ac:dyDescent="0.2"/>
    <row r="742" hidden="1" x14ac:dyDescent="0.2"/>
    <row r="743" hidden="1" x14ac:dyDescent="0.2"/>
    <row r="744" hidden="1" x14ac:dyDescent="0.2"/>
    <row r="745" hidden="1" x14ac:dyDescent="0.2"/>
    <row r="746" hidden="1" x14ac:dyDescent="0.2"/>
    <row r="747" hidden="1" x14ac:dyDescent="0.2"/>
    <row r="748" hidden="1" x14ac:dyDescent="0.2"/>
    <row r="749" hidden="1" x14ac:dyDescent="0.2"/>
    <row r="750" hidden="1" x14ac:dyDescent="0.2"/>
    <row r="751" hidden="1" x14ac:dyDescent="0.2"/>
    <row r="752" hidden="1" x14ac:dyDescent="0.2"/>
    <row r="753" hidden="1" x14ac:dyDescent="0.2"/>
    <row r="754" hidden="1" x14ac:dyDescent="0.2"/>
    <row r="755" hidden="1" x14ac:dyDescent="0.2"/>
    <row r="756" hidden="1" x14ac:dyDescent="0.2"/>
    <row r="757" hidden="1" x14ac:dyDescent="0.2"/>
    <row r="758" hidden="1" x14ac:dyDescent="0.2"/>
    <row r="759" hidden="1" x14ac:dyDescent="0.2"/>
    <row r="760" hidden="1" x14ac:dyDescent="0.2"/>
    <row r="761" hidden="1" x14ac:dyDescent="0.2"/>
    <row r="762" hidden="1" x14ac:dyDescent="0.2"/>
    <row r="763" hidden="1" x14ac:dyDescent="0.2"/>
    <row r="764" hidden="1" x14ac:dyDescent="0.2"/>
    <row r="765" hidden="1" x14ac:dyDescent="0.2"/>
    <row r="766" hidden="1" x14ac:dyDescent="0.2"/>
    <row r="767" hidden="1" x14ac:dyDescent="0.2"/>
    <row r="768" hidden="1" x14ac:dyDescent="0.2"/>
    <row r="769" hidden="1" x14ac:dyDescent="0.2"/>
    <row r="770" hidden="1" x14ac:dyDescent="0.2"/>
    <row r="771" hidden="1" x14ac:dyDescent="0.2"/>
    <row r="772" hidden="1" x14ac:dyDescent="0.2"/>
    <row r="773" hidden="1" x14ac:dyDescent="0.2"/>
    <row r="774" hidden="1" x14ac:dyDescent="0.2"/>
    <row r="775" hidden="1" x14ac:dyDescent="0.2"/>
    <row r="776" hidden="1" x14ac:dyDescent="0.2"/>
    <row r="777" hidden="1" x14ac:dyDescent="0.2"/>
    <row r="778" hidden="1" x14ac:dyDescent="0.2"/>
    <row r="779" hidden="1" x14ac:dyDescent="0.2"/>
    <row r="780" hidden="1" x14ac:dyDescent="0.2"/>
    <row r="781" hidden="1" x14ac:dyDescent="0.2"/>
    <row r="782" hidden="1" x14ac:dyDescent="0.2"/>
    <row r="783" hidden="1" x14ac:dyDescent="0.2"/>
    <row r="784" hidden="1" x14ac:dyDescent="0.2"/>
    <row r="785" hidden="1" x14ac:dyDescent="0.2"/>
    <row r="786" hidden="1" x14ac:dyDescent="0.2"/>
    <row r="787" hidden="1" x14ac:dyDescent="0.2"/>
    <row r="788" hidden="1" x14ac:dyDescent="0.2"/>
    <row r="789" hidden="1" x14ac:dyDescent="0.2"/>
    <row r="790" hidden="1" x14ac:dyDescent="0.2"/>
    <row r="791" hidden="1" x14ac:dyDescent="0.2"/>
    <row r="792" hidden="1" x14ac:dyDescent="0.2"/>
    <row r="793" hidden="1" x14ac:dyDescent="0.2"/>
    <row r="794" hidden="1" x14ac:dyDescent="0.2"/>
    <row r="795" hidden="1" x14ac:dyDescent="0.2"/>
    <row r="796" hidden="1" x14ac:dyDescent="0.2"/>
    <row r="797" hidden="1" x14ac:dyDescent="0.2"/>
    <row r="798" hidden="1" x14ac:dyDescent="0.2"/>
    <row r="799" hidden="1" x14ac:dyDescent="0.2"/>
    <row r="800" hidden="1" x14ac:dyDescent="0.2"/>
    <row r="801" hidden="1" x14ac:dyDescent="0.2"/>
    <row r="802" hidden="1" x14ac:dyDescent="0.2"/>
    <row r="803" hidden="1" x14ac:dyDescent="0.2"/>
    <row r="804" hidden="1" x14ac:dyDescent="0.2"/>
    <row r="805" hidden="1" x14ac:dyDescent="0.2"/>
    <row r="806" hidden="1" x14ac:dyDescent="0.2"/>
    <row r="807" hidden="1" x14ac:dyDescent="0.2"/>
    <row r="808" hidden="1" x14ac:dyDescent="0.2"/>
    <row r="809" hidden="1" x14ac:dyDescent="0.2"/>
    <row r="810" hidden="1" x14ac:dyDescent="0.2"/>
    <row r="811" hidden="1" x14ac:dyDescent="0.2"/>
    <row r="812" hidden="1" x14ac:dyDescent="0.2"/>
    <row r="813" hidden="1" x14ac:dyDescent="0.2"/>
    <row r="814" hidden="1" x14ac:dyDescent="0.2"/>
    <row r="815" hidden="1" x14ac:dyDescent="0.2"/>
    <row r="816" hidden="1" x14ac:dyDescent="0.2"/>
    <row r="817" hidden="1" x14ac:dyDescent="0.2"/>
    <row r="818" hidden="1" x14ac:dyDescent="0.2"/>
    <row r="819" hidden="1" x14ac:dyDescent="0.2"/>
    <row r="820" hidden="1" x14ac:dyDescent="0.2"/>
    <row r="821" hidden="1" x14ac:dyDescent="0.2"/>
    <row r="822" hidden="1" x14ac:dyDescent="0.2"/>
    <row r="823" hidden="1" x14ac:dyDescent="0.2"/>
    <row r="824" hidden="1" x14ac:dyDescent="0.2"/>
    <row r="825" hidden="1" x14ac:dyDescent="0.2"/>
    <row r="826" hidden="1" x14ac:dyDescent="0.2"/>
    <row r="827" hidden="1" x14ac:dyDescent="0.2"/>
    <row r="828" hidden="1" x14ac:dyDescent="0.2"/>
    <row r="829" hidden="1" x14ac:dyDescent="0.2"/>
    <row r="830" hidden="1" x14ac:dyDescent="0.2"/>
    <row r="831" hidden="1" x14ac:dyDescent="0.2"/>
    <row r="832" hidden="1" x14ac:dyDescent="0.2"/>
    <row r="833" hidden="1" x14ac:dyDescent="0.2"/>
    <row r="834" hidden="1" x14ac:dyDescent="0.2"/>
    <row r="835" hidden="1" x14ac:dyDescent="0.2"/>
    <row r="836" hidden="1" x14ac:dyDescent="0.2"/>
    <row r="837" hidden="1" x14ac:dyDescent="0.2"/>
    <row r="838" hidden="1" x14ac:dyDescent="0.2"/>
    <row r="839" hidden="1" x14ac:dyDescent="0.2"/>
    <row r="840" hidden="1" x14ac:dyDescent="0.2"/>
    <row r="841" hidden="1" x14ac:dyDescent="0.2"/>
    <row r="842" hidden="1" x14ac:dyDescent="0.2"/>
    <row r="843" hidden="1" x14ac:dyDescent="0.2"/>
    <row r="844" hidden="1" x14ac:dyDescent="0.2"/>
    <row r="845" hidden="1" x14ac:dyDescent="0.2"/>
    <row r="846" hidden="1" x14ac:dyDescent="0.2"/>
    <row r="847" hidden="1" x14ac:dyDescent="0.2"/>
    <row r="848" hidden="1" x14ac:dyDescent="0.2"/>
    <row r="849" hidden="1" x14ac:dyDescent="0.2"/>
    <row r="850" hidden="1" x14ac:dyDescent="0.2"/>
    <row r="851" hidden="1" x14ac:dyDescent="0.2"/>
    <row r="852" hidden="1" x14ac:dyDescent="0.2"/>
    <row r="853" hidden="1" x14ac:dyDescent="0.2"/>
    <row r="854" hidden="1" x14ac:dyDescent="0.2"/>
    <row r="855" hidden="1" x14ac:dyDescent="0.2"/>
    <row r="856" hidden="1" x14ac:dyDescent="0.2"/>
    <row r="857" hidden="1" x14ac:dyDescent="0.2"/>
    <row r="858" hidden="1" x14ac:dyDescent="0.2"/>
    <row r="859" hidden="1" x14ac:dyDescent="0.2"/>
    <row r="860" hidden="1" x14ac:dyDescent="0.2"/>
    <row r="861" hidden="1" x14ac:dyDescent="0.2"/>
    <row r="862" hidden="1" x14ac:dyDescent="0.2"/>
    <row r="863" hidden="1" x14ac:dyDescent="0.2"/>
    <row r="864" hidden="1" x14ac:dyDescent="0.2"/>
    <row r="865" hidden="1" x14ac:dyDescent="0.2"/>
    <row r="866" hidden="1" x14ac:dyDescent="0.2"/>
    <row r="867" hidden="1" x14ac:dyDescent="0.2"/>
    <row r="868" hidden="1" x14ac:dyDescent="0.2"/>
    <row r="869" hidden="1" x14ac:dyDescent="0.2"/>
    <row r="870" hidden="1" x14ac:dyDescent="0.2"/>
    <row r="871" hidden="1" x14ac:dyDescent="0.2"/>
    <row r="872" hidden="1" x14ac:dyDescent="0.2"/>
    <row r="873" hidden="1" x14ac:dyDescent="0.2"/>
    <row r="874" hidden="1" x14ac:dyDescent="0.2"/>
    <row r="875" hidden="1" x14ac:dyDescent="0.2"/>
    <row r="876" hidden="1" x14ac:dyDescent="0.2"/>
    <row r="877" hidden="1" x14ac:dyDescent="0.2"/>
    <row r="878" hidden="1" x14ac:dyDescent="0.2"/>
    <row r="879" hidden="1" x14ac:dyDescent="0.2"/>
    <row r="880" hidden="1" x14ac:dyDescent="0.2"/>
    <row r="881" hidden="1" x14ac:dyDescent="0.2"/>
    <row r="882" hidden="1" x14ac:dyDescent="0.2"/>
    <row r="883" hidden="1" x14ac:dyDescent="0.2"/>
    <row r="884" hidden="1" x14ac:dyDescent="0.2"/>
    <row r="885" hidden="1" x14ac:dyDescent="0.2"/>
    <row r="886" hidden="1" x14ac:dyDescent="0.2"/>
    <row r="887" hidden="1" x14ac:dyDescent="0.2"/>
    <row r="888" hidden="1" x14ac:dyDescent="0.2"/>
    <row r="889" hidden="1" x14ac:dyDescent="0.2"/>
    <row r="890" hidden="1" x14ac:dyDescent="0.2"/>
    <row r="891" hidden="1" x14ac:dyDescent="0.2"/>
    <row r="892" hidden="1" x14ac:dyDescent="0.2"/>
    <row r="893" hidden="1" x14ac:dyDescent="0.2"/>
    <row r="894" hidden="1" x14ac:dyDescent="0.2"/>
    <row r="895" hidden="1" x14ac:dyDescent="0.2"/>
    <row r="896" hidden="1" x14ac:dyDescent="0.2"/>
    <row r="897" hidden="1" x14ac:dyDescent="0.2"/>
    <row r="898" hidden="1" x14ac:dyDescent="0.2"/>
    <row r="899" hidden="1" x14ac:dyDescent="0.2"/>
    <row r="900" hidden="1" x14ac:dyDescent="0.2"/>
    <row r="901" hidden="1" x14ac:dyDescent="0.2"/>
    <row r="902" hidden="1" x14ac:dyDescent="0.2"/>
    <row r="903" hidden="1" x14ac:dyDescent="0.2"/>
    <row r="904" hidden="1" x14ac:dyDescent="0.2"/>
    <row r="905" hidden="1" x14ac:dyDescent="0.2"/>
    <row r="906" hidden="1" x14ac:dyDescent="0.2"/>
    <row r="907" hidden="1" x14ac:dyDescent="0.2"/>
    <row r="908" hidden="1" x14ac:dyDescent="0.2"/>
    <row r="909" hidden="1" x14ac:dyDescent="0.2"/>
    <row r="910" hidden="1" x14ac:dyDescent="0.2"/>
    <row r="911" hidden="1" x14ac:dyDescent="0.2"/>
    <row r="912" hidden="1" x14ac:dyDescent="0.2"/>
    <row r="913" hidden="1" x14ac:dyDescent="0.2"/>
    <row r="914" hidden="1" x14ac:dyDescent="0.2"/>
    <row r="915" hidden="1" x14ac:dyDescent="0.2"/>
    <row r="916" hidden="1" x14ac:dyDescent="0.2"/>
    <row r="917" hidden="1" x14ac:dyDescent="0.2"/>
    <row r="918" hidden="1" x14ac:dyDescent="0.2"/>
    <row r="919" hidden="1" x14ac:dyDescent="0.2"/>
    <row r="920" hidden="1" x14ac:dyDescent="0.2"/>
    <row r="921" hidden="1" x14ac:dyDescent="0.2"/>
    <row r="922" hidden="1" x14ac:dyDescent="0.2"/>
    <row r="923" hidden="1" x14ac:dyDescent="0.2"/>
    <row r="924" hidden="1" x14ac:dyDescent="0.2"/>
    <row r="925" hidden="1" x14ac:dyDescent="0.2"/>
    <row r="926" hidden="1" x14ac:dyDescent="0.2"/>
    <row r="927" hidden="1" x14ac:dyDescent="0.2"/>
    <row r="928" hidden="1" x14ac:dyDescent="0.2"/>
    <row r="929" hidden="1" x14ac:dyDescent="0.2"/>
    <row r="930" hidden="1" x14ac:dyDescent="0.2"/>
    <row r="931" hidden="1" x14ac:dyDescent="0.2"/>
    <row r="932" hidden="1" x14ac:dyDescent="0.2"/>
    <row r="933" hidden="1" x14ac:dyDescent="0.2"/>
    <row r="934" hidden="1" x14ac:dyDescent="0.2"/>
    <row r="935" hidden="1" x14ac:dyDescent="0.2"/>
    <row r="936" hidden="1" x14ac:dyDescent="0.2"/>
    <row r="937" hidden="1" x14ac:dyDescent="0.2"/>
    <row r="938" hidden="1" x14ac:dyDescent="0.2"/>
    <row r="939" hidden="1" x14ac:dyDescent="0.2"/>
    <row r="940" hidden="1" x14ac:dyDescent="0.2"/>
    <row r="941" hidden="1" x14ac:dyDescent="0.2"/>
    <row r="942" hidden="1" x14ac:dyDescent="0.2"/>
    <row r="943" hidden="1" x14ac:dyDescent="0.2"/>
    <row r="944" hidden="1" x14ac:dyDescent="0.2"/>
    <row r="945" hidden="1" x14ac:dyDescent="0.2"/>
    <row r="946" hidden="1" x14ac:dyDescent="0.2"/>
    <row r="947" hidden="1" x14ac:dyDescent="0.2"/>
    <row r="948" hidden="1" x14ac:dyDescent="0.2"/>
    <row r="949" hidden="1" x14ac:dyDescent="0.2"/>
    <row r="950" hidden="1" x14ac:dyDescent="0.2"/>
    <row r="951" hidden="1" x14ac:dyDescent="0.2"/>
    <row r="952" hidden="1" x14ac:dyDescent="0.2"/>
    <row r="953" hidden="1" x14ac:dyDescent="0.2"/>
    <row r="954" hidden="1" x14ac:dyDescent="0.2"/>
    <row r="955" hidden="1" x14ac:dyDescent="0.2"/>
    <row r="956" hidden="1" x14ac:dyDescent="0.2"/>
    <row r="957" hidden="1" x14ac:dyDescent="0.2"/>
    <row r="958" hidden="1" x14ac:dyDescent="0.2"/>
    <row r="959" hidden="1" x14ac:dyDescent="0.2"/>
    <row r="960" hidden="1" x14ac:dyDescent="0.2"/>
    <row r="961" hidden="1" x14ac:dyDescent="0.2"/>
    <row r="962" hidden="1" x14ac:dyDescent="0.2"/>
    <row r="963" hidden="1" x14ac:dyDescent="0.2"/>
    <row r="964" hidden="1" x14ac:dyDescent="0.2"/>
    <row r="965" hidden="1" x14ac:dyDescent="0.2"/>
    <row r="966" hidden="1" x14ac:dyDescent="0.2"/>
    <row r="967" hidden="1" x14ac:dyDescent="0.2"/>
    <row r="968" hidden="1" x14ac:dyDescent="0.2"/>
    <row r="969" hidden="1" x14ac:dyDescent="0.2"/>
    <row r="970" hidden="1" x14ac:dyDescent="0.2"/>
    <row r="971" hidden="1" x14ac:dyDescent="0.2"/>
    <row r="972" hidden="1" x14ac:dyDescent="0.2"/>
    <row r="973" hidden="1" x14ac:dyDescent="0.2"/>
    <row r="974" hidden="1" x14ac:dyDescent="0.2"/>
    <row r="975" hidden="1" x14ac:dyDescent="0.2"/>
    <row r="976" hidden="1" x14ac:dyDescent="0.2"/>
    <row r="977" hidden="1" x14ac:dyDescent="0.2"/>
    <row r="978" hidden="1" x14ac:dyDescent="0.2"/>
    <row r="979" hidden="1" x14ac:dyDescent="0.2"/>
    <row r="980" hidden="1" x14ac:dyDescent="0.2"/>
    <row r="981" hidden="1" x14ac:dyDescent="0.2"/>
    <row r="982" hidden="1" x14ac:dyDescent="0.2"/>
    <row r="983" hidden="1" x14ac:dyDescent="0.2"/>
    <row r="984" hidden="1" x14ac:dyDescent="0.2"/>
    <row r="985" hidden="1" x14ac:dyDescent="0.2"/>
    <row r="986" hidden="1" x14ac:dyDescent="0.2"/>
    <row r="987" hidden="1" x14ac:dyDescent="0.2"/>
    <row r="988" hidden="1" x14ac:dyDescent="0.2"/>
    <row r="989" hidden="1" x14ac:dyDescent="0.2"/>
    <row r="990" hidden="1" x14ac:dyDescent="0.2"/>
    <row r="991" hidden="1" x14ac:dyDescent="0.2"/>
    <row r="992" hidden="1" x14ac:dyDescent="0.2"/>
    <row r="993" hidden="1" x14ac:dyDescent="0.2"/>
    <row r="994" hidden="1" x14ac:dyDescent="0.2"/>
    <row r="995" hidden="1" x14ac:dyDescent="0.2"/>
    <row r="996" hidden="1" x14ac:dyDescent="0.2"/>
    <row r="997" hidden="1" x14ac:dyDescent="0.2"/>
    <row r="998" hidden="1" x14ac:dyDescent="0.2"/>
    <row r="999" hidden="1" x14ac:dyDescent="0.2"/>
    <row r="1000" hidden="1" x14ac:dyDescent="0.2"/>
    <row r="1001" hidden="1" x14ac:dyDescent="0.2"/>
    <row r="1002" hidden="1" x14ac:dyDescent="0.2"/>
    <row r="1003" hidden="1" x14ac:dyDescent="0.2"/>
    <row r="1004" hidden="1" x14ac:dyDescent="0.2"/>
    <row r="1005" hidden="1" x14ac:dyDescent="0.2"/>
    <row r="1006" hidden="1" x14ac:dyDescent="0.2"/>
    <row r="1007" hidden="1" x14ac:dyDescent="0.2"/>
    <row r="1008" hidden="1" x14ac:dyDescent="0.2"/>
    <row r="1009" hidden="1" x14ac:dyDescent="0.2"/>
    <row r="1010" hidden="1" x14ac:dyDescent="0.2"/>
    <row r="1011" hidden="1" x14ac:dyDescent="0.2"/>
    <row r="1012" hidden="1" x14ac:dyDescent="0.2"/>
    <row r="1013" hidden="1" x14ac:dyDescent="0.2"/>
    <row r="1014" hidden="1" x14ac:dyDescent="0.2"/>
    <row r="1015" hidden="1" x14ac:dyDescent="0.2"/>
    <row r="1016" hidden="1" x14ac:dyDescent="0.2"/>
    <row r="1017" hidden="1" x14ac:dyDescent="0.2"/>
    <row r="1018" hidden="1" x14ac:dyDescent="0.2"/>
    <row r="1019" hidden="1" x14ac:dyDescent="0.2"/>
    <row r="1020" hidden="1" x14ac:dyDescent="0.2"/>
    <row r="1021" hidden="1" x14ac:dyDescent="0.2"/>
    <row r="1022" hidden="1" x14ac:dyDescent="0.2"/>
    <row r="1023" hidden="1" x14ac:dyDescent="0.2"/>
    <row r="1024" hidden="1" x14ac:dyDescent="0.2"/>
    <row r="1025" hidden="1" x14ac:dyDescent="0.2"/>
    <row r="1026" hidden="1" x14ac:dyDescent="0.2"/>
    <row r="1027" hidden="1" x14ac:dyDescent="0.2"/>
    <row r="1028" hidden="1" x14ac:dyDescent="0.2"/>
    <row r="1029" hidden="1" x14ac:dyDescent="0.2"/>
    <row r="1030" hidden="1" x14ac:dyDescent="0.2"/>
    <row r="1031" hidden="1" x14ac:dyDescent="0.2"/>
    <row r="1032" hidden="1" x14ac:dyDescent="0.2"/>
    <row r="1033" hidden="1" x14ac:dyDescent="0.2"/>
    <row r="1034" hidden="1" x14ac:dyDescent="0.2"/>
    <row r="1035" hidden="1" x14ac:dyDescent="0.2"/>
    <row r="1036" hidden="1" x14ac:dyDescent="0.2"/>
    <row r="1037" hidden="1" x14ac:dyDescent="0.2"/>
    <row r="1038" hidden="1" x14ac:dyDescent="0.2"/>
    <row r="1039" hidden="1" x14ac:dyDescent="0.2"/>
    <row r="1040" hidden="1" x14ac:dyDescent="0.2"/>
    <row r="1041" hidden="1" x14ac:dyDescent="0.2"/>
    <row r="1042" hidden="1" x14ac:dyDescent="0.2"/>
    <row r="1043" hidden="1" x14ac:dyDescent="0.2"/>
    <row r="1044" hidden="1" x14ac:dyDescent="0.2"/>
    <row r="1045" hidden="1" x14ac:dyDescent="0.2"/>
    <row r="1046" hidden="1" x14ac:dyDescent="0.2"/>
    <row r="1047" hidden="1" x14ac:dyDescent="0.2"/>
    <row r="1048" hidden="1" x14ac:dyDescent="0.2"/>
    <row r="1049" hidden="1" x14ac:dyDescent="0.2"/>
    <row r="1050" hidden="1" x14ac:dyDescent="0.2"/>
    <row r="1051" hidden="1" x14ac:dyDescent="0.2"/>
    <row r="1052" hidden="1" x14ac:dyDescent="0.2"/>
    <row r="1053" hidden="1" x14ac:dyDescent="0.2"/>
    <row r="1054" hidden="1" x14ac:dyDescent="0.2"/>
    <row r="1055" hidden="1" x14ac:dyDescent="0.2"/>
    <row r="1056" hidden="1" x14ac:dyDescent="0.2"/>
    <row r="1057" hidden="1" x14ac:dyDescent="0.2"/>
    <row r="1058" hidden="1" x14ac:dyDescent="0.2"/>
    <row r="1059" hidden="1" x14ac:dyDescent="0.2"/>
    <row r="1060" hidden="1" x14ac:dyDescent="0.2"/>
    <row r="1061" hidden="1" x14ac:dyDescent="0.2"/>
    <row r="1062" hidden="1" x14ac:dyDescent="0.2"/>
    <row r="1063" hidden="1" x14ac:dyDescent="0.2"/>
    <row r="1064" hidden="1" x14ac:dyDescent="0.2"/>
    <row r="1065" hidden="1" x14ac:dyDescent="0.2"/>
    <row r="1066" hidden="1" x14ac:dyDescent="0.2"/>
    <row r="1067" hidden="1" x14ac:dyDescent="0.2"/>
    <row r="1068" hidden="1" x14ac:dyDescent="0.2"/>
    <row r="1069" hidden="1" x14ac:dyDescent="0.2"/>
    <row r="1070" hidden="1" x14ac:dyDescent="0.2"/>
    <row r="1071" hidden="1" x14ac:dyDescent="0.2"/>
    <row r="1072" hidden="1" x14ac:dyDescent="0.2"/>
    <row r="1073" hidden="1" x14ac:dyDescent="0.2"/>
    <row r="1074" hidden="1" x14ac:dyDescent="0.2"/>
    <row r="1075" hidden="1" x14ac:dyDescent="0.2"/>
    <row r="1076" hidden="1" x14ac:dyDescent="0.2"/>
    <row r="1077" hidden="1" x14ac:dyDescent="0.2"/>
    <row r="1078" hidden="1" x14ac:dyDescent="0.2"/>
    <row r="1079" hidden="1" x14ac:dyDescent="0.2"/>
    <row r="1080" hidden="1" x14ac:dyDescent="0.2"/>
    <row r="1081" hidden="1" x14ac:dyDescent="0.2"/>
    <row r="1082" hidden="1" x14ac:dyDescent="0.2"/>
    <row r="1083" hidden="1" x14ac:dyDescent="0.2"/>
    <row r="1084" hidden="1" x14ac:dyDescent="0.2"/>
    <row r="1085" hidden="1" x14ac:dyDescent="0.2"/>
    <row r="1086" hidden="1" x14ac:dyDescent="0.2"/>
    <row r="1087" hidden="1" x14ac:dyDescent="0.2"/>
    <row r="1088" hidden="1" x14ac:dyDescent="0.2"/>
    <row r="1089" hidden="1" x14ac:dyDescent="0.2"/>
    <row r="1090" hidden="1" x14ac:dyDescent="0.2"/>
    <row r="1091" hidden="1" x14ac:dyDescent="0.2"/>
    <row r="1092" hidden="1" x14ac:dyDescent="0.2"/>
    <row r="1093" hidden="1" x14ac:dyDescent="0.2"/>
    <row r="1094" hidden="1" x14ac:dyDescent="0.2"/>
    <row r="1095" hidden="1" x14ac:dyDescent="0.2"/>
    <row r="1096" hidden="1" x14ac:dyDescent="0.2"/>
    <row r="1097" hidden="1" x14ac:dyDescent="0.2"/>
    <row r="1098" hidden="1" x14ac:dyDescent="0.2"/>
    <row r="1099" hidden="1" x14ac:dyDescent="0.2"/>
    <row r="1100" hidden="1" x14ac:dyDescent="0.2"/>
    <row r="1101" hidden="1" x14ac:dyDescent="0.2"/>
    <row r="1102" hidden="1" x14ac:dyDescent="0.2"/>
    <row r="1103" hidden="1" x14ac:dyDescent="0.2"/>
    <row r="1104" hidden="1" x14ac:dyDescent="0.2"/>
    <row r="1105" hidden="1" x14ac:dyDescent="0.2"/>
    <row r="1106" hidden="1" x14ac:dyDescent="0.2"/>
    <row r="1107" hidden="1" x14ac:dyDescent="0.2"/>
    <row r="1108" hidden="1" x14ac:dyDescent="0.2"/>
    <row r="1109" hidden="1" x14ac:dyDescent="0.2"/>
    <row r="1110" hidden="1" x14ac:dyDescent="0.2"/>
    <row r="1111" hidden="1" x14ac:dyDescent="0.2"/>
    <row r="1112" hidden="1" x14ac:dyDescent="0.2"/>
    <row r="1113" hidden="1" x14ac:dyDescent="0.2"/>
    <row r="1114" hidden="1" x14ac:dyDescent="0.2"/>
    <row r="1115" hidden="1" x14ac:dyDescent="0.2"/>
    <row r="1116" hidden="1" x14ac:dyDescent="0.2"/>
    <row r="1117" hidden="1" x14ac:dyDescent="0.2"/>
    <row r="1118" hidden="1" x14ac:dyDescent="0.2"/>
    <row r="1119" hidden="1" x14ac:dyDescent="0.2"/>
    <row r="1120" hidden="1" x14ac:dyDescent="0.2"/>
    <row r="1121" hidden="1" x14ac:dyDescent="0.2"/>
    <row r="1122" hidden="1" x14ac:dyDescent="0.2"/>
    <row r="1123" hidden="1" x14ac:dyDescent="0.2"/>
    <row r="1124" hidden="1" x14ac:dyDescent="0.2"/>
    <row r="1125" hidden="1" x14ac:dyDescent="0.2"/>
    <row r="1126" hidden="1" x14ac:dyDescent="0.2"/>
    <row r="1127" hidden="1" x14ac:dyDescent="0.2"/>
    <row r="1128" hidden="1" x14ac:dyDescent="0.2"/>
    <row r="1129" hidden="1" x14ac:dyDescent="0.2"/>
    <row r="1130" hidden="1" x14ac:dyDescent="0.2"/>
    <row r="1131" hidden="1" x14ac:dyDescent="0.2"/>
    <row r="1132" hidden="1" x14ac:dyDescent="0.2"/>
    <row r="1133" hidden="1" x14ac:dyDescent="0.2"/>
    <row r="1134" hidden="1" x14ac:dyDescent="0.2"/>
    <row r="1135" hidden="1" x14ac:dyDescent="0.2"/>
    <row r="1136" hidden="1" x14ac:dyDescent="0.2"/>
    <row r="1137" hidden="1" x14ac:dyDescent="0.2"/>
    <row r="1138" hidden="1" x14ac:dyDescent="0.2"/>
    <row r="1139" hidden="1" x14ac:dyDescent="0.2"/>
    <row r="1140" hidden="1" x14ac:dyDescent="0.2"/>
    <row r="1141" hidden="1" x14ac:dyDescent="0.2"/>
    <row r="1142" hidden="1" x14ac:dyDescent="0.2"/>
    <row r="1143" hidden="1" x14ac:dyDescent="0.2"/>
    <row r="1144" hidden="1" x14ac:dyDescent="0.2"/>
    <row r="1145" hidden="1" x14ac:dyDescent="0.2"/>
    <row r="1146" hidden="1" x14ac:dyDescent="0.2"/>
    <row r="1147" hidden="1" x14ac:dyDescent="0.2"/>
    <row r="1148" hidden="1" x14ac:dyDescent="0.2"/>
    <row r="1149" hidden="1" x14ac:dyDescent="0.2"/>
    <row r="1150" hidden="1" x14ac:dyDescent="0.2"/>
    <row r="1151" hidden="1" x14ac:dyDescent="0.2"/>
    <row r="1152" hidden="1" x14ac:dyDescent="0.2"/>
    <row r="1153" hidden="1" x14ac:dyDescent="0.2"/>
    <row r="1154" hidden="1" x14ac:dyDescent="0.2"/>
    <row r="1155" hidden="1" x14ac:dyDescent="0.2"/>
    <row r="1156" hidden="1" x14ac:dyDescent="0.2"/>
    <row r="1157" hidden="1" x14ac:dyDescent="0.2"/>
    <row r="1158" hidden="1" x14ac:dyDescent="0.2"/>
    <row r="1159" hidden="1" x14ac:dyDescent="0.2"/>
    <row r="1160" hidden="1" x14ac:dyDescent="0.2"/>
    <row r="1161" hidden="1" x14ac:dyDescent="0.2"/>
    <row r="1162" hidden="1" x14ac:dyDescent="0.2"/>
    <row r="1163" hidden="1" x14ac:dyDescent="0.2"/>
    <row r="1164" hidden="1" x14ac:dyDescent="0.2"/>
    <row r="1165" hidden="1" x14ac:dyDescent="0.2"/>
    <row r="1166" hidden="1" x14ac:dyDescent="0.2"/>
    <row r="1167" hidden="1" x14ac:dyDescent="0.2"/>
    <row r="1168" hidden="1" x14ac:dyDescent="0.2"/>
    <row r="1169" hidden="1" x14ac:dyDescent="0.2"/>
    <row r="1170" hidden="1" x14ac:dyDescent="0.2"/>
    <row r="1171" hidden="1" x14ac:dyDescent="0.2"/>
    <row r="1172" hidden="1" x14ac:dyDescent="0.2"/>
    <row r="1173" hidden="1" x14ac:dyDescent="0.2"/>
    <row r="1174" hidden="1" x14ac:dyDescent="0.2"/>
    <row r="1175" hidden="1" x14ac:dyDescent="0.2"/>
    <row r="1176" hidden="1" x14ac:dyDescent="0.2"/>
    <row r="1177" hidden="1" x14ac:dyDescent="0.2"/>
    <row r="1178" hidden="1" x14ac:dyDescent="0.2"/>
    <row r="1179" hidden="1" x14ac:dyDescent="0.2"/>
    <row r="1180" hidden="1" x14ac:dyDescent="0.2"/>
    <row r="1181" hidden="1" x14ac:dyDescent="0.2"/>
    <row r="1182" hidden="1" x14ac:dyDescent="0.2"/>
    <row r="1183" hidden="1" x14ac:dyDescent="0.2"/>
    <row r="1184" hidden="1" x14ac:dyDescent="0.2"/>
    <row r="1185" hidden="1" x14ac:dyDescent="0.2"/>
    <row r="1186" hidden="1" x14ac:dyDescent="0.2"/>
    <row r="1187" hidden="1" x14ac:dyDescent="0.2"/>
    <row r="1188" hidden="1" x14ac:dyDescent="0.2"/>
    <row r="1189" hidden="1" x14ac:dyDescent="0.2"/>
    <row r="1190" hidden="1" x14ac:dyDescent="0.2"/>
    <row r="1191" hidden="1" x14ac:dyDescent="0.2"/>
    <row r="1192" hidden="1" x14ac:dyDescent="0.2"/>
    <row r="1193" hidden="1" x14ac:dyDescent="0.2"/>
    <row r="1194" hidden="1" x14ac:dyDescent="0.2"/>
    <row r="1195" hidden="1" x14ac:dyDescent="0.2"/>
    <row r="1196" hidden="1" x14ac:dyDescent="0.2"/>
    <row r="1197" hidden="1" x14ac:dyDescent="0.2"/>
    <row r="1198" hidden="1" x14ac:dyDescent="0.2"/>
    <row r="1199" hidden="1" x14ac:dyDescent="0.2"/>
    <row r="1200" hidden="1" x14ac:dyDescent="0.2"/>
    <row r="1201" hidden="1" x14ac:dyDescent="0.2"/>
    <row r="1202" hidden="1" x14ac:dyDescent="0.2"/>
    <row r="1203" hidden="1" x14ac:dyDescent="0.2"/>
    <row r="1204" hidden="1" x14ac:dyDescent="0.2"/>
    <row r="1205" hidden="1" x14ac:dyDescent="0.2"/>
    <row r="1206" hidden="1" x14ac:dyDescent="0.2"/>
    <row r="1207" hidden="1" x14ac:dyDescent="0.2"/>
    <row r="1208" hidden="1" x14ac:dyDescent="0.2"/>
    <row r="1209" hidden="1" x14ac:dyDescent="0.2"/>
    <row r="1210" hidden="1" x14ac:dyDescent="0.2"/>
    <row r="1211" hidden="1" x14ac:dyDescent="0.2"/>
    <row r="1212" hidden="1" x14ac:dyDescent="0.2"/>
    <row r="1213" hidden="1" x14ac:dyDescent="0.2"/>
    <row r="1214" hidden="1" x14ac:dyDescent="0.2"/>
    <row r="1215" hidden="1" x14ac:dyDescent="0.2"/>
    <row r="1216" hidden="1" x14ac:dyDescent="0.2"/>
    <row r="1217" hidden="1" x14ac:dyDescent="0.2"/>
    <row r="1218" hidden="1" x14ac:dyDescent="0.2"/>
    <row r="1219" hidden="1" x14ac:dyDescent="0.2"/>
    <row r="1220" hidden="1" x14ac:dyDescent="0.2"/>
    <row r="1221" hidden="1" x14ac:dyDescent="0.2"/>
    <row r="1222" hidden="1" x14ac:dyDescent="0.2"/>
    <row r="1223" hidden="1" x14ac:dyDescent="0.2"/>
    <row r="1224" hidden="1" x14ac:dyDescent="0.2"/>
    <row r="1225" hidden="1" x14ac:dyDescent="0.2"/>
    <row r="1226" hidden="1" x14ac:dyDescent="0.2"/>
    <row r="1227" hidden="1" x14ac:dyDescent="0.2"/>
    <row r="1228" hidden="1" x14ac:dyDescent="0.2"/>
    <row r="1229" hidden="1" x14ac:dyDescent="0.2"/>
    <row r="1230" hidden="1" x14ac:dyDescent="0.2"/>
    <row r="1231" hidden="1" x14ac:dyDescent="0.2"/>
    <row r="1232" hidden="1" x14ac:dyDescent="0.2"/>
    <row r="1233" hidden="1" x14ac:dyDescent="0.2"/>
    <row r="1234" hidden="1" x14ac:dyDescent="0.2"/>
    <row r="1235" hidden="1" x14ac:dyDescent="0.2"/>
    <row r="1236" hidden="1" x14ac:dyDescent="0.2"/>
    <row r="1237" hidden="1" x14ac:dyDescent="0.2"/>
    <row r="1238" hidden="1" x14ac:dyDescent="0.2"/>
    <row r="1239" hidden="1" x14ac:dyDescent="0.2"/>
    <row r="1240" hidden="1" x14ac:dyDescent="0.2"/>
    <row r="1241" hidden="1" x14ac:dyDescent="0.2"/>
    <row r="1242" hidden="1" x14ac:dyDescent="0.2"/>
    <row r="1243" hidden="1" x14ac:dyDescent="0.2"/>
    <row r="1244" hidden="1" x14ac:dyDescent="0.2"/>
    <row r="1245" hidden="1" x14ac:dyDescent="0.2"/>
    <row r="1246" hidden="1" x14ac:dyDescent="0.2"/>
    <row r="1247" hidden="1" x14ac:dyDescent="0.2"/>
    <row r="1248" hidden="1" x14ac:dyDescent="0.2"/>
    <row r="1249" hidden="1" x14ac:dyDescent="0.2"/>
    <row r="1250" hidden="1" x14ac:dyDescent="0.2"/>
    <row r="1251" hidden="1" x14ac:dyDescent="0.2"/>
    <row r="1252" hidden="1" x14ac:dyDescent="0.2"/>
    <row r="1253" hidden="1" x14ac:dyDescent="0.2"/>
    <row r="1254" hidden="1" x14ac:dyDescent="0.2"/>
    <row r="1255" hidden="1" x14ac:dyDescent="0.2"/>
    <row r="1256" hidden="1" x14ac:dyDescent="0.2"/>
    <row r="1257" hidden="1" x14ac:dyDescent="0.2"/>
    <row r="1258" hidden="1" x14ac:dyDescent="0.2"/>
    <row r="1259" hidden="1" x14ac:dyDescent="0.2"/>
    <row r="1260" hidden="1" x14ac:dyDescent="0.2"/>
    <row r="1261" hidden="1" x14ac:dyDescent="0.2"/>
    <row r="1262" hidden="1" x14ac:dyDescent="0.2"/>
    <row r="1263" hidden="1" x14ac:dyDescent="0.2"/>
    <row r="1264" hidden="1" x14ac:dyDescent="0.2"/>
    <row r="1265" hidden="1" x14ac:dyDescent="0.2"/>
    <row r="1266" hidden="1" x14ac:dyDescent="0.2"/>
    <row r="1267" hidden="1" x14ac:dyDescent="0.2"/>
    <row r="1268" hidden="1" x14ac:dyDescent="0.2"/>
    <row r="1269" hidden="1" x14ac:dyDescent="0.2"/>
    <row r="1270" hidden="1" x14ac:dyDescent="0.2"/>
    <row r="1271" hidden="1" x14ac:dyDescent="0.2"/>
    <row r="1272" hidden="1" x14ac:dyDescent="0.2"/>
    <row r="1273" hidden="1" x14ac:dyDescent="0.2"/>
    <row r="1274" hidden="1" x14ac:dyDescent="0.2"/>
    <row r="1275" hidden="1" x14ac:dyDescent="0.2"/>
    <row r="1276" hidden="1" x14ac:dyDescent="0.2"/>
    <row r="1277" hidden="1" x14ac:dyDescent="0.2"/>
    <row r="1278" hidden="1" x14ac:dyDescent="0.2"/>
    <row r="1279" hidden="1" x14ac:dyDescent="0.2"/>
    <row r="1280" hidden="1" x14ac:dyDescent="0.2"/>
    <row r="1281" hidden="1" x14ac:dyDescent="0.2"/>
    <row r="1282" hidden="1" x14ac:dyDescent="0.2"/>
    <row r="1283" hidden="1" x14ac:dyDescent="0.2"/>
    <row r="1284" hidden="1" x14ac:dyDescent="0.2"/>
    <row r="1285" hidden="1" x14ac:dyDescent="0.2"/>
    <row r="1286" hidden="1" x14ac:dyDescent="0.2"/>
    <row r="1287" hidden="1" x14ac:dyDescent="0.2"/>
    <row r="1288" hidden="1" x14ac:dyDescent="0.2"/>
    <row r="1289" hidden="1" x14ac:dyDescent="0.2"/>
    <row r="1290" hidden="1" x14ac:dyDescent="0.2"/>
    <row r="1291" hidden="1" x14ac:dyDescent="0.2"/>
    <row r="1292" hidden="1" x14ac:dyDescent="0.2"/>
    <row r="1293" hidden="1" x14ac:dyDescent="0.2"/>
    <row r="1294" hidden="1" x14ac:dyDescent="0.2"/>
    <row r="1295" hidden="1" x14ac:dyDescent="0.2"/>
    <row r="1296" hidden="1" x14ac:dyDescent="0.2"/>
    <row r="1297" hidden="1" x14ac:dyDescent="0.2"/>
    <row r="1298" hidden="1" x14ac:dyDescent="0.2"/>
    <row r="1299" hidden="1" x14ac:dyDescent="0.2"/>
    <row r="1300" hidden="1" x14ac:dyDescent="0.2"/>
    <row r="1301" hidden="1" x14ac:dyDescent="0.2"/>
    <row r="1302" hidden="1" x14ac:dyDescent="0.2"/>
    <row r="1303" hidden="1" x14ac:dyDescent="0.2"/>
    <row r="1304" hidden="1" x14ac:dyDescent="0.2"/>
    <row r="1305" hidden="1" x14ac:dyDescent="0.2"/>
    <row r="1306" hidden="1" x14ac:dyDescent="0.2"/>
    <row r="1307" hidden="1" x14ac:dyDescent="0.2"/>
    <row r="1308" hidden="1" x14ac:dyDescent="0.2"/>
    <row r="1309" hidden="1" x14ac:dyDescent="0.2"/>
    <row r="1310" hidden="1" x14ac:dyDescent="0.2"/>
    <row r="1311" hidden="1" x14ac:dyDescent="0.2"/>
    <row r="1312" hidden="1" x14ac:dyDescent="0.2"/>
    <row r="1313" hidden="1" x14ac:dyDescent="0.2"/>
    <row r="1314" hidden="1" x14ac:dyDescent="0.2"/>
    <row r="1315" hidden="1" x14ac:dyDescent="0.2"/>
    <row r="1316" hidden="1" x14ac:dyDescent="0.2"/>
    <row r="1317" hidden="1" x14ac:dyDescent="0.2"/>
    <row r="1318" hidden="1" x14ac:dyDescent="0.2"/>
    <row r="1319" hidden="1" x14ac:dyDescent="0.2"/>
    <row r="1320" hidden="1" x14ac:dyDescent="0.2"/>
    <row r="1321" hidden="1" x14ac:dyDescent="0.2"/>
    <row r="1322" hidden="1" x14ac:dyDescent="0.2"/>
    <row r="1323" hidden="1" x14ac:dyDescent="0.2"/>
    <row r="1324" hidden="1" x14ac:dyDescent="0.2"/>
    <row r="1325" hidden="1" x14ac:dyDescent="0.2"/>
    <row r="1326" hidden="1" x14ac:dyDescent="0.2"/>
    <row r="1327" hidden="1" x14ac:dyDescent="0.2"/>
    <row r="1328" hidden="1" x14ac:dyDescent="0.2"/>
    <row r="1329" hidden="1" x14ac:dyDescent="0.2"/>
    <row r="1330" hidden="1" x14ac:dyDescent="0.2"/>
    <row r="1331" hidden="1" x14ac:dyDescent="0.2"/>
    <row r="1332" hidden="1" x14ac:dyDescent="0.2"/>
    <row r="1333" hidden="1" x14ac:dyDescent="0.2"/>
    <row r="1334" hidden="1" x14ac:dyDescent="0.2"/>
    <row r="1335" hidden="1" x14ac:dyDescent="0.2"/>
    <row r="1336" hidden="1" x14ac:dyDescent="0.2"/>
    <row r="1337" hidden="1" x14ac:dyDescent="0.2"/>
    <row r="1338" hidden="1" x14ac:dyDescent="0.2"/>
    <row r="1339" hidden="1" x14ac:dyDescent="0.2"/>
    <row r="1340" hidden="1" x14ac:dyDescent="0.2"/>
    <row r="1341" hidden="1" x14ac:dyDescent="0.2"/>
    <row r="1342" hidden="1" x14ac:dyDescent="0.2"/>
    <row r="1343" hidden="1" x14ac:dyDescent="0.2"/>
    <row r="1344" hidden="1" x14ac:dyDescent="0.2"/>
    <row r="1345" hidden="1" x14ac:dyDescent="0.2"/>
    <row r="1346" hidden="1" x14ac:dyDescent="0.2"/>
    <row r="1347" hidden="1" x14ac:dyDescent="0.2"/>
    <row r="1348" hidden="1" x14ac:dyDescent="0.2"/>
    <row r="1349" hidden="1" x14ac:dyDescent="0.2"/>
    <row r="1350" hidden="1" x14ac:dyDescent="0.2"/>
    <row r="1351" hidden="1" x14ac:dyDescent="0.2"/>
    <row r="1352" hidden="1" x14ac:dyDescent="0.2"/>
    <row r="1353" hidden="1" x14ac:dyDescent="0.2"/>
    <row r="1354" hidden="1" x14ac:dyDescent="0.2"/>
    <row r="1355" hidden="1" x14ac:dyDescent="0.2"/>
    <row r="1356" hidden="1" x14ac:dyDescent="0.2"/>
    <row r="1357" hidden="1" x14ac:dyDescent="0.2"/>
    <row r="1358" hidden="1" x14ac:dyDescent="0.2"/>
    <row r="1359" hidden="1" x14ac:dyDescent="0.2"/>
    <row r="1360" hidden="1" x14ac:dyDescent="0.2"/>
    <row r="1361" hidden="1" x14ac:dyDescent="0.2"/>
    <row r="1362" hidden="1" x14ac:dyDescent="0.2"/>
    <row r="1363" hidden="1" x14ac:dyDescent="0.2"/>
    <row r="1364" hidden="1" x14ac:dyDescent="0.2"/>
    <row r="1365" hidden="1" x14ac:dyDescent="0.2"/>
    <row r="1366" hidden="1" x14ac:dyDescent="0.2"/>
    <row r="1367" hidden="1" x14ac:dyDescent="0.2"/>
    <row r="1368" hidden="1" x14ac:dyDescent="0.2"/>
    <row r="1369" hidden="1" x14ac:dyDescent="0.2"/>
    <row r="1370" hidden="1" x14ac:dyDescent="0.2"/>
    <row r="1371" hidden="1" x14ac:dyDescent="0.2"/>
    <row r="1372" hidden="1" x14ac:dyDescent="0.2"/>
    <row r="1373" hidden="1" x14ac:dyDescent="0.2"/>
    <row r="1374" hidden="1" x14ac:dyDescent="0.2"/>
    <row r="1375" hidden="1" x14ac:dyDescent="0.2"/>
    <row r="1376" hidden="1" x14ac:dyDescent="0.2"/>
    <row r="1377" hidden="1" x14ac:dyDescent="0.2"/>
    <row r="1378" hidden="1" x14ac:dyDescent="0.2"/>
    <row r="1379" hidden="1" x14ac:dyDescent="0.2"/>
    <row r="1380" hidden="1" x14ac:dyDescent="0.2"/>
    <row r="1381" hidden="1" x14ac:dyDescent="0.2"/>
    <row r="1382" hidden="1" x14ac:dyDescent="0.2"/>
    <row r="1383" hidden="1" x14ac:dyDescent="0.2"/>
    <row r="1384" hidden="1" x14ac:dyDescent="0.2"/>
    <row r="1385" hidden="1" x14ac:dyDescent="0.2"/>
    <row r="1386" hidden="1" x14ac:dyDescent="0.2"/>
    <row r="1387" hidden="1" x14ac:dyDescent="0.2"/>
    <row r="1388" hidden="1" x14ac:dyDescent="0.2"/>
    <row r="1389" hidden="1" x14ac:dyDescent="0.2"/>
    <row r="1390" hidden="1" x14ac:dyDescent="0.2"/>
    <row r="1391" hidden="1" x14ac:dyDescent="0.2"/>
    <row r="1392" hidden="1" x14ac:dyDescent="0.2"/>
    <row r="1393" hidden="1" x14ac:dyDescent="0.2"/>
    <row r="1394" hidden="1" x14ac:dyDescent="0.2"/>
    <row r="1395" hidden="1" x14ac:dyDescent="0.2"/>
    <row r="1396" hidden="1" x14ac:dyDescent="0.2"/>
    <row r="1397" hidden="1" x14ac:dyDescent="0.2"/>
    <row r="1398" hidden="1" x14ac:dyDescent="0.2"/>
    <row r="1399" hidden="1" x14ac:dyDescent="0.2"/>
    <row r="1400" hidden="1" x14ac:dyDescent="0.2"/>
    <row r="1401" hidden="1" x14ac:dyDescent="0.2"/>
    <row r="1402" hidden="1" x14ac:dyDescent="0.2"/>
    <row r="1403" hidden="1" x14ac:dyDescent="0.2"/>
    <row r="1404" hidden="1" x14ac:dyDescent="0.2"/>
    <row r="1405" hidden="1" x14ac:dyDescent="0.2"/>
    <row r="1406" hidden="1" x14ac:dyDescent="0.2"/>
    <row r="1407" hidden="1" x14ac:dyDescent="0.2"/>
    <row r="1408" hidden="1" x14ac:dyDescent="0.2"/>
    <row r="1409" hidden="1" x14ac:dyDescent="0.2"/>
    <row r="1410" hidden="1" x14ac:dyDescent="0.2"/>
    <row r="1411" hidden="1" x14ac:dyDescent="0.2"/>
    <row r="1412" hidden="1" x14ac:dyDescent="0.2"/>
    <row r="1413" hidden="1" x14ac:dyDescent="0.2"/>
    <row r="1414" hidden="1" x14ac:dyDescent="0.2"/>
    <row r="1415" hidden="1" x14ac:dyDescent="0.2"/>
    <row r="1416" hidden="1" x14ac:dyDescent="0.2"/>
    <row r="1417" hidden="1" x14ac:dyDescent="0.2"/>
    <row r="1418" hidden="1" x14ac:dyDescent="0.2"/>
    <row r="1419" hidden="1" x14ac:dyDescent="0.2"/>
    <row r="1420" hidden="1" x14ac:dyDescent="0.2"/>
    <row r="1421" hidden="1" x14ac:dyDescent="0.2"/>
    <row r="1422" hidden="1" x14ac:dyDescent="0.2"/>
    <row r="1423" hidden="1" x14ac:dyDescent="0.2"/>
    <row r="1424" hidden="1" x14ac:dyDescent="0.2"/>
    <row r="1425" hidden="1" x14ac:dyDescent="0.2"/>
    <row r="1426" hidden="1" x14ac:dyDescent="0.2"/>
    <row r="1427" hidden="1" x14ac:dyDescent="0.2"/>
    <row r="1428" hidden="1" x14ac:dyDescent="0.2"/>
    <row r="1429" hidden="1" x14ac:dyDescent="0.2"/>
    <row r="1430" hidden="1" x14ac:dyDescent="0.2"/>
    <row r="1431" hidden="1" x14ac:dyDescent="0.2"/>
    <row r="1432" hidden="1" x14ac:dyDescent="0.2"/>
    <row r="1433" hidden="1" x14ac:dyDescent="0.2"/>
    <row r="1434" hidden="1" x14ac:dyDescent="0.2"/>
    <row r="1435" hidden="1" x14ac:dyDescent="0.2"/>
    <row r="1436" hidden="1" x14ac:dyDescent="0.2"/>
    <row r="1437" hidden="1" x14ac:dyDescent="0.2"/>
    <row r="1438" hidden="1" x14ac:dyDescent="0.2"/>
    <row r="1439" hidden="1" x14ac:dyDescent="0.2"/>
    <row r="1440" hidden="1" x14ac:dyDescent="0.2"/>
    <row r="1441" hidden="1" x14ac:dyDescent="0.2"/>
    <row r="1442" hidden="1" x14ac:dyDescent="0.2"/>
    <row r="1443" hidden="1" x14ac:dyDescent="0.2"/>
    <row r="1444" hidden="1" x14ac:dyDescent="0.2"/>
    <row r="1445" hidden="1" x14ac:dyDescent="0.2"/>
    <row r="1446" hidden="1" x14ac:dyDescent="0.2"/>
    <row r="1447" hidden="1" x14ac:dyDescent="0.2"/>
    <row r="1448" hidden="1" x14ac:dyDescent="0.2"/>
    <row r="1449" hidden="1" x14ac:dyDescent="0.2"/>
    <row r="1450" hidden="1" x14ac:dyDescent="0.2"/>
    <row r="1451" hidden="1" x14ac:dyDescent="0.2"/>
    <row r="1452" hidden="1" x14ac:dyDescent="0.2"/>
    <row r="1453" hidden="1" x14ac:dyDescent="0.2"/>
    <row r="1454" hidden="1" x14ac:dyDescent="0.2"/>
    <row r="1455" hidden="1" x14ac:dyDescent="0.2"/>
    <row r="1456" hidden="1" x14ac:dyDescent="0.2"/>
    <row r="1457" hidden="1" x14ac:dyDescent="0.2"/>
    <row r="1458" hidden="1" x14ac:dyDescent="0.2"/>
    <row r="1459" hidden="1" x14ac:dyDescent="0.2"/>
    <row r="1460" hidden="1" x14ac:dyDescent="0.2"/>
    <row r="1461" hidden="1" x14ac:dyDescent="0.2"/>
    <row r="1462" hidden="1" x14ac:dyDescent="0.2"/>
    <row r="1463" hidden="1" x14ac:dyDescent="0.2"/>
    <row r="1464" hidden="1" x14ac:dyDescent="0.2"/>
    <row r="1465" hidden="1" x14ac:dyDescent="0.2"/>
    <row r="1466" hidden="1" x14ac:dyDescent="0.2"/>
    <row r="1467" hidden="1" x14ac:dyDescent="0.2"/>
    <row r="1468" hidden="1" x14ac:dyDescent="0.2"/>
    <row r="1469" hidden="1" x14ac:dyDescent="0.2"/>
    <row r="1470" hidden="1" x14ac:dyDescent="0.2"/>
    <row r="1471" hidden="1" x14ac:dyDescent="0.2"/>
    <row r="1472" hidden="1" x14ac:dyDescent="0.2"/>
    <row r="1473" hidden="1" x14ac:dyDescent="0.2"/>
    <row r="1474" hidden="1" x14ac:dyDescent="0.2"/>
    <row r="1475" hidden="1" x14ac:dyDescent="0.2"/>
    <row r="1476" hidden="1" x14ac:dyDescent="0.2"/>
    <row r="1477" hidden="1" x14ac:dyDescent="0.2"/>
    <row r="1478" hidden="1" x14ac:dyDescent="0.2"/>
    <row r="1479" hidden="1" x14ac:dyDescent="0.2"/>
    <row r="1480" hidden="1" x14ac:dyDescent="0.2"/>
    <row r="1481" hidden="1" x14ac:dyDescent="0.2"/>
    <row r="1482" hidden="1" x14ac:dyDescent="0.2"/>
    <row r="1483" hidden="1" x14ac:dyDescent="0.2"/>
    <row r="1484" hidden="1" x14ac:dyDescent="0.2"/>
    <row r="1485" hidden="1" x14ac:dyDescent="0.2"/>
    <row r="1486" hidden="1" x14ac:dyDescent="0.2"/>
    <row r="1487" hidden="1" x14ac:dyDescent="0.2"/>
    <row r="1488" hidden="1" x14ac:dyDescent="0.2"/>
    <row r="1489" hidden="1" x14ac:dyDescent="0.2"/>
    <row r="1490" hidden="1" x14ac:dyDescent="0.2"/>
    <row r="1491" hidden="1" x14ac:dyDescent="0.2"/>
    <row r="1492" hidden="1" x14ac:dyDescent="0.2"/>
    <row r="1493" hidden="1" x14ac:dyDescent="0.2"/>
    <row r="1494" hidden="1" x14ac:dyDescent="0.2"/>
    <row r="1495" hidden="1" x14ac:dyDescent="0.2"/>
    <row r="1496" hidden="1" x14ac:dyDescent="0.2"/>
    <row r="1497" hidden="1" x14ac:dyDescent="0.2"/>
    <row r="1498" hidden="1" x14ac:dyDescent="0.2"/>
    <row r="1499" hidden="1" x14ac:dyDescent="0.2"/>
    <row r="1500" hidden="1" x14ac:dyDescent="0.2"/>
    <row r="1501" hidden="1" x14ac:dyDescent="0.2"/>
    <row r="1502" hidden="1" x14ac:dyDescent="0.2"/>
    <row r="1503" hidden="1" x14ac:dyDescent="0.2"/>
    <row r="1504" hidden="1" x14ac:dyDescent="0.2"/>
    <row r="1505" hidden="1" x14ac:dyDescent="0.2"/>
    <row r="1506" hidden="1" x14ac:dyDescent="0.2"/>
    <row r="1507" hidden="1" x14ac:dyDescent="0.2"/>
    <row r="1508" hidden="1" x14ac:dyDescent="0.2"/>
    <row r="1509" hidden="1" x14ac:dyDescent="0.2"/>
    <row r="1510" hidden="1" x14ac:dyDescent="0.2"/>
    <row r="1511" hidden="1" x14ac:dyDescent="0.2"/>
    <row r="1512" hidden="1" x14ac:dyDescent="0.2"/>
    <row r="1513" hidden="1" x14ac:dyDescent="0.2"/>
    <row r="1514" hidden="1" x14ac:dyDescent="0.2"/>
    <row r="1515" hidden="1" x14ac:dyDescent="0.2"/>
    <row r="1516" hidden="1" x14ac:dyDescent="0.2"/>
    <row r="1517" hidden="1" x14ac:dyDescent="0.2"/>
    <row r="1518" hidden="1" x14ac:dyDescent="0.2"/>
    <row r="1519" hidden="1" x14ac:dyDescent="0.2"/>
    <row r="1520" hidden="1" x14ac:dyDescent="0.2"/>
    <row r="1521" hidden="1" x14ac:dyDescent="0.2"/>
    <row r="1522" hidden="1" x14ac:dyDescent="0.2"/>
    <row r="1523" hidden="1" x14ac:dyDescent="0.2"/>
    <row r="1524" hidden="1" x14ac:dyDescent="0.2"/>
    <row r="1525" hidden="1" x14ac:dyDescent="0.2"/>
    <row r="1526" hidden="1" x14ac:dyDescent="0.2"/>
    <row r="1527" hidden="1" x14ac:dyDescent="0.2"/>
    <row r="1528" hidden="1" x14ac:dyDescent="0.2"/>
    <row r="1529" hidden="1" x14ac:dyDescent="0.2"/>
    <row r="1530" hidden="1" x14ac:dyDescent="0.2"/>
    <row r="1531" hidden="1" x14ac:dyDescent="0.2"/>
    <row r="1532" hidden="1" x14ac:dyDescent="0.2"/>
    <row r="1533" hidden="1" x14ac:dyDescent="0.2"/>
    <row r="1534" hidden="1" x14ac:dyDescent="0.2"/>
    <row r="1535" hidden="1" x14ac:dyDescent="0.2"/>
    <row r="1536" hidden="1" x14ac:dyDescent="0.2"/>
    <row r="1537" hidden="1" x14ac:dyDescent="0.2"/>
    <row r="1538" hidden="1" x14ac:dyDescent="0.2"/>
    <row r="1539" hidden="1" x14ac:dyDescent="0.2"/>
    <row r="1540" hidden="1" x14ac:dyDescent="0.2"/>
    <row r="1541" hidden="1" x14ac:dyDescent="0.2"/>
    <row r="1542" hidden="1" x14ac:dyDescent="0.2"/>
    <row r="1543" hidden="1" x14ac:dyDescent="0.2"/>
    <row r="1544" hidden="1" x14ac:dyDescent="0.2"/>
    <row r="1545" hidden="1" x14ac:dyDescent="0.2"/>
    <row r="1546" hidden="1" x14ac:dyDescent="0.2"/>
    <row r="1547" hidden="1" x14ac:dyDescent="0.2"/>
    <row r="1548" hidden="1" x14ac:dyDescent="0.2"/>
    <row r="1549" hidden="1" x14ac:dyDescent="0.2"/>
    <row r="1550" hidden="1" x14ac:dyDescent="0.2"/>
    <row r="1551" hidden="1" x14ac:dyDescent="0.2"/>
    <row r="1552" hidden="1" x14ac:dyDescent="0.2"/>
    <row r="1553" hidden="1" x14ac:dyDescent="0.2"/>
    <row r="1554" hidden="1" x14ac:dyDescent="0.2"/>
    <row r="1555" hidden="1" x14ac:dyDescent="0.2"/>
    <row r="1556" hidden="1" x14ac:dyDescent="0.2"/>
    <row r="1557" hidden="1" x14ac:dyDescent="0.2"/>
    <row r="1558" hidden="1" x14ac:dyDescent="0.2"/>
    <row r="1559" hidden="1" x14ac:dyDescent="0.2"/>
    <row r="1560" hidden="1" x14ac:dyDescent="0.2"/>
    <row r="1561" hidden="1" x14ac:dyDescent="0.2"/>
    <row r="1562" hidden="1" x14ac:dyDescent="0.2"/>
    <row r="1563" hidden="1" x14ac:dyDescent="0.2"/>
    <row r="1564" hidden="1" x14ac:dyDescent="0.2"/>
    <row r="1565" hidden="1" x14ac:dyDescent="0.2"/>
    <row r="1566" hidden="1" x14ac:dyDescent="0.2"/>
    <row r="1567" hidden="1" x14ac:dyDescent="0.2"/>
    <row r="1568" hidden="1" x14ac:dyDescent="0.2"/>
    <row r="1569" hidden="1" x14ac:dyDescent="0.2"/>
    <row r="1570" hidden="1" x14ac:dyDescent="0.2"/>
    <row r="1571" hidden="1" x14ac:dyDescent="0.2"/>
    <row r="1572" hidden="1" x14ac:dyDescent="0.2"/>
    <row r="1573" hidden="1" x14ac:dyDescent="0.2"/>
    <row r="1574" hidden="1" x14ac:dyDescent="0.2"/>
    <row r="1575" hidden="1" x14ac:dyDescent="0.2"/>
    <row r="1576" hidden="1" x14ac:dyDescent="0.2"/>
    <row r="1577" hidden="1" x14ac:dyDescent="0.2"/>
    <row r="1578" hidden="1" x14ac:dyDescent="0.2"/>
    <row r="1579" hidden="1" x14ac:dyDescent="0.2"/>
    <row r="1580" hidden="1" x14ac:dyDescent="0.2"/>
    <row r="1581" hidden="1" x14ac:dyDescent="0.2"/>
    <row r="1582" hidden="1" x14ac:dyDescent="0.2"/>
    <row r="1583" hidden="1" x14ac:dyDescent="0.2"/>
    <row r="1584" hidden="1" x14ac:dyDescent="0.2"/>
    <row r="1585" hidden="1" x14ac:dyDescent="0.2"/>
    <row r="1586" hidden="1" x14ac:dyDescent="0.2"/>
    <row r="1587" hidden="1" x14ac:dyDescent="0.2"/>
    <row r="1588" hidden="1" x14ac:dyDescent="0.2"/>
    <row r="1589" hidden="1" x14ac:dyDescent="0.2"/>
    <row r="1590" hidden="1" x14ac:dyDescent="0.2"/>
    <row r="1591" hidden="1" x14ac:dyDescent="0.2"/>
    <row r="1592" hidden="1" x14ac:dyDescent="0.2"/>
    <row r="1593" hidden="1" x14ac:dyDescent="0.2"/>
    <row r="1594" hidden="1" x14ac:dyDescent="0.2"/>
    <row r="1595" hidden="1" x14ac:dyDescent="0.2"/>
    <row r="1596" hidden="1" x14ac:dyDescent="0.2"/>
    <row r="1597" hidden="1" x14ac:dyDescent="0.2"/>
    <row r="1598" hidden="1" x14ac:dyDescent="0.2"/>
    <row r="1599" hidden="1" x14ac:dyDescent="0.2"/>
    <row r="1600" hidden="1" x14ac:dyDescent="0.2"/>
    <row r="1601" hidden="1" x14ac:dyDescent="0.2"/>
    <row r="1602" hidden="1" x14ac:dyDescent="0.2"/>
    <row r="1603" hidden="1" x14ac:dyDescent="0.2"/>
    <row r="1604" hidden="1" x14ac:dyDescent="0.2"/>
    <row r="1605" hidden="1" x14ac:dyDescent="0.2"/>
    <row r="1606" hidden="1" x14ac:dyDescent="0.2"/>
    <row r="1607" hidden="1" x14ac:dyDescent="0.2"/>
    <row r="1608" hidden="1" x14ac:dyDescent="0.2"/>
    <row r="1609" hidden="1" x14ac:dyDescent="0.2"/>
    <row r="1610" hidden="1" x14ac:dyDescent="0.2"/>
    <row r="1611" hidden="1" x14ac:dyDescent="0.2"/>
    <row r="1612" hidden="1" x14ac:dyDescent="0.2"/>
    <row r="1613" hidden="1" x14ac:dyDescent="0.2"/>
    <row r="1614" hidden="1" x14ac:dyDescent="0.2"/>
    <row r="1615" hidden="1" x14ac:dyDescent="0.2"/>
    <row r="1616" hidden="1" x14ac:dyDescent="0.2"/>
    <row r="1617" hidden="1" x14ac:dyDescent="0.2"/>
    <row r="1618" hidden="1" x14ac:dyDescent="0.2"/>
    <row r="1619" hidden="1" x14ac:dyDescent="0.2"/>
    <row r="1620" hidden="1" x14ac:dyDescent="0.2"/>
    <row r="1621" hidden="1" x14ac:dyDescent="0.2"/>
    <row r="1622" hidden="1" x14ac:dyDescent="0.2"/>
    <row r="1623" hidden="1" x14ac:dyDescent="0.2"/>
    <row r="1624" hidden="1" x14ac:dyDescent="0.2"/>
    <row r="1625" hidden="1" x14ac:dyDescent="0.2"/>
    <row r="1626" hidden="1" x14ac:dyDescent="0.2"/>
    <row r="1627" hidden="1" x14ac:dyDescent="0.2"/>
    <row r="1628" hidden="1" x14ac:dyDescent="0.2"/>
    <row r="1629" hidden="1" x14ac:dyDescent="0.2"/>
    <row r="1630" hidden="1" x14ac:dyDescent="0.2"/>
    <row r="1631" hidden="1" x14ac:dyDescent="0.2"/>
    <row r="1632" hidden="1" x14ac:dyDescent="0.2"/>
    <row r="1633" hidden="1" x14ac:dyDescent="0.2"/>
    <row r="1634" hidden="1" x14ac:dyDescent="0.2"/>
    <row r="1635" hidden="1" x14ac:dyDescent="0.2"/>
    <row r="1636" hidden="1" x14ac:dyDescent="0.2"/>
    <row r="1637" hidden="1" x14ac:dyDescent="0.2"/>
    <row r="1638" hidden="1" x14ac:dyDescent="0.2"/>
    <row r="1639" hidden="1" x14ac:dyDescent="0.2"/>
    <row r="1640" hidden="1" x14ac:dyDescent="0.2"/>
    <row r="1641" hidden="1" x14ac:dyDescent="0.2"/>
    <row r="1642" hidden="1" x14ac:dyDescent="0.2"/>
    <row r="1643" hidden="1" x14ac:dyDescent="0.2"/>
    <row r="1644" hidden="1" x14ac:dyDescent="0.2"/>
    <row r="1645" hidden="1" x14ac:dyDescent="0.2"/>
    <row r="1646" hidden="1" x14ac:dyDescent="0.2"/>
    <row r="1647" hidden="1" x14ac:dyDescent="0.2"/>
    <row r="1648" hidden="1" x14ac:dyDescent="0.2"/>
    <row r="1649" hidden="1" x14ac:dyDescent="0.2"/>
    <row r="1650" hidden="1" x14ac:dyDescent="0.2"/>
    <row r="1651" hidden="1" x14ac:dyDescent="0.2"/>
    <row r="1652" hidden="1" x14ac:dyDescent="0.2"/>
    <row r="1653" hidden="1" x14ac:dyDescent="0.2"/>
    <row r="1654" hidden="1" x14ac:dyDescent="0.2"/>
    <row r="1655" hidden="1" x14ac:dyDescent="0.2"/>
    <row r="1656" hidden="1" x14ac:dyDescent="0.2"/>
    <row r="1657" hidden="1" x14ac:dyDescent="0.2"/>
    <row r="1658" hidden="1" x14ac:dyDescent="0.2"/>
    <row r="1659" hidden="1" x14ac:dyDescent="0.2"/>
    <row r="1660" hidden="1" x14ac:dyDescent="0.2"/>
    <row r="1661" hidden="1" x14ac:dyDescent="0.2"/>
    <row r="1662" hidden="1" x14ac:dyDescent="0.2"/>
    <row r="1663" hidden="1" x14ac:dyDescent="0.2"/>
    <row r="1664" hidden="1" x14ac:dyDescent="0.2"/>
    <row r="1665" hidden="1" x14ac:dyDescent="0.2"/>
    <row r="1666" hidden="1" x14ac:dyDescent="0.2"/>
    <row r="1667" hidden="1" x14ac:dyDescent="0.2"/>
    <row r="1668" hidden="1" x14ac:dyDescent="0.2"/>
    <row r="1669" hidden="1" x14ac:dyDescent="0.2"/>
    <row r="1670" hidden="1" x14ac:dyDescent="0.2"/>
    <row r="1671" hidden="1" x14ac:dyDescent="0.2"/>
    <row r="1672" hidden="1" x14ac:dyDescent="0.2"/>
    <row r="1673" hidden="1" x14ac:dyDescent="0.2"/>
    <row r="1674" hidden="1" x14ac:dyDescent="0.2"/>
    <row r="1675" hidden="1" x14ac:dyDescent="0.2"/>
    <row r="1676" hidden="1" x14ac:dyDescent="0.2"/>
    <row r="1677" hidden="1" x14ac:dyDescent="0.2"/>
    <row r="1678" hidden="1" x14ac:dyDescent="0.2"/>
    <row r="1679" hidden="1" x14ac:dyDescent="0.2"/>
    <row r="1680" hidden="1" x14ac:dyDescent="0.2"/>
    <row r="1681" hidden="1" x14ac:dyDescent="0.2"/>
    <row r="1682" hidden="1" x14ac:dyDescent="0.2"/>
    <row r="1683" hidden="1" x14ac:dyDescent="0.2"/>
    <row r="1684" hidden="1" x14ac:dyDescent="0.2"/>
    <row r="1685" hidden="1" x14ac:dyDescent="0.2"/>
    <row r="1686" hidden="1" x14ac:dyDescent="0.2"/>
    <row r="1687" hidden="1" x14ac:dyDescent="0.2"/>
    <row r="1688" hidden="1" x14ac:dyDescent="0.2"/>
    <row r="1689" hidden="1" x14ac:dyDescent="0.2"/>
    <row r="1690" hidden="1" x14ac:dyDescent="0.2"/>
    <row r="1691" hidden="1" x14ac:dyDescent="0.2"/>
    <row r="1692" hidden="1" x14ac:dyDescent="0.2"/>
    <row r="1693" hidden="1" x14ac:dyDescent="0.2"/>
    <row r="1694" hidden="1" x14ac:dyDescent="0.2"/>
    <row r="1695" hidden="1" x14ac:dyDescent="0.2"/>
    <row r="1696" hidden="1" x14ac:dyDescent="0.2"/>
    <row r="1697" hidden="1" x14ac:dyDescent="0.2"/>
    <row r="1698" hidden="1" x14ac:dyDescent="0.2"/>
    <row r="1699" hidden="1" x14ac:dyDescent="0.2"/>
    <row r="1700" hidden="1" x14ac:dyDescent="0.2"/>
    <row r="1701" hidden="1" x14ac:dyDescent="0.2"/>
    <row r="1702" hidden="1" x14ac:dyDescent="0.2"/>
    <row r="1703" hidden="1" x14ac:dyDescent="0.2"/>
    <row r="1704" hidden="1" x14ac:dyDescent="0.2"/>
    <row r="1705" hidden="1" x14ac:dyDescent="0.2"/>
    <row r="1706" hidden="1" x14ac:dyDescent="0.2"/>
    <row r="1707" hidden="1" x14ac:dyDescent="0.2"/>
    <row r="1708" hidden="1" x14ac:dyDescent="0.2"/>
    <row r="1709" hidden="1" x14ac:dyDescent="0.2"/>
    <row r="1710" hidden="1" x14ac:dyDescent="0.2"/>
    <row r="1711" hidden="1" x14ac:dyDescent="0.2"/>
    <row r="1712" hidden="1" x14ac:dyDescent="0.2"/>
    <row r="1713" hidden="1" x14ac:dyDescent="0.2"/>
    <row r="1714" hidden="1" x14ac:dyDescent="0.2"/>
    <row r="1715" hidden="1" x14ac:dyDescent="0.2"/>
    <row r="1716" hidden="1" x14ac:dyDescent="0.2"/>
    <row r="1717" hidden="1" x14ac:dyDescent="0.2"/>
    <row r="1718" hidden="1" x14ac:dyDescent="0.2"/>
    <row r="1719" hidden="1" x14ac:dyDescent="0.2"/>
    <row r="1720" hidden="1" x14ac:dyDescent="0.2"/>
    <row r="1721" hidden="1" x14ac:dyDescent="0.2"/>
    <row r="1722" hidden="1" x14ac:dyDescent="0.2"/>
    <row r="1723" hidden="1" x14ac:dyDescent="0.2"/>
    <row r="1724" hidden="1" x14ac:dyDescent="0.2"/>
    <row r="1725" hidden="1" x14ac:dyDescent="0.2"/>
    <row r="1726" hidden="1" x14ac:dyDescent="0.2"/>
    <row r="1727" hidden="1" x14ac:dyDescent="0.2"/>
    <row r="1728" hidden="1" x14ac:dyDescent="0.2"/>
    <row r="1729" hidden="1" x14ac:dyDescent="0.2"/>
    <row r="1730" hidden="1" x14ac:dyDescent="0.2"/>
    <row r="1731" hidden="1" x14ac:dyDescent="0.2"/>
    <row r="1732" hidden="1" x14ac:dyDescent="0.2"/>
    <row r="1733" hidden="1" x14ac:dyDescent="0.2"/>
    <row r="1734" hidden="1" x14ac:dyDescent="0.2"/>
    <row r="1735" hidden="1" x14ac:dyDescent="0.2"/>
    <row r="1736" hidden="1" x14ac:dyDescent="0.2"/>
    <row r="1737" hidden="1" x14ac:dyDescent="0.2"/>
    <row r="1738" hidden="1" x14ac:dyDescent="0.2"/>
    <row r="1739" hidden="1" x14ac:dyDescent="0.2"/>
    <row r="1740" hidden="1" x14ac:dyDescent="0.2"/>
    <row r="1741" hidden="1" x14ac:dyDescent="0.2"/>
    <row r="1742" hidden="1" x14ac:dyDescent="0.2"/>
    <row r="1743" hidden="1" x14ac:dyDescent="0.2"/>
    <row r="1744" hidden="1" x14ac:dyDescent="0.2"/>
    <row r="1745" hidden="1" x14ac:dyDescent="0.2"/>
    <row r="1746" hidden="1" x14ac:dyDescent="0.2"/>
    <row r="1747" hidden="1" x14ac:dyDescent="0.2"/>
    <row r="1748" hidden="1" x14ac:dyDescent="0.2"/>
    <row r="1749" hidden="1" x14ac:dyDescent="0.2"/>
    <row r="1750" hidden="1" x14ac:dyDescent="0.2"/>
    <row r="1751" hidden="1" x14ac:dyDescent="0.2"/>
    <row r="1752" hidden="1" x14ac:dyDescent="0.2"/>
    <row r="1753" hidden="1" x14ac:dyDescent="0.2"/>
    <row r="1754" hidden="1" x14ac:dyDescent="0.2"/>
    <row r="1755" hidden="1" x14ac:dyDescent="0.2"/>
    <row r="1756" hidden="1" x14ac:dyDescent="0.2"/>
    <row r="1757" hidden="1" x14ac:dyDescent="0.2"/>
    <row r="1758" hidden="1" x14ac:dyDescent="0.2"/>
    <row r="1759" hidden="1" x14ac:dyDescent="0.2"/>
    <row r="1760" hidden="1" x14ac:dyDescent="0.2"/>
    <row r="1761" hidden="1" x14ac:dyDescent="0.2"/>
    <row r="1762" hidden="1" x14ac:dyDescent="0.2"/>
    <row r="1763" hidden="1" x14ac:dyDescent="0.2"/>
    <row r="1764" hidden="1" x14ac:dyDescent="0.2"/>
    <row r="1765" hidden="1" x14ac:dyDescent="0.2"/>
    <row r="1766" hidden="1" x14ac:dyDescent="0.2"/>
    <row r="1767" hidden="1" x14ac:dyDescent="0.2"/>
    <row r="1768" hidden="1" x14ac:dyDescent="0.2"/>
    <row r="1769" hidden="1" x14ac:dyDescent="0.2"/>
    <row r="1770" hidden="1" x14ac:dyDescent="0.2"/>
    <row r="1771" hidden="1" x14ac:dyDescent="0.2"/>
    <row r="1772" hidden="1" x14ac:dyDescent="0.2"/>
    <row r="1773" hidden="1" x14ac:dyDescent="0.2"/>
    <row r="1774" hidden="1" x14ac:dyDescent="0.2"/>
    <row r="1775" hidden="1" x14ac:dyDescent="0.2"/>
    <row r="1776" hidden="1" x14ac:dyDescent="0.2"/>
    <row r="1777" hidden="1" x14ac:dyDescent="0.2"/>
    <row r="1778" hidden="1" x14ac:dyDescent="0.2"/>
    <row r="1779" hidden="1" x14ac:dyDescent="0.2"/>
    <row r="1780" hidden="1" x14ac:dyDescent="0.2"/>
    <row r="1781" hidden="1" x14ac:dyDescent="0.2"/>
    <row r="1782" hidden="1" x14ac:dyDescent="0.2"/>
    <row r="1783" hidden="1" x14ac:dyDescent="0.2"/>
    <row r="1784" hidden="1" x14ac:dyDescent="0.2"/>
    <row r="1785" hidden="1" x14ac:dyDescent="0.2"/>
    <row r="1786" hidden="1" x14ac:dyDescent="0.2"/>
    <row r="1787" hidden="1" x14ac:dyDescent="0.2"/>
    <row r="1788" hidden="1" x14ac:dyDescent="0.2"/>
    <row r="1789" hidden="1" x14ac:dyDescent="0.2"/>
    <row r="1790" hidden="1" x14ac:dyDescent="0.2"/>
    <row r="1791" hidden="1" x14ac:dyDescent="0.2"/>
    <row r="1792" hidden="1" x14ac:dyDescent="0.2"/>
    <row r="1793" hidden="1" x14ac:dyDescent="0.2"/>
    <row r="1794" hidden="1" x14ac:dyDescent="0.2"/>
    <row r="1795" hidden="1" x14ac:dyDescent="0.2"/>
    <row r="1796" hidden="1" x14ac:dyDescent="0.2"/>
    <row r="1797" hidden="1" x14ac:dyDescent="0.2"/>
    <row r="1798" hidden="1" x14ac:dyDescent="0.2"/>
    <row r="1799" hidden="1" x14ac:dyDescent="0.2"/>
    <row r="1800" hidden="1" x14ac:dyDescent="0.2"/>
    <row r="1801" hidden="1" x14ac:dyDescent="0.2"/>
    <row r="1802" hidden="1" x14ac:dyDescent="0.2"/>
    <row r="1803" hidden="1" x14ac:dyDescent="0.2"/>
    <row r="1804" hidden="1" x14ac:dyDescent="0.2"/>
    <row r="1805" hidden="1" x14ac:dyDescent="0.2"/>
    <row r="1806" hidden="1" x14ac:dyDescent="0.2"/>
    <row r="1807" hidden="1" x14ac:dyDescent="0.2"/>
    <row r="1808" hidden="1" x14ac:dyDescent="0.2"/>
    <row r="1809" hidden="1" x14ac:dyDescent="0.2"/>
    <row r="1810" hidden="1" x14ac:dyDescent="0.2"/>
    <row r="1811" hidden="1" x14ac:dyDescent="0.2"/>
    <row r="1812" hidden="1" x14ac:dyDescent="0.2"/>
    <row r="1813" hidden="1" x14ac:dyDescent="0.2"/>
    <row r="1814" hidden="1" x14ac:dyDescent="0.2"/>
    <row r="1815" hidden="1" x14ac:dyDescent="0.2"/>
    <row r="1816" hidden="1" x14ac:dyDescent="0.2"/>
    <row r="1817" hidden="1" x14ac:dyDescent="0.2"/>
    <row r="1818" hidden="1" x14ac:dyDescent="0.2"/>
    <row r="1819" hidden="1" x14ac:dyDescent="0.2"/>
    <row r="1820" hidden="1" x14ac:dyDescent="0.2"/>
    <row r="1821" hidden="1" x14ac:dyDescent="0.2"/>
    <row r="1822" hidden="1" x14ac:dyDescent="0.2"/>
    <row r="1823" hidden="1" x14ac:dyDescent="0.2"/>
    <row r="1824" hidden="1" x14ac:dyDescent="0.2"/>
    <row r="1825" hidden="1" x14ac:dyDescent="0.2"/>
    <row r="1826" hidden="1" x14ac:dyDescent="0.2"/>
    <row r="1827" hidden="1" x14ac:dyDescent="0.2"/>
    <row r="1828" hidden="1" x14ac:dyDescent="0.2"/>
    <row r="1829" hidden="1" x14ac:dyDescent="0.2"/>
    <row r="1830" hidden="1" x14ac:dyDescent="0.2"/>
    <row r="1831" hidden="1" x14ac:dyDescent="0.2"/>
    <row r="1832" hidden="1" x14ac:dyDescent="0.2"/>
    <row r="1833" hidden="1" x14ac:dyDescent="0.2"/>
    <row r="1834" hidden="1" x14ac:dyDescent="0.2"/>
    <row r="1835" hidden="1" x14ac:dyDescent="0.2"/>
    <row r="1836" hidden="1" x14ac:dyDescent="0.2"/>
    <row r="1837" hidden="1" x14ac:dyDescent="0.2"/>
    <row r="1838" hidden="1" x14ac:dyDescent="0.2"/>
    <row r="1839" hidden="1" x14ac:dyDescent="0.2"/>
    <row r="1840" hidden="1" x14ac:dyDescent="0.2"/>
    <row r="1841" hidden="1" x14ac:dyDescent="0.2"/>
    <row r="1842" hidden="1" x14ac:dyDescent="0.2"/>
    <row r="1843" hidden="1" x14ac:dyDescent="0.2"/>
    <row r="1844" hidden="1" x14ac:dyDescent="0.2"/>
    <row r="1845" hidden="1" x14ac:dyDescent="0.2"/>
    <row r="1846" hidden="1" x14ac:dyDescent="0.2"/>
    <row r="1847" hidden="1" x14ac:dyDescent="0.2"/>
    <row r="1848" hidden="1" x14ac:dyDescent="0.2"/>
    <row r="1849" hidden="1" x14ac:dyDescent="0.2"/>
    <row r="1850" hidden="1" x14ac:dyDescent="0.2"/>
    <row r="1851" hidden="1" x14ac:dyDescent="0.2"/>
    <row r="1852" hidden="1" x14ac:dyDescent="0.2"/>
    <row r="1853" hidden="1" x14ac:dyDescent="0.2"/>
    <row r="1854" hidden="1" x14ac:dyDescent="0.2"/>
    <row r="1855" hidden="1" x14ac:dyDescent="0.2"/>
    <row r="1856" hidden="1" x14ac:dyDescent="0.2"/>
    <row r="1857" hidden="1" x14ac:dyDescent="0.2"/>
    <row r="1858" hidden="1" x14ac:dyDescent="0.2"/>
    <row r="1859" hidden="1" x14ac:dyDescent="0.2"/>
    <row r="1860" hidden="1" x14ac:dyDescent="0.2"/>
    <row r="1861" hidden="1" x14ac:dyDescent="0.2"/>
    <row r="1862" hidden="1" x14ac:dyDescent="0.2"/>
    <row r="1863" hidden="1" x14ac:dyDescent="0.2"/>
    <row r="1864" hidden="1" x14ac:dyDescent="0.2"/>
    <row r="1865" hidden="1" x14ac:dyDescent="0.2"/>
    <row r="1866" hidden="1" x14ac:dyDescent="0.2"/>
    <row r="1867" hidden="1" x14ac:dyDescent="0.2"/>
    <row r="1868" hidden="1" x14ac:dyDescent="0.2"/>
    <row r="1869" hidden="1" x14ac:dyDescent="0.2"/>
    <row r="1870" hidden="1" x14ac:dyDescent="0.2"/>
    <row r="1871" hidden="1" x14ac:dyDescent="0.2"/>
    <row r="1872" hidden="1" x14ac:dyDescent="0.2"/>
    <row r="1873" hidden="1" x14ac:dyDescent="0.2"/>
    <row r="1874" hidden="1" x14ac:dyDescent="0.2"/>
    <row r="1875" hidden="1" x14ac:dyDescent="0.2"/>
    <row r="1876" hidden="1" x14ac:dyDescent="0.2"/>
    <row r="1877" hidden="1" x14ac:dyDescent="0.2"/>
    <row r="1878" hidden="1" x14ac:dyDescent="0.2"/>
    <row r="1879" hidden="1" x14ac:dyDescent="0.2"/>
    <row r="1880" hidden="1" x14ac:dyDescent="0.2"/>
    <row r="1881" hidden="1" x14ac:dyDescent="0.2"/>
    <row r="1882" hidden="1" x14ac:dyDescent="0.2"/>
    <row r="1883" hidden="1" x14ac:dyDescent="0.2"/>
    <row r="1884" hidden="1" x14ac:dyDescent="0.2"/>
    <row r="1885" hidden="1" x14ac:dyDescent="0.2"/>
    <row r="1886" hidden="1" x14ac:dyDescent="0.2"/>
    <row r="1887" hidden="1" x14ac:dyDescent="0.2"/>
    <row r="1888" hidden="1" x14ac:dyDescent="0.2"/>
    <row r="1889" hidden="1" x14ac:dyDescent="0.2"/>
    <row r="1890" hidden="1" x14ac:dyDescent="0.2"/>
    <row r="1891" hidden="1" x14ac:dyDescent="0.2"/>
    <row r="1892" hidden="1" x14ac:dyDescent="0.2"/>
    <row r="1893" hidden="1" x14ac:dyDescent="0.2"/>
    <row r="1894" hidden="1" x14ac:dyDescent="0.2"/>
    <row r="1895" hidden="1" x14ac:dyDescent="0.2"/>
    <row r="1896" hidden="1" x14ac:dyDescent="0.2"/>
    <row r="1897" hidden="1" x14ac:dyDescent="0.2"/>
    <row r="1898" hidden="1" x14ac:dyDescent="0.2"/>
    <row r="1899" hidden="1" x14ac:dyDescent="0.2"/>
    <row r="1900" hidden="1" x14ac:dyDescent="0.2"/>
    <row r="1901" hidden="1" x14ac:dyDescent="0.2"/>
    <row r="1902" hidden="1" x14ac:dyDescent="0.2"/>
    <row r="1903" hidden="1" x14ac:dyDescent="0.2"/>
    <row r="1904" hidden="1" x14ac:dyDescent="0.2"/>
    <row r="1905" hidden="1" x14ac:dyDescent="0.2"/>
    <row r="1906" hidden="1" x14ac:dyDescent="0.2"/>
    <row r="1907" hidden="1" x14ac:dyDescent="0.2"/>
    <row r="1908" hidden="1" x14ac:dyDescent="0.2"/>
    <row r="1909" hidden="1" x14ac:dyDescent="0.2"/>
    <row r="1910" hidden="1" x14ac:dyDescent="0.2"/>
    <row r="1911" hidden="1" x14ac:dyDescent="0.2"/>
    <row r="1912" hidden="1" x14ac:dyDescent="0.2"/>
    <row r="1913" hidden="1" x14ac:dyDescent="0.2"/>
    <row r="1914" hidden="1" x14ac:dyDescent="0.2"/>
    <row r="1915" hidden="1" x14ac:dyDescent="0.2"/>
    <row r="1916" hidden="1" x14ac:dyDescent="0.2"/>
    <row r="1917" hidden="1" x14ac:dyDescent="0.2"/>
    <row r="1918" hidden="1" x14ac:dyDescent="0.2"/>
    <row r="1919" hidden="1" x14ac:dyDescent="0.2"/>
    <row r="1920" hidden="1" x14ac:dyDescent="0.2"/>
    <row r="1921" hidden="1" x14ac:dyDescent="0.2"/>
    <row r="1922" hidden="1" x14ac:dyDescent="0.2"/>
    <row r="1923" hidden="1" x14ac:dyDescent="0.2"/>
    <row r="1924" hidden="1" x14ac:dyDescent="0.2"/>
    <row r="1925" hidden="1" x14ac:dyDescent="0.2"/>
    <row r="1926" hidden="1" x14ac:dyDescent="0.2"/>
    <row r="1927" hidden="1" x14ac:dyDescent="0.2"/>
    <row r="1928" hidden="1" x14ac:dyDescent="0.2"/>
    <row r="1929" hidden="1" x14ac:dyDescent="0.2"/>
    <row r="1930" hidden="1" x14ac:dyDescent="0.2"/>
    <row r="1931" hidden="1" x14ac:dyDescent="0.2"/>
    <row r="1932" hidden="1" x14ac:dyDescent="0.2"/>
    <row r="1933" hidden="1" x14ac:dyDescent="0.2"/>
    <row r="1934" hidden="1" x14ac:dyDescent="0.2"/>
    <row r="1935" hidden="1" x14ac:dyDescent="0.2"/>
    <row r="1936" hidden="1" x14ac:dyDescent="0.2"/>
    <row r="1937" hidden="1" x14ac:dyDescent="0.2"/>
    <row r="1938" hidden="1" x14ac:dyDescent="0.2"/>
    <row r="1939" hidden="1" x14ac:dyDescent="0.2"/>
    <row r="1940" hidden="1" x14ac:dyDescent="0.2"/>
    <row r="1941" hidden="1" x14ac:dyDescent="0.2"/>
    <row r="1942" hidden="1" x14ac:dyDescent="0.2"/>
    <row r="1943" hidden="1" x14ac:dyDescent="0.2"/>
    <row r="1944" hidden="1" x14ac:dyDescent="0.2"/>
    <row r="1945" hidden="1" x14ac:dyDescent="0.2"/>
    <row r="1946" hidden="1" x14ac:dyDescent="0.2"/>
    <row r="1947" hidden="1" x14ac:dyDescent="0.2"/>
    <row r="1948" hidden="1" x14ac:dyDescent="0.2"/>
    <row r="1949" hidden="1" x14ac:dyDescent="0.2"/>
    <row r="1950" hidden="1" x14ac:dyDescent="0.2"/>
    <row r="1951" hidden="1" x14ac:dyDescent="0.2"/>
    <row r="1952" hidden="1" x14ac:dyDescent="0.2"/>
    <row r="1953" hidden="1" x14ac:dyDescent="0.2"/>
    <row r="1954" hidden="1" x14ac:dyDescent="0.2"/>
    <row r="1955" hidden="1" x14ac:dyDescent="0.2"/>
    <row r="1956" hidden="1" x14ac:dyDescent="0.2"/>
    <row r="1957" hidden="1" x14ac:dyDescent="0.2"/>
    <row r="1958" hidden="1" x14ac:dyDescent="0.2"/>
    <row r="1959" hidden="1" x14ac:dyDescent="0.2"/>
    <row r="1960" hidden="1" x14ac:dyDescent="0.2"/>
    <row r="1961" hidden="1" x14ac:dyDescent="0.2"/>
    <row r="1962" hidden="1" x14ac:dyDescent="0.2"/>
    <row r="1963" hidden="1" x14ac:dyDescent="0.2"/>
    <row r="1964" hidden="1" x14ac:dyDescent="0.2"/>
    <row r="1965" hidden="1" x14ac:dyDescent="0.2"/>
    <row r="1966" hidden="1" x14ac:dyDescent="0.2"/>
    <row r="1967" hidden="1" x14ac:dyDescent="0.2"/>
    <row r="1968" hidden="1" x14ac:dyDescent="0.2"/>
    <row r="1969" hidden="1" x14ac:dyDescent="0.2"/>
    <row r="1970" hidden="1" x14ac:dyDescent="0.2"/>
    <row r="1971" hidden="1" x14ac:dyDescent="0.2"/>
    <row r="1972" hidden="1" x14ac:dyDescent="0.2"/>
    <row r="1973" hidden="1" x14ac:dyDescent="0.2"/>
    <row r="1974" hidden="1" x14ac:dyDescent="0.2"/>
    <row r="1975" hidden="1" x14ac:dyDescent="0.2"/>
    <row r="1976" hidden="1" x14ac:dyDescent="0.2"/>
    <row r="1977" hidden="1" x14ac:dyDescent="0.2"/>
    <row r="1978" hidden="1" x14ac:dyDescent="0.2"/>
    <row r="1979" hidden="1" x14ac:dyDescent="0.2"/>
    <row r="1980" hidden="1" x14ac:dyDescent="0.2"/>
    <row r="1981" hidden="1" x14ac:dyDescent="0.2"/>
    <row r="1982" hidden="1" x14ac:dyDescent="0.2"/>
    <row r="1983" hidden="1" x14ac:dyDescent="0.2"/>
    <row r="1984" hidden="1" x14ac:dyDescent="0.2"/>
    <row r="1985" hidden="1" x14ac:dyDescent="0.2"/>
    <row r="1986" hidden="1" x14ac:dyDescent="0.2"/>
    <row r="1987" hidden="1" x14ac:dyDescent="0.2"/>
    <row r="1988" hidden="1" x14ac:dyDescent="0.2"/>
    <row r="1989" hidden="1" x14ac:dyDescent="0.2"/>
    <row r="1990" hidden="1" x14ac:dyDescent="0.2"/>
    <row r="1991" hidden="1" x14ac:dyDescent="0.2"/>
    <row r="1992" hidden="1" x14ac:dyDescent="0.2"/>
    <row r="1993" hidden="1" x14ac:dyDescent="0.2"/>
    <row r="1994" hidden="1" x14ac:dyDescent="0.2"/>
    <row r="1995" hidden="1" x14ac:dyDescent="0.2"/>
    <row r="1996" hidden="1" x14ac:dyDescent="0.2"/>
    <row r="1997" hidden="1" x14ac:dyDescent="0.2"/>
    <row r="1998" hidden="1" x14ac:dyDescent="0.2"/>
    <row r="1999" hidden="1" x14ac:dyDescent="0.2"/>
    <row r="2000" hidden="1" x14ac:dyDescent="0.2"/>
    <row r="2001" hidden="1" x14ac:dyDescent="0.2"/>
    <row r="2002" hidden="1" x14ac:dyDescent="0.2"/>
    <row r="2003" hidden="1" x14ac:dyDescent="0.2"/>
    <row r="2004" hidden="1" x14ac:dyDescent="0.2"/>
    <row r="2005" hidden="1" x14ac:dyDescent="0.2"/>
    <row r="2006" hidden="1" x14ac:dyDescent="0.2"/>
    <row r="2007" hidden="1" x14ac:dyDescent="0.2"/>
    <row r="2008" hidden="1" x14ac:dyDescent="0.2"/>
    <row r="2009" hidden="1" x14ac:dyDescent="0.2"/>
    <row r="2010" hidden="1" x14ac:dyDescent="0.2"/>
    <row r="2011" hidden="1" x14ac:dyDescent="0.2"/>
    <row r="2012" hidden="1" x14ac:dyDescent="0.2"/>
    <row r="2013" hidden="1" x14ac:dyDescent="0.2"/>
  </sheetData>
  <autoFilter ref="A1:BC2013" xr:uid="{00000000-0001-0000-0400-000000000000}">
    <filterColumn colId="21" showButton="0">
      <filters>
        <filter val="INTA +"/>
        <filter val="INTB +"/>
      </filters>
    </filterColumn>
  </autoFilter>
  <sortState xmlns:xlrd2="http://schemas.microsoft.com/office/spreadsheetml/2017/richdata2" ref="A308:BC335">
    <sortCondition descending="1" ref="T308:T335"/>
  </sortState>
  <mergeCells count="1">
    <mergeCell ref="V1:W1"/>
  </mergeCells>
  <conditionalFormatting sqref="E57 E30:E31 E233:E238 E267 E11:E12 E14:E16 E240:E247 E87:E93 E189:E198 E105:E117 E269:E275 E65:E75 E77:E82 E277:E306 E308:E331">
    <cfRule type="cellIs" dxfId="814" priority="851" stopIfTrue="1" operator="notBetween">
      <formula>1</formula>
      <formula>100000</formula>
    </cfRule>
  </conditionalFormatting>
  <conditionalFormatting sqref="A57 A30:A31 A11:A12 A14:A16 A87:A93 A189:A198 A105:A114 A266:A275 A65:A75 A77:A82 A277:A306 A308:A331">
    <cfRule type="containsText" dxfId="813" priority="849" stopIfTrue="1" operator="containsText" text="H">
      <formula>NOT(ISERROR(SEARCH("H",A11)))</formula>
    </cfRule>
    <cfRule type="containsText" dxfId="812" priority="850" stopIfTrue="1" operator="containsText" text="F">
      <formula>NOT(ISERROR(SEARCH("F",A11)))</formula>
    </cfRule>
  </conditionalFormatting>
  <conditionalFormatting sqref="K57 K30:K31 K233:K238 K11:K12 K14:K16 K240:K247 K65:K72 K87:K93 K189:K198 K105:K117 K266:K275 K277:K306 K308:K331">
    <cfRule type="cellIs" dxfId="811" priority="848" stopIfTrue="1" operator="notEqual">
      <formula>"F"</formula>
    </cfRule>
  </conditionalFormatting>
  <conditionalFormatting sqref="L57:N57 L30:N31 P30:R31 L233:N238 P233:R238 L267:N267 P267:R267 L11:N12 P11:R12 L14:N16 P14:R16 P240:R247 L240:N247 L87:N93 P87:R93 P189:R193 L189:N198 L105:N117 P105:R117 P269:R275 L269:N275 L65:N75 P65:R75 P77:R82 L77:N82 L277:N306 P277:R306 P308:R331 L308:N331 L337:N65562 L1:N1">
    <cfRule type="cellIs" dxfId="810" priority="844" stopIfTrue="1" operator="lessThan">
      <formula>0</formula>
    </cfRule>
  </conditionalFormatting>
  <conditionalFormatting sqref="P194:R198">
    <cfRule type="cellIs" dxfId="809" priority="843" stopIfTrue="1" operator="lessThan">
      <formula>0</formula>
    </cfRule>
  </conditionalFormatting>
  <conditionalFormatting sqref="E199:E213 E215:E218">
    <cfRule type="cellIs" dxfId="808" priority="842" stopIfTrue="1" operator="notBetween">
      <formula>1</formula>
      <formula>100000</formula>
    </cfRule>
  </conditionalFormatting>
  <conditionalFormatting sqref="A199:A210">
    <cfRule type="containsText" dxfId="807" priority="840" stopIfTrue="1" operator="containsText" text="H">
      <formula>NOT(ISERROR(SEARCH("H",A199)))</formula>
    </cfRule>
    <cfRule type="containsText" dxfId="806" priority="841" stopIfTrue="1" operator="containsText" text="F">
      <formula>NOT(ISERROR(SEARCH("F",A199)))</formula>
    </cfRule>
  </conditionalFormatting>
  <conditionalFormatting sqref="K199:K213 K215:K218">
    <cfRule type="cellIs" dxfId="805" priority="839" stopIfTrue="1" operator="notEqual">
      <formula>"F"</formula>
    </cfRule>
  </conditionalFormatting>
  <conditionalFormatting sqref="L199:N213 L215:N218">
    <cfRule type="cellIs" dxfId="804" priority="835" stopIfTrue="1" operator="lessThan">
      <formula>0</formula>
    </cfRule>
  </conditionalFormatting>
  <conditionalFormatting sqref="P199:R213 P215:R218">
    <cfRule type="cellIs" dxfId="803" priority="834" stopIfTrue="1" operator="lessThan">
      <formula>0</formula>
    </cfRule>
  </conditionalFormatting>
  <conditionalFormatting sqref="E220">
    <cfRule type="cellIs" dxfId="802" priority="824" stopIfTrue="1" operator="notBetween">
      <formula>1</formula>
      <formula>100000</formula>
    </cfRule>
  </conditionalFormatting>
  <conditionalFormatting sqref="K220">
    <cfRule type="cellIs" dxfId="801" priority="821" stopIfTrue="1" operator="notEqual">
      <formula>"F"</formula>
    </cfRule>
  </conditionalFormatting>
  <conditionalFormatting sqref="L220:N220">
    <cfRule type="cellIs" dxfId="800" priority="817" stopIfTrue="1" operator="lessThan">
      <formula>0</formula>
    </cfRule>
  </conditionalFormatting>
  <conditionalFormatting sqref="P220:R220">
    <cfRule type="cellIs" dxfId="799" priority="816" stopIfTrue="1" operator="lessThan">
      <formula>0</formula>
    </cfRule>
  </conditionalFormatting>
  <conditionalFormatting sqref="E219">
    <cfRule type="cellIs" dxfId="798" priority="833" stopIfTrue="1" operator="notBetween">
      <formula>1</formula>
      <formula>100000</formula>
    </cfRule>
  </conditionalFormatting>
  <conditionalFormatting sqref="K219">
    <cfRule type="cellIs" dxfId="797" priority="830" stopIfTrue="1" operator="notEqual">
      <formula>"F"</formula>
    </cfRule>
  </conditionalFormatting>
  <conditionalFormatting sqref="L219:N219">
    <cfRule type="cellIs" dxfId="796" priority="826" stopIfTrue="1" operator="lessThan">
      <formula>0</formula>
    </cfRule>
  </conditionalFormatting>
  <conditionalFormatting sqref="P219:R219">
    <cfRule type="cellIs" dxfId="795" priority="825" stopIfTrue="1" operator="lessThan">
      <formula>0</formula>
    </cfRule>
  </conditionalFormatting>
  <conditionalFormatting sqref="E222:E227 E229:E231">
    <cfRule type="cellIs" dxfId="794" priority="815" stopIfTrue="1" operator="notBetween">
      <formula>1</formula>
      <formula>100000</formula>
    </cfRule>
  </conditionalFormatting>
  <conditionalFormatting sqref="K222:K227 K229:K231">
    <cfRule type="cellIs" dxfId="793" priority="812" stopIfTrue="1" operator="notEqual">
      <formula>"F"</formula>
    </cfRule>
  </conditionalFormatting>
  <conditionalFormatting sqref="L222:N227 L229:N231">
    <cfRule type="cellIs" dxfId="792" priority="808" stopIfTrue="1" operator="lessThan">
      <formula>0</formula>
    </cfRule>
  </conditionalFormatting>
  <conditionalFormatting sqref="P222:R227 P229:R231">
    <cfRule type="cellIs" dxfId="791" priority="807" stopIfTrue="1" operator="lessThan">
      <formula>0</formula>
    </cfRule>
  </conditionalFormatting>
  <conditionalFormatting sqref="P57:R57">
    <cfRule type="cellIs" dxfId="790" priority="797" stopIfTrue="1" operator="lessThan">
      <formula>0</formula>
    </cfRule>
  </conditionalFormatting>
  <conditionalFormatting sqref="H547:H65562 H57 H23 H26:H31 H215:H220 H222:H227 H233:H238 H267 H11:H12 H14:H16 H240:H247 H189:H213 H105:H117 H269:H275 H65:H75 H77:H93 H229:H231 H277:H306 H308:H331 H1">
    <cfRule type="cellIs" dxfId="789" priority="792" stopIfTrue="1" operator="between">
      <formula>2000</formula>
      <formula>2001</formula>
    </cfRule>
    <cfRule type="cellIs" dxfId="788" priority="793" stopIfTrue="1" operator="between">
      <formula>2002</formula>
      <formula>2020</formula>
    </cfRule>
    <cfRule type="cellIs" dxfId="787" priority="794" stopIfTrue="1" operator="between">
      <formula>1998</formula>
      <formula>1999</formula>
    </cfRule>
    <cfRule type="cellIs" dxfId="786" priority="795" stopIfTrue="1" operator="between">
      <formula>1995</formula>
      <formula>1997</formula>
    </cfRule>
    <cfRule type="cellIs" dxfId="785" priority="796" stopIfTrue="1" operator="lessThan">
      <formula>1995</formula>
    </cfRule>
  </conditionalFormatting>
  <conditionalFormatting sqref="W57 W23 W26:W31 W215:W220 W222:W227 W233:W238 W267 W11:W12 W14:W16 W240:W247 W189:W213 W105:W117 W269:W275 W65:W75 W77:W93 W229:W231 W277:W306 W308:W331 W337:W1048576 W1">
    <cfRule type="cellIs" dxfId="784" priority="780" operator="lessThan">
      <formula>0</formula>
    </cfRule>
  </conditionalFormatting>
  <conditionalFormatting sqref="E58:E62">
    <cfRule type="cellIs" dxfId="783" priority="779" stopIfTrue="1" operator="notBetween">
      <formula>1</formula>
      <formula>100000</formula>
    </cfRule>
  </conditionalFormatting>
  <conditionalFormatting sqref="A58:A62">
    <cfRule type="containsText" dxfId="782" priority="777" stopIfTrue="1" operator="containsText" text="H">
      <formula>NOT(ISERROR(SEARCH("H",A58)))</formula>
    </cfRule>
    <cfRule type="containsText" dxfId="781" priority="778" stopIfTrue="1" operator="containsText" text="F">
      <formula>NOT(ISERROR(SEARCH("F",A58)))</formula>
    </cfRule>
  </conditionalFormatting>
  <conditionalFormatting sqref="K58:K62">
    <cfRule type="cellIs" dxfId="780" priority="776" stopIfTrue="1" operator="notEqual">
      <formula>"F"</formula>
    </cfRule>
  </conditionalFormatting>
  <conditionalFormatting sqref="L58:N62">
    <cfRule type="cellIs" dxfId="779" priority="775" stopIfTrue="1" operator="lessThan">
      <formula>0</formula>
    </cfRule>
  </conditionalFormatting>
  <conditionalFormatting sqref="P58:R62">
    <cfRule type="cellIs" dxfId="778" priority="774" stopIfTrue="1" operator="lessThan">
      <formula>0</formula>
    </cfRule>
  </conditionalFormatting>
  <conditionalFormatting sqref="E63:E64">
    <cfRule type="cellIs" dxfId="777" priority="773" stopIfTrue="1" operator="notBetween">
      <formula>1</formula>
      <formula>100000</formula>
    </cfRule>
  </conditionalFormatting>
  <conditionalFormatting sqref="A63:A64">
    <cfRule type="containsText" dxfId="776" priority="771" stopIfTrue="1" operator="containsText" text="H">
      <formula>NOT(ISERROR(SEARCH("H",A63)))</formula>
    </cfRule>
    <cfRule type="containsText" dxfId="775" priority="772" stopIfTrue="1" operator="containsText" text="F">
      <formula>NOT(ISERROR(SEARCH("F",A63)))</formula>
    </cfRule>
  </conditionalFormatting>
  <conditionalFormatting sqref="K63:K64">
    <cfRule type="cellIs" dxfId="774" priority="770" stopIfTrue="1" operator="notEqual">
      <formula>"F"</formula>
    </cfRule>
  </conditionalFormatting>
  <conditionalFormatting sqref="L63:N64">
    <cfRule type="cellIs" dxfId="773" priority="769" stopIfTrue="1" operator="lessThan">
      <formula>0</formula>
    </cfRule>
  </conditionalFormatting>
  <conditionalFormatting sqref="P63:R64">
    <cfRule type="cellIs" dxfId="772" priority="768" stopIfTrue="1" operator="lessThan">
      <formula>0</formula>
    </cfRule>
  </conditionalFormatting>
  <conditionalFormatting sqref="H58:H64">
    <cfRule type="cellIs" dxfId="771" priority="763" stopIfTrue="1" operator="between">
      <formula>2000</formula>
      <formula>2001</formula>
    </cfRule>
    <cfRule type="cellIs" dxfId="770" priority="764" stopIfTrue="1" operator="between">
      <formula>2002</formula>
      <formula>2020</formula>
    </cfRule>
    <cfRule type="cellIs" dxfId="769" priority="765" stopIfTrue="1" operator="between">
      <formula>1998</formula>
      <formula>1999</formula>
    </cfRule>
    <cfRule type="cellIs" dxfId="768" priority="766" stopIfTrue="1" operator="between">
      <formula>1995</formula>
      <formula>1997</formula>
    </cfRule>
    <cfRule type="cellIs" dxfId="767" priority="767" stopIfTrue="1" operator="lessThan">
      <formula>1995</formula>
    </cfRule>
  </conditionalFormatting>
  <conditionalFormatting sqref="W58:W64">
    <cfRule type="cellIs" dxfId="766" priority="762" operator="lessThan">
      <formula>0</formula>
    </cfRule>
  </conditionalFormatting>
  <conditionalFormatting sqref="E23 E26:E29">
    <cfRule type="cellIs" dxfId="765" priority="761" stopIfTrue="1" operator="notBetween">
      <formula>1</formula>
      <formula>100000</formula>
    </cfRule>
  </conditionalFormatting>
  <conditionalFormatting sqref="A23 A26:A29">
    <cfRule type="containsText" dxfId="764" priority="759" stopIfTrue="1" operator="containsText" text="H">
      <formula>NOT(ISERROR(SEARCH("H",A23)))</formula>
    </cfRule>
    <cfRule type="containsText" dxfId="763" priority="760" stopIfTrue="1" operator="containsText" text="F">
      <formula>NOT(ISERROR(SEARCH("F",A23)))</formula>
    </cfRule>
  </conditionalFormatting>
  <conditionalFormatting sqref="K23 K26:K29">
    <cfRule type="cellIs" dxfId="762" priority="758" stopIfTrue="1" operator="notEqual">
      <formula>"F"</formula>
    </cfRule>
  </conditionalFormatting>
  <conditionalFormatting sqref="L23:N23 L26:N29">
    <cfRule type="cellIs" dxfId="761" priority="757" stopIfTrue="1" operator="lessThan">
      <formula>0</formula>
    </cfRule>
  </conditionalFormatting>
  <conditionalFormatting sqref="P23:R23 P26:R29">
    <cfRule type="cellIs" dxfId="760" priority="756" stopIfTrue="1" operator="lessThan">
      <formula>0</formula>
    </cfRule>
  </conditionalFormatting>
  <conditionalFormatting sqref="E53:E56">
    <cfRule type="cellIs" dxfId="759" priority="755" stopIfTrue="1" operator="notBetween">
      <formula>1</formula>
      <formula>100000</formula>
    </cfRule>
  </conditionalFormatting>
  <conditionalFormatting sqref="A53:A56">
    <cfRule type="containsText" dxfId="758" priority="753" stopIfTrue="1" operator="containsText" text="H">
      <formula>NOT(ISERROR(SEARCH("H",A53)))</formula>
    </cfRule>
    <cfRule type="containsText" dxfId="757" priority="754" stopIfTrue="1" operator="containsText" text="F">
      <formula>NOT(ISERROR(SEARCH("F",A53)))</formula>
    </cfRule>
  </conditionalFormatting>
  <conditionalFormatting sqref="K53:K56">
    <cfRule type="cellIs" dxfId="756" priority="752" stopIfTrue="1" operator="notEqual">
      <formula>"F"</formula>
    </cfRule>
  </conditionalFormatting>
  <conditionalFormatting sqref="L53:N56">
    <cfRule type="cellIs" dxfId="755" priority="751" stopIfTrue="1" operator="lessThan">
      <formula>0</formula>
    </cfRule>
  </conditionalFormatting>
  <conditionalFormatting sqref="P53:R56">
    <cfRule type="cellIs" dxfId="754" priority="750" stopIfTrue="1" operator="lessThan">
      <formula>0</formula>
    </cfRule>
  </conditionalFormatting>
  <conditionalFormatting sqref="P3:R4 P6:R6 P8:R8">
    <cfRule type="cellIs" dxfId="753" priority="737" stopIfTrue="1" operator="lessThan">
      <formula>0</formula>
    </cfRule>
  </conditionalFormatting>
  <conditionalFormatting sqref="H53:H56">
    <cfRule type="cellIs" dxfId="752" priority="744" stopIfTrue="1" operator="between">
      <formula>2000</formula>
      <formula>2001</formula>
    </cfRule>
    <cfRule type="cellIs" dxfId="751" priority="745" stopIfTrue="1" operator="between">
      <formula>2002</formula>
      <formula>2020</formula>
    </cfRule>
    <cfRule type="cellIs" dxfId="750" priority="746" stopIfTrue="1" operator="between">
      <formula>1998</formula>
      <formula>1999</formula>
    </cfRule>
    <cfRule type="cellIs" dxfId="749" priority="747" stopIfTrue="1" operator="between">
      <formula>1995</formula>
      <formula>1997</formula>
    </cfRule>
    <cfRule type="cellIs" dxfId="748" priority="748" stopIfTrue="1" operator="lessThan">
      <formula>1995</formula>
    </cfRule>
  </conditionalFormatting>
  <conditionalFormatting sqref="W53:W56">
    <cfRule type="cellIs" dxfId="747" priority="743" operator="lessThan">
      <formula>0</formula>
    </cfRule>
  </conditionalFormatting>
  <conditionalFormatting sqref="E3:E4 E6 E8">
    <cfRule type="cellIs" dxfId="746" priority="742" stopIfTrue="1" operator="notBetween">
      <formula>1</formula>
      <formula>100000</formula>
    </cfRule>
  </conditionalFormatting>
  <conditionalFormatting sqref="A3:A4 A6 A8">
    <cfRule type="containsText" dxfId="745" priority="740" stopIfTrue="1" operator="containsText" text="H">
      <formula>NOT(ISERROR(SEARCH("H",A3)))</formula>
    </cfRule>
    <cfRule type="containsText" dxfId="744" priority="741" stopIfTrue="1" operator="containsText" text="F">
      <formula>NOT(ISERROR(SEARCH("F",A3)))</formula>
    </cfRule>
  </conditionalFormatting>
  <conditionalFormatting sqref="K3:K4 K6 K8">
    <cfRule type="cellIs" dxfId="743" priority="739" stopIfTrue="1" operator="notEqual">
      <formula>"F"</formula>
    </cfRule>
  </conditionalFormatting>
  <conditionalFormatting sqref="L3:N4 L6:N6 L8:N8">
    <cfRule type="cellIs" dxfId="742" priority="738" stopIfTrue="1" operator="lessThan">
      <formula>0</formula>
    </cfRule>
  </conditionalFormatting>
  <conditionalFormatting sqref="P42:R52">
    <cfRule type="cellIs" dxfId="741" priority="701" stopIfTrue="1" operator="lessThan">
      <formula>0</formula>
    </cfRule>
  </conditionalFormatting>
  <conditionalFormatting sqref="E9 E18:E21">
    <cfRule type="cellIs" dxfId="740" priority="736" stopIfTrue="1" operator="notBetween">
      <formula>1</formula>
      <formula>100000</formula>
    </cfRule>
  </conditionalFormatting>
  <conditionalFormatting sqref="A9 A18:A21">
    <cfRule type="containsText" dxfId="739" priority="734" stopIfTrue="1" operator="containsText" text="H">
      <formula>NOT(ISERROR(SEARCH("H",A9)))</formula>
    </cfRule>
    <cfRule type="containsText" dxfId="738" priority="735" stopIfTrue="1" operator="containsText" text="F">
      <formula>NOT(ISERROR(SEARCH("F",A9)))</formula>
    </cfRule>
  </conditionalFormatting>
  <conditionalFormatting sqref="K9 K18:K21">
    <cfRule type="cellIs" dxfId="737" priority="733" stopIfTrue="1" operator="notEqual">
      <formula>"F"</formula>
    </cfRule>
  </conditionalFormatting>
  <conditionalFormatting sqref="L9:N9 L18:N21">
    <cfRule type="cellIs" dxfId="736" priority="732" stopIfTrue="1" operator="lessThan">
      <formula>0</formula>
    </cfRule>
  </conditionalFormatting>
  <conditionalFormatting sqref="P9:R9 P18:R21">
    <cfRule type="cellIs" dxfId="735" priority="731" stopIfTrue="1" operator="lessThan">
      <formula>0</formula>
    </cfRule>
  </conditionalFormatting>
  <conditionalFormatting sqref="H3:H4 H6 H18:H21 H8:H9">
    <cfRule type="cellIs" dxfId="734" priority="726" stopIfTrue="1" operator="between">
      <formula>2000</formula>
      <formula>2001</formula>
    </cfRule>
    <cfRule type="cellIs" dxfId="733" priority="727" stopIfTrue="1" operator="between">
      <formula>2002</formula>
      <formula>2020</formula>
    </cfRule>
    <cfRule type="cellIs" dxfId="732" priority="728" stopIfTrue="1" operator="between">
      <formula>1998</formula>
      <formula>1999</formula>
    </cfRule>
    <cfRule type="cellIs" dxfId="731" priority="729" stopIfTrue="1" operator="between">
      <formula>1995</formula>
      <formula>1997</formula>
    </cfRule>
    <cfRule type="cellIs" dxfId="730" priority="730" stopIfTrue="1" operator="lessThan">
      <formula>1995</formula>
    </cfRule>
  </conditionalFormatting>
  <conditionalFormatting sqref="W3:W4 W6 W18:W21 W8:W9">
    <cfRule type="cellIs" dxfId="729" priority="725" operator="lessThan">
      <formula>0</formula>
    </cfRule>
  </conditionalFormatting>
  <conditionalFormatting sqref="E36">
    <cfRule type="cellIs" dxfId="728" priority="724" stopIfTrue="1" operator="notBetween">
      <formula>1</formula>
      <formula>100000</formula>
    </cfRule>
  </conditionalFormatting>
  <conditionalFormatting sqref="A36">
    <cfRule type="containsText" dxfId="727" priority="722" stopIfTrue="1" operator="containsText" text="H">
      <formula>NOT(ISERROR(SEARCH("H",A36)))</formula>
    </cfRule>
    <cfRule type="containsText" dxfId="726" priority="723" stopIfTrue="1" operator="containsText" text="F">
      <formula>NOT(ISERROR(SEARCH("F",A36)))</formula>
    </cfRule>
  </conditionalFormatting>
  <conditionalFormatting sqref="K36">
    <cfRule type="cellIs" dxfId="725" priority="721" stopIfTrue="1" operator="notEqual">
      <formula>"F"</formula>
    </cfRule>
  </conditionalFormatting>
  <conditionalFormatting sqref="L36:N36">
    <cfRule type="cellIs" dxfId="724" priority="720" stopIfTrue="1" operator="lessThan">
      <formula>0</formula>
    </cfRule>
  </conditionalFormatting>
  <conditionalFormatting sqref="P36:R36">
    <cfRule type="cellIs" dxfId="723" priority="719" stopIfTrue="1" operator="lessThan">
      <formula>0</formula>
    </cfRule>
  </conditionalFormatting>
  <conditionalFormatting sqref="H36">
    <cfRule type="cellIs" dxfId="722" priority="714" stopIfTrue="1" operator="between">
      <formula>2000</formula>
      <formula>2001</formula>
    </cfRule>
    <cfRule type="cellIs" dxfId="721" priority="715" stopIfTrue="1" operator="between">
      <formula>2002</formula>
      <formula>2020</formula>
    </cfRule>
    <cfRule type="cellIs" dxfId="720" priority="716" stopIfTrue="1" operator="between">
      <formula>1998</formula>
      <formula>1999</formula>
    </cfRule>
    <cfRule type="cellIs" dxfId="719" priority="717" stopIfTrue="1" operator="between">
      <formula>1995</formula>
      <formula>1997</formula>
    </cfRule>
    <cfRule type="cellIs" dxfId="718" priority="718" stopIfTrue="1" operator="lessThan">
      <formula>1995</formula>
    </cfRule>
  </conditionalFormatting>
  <conditionalFormatting sqref="W36">
    <cfRule type="cellIs" dxfId="717" priority="713" operator="lessThan">
      <formula>0</formula>
    </cfRule>
  </conditionalFormatting>
  <conditionalFormatting sqref="E37:E41">
    <cfRule type="cellIs" dxfId="716" priority="712" stopIfTrue="1" operator="notBetween">
      <formula>1</formula>
      <formula>100000</formula>
    </cfRule>
  </conditionalFormatting>
  <conditionalFormatting sqref="A37:A41">
    <cfRule type="containsText" dxfId="715" priority="710" stopIfTrue="1" operator="containsText" text="H">
      <formula>NOT(ISERROR(SEARCH("H",A37)))</formula>
    </cfRule>
    <cfRule type="containsText" dxfId="714" priority="711" stopIfTrue="1" operator="containsText" text="F">
      <formula>NOT(ISERROR(SEARCH("F",A37)))</formula>
    </cfRule>
  </conditionalFormatting>
  <conditionalFormatting sqref="K37:K41">
    <cfRule type="cellIs" dxfId="713" priority="709" stopIfTrue="1" operator="notEqual">
      <formula>"F"</formula>
    </cfRule>
  </conditionalFormatting>
  <conditionalFormatting sqref="L37:N41">
    <cfRule type="cellIs" dxfId="712" priority="708" stopIfTrue="1" operator="lessThan">
      <formula>0</formula>
    </cfRule>
  </conditionalFormatting>
  <conditionalFormatting sqref="P37:R41">
    <cfRule type="cellIs" dxfId="711" priority="707" stopIfTrue="1" operator="lessThan">
      <formula>0</formula>
    </cfRule>
  </conditionalFormatting>
  <conditionalFormatting sqref="E42:E52">
    <cfRule type="cellIs" dxfId="710" priority="706" stopIfTrue="1" operator="notBetween">
      <formula>1</formula>
      <formula>100000</formula>
    </cfRule>
  </conditionalFormatting>
  <conditionalFormatting sqref="A42:A52">
    <cfRule type="containsText" dxfId="709" priority="704" stopIfTrue="1" operator="containsText" text="H">
      <formula>NOT(ISERROR(SEARCH("H",A42)))</formula>
    </cfRule>
    <cfRule type="containsText" dxfId="708" priority="705" stopIfTrue="1" operator="containsText" text="F">
      <formula>NOT(ISERROR(SEARCH("F",A42)))</formula>
    </cfRule>
  </conditionalFormatting>
  <conditionalFormatting sqref="K42:K52">
    <cfRule type="cellIs" dxfId="707" priority="703" stopIfTrue="1" operator="notEqual">
      <formula>"F"</formula>
    </cfRule>
  </conditionalFormatting>
  <conditionalFormatting sqref="L42:N52">
    <cfRule type="cellIs" dxfId="706" priority="702" stopIfTrue="1" operator="lessThan">
      <formula>0</formula>
    </cfRule>
  </conditionalFormatting>
  <conditionalFormatting sqref="P32:R35">
    <cfRule type="cellIs" dxfId="705" priority="689" stopIfTrue="1" operator="lessThan">
      <formula>0</formula>
    </cfRule>
  </conditionalFormatting>
  <conditionalFormatting sqref="H37:H52">
    <cfRule type="cellIs" dxfId="704" priority="696" stopIfTrue="1" operator="between">
      <formula>2000</formula>
      <formula>2001</formula>
    </cfRule>
    <cfRule type="cellIs" dxfId="703" priority="697" stopIfTrue="1" operator="between">
      <formula>2002</formula>
      <formula>2020</formula>
    </cfRule>
    <cfRule type="cellIs" dxfId="702" priority="698" stopIfTrue="1" operator="between">
      <formula>1998</formula>
      <formula>1999</formula>
    </cfRule>
    <cfRule type="cellIs" dxfId="701" priority="699" stopIfTrue="1" operator="between">
      <formula>1995</formula>
      <formula>1997</formula>
    </cfRule>
    <cfRule type="cellIs" dxfId="700" priority="700" stopIfTrue="1" operator="lessThan">
      <formula>1995</formula>
    </cfRule>
  </conditionalFormatting>
  <conditionalFormatting sqref="W37:W52">
    <cfRule type="cellIs" dxfId="699" priority="695" operator="lessThan">
      <formula>0</formula>
    </cfRule>
  </conditionalFormatting>
  <conditionalFormatting sqref="E32:E35">
    <cfRule type="cellIs" dxfId="698" priority="694" stopIfTrue="1" operator="notBetween">
      <formula>1</formula>
      <formula>100000</formula>
    </cfRule>
  </conditionalFormatting>
  <conditionalFormatting sqref="A32:A35">
    <cfRule type="containsText" dxfId="697" priority="692" stopIfTrue="1" operator="containsText" text="H">
      <formula>NOT(ISERROR(SEARCH("H",A32)))</formula>
    </cfRule>
    <cfRule type="containsText" dxfId="696" priority="693" stopIfTrue="1" operator="containsText" text="F">
      <formula>NOT(ISERROR(SEARCH("F",A32)))</formula>
    </cfRule>
  </conditionalFormatting>
  <conditionalFormatting sqref="K32:K35">
    <cfRule type="cellIs" dxfId="695" priority="691" stopIfTrue="1" operator="notEqual">
      <formula>"F"</formula>
    </cfRule>
  </conditionalFormatting>
  <conditionalFormatting sqref="L32:N35">
    <cfRule type="cellIs" dxfId="694" priority="690" stopIfTrue="1" operator="lessThan">
      <formula>0</formula>
    </cfRule>
  </conditionalFormatting>
  <conditionalFormatting sqref="H32:H35">
    <cfRule type="cellIs" dxfId="693" priority="684" stopIfTrue="1" operator="between">
      <formula>2000</formula>
      <formula>2001</formula>
    </cfRule>
    <cfRule type="cellIs" dxfId="692" priority="685" stopIfTrue="1" operator="between">
      <formula>2002</formula>
      <formula>2020</formula>
    </cfRule>
    <cfRule type="cellIs" dxfId="691" priority="686" stopIfTrue="1" operator="between">
      <formula>1998</formula>
      <formula>1999</formula>
    </cfRule>
    <cfRule type="cellIs" dxfId="690" priority="687" stopIfTrue="1" operator="between">
      <formula>1995</formula>
      <formula>1997</formula>
    </cfRule>
    <cfRule type="cellIs" dxfId="689" priority="688" stopIfTrue="1" operator="lessThan">
      <formula>1995</formula>
    </cfRule>
  </conditionalFormatting>
  <conditionalFormatting sqref="W32:W35">
    <cfRule type="cellIs" dxfId="688" priority="683" operator="lessThan">
      <formula>0</formula>
    </cfRule>
  </conditionalFormatting>
  <conditionalFormatting sqref="E5">
    <cfRule type="cellIs" dxfId="687" priority="682" stopIfTrue="1" operator="notBetween">
      <formula>1</formula>
      <formula>100000</formula>
    </cfRule>
  </conditionalFormatting>
  <conditionalFormatting sqref="A5">
    <cfRule type="containsText" dxfId="686" priority="680" stopIfTrue="1" operator="containsText" text="H">
      <formula>NOT(ISERROR(SEARCH("H",A5)))</formula>
    </cfRule>
    <cfRule type="containsText" dxfId="685" priority="681" stopIfTrue="1" operator="containsText" text="F">
      <formula>NOT(ISERROR(SEARCH("F",A5)))</formula>
    </cfRule>
  </conditionalFormatting>
  <conditionalFormatting sqref="K5">
    <cfRule type="cellIs" dxfId="684" priority="679" stopIfTrue="1" operator="notEqual">
      <formula>"F"</formula>
    </cfRule>
  </conditionalFormatting>
  <conditionalFormatting sqref="L5:N5 P5:R5">
    <cfRule type="cellIs" dxfId="683" priority="678" stopIfTrue="1" operator="lessThan">
      <formula>0</formula>
    </cfRule>
  </conditionalFormatting>
  <conditionalFormatting sqref="H5">
    <cfRule type="cellIs" dxfId="682" priority="673" stopIfTrue="1" operator="between">
      <formula>2000</formula>
      <formula>2001</formula>
    </cfRule>
    <cfRule type="cellIs" dxfId="681" priority="674" stopIfTrue="1" operator="between">
      <formula>2002</formula>
      <formula>2020</formula>
    </cfRule>
    <cfRule type="cellIs" dxfId="680" priority="675" stopIfTrue="1" operator="between">
      <formula>1998</formula>
      <formula>1999</formula>
    </cfRule>
    <cfRule type="cellIs" dxfId="679" priority="676" stopIfTrue="1" operator="between">
      <formula>1995</formula>
      <formula>1997</formula>
    </cfRule>
    <cfRule type="cellIs" dxfId="678" priority="677" stopIfTrue="1" operator="lessThan">
      <formula>1995</formula>
    </cfRule>
  </conditionalFormatting>
  <conditionalFormatting sqref="W5">
    <cfRule type="cellIs" dxfId="677" priority="672" operator="lessThan">
      <formula>0</formula>
    </cfRule>
  </conditionalFormatting>
  <conditionalFormatting sqref="E17">
    <cfRule type="cellIs" dxfId="676" priority="649" stopIfTrue="1" operator="notBetween">
      <formula>1</formula>
      <formula>100000</formula>
    </cfRule>
  </conditionalFormatting>
  <conditionalFormatting sqref="A17">
    <cfRule type="containsText" dxfId="675" priority="647" stopIfTrue="1" operator="containsText" text="H">
      <formula>NOT(ISERROR(SEARCH("H",A17)))</formula>
    </cfRule>
    <cfRule type="containsText" dxfId="674" priority="648" stopIfTrue="1" operator="containsText" text="F">
      <formula>NOT(ISERROR(SEARCH("F",A17)))</formula>
    </cfRule>
  </conditionalFormatting>
  <conditionalFormatting sqref="K17">
    <cfRule type="cellIs" dxfId="673" priority="646" stopIfTrue="1" operator="notEqual">
      <formula>"F"</formula>
    </cfRule>
  </conditionalFormatting>
  <conditionalFormatting sqref="L17:N17 P17:R17">
    <cfRule type="cellIs" dxfId="672" priority="645" stopIfTrue="1" operator="lessThan">
      <formula>0</formula>
    </cfRule>
  </conditionalFormatting>
  <conditionalFormatting sqref="H17">
    <cfRule type="cellIs" dxfId="671" priority="640" stopIfTrue="1" operator="between">
      <formula>2000</formula>
      <formula>2001</formula>
    </cfRule>
    <cfRule type="cellIs" dxfId="670" priority="641" stopIfTrue="1" operator="between">
      <formula>2002</formula>
      <formula>2020</formula>
    </cfRule>
    <cfRule type="cellIs" dxfId="669" priority="642" stopIfTrue="1" operator="between">
      <formula>1998</formula>
      <formula>1999</formula>
    </cfRule>
    <cfRule type="cellIs" dxfId="668" priority="643" stopIfTrue="1" operator="between">
      <formula>1995</formula>
      <formula>1997</formula>
    </cfRule>
    <cfRule type="cellIs" dxfId="667" priority="644" stopIfTrue="1" operator="lessThan">
      <formula>1995</formula>
    </cfRule>
  </conditionalFormatting>
  <conditionalFormatting sqref="W17">
    <cfRule type="cellIs" dxfId="666" priority="639" operator="lessThan">
      <formula>0</formula>
    </cfRule>
  </conditionalFormatting>
  <conditionalFormatting sqref="E22">
    <cfRule type="cellIs" dxfId="665" priority="638" stopIfTrue="1" operator="notBetween">
      <formula>1</formula>
      <formula>100000</formula>
    </cfRule>
  </conditionalFormatting>
  <conditionalFormatting sqref="A22">
    <cfRule type="containsText" dxfId="664" priority="636" stopIfTrue="1" operator="containsText" text="H">
      <formula>NOT(ISERROR(SEARCH("H",A22)))</formula>
    </cfRule>
    <cfRule type="containsText" dxfId="663" priority="637" stopIfTrue="1" operator="containsText" text="F">
      <formula>NOT(ISERROR(SEARCH("F",A22)))</formula>
    </cfRule>
  </conditionalFormatting>
  <conditionalFormatting sqref="K22">
    <cfRule type="cellIs" dxfId="662" priority="635" stopIfTrue="1" operator="notEqual">
      <formula>"F"</formula>
    </cfRule>
  </conditionalFormatting>
  <conditionalFormatting sqref="L22:N22 P22:R22">
    <cfRule type="cellIs" dxfId="661" priority="634" stopIfTrue="1" operator="lessThan">
      <formula>0</formula>
    </cfRule>
  </conditionalFormatting>
  <conditionalFormatting sqref="H22">
    <cfRule type="cellIs" dxfId="660" priority="629" stopIfTrue="1" operator="between">
      <formula>2000</formula>
      <formula>2001</formula>
    </cfRule>
    <cfRule type="cellIs" dxfId="659" priority="630" stopIfTrue="1" operator="between">
      <formula>2002</formula>
      <formula>2020</formula>
    </cfRule>
    <cfRule type="cellIs" dxfId="658" priority="631" stopIfTrue="1" operator="between">
      <formula>1998</formula>
      <formula>1999</formula>
    </cfRule>
    <cfRule type="cellIs" dxfId="657" priority="632" stopIfTrue="1" operator="between">
      <formula>1995</formula>
      <formula>1997</formula>
    </cfRule>
    <cfRule type="cellIs" dxfId="656" priority="633" stopIfTrue="1" operator="lessThan">
      <formula>1995</formula>
    </cfRule>
  </conditionalFormatting>
  <conditionalFormatting sqref="W22">
    <cfRule type="cellIs" dxfId="655" priority="628" operator="lessThan">
      <formula>0</formula>
    </cfRule>
  </conditionalFormatting>
  <conditionalFormatting sqref="E25">
    <cfRule type="cellIs" dxfId="654" priority="627" stopIfTrue="1" operator="notBetween">
      <formula>1</formula>
      <formula>100000</formula>
    </cfRule>
  </conditionalFormatting>
  <conditionalFormatting sqref="A25">
    <cfRule type="containsText" dxfId="653" priority="625" stopIfTrue="1" operator="containsText" text="H">
      <formula>NOT(ISERROR(SEARCH("H",A25)))</formula>
    </cfRule>
    <cfRule type="containsText" dxfId="652" priority="626" stopIfTrue="1" operator="containsText" text="F">
      <formula>NOT(ISERROR(SEARCH("F",A25)))</formula>
    </cfRule>
  </conditionalFormatting>
  <conditionalFormatting sqref="K25">
    <cfRule type="cellIs" dxfId="651" priority="624" stopIfTrue="1" operator="notEqual">
      <formula>"F"</formula>
    </cfRule>
  </conditionalFormatting>
  <conditionalFormatting sqref="L25:N25 P25:R25">
    <cfRule type="cellIs" dxfId="650" priority="623" stopIfTrue="1" operator="lessThan">
      <formula>0</formula>
    </cfRule>
  </conditionalFormatting>
  <conditionalFormatting sqref="H25">
    <cfRule type="cellIs" dxfId="649" priority="618" stopIfTrue="1" operator="between">
      <formula>2000</formula>
      <formula>2001</formula>
    </cfRule>
    <cfRule type="cellIs" dxfId="648" priority="619" stopIfTrue="1" operator="between">
      <formula>2002</formula>
      <formula>2020</formula>
    </cfRule>
    <cfRule type="cellIs" dxfId="647" priority="620" stopIfTrue="1" operator="between">
      <formula>1998</formula>
      <formula>1999</formula>
    </cfRule>
    <cfRule type="cellIs" dxfId="646" priority="621" stopIfTrue="1" operator="between">
      <formula>1995</formula>
      <formula>1997</formula>
    </cfRule>
    <cfRule type="cellIs" dxfId="645" priority="622" stopIfTrue="1" operator="lessThan">
      <formula>1995</formula>
    </cfRule>
  </conditionalFormatting>
  <conditionalFormatting sqref="W25">
    <cfRule type="cellIs" dxfId="644" priority="617" operator="lessThan">
      <formula>0</formula>
    </cfRule>
  </conditionalFormatting>
  <conditionalFormatting sqref="E214">
    <cfRule type="cellIs" dxfId="643" priority="616" stopIfTrue="1" operator="notBetween">
      <formula>1</formula>
      <formula>100000</formula>
    </cfRule>
  </conditionalFormatting>
  <conditionalFormatting sqref="K214">
    <cfRule type="cellIs" dxfId="642" priority="613" stopIfTrue="1" operator="notEqual">
      <formula>"F"</formula>
    </cfRule>
  </conditionalFormatting>
  <conditionalFormatting sqref="L214:N214 P214:R214">
    <cfRule type="cellIs" dxfId="641" priority="612" stopIfTrue="1" operator="lessThan">
      <formula>0</formula>
    </cfRule>
  </conditionalFormatting>
  <conditionalFormatting sqref="H214">
    <cfRule type="cellIs" dxfId="640" priority="607" stopIfTrue="1" operator="between">
      <formula>2000</formula>
      <formula>2001</formula>
    </cfRule>
    <cfRule type="cellIs" dxfId="639" priority="608" stopIfTrue="1" operator="between">
      <formula>2002</formula>
      <formula>2020</formula>
    </cfRule>
    <cfRule type="cellIs" dxfId="638" priority="609" stopIfTrue="1" operator="between">
      <formula>1998</formula>
      <formula>1999</formula>
    </cfRule>
    <cfRule type="cellIs" dxfId="637" priority="610" stopIfTrue="1" operator="between">
      <formula>1995</formula>
      <formula>1997</formula>
    </cfRule>
    <cfRule type="cellIs" dxfId="636" priority="611" stopIfTrue="1" operator="lessThan">
      <formula>1995</formula>
    </cfRule>
  </conditionalFormatting>
  <conditionalFormatting sqref="W214">
    <cfRule type="cellIs" dxfId="635" priority="606" operator="lessThan">
      <formula>0</formula>
    </cfRule>
  </conditionalFormatting>
  <conditionalFormatting sqref="E221">
    <cfRule type="cellIs" dxfId="634" priority="605" stopIfTrue="1" operator="notBetween">
      <formula>1</formula>
      <formula>100000</formula>
    </cfRule>
  </conditionalFormatting>
  <conditionalFormatting sqref="K221">
    <cfRule type="cellIs" dxfId="633" priority="602" stopIfTrue="1" operator="notEqual">
      <formula>"F"</formula>
    </cfRule>
  </conditionalFormatting>
  <conditionalFormatting sqref="L221:N221 P221:R221">
    <cfRule type="cellIs" dxfId="632" priority="601" stopIfTrue="1" operator="lessThan">
      <formula>0</formula>
    </cfRule>
  </conditionalFormatting>
  <conditionalFormatting sqref="H221">
    <cfRule type="cellIs" dxfId="631" priority="596" stopIfTrue="1" operator="between">
      <formula>2000</formula>
      <formula>2001</formula>
    </cfRule>
    <cfRule type="cellIs" dxfId="630" priority="597" stopIfTrue="1" operator="between">
      <formula>2002</formula>
      <formula>2020</formula>
    </cfRule>
    <cfRule type="cellIs" dxfId="629" priority="598" stopIfTrue="1" operator="between">
      <formula>1998</formula>
      <formula>1999</formula>
    </cfRule>
    <cfRule type="cellIs" dxfId="628" priority="599" stopIfTrue="1" operator="between">
      <formula>1995</formula>
      <formula>1997</formula>
    </cfRule>
    <cfRule type="cellIs" dxfId="627" priority="600" stopIfTrue="1" operator="lessThan">
      <formula>1995</formula>
    </cfRule>
  </conditionalFormatting>
  <conditionalFormatting sqref="W221">
    <cfRule type="cellIs" dxfId="626" priority="595" operator="lessThan">
      <formula>0</formula>
    </cfRule>
  </conditionalFormatting>
  <conditionalFormatting sqref="E232">
    <cfRule type="cellIs" dxfId="625" priority="594" stopIfTrue="1" operator="notBetween">
      <formula>1</formula>
      <formula>100000</formula>
    </cfRule>
  </conditionalFormatting>
  <conditionalFormatting sqref="K232">
    <cfRule type="cellIs" dxfId="624" priority="591" stopIfTrue="1" operator="notEqual">
      <formula>"F"</formula>
    </cfRule>
  </conditionalFormatting>
  <conditionalFormatting sqref="L232:N232 P232:R232">
    <cfRule type="cellIs" dxfId="623" priority="590" stopIfTrue="1" operator="lessThan">
      <formula>0</formula>
    </cfRule>
  </conditionalFormatting>
  <conditionalFormatting sqref="H232">
    <cfRule type="cellIs" dxfId="622" priority="585" stopIfTrue="1" operator="between">
      <formula>2000</formula>
      <formula>2001</formula>
    </cfRule>
    <cfRule type="cellIs" dxfId="621" priority="586" stopIfTrue="1" operator="between">
      <formula>2002</formula>
      <formula>2020</formula>
    </cfRule>
    <cfRule type="cellIs" dxfId="620" priority="587" stopIfTrue="1" operator="between">
      <formula>1998</formula>
      <formula>1999</formula>
    </cfRule>
    <cfRule type="cellIs" dxfId="619" priority="588" stopIfTrue="1" operator="between">
      <formula>1995</formula>
      <formula>1997</formula>
    </cfRule>
    <cfRule type="cellIs" dxfId="618" priority="589" stopIfTrue="1" operator="lessThan">
      <formula>1995</formula>
    </cfRule>
  </conditionalFormatting>
  <conditionalFormatting sqref="W232">
    <cfRule type="cellIs" dxfId="617" priority="584" operator="lessThan">
      <formula>0</formula>
    </cfRule>
  </conditionalFormatting>
  <conditionalFormatting sqref="E239">
    <cfRule type="cellIs" dxfId="616" priority="583" stopIfTrue="1" operator="notBetween">
      <formula>1</formula>
      <formula>100000</formula>
    </cfRule>
  </conditionalFormatting>
  <conditionalFormatting sqref="K239">
    <cfRule type="cellIs" dxfId="615" priority="580" stopIfTrue="1" operator="notEqual">
      <formula>"F"</formula>
    </cfRule>
  </conditionalFormatting>
  <conditionalFormatting sqref="L239:N239 P239:R239">
    <cfRule type="cellIs" dxfId="614" priority="579" stopIfTrue="1" operator="lessThan">
      <formula>0</formula>
    </cfRule>
  </conditionalFormatting>
  <conditionalFormatting sqref="H239">
    <cfRule type="cellIs" dxfId="613" priority="574" stopIfTrue="1" operator="between">
      <formula>2000</formula>
      <formula>2001</formula>
    </cfRule>
    <cfRule type="cellIs" dxfId="612" priority="575" stopIfTrue="1" operator="between">
      <formula>2002</formula>
      <formula>2020</formula>
    </cfRule>
    <cfRule type="cellIs" dxfId="611" priority="576" stopIfTrue="1" operator="between">
      <formula>1998</formula>
      <formula>1999</formula>
    </cfRule>
    <cfRule type="cellIs" dxfId="610" priority="577" stopIfTrue="1" operator="between">
      <formula>1995</formula>
      <formula>1997</formula>
    </cfRule>
    <cfRule type="cellIs" dxfId="609" priority="578" stopIfTrue="1" operator="lessThan">
      <formula>1995</formula>
    </cfRule>
  </conditionalFormatting>
  <conditionalFormatting sqref="W239">
    <cfRule type="cellIs" dxfId="608" priority="573" operator="lessThan">
      <formula>0</formula>
    </cfRule>
  </conditionalFormatting>
  <conditionalFormatting sqref="E248">
    <cfRule type="cellIs" dxfId="607" priority="572" stopIfTrue="1" operator="notBetween">
      <formula>1</formula>
      <formula>100000</formula>
    </cfRule>
  </conditionalFormatting>
  <conditionalFormatting sqref="K248">
    <cfRule type="cellIs" dxfId="606" priority="569" stopIfTrue="1" operator="notEqual">
      <formula>"F"</formula>
    </cfRule>
  </conditionalFormatting>
  <conditionalFormatting sqref="L248:N248 P248:R248">
    <cfRule type="cellIs" dxfId="605" priority="568" stopIfTrue="1" operator="lessThan">
      <formula>0</formula>
    </cfRule>
  </conditionalFormatting>
  <conditionalFormatting sqref="H248">
    <cfRule type="cellIs" dxfId="604" priority="563" stopIfTrue="1" operator="between">
      <formula>2000</formula>
      <formula>2001</formula>
    </cfRule>
    <cfRule type="cellIs" dxfId="603" priority="564" stopIfTrue="1" operator="between">
      <formula>2002</formula>
      <formula>2020</formula>
    </cfRule>
    <cfRule type="cellIs" dxfId="602" priority="565" stopIfTrue="1" operator="between">
      <formula>1998</formula>
      <formula>1999</formula>
    </cfRule>
    <cfRule type="cellIs" dxfId="601" priority="566" stopIfTrue="1" operator="between">
      <formula>1995</formula>
      <formula>1997</formula>
    </cfRule>
    <cfRule type="cellIs" dxfId="600" priority="567" stopIfTrue="1" operator="lessThan">
      <formula>1995</formula>
    </cfRule>
  </conditionalFormatting>
  <conditionalFormatting sqref="W248">
    <cfRule type="cellIs" dxfId="599" priority="562" operator="lessThan">
      <formula>0</formula>
    </cfRule>
  </conditionalFormatting>
  <conditionalFormatting sqref="E268">
    <cfRule type="cellIs" dxfId="598" priority="561" stopIfTrue="1" operator="notBetween">
      <formula>1</formula>
      <formula>100000</formula>
    </cfRule>
  </conditionalFormatting>
  <conditionalFormatting sqref="L268:N268 P268:R268">
    <cfRule type="cellIs" dxfId="597" priority="557" stopIfTrue="1" operator="lessThan">
      <formula>0</formula>
    </cfRule>
  </conditionalFormatting>
  <conditionalFormatting sqref="H268">
    <cfRule type="cellIs" dxfId="596" priority="552" stopIfTrue="1" operator="between">
      <formula>2000</formula>
      <formula>2001</formula>
    </cfRule>
    <cfRule type="cellIs" dxfId="595" priority="553" stopIfTrue="1" operator="between">
      <formula>2002</formula>
      <formula>2020</formula>
    </cfRule>
    <cfRule type="cellIs" dxfId="594" priority="554" stopIfTrue="1" operator="between">
      <formula>1998</formula>
      <formula>1999</formula>
    </cfRule>
    <cfRule type="cellIs" dxfId="593" priority="555" stopIfTrue="1" operator="between">
      <formula>1995</formula>
      <formula>1997</formula>
    </cfRule>
    <cfRule type="cellIs" dxfId="592" priority="556" stopIfTrue="1" operator="lessThan">
      <formula>1995</formula>
    </cfRule>
  </conditionalFormatting>
  <conditionalFormatting sqref="W268">
    <cfRule type="cellIs" dxfId="591" priority="551" operator="lessThan">
      <formula>0</formula>
    </cfRule>
  </conditionalFormatting>
  <conditionalFormatting sqref="E7">
    <cfRule type="cellIs" dxfId="590" priority="539" stopIfTrue="1" operator="notBetween">
      <formula>1</formula>
      <formula>100000</formula>
    </cfRule>
  </conditionalFormatting>
  <conditionalFormatting sqref="A7">
    <cfRule type="containsText" dxfId="589" priority="537" stopIfTrue="1" operator="containsText" text="H">
      <formula>NOT(ISERROR(SEARCH("H",A7)))</formula>
    </cfRule>
    <cfRule type="containsText" dxfId="588" priority="538" stopIfTrue="1" operator="containsText" text="F">
      <formula>NOT(ISERROR(SEARCH("F",A7)))</formula>
    </cfRule>
  </conditionalFormatting>
  <conditionalFormatting sqref="K7">
    <cfRule type="cellIs" dxfId="587" priority="536" stopIfTrue="1" operator="notEqual">
      <formula>"F"</formula>
    </cfRule>
  </conditionalFormatting>
  <conditionalFormatting sqref="L7:N7">
    <cfRule type="cellIs" dxfId="586" priority="535" stopIfTrue="1" operator="lessThan">
      <formula>0</formula>
    </cfRule>
  </conditionalFormatting>
  <conditionalFormatting sqref="P7:R7">
    <cfRule type="cellIs" dxfId="585" priority="534" stopIfTrue="1" operator="lessThan">
      <formula>0</formula>
    </cfRule>
  </conditionalFormatting>
  <conditionalFormatting sqref="H7">
    <cfRule type="cellIs" dxfId="584" priority="529" stopIfTrue="1" operator="between">
      <formula>2000</formula>
      <formula>2001</formula>
    </cfRule>
    <cfRule type="cellIs" dxfId="583" priority="530" stopIfTrue="1" operator="between">
      <formula>2002</formula>
      <formula>2020</formula>
    </cfRule>
    <cfRule type="cellIs" dxfId="582" priority="531" stopIfTrue="1" operator="between">
      <formula>1998</formula>
      <formula>1999</formula>
    </cfRule>
    <cfRule type="cellIs" dxfId="581" priority="532" stopIfTrue="1" operator="between">
      <formula>1995</formula>
      <formula>1997</formula>
    </cfRule>
    <cfRule type="cellIs" dxfId="580" priority="533" stopIfTrue="1" operator="lessThan">
      <formula>1995</formula>
    </cfRule>
  </conditionalFormatting>
  <conditionalFormatting sqref="W7">
    <cfRule type="cellIs" dxfId="579" priority="528" operator="lessThan">
      <formula>0</formula>
    </cfRule>
  </conditionalFormatting>
  <conditionalFormatting sqref="E10">
    <cfRule type="cellIs" dxfId="578" priority="527" stopIfTrue="1" operator="notBetween">
      <formula>1</formula>
      <formula>100000</formula>
    </cfRule>
  </conditionalFormatting>
  <conditionalFormatting sqref="A10">
    <cfRule type="containsText" dxfId="577" priority="525" stopIfTrue="1" operator="containsText" text="H">
      <formula>NOT(ISERROR(SEARCH("H",A10)))</formula>
    </cfRule>
    <cfRule type="containsText" dxfId="576" priority="526" stopIfTrue="1" operator="containsText" text="F">
      <formula>NOT(ISERROR(SEARCH("F",A10)))</formula>
    </cfRule>
  </conditionalFormatting>
  <conditionalFormatting sqref="K10">
    <cfRule type="cellIs" dxfId="575" priority="524" stopIfTrue="1" operator="notEqual">
      <formula>"F"</formula>
    </cfRule>
  </conditionalFormatting>
  <conditionalFormatting sqref="L10:N10">
    <cfRule type="cellIs" dxfId="574" priority="523" stopIfTrue="1" operator="lessThan">
      <formula>0</formula>
    </cfRule>
  </conditionalFormatting>
  <conditionalFormatting sqref="P10:R10">
    <cfRule type="cellIs" dxfId="573" priority="522" stopIfTrue="1" operator="lessThan">
      <formula>0</formula>
    </cfRule>
  </conditionalFormatting>
  <conditionalFormatting sqref="H10">
    <cfRule type="cellIs" dxfId="572" priority="517" stopIfTrue="1" operator="between">
      <formula>2000</formula>
      <formula>2001</formula>
    </cfRule>
    <cfRule type="cellIs" dxfId="571" priority="518" stopIfTrue="1" operator="between">
      <formula>2002</formula>
      <formula>2020</formula>
    </cfRule>
    <cfRule type="cellIs" dxfId="570" priority="519" stopIfTrue="1" operator="between">
      <formula>1998</formula>
      <formula>1999</formula>
    </cfRule>
    <cfRule type="cellIs" dxfId="569" priority="520" stopIfTrue="1" operator="between">
      <formula>1995</formula>
      <formula>1997</formula>
    </cfRule>
    <cfRule type="cellIs" dxfId="568" priority="521" stopIfTrue="1" operator="lessThan">
      <formula>1995</formula>
    </cfRule>
  </conditionalFormatting>
  <conditionalFormatting sqref="W10">
    <cfRule type="cellIs" dxfId="567" priority="516" operator="lessThan">
      <formula>0</formula>
    </cfRule>
  </conditionalFormatting>
  <conditionalFormatting sqref="E13">
    <cfRule type="cellIs" dxfId="566" priority="515" stopIfTrue="1" operator="notBetween">
      <formula>1</formula>
      <formula>100000</formula>
    </cfRule>
  </conditionalFormatting>
  <conditionalFormatting sqref="A13">
    <cfRule type="containsText" dxfId="565" priority="513" stopIfTrue="1" operator="containsText" text="H">
      <formula>NOT(ISERROR(SEARCH("H",A13)))</formula>
    </cfRule>
    <cfRule type="containsText" dxfId="564" priority="514" stopIfTrue="1" operator="containsText" text="F">
      <formula>NOT(ISERROR(SEARCH("F",A13)))</formula>
    </cfRule>
  </conditionalFormatting>
  <conditionalFormatting sqref="K13">
    <cfRule type="cellIs" dxfId="563" priority="512" stopIfTrue="1" operator="notEqual">
      <formula>"F"</formula>
    </cfRule>
  </conditionalFormatting>
  <conditionalFormatting sqref="L13:N13">
    <cfRule type="cellIs" dxfId="562" priority="511" stopIfTrue="1" operator="lessThan">
      <formula>0</formula>
    </cfRule>
  </conditionalFormatting>
  <conditionalFormatting sqref="P13:R13">
    <cfRule type="cellIs" dxfId="561" priority="510" stopIfTrue="1" operator="lessThan">
      <formula>0</formula>
    </cfRule>
  </conditionalFormatting>
  <conditionalFormatting sqref="H13">
    <cfRule type="cellIs" dxfId="560" priority="505" stopIfTrue="1" operator="between">
      <formula>2000</formula>
      <formula>2001</formula>
    </cfRule>
    <cfRule type="cellIs" dxfId="559" priority="506" stopIfTrue="1" operator="between">
      <formula>2002</formula>
      <formula>2020</formula>
    </cfRule>
    <cfRule type="cellIs" dxfId="558" priority="507" stopIfTrue="1" operator="between">
      <formula>1998</formula>
      <formula>1999</formula>
    </cfRule>
    <cfRule type="cellIs" dxfId="557" priority="508" stopIfTrue="1" operator="between">
      <formula>1995</formula>
      <formula>1997</formula>
    </cfRule>
    <cfRule type="cellIs" dxfId="556" priority="509" stopIfTrue="1" operator="lessThan">
      <formula>1995</formula>
    </cfRule>
  </conditionalFormatting>
  <conditionalFormatting sqref="W13">
    <cfRule type="cellIs" dxfId="555" priority="504" operator="lessThan">
      <formula>0</formula>
    </cfRule>
  </conditionalFormatting>
  <conditionalFormatting sqref="E266">
    <cfRule type="cellIs" dxfId="554" priority="503" stopIfTrue="1" operator="notBetween">
      <formula>1</formula>
      <formula>100000</formula>
    </cfRule>
  </conditionalFormatting>
  <conditionalFormatting sqref="L266:N266 P266:R266">
    <cfRule type="cellIs" dxfId="553" priority="499" stopIfTrue="1" operator="lessThan">
      <formula>0</formula>
    </cfRule>
  </conditionalFormatting>
  <conditionalFormatting sqref="H266">
    <cfRule type="cellIs" dxfId="552" priority="494" stopIfTrue="1" operator="between">
      <formula>2000</formula>
      <formula>2001</formula>
    </cfRule>
    <cfRule type="cellIs" dxfId="551" priority="495" stopIfTrue="1" operator="between">
      <formula>2002</formula>
      <formula>2020</formula>
    </cfRule>
    <cfRule type="cellIs" dxfId="550" priority="496" stopIfTrue="1" operator="between">
      <formula>1998</formula>
      <formula>1999</formula>
    </cfRule>
    <cfRule type="cellIs" dxfId="549" priority="497" stopIfTrue="1" operator="between">
      <formula>1995</formula>
      <formula>1997</formula>
    </cfRule>
    <cfRule type="cellIs" dxfId="548" priority="498" stopIfTrue="1" operator="lessThan">
      <formula>1995</formula>
    </cfRule>
  </conditionalFormatting>
  <conditionalFormatting sqref="W266">
    <cfRule type="cellIs" dxfId="547" priority="493" operator="lessThan">
      <formula>0</formula>
    </cfRule>
  </conditionalFormatting>
  <conditionalFormatting sqref="E83:E86">
    <cfRule type="cellIs" dxfId="546" priority="450" stopIfTrue="1" operator="notBetween">
      <formula>1</formula>
      <formula>100000</formula>
    </cfRule>
  </conditionalFormatting>
  <conditionalFormatting sqref="A83:A86">
    <cfRule type="containsText" dxfId="545" priority="448" stopIfTrue="1" operator="containsText" text="H">
      <formula>NOT(ISERROR(SEARCH("H",A83)))</formula>
    </cfRule>
    <cfRule type="containsText" dxfId="544" priority="449" stopIfTrue="1" operator="containsText" text="F">
      <formula>NOT(ISERROR(SEARCH("F",A83)))</formula>
    </cfRule>
  </conditionalFormatting>
  <conditionalFormatting sqref="K83:K86">
    <cfRule type="cellIs" dxfId="543" priority="447" stopIfTrue="1" operator="notEqual">
      <formula>"F"</formula>
    </cfRule>
  </conditionalFormatting>
  <conditionalFormatting sqref="L83:N86">
    <cfRule type="cellIs" dxfId="542" priority="446" stopIfTrue="1" operator="lessThan">
      <formula>0</formula>
    </cfRule>
  </conditionalFormatting>
  <conditionalFormatting sqref="P83:R86">
    <cfRule type="cellIs" dxfId="541" priority="445" stopIfTrue="1" operator="lessThan">
      <formula>0</formula>
    </cfRule>
  </conditionalFormatting>
  <conditionalFormatting sqref="K78:K79">
    <cfRule type="cellIs" dxfId="540" priority="429" stopIfTrue="1" operator="notEqual">
      <formula>"F"</formula>
    </cfRule>
  </conditionalFormatting>
  <conditionalFormatting sqref="K73:K75 K77">
    <cfRule type="cellIs" dxfId="539" priority="420" stopIfTrue="1" operator="notEqual">
      <formula>"F"</formula>
    </cfRule>
  </conditionalFormatting>
  <conditionalFormatting sqref="K80:K82">
    <cfRule type="cellIs" dxfId="538" priority="419" stopIfTrue="1" operator="notEqual">
      <formula>"F"</formula>
    </cfRule>
  </conditionalFormatting>
  <conditionalFormatting sqref="A211:A227 A229:A248">
    <cfRule type="containsText" dxfId="537" priority="406" stopIfTrue="1" operator="containsText" text="H">
      <formula>NOT(ISERROR(SEARCH("H",A211)))</formula>
    </cfRule>
    <cfRule type="containsText" dxfId="536" priority="407" stopIfTrue="1" operator="containsText" text="F">
      <formula>NOT(ISERROR(SEARCH("F",A211)))</formula>
    </cfRule>
  </conditionalFormatting>
  <conditionalFormatting sqref="E180:E185 E187:E188 E94:E103">
    <cfRule type="cellIs" dxfId="535" priority="403" stopIfTrue="1" operator="notBetween">
      <formula>1</formula>
      <formula>100000</formula>
    </cfRule>
  </conditionalFormatting>
  <conditionalFormatting sqref="A94:A103">
    <cfRule type="containsText" dxfId="534" priority="401" stopIfTrue="1" operator="containsText" text="H">
      <formula>NOT(ISERROR(SEARCH("H",A94)))</formula>
    </cfRule>
    <cfRule type="containsText" dxfId="533" priority="402" stopIfTrue="1" operator="containsText" text="F">
      <formula>NOT(ISERROR(SEARCH("F",A94)))</formula>
    </cfRule>
  </conditionalFormatting>
  <conditionalFormatting sqref="K180:K185 K187:K188 K94:K103">
    <cfRule type="cellIs" dxfId="532" priority="400" stopIfTrue="1" operator="notEqual">
      <formula>"F"</formula>
    </cfRule>
  </conditionalFormatting>
  <conditionalFormatting sqref="L180:N185 P180:R185 P187:R188 L187:N188 P94:R98 L94:N103">
    <cfRule type="cellIs" dxfId="531" priority="399" stopIfTrue="1" operator="lessThan">
      <formula>0</formula>
    </cfRule>
  </conditionalFormatting>
  <conditionalFormatting sqref="P99:R103">
    <cfRule type="cellIs" dxfId="530" priority="398" stopIfTrue="1" operator="lessThan">
      <formula>0</formula>
    </cfRule>
  </conditionalFormatting>
  <conditionalFormatting sqref="E104 E163:E166 E147:E154 E156:E161">
    <cfRule type="cellIs" dxfId="529" priority="397" stopIfTrue="1" operator="notBetween">
      <formula>1</formula>
      <formula>100000</formula>
    </cfRule>
  </conditionalFormatting>
  <conditionalFormatting sqref="A104 A147:A154 A156:A158">
    <cfRule type="containsText" dxfId="528" priority="395" stopIfTrue="1" operator="containsText" text="H">
      <formula>NOT(ISERROR(SEARCH("H",A104)))</formula>
    </cfRule>
    <cfRule type="containsText" dxfId="527" priority="396" stopIfTrue="1" operator="containsText" text="F">
      <formula>NOT(ISERROR(SEARCH("F",A104)))</formula>
    </cfRule>
  </conditionalFormatting>
  <conditionalFormatting sqref="K104 K163:K166 K147:K154 K156:K161">
    <cfRule type="cellIs" dxfId="526" priority="394" stopIfTrue="1" operator="notEqual">
      <formula>"F"</formula>
    </cfRule>
  </conditionalFormatting>
  <conditionalFormatting sqref="L104:N104 L163:N166 L147:N154 L156:N161">
    <cfRule type="cellIs" dxfId="525" priority="393" stopIfTrue="1" operator="lessThan">
      <formula>0</formula>
    </cfRule>
  </conditionalFormatting>
  <conditionalFormatting sqref="P104:R104 P163:R166 P147:R154 P156:R161">
    <cfRule type="cellIs" dxfId="524" priority="392" stopIfTrue="1" operator="lessThan">
      <formula>0</formula>
    </cfRule>
  </conditionalFormatting>
  <conditionalFormatting sqref="E168">
    <cfRule type="cellIs" dxfId="523" priority="387" stopIfTrue="1" operator="notBetween">
      <formula>1</formula>
      <formula>100000</formula>
    </cfRule>
  </conditionalFormatting>
  <conditionalFormatting sqref="K168">
    <cfRule type="cellIs" dxfId="522" priority="386" stopIfTrue="1" operator="notEqual">
      <formula>"F"</formula>
    </cfRule>
  </conditionalFormatting>
  <conditionalFormatting sqref="L168:N168">
    <cfRule type="cellIs" dxfId="521" priority="385" stopIfTrue="1" operator="lessThan">
      <formula>0</formula>
    </cfRule>
  </conditionalFormatting>
  <conditionalFormatting sqref="P168:R168">
    <cfRule type="cellIs" dxfId="520" priority="384" stopIfTrue="1" operator="lessThan">
      <formula>0</formula>
    </cfRule>
  </conditionalFormatting>
  <conditionalFormatting sqref="E167">
    <cfRule type="cellIs" dxfId="519" priority="391" stopIfTrue="1" operator="notBetween">
      <formula>1</formula>
      <formula>100000</formula>
    </cfRule>
  </conditionalFormatting>
  <conditionalFormatting sqref="K167">
    <cfRule type="cellIs" dxfId="518" priority="390" stopIfTrue="1" operator="notEqual">
      <formula>"F"</formula>
    </cfRule>
  </conditionalFormatting>
  <conditionalFormatting sqref="L167:N167">
    <cfRule type="cellIs" dxfId="517" priority="389" stopIfTrue="1" operator="lessThan">
      <formula>0</formula>
    </cfRule>
  </conditionalFormatting>
  <conditionalFormatting sqref="P167:R167">
    <cfRule type="cellIs" dxfId="516" priority="388" stopIfTrue="1" operator="lessThan">
      <formula>0</formula>
    </cfRule>
  </conditionalFormatting>
  <conditionalFormatting sqref="E170:E178">
    <cfRule type="cellIs" dxfId="515" priority="383" stopIfTrue="1" operator="notBetween">
      <formula>1</formula>
      <formula>100000</formula>
    </cfRule>
  </conditionalFormatting>
  <conditionalFormatting sqref="K170:K178">
    <cfRule type="cellIs" dxfId="514" priority="382" stopIfTrue="1" operator="notEqual">
      <formula>"F"</formula>
    </cfRule>
  </conditionalFormatting>
  <conditionalFormatting sqref="L170:N178">
    <cfRule type="cellIs" dxfId="513" priority="381" stopIfTrue="1" operator="lessThan">
      <formula>0</formula>
    </cfRule>
  </conditionalFormatting>
  <conditionalFormatting sqref="P170:R178">
    <cfRule type="cellIs" dxfId="512" priority="380" stopIfTrue="1" operator="lessThan">
      <formula>0</formula>
    </cfRule>
  </conditionalFormatting>
  <conditionalFormatting sqref="H163:H168 H170:H178 H180:H185 H187:H188 H94:H104 H147:H154 H156:H161">
    <cfRule type="cellIs" dxfId="511" priority="375" stopIfTrue="1" operator="between">
      <formula>2000</formula>
      <formula>2001</formula>
    </cfRule>
    <cfRule type="cellIs" dxfId="510" priority="376" stopIfTrue="1" operator="between">
      <formula>2002</formula>
      <formula>2020</formula>
    </cfRule>
    <cfRule type="cellIs" dxfId="509" priority="377" stopIfTrue="1" operator="between">
      <formula>1998</formula>
      <formula>1999</formula>
    </cfRule>
    <cfRule type="cellIs" dxfId="508" priority="378" stopIfTrue="1" operator="between">
      <formula>1995</formula>
      <formula>1997</formula>
    </cfRule>
    <cfRule type="cellIs" dxfId="507" priority="379" stopIfTrue="1" operator="lessThan">
      <formula>1995</formula>
    </cfRule>
  </conditionalFormatting>
  <conditionalFormatting sqref="W163:W168 W170:W178 W180:W185 W187:W188 W94:W104 W147:W154 W156:W161">
    <cfRule type="cellIs" dxfId="506" priority="374" operator="lessThan">
      <formula>0</formula>
    </cfRule>
  </conditionalFormatting>
  <conditionalFormatting sqref="E162">
    <cfRule type="cellIs" dxfId="505" priority="373" stopIfTrue="1" operator="notBetween">
      <formula>1</formula>
      <formula>100000</formula>
    </cfRule>
  </conditionalFormatting>
  <conditionalFormatting sqref="K162">
    <cfRule type="cellIs" dxfId="504" priority="372" stopIfTrue="1" operator="notEqual">
      <formula>"F"</formula>
    </cfRule>
  </conditionalFormatting>
  <conditionalFormatting sqref="L162:N162 P162:R162">
    <cfRule type="cellIs" dxfId="503" priority="371" stopIfTrue="1" operator="lessThan">
      <formula>0</formula>
    </cfRule>
  </conditionalFormatting>
  <conditionalFormatting sqref="H162">
    <cfRule type="cellIs" dxfId="502" priority="366" stopIfTrue="1" operator="between">
      <formula>2000</formula>
      <formula>2001</formula>
    </cfRule>
    <cfRule type="cellIs" dxfId="501" priority="367" stopIfTrue="1" operator="between">
      <formula>2002</formula>
      <formula>2020</formula>
    </cfRule>
    <cfRule type="cellIs" dxfId="500" priority="368" stopIfTrue="1" operator="between">
      <formula>1998</formula>
      <formula>1999</formula>
    </cfRule>
    <cfRule type="cellIs" dxfId="499" priority="369" stopIfTrue="1" operator="between">
      <formula>1995</formula>
      <formula>1997</formula>
    </cfRule>
    <cfRule type="cellIs" dxfId="498" priority="370" stopIfTrue="1" operator="lessThan">
      <formula>1995</formula>
    </cfRule>
  </conditionalFormatting>
  <conditionalFormatting sqref="W162">
    <cfRule type="cellIs" dxfId="497" priority="365" operator="lessThan">
      <formula>0</formula>
    </cfRule>
  </conditionalFormatting>
  <conditionalFormatting sqref="E169">
    <cfRule type="cellIs" dxfId="496" priority="364" stopIfTrue="1" operator="notBetween">
      <formula>1</formula>
      <formula>100000</formula>
    </cfRule>
  </conditionalFormatting>
  <conditionalFormatting sqref="K169">
    <cfRule type="cellIs" dxfId="495" priority="363" stopIfTrue="1" operator="notEqual">
      <formula>"F"</formula>
    </cfRule>
  </conditionalFormatting>
  <conditionalFormatting sqref="L169:N169 P169:R169">
    <cfRule type="cellIs" dxfId="494" priority="362" stopIfTrue="1" operator="lessThan">
      <formula>0</formula>
    </cfRule>
  </conditionalFormatting>
  <conditionalFormatting sqref="H169">
    <cfRule type="cellIs" dxfId="493" priority="357" stopIfTrue="1" operator="between">
      <formula>2000</formula>
      <formula>2001</formula>
    </cfRule>
    <cfRule type="cellIs" dxfId="492" priority="358" stopIfTrue="1" operator="between">
      <formula>2002</formula>
      <formula>2020</formula>
    </cfRule>
    <cfRule type="cellIs" dxfId="491" priority="359" stopIfTrue="1" operator="between">
      <formula>1998</formula>
      <formula>1999</formula>
    </cfRule>
    <cfRule type="cellIs" dxfId="490" priority="360" stopIfTrue="1" operator="between">
      <formula>1995</formula>
      <formula>1997</formula>
    </cfRule>
    <cfRule type="cellIs" dxfId="489" priority="361" stopIfTrue="1" operator="lessThan">
      <formula>1995</formula>
    </cfRule>
  </conditionalFormatting>
  <conditionalFormatting sqref="W169">
    <cfRule type="cellIs" dxfId="488" priority="356" operator="lessThan">
      <formula>0</formula>
    </cfRule>
  </conditionalFormatting>
  <conditionalFormatting sqref="E179">
    <cfRule type="cellIs" dxfId="487" priority="355" stopIfTrue="1" operator="notBetween">
      <formula>1</formula>
      <formula>100000</formula>
    </cfRule>
  </conditionalFormatting>
  <conditionalFormatting sqref="K179">
    <cfRule type="cellIs" dxfId="486" priority="354" stopIfTrue="1" operator="notEqual">
      <formula>"F"</formula>
    </cfRule>
  </conditionalFormatting>
  <conditionalFormatting sqref="L179:N179 P179:R179">
    <cfRule type="cellIs" dxfId="485" priority="353" stopIfTrue="1" operator="lessThan">
      <formula>0</formula>
    </cfRule>
  </conditionalFormatting>
  <conditionalFormatting sqref="H179">
    <cfRule type="cellIs" dxfId="484" priority="348" stopIfTrue="1" operator="between">
      <formula>2000</formula>
      <formula>2001</formula>
    </cfRule>
    <cfRule type="cellIs" dxfId="483" priority="349" stopIfTrue="1" operator="between">
      <formula>2002</formula>
      <formula>2020</formula>
    </cfRule>
    <cfRule type="cellIs" dxfId="482" priority="350" stopIfTrue="1" operator="between">
      <formula>1998</formula>
      <formula>1999</formula>
    </cfRule>
    <cfRule type="cellIs" dxfId="481" priority="351" stopIfTrue="1" operator="between">
      <formula>1995</formula>
      <formula>1997</formula>
    </cfRule>
    <cfRule type="cellIs" dxfId="480" priority="352" stopIfTrue="1" operator="lessThan">
      <formula>1995</formula>
    </cfRule>
  </conditionalFormatting>
  <conditionalFormatting sqref="W179">
    <cfRule type="cellIs" dxfId="479" priority="347" operator="lessThan">
      <formula>0</formula>
    </cfRule>
  </conditionalFormatting>
  <conditionalFormatting sqref="E186">
    <cfRule type="cellIs" dxfId="478" priority="346" stopIfTrue="1" operator="notBetween">
      <formula>1</formula>
      <formula>100000</formula>
    </cfRule>
  </conditionalFormatting>
  <conditionalFormatting sqref="K186">
    <cfRule type="cellIs" dxfId="477" priority="345" stopIfTrue="1" operator="notEqual">
      <formula>"F"</formula>
    </cfRule>
  </conditionalFormatting>
  <conditionalFormatting sqref="L186:N186 P186:R186">
    <cfRule type="cellIs" dxfId="476" priority="344" stopIfTrue="1" operator="lessThan">
      <formula>0</formula>
    </cfRule>
  </conditionalFormatting>
  <conditionalFormatting sqref="H186">
    <cfRule type="cellIs" dxfId="475" priority="339" stopIfTrue="1" operator="between">
      <formula>2000</formula>
      <formula>2001</formula>
    </cfRule>
    <cfRule type="cellIs" dxfId="474" priority="340" stopIfTrue="1" operator="between">
      <formula>2002</formula>
      <formula>2020</formula>
    </cfRule>
    <cfRule type="cellIs" dxfId="473" priority="341" stopIfTrue="1" operator="between">
      <formula>1998</formula>
      <formula>1999</formula>
    </cfRule>
    <cfRule type="cellIs" dxfId="472" priority="342" stopIfTrue="1" operator="between">
      <formula>1995</formula>
      <formula>1997</formula>
    </cfRule>
    <cfRule type="cellIs" dxfId="471" priority="343" stopIfTrue="1" operator="lessThan">
      <formula>1995</formula>
    </cfRule>
  </conditionalFormatting>
  <conditionalFormatting sqref="W186">
    <cfRule type="cellIs" dxfId="470" priority="338" operator="lessThan">
      <formula>0</formula>
    </cfRule>
  </conditionalFormatting>
  <conditionalFormatting sqref="A159:A188">
    <cfRule type="containsText" dxfId="469" priority="336" stopIfTrue="1" operator="containsText" text="H">
      <formula>NOT(ISERROR(SEARCH("H",A159)))</formula>
    </cfRule>
    <cfRule type="containsText" dxfId="468" priority="337" stopIfTrue="1" operator="containsText" text="F">
      <formula>NOT(ISERROR(SEARCH("F",A159)))</formula>
    </cfRule>
  </conditionalFormatting>
  <conditionalFormatting sqref="E145:E146">
    <cfRule type="cellIs" dxfId="467" priority="335" stopIfTrue="1" operator="notBetween">
      <formula>1</formula>
      <formula>100000</formula>
    </cfRule>
  </conditionalFormatting>
  <conditionalFormatting sqref="A145:A146">
    <cfRule type="containsText" dxfId="466" priority="333" stopIfTrue="1" operator="containsText" text="H">
      <formula>NOT(ISERROR(SEARCH("H",A145)))</formula>
    </cfRule>
    <cfRule type="containsText" dxfId="465" priority="334" stopIfTrue="1" operator="containsText" text="F">
      <formula>NOT(ISERROR(SEARCH("F",A145)))</formula>
    </cfRule>
  </conditionalFormatting>
  <conditionalFormatting sqref="K145:K146">
    <cfRule type="cellIs" dxfId="464" priority="332" stopIfTrue="1" operator="notEqual">
      <formula>"F"</formula>
    </cfRule>
  </conditionalFormatting>
  <conditionalFormatting sqref="P145:R146 L145:N146">
    <cfRule type="cellIs" dxfId="463" priority="331" stopIfTrue="1" operator="lessThan">
      <formula>0</formula>
    </cfRule>
  </conditionalFormatting>
  <conditionalFormatting sqref="H145:H146">
    <cfRule type="cellIs" dxfId="462" priority="326" stopIfTrue="1" operator="between">
      <formula>2000</formula>
      <formula>2001</formula>
    </cfRule>
    <cfRule type="cellIs" dxfId="461" priority="327" stopIfTrue="1" operator="between">
      <formula>2002</formula>
      <formula>2020</formula>
    </cfRule>
    <cfRule type="cellIs" dxfId="460" priority="328" stopIfTrue="1" operator="between">
      <formula>1998</formula>
      <formula>1999</formula>
    </cfRule>
    <cfRule type="cellIs" dxfId="459" priority="329" stopIfTrue="1" operator="between">
      <formula>1995</formula>
      <formula>1997</formula>
    </cfRule>
    <cfRule type="cellIs" dxfId="458" priority="330" stopIfTrue="1" operator="lessThan">
      <formula>1995</formula>
    </cfRule>
  </conditionalFormatting>
  <conditionalFormatting sqref="W145:W146">
    <cfRule type="cellIs" dxfId="457" priority="325" operator="lessThan">
      <formula>0</formula>
    </cfRule>
  </conditionalFormatting>
  <conditionalFormatting sqref="E136:E141 E143:E144">
    <cfRule type="cellIs" dxfId="456" priority="324" stopIfTrue="1" operator="notBetween">
      <formula>1</formula>
      <formula>100000</formula>
    </cfRule>
  </conditionalFormatting>
  <conditionalFormatting sqref="K136:K141 K143:K144">
    <cfRule type="cellIs" dxfId="455" priority="323" stopIfTrue="1" operator="notEqual">
      <formula>"F"</formula>
    </cfRule>
  </conditionalFormatting>
  <conditionalFormatting sqref="L136:N141 P136:R141 P143:R144 L143:N144">
    <cfRule type="cellIs" dxfId="454" priority="322" stopIfTrue="1" operator="lessThan">
      <formula>0</formula>
    </cfRule>
  </conditionalFormatting>
  <conditionalFormatting sqref="E119:E122">
    <cfRule type="cellIs" dxfId="453" priority="321" stopIfTrue="1" operator="notBetween">
      <formula>1</formula>
      <formula>100000</formula>
    </cfRule>
  </conditionalFormatting>
  <conditionalFormatting sqref="K119:K122">
    <cfRule type="cellIs" dxfId="452" priority="318" stopIfTrue="1" operator="notEqual">
      <formula>"F"</formula>
    </cfRule>
  </conditionalFormatting>
  <conditionalFormatting sqref="L119:N122">
    <cfRule type="cellIs" dxfId="451" priority="317" stopIfTrue="1" operator="lessThan">
      <formula>0</formula>
    </cfRule>
  </conditionalFormatting>
  <conditionalFormatting sqref="P119:R122">
    <cfRule type="cellIs" dxfId="450" priority="316" stopIfTrue="1" operator="lessThan">
      <formula>0</formula>
    </cfRule>
  </conditionalFormatting>
  <conditionalFormatting sqref="E124">
    <cfRule type="cellIs" dxfId="449" priority="311" stopIfTrue="1" operator="notBetween">
      <formula>1</formula>
      <formula>100000</formula>
    </cfRule>
  </conditionalFormatting>
  <conditionalFormatting sqref="K124">
    <cfRule type="cellIs" dxfId="448" priority="310" stopIfTrue="1" operator="notEqual">
      <formula>"F"</formula>
    </cfRule>
  </conditionalFormatting>
  <conditionalFormatting sqref="L124:N124">
    <cfRule type="cellIs" dxfId="447" priority="309" stopIfTrue="1" operator="lessThan">
      <formula>0</formula>
    </cfRule>
  </conditionalFormatting>
  <conditionalFormatting sqref="P124:R124">
    <cfRule type="cellIs" dxfId="446" priority="308" stopIfTrue="1" operator="lessThan">
      <formula>0</formula>
    </cfRule>
  </conditionalFormatting>
  <conditionalFormatting sqref="E123">
    <cfRule type="cellIs" dxfId="445" priority="315" stopIfTrue="1" operator="notBetween">
      <formula>1</formula>
      <formula>100000</formula>
    </cfRule>
  </conditionalFormatting>
  <conditionalFormatting sqref="K123">
    <cfRule type="cellIs" dxfId="444" priority="314" stopIfTrue="1" operator="notEqual">
      <formula>"F"</formula>
    </cfRule>
  </conditionalFormatting>
  <conditionalFormatting sqref="L123:N123">
    <cfRule type="cellIs" dxfId="443" priority="313" stopIfTrue="1" operator="lessThan">
      <formula>0</formula>
    </cfRule>
  </conditionalFormatting>
  <conditionalFormatting sqref="P123:R123">
    <cfRule type="cellIs" dxfId="442" priority="312" stopIfTrue="1" operator="lessThan">
      <formula>0</formula>
    </cfRule>
  </conditionalFormatting>
  <conditionalFormatting sqref="E126:E134">
    <cfRule type="cellIs" dxfId="441" priority="307" stopIfTrue="1" operator="notBetween">
      <formula>1</formula>
      <formula>100000</formula>
    </cfRule>
  </conditionalFormatting>
  <conditionalFormatting sqref="K126:K134">
    <cfRule type="cellIs" dxfId="440" priority="306" stopIfTrue="1" operator="notEqual">
      <formula>"F"</formula>
    </cfRule>
  </conditionalFormatting>
  <conditionalFormatting sqref="L126:N134">
    <cfRule type="cellIs" dxfId="439" priority="305" stopIfTrue="1" operator="lessThan">
      <formula>0</formula>
    </cfRule>
  </conditionalFormatting>
  <conditionalFormatting sqref="P126:R134">
    <cfRule type="cellIs" dxfId="438" priority="304" stopIfTrue="1" operator="lessThan">
      <formula>0</formula>
    </cfRule>
  </conditionalFormatting>
  <conditionalFormatting sqref="H119:H124 H126:H134 H136:H141 H143:H144">
    <cfRule type="cellIs" dxfId="437" priority="299" stopIfTrue="1" operator="between">
      <formula>2000</formula>
      <formula>2001</formula>
    </cfRule>
    <cfRule type="cellIs" dxfId="436" priority="300" stopIfTrue="1" operator="between">
      <formula>2002</formula>
      <formula>2020</formula>
    </cfRule>
    <cfRule type="cellIs" dxfId="435" priority="301" stopIfTrue="1" operator="between">
      <formula>1998</formula>
      <formula>1999</formula>
    </cfRule>
    <cfRule type="cellIs" dxfId="434" priority="302" stopIfTrue="1" operator="between">
      <formula>1995</formula>
      <formula>1997</formula>
    </cfRule>
    <cfRule type="cellIs" dxfId="433" priority="303" stopIfTrue="1" operator="lessThan">
      <formula>1995</formula>
    </cfRule>
  </conditionalFormatting>
  <conditionalFormatting sqref="W119:W124 W126:W134 W136:W141 W143:W144">
    <cfRule type="cellIs" dxfId="432" priority="298" operator="lessThan">
      <formula>0</formula>
    </cfRule>
  </conditionalFormatting>
  <conditionalFormatting sqref="E118">
    <cfRule type="cellIs" dxfId="431" priority="297" stopIfTrue="1" operator="notBetween">
      <formula>1</formula>
      <formula>100000</formula>
    </cfRule>
  </conditionalFormatting>
  <conditionalFormatting sqref="K118">
    <cfRule type="cellIs" dxfId="430" priority="296" stopIfTrue="1" operator="notEqual">
      <formula>"F"</formula>
    </cfRule>
  </conditionalFormatting>
  <conditionalFormatting sqref="L118:N118 P118:R118">
    <cfRule type="cellIs" dxfId="429" priority="295" stopIfTrue="1" operator="lessThan">
      <formula>0</formula>
    </cfRule>
  </conditionalFormatting>
  <conditionalFormatting sqref="H118">
    <cfRule type="cellIs" dxfId="428" priority="290" stopIfTrue="1" operator="between">
      <formula>2000</formula>
      <formula>2001</formula>
    </cfRule>
    <cfRule type="cellIs" dxfId="427" priority="291" stopIfTrue="1" operator="between">
      <formula>2002</formula>
      <formula>2020</formula>
    </cfRule>
    <cfRule type="cellIs" dxfId="426" priority="292" stopIfTrue="1" operator="between">
      <formula>1998</formula>
      <formula>1999</formula>
    </cfRule>
    <cfRule type="cellIs" dxfId="425" priority="293" stopIfTrue="1" operator="between">
      <formula>1995</formula>
      <formula>1997</formula>
    </cfRule>
    <cfRule type="cellIs" dxfId="424" priority="294" stopIfTrue="1" operator="lessThan">
      <formula>1995</formula>
    </cfRule>
  </conditionalFormatting>
  <conditionalFormatting sqref="W118">
    <cfRule type="cellIs" dxfId="423" priority="289" operator="lessThan">
      <formula>0</formula>
    </cfRule>
  </conditionalFormatting>
  <conditionalFormatting sqref="E125">
    <cfRule type="cellIs" dxfId="422" priority="288" stopIfTrue="1" operator="notBetween">
      <formula>1</formula>
      <formula>100000</formula>
    </cfRule>
  </conditionalFormatting>
  <conditionalFormatting sqref="K125">
    <cfRule type="cellIs" dxfId="421" priority="287" stopIfTrue="1" operator="notEqual">
      <formula>"F"</formula>
    </cfRule>
  </conditionalFormatting>
  <conditionalFormatting sqref="L125:N125 P125:R125">
    <cfRule type="cellIs" dxfId="420" priority="286" stopIfTrue="1" operator="lessThan">
      <formula>0</formula>
    </cfRule>
  </conditionalFormatting>
  <conditionalFormatting sqref="H125">
    <cfRule type="cellIs" dxfId="419" priority="281" stopIfTrue="1" operator="between">
      <formula>2000</formula>
      <formula>2001</formula>
    </cfRule>
    <cfRule type="cellIs" dxfId="418" priority="282" stopIfTrue="1" operator="between">
      <formula>2002</formula>
      <formula>2020</formula>
    </cfRule>
    <cfRule type="cellIs" dxfId="417" priority="283" stopIfTrue="1" operator="between">
      <formula>1998</formula>
      <formula>1999</formula>
    </cfRule>
    <cfRule type="cellIs" dxfId="416" priority="284" stopIfTrue="1" operator="between">
      <formula>1995</formula>
      <formula>1997</formula>
    </cfRule>
    <cfRule type="cellIs" dxfId="415" priority="285" stopIfTrue="1" operator="lessThan">
      <formula>1995</formula>
    </cfRule>
  </conditionalFormatting>
  <conditionalFormatting sqref="W125">
    <cfRule type="cellIs" dxfId="414" priority="280" operator="lessThan">
      <formula>0</formula>
    </cfRule>
  </conditionalFormatting>
  <conditionalFormatting sqref="E135">
    <cfRule type="cellIs" dxfId="413" priority="279" stopIfTrue="1" operator="notBetween">
      <formula>1</formula>
      <formula>100000</formula>
    </cfRule>
  </conditionalFormatting>
  <conditionalFormatting sqref="K135">
    <cfRule type="cellIs" dxfId="412" priority="278" stopIfTrue="1" operator="notEqual">
      <formula>"F"</formula>
    </cfRule>
  </conditionalFormatting>
  <conditionalFormatting sqref="L135:N135 P135:R135">
    <cfRule type="cellIs" dxfId="411" priority="277" stopIfTrue="1" operator="lessThan">
      <formula>0</formula>
    </cfRule>
  </conditionalFormatting>
  <conditionalFormatting sqref="H135">
    <cfRule type="cellIs" dxfId="410" priority="272" stopIfTrue="1" operator="between">
      <formula>2000</formula>
      <formula>2001</formula>
    </cfRule>
    <cfRule type="cellIs" dxfId="409" priority="273" stopIfTrue="1" operator="between">
      <formula>2002</formula>
      <formula>2020</formula>
    </cfRule>
    <cfRule type="cellIs" dxfId="408" priority="274" stopIfTrue="1" operator="between">
      <formula>1998</formula>
      <formula>1999</formula>
    </cfRule>
    <cfRule type="cellIs" dxfId="407" priority="275" stopIfTrue="1" operator="between">
      <formula>1995</formula>
      <formula>1997</formula>
    </cfRule>
    <cfRule type="cellIs" dxfId="406" priority="276" stopIfTrue="1" operator="lessThan">
      <formula>1995</formula>
    </cfRule>
  </conditionalFormatting>
  <conditionalFormatting sqref="W135">
    <cfRule type="cellIs" dxfId="405" priority="271" operator="lessThan">
      <formula>0</formula>
    </cfRule>
  </conditionalFormatting>
  <conditionalFormatting sqref="E142">
    <cfRule type="cellIs" dxfId="404" priority="270" stopIfTrue="1" operator="notBetween">
      <formula>1</formula>
      <formula>100000</formula>
    </cfRule>
  </conditionalFormatting>
  <conditionalFormatting sqref="K142">
    <cfRule type="cellIs" dxfId="403" priority="269" stopIfTrue="1" operator="notEqual">
      <formula>"F"</formula>
    </cfRule>
  </conditionalFormatting>
  <conditionalFormatting sqref="L142:N142 P142:R142">
    <cfRule type="cellIs" dxfId="402" priority="268" stopIfTrue="1" operator="lessThan">
      <formula>0</formula>
    </cfRule>
  </conditionalFormatting>
  <conditionalFormatting sqref="H142">
    <cfRule type="cellIs" dxfId="401" priority="263" stopIfTrue="1" operator="between">
      <formula>2000</formula>
      <formula>2001</formula>
    </cfRule>
    <cfRule type="cellIs" dxfId="400" priority="264" stopIfTrue="1" operator="between">
      <formula>2002</formula>
      <formula>2020</formula>
    </cfRule>
    <cfRule type="cellIs" dxfId="399" priority="265" stopIfTrue="1" operator="between">
      <formula>1998</formula>
      <formula>1999</formula>
    </cfRule>
    <cfRule type="cellIs" dxfId="398" priority="266" stopIfTrue="1" operator="between">
      <formula>1995</formula>
      <formula>1997</formula>
    </cfRule>
    <cfRule type="cellIs" dxfId="397" priority="267" stopIfTrue="1" operator="lessThan">
      <formula>1995</formula>
    </cfRule>
  </conditionalFormatting>
  <conditionalFormatting sqref="W142">
    <cfRule type="cellIs" dxfId="396" priority="262" operator="lessThan">
      <formula>0</formula>
    </cfRule>
  </conditionalFormatting>
  <conditionalFormatting sqref="A115:A144">
    <cfRule type="containsText" dxfId="395" priority="260" stopIfTrue="1" operator="containsText" text="H">
      <formula>NOT(ISERROR(SEARCH("H",A115)))</formula>
    </cfRule>
    <cfRule type="containsText" dxfId="394" priority="261" stopIfTrue="1" operator="containsText" text="F">
      <formula>NOT(ISERROR(SEARCH("F",A115)))</formula>
    </cfRule>
  </conditionalFormatting>
  <conditionalFormatting sqref="E250 E252:E256 E258:E265">
    <cfRule type="cellIs" dxfId="393" priority="259" stopIfTrue="1" operator="notBetween">
      <formula>1</formula>
      <formula>100000</formula>
    </cfRule>
  </conditionalFormatting>
  <conditionalFormatting sqref="K250 K252:K256 K258:K265">
    <cfRule type="cellIs" dxfId="392" priority="258" stopIfTrue="1" operator="notEqual">
      <formula>"F"</formula>
    </cfRule>
  </conditionalFormatting>
  <conditionalFormatting sqref="L250:N250 P250:R250 P252:R256 L252:N256 L258:N265 P258:R265">
    <cfRule type="cellIs" dxfId="391" priority="257" stopIfTrue="1" operator="lessThan">
      <formula>0</formula>
    </cfRule>
  </conditionalFormatting>
  <conditionalFormatting sqref="H250 H252:H256 H258:H265">
    <cfRule type="cellIs" dxfId="390" priority="252" stopIfTrue="1" operator="between">
      <formula>2000</formula>
      <formula>2001</formula>
    </cfRule>
    <cfRule type="cellIs" dxfId="389" priority="253" stopIfTrue="1" operator="between">
      <formula>2002</formula>
      <formula>2020</formula>
    </cfRule>
    <cfRule type="cellIs" dxfId="388" priority="254" stopIfTrue="1" operator="between">
      <formula>1998</formula>
      <formula>1999</formula>
    </cfRule>
    <cfRule type="cellIs" dxfId="387" priority="255" stopIfTrue="1" operator="between">
      <formula>1995</formula>
      <formula>1997</formula>
    </cfRule>
    <cfRule type="cellIs" dxfId="386" priority="256" stopIfTrue="1" operator="lessThan">
      <formula>1995</formula>
    </cfRule>
  </conditionalFormatting>
  <conditionalFormatting sqref="W250 W252:W256 W258:W265">
    <cfRule type="cellIs" dxfId="385" priority="251" operator="lessThan">
      <formula>0</formula>
    </cfRule>
  </conditionalFormatting>
  <conditionalFormatting sqref="E251">
    <cfRule type="cellIs" dxfId="384" priority="250" stopIfTrue="1" operator="notBetween">
      <formula>1</formula>
      <formula>100000</formula>
    </cfRule>
  </conditionalFormatting>
  <conditionalFormatting sqref="K251">
    <cfRule type="cellIs" dxfId="383" priority="249" stopIfTrue="1" operator="notEqual">
      <formula>"F"</formula>
    </cfRule>
  </conditionalFormatting>
  <conditionalFormatting sqref="L251:N251 P251:R251">
    <cfRule type="cellIs" dxfId="382" priority="248" stopIfTrue="1" operator="lessThan">
      <formula>0</formula>
    </cfRule>
  </conditionalFormatting>
  <conditionalFormatting sqref="H251">
    <cfRule type="cellIs" dxfId="381" priority="243" stopIfTrue="1" operator="between">
      <formula>2000</formula>
      <formula>2001</formula>
    </cfRule>
    <cfRule type="cellIs" dxfId="380" priority="244" stopIfTrue="1" operator="between">
      <formula>2002</formula>
      <formula>2020</formula>
    </cfRule>
    <cfRule type="cellIs" dxfId="379" priority="245" stopIfTrue="1" operator="between">
      <formula>1998</formula>
      <formula>1999</formula>
    </cfRule>
    <cfRule type="cellIs" dxfId="378" priority="246" stopIfTrue="1" operator="between">
      <formula>1995</formula>
      <formula>1997</formula>
    </cfRule>
    <cfRule type="cellIs" dxfId="377" priority="247" stopIfTrue="1" operator="lessThan">
      <formula>1995</formula>
    </cfRule>
  </conditionalFormatting>
  <conditionalFormatting sqref="W251">
    <cfRule type="cellIs" dxfId="376" priority="242" operator="lessThan">
      <formula>0</formula>
    </cfRule>
  </conditionalFormatting>
  <conditionalFormatting sqref="E257">
    <cfRule type="cellIs" dxfId="375" priority="241" stopIfTrue="1" operator="notBetween">
      <formula>1</formula>
      <formula>100000</formula>
    </cfRule>
  </conditionalFormatting>
  <conditionalFormatting sqref="K257">
    <cfRule type="cellIs" dxfId="374" priority="240" stopIfTrue="1" operator="notEqual">
      <formula>"F"</formula>
    </cfRule>
  </conditionalFormatting>
  <conditionalFormatting sqref="L257:N257 P257:R257">
    <cfRule type="cellIs" dxfId="373" priority="239" stopIfTrue="1" operator="lessThan">
      <formula>0</formula>
    </cfRule>
  </conditionalFormatting>
  <conditionalFormatting sqref="H257">
    <cfRule type="cellIs" dxfId="372" priority="234" stopIfTrue="1" operator="between">
      <formula>2000</formula>
      <formula>2001</formula>
    </cfRule>
    <cfRule type="cellIs" dxfId="371" priority="235" stopIfTrue="1" operator="between">
      <formula>2002</formula>
      <formula>2020</formula>
    </cfRule>
    <cfRule type="cellIs" dxfId="370" priority="236" stopIfTrue="1" operator="between">
      <formula>1998</formula>
      <formula>1999</formula>
    </cfRule>
    <cfRule type="cellIs" dxfId="369" priority="237" stopIfTrue="1" operator="between">
      <formula>1995</formula>
      <formula>1997</formula>
    </cfRule>
    <cfRule type="cellIs" dxfId="368" priority="238" stopIfTrue="1" operator="lessThan">
      <formula>1995</formula>
    </cfRule>
  </conditionalFormatting>
  <conditionalFormatting sqref="W257">
    <cfRule type="cellIs" dxfId="367" priority="233" operator="lessThan">
      <formula>0</formula>
    </cfRule>
  </conditionalFormatting>
  <conditionalFormatting sqref="E249">
    <cfRule type="cellIs" dxfId="366" priority="232" stopIfTrue="1" operator="notBetween">
      <formula>1</formula>
      <formula>100000</formula>
    </cfRule>
  </conditionalFormatting>
  <conditionalFormatting sqref="K249">
    <cfRule type="cellIs" dxfId="365" priority="231" stopIfTrue="1" operator="notEqual">
      <formula>"F"</formula>
    </cfRule>
  </conditionalFormatting>
  <conditionalFormatting sqref="L249:N249 P249:R249">
    <cfRule type="cellIs" dxfId="364" priority="230" stopIfTrue="1" operator="lessThan">
      <formula>0</formula>
    </cfRule>
  </conditionalFormatting>
  <conditionalFormatting sqref="H249">
    <cfRule type="cellIs" dxfId="363" priority="225" stopIfTrue="1" operator="between">
      <formula>2000</formula>
      <formula>2001</formula>
    </cfRule>
    <cfRule type="cellIs" dxfId="362" priority="226" stopIfTrue="1" operator="between">
      <formula>2002</formula>
      <formula>2020</formula>
    </cfRule>
    <cfRule type="cellIs" dxfId="361" priority="227" stopIfTrue="1" operator="between">
      <formula>1998</formula>
      <formula>1999</formula>
    </cfRule>
    <cfRule type="cellIs" dxfId="360" priority="228" stopIfTrue="1" operator="between">
      <formula>1995</formula>
      <formula>1997</formula>
    </cfRule>
    <cfRule type="cellIs" dxfId="359" priority="229" stopIfTrue="1" operator="lessThan">
      <formula>1995</formula>
    </cfRule>
  </conditionalFormatting>
  <conditionalFormatting sqref="W249">
    <cfRule type="cellIs" dxfId="358" priority="224" operator="lessThan">
      <formula>0</formula>
    </cfRule>
  </conditionalFormatting>
  <conditionalFormatting sqref="A249:A265">
    <cfRule type="containsText" dxfId="357" priority="222" stopIfTrue="1" operator="containsText" text="H">
      <formula>NOT(ISERROR(SEARCH("H",A249)))</formula>
    </cfRule>
    <cfRule type="containsText" dxfId="356" priority="223" stopIfTrue="1" operator="containsText" text="F">
      <formula>NOT(ISERROR(SEARCH("F",A249)))</formula>
    </cfRule>
  </conditionalFormatting>
  <conditionalFormatting sqref="E332:E335">
    <cfRule type="cellIs" dxfId="355" priority="220" stopIfTrue="1" operator="notBetween">
      <formula>1</formula>
      <formula>100000</formula>
    </cfRule>
  </conditionalFormatting>
  <conditionalFormatting sqref="A332:A335">
    <cfRule type="containsText" dxfId="354" priority="218" stopIfTrue="1" operator="containsText" text="H">
      <formula>NOT(ISERROR(SEARCH("H",A332)))</formula>
    </cfRule>
    <cfRule type="containsText" dxfId="353" priority="219" stopIfTrue="1" operator="containsText" text="F">
      <formula>NOT(ISERROR(SEARCH("F",A332)))</formula>
    </cfRule>
  </conditionalFormatting>
  <conditionalFormatting sqref="K332:K335">
    <cfRule type="cellIs" dxfId="352" priority="217" stopIfTrue="1" operator="notEqual">
      <formula>"F"</formula>
    </cfRule>
  </conditionalFormatting>
  <conditionalFormatting sqref="L332:N335 P332:R335">
    <cfRule type="cellIs" dxfId="351" priority="216" stopIfTrue="1" operator="lessThan">
      <formula>0</formula>
    </cfRule>
  </conditionalFormatting>
  <conditionalFormatting sqref="H332:H335">
    <cfRule type="cellIs" dxfId="350" priority="211" stopIfTrue="1" operator="between">
      <formula>2000</formula>
      <formula>2001</formula>
    </cfRule>
    <cfRule type="cellIs" dxfId="349" priority="212" stopIfTrue="1" operator="between">
      <formula>2002</formula>
      <formula>2020</formula>
    </cfRule>
    <cfRule type="cellIs" dxfId="348" priority="213" stopIfTrue="1" operator="between">
      <formula>1998</formula>
      <formula>1999</formula>
    </cfRule>
    <cfRule type="cellIs" dxfId="347" priority="214" stopIfTrue="1" operator="between">
      <formula>1995</formula>
      <formula>1997</formula>
    </cfRule>
    <cfRule type="cellIs" dxfId="346" priority="215" stopIfTrue="1" operator="lessThan">
      <formula>1995</formula>
    </cfRule>
  </conditionalFormatting>
  <conditionalFormatting sqref="W332:W335">
    <cfRule type="cellIs" dxfId="345" priority="210" operator="lessThan">
      <formula>0</formula>
    </cfRule>
  </conditionalFormatting>
  <conditionalFormatting sqref="E2">
    <cfRule type="cellIs" dxfId="344" priority="98" stopIfTrue="1" operator="notBetween">
      <formula>1</formula>
      <formula>100000</formula>
    </cfRule>
  </conditionalFormatting>
  <conditionalFormatting sqref="A2">
    <cfRule type="containsText" dxfId="343" priority="96" stopIfTrue="1" operator="containsText" text="H">
      <formula>NOT(ISERROR(SEARCH("H",A2)))</formula>
    </cfRule>
    <cfRule type="containsText" dxfId="342" priority="97" stopIfTrue="1" operator="containsText" text="F">
      <formula>NOT(ISERROR(SEARCH("F",A2)))</formula>
    </cfRule>
  </conditionalFormatting>
  <conditionalFormatting sqref="K2">
    <cfRule type="cellIs" dxfId="341" priority="95" stopIfTrue="1" operator="notEqual">
      <formula>"F"</formula>
    </cfRule>
  </conditionalFormatting>
  <conditionalFormatting sqref="L2:N2 P2:R2">
    <cfRule type="cellIs" dxfId="340" priority="94" stopIfTrue="1" operator="lessThan">
      <formula>0</formula>
    </cfRule>
  </conditionalFormatting>
  <conditionalFormatting sqref="H2">
    <cfRule type="cellIs" dxfId="339" priority="89" stopIfTrue="1" operator="between">
      <formula>2000</formula>
      <formula>2001</formula>
    </cfRule>
    <cfRule type="cellIs" dxfId="338" priority="90" stopIfTrue="1" operator="between">
      <formula>2002</formula>
      <formula>2020</formula>
    </cfRule>
    <cfRule type="cellIs" dxfId="337" priority="91" stopIfTrue="1" operator="between">
      <formula>1998</formula>
      <formula>1999</formula>
    </cfRule>
    <cfRule type="cellIs" dxfId="336" priority="92" stopIfTrue="1" operator="between">
      <formula>1995</formula>
      <formula>1997</formula>
    </cfRule>
    <cfRule type="cellIs" dxfId="335" priority="93" stopIfTrue="1" operator="lessThan">
      <formula>1995</formula>
    </cfRule>
  </conditionalFormatting>
  <conditionalFormatting sqref="W2">
    <cfRule type="cellIs" dxfId="334" priority="88" operator="lessThan">
      <formula>0</formula>
    </cfRule>
  </conditionalFormatting>
  <conditionalFormatting sqref="V2">
    <cfRule type="cellIs" dxfId="333" priority="87" operator="equal">
      <formula>"DEB"</formula>
    </cfRule>
  </conditionalFormatting>
  <conditionalFormatting sqref="E24">
    <cfRule type="cellIs" dxfId="332" priority="86" stopIfTrue="1" operator="notBetween">
      <formula>1</formula>
      <formula>100000</formula>
    </cfRule>
  </conditionalFormatting>
  <conditionalFormatting sqref="A24">
    <cfRule type="containsText" dxfId="331" priority="84" stopIfTrue="1" operator="containsText" text="H">
      <formula>NOT(ISERROR(SEARCH("H",A24)))</formula>
    </cfRule>
    <cfRule type="containsText" dxfId="330" priority="85" stopIfTrue="1" operator="containsText" text="F">
      <formula>NOT(ISERROR(SEARCH("F",A24)))</formula>
    </cfRule>
  </conditionalFormatting>
  <conditionalFormatting sqref="K24">
    <cfRule type="cellIs" dxfId="329" priority="83" stopIfTrue="1" operator="notEqual">
      <formula>"F"</formula>
    </cfRule>
  </conditionalFormatting>
  <conditionalFormatting sqref="L24:N24 P24:R24">
    <cfRule type="cellIs" dxfId="328" priority="82" stopIfTrue="1" operator="lessThan">
      <formula>0</formula>
    </cfRule>
  </conditionalFormatting>
  <conditionalFormatting sqref="H24">
    <cfRule type="cellIs" dxfId="327" priority="77" stopIfTrue="1" operator="between">
      <formula>2000</formula>
      <formula>2001</formula>
    </cfRule>
    <cfRule type="cellIs" dxfId="326" priority="78" stopIfTrue="1" operator="between">
      <formula>2002</formula>
      <formula>2020</formula>
    </cfRule>
    <cfRule type="cellIs" dxfId="325" priority="79" stopIfTrue="1" operator="between">
      <formula>1998</formula>
      <formula>1999</formula>
    </cfRule>
    <cfRule type="cellIs" dxfId="324" priority="80" stopIfTrue="1" operator="between">
      <formula>1995</formula>
      <formula>1997</formula>
    </cfRule>
    <cfRule type="cellIs" dxfId="323" priority="81" stopIfTrue="1" operator="lessThan">
      <formula>1995</formula>
    </cfRule>
  </conditionalFormatting>
  <conditionalFormatting sqref="W24">
    <cfRule type="cellIs" dxfId="322" priority="76" operator="lessThan">
      <formula>0</formula>
    </cfRule>
  </conditionalFormatting>
  <conditionalFormatting sqref="V24">
    <cfRule type="cellIs" dxfId="321" priority="75" operator="equal">
      <formula>"DEB"</formula>
    </cfRule>
  </conditionalFormatting>
  <conditionalFormatting sqref="E76">
    <cfRule type="cellIs" dxfId="320" priority="74" stopIfTrue="1" operator="notBetween">
      <formula>1</formula>
      <formula>100000</formula>
    </cfRule>
  </conditionalFormatting>
  <conditionalFormatting sqref="A76">
    <cfRule type="containsText" dxfId="319" priority="72" stopIfTrue="1" operator="containsText" text="H">
      <formula>NOT(ISERROR(SEARCH("H",A76)))</formula>
    </cfRule>
    <cfRule type="containsText" dxfId="318" priority="73" stopIfTrue="1" operator="containsText" text="F">
      <formula>NOT(ISERROR(SEARCH("F",A76)))</formula>
    </cfRule>
  </conditionalFormatting>
  <conditionalFormatting sqref="K76">
    <cfRule type="cellIs" dxfId="317" priority="71" stopIfTrue="1" operator="notEqual">
      <formula>"F"</formula>
    </cfRule>
  </conditionalFormatting>
  <conditionalFormatting sqref="L76:N76 P76:R76">
    <cfRule type="cellIs" dxfId="316" priority="70" stopIfTrue="1" operator="lessThan">
      <formula>0</formula>
    </cfRule>
  </conditionalFormatting>
  <conditionalFormatting sqref="H76">
    <cfRule type="cellIs" dxfId="315" priority="65" stopIfTrue="1" operator="between">
      <formula>2000</formula>
      <formula>2001</formula>
    </cfRule>
    <cfRule type="cellIs" dxfId="314" priority="66" stopIfTrue="1" operator="between">
      <formula>2002</formula>
      <formula>2020</formula>
    </cfRule>
    <cfRule type="cellIs" dxfId="313" priority="67" stopIfTrue="1" operator="between">
      <formula>1998</formula>
      <formula>1999</formula>
    </cfRule>
    <cfRule type="cellIs" dxfId="312" priority="68" stopIfTrue="1" operator="between">
      <formula>1995</formula>
      <formula>1997</formula>
    </cfRule>
    <cfRule type="cellIs" dxfId="311" priority="69" stopIfTrue="1" operator="lessThan">
      <formula>1995</formula>
    </cfRule>
  </conditionalFormatting>
  <conditionalFormatting sqref="W76">
    <cfRule type="cellIs" dxfId="310" priority="64" operator="lessThan">
      <formula>0</formula>
    </cfRule>
  </conditionalFormatting>
  <conditionalFormatting sqref="V76">
    <cfRule type="cellIs" dxfId="309" priority="63" operator="equal">
      <formula>"DEB"</formula>
    </cfRule>
  </conditionalFormatting>
  <conditionalFormatting sqref="E155">
    <cfRule type="cellIs" dxfId="308" priority="62" stopIfTrue="1" operator="notBetween">
      <formula>1</formula>
      <formula>100000</formula>
    </cfRule>
  </conditionalFormatting>
  <conditionalFormatting sqref="A155">
    <cfRule type="containsText" dxfId="307" priority="60" stopIfTrue="1" operator="containsText" text="H">
      <formula>NOT(ISERROR(SEARCH("H",A155)))</formula>
    </cfRule>
    <cfRule type="containsText" dxfId="306" priority="61" stopIfTrue="1" operator="containsText" text="F">
      <formula>NOT(ISERROR(SEARCH("F",A155)))</formula>
    </cfRule>
  </conditionalFormatting>
  <conditionalFormatting sqref="K155">
    <cfRule type="cellIs" dxfId="305" priority="59" stopIfTrue="1" operator="notEqual">
      <formula>"F"</formula>
    </cfRule>
  </conditionalFormatting>
  <conditionalFormatting sqref="L155:N155 P155:R155">
    <cfRule type="cellIs" dxfId="304" priority="58" stopIfTrue="1" operator="lessThan">
      <formula>0</formula>
    </cfRule>
  </conditionalFormatting>
  <conditionalFormatting sqref="H155">
    <cfRule type="cellIs" dxfId="303" priority="53" stopIfTrue="1" operator="between">
      <formula>2000</formula>
      <formula>2001</formula>
    </cfRule>
    <cfRule type="cellIs" dxfId="302" priority="54" stopIfTrue="1" operator="between">
      <formula>2002</formula>
      <formula>2020</formula>
    </cfRule>
    <cfRule type="cellIs" dxfId="301" priority="55" stopIfTrue="1" operator="between">
      <formula>1998</formula>
      <formula>1999</formula>
    </cfRule>
    <cfRule type="cellIs" dxfId="300" priority="56" stopIfTrue="1" operator="between">
      <formula>1995</formula>
      <formula>1997</formula>
    </cfRule>
    <cfRule type="cellIs" dxfId="299" priority="57" stopIfTrue="1" operator="lessThan">
      <formula>1995</formula>
    </cfRule>
  </conditionalFormatting>
  <conditionalFormatting sqref="W155">
    <cfRule type="cellIs" dxfId="298" priority="52" operator="lessThan">
      <formula>0</formula>
    </cfRule>
  </conditionalFormatting>
  <conditionalFormatting sqref="V155">
    <cfRule type="cellIs" dxfId="297" priority="51" operator="equal">
      <formula>"DEB"</formula>
    </cfRule>
  </conditionalFormatting>
  <conditionalFormatting sqref="E228">
    <cfRule type="cellIs" dxfId="296" priority="50" stopIfTrue="1" operator="notBetween">
      <formula>1</formula>
      <formula>100000</formula>
    </cfRule>
  </conditionalFormatting>
  <conditionalFormatting sqref="A228">
    <cfRule type="containsText" dxfId="295" priority="48" stopIfTrue="1" operator="containsText" text="H">
      <formula>NOT(ISERROR(SEARCH("H",A228)))</formula>
    </cfRule>
    <cfRule type="containsText" dxfId="294" priority="49" stopIfTrue="1" operator="containsText" text="F">
      <formula>NOT(ISERROR(SEARCH("F",A228)))</formula>
    </cfRule>
  </conditionalFormatting>
  <conditionalFormatting sqref="K228">
    <cfRule type="cellIs" dxfId="293" priority="47" stopIfTrue="1" operator="notEqual">
      <formula>"F"</formula>
    </cfRule>
  </conditionalFormatting>
  <conditionalFormatting sqref="L228:N228 P228:R228">
    <cfRule type="cellIs" dxfId="292" priority="46" stopIfTrue="1" operator="lessThan">
      <formula>0</formula>
    </cfRule>
  </conditionalFormatting>
  <conditionalFormatting sqref="H228">
    <cfRule type="cellIs" dxfId="291" priority="41" stopIfTrue="1" operator="between">
      <formula>2000</formula>
      <formula>2001</formula>
    </cfRule>
    <cfRule type="cellIs" dxfId="290" priority="42" stopIfTrue="1" operator="between">
      <formula>2002</formula>
      <formula>2020</formula>
    </cfRule>
    <cfRule type="cellIs" dxfId="289" priority="43" stopIfTrue="1" operator="between">
      <formula>1998</formula>
      <formula>1999</formula>
    </cfRule>
    <cfRule type="cellIs" dxfId="288" priority="44" stopIfTrue="1" operator="between">
      <formula>1995</formula>
      <formula>1997</formula>
    </cfRule>
    <cfRule type="cellIs" dxfId="287" priority="45" stopIfTrue="1" operator="lessThan">
      <formula>1995</formula>
    </cfRule>
  </conditionalFormatting>
  <conditionalFormatting sqref="W228">
    <cfRule type="cellIs" dxfId="286" priority="40" operator="lessThan">
      <formula>0</formula>
    </cfRule>
  </conditionalFormatting>
  <conditionalFormatting sqref="V228">
    <cfRule type="cellIs" dxfId="285" priority="39" operator="equal">
      <formula>"DEB"</formula>
    </cfRule>
  </conditionalFormatting>
  <conditionalFormatting sqref="E276">
    <cfRule type="cellIs" dxfId="284" priority="38" stopIfTrue="1" operator="notBetween">
      <formula>1</formula>
      <formula>100000</formula>
    </cfRule>
  </conditionalFormatting>
  <conditionalFormatting sqref="A276">
    <cfRule type="containsText" dxfId="283" priority="36" stopIfTrue="1" operator="containsText" text="H">
      <formula>NOT(ISERROR(SEARCH("H",A276)))</formula>
    </cfRule>
    <cfRule type="containsText" dxfId="282" priority="37" stopIfTrue="1" operator="containsText" text="F">
      <formula>NOT(ISERROR(SEARCH("F",A276)))</formula>
    </cfRule>
  </conditionalFormatting>
  <conditionalFormatting sqref="K276">
    <cfRule type="cellIs" dxfId="281" priority="35" stopIfTrue="1" operator="notEqual">
      <formula>"F"</formula>
    </cfRule>
  </conditionalFormatting>
  <conditionalFormatting sqref="L276:N276 P276:R276">
    <cfRule type="cellIs" dxfId="280" priority="34" stopIfTrue="1" operator="lessThan">
      <formula>0</formula>
    </cfRule>
  </conditionalFormatting>
  <conditionalFormatting sqref="H276">
    <cfRule type="cellIs" dxfId="279" priority="29" stopIfTrue="1" operator="between">
      <formula>2000</formula>
      <formula>2001</formula>
    </cfRule>
    <cfRule type="cellIs" dxfId="278" priority="30" stopIfTrue="1" operator="between">
      <formula>2002</formula>
      <formula>2020</formula>
    </cfRule>
    <cfRule type="cellIs" dxfId="277" priority="31" stopIfTrue="1" operator="between">
      <formula>1998</formula>
      <formula>1999</formula>
    </cfRule>
    <cfRule type="cellIs" dxfId="276" priority="32" stopIfTrue="1" operator="between">
      <formula>1995</formula>
      <formula>1997</formula>
    </cfRule>
    <cfRule type="cellIs" dxfId="275" priority="33" stopIfTrue="1" operator="lessThan">
      <formula>1995</formula>
    </cfRule>
  </conditionalFormatting>
  <conditionalFormatting sqref="W276">
    <cfRule type="cellIs" dxfId="274" priority="28" operator="lessThan">
      <formula>0</formula>
    </cfRule>
  </conditionalFormatting>
  <conditionalFormatting sqref="V276">
    <cfRule type="cellIs" dxfId="273" priority="27" operator="equal">
      <formula>"DEB"</formula>
    </cfRule>
  </conditionalFormatting>
  <conditionalFormatting sqref="E307">
    <cfRule type="cellIs" dxfId="272" priority="26" stopIfTrue="1" operator="notBetween">
      <formula>1</formula>
      <formula>100000</formula>
    </cfRule>
  </conditionalFormatting>
  <conditionalFormatting sqref="A307">
    <cfRule type="containsText" dxfId="271" priority="24" stopIfTrue="1" operator="containsText" text="H">
      <formula>NOT(ISERROR(SEARCH("H",A307)))</formula>
    </cfRule>
    <cfRule type="containsText" dxfId="270" priority="25" stopIfTrue="1" operator="containsText" text="F">
      <formula>NOT(ISERROR(SEARCH("F",A307)))</formula>
    </cfRule>
  </conditionalFormatting>
  <conditionalFormatting sqref="K307">
    <cfRule type="cellIs" dxfId="269" priority="23" stopIfTrue="1" operator="notEqual">
      <formula>"F"</formula>
    </cfRule>
  </conditionalFormatting>
  <conditionalFormatting sqref="L307:N307 P307:R307">
    <cfRule type="cellIs" dxfId="268" priority="22" stopIfTrue="1" operator="lessThan">
      <formula>0</formula>
    </cfRule>
  </conditionalFormatting>
  <conditionalFormatting sqref="H307">
    <cfRule type="cellIs" dxfId="267" priority="17" stopIfTrue="1" operator="between">
      <formula>2000</formula>
      <formula>2001</formula>
    </cfRule>
    <cfRule type="cellIs" dxfId="266" priority="18" stopIfTrue="1" operator="between">
      <formula>2002</formula>
      <formula>2020</formula>
    </cfRule>
    <cfRule type="cellIs" dxfId="265" priority="19" stopIfTrue="1" operator="between">
      <formula>1998</formula>
      <formula>1999</formula>
    </cfRule>
    <cfRule type="cellIs" dxfId="264" priority="20" stopIfTrue="1" operator="between">
      <formula>1995</formula>
      <formula>1997</formula>
    </cfRule>
    <cfRule type="cellIs" dxfId="263" priority="21" stopIfTrue="1" operator="lessThan">
      <formula>1995</formula>
    </cfRule>
  </conditionalFormatting>
  <conditionalFormatting sqref="W307">
    <cfRule type="cellIs" dxfId="262" priority="16" operator="lessThan">
      <formula>0</formula>
    </cfRule>
  </conditionalFormatting>
  <conditionalFormatting sqref="V307">
    <cfRule type="cellIs" dxfId="261" priority="15" operator="equal">
      <formula>"DEB"</formula>
    </cfRule>
  </conditionalFormatting>
  <conditionalFormatting sqref="E336">
    <cfRule type="cellIs" dxfId="260" priority="14" stopIfTrue="1" operator="notBetween">
      <formula>1</formula>
      <formula>100000</formula>
    </cfRule>
  </conditionalFormatting>
  <conditionalFormatting sqref="A336">
    <cfRule type="containsText" dxfId="259" priority="12" stopIfTrue="1" operator="containsText" text="H">
      <formula>NOT(ISERROR(SEARCH("H",A336)))</formula>
    </cfRule>
    <cfRule type="containsText" dxfId="258" priority="13" stopIfTrue="1" operator="containsText" text="F">
      <formula>NOT(ISERROR(SEARCH("F",A336)))</formula>
    </cfRule>
  </conditionalFormatting>
  <conditionalFormatting sqref="K336">
    <cfRule type="cellIs" dxfId="257" priority="11" stopIfTrue="1" operator="notEqual">
      <formula>"F"</formula>
    </cfRule>
  </conditionalFormatting>
  <conditionalFormatting sqref="L336:N336 P336:R336">
    <cfRule type="cellIs" dxfId="256" priority="10" stopIfTrue="1" operator="lessThan">
      <formula>0</formula>
    </cfRule>
  </conditionalFormatting>
  <conditionalFormatting sqref="H336">
    <cfRule type="cellIs" dxfId="255" priority="5" stopIfTrue="1" operator="between">
      <formula>2000</formula>
      <formula>2001</formula>
    </cfRule>
    <cfRule type="cellIs" dxfId="254" priority="6" stopIfTrue="1" operator="between">
      <formula>2002</formula>
      <formula>2020</formula>
    </cfRule>
    <cfRule type="cellIs" dxfId="253" priority="7" stopIfTrue="1" operator="between">
      <formula>1998</formula>
      <formula>1999</formula>
    </cfRule>
    <cfRule type="cellIs" dxfId="252" priority="8" stopIfTrue="1" operator="between">
      <formula>1995</formula>
      <formula>1997</formula>
    </cfRule>
    <cfRule type="cellIs" dxfId="251" priority="9" stopIfTrue="1" operator="lessThan">
      <formula>1995</formula>
    </cfRule>
  </conditionalFormatting>
  <conditionalFormatting sqref="W336">
    <cfRule type="cellIs" dxfId="250" priority="4" operator="lessThan">
      <formula>0</formula>
    </cfRule>
  </conditionalFormatting>
  <conditionalFormatting sqref="V336">
    <cfRule type="cellIs" dxfId="249" priority="3" operator="equal">
      <formula>"DEB"</formula>
    </cfRule>
  </conditionalFormatting>
  <dataValidations count="1">
    <dataValidation type="list" allowBlank="1" showInputMessage="1" showErrorMessage="1" sqref="A2:A336" xr:uid="{00000000-0002-0000-0400-000000000000}">
      <formula1>"H,F"</formula1>
    </dataValidation>
  </dataValidations>
  <printOptions horizontalCentered="1" verticalCentered="1"/>
  <pageMargins left="0.19685039370078741" right="3.937007874015748E-2" top="0.19685039370078741" bottom="0" header="0" footer="0"/>
  <pageSetup paperSize="9" scale="4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5297D-E2B1-4BE1-940D-20A32654DAF9}">
  <dimension ref="A1:AB77"/>
  <sheetViews>
    <sheetView tabSelected="1" zoomScale="52" workbookViewId="0">
      <selection activeCell="T11" sqref="A1:AB77"/>
    </sheetView>
  </sheetViews>
  <sheetFormatPr baseColWidth="10" defaultRowHeight="12.75" x14ac:dyDescent="0.2"/>
  <cols>
    <col min="7" max="7" width="14.5703125" customWidth="1"/>
    <col min="28" max="28" width="34.7109375" customWidth="1"/>
  </cols>
  <sheetData>
    <row r="1" spans="1:28" ht="17.25" thickTop="1" thickBot="1" x14ac:dyDescent="0.25">
      <c r="A1" s="6" t="s">
        <v>54</v>
      </c>
      <c r="B1" s="7" t="s">
        <v>70</v>
      </c>
      <c r="C1" s="8" t="s">
        <v>0</v>
      </c>
      <c r="D1" s="60" t="s">
        <v>68</v>
      </c>
      <c r="E1" s="9" t="s">
        <v>1</v>
      </c>
      <c r="F1" s="10" t="s">
        <v>3</v>
      </c>
      <c r="G1" s="10" t="s">
        <v>4</v>
      </c>
      <c r="H1" s="10" t="s">
        <v>67</v>
      </c>
      <c r="I1" s="10" t="s">
        <v>6</v>
      </c>
      <c r="J1" s="10" t="s">
        <v>5</v>
      </c>
      <c r="K1" s="10" t="s">
        <v>2</v>
      </c>
      <c r="L1" s="10">
        <v>1</v>
      </c>
      <c r="M1" s="10">
        <v>2</v>
      </c>
      <c r="N1" s="10">
        <v>3</v>
      </c>
      <c r="O1" s="10" t="s">
        <v>7</v>
      </c>
      <c r="P1" s="10">
        <v>1</v>
      </c>
      <c r="Q1" s="10">
        <v>2</v>
      </c>
      <c r="R1" s="10">
        <v>3</v>
      </c>
      <c r="S1" s="10" t="s">
        <v>8</v>
      </c>
      <c r="T1" s="10" t="s">
        <v>9</v>
      </c>
      <c r="U1" s="38" t="s">
        <v>105</v>
      </c>
      <c r="V1" s="111" t="s">
        <v>66</v>
      </c>
      <c r="W1" s="112" t="s">
        <v>1010</v>
      </c>
      <c r="X1" s="10" t="s">
        <v>11</v>
      </c>
      <c r="Y1" s="43" t="s">
        <v>10</v>
      </c>
      <c r="Z1" s="109" t="s">
        <v>1008</v>
      </c>
      <c r="AA1" s="110" t="s">
        <v>1009</v>
      </c>
      <c r="AB1" s="110" t="s">
        <v>1011</v>
      </c>
    </row>
    <row r="2" spans="1:28" ht="21" x14ac:dyDescent="0.2">
      <c r="A2" s="12" t="s">
        <v>69</v>
      </c>
      <c r="B2" s="18" t="s">
        <v>536</v>
      </c>
      <c r="C2" s="19" t="s">
        <v>545</v>
      </c>
      <c r="D2" s="61">
        <v>6</v>
      </c>
      <c r="E2" s="35">
        <v>3505</v>
      </c>
      <c r="F2" s="20" t="s">
        <v>580</v>
      </c>
      <c r="G2" s="20" t="s">
        <v>581</v>
      </c>
      <c r="H2" s="51">
        <v>1976</v>
      </c>
      <c r="I2" s="30">
        <v>61</v>
      </c>
      <c r="J2" s="19" t="s">
        <v>548</v>
      </c>
      <c r="K2" s="34" t="s">
        <v>69</v>
      </c>
      <c r="L2" s="31">
        <v>67</v>
      </c>
      <c r="M2" s="31">
        <v>70</v>
      </c>
      <c r="N2" s="31">
        <v>73</v>
      </c>
      <c r="O2" s="36">
        <v>73</v>
      </c>
      <c r="P2" s="31">
        <v>85</v>
      </c>
      <c r="Q2" s="31">
        <v>-87</v>
      </c>
      <c r="R2" s="31">
        <v>87</v>
      </c>
      <c r="S2" s="36">
        <v>87</v>
      </c>
      <c r="T2" s="37">
        <v>160</v>
      </c>
      <c r="U2" s="65">
        <v>38</v>
      </c>
      <c r="V2" s="41" t="s">
        <v>60</v>
      </c>
      <c r="W2" s="33">
        <v>0</v>
      </c>
      <c r="X2" s="40" t="s">
        <v>23</v>
      </c>
      <c r="Y2" s="39">
        <v>217.33121079715693</v>
      </c>
      <c r="Z2">
        <f>IF(V2="OLY +",1,IF(V2="INTA +",2,IF(V2="INTB +",3,4)))</f>
        <v>3</v>
      </c>
      <c r="AA2" t="str">
        <f>IF(H2&gt;1999,"U15",IF(H2&gt;1997,"U17",IF(H2&gt;1994,"U20","SEN")))</f>
        <v>SEN</v>
      </c>
      <c r="AB2" t="str">
        <f>UPPER(F2&amp;G2&amp;H2)</f>
        <v>CRETONSANDY1976</v>
      </c>
    </row>
    <row r="3" spans="1:28" ht="21" x14ac:dyDescent="0.2">
      <c r="A3" s="12" t="s">
        <v>69</v>
      </c>
      <c r="B3" s="18" t="s">
        <v>108</v>
      </c>
      <c r="C3" s="19" t="s">
        <v>264</v>
      </c>
      <c r="D3" s="61">
        <v>4</v>
      </c>
      <c r="E3" s="35">
        <v>7051</v>
      </c>
      <c r="F3" s="21" t="s">
        <v>278</v>
      </c>
      <c r="G3" s="20" t="s">
        <v>117</v>
      </c>
      <c r="H3" s="51">
        <v>1986</v>
      </c>
      <c r="I3" s="30">
        <v>48.2</v>
      </c>
      <c r="J3" s="19" t="s">
        <v>267</v>
      </c>
      <c r="K3" s="34" t="s">
        <v>69</v>
      </c>
      <c r="L3" s="31">
        <v>57</v>
      </c>
      <c r="M3" s="31">
        <v>61</v>
      </c>
      <c r="N3" s="31">
        <v>65</v>
      </c>
      <c r="O3" s="36">
        <v>65</v>
      </c>
      <c r="P3" s="31">
        <v>70</v>
      </c>
      <c r="Q3" s="31">
        <v>75</v>
      </c>
      <c r="R3" s="31">
        <v>-80</v>
      </c>
      <c r="S3" s="36">
        <v>75</v>
      </c>
      <c r="T3" s="37">
        <v>140</v>
      </c>
      <c r="U3" s="65">
        <v>43.599999999999994</v>
      </c>
      <c r="V3" s="41" t="s">
        <v>60</v>
      </c>
      <c r="W3" s="33">
        <v>0</v>
      </c>
      <c r="X3" s="40" t="s">
        <v>21</v>
      </c>
      <c r="Y3" s="39">
        <v>228.65717209534532</v>
      </c>
      <c r="Z3">
        <f>IF(V3="OLY +",1,IF(V3="INTA +",2,IF(V3="INTB +",3,4)))</f>
        <v>3</v>
      </c>
      <c r="AA3" t="str">
        <f t="shared" ref="AA3:AA62" si="0">IF(H3&gt;1999,"U15",IF(H3&gt;1997,"U17",IF(H3&gt;1994,"U20","SEN")))</f>
        <v>SEN</v>
      </c>
      <c r="AB3" t="str">
        <f t="shared" ref="AB3:AB62" si="1">UPPER(F3&amp;G3&amp;H3)</f>
        <v>BARDISMÉLANIE1986</v>
      </c>
    </row>
    <row r="4" spans="1:28" ht="21" x14ac:dyDescent="0.2">
      <c r="A4" s="12" t="s">
        <v>69</v>
      </c>
      <c r="B4" s="18" t="s">
        <v>71</v>
      </c>
      <c r="C4" s="19" t="s">
        <v>72</v>
      </c>
      <c r="D4" s="61">
        <v>4</v>
      </c>
      <c r="E4" s="35">
        <v>21779</v>
      </c>
      <c r="F4" s="20" t="s">
        <v>988</v>
      </c>
      <c r="G4" s="20" t="s">
        <v>989</v>
      </c>
      <c r="H4" s="51">
        <v>1972</v>
      </c>
      <c r="I4" s="30">
        <v>47.8</v>
      </c>
      <c r="J4" s="19" t="s">
        <v>990</v>
      </c>
      <c r="K4" s="34" t="s">
        <v>69</v>
      </c>
      <c r="L4" s="31">
        <v>44</v>
      </c>
      <c r="M4" s="31">
        <v>46</v>
      </c>
      <c r="N4" s="31">
        <v>49</v>
      </c>
      <c r="O4" s="36">
        <v>49</v>
      </c>
      <c r="P4" s="31">
        <v>58</v>
      </c>
      <c r="Q4" s="31">
        <v>61</v>
      </c>
      <c r="R4" s="31">
        <v>-63</v>
      </c>
      <c r="S4" s="36">
        <v>61</v>
      </c>
      <c r="T4" s="37">
        <v>110</v>
      </c>
      <c r="U4" s="65">
        <v>14.400000000000006</v>
      </c>
      <c r="V4" s="32" t="s">
        <v>59</v>
      </c>
      <c r="W4" s="33">
        <v>0</v>
      </c>
      <c r="X4" s="40" t="s">
        <v>20</v>
      </c>
      <c r="Y4" s="39">
        <v>180.97809118135024</v>
      </c>
      <c r="Z4">
        <f>IF(V4="OLY +",1,IF(V4="INTA +",2,IF(V4="INTB +",3,4)))</f>
        <v>4</v>
      </c>
      <c r="AA4" t="str">
        <f t="shared" si="0"/>
        <v>SEN</v>
      </c>
      <c r="AB4" t="str">
        <f t="shared" si="1"/>
        <v>LYAUDETCHRYSTEL1972</v>
      </c>
    </row>
    <row r="5" spans="1:28" ht="21" x14ac:dyDescent="0.2">
      <c r="A5" s="12" t="s">
        <v>69</v>
      </c>
      <c r="B5" s="18" t="s">
        <v>108</v>
      </c>
      <c r="C5" s="19" t="s">
        <v>146</v>
      </c>
      <c r="D5" s="61">
        <v>2</v>
      </c>
      <c r="E5" s="35">
        <v>31131</v>
      </c>
      <c r="F5" s="20" t="s">
        <v>254</v>
      </c>
      <c r="G5" s="20" t="s">
        <v>255</v>
      </c>
      <c r="H5" s="51">
        <v>1984</v>
      </c>
      <c r="I5" s="30">
        <v>59.95</v>
      </c>
      <c r="J5" s="19" t="s">
        <v>152</v>
      </c>
      <c r="K5" s="34" t="s">
        <v>69</v>
      </c>
      <c r="L5" s="31">
        <v>73</v>
      </c>
      <c r="M5" s="31">
        <v>76</v>
      </c>
      <c r="N5" s="31">
        <v>-78</v>
      </c>
      <c r="O5" s="36">
        <v>76</v>
      </c>
      <c r="P5" s="31">
        <v>94</v>
      </c>
      <c r="Q5" s="31">
        <v>98</v>
      </c>
      <c r="R5" s="31">
        <v>101</v>
      </c>
      <c r="S5" s="36">
        <v>101</v>
      </c>
      <c r="T5" s="37">
        <v>177</v>
      </c>
      <c r="U5" s="65">
        <v>57.099999999999994</v>
      </c>
      <c r="V5" s="41" t="s">
        <v>60</v>
      </c>
      <c r="W5" s="33">
        <v>17</v>
      </c>
      <c r="X5" s="40" t="s">
        <v>23</v>
      </c>
      <c r="Y5" s="39">
        <v>243.35276049996591</v>
      </c>
      <c r="Z5">
        <f>IF(V5="OLY +",1,IF(V5="INTA +",2,IF(V5="INTB +",3,4)))</f>
        <v>3</v>
      </c>
      <c r="AA5" t="str">
        <f t="shared" si="0"/>
        <v>SEN</v>
      </c>
      <c r="AB5" t="str">
        <f t="shared" si="1"/>
        <v>CHIQUETAGNÈS1984</v>
      </c>
    </row>
    <row r="6" spans="1:28" ht="21" x14ac:dyDescent="0.2">
      <c r="A6" s="12" t="s">
        <v>69</v>
      </c>
      <c r="B6" s="18" t="s">
        <v>71</v>
      </c>
      <c r="C6" s="19" t="s">
        <v>801</v>
      </c>
      <c r="D6" s="61">
        <v>11</v>
      </c>
      <c r="E6" s="35">
        <v>31729</v>
      </c>
      <c r="F6" s="20" t="s">
        <v>842</v>
      </c>
      <c r="G6" s="20" t="s">
        <v>843</v>
      </c>
      <c r="H6" s="51">
        <v>1982</v>
      </c>
      <c r="I6" s="30">
        <v>50.6</v>
      </c>
      <c r="J6" s="19" t="s">
        <v>803</v>
      </c>
      <c r="K6" s="34" t="s">
        <v>69</v>
      </c>
      <c r="L6" s="31">
        <v>51</v>
      </c>
      <c r="M6" s="31">
        <v>53</v>
      </c>
      <c r="N6" s="31">
        <v>-55</v>
      </c>
      <c r="O6" s="36">
        <v>53</v>
      </c>
      <c r="P6" s="31">
        <v>67</v>
      </c>
      <c r="Q6" s="31">
        <v>-70</v>
      </c>
      <c r="R6" s="31">
        <v>-70</v>
      </c>
      <c r="S6" s="36">
        <v>67</v>
      </c>
      <c r="T6" s="37">
        <v>120</v>
      </c>
      <c r="U6" s="65">
        <v>18.799999999999997</v>
      </c>
      <c r="V6" s="41" t="s">
        <v>59</v>
      </c>
      <c r="W6" s="33">
        <v>0</v>
      </c>
      <c r="X6" s="40" t="s">
        <v>21</v>
      </c>
      <c r="Y6" s="39">
        <v>188.01115445287022</v>
      </c>
      <c r="Z6">
        <f>IF(V6="OLY +",1,IF(V6="INTA +",2,IF(V6="INTB +",3,4)))</f>
        <v>4</v>
      </c>
      <c r="AA6" t="str">
        <f t="shared" si="0"/>
        <v>SEN</v>
      </c>
      <c r="AB6" t="str">
        <f t="shared" si="1"/>
        <v>DRAGOSYLVIE1982</v>
      </c>
    </row>
    <row r="7" spans="1:28" ht="21" x14ac:dyDescent="0.2">
      <c r="A7" s="12" t="s">
        <v>69</v>
      </c>
      <c r="B7" s="18" t="s">
        <v>721</v>
      </c>
      <c r="C7" s="19" t="s">
        <v>775</v>
      </c>
      <c r="D7" s="61">
        <v>3</v>
      </c>
      <c r="E7" s="35">
        <v>31734</v>
      </c>
      <c r="F7" s="20" t="s">
        <v>799</v>
      </c>
      <c r="G7" s="20" t="s">
        <v>800</v>
      </c>
      <c r="H7" s="51">
        <v>1982</v>
      </c>
      <c r="I7" s="30">
        <v>83.84</v>
      </c>
      <c r="J7" s="19" t="s">
        <v>780</v>
      </c>
      <c r="K7" s="34" t="s">
        <v>69</v>
      </c>
      <c r="L7" s="31">
        <v>88</v>
      </c>
      <c r="M7" s="31">
        <v>90</v>
      </c>
      <c r="N7" s="31">
        <v>-94</v>
      </c>
      <c r="O7" s="36">
        <v>90</v>
      </c>
      <c r="P7" s="31">
        <v>110</v>
      </c>
      <c r="Q7" s="31">
        <v>113</v>
      </c>
      <c r="R7" s="31">
        <v>-115</v>
      </c>
      <c r="S7" s="36">
        <v>113</v>
      </c>
      <c r="T7" s="37">
        <v>203</v>
      </c>
      <c r="U7" s="65">
        <v>35.319999999999993</v>
      </c>
      <c r="V7" s="41" t="s">
        <v>60</v>
      </c>
      <c r="W7" s="33">
        <v>13</v>
      </c>
      <c r="X7" s="40" t="s">
        <v>26</v>
      </c>
      <c r="Y7" s="39">
        <v>230.24320663858629</v>
      </c>
      <c r="Z7">
        <f>IF(V7="OLY +",1,IF(V7="INTA +",2,IF(V7="INTB +",3,4)))</f>
        <v>3</v>
      </c>
      <c r="AA7" t="str">
        <f t="shared" si="0"/>
        <v>SEN</v>
      </c>
      <c r="AB7" t="str">
        <f t="shared" si="1"/>
        <v>YAMECHIMADELEINE1982</v>
      </c>
    </row>
    <row r="8" spans="1:28" ht="21" x14ac:dyDescent="0.2">
      <c r="A8" s="12" t="s">
        <v>69</v>
      </c>
      <c r="B8" s="18" t="s">
        <v>298</v>
      </c>
      <c r="C8" s="19" t="s">
        <v>476</v>
      </c>
      <c r="D8" s="61">
        <v>3</v>
      </c>
      <c r="E8" s="35">
        <v>32268</v>
      </c>
      <c r="F8" s="20" t="s">
        <v>517</v>
      </c>
      <c r="G8" s="20" t="s">
        <v>518</v>
      </c>
      <c r="H8" s="51">
        <v>1980</v>
      </c>
      <c r="I8" s="30">
        <v>55.8</v>
      </c>
      <c r="J8" s="19" t="s">
        <v>484</v>
      </c>
      <c r="K8" s="34" t="s">
        <v>69</v>
      </c>
      <c r="L8" s="31">
        <v>65</v>
      </c>
      <c r="M8" s="31">
        <v>70</v>
      </c>
      <c r="N8" s="31">
        <v>-72</v>
      </c>
      <c r="O8" s="36">
        <v>70</v>
      </c>
      <c r="P8" s="31">
        <v>85</v>
      </c>
      <c r="Q8" s="31">
        <v>90</v>
      </c>
      <c r="R8" s="31">
        <v>93</v>
      </c>
      <c r="S8" s="36">
        <v>93</v>
      </c>
      <c r="T8" s="37">
        <v>163</v>
      </c>
      <c r="U8" s="65">
        <v>51.400000000000006</v>
      </c>
      <c r="V8" s="41" t="s">
        <v>60</v>
      </c>
      <c r="W8" s="33">
        <v>13</v>
      </c>
      <c r="X8" s="40" t="s">
        <v>22</v>
      </c>
      <c r="Y8" s="39">
        <v>236.19367402171861</v>
      </c>
      <c r="Z8">
        <f>IF(V8="OLY +",1,IF(V8="INTA +",2,IF(V8="INTB +",3,4)))</f>
        <v>3</v>
      </c>
      <c r="AA8" t="str">
        <f t="shared" si="0"/>
        <v>SEN</v>
      </c>
      <c r="AB8" t="str">
        <f t="shared" si="1"/>
        <v>ANDRIEUXVIRGINIE1980</v>
      </c>
    </row>
    <row r="9" spans="1:28" ht="21" x14ac:dyDescent="0.2">
      <c r="A9" s="12" t="s">
        <v>69</v>
      </c>
      <c r="B9" s="18" t="s">
        <v>721</v>
      </c>
      <c r="C9" s="19" t="s">
        <v>745</v>
      </c>
      <c r="D9" s="61">
        <v>7</v>
      </c>
      <c r="E9" s="35">
        <v>32998</v>
      </c>
      <c r="F9" s="20" t="s">
        <v>760</v>
      </c>
      <c r="G9" s="20" t="s">
        <v>547</v>
      </c>
      <c r="H9" s="51">
        <v>1988</v>
      </c>
      <c r="I9" s="30">
        <v>52.2</v>
      </c>
      <c r="J9" s="19" t="s">
        <v>748</v>
      </c>
      <c r="K9" s="34" t="s">
        <v>69</v>
      </c>
      <c r="L9" s="31">
        <v>55</v>
      </c>
      <c r="M9" s="31">
        <v>58</v>
      </c>
      <c r="N9" s="31">
        <v>60</v>
      </c>
      <c r="O9" s="36">
        <v>60</v>
      </c>
      <c r="P9" s="31">
        <v>66</v>
      </c>
      <c r="Q9" s="31">
        <v>69</v>
      </c>
      <c r="R9" s="31">
        <v>-72</v>
      </c>
      <c r="S9" s="36">
        <v>69</v>
      </c>
      <c r="T9" s="37">
        <v>129</v>
      </c>
      <c r="U9" s="65">
        <v>24.599999999999994</v>
      </c>
      <c r="V9" s="41" t="s">
        <v>59</v>
      </c>
      <c r="W9" s="33">
        <v>9</v>
      </c>
      <c r="X9" s="40" t="s">
        <v>21</v>
      </c>
      <c r="Y9" s="39">
        <v>196.99059588902054</v>
      </c>
      <c r="Z9">
        <f>IF(V9="OLY +",1,IF(V9="INTA +",2,IF(V9="INTB +",3,4)))</f>
        <v>4</v>
      </c>
      <c r="AA9" t="str">
        <f t="shared" si="0"/>
        <v>SEN</v>
      </c>
      <c r="AB9" t="str">
        <f t="shared" si="1"/>
        <v>FLEURYLAURA1988</v>
      </c>
    </row>
    <row r="10" spans="1:28" ht="21" x14ac:dyDescent="0.2">
      <c r="A10" s="12" t="s">
        <v>69</v>
      </c>
      <c r="B10" s="18" t="s">
        <v>108</v>
      </c>
      <c r="C10" s="19" t="s">
        <v>264</v>
      </c>
      <c r="D10" s="61">
        <v>13</v>
      </c>
      <c r="E10" s="35">
        <v>34097</v>
      </c>
      <c r="F10" s="20" t="s">
        <v>279</v>
      </c>
      <c r="G10" s="20" t="s">
        <v>280</v>
      </c>
      <c r="H10" s="51">
        <v>1986</v>
      </c>
      <c r="I10" s="30">
        <v>57.3</v>
      </c>
      <c r="J10" s="19" t="s">
        <v>267</v>
      </c>
      <c r="K10" s="34" t="s">
        <v>69</v>
      </c>
      <c r="L10" s="31">
        <v>57</v>
      </c>
      <c r="M10" s="31">
        <v>59</v>
      </c>
      <c r="N10" s="31">
        <v>60</v>
      </c>
      <c r="O10" s="36">
        <v>60</v>
      </c>
      <c r="P10" s="31">
        <v>70</v>
      </c>
      <c r="Q10" s="31">
        <v>72</v>
      </c>
      <c r="R10" s="31" t="s">
        <v>134</v>
      </c>
      <c r="S10" s="36">
        <v>72</v>
      </c>
      <c r="T10" s="37">
        <v>132</v>
      </c>
      <c r="U10" s="65">
        <v>17.400000000000006</v>
      </c>
      <c r="V10" s="41" t="s">
        <v>59</v>
      </c>
      <c r="W10" s="33">
        <v>2</v>
      </c>
      <c r="X10" s="40" t="s">
        <v>22</v>
      </c>
      <c r="Y10" s="39">
        <v>187.50556873405543</v>
      </c>
      <c r="Z10">
        <f>IF(V10="OLY +",1,IF(V10="INTA +",2,IF(V10="INTB +",3,4)))</f>
        <v>4</v>
      </c>
      <c r="AA10" t="str">
        <f t="shared" si="0"/>
        <v>SEN</v>
      </c>
      <c r="AB10" t="str">
        <f t="shared" si="1"/>
        <v>EYANGODELPHINE1986</v>
      </c>
    </row>
    <row r="11" spans="1:28" ht="21" x14ac:dyDescent="0.2">
      <c r="A11" s="12" t="s">
        <v>69</v>
      </c>
      <c r="B11" s="18" t="s">
        <v>688</v>
      </c>
      <c r="C11" s="19" t="s">
        <v>689</v>
      </c>
      <c r="D11" s="61">
        <v>9</v>
      </c>
      <c r="E11" s="35">
        <v>66154</v>
      </c>
      <c r="F11" s="20" t="s">
        <v>713</v>
      </c>
      <c r="G11" s="20" t="s">
        <v>714</v>
      </c>
      <c r="H11" s="51">
        <v>1974</v>
      </c>
      <c r="I11" s="30">
        <v>56.4</v>
      </c>
      <c r="J11" s="19" t="s">
        <v>710</v>
      </c>
      <c r="K11" s="34" t="s">
        <v>69</v>
      </c>
      <c r="L11" s="31">
        <v>56</v>
      </c>
      <c r="M11" s="31">
        <v>59</v>
      </c>
      <c r="N11" s="31">
        <v>61</v>
      </c>
      <c r="O11" s="36">
        <v>61</v>
      </c>
      <c r="P11" s="31">
        <v>68</v>
      </c>
      <c r="Q11" s="31">
        <v>71</v>
      </c>
      <c r="R11" s="31">
        <v>73</v>
      </c>
      <c r="S11" s="36">
        <v>73</v>
      </c>
      <c r="T11" s="37">
        <v>134</v>
      </c>
      <c r="U11" s="65">
        <v>21.200000000000003</v>
      </c>
      <c r="V11" s="41" t="s">
        <v>59</v>
      </c>
      <c r="W11" s="33">
        <v>4</v>
      </c>
      <c r="X11" s="40" t="s">
        <v>22</v>
      </c>
      <c r="Y11" s="39">
        <v>192.60744986489692</v>
      </c>
      <c r="Z11">
        <f>IF(V11="OLY +",1,IF(V11="INTA +",2,IF(V11="INTB +",3,4)))</f>
        <v>4</v>
      </c>
      <c r="AA11" t="str">
        <f t="shared" si="0"/>
        <v>SEN</v>
      </c>
      <c r="AB11" t="str">
        <f t="shared" si="1"/>
        <v>TROUDETANNABELLE1974</v>
      </c>
    </row>
    <row r="12" spans="1:28" ht="21" x14ac:dyDescent="0.2">
      <c r="A12" s="12" t="s">
        <v>69</v>
      </c>
      <c r="B12" s="18" t="s">
        <v>71</v>
      </c>
      <c r="C12" s="19" t="s">
        <v>72</v>
      </c>
      <c r="D12" s="61">
        <v>2</v>
      </c>
      <c r="E12" s="35">
        <v>79011</v>
      </c>
      <c r="F12" s="20" t="s">
        <v>951</v>
      </c>
      <c r="G12" s="20" t="s">
        <v>968</v>
      </c>
      <c r="H12" s="51">
        <v>1990</v>
      </c>
      <c r="I12" s="30">
        <v>46.9</v>
      </c>
      <c r="J12" s="19" t="s">
        <v>938</v>
      </c>
      <c r="K12" s="34" t="s">
        <v>69</v>
      </c>
      <c r="L12" s="31">
        <v>57</v>
      </c>
      <c r="M12" s="31">
        <v>-60</v>
      </c>
      <c r="N12" s="31">
        <v>60</v>
      </c>
      <c r="O12" s="36">
        <v>60</v>
      </c>
      <c r="P12" s="31">
        <v>75</v>
      </c>
      <c r="Q12" s="31">
        <v>78</v>
      </c>
      <c r="R12" s="31">
        <v>80</v>
      </c>
      <c r="S12" s="36">
        <v>80</v>
      </c>
      <c r="T12" s="37">
        <v>140</v>
      </c>
      <c r="U12" s="65">
        <v>46.2</v>
      </c>
      <c r="V12" s="32" t="s">
        <v>61</v>
      </c>
      <c r="W12" s="33">
        <v>0</v>
      </c>
      <c r="X12" s="40" t="s">
        <v>20</v>
      </c>
      <c r="Y12" s="39">
        <v>234.25818695348539</v>
      </c>
      <c r="Z12">
        <f>IF(V12="OLY +",1,IF(V12="INTA +",2,IF(V12="INTB +",3,4)))</f>
        <v>2</v>
      </c>
      <c r="AA12" t="str">
        <f t="shared" si="0"/>
        <v>SEN</v>
      </c>
      <c r="AB12" t="str">
        <f t="shared" si="1"/>
        <v>BAILLET FLORENCE1990</v>
      </c>
    </row>
    <row r="13" spans="1:28" ht="21" x14ac:dyDescent="0.2">
      <c r="A13" s="12" t="s">
        <v>69</v>
      </c>
      <c r="B13" s="18" t="s">
        <v>108</v>
      </c>
      <c r="C13" s="19" t="s">
        <v>119</v>
      </c>
      <c r="D13" s="61">
        <v>8</v>
      </c>
      <c r="E13" s="35">
        <v>88574</v>
      </c>
      <c r="F13" s="20" t="s">
        <v>198</v>
      </c>
      <c r="G13" s="20" t="s">
        <v>680</v>
      </c>
      <c r="H13" s="51">
        <v>1988</v>
      </c>
      <c r="I13" s="30">
        <v>52.3</v>
      </c>
      <c r="J13" s="19" t="s">
        <v>138</v>
      </c>
      <c r="K13" s="34" t="s">
        <v>69</v>
      </c>
      <c r="L13" s="31">
        <v>53</v>
      </c>
      <c r="M13" s="31">
        <v>-56</v>
      </c>
      <c r="N13" s="31">
        <v>56</v>
      </c>
      <c r="O13" s="36">
        <v>56</v>
      </c>
      <c r="P13" s="31">
        <v>66</v>
      </c>
      <c r="Q13" s="31">
        <v>70</v>
      </c>
      <c r="R13" s="31">
        <v>-73</v>
      </c>
      <c r="S13" s="36">
        <v>70</v>
      </c>
      <c r="T13" s="37">
        <v>126</v>
      </c>
      <c r="U13" s="65">
        <v>21.400000000000006</v>
      </c>
      <c r="V13" s="41" t="s">
        <v>59</v>
      </c>
      <c r="W13" s="33">
        <v>6</v>
      </c>
      <c r="X13" s="40" t="s">
        <v>21</v>
      </c>
      <c r="Y13" s="39">
        <v>192.11079023103167</v>
      </c>
      <c r="Z13">
        <f>IF(V13="OLY +",1,IF(V13="INTA +",2,IF(V13="INTB +",3,4)))</f>
        <v>4</v>
      </c>
      <c r="AA13" t="str">
        <f t="shared" si="0"/>
        <v>SEN</v>
      </c>
      <c r="AB13" t="str">
        <f t="shared" si="1"/>
        <v>HERRMANNMÉLISSA1988</v>
      </c>
    </row>
    <row r="14" spans="1:28" ht="21" x14ac:dyDescent="0.2">
      <c r="A14" s="12" t="s">
        <v>69</v>
      </c>
      <c r="B14" s="18" t="s">
        <v>649</v>
      </c>
      <c r="C14" s="19" t="s">
        <v>648</v>
      </c>
      <c r="D14" s="61">
        <v>3</v>
      </c>
      <c r="E14" s="35">
        <v>94140</v>
      </c>
      <c r="F14" s="20" t="s">
        <v>650</v>
      </c>
      <c r="G14" s="20" t="s">
        <v>651</v>
      </c>
      <c r="H14" s="51">
        <v>1978</v>
      </c>
      <c r="I14" s="30">
        <v>48</v>
      </c>
      <c r="J14" s="19" t="s">
        <v>652</v>
      </c>
      <c r="K14" s="34" t="s">
        <v>69</v>
      </c>
      <c r="L14" s="31">
        <v>55</v>
      </c>
      <c r="M14" s="31">
        <v>60</v>
      </c>
      <c r="N14" s="31">
        <v>-65</v>
      </c>
      <c r="O14" s="36">
        <v>60</v>
      </c>
      <c r="P14" s="31">
        <v>65</v>
      </c>
      <c r="Q14" s="31">
        <v>70</v>
      </c>
      <c r="R14" s="31">
        <v>-75</v>
      </c>
      <c r="S14" s="36">
        <v>70</v>
      </c>
      <c r="T14" s="37">
        <v>130</v>
      </c>
      <c r="U14" s="65">
        <v>34</v>
      </c>
      <c r="V14" s="41" t="s">
        <v>60</v>
      </c>
      <c r="W14" s="33">
        <v>5</v>
      </c>
      <c r="X14" s="40" t="s">
        <v>20</v>
      </c>
      <c r="Y14" s="39">
        <v>213.09936744472682</v>
      </c>
      <c r="Z14">
        <f>IF(V14="OLY +",1,IF(V14="INTA +",2,IF(V14="INTB +",3,4)))</f>
        <v>3</v>
      </c>
      <c r="AA14" t="str">
        <f t="shared" si="0"/>
        <v>SEN</v>
      </c>
      <c r="AB14" t="str">
        <f t="shared" si="1"/>
        <v>EDMONDNEIGE LINE1978</v>
      </c>
    </row>
    <row r="15" spans="1:28" ht="21" x14ac:dyDescent="0.2">
      <c r="A15" s="12" t="s">
        <v>69</v>
      </c>
      <c r="B15" s="18" t="s">
        <v>721</v>
      </c>
      <c r="C15" s="19" t="s">
        <v>722</v>
      </c>
      <c r="D15" s="61">
        <v>3</v>
      </c>
      <c r="E15" s="35">
        <v>97644</v>
      </c>
      <c r="F15" s="24" t="s">
        <v>729</v>
      </c>
      <c r="G15" s="24" t="s">
        <v>117</v>
      </c>
      <c r="H15" s="51">
        <v>1996</v>
      </c>
      <c r="I15" s="30">
        <v>47.74</v>
      </c>
      <c r="J15" s="19" t="s">
        <v>728</v>
      </c>
      <c r="K15" s="34" t="s">
        <v>69</v>
      </c>
      <c r="L15" s="31">
        <v>-43</v>
      </c>
      <c r="M15" s="31">
        <v>43</v>
      </c>
      <c r="N15" s="31">
        <v>45</v>
      </c>
      <c r="O15" s="36">
        <v>45</v>
      </c>
      <c r="P15" s="31">
        <v>53</v>
      </c>
      <c r="Q15" s="31">
        <v>56</v>
      </c>
      <c r="R15" s="31">
        <v>-59</v>
      </c>
      <c r="S15" s="36">
        <v>56</v>
      </c>
      <c r="T15" s="37">
        <v>101</v>
      </c>
      <c r="U15" s="65">
        <v>5.519999999999996</v>
      </c>
      <c r="V15" s="41" t="s">
        <v>59</v>
      </c>
      <c r="W15" s="33">
        <v>6</v>
      </c>
      <c r="X15" s="40" t="s">
        <v>13</v>
      </c>
      <c r="Y15" s="39">
        <v>166.35486282312925</v>
      </c>
      <c r="Z15">
        <f>IF(V15="OLY +",1,IF(V15="INTA +",2,IF(V15="INTB +",3,4)))</f>
        <v>4</v>
      </c>
      <c r="AA15" t="str">
        <f t="shared" si="0"/>
        <v>U20</v>
      </c>
      <c r="AB15" t="str">
        <f t="shared" si="1"/>
        <v>L'HERMIERMÉLANIE1996</v>
      </c>
    </row>
    <row r="16" spans="1:28" ht="21" x14ac:dyDescent="0.2">
      <c r="A16" s="12" t="s">
        <v>69</v>
      </c>
      <c r="B16" s="18" t="s">
        <v>108</v>
      </c>
      <c r="C16" s="19" t="s">
        <v>119</v>
      </c>
      <c r="D16" s="61">
        <v>2</v>
      </c>
      <c r="E16" s="35">
        <v>107889</v>
      </c>
      <c r="F16" s="21" t="s">
        <v>195</v>
      </c>
      <c r="G16" s="20" t="s">
        <v>430</v>
      </c>
      <c r="H16" s="51">
        <v>1991</v>
      </c>
      <c r="I16" s="30">
        <v>49.2</v>
      </c>
      <c r="J16" s="19" t="s">
        <v>138</v>
      </c>
      <c r="K16" s="34" t="s">
        <v>69</v>
      </c>
      <c r="L16" s="31">
        <v>73</v>
      </c>
      <c r="M16" s="31">
        <v>75</v>
      </c>
      <c r="N16" s="31">
        <v>77</v>
      </c>
      <c r="O16" s="36">
        <v>77</v>
      </c>
      <c r="P16" s="31">
        <v>88</v>
      </c>
      <c r="Q16" s="31">
        <v>91</v>
      </c>
      <c r="R16" s="31">
        <v>-93</v>
      </c>
      <c r="S16" s="36">
        <v>91</v>
      </c>
      <c r="T16" s="37">
        <v>168</v>
      </c>
      <c r="U16" s="65">
        <v>69.599999999999994</v>
      </c>
      <c r="V16" s="41" t="s">
        <v>61</v>
      </c>
      <c r="W16" s="33">
        <v>8</v>
      </c>
      <c r="X16" s="40" t="s">
        <v>21</v>
      </c>
      <c r="Y16" s="39">
        <v>269.54978938317458</v>
      </c>
      <c r="Z16">
        <f>IF(V16="OLY +",1,IF(V16="INTA +",2,IF(V16="INTB +",3,4)))</f>
        <v>2</v>
      </c>
      <c r="AA16" t="str">
        <f t="shared" si="0"/>
        <v>SEN</v>
      </c>
      <c r="AB16" t="str">
        <f t="shared" si="1"/>
        <v>LORENTZMANON1991</v>
      </c>
    </row>
    <row r="17" spans="1:28" ht="21" x14ac:dyDescent="0.2">
      <c r="A17" s="12" t="s">
        <v>69</v>
      </c>
      <c r="B17" s="18" t="s">
        <v>71</v>
      </c>
      <c r="C17" s="19" t="s">
        <v>883</v>
      </c>
      <c r="D17" s="61">
        <v>14</v>
      </c>
      <c r="E17" s="35">
        <v>112257</v>
      </c>
      <c r="F17" s="20" t="s">
        <v>899</v>
      </c>
      <c r="G17" s="20" t="s">
        <v>900</v>
      </c>
      <c r="H17" s="51">
        <v>1985</v>
      </c>
      <c r="I17" s="30">
        <v>57.5</v>
      </c>
      <c r="J17" s="19" t="s">
        <v>891</v>
      </c>
      <c r="K17" s="34" t="s">
        <v>69</v>
      </c>
      <c r="L17" s="31">
        <v>51</v>
      </c>
      <c r="M17" s="31">
        <v>55</v>
      </c>
      <c r="N17" s="31">
        <v>-57</v>
      </c>
      <c r="O17" s="36">
        <v>55</v>
      </c>
      <c r="P17" s="31">
        <v>70</v>
      </c>
      <c r="Q17" s="31">
        <v>75</v>
      </c>
      <c r="R17" s="31">
        <v>-78</v>
      </c>
      <c r="S17" s="36">
        <v>75</v>
      </c>
      <c r="T17" s="37">
        <v>130</v>
      </c>
      <c r="U17" s="65">
        <v>15</v>
      </c>
      <c r="V17" s="32" t="s">
        <v>59</v>
      </c>
      <c r="W17" s="33">
        <v>0</v>
      </c>
      <c r="X17" s="40" t="s">
        <v>22</v>
      </c>
      <c r="Y17" s="39">
        <v>184.19013139304164</v>
      </c>
      <c r="Z17">
        <f>IF(V17="OLY +",1,IF(V17="INTA +",2,IF(V17="INTB +",3,4)))</f>
        <v>4</v>
      </c>
      <c r="AA17" t="str">
        <f t="shared" si="0"/>
        <v>SEN</v>
      </c>
      <c r="AB17" t="str">
        <f t="shared" si="1"/>
        <v>CONDE FABIENNE1985</v>
      </c>
    </row>
    <row r="18" spans="1:28" ht="21" x14ac:dyDescent="0.2">
      <c r="A18" s="12" t="s">
        <v>69</v>
      </c>
      <c r="B18" s="18" t="s">
        <v>721</v>
      </c>
      <c r="C18" s="19" t="s">
        <v>745</v>
      </c>
      <c r="D18" s="61">
        <v>9</v>
      </c>
      <c r="E18" s="35">
        <v>115950</v>
      </c>
      <c r="F18" s="20" t="s">
        <v>767</v>
      </c>
      <c r="G18" s="20" t="s">
        <v>680</v>
      </c>
      <c r="H18" s="58">
        <v>1992</v>
      </c>
      <c r="I18" s="30">
        <v>59</v>
      </c>
      <c r="J18" s="19" t="s">
        <v>748</v>
      </c>
      <c r="K18" s="34" t="s">
        <v>69</v>
      </c>
      <c r="L18" s="31">
        <v>63</v>
      </c>
      <c r="M18" s="31">
        <v>66</v>
      </c>
      <c r="N18" s="31">
        <v>69</v>
      </c>
      <c r="O18" s="36">
        <v>69</v>
      </c>
      <c r="P18" s="31">
        <v>78</v>
      </c>
      <c r="Q18" s="31">
        <v>81</v>
      </c>
      <c r="R18" s="31">
        <v>83</v>
      </c>
      <c r="S18" s="36">
        <v>83</v>
      </c>
      <c r="T18" s="37">
        <v>152</v>
      </c>
      <c r="U18" s="65">
        <v>34</v>
      </c>
      <c r="V18" s="41" t="s">
        <v>59</v>
      </c>
      <c r="W18" s="33">
        <v>12</v>
      </c>
      <c r="X18" s="40" t="s">
        <v>23</v>
      </c>
      <c r="Y18" s="39">
        <v>211.36670832695717</v>
      </c>
      <c r="Z18">
        <f>IF(V18="OLY +",1,IF(V18="INTA +",2,IF(V18="INTB +",3,4)))</f>
        <v>4</v>
      </c>
      <c r="AA18" t="str">
        <f t="shared" si="0"/>
        <v>SEN</v>
      </c>
      <c r="AB18" t="str">
        <f t="shared" si="1"/>
        <v>DUMARAISMÉLISSA1992</v>
      </c>
    </row>
    <row r="19" spans="1:28" ht="21" x14ac:dyDescent="0.2">
      <c r="A19" s="12" t="s">
        <v>69</v>
      </c>
      <c r="B19" s="18" t="s">
        <v>108</v>
      </c>
      <c r="C19" s="19" t="s">
        <v>119</v>
      </c>
      <c r="D19" s="61">
        <v>5</v>
      </c>
      <c r="E19" s="35">
        <v>124208</v>
      </c>
      <c r="F19" s="20" t="s">
        <v>196</v>
      </c>
      <c r="G19" s="20" t="s">
        <v>197</v>
      </c>
      <c r="H19" s="51">
        <v>1992</v>
      </c>
      <c r="I19" s="30">
        <v>51.6</v>
      </c>
      <c r="J19" s="19" t="s">
        <v>122</v>
      </c>
      <c r="K19" s="34" t="s">
        <v>69</v>
      </c>
      <c r="L19" s="31">
        <v>55</v>
      </c>
      <c r="M19" s="31">
        <v>58</v>
      </c>
      <c r="N19" s="31">
        <v>61</v>
      </c>
      <c r="O19" s="36">
        <v>61</v>
      </c>
      <c r="P19" s="31">
        <v>70</v>
      </c>
      <c r="Q19" s="31">
        <v>74</v>
      </c>
      <c r="R19" s="31">
        <v>-76</v>
      </c>
      <c r="S19" s="36">
        <v>74</v>
      </c>
      <c r="T19" s="37">
        <v>135</v>
      </c>
      <c r="U19" s="65">
        <v>31.799999999999997</v>
      </c>
      <c r="V19" s="41" t="s">
        <v>59</v>
      </c>
      <c r="W19" s="33">
        <v>15</v>
      </c>
      <c r="X19" s="40" t="s">
        <v>21</v>
      </c>
      <c r="Y19" s="39">
        <v>208.10891061987655</v>
      </c>
      <c r="Z19">
        <f>IF(V19="OLY +",1,IF(V19="INTA +",2,IF(V19="INTB +",3,4)))</f>
        <v>4</v>
      </c>
      <c r="AA19" t="str">
        <f t="shared" si="0"/>
        <v>SEN</v>
      </c>
      <c r="AB19" t="str">
        <f t="shared" si="1"/>
        <v>BONNAMANTMELANIE1992</v>
      </c>
    </row>
    <row r="20" spans="1:28" ht="21" x14ac:dyDescent="0.2">
      <c r="A20" s="12" t="s">
        <v>69</v>
      </c>
      <c r="B20" s="18" t="s">
        <v>721</v>
      </c>
      <c r="C20" s="19" t="s">
        <v>775</v>
      </c>
      <c r="D20" s="61">
        <v>1</v>
      </c>
      <c r="E20" s="35">
        <v>129989</v>
      </c>
      <c r="F20" s="20" t="s">
        <v>781</v>
      </c>
      <c r="G20" s="20" t="s">
        <v>782</v>
      </c>
      <c r="H20" s="51">
        <v>1988</v>
      </c>
      <c r="I20" s="30">
        <v>47.82</v>
      </c>
      <c r="J20" s="19" t="s">
        <v>778</v>
      </c>
      <c r="K20" s="34" t="s">
        <v>69</v>
      </c>
      <c r="L20" s="31">
        <v>73</v>
      </c>
      <c r="M20" s="31">
        <v>75</v>
      </c>
      <c r="N20" s="31">
        <v>-77</v>
      </c>
      <c r="O20" s="36">
        <v>75</v>
      </c>
      <c r="P20" s="31">
        <v>93</v>
      </c>
      <c r="Q20" s="31">
        <v>96</v>
      </c>
      <c r="R20" s="31">
        <v>-98</v>
      </c>
      <c r="S20" s="36">
        <v>96</v>
      </c>
      <c r="T20" s="37">
        <v>171</v>
      </c>
      <c r="U20" s="65">
        <v>75.36</v>
      </c>
      <c r="V20" s="41" t="s">
        <v>62</v>
      </c>
      <c r="W20" s="33">
        <v>16</v>
      </c>
      <c r="X20" s="40" t="s">
        <v>20</v>
      </c>
      <c r="Y20" s="39">
        <v>281.23502817293343</v>
      </c>
      <c r="Z20">
        <f>IF(V20="OLY +",1,IF(V20="INTA +",2,IF(V20="INTB +",3,4)))</f>
        <v>1</v>
      </c>
      <c r="AA20" t="str">
        <f t="shared" si="0"/>
        <v>SEN</v>
      </c>
      <c r="AB20" t="str">
        <f t="shared" si="1"/>
        <v>MICHELANAIS1988</v>
      </c>
    </row>
    <row r="21" spans="1:28" ht="21" x14ac:dyDescent="0.2">
      <c r="A21" s="12" t="s">
        <v>69</v>
      </c>
      <c r="B21" s="18" t="s">
        <v>71</v>
      </c>
      <c r="C21" s="19" t="s">
        <v>883</v>
      </c>
      <c r="D21" s="61">
        <v>12</v>
      </c>
      <c r="E21" s="35">
        <v>139713</v>
      </c>
      <c r="F21" s="20" t="s">
        <v>897</v>
      </c>
      <c r="G21" s="20" t="s">
        <v>898</v>
      </c>
      <c r="H21" s="51">
        <v>1976</v>
      </c>
      <c r="I21" s="30">
        <v>56.3</v>
      </c>
      <c r="J21" s="19" t="s">
        <v>886</v>
      </c>
      <c r="K21" s="34" t="s">
        <v>69</v>
      </c>
      <c r="L21" s="31">
        <v>55</v>
      </c>
      <c r="M21" s="31">
        <v>59</v>
      </c>
      <c r="N21" s="31">
        <v>61</v>
      </c>
      <c r="O21" s="36">
        <v>61</v>
      </c>
      <c r="P21" s="31">
        <v>65</v>
      </c>
      <c r="Q21" s="31">
        <v>70</v>
      </c>
      <c r="R21" s="31">
        <v>72</v>
      </c>
      <c r="S21" s="36">
        <v>72</v>
      </c>
      <c r="T21" s="37">
        <v>133</v>
      </c>
      <c r="U21" s="65">
        <v>20.400000000000006</v>
      </c>
      <c r="V21" s="32" t="s">
        <v>59</v>
      </c>
      <c r="W21" s="33">
        <v>3</v>
      </c>
      <c r="X21" s="40" t="s">
        <v>22</v>
      </c>
      <c r="Y21" s="39">
        <v>191.42560920181697</v>
      </c>
      <c r="Z21">
        <f>IF(V21="OLY +",1,IF(V21="INTA +",2,IF(V21="INTB +",3,4)))</f>
        <v>4</v>
      </c>
      <c r="AA21" t="str">
        <f t="shared" si="0"/>
        <v>SEN</v>
      </c>
      <c r="AB21" t="str">
        <f t="shared" si="1"/>
        <v>GAMONDESCENDRINE1976</v>
      </c>
    </row>
    <row r="22" spans="1:28" ht="21" x14ac:dyDescent="0.2">
      <c r="A22" s="12" t="s">
        <v>69</v>
      </c>
      <c r="B22" s="18" t="s">
        <v>298</v>
      </c>
      <c r="C22" s="19" t="s">
        <v>476</v>
      </c>
      <c r="D22" s="61">
        <v>6</v>
      </c>
      <c r="E22" s="35">
        <v>140592</v>
      </c>
      <c r="F22" s="20" t="s">
        <v>496</v>
      </c>
      <c r="G22" s="20" t="s">
        <v>263</v>
      </c>
      <c r="H22" s="51">
        <v>1995</v>
      </c>
      <c r="I22" s="30">
        <v>56.8</v>
      </c>
      <c r="J22" s="19" t="s">
        <v>481</v>
      </c>
      <c r="K22" s="34" t="s">
        <v>69</v>
      </c>
      <c r="L22" s="31">
        <v>51</v>
      </c>
      <c r="M22" s="31">
        <v>54</v>
      </c>
      <c r="N22" s="31">
        <v>-56</v>
      </c>
      <c r="O22" s="36">
        <v>54</v>
      </c>
      <c r="P22" s="31">
        <v>62</v>
      </c>
      <c r="Q22" s="31">
        <v>65</v>
      </c>
      <c r="R22" s="31">
        <v>67</v>
      </c>
      <c r="S22" s="36">
        <v>67</v>
      </c>
      <c r="T22" s="37">
        <v>121</v>
      </c>
      <c r="U22" s="65">
        <v>7.4000000000000057</v>
      </c>
      <c r="V22" s="41" t="s">
        <v>59</v>
      </c>
      <c r="W22" s="33">
        <v>6</v>
      </c>
      <c r="X22" s="40" t="s">
        <v>15</v>
      </c>
      <c r="Y22" s="39">
        <v>173.00315048534537</v>
      </c>
      <c r="Z22">
        <f>IF(V22="OLY +",1,IF(V22="INTA +",2,IF(V22="INTB +",3,4)))</f>
        <v>4</v>
      </c>
      <c r="AA22" t="str">
        <f t="shared" si="0"/>
        <v>U20</v>
      </c>
      <c r="AB22" t="str">
        <f t="shared" si="1"/>
        <v>ARANJOCAROLINE1995</v>
      </c>
    </row>
    <row r="23" spans="1:28" ht="21" x14ac:dyDescent="0.2">
      <c r="A23" s="12" t="s">
        <v>69</v>
      </c>
      <c r="B23" s="18" t="s">
        <v>298</v>
      </c>
      <c r="C23" s="19" t="s">
        <v>299</v>
      </c>
      <c r="D23" s="61">
        <v>1</v>
      </c>
      <c r="E23" s="35">
        <v>153936</v>
      </c>
      <c r="F23" s="20" t="s">
        <v>311</v>
      </c>
      <c r="G23" s="20" t="s">
        <v>312</v>
      </c>
      <c r="H23" s="51">
        <v>1995</v>
      </c>
      <c r="I23" s="30">
        <v>56.48</v>
      </c>
      <c r="J23" s="19" t="s">
        <v>307</v>
      </c>
      <c r="K23" s="34" t="s">
        <v>69</v>
      </c>
      <c r="L23" s="31">
        <v>80</v>
      </c>
      <c r="M23" s="31">
        <v>84</v>
      </c>
      <c r="N23" s="31">
        <v>87</v>
      </c>
      <c r="O23" s="36">
        <v>87</v>
      </c>
      <c r="P23" s="31">
        <v>96</v>
      </c>
      <c r="Q23" s="31">
        <v>100</v>
      </c>
      <c r="R23" s="31">
        <v>-104</v>
      </c>
      <c r="S23" s="36">
        <v>100</v>
      </c>
      <c r="T23" s="37">
        <v>187</v>
      </c>
      <c r="U23" s="65">
        <v>74.040000000000006</v>
      </c>
      <c r="V23" s="41" t="s">
        <v>61</v>
      </c>
      <c r="W23" s="33">
        <v>37</v>
      </c>
      <c r="X23" s="40" t="s">
        <v>15</v>
      </c>
      <c r="Y23" s="39">
        <v>268.50186330124143</v>
      </c>
      <c r="Z23">
        <f>IF(V23="OLY +",1,IF(V23="INTA +",2,IF(V23="INTB +",3,4)))</f>
        <v>2</v>
      </c>
      <c r="AA23" t="str">
        <f t="shared" si="0"/>
        <v>U20</v>
      </c>
      <c r="AB23" t="str">
        <f t="shared" si="1"/>
        <v>TCHAKOUNTEDORA1995</v>
      </c>
    </row>
    <row r="24" spans="1:28" ht="21" x14ac:dyDescent="0.2">
      <c r="A24" s="12" t="s">
        <v>69</v>
      </c>
      <c r="B24" s="18" t="s">
        <v>71</v>
      </c>
      <c r="C24" s="19" t="s">
        <v>72</v>
      </c>
      <c r="D24" s="61">
        <v>5</v>
      </c>
      <c r="E24" s="35">
        <v>171425</v>
      </c>
      <c r="F24" s="20" t="s">
        <v>936</v>
      </c>
      <c r="G24" s="20" t="s">
        <v>937</v>
      </c>
      <c r="H24" s="51">
        <v>1997</v>
      </c>
      <c r="I24" s="30">
        <v>54.96</v>
      </c>
      <c r="J24" s="19" t="s">
        <v>938</v>
      </c>
      <c r="K24" s="34" t="s">
        <v>69</v>
      </c>
      <c r="L24" s="31">
        <v>50</v>
      </c>
      <c r="M24" s="31">
        <v>53</v>
      </c>
      <c r="N24" s="31">
        <v>-54</v>
      </c>
      <c r="O24" s="36">
        <v>53</v>
      </c>
      <c r="P24" s="31">
        <v>64</v>
      </c>
      <c r="Q24" s="31">
        <v>-68</v>
      </c>
      <c r="R24" s="31">
        <v>68</v>
      </c>
      <c r="S24" s="36">
        <v>68</v>
      </c>
      <c r="T24" s="37">
        <v>121</v>
      </c>
      <c r="U24" s="65">
        <v>11.079999999999998</v>
      </c>
      <c r="V24" s="41" t="s">
        <v>59</v>
      </c>
      <c r="W24" s="33">
        <v>6</v>
      </c>
      <c r="X24" s="40" t="s">
        <v>15</v>
      </c>
      <c r="Y24" s="39">
        <v>177.38370490870759</v>
      </c>
      <c r="Z24">
        <f>IF(V24="OLY +",1,IF(V24="INTA +",2,IF(V24="INTB +",3,4)))</f>
        <v>4</v>
      </c>
      <c r="AA24" t="str">
        <f t="shared" si="0"/>
        <v>U20</v>
      </c>
      <c r="AB24" t="str">
        <f t="shared" si="1"/>
        <v>HOSTALIERMELINDA1997</v>
      </c>
    </row>
    <row r="25" spans="1:28" ht="21" x14ac:dyDescent="0.2">
      <c r="A25" s="12" t="s">
        <v>69</v>
      </c>
      <c r="B25" s="18" t="s">
        <v>108</v>
      </c>
      <c r="C25" s="19" t="s">
        <v>119</v>
      </c>
      <c r="D25" s="61">
        <v>6</v>
      </c>
      <c r="E25" s="35">
        <v>176279</v>
      </c>
      <c r="F25" s="20" t="s">
        <v>219</v>
      </c>
      <c r="G25" s="20" t="s">
        <v>220</v>
      </c>
      <c r="H25" s="51">
        <v>1993</v>
      </c>
      <c r="I25" s="30">
        <v>68.7</v>
      </c>
      <c r="J25" s="19" t="s">
        <v>221</v>
      </c>
      <c r="K25" s="34" t="s">
        <v>69</v>
      </c>
      <c r="L25" s="31">
        <v>63</v>
      </c>
      <c r="M25" s="31">
        <v>68</v>
      </c>
      <c r="N25" s="31">
        <v>70</v>
      </c>
      <c r="O25" s="36">
        <v>70</v>
      </c>
      <c r="P25" s="31">
        <v>75</v>
      </c>
      <c r="Q25" s="31">
        <v>80</v>
      </c>
      <c r="R25" s="31">
        <v>83</v>
      </c>
      <c r="S25" s="36">
        <v>83</v>
      </c>
      <c r="T25" s="37">
        <v>153</v>
      </c>
      <c r="U25" s="65">
        <v>15.599999999999994</v>
      </c>
      <c r="V25" s="41" t="s">
        <v>59</v>
      </c>
      <c r="W25" s="33">
        <v>3</v>
      </c>
      <c r="X25" s="40" t="s">
        <v>24</v>
      </c>
      <c r="Y25" s="39">
        <v>192.49335549787756</v>
      </c>
      <c r="Z25">
        <f>IF(V25="OLY +",1,IF(V25="INTA +",2,IF(V25="INTB +",3,4)))</f>
        <v>4</v>
      </c>
      <c r="AA25" t="str">
        <f t="shared" si="0"/>
        <v>SEN</v>
      </c>
      <c r="AB25" t="str">
        <f t="shared" si="1"/>
        <v>ZAHNERSALOME1993</v>
      </c>
    </row>
    <row r="26" spans="1:28" ht="21" x14ac:dyDescent="0.2">
      <c r="A26" s="12" t="s">
        <v>69</v>
      </c>
      <c r="B26" s="18" t="s">
        <v>649</v>
      </c>
      <c r="C26" s="19" t="s">
        <v>669</v>
      </c>
      <c r="D26" s="61">
        <v>1</v>
      </c>
      <c r="E26" s="35">
        <v>183203</v>
      </c>
      <c r="F26" s="20" t="s">
        <v>682</v>
      </c>
      <c r="G26" s="20" t="s">
        <v>417</v>
      </c>
      <c r="H26" s="51">
        <v>1996</v>
      </c>
      <c r="I26" s="30">
        <v>68.8</v>
      </c>
      <c r="J26" s="19" t="s">
        <v>672</v>
      </c>
      <c r="K26" s="34" t="s">
        <v>69</v>
      </c>
      <c r="L26" s="31">
        <v>65</v>
      </c>
      <c r="M26" s="31">
        <v>70</v>
      </c>
      <c r="N26" s="31">
        <v>72</v>
      </c>
      <c r="O26" s="36">
        <v>72</v>
      </c>
      <c r="P26" s="31">
        <v>80</v>
      </c>
      <c r="Q26" s="31">
        <v>85</v>
      </c>
      <c r="R26" s="31">
        <v>-89</v>
      </c>
      <c r="S26" s="36">
        <v>85</v>
      </c>
      <c r="T26" s="37">
        <v>157</v>
      </c>
      <c r="U26" s="65">
        <v>19.400000000000006</v>
      </c>
      <c r="V26" s="41" t="s">
        <v>60</v>
      </c>
      <c r="W26" s="33">
        <v>7</v>
      </c>
      <c r="X26" s="40" t="s">
        <v>17</v>
      </c>
      <c r="Y26" s="39">
        <v>197.35421272392091</v>
      </c>
      <c r="Z26">
        <f>IF(V26="OLY +",1,IF(V26="INTA +",2,IF(V26="INTB +",3,4)))</f>
        <v>3</v>
      </c>
      <c r="AA26" t="str">
        <f t="shared" si="0"/>
        <v>U20</v>
      </c>
      <c r="AB26" t="str">
        <f t="shared" si="1"/>
        <v>GRAVANAOMI1996</v>
      </c>
    </row>
    <row r="27" spans="1:28" ht="21" x14ac:dyDescent="0.2">
      <c r="A27" s="12" t="s">
        <v>69</v>
      </c>
      <c r="B27" s="18" t="s">
        <v>298</v>
      </c>
      <c r="C27" s="19" t="s">
        <v>476</v>
      </c>
      <c r="D27" s="61">
        <v>4</v>
      </c>
      <c r="E27" s="35">
        <v>187400</v>
      </c>
      <c r="F27" s="20" t="s">
        <v>499</v>
      </c>
      <c r="G27" s="20" t="s">
        <v>500</v>
      </c>
      <c r="H27" s="51">
        <v>1996</v>
      </c>
      <c r="I27" s="30">
        <v>52.46</v>
      </c>
      <c r="J27" s="19" t="s">
        <v>501</v>
      </c>
      <c r="K27" s="34" t="s">
        <v>69</v>
      </c>
      <c r="L27" s="31">
        <v>47</v>
      </c>
      <c r="M27" s="31">
        <v>50</v>
      </c>
      <c r="N27" s="31">
        <v>53</v>
      </c>
      <c r="O27" s="36">
        <v>53</v>
      </c>
      <c r="P27" s="31">
        <v>55</v>
      </c>
      <c r="Q27" s="31">
        <v>60</v>
      </c>
      <c r="R27" s="31">
        <v>65</v>
      </c>
      <c r="S27" s="36">
        <v>65</v>
      </c>
      <c r="T27" s="37">
        <v>118</v>
      </c>
      <c r="U27" s="65">
        <v>13.079999999999998</v>
      </c>
      <c r="V27" s="41" t="s">
        <v>59</v>
      </c>
      <c r="W27" s="33">
        <v>13</v>
      </c>
      <c r="X27" s="40" t="s">
        <v>14</v>
      </c>
      <c r="Y27" s="39">
        <v>179.46888091406777</v>
      </c>
      <c r="Z27">
        <f>IF(V27="OLY +",1,IF(V27="INTA +",2,IF(V27="INTB +",3,4)))</f>
        <v>4</v>
      </c>
      <c r="AA27" t="str">
        <f t="shared" si="0"/>
        <v>U20</v>
      </c>
      <c r="AB27" t="str">
        <f t="shared" si="1"/>
        <v>CARONAMÉLIE1996</v>
      </c>
    </row>
    <row r="28" spans="1:28" ht="21" x14ac:dyDescent="0.2">
      <c r="A28" s="12" t="s">
        <v>69</v>
      </c>
      <c r="B28" s="18" t="s">
        <v>721</v>
      </c>
      <c r="C28" s="19" t="s">
        <v>722</v>
      </c>
      <c r="D28" s="61">
        <v>2</v>
      </c>
      <c r="E28" s="35">
        <v>191138</v>
      </c>
      <c r="F28" s="20" t="s">
        <v>729</v>
      </c>
      <c r="G28" s="20" t="s">
        <v>730</v>
      </c>
      <c r="H28" s="51">
        <v>1999</v>
      </c>
      <c r="I28" s="30">
        <v>43.65</v>
      </c>
      <c r="J28" s="19" t="s">
        <v>728</v>
      </c>
      <c r="K28" s="34" t="s">
        <v>69</v>
      </c>
      <c r="L28" s="31">
        <v>40</v>
      </c>
      <c r="M28" s="31">
        <v>42</v>
      </c>
      <c r="N28" s="31">
        <v>44</v>
      </c>
      <c r="O28" s="36">
        <v>44</v>
      </c>
      <c r="P28" s="31">
        <v>53</v>
      </c>
      <c r="Q28" s="31">
        <v>56</v>
      </c>
      <c r="R28" s="31">
        <v>58</v>
      </c>
      <c r="S28" s="36">
        <v>58</v>
      </c>
      <c r="T28" s="37">
        <v>102</v>
      </c>
      <c r="U28" s="65">
        <v>14.700000000000003</v>
      </c>
      <c r="V28" s="41" t="s">
        <v>61</v>
      </c>
      <c r="W28" s="33">
        <v>2</v>
      </c>
      <c r="X28" s="40" t="s">
        <v>80</v>
      </c>
      <c r="Y28" s="39">
        <v>182.38002949747388</v>
      </c>
      <c r="Z28">
        <f>IF(V28="OLY +",1,IF(V28="INTA +",2,IF(V28="INTB +",3,4)))</f>
        <v>2</v>
      </c>
      <c r="AA28" t="str">
        <f t="shared" si="0"/>
        <v>U17</v>
      </c>
      <c r="AB28" t="str">
        <f t="shared" si="1"/>
        <v>L'HERMIERNOLWEN1999</v>
      </c>
    </row>
    <row r="29" spans="1:28" ht="21" x14ac:dyDescent="0.2">
      <c r="A29" s="12" t="s">
        <v>69</v>
      </c>
      <c r="B29" s="18" t="s">
        <v>108</v>
      </c>
      <c r="C29" s="19" t="s">
        <v>119</v>
      </c>
      <c r="D29" s="61">
        <v>4</v>
      </c>
      <c r="E29" s="35">
        <v>191152</v>
      </c>
      <c r="F29" s="20" t="s">
        <v>203</v>
      </c>
      <c r="G29" s="20" t="s">
        <v>524</v>
      </c>
      <c r="H29" s="51">
        <v>1994</v>
      </c>
      <c r="I29" s="30">
        <v>53.1</v>
      </c>
      <c r="J29" s="19" t="s">
        <v>161</v>
      </c>
      <c r="K29" s="34" t="s">
        <v>69</v>
      </c>
      <c r="L29" s="31">
        <v>60</v>
      </c>
      <c r="M29" s="31">
        <v>63</v>
      </c>
      <c r="N29" s="31">
        <v>65</v>
      </c>
      <c r="O29" s="36">
        <v>65</v>
      </c>
      <c r="P29" s="31">
        <v>78</v>
      </c>
      <c r="Q29" s="31">
        <v>81</v>
      </c>
      <c r="R29" s="31">
        <v>-83</v>
      </c>
      <c r="S29" s="36">
        <v>81</v>
      </c>
      <c r="T29" s="37">
        <v>146</v>
      </c>
      <c r="U29" s="65">
        <v>39.799999999999997</v>
      </c>
      <c r="V29" s="41" t="s">
        <v>59</v>
      </c>
      <c r="W29" s="33">
        <v>16</v>
      </c>
      <c r="X29" s="40" t="s">
        <v>22</v>
      </c>
      <c r="Y29" s="39">
        <v>219.90110058653761</v>
      </c>
      <c r="Z29">
        <f>IF(V29="OLY +",1,IF(V29="INTA +",2,IF(V29="INTB +",3,4)))</f>
        <v>4</v>
      </c>
      <c r="AA29" t="str">
        <f t="shared" si="0"/>
        <v>SEN</v>
      </c>
      <c r="AB29" t="str">
        <f t="shared" si="1"/>
        <v>ESTNERSARAH1994</v>
      </c>
    </row>
    <row r="30" spans="1:28" ht="21" x14ac:dyDescent="0.2">
      <c r="A30" s="12" t="s">
        <v>69</v>
      </c>
      <c r="B30" s="18" t="s">
        <v>108</v>
      </c>
      <c r="C30" s="19" t="s">
        <v>109</v>
      </c>
      <c r="D30" s="61">
        <v>2</v>
      </c>
      <c r="E30" s="35">
        <v>193808</v>
      </c>
      <c r="F30" s="20" t="s">
        <v>153</v>
      </c>
      <c r="G30" s="20" t="s">
        <v>154</v>
      </c>
      <c r="H30" s="51">
        <v>1997</v>
      </c>
      <c r="I30" s="30">
        <v>41.4</v>
      </c>
      <c r="J30" s="19" t="s">
        <v>155</v>
      </c>
      <c r="K30" s="34" t="s">
        <v>69</v>
      </c>
      <c r="L30" s="31">
        <v>43</v>
      </c>
      <c r="M30" s="31">
        <v>46</v>
      </c>
      <c r="N30" s="31">
        <v>-48</v>
      </c>
      <c r="O30" s="36">
        <v>46</v>
      </c>
      <c r="P30" s="31">
        <v>54</v>
      </c>
      <c r="Q30" s="31">
        <v>58</v>
      </c>
      <c r="R30" s="31">
        <v>60</v>
      </c>
      <c r="S30" s="36">
        <v>60</v>
      </c>
      <c r="T30" s="37">
        <v>106</v>
      </c>
      <c r="U30" s="65">
        <v>23.200000000000003</v>
      </c>
      <c r="V30" s="41" t="s">
        <v>59</v>
      </c>
      <c r="W30" s="33">
        <v>11</v>
      </c>
      <c r="X30" s="40" t="s">
        <v>13</v>
      </c>
      <c r="Y30" s="39">
        <v>199.54068718264446</v>
      </c>
      <c r="Z30">
        <f>IF(V30="OLY +",1,IF(V30="INTA +",2,IF(V30="INTB +",3,4)))</f>
        <v>4</v>
      </c>
      <c r="AA30" t="str">
        <f t="shared" si="0"/>
        <v>U20</v>
      </c>
      <c r="AB30" t="str">
        <f t="shared" si="1"/>
        <v>POIRET KIMBERLEY1997</v>
      </c>
    </row>
    <row r="31" spans="1:28" ht="21" x14ac:dyDescent="0.2">
      <c r="A31" s="12" t="s">
        <v>69</v>
      </c>
      <c r="B31" s="18" t="s">
        <v>108</v>
      </c>
      <c r="C31" s="19" t="s">
        <v>264</v>
      </c>
      <c r="D31" s="61">
        <v>1</v>
      </c>
      <c r="E31" s="35">
        <v>196470</v>
      </c>
      <c r="F31" s="20" t="s">
        <v>271</v>
      </c>
      <c r="G31" s="20" t="s">
        <v>272</v>
      </c>
      <c r="H31" s="51">
        <v>1996</v>
      </c>
      <c r="I31" s="30">
        <v>52.01</v>
      </c>
      <c r="J31" s="19" t="s">
        <v>267</v>
      </c>
      <c r="K31" s="34" t="s">
        <v>69</v>
      </c>
      <c r="L31" s="31">
        <v>-58</v>
      </c>
      <c r="M31" s="31">
        <v>58</v>
      </c>
      <c r="N31" s="31">
        <v>62</v>
      </c>
      <c r="O31" s="36">
        <v>62</v>
      </c>
      <c r="P31" s="31">
        <v>70</v>
      </c>
      <c r="Q31" s="31">
        <v>74</v>
      </c>
      <c r="R31" s="31">
        <v>-77</v>
      </c>
      <c r="S31" s="36">
        <v>74</v>
      </c>
      <c r="T31" s="37">
        <v>136</v>
      </c>
      <c r="U31" s="65">
        <v>31.980000000000004</v>
      </c>
      <c r="V31" s="41" t="s">
        <v>61</v>
      </c>
      <c r="W31" s="33">
        <v>1</v>
      </c>
      <c r="X31" s="40" t="s">
        <v>14</v>
      </c>
      <c r="Y31" s="39">
        <v>208.2971724783859</v>
      </c>
      <c r="Z31">
        <f>IF(V31="OLY +",1,IF(V31="INTA +",2,IF(V31="INTB +",3,4)))</f>
        <v>2</v>
      </c>
      <c r="AA31" t="str">
        <f t="shared" si="0"/>
        <v>U20</v>
      </c>
      <c r="AB31" t="str">
        <f t="shared" si="1"/>
        <v>BALACEJULIE1996</v>
      </c>
    </row>
    <row r="32" spans="1:28" ht="21" x14ac:dyDescent="0.2">
      <c r="A32" s="12" t="s">
        <v>69</v>
      </c>
      <c r="B32" s="18" t="s">
        <v>298</v>
      </c>
      <c r="C32" s="19" t="s">
        <v>404</v>
      </c>
      <c r="D32" s="61">
        <v>3</v>
      </c>
      <c r="E32" s="35">
        <v>208590</v>
      </c>
      <c r="F32" s="20" t="s">
        <v>418</v>
      </c>
      <c r="G32" s="20" t="s">
        <v>419</v>
      </c>
      <c r="H32" s="51">
        <v>1998</v>
      </c>
      <c r="I32" s="30">
        <v>57.99</v>
      </c>
      <c r="J32" s="19" t="s">
        <v>412</v>
      </c>
      <c r="K32" s="34" t="s">
        <v>69</v>
      </c>
      <c r="L32" s="31">
        <v>43</v>
      </c>
      <c r="M32" s="31">
        <v>45</v>
      </c>
      <c r="N32" s="31">
        <v>47</v>
      </c>
      <c r="O32" s="36">
        <v>47</v>
      </c>
      <c r="P32" s="31">
        <v>53</v>
      </c>
      <c r="Q32" s="31">
        <v>56</v>
      </c>
      <c r="R32" s="31">
        <v>-60</v>
      </c>
      <c r="S32" s="36">
        <v>56</v>
      </c>
      <c r="T32" s="37">
        <v>103</v>
      </c>
      <c r="U32" s="65">
        <v>-12.980000000000004</v>
      </c>
      <c r="V32" s="41" t="s">
        <v>59</v>
      </c>
      <c r="W32" s="33">
        <v>3</v>
      </c>
      <c r="X32" s="40" t="s">
        <v>83</v>
      </c>
      <c r="Y32" s="39">
        <v>145.02956252053252</v>
      </c>
      <c r="Z32">
        <f>IF(V32="OLY +",1,IF(V32="INTA +",2,IF(V32="INTB +",3,4)))</f>
        <v>4</v>
      </c>
      <c r="AA32" t="str">
        <f t="shared" si="0"/>
        <v>U17</v>
      </c>
      <c r="AB32" t="str">
        <f t="shared" si="1"/>
        <v>HOUZEOCÉNE1998</v>
      </c>
    </row>
    <row r="33" spans="1:28" ht="21" x14ac:dyDescent="0.2">
      <c r="A33" s="12" t="s">
        <v>69</v>
      </c>
      <c r="B33" s="18" t="s">
        <v>649</v>
      </c>
      <c r="C33" s="19" t="s">
        <v>669</v>
      </c>
      <c r="D33" s="61">
        <v>2</v>
      </c>
      <c r="E33" s="35">
        <v>212730</v>
      </c>
      <c r="F33" s="20" t="s">
        <v>683</v>
      </c>
      <c r="G33" s="20" t="s">
        <v>684</v>
      </c>
      <c r="H33" s="51">
        <v>1996</v>
      </c>
      <c r="I33" s="30">
        <v>74.7</v>
      </c>
      <c r="J33" s="19" t="s">
        <v>672</v>
      </c>
      <c r="K33" s="34" t="s">
        <v>69</v>
      </c>
      <c r="L33" s="31">
        <v>60</v>
      </c>
      <c r="M33" s="31">
        <v>65</v>
      </c>
      <c r="N33" s="31">
        <v>67</v>
      </c>
      <c r="O33" s="36">
        <v>67</v>
      </c>
      <c r="P33" s="31">
        <v>80</v>
      </c>
      <c r="Q33" s="31">
        <v>85</v>
      </c>
      <c r="R33" s="31">
        <v>-90</v>
      </c>
      <c r="S33" s="36">
        <v>85</v>
      </c>
      <c r="T33" s="37">
        <v>152</v>
      </c>
      <c r="U33" s="65">
        <v>2.5999999999999943</v>
      </c>
      <c r="V33" s="41" t="s">
        <v>59</v>
      </c>
      <c r="W33" s="33">
        <v>7</v>
      </c>
      <c r="X33" s="40" t="s">
        <v>18</v>
      </c>
      <c r="Y33" s="39">
        <v>182.38929118396118</v>
      </c>
      <c r="Z33">
        <f>IF(V33="OLY +",1,IF(V33="INTA +",2,IF(V33="INTB +",3,4)))</f>
        <v>4</v>
      </c>
      <c r="AA33" t="str">
        <f t="shared" si="0"/>
        <v>U20</v>
      </c>
      <c r="AB33" t="str">
        <f t="shared" si="1"/>
        <v>ROSANKYSIA1996</v>
      </c>
    </row>
    <row r="34" spans="1:28" ht="21" x14ac:dyDescent="0.2">
      <c r="A34" s="12" t="s">
        <v>69</v>
      </c>
      <c r="B34" s="18" t="s">
        <v>298</v>
      </c>
      <c r="C34" s="19" t="s">
        <v>476</v>
      </c>
      <c r="D34" s="61">
        <v>7</v>
      </c>
      <c r="E34" s="35">
        <v>219978</v>
      </c>
      <c r="F34" s="20" t="s">
        <v>502</v>
      </c>
      <c r="G34" s="20" t="s">
        <v>498</v>
      </c>
      <c r="H34" s="51">
        <v>1997</v>
      </c>
      <c r="I34" s="30">
        <v>57.15</v>
      </c>
      <c r="J34" s="19" t="s">
        <v>503</v>
      </c>
      <c r="K34" s="34" t="s">
        <v>69</v>
      </c>
      <c r="L34" s="31">
        <v>48</v>
      </c>
      <c r="M34" s="31">
        <v>50</v>
      </c>
      <c r="N34" s="31">
        <v>52</v>
      </c>
      <c r="O34" s="36">
        <v>52</v>
      </c>
      <c r="P34" s="31">
        <v>63</v>
      </c>
      <c r="Q34" s="31">
        <v>-67</v>
      </c>
      <c r="R34" s="31">
        <v>67</v>
      </c>
      <c r="S34" s="36">
        <v>67</v>
      </c>
      <c r="T34" s="37">
        <v>119</v>
      </c>
      <c r="U34" s="65">
        <v>4.7000000000000028</v>
      </c>
      <c r="V34" s="41" t="s">
        <v>59</v>
      </c>
      <c r="W34" s="33">
        <v>4</v>
      </c>
      <c r="X34" s="40" t="s">
        <v>15</v>
      </c>
      <c r="Y34" s="39">
        <v>169.36762455942326</v>
      </c>
      <c r="Z34">
        <f>IF(V34="OLY +",1,IF(V34="INTA +",2,IF(V34="INTB +",3,4)))</f>
        <v>4</v>
      </c>
      <c r="AA34" t="str">
        <f t="shared" si="0"/>
        <v>U20</v>
      </c>
      <c r="AB34" t="str">
        <f t="shared" si="1"/>
        <v>GAUTIEROPHÉLIE1997</v>
      </c>
    </row>
    <row r="35" spans="1:28" ht="21" x14ac:dyDescent="0.2">
      <c r="A35" s="12" t="s">
        <v>69</v>
      </c>
      <c r="B35" s="18" t="s">
        <v>71</v>
      </c>
      <c r="C35" s="19" t="s">
        <v>801</v>
      </c>
      <c r="D35" s="61">
        <v>3</v>
      </c>
      <c r="E35" s="35">
        <v>231757</v>
      </c>
      <c r="F35" s="24" t="s">
        <v>826</v>
      </c>
      <c r="G35" s="24" t="s">
        <v>827</v>
      </c>
      <c r="H35" s="51">
        <v>1995</v>
      </c>
      <c r="I35" s="30">
        <v>62.7</v>
      </c>
      <c r="J35" s="19" t="s">
        <v>813</v>
      </c>
      <c r="K35" s="34" t="s">
        <v>69</v>
      </c>
      <c r="L35" s="31">
        <v>-55</v>
      </c>
      <c r="M35" s="31">
        <v>-58</v>
      </c>
      <c r="N35" s="31">
        <v>58</v>
      </c>
      <c r="O35" s="36">
        <v>58</v>
      </c>
      <c r="P35" s="31">
        <v>63</v>
      </c>
      <c r="Q35" s="31">
        <v>67</v>
      </c>
      <c r="R35" s="31">
        <v>-70</v>
      </c>
      <c r="S35" s="36">
        <v>67</v>
      </c>
      <c r="T35" s="37">
        <v>125</v>
      </c>
      <c r="U35" s="64">
        <v>-0.40000000000000568</v>
      </c>
      <c r="V35" s="41" t="s">
        <v>59</v>
      </c>
      <c r="W35" s="33">
        <v>0</v>
      </c>
      <c r="X35" s="40" t="s">
        <v>16</v>
      </c>
      <c r="Y35" s="39">
        <v>166.64495551049347</v>
      </c>
      <c r="Z35">
        <f>IF(V35="OLY +",1,IF(V35="INTA +",2,IF(V35="INTB +",3,4)))</f>
        <v>4</v>
      </c>
      <c r="AA35" t="str">
        <f t="shared" si="0"/>
        <v>U20</v>
      </c>
      <c r="AB35" t="str">
        <f t="shared" si="1"/>
        <v>RONCOEMMANUELLE1995</v>
      </c>
    </row>
    <row r="36" spans="1:28" ht="21" x14ac:dyDescent="0.2">
      <c r="A36" s="12" t="s">
        <v>69</v>
      </c>
      <c r="B36" s="18" t="s">
        <v>108</v>
      </c>
      <c r="C36" s="19" t="s">
        <v>119</v>
      </c>
      <c r="D36" s="61">
        <v>1</v>
      </c>
      <c r="E36" s="35">
        <v>238723</v>
      </c>
      <c r="F36" s="20" t="s">
        <v>142</v>
      </c>
      <c r="G36" s="20" t="s">
        <v>409</v>
      </c>
      <c r="H36" s="51">
        <v>1998</v>
      </c>
      <c r="I36" s="30">
        <v>62.85</v>
      </c>
      <c r="J36" s="19" t="s">
        <v>144</v>
      </c>
      <c r="K36" s="34" t="s">
        <v>69</v>
      </c>
      <c r="L36" s="31">
        <v>64</v>
      </c>
      <c r="M36" s="31">
        <v>67</v>
      </c>
      <c r="N36" s="31">
        <v>69</v>
      </c>
      <c r="O36" s="36">
        <v>69</v>
      </c>
      <c r="P36" s="31">
        <v>82</v>
      </c>
      <c r="Q36" s="31">
        <v>85</v>
      </c>
      <c r="R36" s="31">
        <v>88</v>
      </c>
      <c r="S36" s="36">
        <v>88</v>
      </c>
      <c r="T36" s="37">
        <v>157</v>
      </c>
      <c r="U36" s="64">
        <v>31.299999999999997</v>
      </c>
      <c r="V36" s="41" t="s">
        <v>61</v>
      </c>
      <c r="W36" s="33">
        <v>17</v>
      </c>
      <c r="X36" s="40" t="s">
        <v>84</v>
      </c>
      <c r="Y36" s="39">
        <v>208.97196541432103</v>
      </c>
      <c r="Z36">
        <f>IF(V36="OLY +",1,IF(V36="INTA +",2,IF(V36="INTB +",3,4)))</f>
        <v>2</v>
      </c>
      <c r="AA36" t="str">
        <f t="shared" si="0"/>
        <v>U17</v>
      </c>
      <c r="AB36" t="str">
        <f t="shared" si="1"/>
        <v>OTTJUSTINE1998</v>
      </c>
    </row>
    <row r="37" spans="1:28" ht="21" x14ac:dyDescent="0.2">
      <c r="A37" s="12" t="s">
        <v>69</v>
      </c>
      <c r="B37" s="67" t="s">
        <v>649</v>
      </c>
      <c r="C37" s="68" t="s">
        <v>648</v>
      </c>
      <c r="D37" s="69">
        <v>9</v>
      </c>
      <c r="E37" s="70">
        <v>241107</v>
      </c>
      <c r="F37" s="71" t="s">
        <v>650</v>
      </c>
      <c r="G37" s="71" t="s">
        <v>651</v>
      </c>
      <c r="H37" s="72">
        <v>1978</v>
      </c>
      <c r="I37" s="73">
        <v>48.5</v>
      </c>
      <c r="J37" s="68" t="s">
        <v>642</v>
      </c>
      <c r="K37" s="74" t="s">
        <v>69</v>
      </c>
      <c r="L37" s="75">
        <v>50</v>
      </c>
      <c r="M37" s="75">
        <v>55</v>
      </c>
      <c r="N37" s="75">
        <v>-57</v>
      </c>
      <c r="O37" s="76">
        <v>55</v>
      </c>
      <c r="P37" s="75">
        <v>60</v>
      </c>
      <c r="Q37" s="75">
        <v>65</v>
      </c>
      <c r="R37" s="75">
        <v>-70</v>
      </c>
      <c r="S37" s="76">
        <v>65</v>
      </c>
      <c r="T37" s="77">
        <v>120</v>
      </c>
      <c r="U37" s="83">
        <v>23</v>
      </c>
      <c r="V37" s="79" t="s">
        <v>59</v>
      </c>
      <c r="W37" s="80">
        <v>0</v>
      </c>
      <c r="X37" s="81" t="s">
        <v>21</v>
      </c>
      <c r="Y37" s="39">
        <v>194.9342547363718</v>
      </c>
      <c r="Z37">
        <f>IF(V37="OLY +",1,IF(V37="INTA +",2,IF(V37="INTB +",3,4)))</f>
        <v>4</v>
      </c>
      <c r="AA37" t="str">
        <f t="shared" si="0"/>
        <v>SEN</v>
      </c>
      <c r="AB37" t="str">
        <f t="shared" si="1"/>
        <v>EDMONDNEIGE LINE1978</v>
      </c>
    </row>
    <row r="38" spans="1:28" ht="21" x14ac:dyDescent="0.2">
      <c r="A38" s="12" t="s">
        <v>69</v>
      </c>
      <c r="B38" s="67" t="s">
        <v>108</v>
      </c>
      <c r="C38" s="68" t="s">
        <v>119</v>
      </c>
      <c r="D38" s="69">
        <v>1</v>
      </c>
      <c r="E38" s="70">
        <v>244336</v>
      </c>
      <c r="F38" s="71" t="s">
        <v>120</v>
      </c>
      <c r="G38" s="71" t="s">
        <v>510</v>
      </c>
      <c r="H38" s="72">
        <v>2000</v>
      </c>
      <c r="I38" s="73">
        <v>45.5</v>
      </c>
      <c r="J38" s="68" t="s">
        <v>122</v>
      </c>
      <c r="K38" s="74" t="s">
        <v>69</v>
      </c>
      <c r="L38" s="75">
        <v>41</v>
      </c>
      <c r="M38" s="75">
        <v>43</v>
      </c>
      <c r="N38" s="75">
        <v>45</v>
      </c>
      <c r="O38" s="76">
        <v>45</v>
      </c>
      <c r="P38" s="75">
        <v>55</v>
      </c>
      <c r="Q38" s="75">
        <v>58</v>
      </c>
      <c r="R38" s="75">
        <v>60</v>
      </c>
      <c r="S38" s="76">
        <v>60</v>
      </c>
      <c r="T38" s="77">
        <v>105</v>
      </c>
      <c r="U38" s="83">
        <v>14</v>
      </c>
      <c r="V38" s="79" t="s">
        <v>61</v>
      </c>
      <c r="W38" s="80">
        <v>10</v>
      </c>
      <c r="X38" s="81" t="s">
        <v>74</v>
      </c>
      <c r="Y38" s="39">
        <v>180.59303599753383</v>
      </c>
      <c r="Z38">
        <f>IF(V38="OLY +",1,IF(V38="INTA +",2,IF(V38="INTB +",3,4)))</f>
        <v>2</v>
      </c>
      <c r="AA38" t="str">
        <f t="shared" si="0"/>
        <v>U15</v>
      </c>
      <c r="AB38" t="str">
        <f t="shared" si="1"/>
        <v>CHRISTOPHELMARIE2000</v>
      </c>
    </row>
    <row r="39" spans="1:28" ht="21" x14ac:dyDescent="0.2">
      <c r="A39" s="12" t="s">
        <v>69</v>
      </c>
      <c r="B39" s="18" t="s">
        <v>298</v>
      </c>
      <c r="C39" s="19" t="s">
        <v>404</v>
      </c>
      <c r="D39" s="61">
        <v>3</v>
      </c>
      <c r="E39" s="35">
        <v>250225</v>
      </c>
      <c r="F39" s="20" t="s">
        <v>449</v>
      </c>
      <c r="G39" s="20" t="s">
        <v>450</v>
      </c>
      <c r="H39" s="51">
        <v>1993</v>
      </c>
      <c r="I39" s="30">
        <v>52.2</v>
      </c>
      <c r="J39" s="19" t="s">
        <v>406</v>
      </c>
      <c r="K39" s="34" t="s">
        <v>69</v>
      </c>
      <c r="L39" s="31">
        <v>57</v>
      </c>
      <c r="M39" s="31">
        <v>60</v>
      </c>
      <c r="N39" s="31">
        <v>63</v>
      </c>
      <c r="O39" s="36">
        <v>63</v>
      </c>
      <c r="P39" s="31">
        <v>73</v>
      </c>
      <c r="Q39" s="31">
        <v>77</v>
      </c>
      <c r="R39" s="31">
        <v>80</v>
      </c>
      <c r="S39" s="36">
        <v>80</v>
      </c>
      <c r="T39" s="37">
        <v>143</v>
      </c>
      <c r="U39" s="64">
        <v>38.599999999999994</v>
      </c>
      <c r="V39" s="41" t="s">
        <v>60</v>
      </c>
      <c r="W39" s="33">
        <v>3</v>
      </c>
      <c r="X39" s="40" t="s">
        <v>21</v>
      </c>
      <c r="Y39" s="39">
        <v>218.36942024906929</v>
      </c>
      <c r="Z39">
        <f>IF(V39="OLY +",1,IF(V39="INTA +",2,IF(V39="INTB +",3,4)))</f>
        <v>3</v>
      </c>
      <c r="AA39" t="str">
        <f t="shared" si="0"/>
        <v>SEN</v>
      </c>
      <c r="AB39" t="str">
        <f t="shared" si="1"/>
        <v>PLANCQDÉBORAH1993</v>
      </c>
    </row>
    <row r="40" spans="1:28" ht="21" x14ac:dyDescent="0.2">
      <c r="A40" s="12" t="s">
        <v>69</v>
      </c>
      <c r="B40" s="18" t="s">
        <v>536</v>
      </c>
      <c r="C40" s="19" t="s">
        <v>545</v>
      </c>
      <c r="D40" s="61">
        <v>7</v>
      </c>
      <c r="E40" s="35">
        <v>250351</v>
      </c>
      <c r="F40" s="20" t="s">
        <v>582</v>
      </c>
      <c r="G40" s="20" t="s">
        <v>583</v>
      </c>
      <c r="H40" s="51">
        <v>1985</v>
      </c>
      <c r="I40" s="30">
        <v>61.9</v>
      </c>
      <c r="J40" s="19" t="s">
        <v>548</v>
      </c>
      <c r="K40" s="34" t="s">
        <v>69</v>
      </c>
      <c r="L40" s="31">
        <v>-69</v>
      </c>
      <c r="M40" s="31">
        <v>69</v>
      </c>
      <c r="N40" s="31">
        <v>72</v>
      </c>
      <c r="O40" s="36">
        <v>72</v>
      </c>
      <c r="P40" s="31">
        <v>83</v>
      </c>
      <c r="Q40" s="31">
        <v>86</v>
      </c>
      <c r="R40" s="31">
        <v>88</v>
      </c>
      <c r="S40" s="36">
        <v>88</v>
      </c>
      <c r="T40" s="37">
        <v>160</v>
      </c>
      <c r="U40" s="64">
        <v>36.200000000000003</v>
      </c>
      <c r="V40" s="41" t="s">
        <v>60</v>
      </c>
      <c r="W40" s="33">
        <v>0</v>
      </c>
      <c r="X40" s="40" t="s">
        <v>23</v>
      </c>
      <c r="Y40" s="39">
        <v>215.16106325416109</v>
      </c>
      <c r="Z40">
        <f>IF(V40="OLY +",1,IF(V40="INTA +",2,IF(V40="INTB +",3,4)))</f>
        <v>3</v>
      </c>
      <c r="AA40" t="str">
        <f t="shared" si="0"/>
        <v>SEN</v>
      </c>
      <c r="AB40" t="str">
        <f t="shared" si="1"/>
        <v>BRIDIERSTÉPHANIE1985</v>
      </c>
    </row>
    <row r="41" spans="1:28" ht="21" x14ac:dyDescent="0.2">
      <c r="A41" s="12" t="s">
        <v>69</v>
      </c>
      <c r="B41" s="18" t="s">
        <v>536</v>
      </c>
      <c r="C41" s="19" t="s">
        <v>545</v>
      </c>
      <c r="D41" s="61">
        <v>8</v>
      </c>
      <c r="E41" s="35">
        <v>253454</v>
      </c>
      <c r="F41" s="21" t="s">
        <v>569</v>
      </c>
      <c r="G41" s="20" t="s">
        <v>570</v>
      </c>
      <c r="H41" s="51">
        <v>1995</v>
      </c>
      <c r="I41" s="30">
        <v>50.6</v>
      </c>
      <c r="J41" s="19" t="s">
        <v>551</v>
      </c>
      <c r="K41" s="34" t="s">
        <v>69</v>
      </c>
      <c r="L41" s="31">
        <v>40</v>
      </c>
      <c r="M41" s="31">
        <v>43</v>
      </c>
      <c r="N41" s="31">
        <v>45</v>
      </c>
      <c r="O41" s="36">
        <v>45</v>
      </c>
      <c r="P41" s="31">
        <v>50</v>
      </c>
      <c r="Q41" s="31">
        <v>55</v>
      </c>
      <c r="R41" s="31">
        <v>60</v>
      </c>
      <c r="S41" s="36">
        <v>60</v>
      </c>
      <c r="T41" s="37">
        <v>105</v>
      </c>
      <c r="U41" s="64">
        <v>3.7999999999999972</v>
      </c>
      <c r="V41" s="41" t="s">
        <v>59</v>
      </c>
      <c r="W41" s="33">
        <v>0</v>
      </c>
      <c r="X41" s="40" t="s">
        <v>14</v>
      </c>
      <c r="Y41" s="39">
        <v>164.50976014626144</v>
      </c>
      <c r="Z41">
        <f>IF(V41="OLY +",1,IF(V41="INTA +",2,IF(V41="INTB +",3,4)))</f>
        <v>4</v>
      </c>
      <c r="AA41" t="str">
        <f t="shared" si="0"/>
        <v>U20</v>
      </c>
      <c r="AB41" t="str">
        <f t="shared" si="1"/>
        <v>JOURNETMÉGANE1995</v>
      </c>
    </row>
    <row r="42" spans="1:28" ht="21" x14ac:dyDescent="0.2">
      <c r="A42" s="12" t="s">
        <v>69</v>
      </c>
      <c r="B42" s="18" t="s">
        <v>298</v>
      </c>
      <c r="C42" s="19" t="s">
        <v>476</v>
      </c>
      <c r="D42" s="61">
        <v>1</v>
      </c>
      <c r="E42" s="35">
        <v>260923</v>
      </c>
      <c r="F42" s="20" t="s">
        <v>399</v>
      </c>
      <c r="G42" s="20" t="s">
        <v>488</v>
      </c>
      <c r="H42" s="51">
        <v>1998</v>
      </c>
      <c r="I42" s="30">
        <v>57.9</v>
      </c>
      <c r="J42" s="19" t="s">
        <v>481</v>
      </c>
      <c r="K42" s="34" t="s">
        <v>69</v>
      </c>
      <c r="L42" s="31">
        <v>54</v>
      </c>
      <c r="M42" s="31">
        <v>57</v>
      </c>
      <c r="N42" s="31">
        <v>59</v>
      </c>
      <c r="O42" s="36">
        <v>59</v>
      </c>
      <c r="P42" s="31">
        <v>70</v>
      </c>
      <c r="Q42" s="31">
        <v>73</v>
      </c>
      <c r="R42" s="31">
        <v>75</v>
      </c>
      <c r="S42" s="36">
        <v>75</v>
      </c>
      <c r="T42" s="37">
        <v>134</v>
      </c>
      <c r="U42" s="64">
        <v>18.200000000000003</v>
      </c>
      <c r="V42" s="41" t="s">
        <v>61</v>
      </c>
      <c r="W42" s="33">
        <v>4</v>
      </c>
      <c r="X42" s="40" t="s">
        <v>83</v>
      </c>
      <c r="Y42" s="39">
        <v>188.89356718821011</v>
      </c>
      <c r="Z42">
        <f>IF(V42="OLY +",1,IF(V42="INTA +",2,IF(V42="INTB +",3,4)))</f>
        <v>2</v>
      </c>
      <c r="AA42" t="str">
        <f t="shared" si="0"/>
        <v>U17</v>
      </c>
      <c r="AB42" t="str">
        <f t="shared" si="1"/>
        <v>ARNOULDLUTRICIA1998</v>
      </c>
    </row>
    <row r="43" spans="1:28" ht="21" x14ac:dyDescent="0.2">
      <c r="A43" s="12" t="s">
        <v>69</v>
      </c>
      <c r="B43" s="18" t="s">
        <v>536</v>
      </c>
      <c r="C43" s="19" t="s">
        <v>545</v>
      </c>
      <c r="D43" s="61">
        <v>2</v>
      </c>
      <c r="E43" s="35">
        <v>264816</v>
      </c>
      <c r="F43" s="20" t="s">
        <v>579</v>
      </c>
      <c r="G43" s="20" t="s">
        <v>291</v>
      </c>
      <c r="H43" s="51">
        <v>1988</v>
      </c>
      <c r="I43" s="30">
        <v>56.9</v>
      </c>
      <c r="J43" s="19" t="s">
        <v>548</v>
      </c>
      <c r="K43" s="34" t="s">
        <v>69</v>
      </c>
      <c r="L43" s="31">
        <v>69</v>
      </c>
      <c r="M43" s="31">
        <v>73</v>
      </c>
      <c r="N43" s="31">
        <v>76</v>
      </c>
      <c r="O43" s="36">
        <v>76</v>
      </c>
      <c r="P43" s="31">
        <v>88</v>
      </c>
      <c r="Q43" s="31">
        <v>92</v>
      </c>
      <c r="R43" s="31">
        <v>94</v>
      </c>
      <c r="S43" s="36">
        <v>94</v>
      </c>
      <c r="T43" s="37">
        <v>170</v>
      </c>
      <c r="U43" s="64">
        <v>56.2</v>
      </c>
      <c r="V43" s="41" t="s">
        <v>61</v>
      </c>
      <c r="W43" s="33">
        <v>0</v>
      </c>
      <c r="X43" s="40" t="s">
        <v>22</v>
      </c>
      <c r="Y43" s="39">
        <v>242.74361236253478</v>
      </c>
      <c r="Z43">
        <f>IF(V43="OLY +",1,IF(V43="INTA +",2,IF(V43="INTB +",3,4)))</f>
        <v>2</v>
      </c>
      <c r="AA43" t="str">
        <f t="shared" si="0"/>
        <v>SEN</v>
      </c>
      <c r="AB43" t="str">
        <f t="shared" si="1"/>
        <v>LABRUNIEELISE1988</v>
      </c>
    </row>
    <row r="44" spans="1:28" ht="21" x14ac:dyDescent="0.2">
      <c r="A44" s="12" t="s">
        <v>69</v>
      </c>
      <c r="B44" s="18" t="s">
        <v>108</v>
      </c>
      <c r="C44" s="19" t="s">
        <v>109</v>
      </c>
      <c r="D44" s="61">
        <v>1</v>
      </c>
      <c r="E44" s="35">
        <v>274946</v>
      </c>
      <c r="F44" s="20" t="s">
        <v>156</v>
      </c>
      <c r="G44" s="20" t="s">
        <v>157</v>
      </c>
      <c r="H44" s="51">
        <v>1997</v>
      </c>
      <c r="I44" s="30">
        <v>61.9</v>
      </c>
      <c r="J44" s="19" t="s">
        <v>112</v>
      </c>
      <c r="K44" s="34" t="s">
        <v>69</v>
      </c>
      <c r="L44" s="31">
        <v>57</v>
      </c>
      <c r="M44" s="31">
        <v>60</v>
      </c>
      <c r="N44" s="31">
        <v>63</v>
      </c>
      <c r="O44" s="36">
        <v>63</v>
      </c>
      <c r="P44" s="31">
        <v>67</v>
      </c>
      <c r="Q44" s="31">
        <v>-72</v>
      </c>
      <c r="R44" s="31">
        <v>74</v>
      </c>
      <c r="S44" s="36">
        <v>74</v>
      </c>
      <c r="T44" s="37">
        <v>137</v>
      </c>
      <c r="U44" s="64">
        <v>13.200000000000003</v>
      </c>
      <c r="V44" s="41" t="s">
        <v>59</v>
      </c>
      <c r="W44" s="33">
        <v>12</v>
      </c>
      <c r="X44" s="40" t="s">
        <v>16</v>
      </c>
      <c r="Y44" s="39">
        <v>184.23166041137546</v>
      </c>
      <c r="Z44">
        <f>IF(V44="OLY +",1,IF(V44="INTA +",2,IF(V44="INTB +",3,4)))</f>
        <v>4</v>
      </c>
      <c r="AA44" t="str">
        <f t="shared" si="0"/>
        <v>U20</v>
      </c>
      <c r="AB44" t="str">
        <f t="shared" si="1"/>
        <v>GROSJEANLORIANE1997</v>
      </c>
    </row>
    <row r="45" spans="1:28" ht="21" x14ac:dyDescent="0.2">
      <c r="A45" s="12" t="s">
        <v>69</v>
      </c>
      <c r="B45" s="18" t="s">
        <v>536</v>
      </c>
      <c r="C45" s="19" t="s">
        <v>541</v>
      </c>
      <c r="D45" s="61">
        <v>1</v>
      </c>
      <c r="E45" s="35">
        <v>277832</v>
      </c>
      <c r="F45" s="20" t="s">
        <v>567</v>
      </c>
      <c r="G45" s="20" t="s">
        <v>568</v>
      </c>
      <c r="H45" s="51">
        <v>1999</v>
      </c>
      <c r="I45" s="30">
        <v>47.8</v>
      </c>
      <c r="J45" s="19" t="s">
        <v>566</v>
      </c>
      <c r="K45" s="34" t="s">
        <v>69</v>
      </c>
      <c r="L45" s="31">
        <v>48</v>
      </c>
      <c r="M45" s="31">
        <v>51</v>
      </c>
      <c r="N45" s="31">
        <v>53</v>
      </c>
      <c r="O45" s="36">
        <v>53</v>
      </c>
      <c r="P45" s="31">
        <v>59</v>
      </c>
      <c r="Q45" s="31">
        <v>-62</v>
      </c>
      <c r="R45" s="31">
        <v>62</v>
      </c>
      <c r="S45" s="36">
        <v>62</v>
      </c>
      <c r="T45" s="37">
        <v>115</v>
      </c>
      <c r="U45" s="64">
        <v>19.400000000000006</v>
      </c>
      <c r="V45" s="41" t="s">
        <v>61</v>
      </c>
      <c r="W45" s="33">
        <v>5</v>
      </c>
      <c r="X45" s="40" t="s">
        <v>81</v>
      </c>
      <c r="Y45" s="39">
        <v>189.20436805322979</v>
      </c>
      <c r="Z45">
        <f>IF(V45="OLY +",1,IF(V45="INTA +",2,IF(V45="INTB +",3,4)))</f>
        <v>2</v>
      </c>
      <c r="AA45" t="str">
        <f t="shared" si="0"/>
        <v>U17</v>
      </c>
      <c r="AB45" t="str">
        <f t="shared" si="1"/>
        <v>RIGAUDGARANCE1999</v>
      </c>
    </row>
    <row r="46" spans="1:28" ht="21" x14ac:dyDescent="0.2">
      <c r="A46" s="12" t="s">
        <v>69</v>
      </c>
      <c r="B46" s="18" t="s">
        <v>298</v>
      </c>
      <c r="C46" s="19" t="s">
        <v>404</v>
      </c>
      <c r="D46" s="61">
        <v>4</v>
      </c>
      <c r="E46" s="35">
        <v>280129</v>
      </c>
      <c r="F46" s="20" t="s">
        <v>422</v>
      </c>
      <c r="G46" s="20" t="s">
        <v>423</v>
      </c>
      <c r="H46" s="51">
        <v>1999</v>
      </c>
      <c r="I46" s="30">
        <v>56.6</v>
      </c>
      <c r="J46" s="19" t="s">
        <v>424</v>
      </c>
      <c r="K46" s="34" t="s">
        <v>69</v>
      </c>
      <c r="L46" s="31">
        <v>40</v>
      </c>
      <c r="M46" s="31">
        <v>43</v>
      </c>
      <c r="N46" s="31">
        <v>-45</v>
      </c>
      <c r="O46" s="36">
        <v>43</v>
      </c>
      <c r="P46" s="31">
        <v>50</v>
      </c>
      <c r="Q46" s="31">
        <v>55</v>
      </c>
      <c r="R46" s="31">
        <v>57</v>
      </c>
      <c r="S46" s="36">
        <v>57</v>
      </c>
      <c r="T46" s="37">
        <v>100</v>
      </c>
      <c r="U46" s="64">
        <v>-13.200000000000003</v>
      </c>
      <c r="V46" s="41" t="s">
        <v>59</v>
      </c>
      <c r="W46" s="33">
        <v>0</v>
      </c>
      <c r="X46" s="40" t="s">
        <v>83</v>
      </c>
      <c r="Y46" s="39">
        <v>143.35548608473812</v>
      </c>
      <c r="Z46">
        <f>IF(V46="OLY +",1,IF(V46="INTA +",2,IF(V46="INTB +",3,4)))</f>
        <v>4</v>
      </c>
      <c r="AA46" t="str">
        <f t="shared" si="0"/>
        <v>U17</v>
      </c>
      <c r="AB46" t="str">
        <f t="shared" si="1"/>
        <v>BOUDRAHEMINÈS1999</v>
      </c>
    </row>
    <row r="47" spans="1:28" ht="21" x14ac:dyDescent="0.2">
      <c r="A47" s="12" t="s">
        <v>69</v>
      </c>
      <c r="B47" s="18" t="s">
        <v>71</v>
      </c>
      <c r="C47" s="19" t="s">
        <v>72</v>
      </c>
      <c r="D47" s="61">
        <v>1</v>
      </c>
      <c r="E47" s="35">
        <v>280309</v>
      </c>
      <c r="F47" s="20" t="s">
        <v>920</v>
      </c>
      <c r="G47" s="20" t="s">
        <v>635</v>
      </c>
      <c r="H47" s="51">
        <v>2000</v>
      </c>
      <c r="I47" s="30">
        <v>51.4</v>
      </c>
      <c r="J47" s="19" t="s">
        <v>921</v>
      </c>
      <c r="K47" s="34" t="s">
        <v>69</v>
      </c>
      <c r="L47" s="31">
        <v>40</v>
      </c>
      <c r="M47" s="31">
        <v>43</v>
      </c>
      <c r="N47" s="31">
        <v>45</v>
      </c>
      <c r="O47" s="36">
        <v>45</v>
      </c>
      <c r="P47" s="31">
        <v>55</v>
      </c>
      <c r="Q47" s="31">
        <v>60</v>
      </c>
      <c r="R47" s="31">
        <v>-64</v>
      </c>
      <c r="S47" s="36">
        <v>60</v>
      </c>
      <c r="T47" s="37">
        <v>105</v>
      </c>
      <c r="U47" s="64">
        <v>2.2000000000000028</v>
      </c>
      <c r="V47" s="41" t="s">
        <v>61</v>
      </c>
      <c r="W47" s="33">
        <v>0</v>
      </c>
      <c r="X47" s="40" t="s">
        <v>75</v>
      </c>
      <c r="Y47" s="39">
        <v>162.38054778623814</v>
      </c>
      <c r="Z47">
        <f>IF(V47="OLY +",1,IF(V47="INTA +",2,IF(V47="INTB +",3,4)))</f>
        <v>2</v>
      </c>
      <c r="AA47" t="str">
        <f t="shared" si="0"/>
        <v>U15</v>
      </c>
      <c r="AB47" t="str">
        <f t="shared" si="1"/>
        <v>BARBIERCLARISSE2000</v>
      </c>
    </row>
    <row r="48" spans="1:28" ht="21" x14ac:dyDescent="0.2">
      <c r="A48" s="12" t="s">
        <v>69</v>
      </c>
      <c r="B48" s="18" t="s">
        <v>298</v>
      </c>
      <c r="C48" s="19" t="s">
        <v>476</v>
      </c>
      <c r="D48" s="61">
        <v>2</v>
      </c>
      <c r="E48" s="35">
        <v>280885</v>
      </c>
      <c r="F48" s="20" t="s">
        <v>497</v>
      </c>
      <c r="G48" s="20" t="s">
        <v>498</v>
      </c>
      <c r="H48" s="51">
        <v>1997</v>
      </c>
      <c r="I48" s="30">
        <v>52.86</v>
      </c>
      <c r="J48" s="19" t="s">
        <v>478</v>
      </c>
      <c r="K48" s="34" t="s">
        <v>69</v>
      </c>
      <c r="L48" s="31">
        <v>57</v>
      </c>
      <c r="M48" s="31">
        <v>-60</v>
      </c>
      <c r="N48" s="31">
        <v>60</v>
      </c>
      <c r="O48" s="36">
        <v>60</v>
      </c>
      <c r="P48" s="31">
        <v>70</v>
      </c>
      <c r="Q48" s="31">
        <v>75</v>
      </c>
      <c r="R48" s="31">
        <v>-80</v>
      </c>
      <c r="S48" s="36">
        <v>75</v>
      </c>
      <c r="T48" s="37">
        <v>135</v>
      </c>
      <c r="U48" s="64">
        <v>29.28</v>
      </c>
      <c r="V48" s="41" t="s">
        <v>61</v>
      </c>
      <c r="W48" s="33">
        <v>0</v>
      </c>
      <c r="X48" s="40" t="s">
        <v>14</v>
      </c>
      <c r="Y48" s="39">
        <v>204.07213544321601</v>
      </c>
      <c r="Z48">
        <f>IF(V48="OLY +",1,IF(V48="INTA +",2,IF(V48="INTB +",3,4)))</f>
        <v>2</v>
      </c>
      <c r="AA48" t="str">
        <f t="shared" si="0"/>
        <v>U20</v>
      </c>
      <c r="AB48" t="str">
        <f t="shared" si="1"/>
        <v>CABONOPHÉLIE1997</v>
      </c>
    </row>
    <row r="49" spans="1:28" ht="21" x14ac:dyDescent="0.2">
      <c r="A49" s="12" t="s">
        <v>69</v>
      </c>
      <c r="B49" s="18" t="s">
        <v>649</v>
      </c>
      <c r="C49" s="19" t="s">
        <v>665</v>
      </c>
      <c r="D49" s="61">
        <v>2</v>
      </c>
      <c r="E49" s="35">
        <v>286912</v>
      </c>
      <c r="F49" s="20" t="s">
        <v>673</v>
      </c>
      <c r="G49" s="20" t="s">
        <v>574</v>
      </c>
      <c r="H49" s="51">
        <v>1999</v>
      </c>
      <c r="I49" s="30">
        <v>57.5</v>
      </c>
      <c r="J49" s="19" t="s">
        <v>668</v>
      </c>
      <c r="K49" s="34" t="s">
        <v>69</v>
      </c>
      <c r="L49" s="31">
        <v>40</v>
      </c>
      <c r="M49" s="31">
        <v>45</v>
      </c>
      <c r="N49" s="31">
        <v>-48</v>
      </c>
      <c r="O49" s="36">
        <v>45</v>
      </c>
      <c r="P49" s="31">
        <v>55</v>
      </c>
      <c r="Q49" s="31">
        <v>60</v>
      </c>
      <c r="R49" s="31">
        <v>-65</v>
      </c>
      <c r="S49" s="36">
        <v>60</v>
      </c>
      <c r="T49" s="37">
        <v>105</v>
      </c>
      <c r="U49" s="64">
        <v>-10</v>
      </c>
      <c r="V49" s="41" t="s">
        <v>59</v>
      </c>
      <c r="W49" s="33">
        <v>5</v>
      </c>
      <c r="X49" s="40" t="s">
        <v>83</v>
      </c>
      <c r="Y49" s="39">
        <v>148.76895227899516</v>
      </c>
      <c r="Z49">
        <f>IF(V49="OLY +",1,IF(V49="INTA +",2,IF(V49="INTB +",3,4)))</f>
        <v>4</v>
      </c>
      <c r="AA49" t="str">
        <f t="shared" si="0"/>
        <v>U17</v>
      </c>
      <c r="AB49" t="str">
        <f t="shared" si="1"/>
        <v>KICHENAMACLARA1999</v>
      </c>
    </row>
    <row r="50" spans="1:28" ht="21" x14ac:dyDescent="0.2">
      <c r="A50" s="12" t="s">
        <v>69</v>
      </c>
      <c r="B50" s="18" t="s">
        <v>71</v>
      </c>
      <c r="C50" s="19" t="s">
        <v>872</v>
      </c>
      <c r="D50" s="61">
        <v>1</v>
      </c>
      <c r="E50" s="35">
        <v>287541</v>
      </c>
      <c r="F50" s="20" t="s">
        <v>881</v>
      </c>
      <c r="G50" s="20" t="s">
        <v>882</v>
      </c>
      <c r="H50" s="51">
        <v>1988</v>
      </c>
      <c r="I50" s="30">
        <v>73.349999999999994</v>
      </c>
      <c r="J50" s="19" t="s">
        <v>874</v>
      </c>
      <c r="K50" s="34" t="s">
        <v>69</v>
      </c>
      <c r="L50" s="31">
        <v>100</v>
      </c>
      <c r="M50" s="31">
        <v>104</v>
      </c>
      <c r="N50" s="31">
        <v>107</v>
      </c>
      <c r="O50" s="36">
        <v>107</v>
      </c>
      <c r="P50" s="31">
        <v>125</v>
      </c>
      <c r="Q50" s="31">
        <v>-131</v>
      </c>
      <c r="R50" s="31">
        <v>131</v>
      </c>
      <c r="S50" s="36">
        <v>131</v>
      </c>
      <c r="T50" s="37">
        <v>238</v>
      </c>
      <c r="U50" s="64">
        <v>91.300000000000011</v>
      </c>
      <c r="V50" s="41" t="s">
        <v>62</v>
      </c>
      <c r="W50" s="33">
        <v>28</v>
      </c>
      <c r="X50" s="40" t="s">
        <v>25</v>
      </c>
      <c r="Y50" s="39">
        <v>288.41021864518041</v>
      </c>
      <c r="Z50">
        <f>IF(V50="OLY +",1,IF(V50="INTA +",2,IF(V50="INTB +",3,4)))</f>
        <v>1</v>
      </c>
      <c r="AA50" t="str">
        <f t="shared" si="0"/>
        <v>SEN</v>
      </c>
      <c r="AB50" t="str">
        <f t="shared" si="1"/>
        <v>NAYO KETCHANKEGAËLLE1988</v>
      </c>
    </row>
    <row r="51" spans="1:28" ht="21" x14ac:dyDescent="0.2">
      <c r="A51" s="12" t="s">
        <v>69</v>
      </c>
      <c r="B51" s="18" t="s">
        <v>71</v>
      </c>
      <c r="C51" s="19" t="s">
        <v>872</v>
      </c>
      <c r="D51" s="61">
        <v>2</v>
      </c>
      <c r="E51" s="35">
        <v>290105</v>
      </c>
      <c r="F51" s="20" t="s">
        <v>869</v>
      </c>
      <c r="G51" s="20" t="s">
        <v>870</v>
      </c>
      <c r="H51" s="51">
        <v>2000</v>
      </c>
      <c r="I51" s="30">
        <v>47</v>
      </c>
      <c r="J51" s="19" t="s">
        <v>871</v>
      </c>
      <c r="K51" s="34" t="s">
        <v>69</v>
      </c>
      <c r="L51" s="31">
        <v>32</v>
      </c>
      <c r="M51" s="31">
        <v>35</v>
      </c>
      <c r="N51" s="31">
        <v>37</v>
      </c>
      <c r="O51" s="36">
        <v>37</v>
      </c>
      <c r="P51" s="31">
        <v>46</v>
      </c>
      <c r="Q51" s="31">
        <v>49</v>
      </c>
      <c r="R51" s="31">
        <v>-53</v>
      </c>
      <c r="S51" s="36">
        <v>49</v>
      </c>
      <c r="T51" s="37">
        <v>86</v>
      </c>
      <c r="U51" s="65">
        <v>-8</v>
      </c>
      <c r="V51" s="41" t="s">
        <v>60</v>
      </c>
      <c r="W51" s="33">
        <v>1</v>
      </c>
      <c r="X51" s="40" t="s">
        <v>74</v>
      </c>
      <c r="Y51" s="39">
        <v>143.62742256205317</v>
      </c>
      <c r="Z51">
        <f>IF(V51="OLY +",1,IF(V51="INTA +",2,IF(V51="INTB +",3,4)))</f>
        <v>3</v>
      </c>
      <c r="AA51" t="str">
        <f t="shared" si="0"/>
        <v>U15</v>
      </c>
      <c r="AB51" t="str">
        <f t="shared" si="1"/>
        <v>ROMEROHÉLOÏSE2000</v>
      </c>
    </row>
    <row r="52" spans="1:28" ht="21" x14ac:dyDescent="0.2">
      <c r="A52" s="12" t="s">
        <v>69</v>
      </c>
      <c r="B52" s="18" t="s">
        <v>71</v>
      </c>
      <c r="C52" s="19" t="s">
        <v>801</v>
      </c>
      <c r="D52" s="61">
        <v>5</v>
      </c>
      <c r="E52" s="35">
        <v>295873</v>
      </c>
      <c r="F52" s="20" t="s">
        <v>820</v>
      </c>
      <c r="G52" s="20" t="s">
        <v>448</v>
      </c>
      <c r="H52" s="51">
        <v>1999</v>
      </c>
      <c r="I52" s="30">
        <v>47.8</v>
      </c>
      <c r="J52" s="19" t="s">
        <v>813</v>
      </c>
      <c r="K52" s="34" t="s">
        <v>69</v>
      </c>
      <c r="L52" s="31">
        <v>38</v>
      </c>
      <c r="M52" s="31">
        <v>41</v>
      </c>
      <c r="N52" s="31">
        <v>44</v>
      </c>
      <c r="O52" s="36">
        <v>44</v>
      </c>
      <c r="P52" s="31">
        <v>50</v>
      </c>
      <c r="Q52" s="31">
        <v>53</v>
      </c>
      <c r="R52" s="31">
        <v>56</v>
      </c>
      <c r="S52" s="36">
        <v>56</v>
      </c>
      <c r="T52" s="37">
        <v>100</v>
      </c>
      <c r="U52" s="65">
        <v>4.4000000000000057</v>
      </c>
      <c r="V52" s="41" t="s">
        <v>60</v>
      </c>
      <c r="W52" s="33">
        <v>5</v>
      </c>
      <c r="X52" s="40" t="s">
        <v>81</v>
      </c>
      <c r="Y52" s="39">
        <v>164.52553743759114</v>
      </c>
      <c r="Z52">
        <f>IF(V52="OLY +",1,IF(V52="INTA +",2,IF(V52="INTB +",3,4)))</f>
        <v>3</v>
      </c>
      <c r="AA52" t="str">
        <f t="shared" si="0"/>
        <v>U17</v>
      </c>
      <c r="AB52" t="str">
        <f t="shared" si="1"/>
        <v>RICHETCATHERINE1999</v>
      </c>
    </row>
    <row r="53" spans="1:28" ht="21" x14ac:dyDescent="0.2">
      <c r="A53" s="12" t="s">
        <v>69</v>
      </c>
      <c r="B53" s="67" t="s">
        <v>536</v>
      </c>
      <c r="C53" s="68" t="s">
        <v>541</v>
      </c>
      <c r="D53" s="69">
        <v>2</v>
      </c>
      <c r="E53" s="70">
        <v>298421</v>
      </c>
      <c r="F53" s="71" t="s">
        <v>565</v>
      </c>
      <c r="G53" s="71" t="s">
        <v>1007</v>
      </c>
      <c r="H53" s="72">
        <v>1999</v>
      </c>
      <c r="I53" s="73">
        <v>45.1</v>
      </c>
      <c r="J53" s="68" t="s">
        <v>566</v>
      </c>
      <c r="K53" s="74" t="s">
        <v>69</v>
      </c>
      <c r="L53" s="75">
        <v>44</v>
      </c>
      <c r="M53" s="75">
        <v>48</v>
      </c>
      <c r="N53" s="75">
        <v>50</v>
      </c>
      <c r="O53" s="76">
        <v>50</v>
      </c>
      <c r="P53" s="75">
        <v>58</v>
      </c>
      <c r="Q53" s="75">
        <v>61</v>
      </c>
      <c r="R53" s="75">
        <v>64</v>
      </c>
      <c r="S53" s="76">
        <v>64</v>
      </c>
      <c r="T53" s="77">
        <v>114</v>
      </c>
      <c r="U53" s="78">
        <v>23.799999999999997</v>
      </c>
      <c r="V53" s="79" t="s">
        <v>61</v>
      </c>
      <c r="W53" s="80">
        <v>4</v>
      </c>
      <c r="X53" s="81" t="s">
        <v>81</v>
      </c>
      <c r="Y53" s="39">
        <v>197.6766805263488</v>
      </c>
      <c r="Z53">
        <f>IF(V53="OLY +",1,IF(V53="INTA +",2,IF(V53="INTB +",3,4)))</f>
        <v>2</v>
      </c>
      <c r="AA53" t="str">
        <f t="shared" si="0"/>
        <v>U17</v>
      </c>
      <c r="AB53" t="str">
        <f t="shared" si="1"/>
        <v>MOCAERNOLWENN1999</v>
      </c>
    </row>
    <row r="54" spans="1:28" ht="21" x14ac:dyDescent="0.2">
      <c r="A54" s="12" t="s">
        <v>69</v>
      </c>
      <c r="B54" s="18" t="s">
        <v>108</v>
      </c>
      <c r="C54" s="19" t="s">
        <v>119</v>
      </c>
      <c r="D54" s="61">
        <v>3</v>
      </c>
      <c r="E54" s="35">
        <v>300315</v>
      </c>
      <c r="F54" s="20" t="s">
        <v>123</v>
      </c>
      <c r="G54" s="20" t="s">
        <v>124</v>
      </c>
      <c r="H54" s="51">
        <v>2001</v>
      </c>
      <c r="I54" s="30">
        <v>47.5</v>
      </c>
      <c r="J54" s="19" t="s">
        <v>125</v>
      </c>
      <c r="K54" s="34" t="s">
        <v>69</v>
      </c>
      <c r="L54" s="31">
        <v>30</v>
      </c>
      <c r="M54" s="31">
        <v>34</v>
      </c>
      <c r="N54" s="31">
        <v>36</v>
      </c>
      <c r="O54" s="36">
        <v>36</v>
      </c>
      <c r="P54" s="31">
        <v>40</v>
      </c>
      <c r="Q54" s="31">
        <v>45</v>
      </c>
      <c r="R54" s="31">
        <v>48</v>
      </c>
      <c r="S54" s="36">
        <v>48</v>
      </c>
      <c r="T54" s="37">
        <v>84</v>
      </c>
      <c r="U54" s="65">
        <v>-11</v>
      </c>
      <c r="V54" s="41" t="s">
        <v>59</v>
      </c>
      <c r="W54" s="33">
        <v>9</v>
      </c>
      <c r="X54" s="40" t="s">
        <v>74</v>
      </c>
      <c r="Y54" s="39">
        <v>138.97224684574039</v>
      </c>
      <c r="Z54">
        <f>IF(V54="OLY +",1,IF(V54="INTA +",2,IF(V54="INTB +",3,4)))</f>
        <v>4</v>
      </c>
      <c r="AA54" t="str">
        <f t="shared" si="0"/>
        <v>U15</v>
      </c>
      <c r="AB54" t="str">
        <f t="shared" si="1"/>
        <v>IMBSHONORINE2001</v>
      </c>
    </row>
    <row r="55" spans="1:28" ht="21" x14ac:dyDescent="0.2">
      <c r="A55" s="12" t="s">
        <v>69</v>
      </c>
      <c r="B55" s="18" t="s">
        <v>721</v>
      </c>
      <c r="C55" s="19" t="s">
        <v>775</v>
      </c>
      <c r="D55" s="61">
        <v>5</v>
      </c>
      <c r="E55" s="35">
        <v>303229</v>
      </c>
      <c r="F55" s="20" t="s">
        <v>794</v>
      </c>
      <c r="G55" s="20" t="s">
        <v>114</v>
      </c>
      <c r="H55" s="51">
        <v>1987</v>
      </c>
      <c r="I55" s="30">
        <v>60</v>
      </c>
      <c r="J55" s="19" t="s">
        <v>778</v>
      </c>
      <c r="K55" s="34" t="s">
        <v>69</v>
      </c>
      <c r="L55" s="31">
        <v>73</v>
      </c>
      <c r="M55" s="31">
        <v>76</v>
      </c>
      <c r="N55" s="31">
        <v>-78</v>
      </c>
      <c r="O55" s="36">
        <v>76</v>
      </c>
      <c r="P55" s="31">
        <v>83</v>
      </c>
      <c r="Q55" s="31">
        <v>85</v>
      </c>
      <c r="R55" s="31">
        <v>-87</v>
      </c>
      <c r="S55" s="36">
        <v>85</v>
      </c>
      <c r="T55" s="37">
        <v>161</v>
      </c>
      <c r="U55" s="65">
        <v>41</v>
      </c>
      <c r="V55" s="41" t="s">
        <v>60</v>
      </c>
      <c r="W55" s="33">
        <v>1</v>
      </c>
      <c r="X55" s="40" t="s">
        <v>23</v>
      </c>
      <c r="Y55" s="39">
        <v>221.2248726293484</v>
      </c>
      <c r="Z55">
        <f>IF(V55="OLY +",1,IF(V55="INTA +",2,IF(V55="INTB +",3,4)))</f>
        <v>3</v>
      </c>
      <c r="AA55" t="str">
        <f t="shared" si="0"/>
        <v>SEN</v>
      </c>
      <c r="AB55" t="str">
        <f t="shared" si="1"/>
        <v>MAMONECHLOÉ1987</v>
      </c>
    </row>
    <row r="56" spans="1:28" ht="21" x14ac:dyDescent="0.2">
      <c r="A56" s="12" t="s">
        <v>69</v>
      </c>
      <c r="B56" s="18" t="s">
        <v>298</v>
      </c>
      <c r="C56" s="19" t="s">
        <v>476</v>
      </c>
      <c r="D56" s="61">
        <v>6</v>
      </c>
      <c r="E56" s="35">
        <v>309751</v>
      </c>
      <c r="F56" s="21" t="s">
        <v>513</v>
      </c>
      <c r="G56" s="20" t="s">
        <v>430</v>
      </c>
      <c r="H56" s="51">
        <v>1995</v>
      </c>
      <c r="I56" s="30">
        <v>52.4</v>
      </c>
      <c r="J56" s="19" t="s">
        <v>481</v>
      </c>
      <c r="K56" s="34" t="s">
        <v>69</v>
      </c>
      <c r="L56" s="31">
        <v>45</v>
      </c>
      <c r="M56" s="31">
        <v>-48</v>
      </c>
      <c r="N56" s="31">
        <v>48</v>
      </c>
      <c r="O56" s="36">
        <v>48</v>
      </c>
      <c r="P56" s="31">
        <v>57</v>
      </c>
      <c r="Q56" s="31">
        <v>61</v>
      </c>
      <c r="R56" s="31">
        <v>-63</v>
      </c>
      <c r="S56" s="36">
        <v>61</v>
      </c>
      <c r="T56" s="37">
        <v>109</v>
      </c>
      <c r="U56" s="65">
        <v>4.2000000000000028</v>
      </c>
      <c r="V56" s="41" t="s">
        <v>59</v>
      </c>
      <c r="W56" s="33">
        <v>4</v>
      </c>
      <c r="X56" s="40" t="s">
        <v>14</v>
      </c>
      <c r="Y56" s="39">
        <v>165.93410826693139</v>
      </c>
      <c r="Z56">
        <f>IF(V56="OLY +",1,IF(V56="INTA +",2,IF(V56="INTB +",3,4)))</f>
        <v>4</v>
      </c>
      <c r="AA56" t="str">
        <f t="shared" si="0"/>
        <v>U20</v>
      </c>
      <c r="AB56" t="str">
        <f t="shared" si="1"/>
        <v>SEIGNEURMANON1995</v>
      </c>
    </row>
    <row r="57" spans="1:28" ht="21" x14ac:dyDescent="0.2">
      <c r="A57" s="12" t="s">
        <v>69</v>
      </c>
      <c r="B57" s="18" t="s">
        <v>108</v>
      </c>
      <c r="C57" s="19" t="s">
        <v>109</v>
      </c>
      <c r="D57" s="61">
        <v>4</v>
      </c>
      <c r="E57" s="35">
        <v>320210</v>
      </c>
      <c r="F57" s="20" t="s">
        <v>110</v>
      </c>
      <c r="G57" s="20" t="s">
        <v>111</v>
      </c>
      <c r="H57" s="51">
        <v>2000</v>
      </c>
      <c r="I57" s="30">
        <v>52.6</v>
      </c>
      <c r="J57" s="19" t="s">
        <v>112</v>
      </c>
      <c r="K57" s="34" t="s">
        <v>69</v>
      </c>
      <c r="L57" s="31">
        <v>32</v>
      </c>
      <c r="M57" s="31">
        <v>34</v>
      </c>
      <c r="N57" s="31">
        <v>38</v>
      </c>
      <c r="O57" s="36">
        <v>38</v>
      </c>
      <c r="P57" s="31">
        <v>44</v>
      </c>
      <c r="Q57" s="31">
        <v>48</v>
      </c>
      <c r="R57" s="31">
        <v>52</v>
      </c>
      <c r="S57" s="36">
        <v>52</v>
      </c>
      <c r="T57" s="37">
        <v>90</v>
      </c>
      <c r="U57" s="65">
        <v>-15.200000000000003</v>
      </c>
      <c r="V57" s="41" t="s">
        <v>59</v>
      </c>
      <c r="W57" s="33">
        <v>5</v>
      </c>
      <c r="X57" s="40" t="s">
        <v>75</v>
      </c>
      <c r="Y57" s="39">
        <v>136.58880732897993</v>
      </c>
      <c r="Z57">
        <f>IF(V57="OLY +",1,IF(V57="INTA +",2,IF(V57="INTB +",3,4)))</f>
        <v>4</v>
      </c>
      <c r="AA57" t="str">
        <f t="shared" si="0"/>
        <v>U15</v>
      </c>
      <c r="AB57" t="str">
        <f t="shared" si="1"/>
        <v>ROEHRIGLUDIVINE2000</v>
      </c>
    </row>
    <row r="58" spans="1:28" ht="21" x14ac:dyDescent="0.2">
      <c r="A58" s="12" t="s">
        <v>69</v>
      </c>
      <c r="B58" s="18" t="s">
        <v>536</v>
      </c>
      <c r="C58" s="19" t="s">
        <v>545</v>
      </c>
      <c r="D58" s="61">
        <v>10</v>
      </c>
      <c r="E58" s="35">
        <v>326408</v>
      </c>
      <c r="F58" s="20" t="s">
        <v>586</v>
      </c>
      <c r="G58" s="20" t="s">
        <v>486</v>
      </c>
      <c r="H58" s="51">
        <v>1993</v>
      </c>
      <c r="I58" s="30">
        <v>56.5</v>
      </c>
      <c r="J58" s="19" t="s">
        <v>548</v>
      </c>
      <c r="K58" s="34" t="s">
        <v>69</v>
      </c>
      <c r="L58" s="31">
        <v>56</v>
      </c>
      <c r="M58" s="31">
        <v>59</v>
      </c>
      <c r="N58" s="31">
        <v>-61</v>
      </c>
      <c r="O58" s="36">
        <v>59</v>
      </c>
      <c r="P58" s="31">
        <v>70</v>
      </c>
      <c r="Q58" s="31">
        <v>73</v>
      </c>
      <c r="R58" s="31">
        <v>75</v>
      </c>
      <c r="S58" s="36">
        <v>75</v>
      </c>
      <c r="T58" s="37">
        <v>134</v>
      </c>
      <c r="U58" s="65">
        <v>21</v>
      </c>
      <c r="V58" s="41" t="s">
        <v>59</v>
      </c>
      <c r="W58" s="33">
        <v>4</v>
      </c>
      <c r="X58" s="40" t="s">
        <v>22</v>
      </c>
      <c r="Y58" s="39">
        <v>192.35126990227536</v>
      </c>
      <c r="Z58">
        <f>IF(V58="OLY +",1,IF(V58="INTA +",2,IF(V58="INTB +",3,4)))</f>
        <v>4</v>
      </c>
      <c r="AA58" t="str">
        <f t="shared" si="0"/>
        <v>SEN</v>
      </c>
      <c r="AB58" t="str">
        <f t="shared" si="1"/>
        <v>GARGAGLIMARINE1993</v>
      </c>
    </row>
    <row r="59" spans="1:28" ht="21" x14ac:dyDescent="0.2">
      <c r="A59" s="12" t="s">
        <v>69</v>
      </c>
      <c r="B59" s="18" t="s">
        <v>298</v>
      </c>
      <c r="C59" s="19" t="s">
        <v>476</v>
      </c>
      <c r="D59" s="61">
        <v>6</v>
      </c>
      <c r="E59" s="35">
        <v>326995</v>
      </c>
      <c r="F59" s="20" t="s">
        <v>489</v>
      </c>
      <c r="G59" s="20" t="s">
        <v>136</v>
      </c>
      <c r="H59" s="51">
        <v>1999</v>
      </c>
      <c r="I59" s="30">
        <v>52.93</v>
      </c>
      <c r="J59" s="19" t="s">
        <v>481</v>
      </c>
      <c r="K59" s="34" t="s">
        <v>69</v>
      </c>
      <c r="L59" s="31">
        <v>40</v>
      </c>
      <c r="M59" s="31">
        <v>43</v>
      </c>
      <c r="N59" s="31">
        <v>-44</v>
      </c>
      <c r="O59" s="36">
        <v>43</v>
      </c>
      <c r="P59" s="31">
        <v>48</v>
      </c>
      <c r="Q59" s="31">
        <v>52</v>
      </c>
      <c r="R59" s="31">
        <v>-55</v>
      </c>
      <c r="S59" s="36">
        <v>52</v>
      </c>
      <c r="T59" s="37">
        <v>95</v>
      </c>
      <c r="U59" s="65">
        <v>-10.86</v>
      </c>
      <c r="V59" s="41" t="s">
        <v>59</v>
      </c>
      <c r="W59" s="33">
        <v>0</v>
      </c>
      <c r="X59" s="40" t="s">
        <v>82</v>
      </c>
      <c r="Y59" s="39">
        <v>143.45397947938741</v>
      </c>
      <c r="Z59">
        <f>IF(V59="OLY +",1,IF(V59="INTA +",2,IF(V59="INTB +",3,4)))</f>
        <v>4</v>
      </c>
      <c r="AA59" t="str">
        <f t="shared" si="0"/>
        <v>U17</v>
      </c>
      <c r="AB59" t="str">
        <f t="shared" si="1"/>
        <v>BONNIEREPRISCILLIA1999</v>
      </c>
    </row>
    <row r="60" spans="1:28" ht="21" x14ac:dyDescent="0.2">
      <c r="A60" s="12" t="s">
        <v>69</v>
      </c>
      <c r="B60" s="18" t="s">
        <v>536</v>
      </c>
      <c r="C60" s="19" t="s">
        <v>545</v>
      </c>
      <c r="D60" s="61">
        <v>10</v>
      </c>
      <c r="E60" s="35">
        <v>330764</v>
      </c>
      <c r="F60" s="20" t="s">
        <v>584</v>
      </c>
      <c r="G60" s="20" t="s">
        <v>585</v>
      </c>
      <c r="H60" s="51">
        <v>1989</v>
      </c>
      <c r="I60" s="30">
        <v>49.2</v>
      </c>
      <c r="J60" s="19" t="s">
        <v>555</v>
      </c>
      <c r="K60" s="34" t="s">
        <v>69</v>
      </c>
      <c r="L60" s="31">
        <v>48</v>
      </c>
      <c r="M60" s="31">
        <v>51</v>
      </c>
      <c r="N60" s="31">
        <v>-53</v>
      </c>
      <c r="O60" s="36">
        <v>51</v>
      </c>
      <c r="P60" s="31">
        <v>63</v>
      </c>
      <c r="Q60" s="31">
        <v>66</v>
      </c>
      <c r="R60" s="31">
        <v>69</v>
      </c>
      <c r="S60" s="36">
        <v>69</v>
      </c>
      <c r="T60" s="37">
        <v>120</v>
      </c>
      <c r="U60" s="65">
        <v>21.599999999999994</v>
      </c>
      <c r="V60" s="41" t="s">
        <v>59</v>
      </c>
      <c r="W60" s="33">
        <v>0</v>
      </c>
      <c r="X60" s="40" t="s">
        <v>21</v>
      </c>
      <c r="Y60" s="39">
        <v>192.5355638451247</v>
      </c>
      <c r="Z60">
        <f>IF(V60="OLY +",1,IF(V60="INTA +",2,IF(V60="INTB +",3,4)))</f>
        <v>4</v>
      </c>
      <c r="AA60" t="str">
        <f t="shared" si="0"/>
        <v>SEN</v>
      </c>
      <c r="AB60" t="str">
        <f t="shared" si="1"/>
        <v>PERROUAULT MARION1989</v>
      </c>
    </row>
    <row r="61" spans="1:28" ht="21" x14ac:dyDescent="0.2">
      <c r="A61" s="12" t="s">
        <v>69</v>
      </c>
      <c r="B61" s="18" t="s">
        <v>108</v>
      </c>
      <c r="C61" s="19" t="s">
        <v>264</v>
      </c>
      <c r="D61" s="61">
        <v>4</v>
      </c>
      <c r="E61" s="35">
        <v>334936</v>
      </c>
      <c r="F61" s="20" t="s">
        <v>268</v>
      </c>
      <c r="G61" s="20" t="s">
        <v>269</v>
      </c>
      <c r="H61" s="51">
        <v>1999</v>
      </c>
      <c r="I61" s="30">
        <v>59.65</v>
      </c>
      <c r="J61" s="19" t="s">
        <v>270</v>
      </c>
      <c r="K61" s="34" t="s">
        <v>69</v>
      </c>
      <c r="L61" s="31">
        <v>-54</v>
      </c>
      <c r="M61" s="31">
        <v>-54</v>
      </c>
      <c r="N61" s="31">
        <v>54</v>
      </c>
      <c r="O61" s="36">
        <v>54</v>
      </c>
      <c r="P61" s="31">
        <v>63</v>
      </c>
      <c r="Q61" s="31">
        <v>67</v>
      </c>
      <c r="R61" s="31">
        <v>-70</v>
      </c>
      <c r="S61" s="36">
        <v>67</v>
      </c>
      <c r="T61" s="37">
        <v>121</v>
      </c>
      <c r="U61" s="65">
        <v>1.7000000000000028</v>
      </c>
      <c r="V61" s="41" t="s">
        <v>59</v>
      </c>
      <c r="W61" s="33">
        <v>11</v>
      </c>
      <c r="X61" s="40" t="s">
        <v>84</v>
      </c>
      <c r="Y61" s="39">
        <v>166.95038523800469</v>
      </c>
      <c r="Z61">
        <f>IF(V61="OLY +",1,IF(V61="INTA +",2,IF(V61="INTB +",3,4)))</f>
        <v>4</v>
      </c>
      <c r="AA61" t="str">
        <f t="shared" si="0"/>
        <v>U17</v>
      </c>
      <c r="AB61" t="str">
        <f t="shared" si="1"/>
        <v>COMTEPAULINE1999</v>
      </c>
    </row>
    <row r="62" spans="1:28" ht="21" x14ac:dyDescent="0.2">
      <c r="A62" s="12" t="s">
        <v>69</v>
      </c>
      <c r="B62" s="18" t="s">
        <v>71</v>
      </c>
      <c r="C62" s="19" t="s">
        <v>801</v>
      </c>
      <c r="D62" s="61">
        <v>5</v>
      </c>
      <c r="E62" s="35">
        <v>339283</v>
      </c>
      <c r="F62" s="20" t="s">
        <v>811</v>
      </c>
      <c r="G62" s="20" t="s">
        <v>812</v>
      </c>
      <c r="H62" s="51">
        <v>1999</v>
      </c>
      <c r="I62" s="30">
        <v>57.15</v>
      </c>
      <c r="J62" s="19" t="s">
        <v>813</v>
      </c>
      <c r="K62" s="34" t="s">
        <v>69</v>
      </c>
      <c r="L62" s="31">
        <v>45</v>
      </c>
      <c r="M62" s="31">
        <v>-48</v>
      </c>
      <c r="N62" s="31">
        <v>-48</v>
      </c>
      <c r="O62" s="36">
        <v>45</v>
      </c>
      <c r="P62" s="31">
        <v>55</v>
      </c>
      <c r="Q62" s="31">
        <v>-58</v>
      </c>
      <c r="R62" s="31">
        <v>-58</v>
      </c>
      <c r="S62" s="36">
        <v>55</v>
      </c>
      <c r="T62" s="37">
        <v>100</v>
      </c>
      <c r="U62" s="65">
        <v>-14.299999999999997</v>
      </c>
      <c r="V62" s="41" t="s">
        <v>59</v>
      </c>
      <c r="W62" s="33">
        <v>0</v>
      </c>
      <c r="X62" s="40" t="s">
        <v>83</v>
      </c>
      <c r="Y62" s="39">
        <v>142.32573492388511</v>
      </c>
      <c r="Z62">
        <f>IF(V62="OLY +",1,IF(V62="INTA +",2,IF(V62="INTB +",3,4)))</f>
        <v>4</v>
      </c>
      <c r="AA62" t="str">
        <f t="shared" si="0"/>
        <v>U17</v>
      </c>
      <c r="AB62" t="str">
        <f t="shared" si="1"/>
        <v>DULIOAMBRE1999</v>
      </c>
    </row>
    <row r="63" spans="1:28" ht="21" x14ac:dyDescent="0.2">
      <c r="A63" s="12" t="s">
        <v>69</v>
      </c>
      <c r="B63" s="18" t="s">
        <v>721</v>
      </c>
      <c r="C63" s="23" t="s">
        <v>775</v>
      </c>
      <c r="D63" s="61">
        <v>3</v>
      </c>
      <c r="E63" s="35">
        <v>357364</v>
      </c>
      <c r="F63" s="20" t="s">
        <v>776</v>
      </c>
      <c r="G63" s="20" t="s">
        <v>777</v>
      </c>
      <c r="H63" s="51">
        <v>1995</v>
      </c>
      <c r="I63" s="30">
        <v>52.7</v>
      </c>
      <c r="J63" s="19" t="s">
        <v>778</v>
      </c>
      <c r="K63" s="34" t="s">
        <v>69</v>
      </c>
      <c r="L63" s="31">
        <v>53</v>
      </c>
      <c r="M63" s="31">
        <v>56</v>
      </c>
      <c r="N63" s="31">
        <v>-59</v>
      </c>
      <c r="O63" s="36">
        <v>56</v>
      </c>
      <c r="P63" s="31">
        <v>62</v>
      </c>
      <c r="Q63" s="31">
        <v>65</v>
      </c>
      <c r="R63" s="31">
        <v>68</v>
      </c>
      <c r="S63" s="36">
        <v>68</v>
      </c>
      <c r="T63" s="37">
        <v>124</v>
      </c>
      <c r="U63" s="65">
        <v>18.599999999999994</v>
      </c>
      <c r="V63" s="41" t="s">
        <v>60</v>
      </c>
      <c r="W63" s="33">
        <v>4</v>
      </c>
      <c r="X63" s="40" t="s">
        <v>14</v>
      </c>
      <c r="Y63" s="39">
        <v>187.90128318692223</v>
      </c>
      <c r="Z63">
        <f>IF(V63="OLY +",1,IF(V63="INTA +",2,IF(V63="INTB +",3,4)))</f>
        <v>3</v>
      </c>
      <c r="AA63" t="str">
        <f t="shared" ref="AA63:AA77" si="2">IF(H63&gt;1999,"U15",IF(H63&gt;1997,"U17",IF(H63&gt;1994,"U20","SEN")))</f>
        <v>U20</v>
      </c>
      <c r="AB63" t="str">
        <f t="shared" ref="AB63:AB77" si="3">UPPER(F63&amp;G63&amp;H63)</f>
        <v>DAUMASSOLÈNE1995</v>
      </c>
    </row>
    <row r="64" spans="1:28" ht="21" x14ac:dyDescent="0.2">
      <c r="A64" s="12" t="s">
        <v>69</v>
      </c>
      <c r="B64" s="18" t="s">
        <v>298</v>
      </c>
      <c r="C64" s="19" t="s">
        <v>299</v>
      </c>
      <c r="D64" s="61">
        <v>3</v>
      </c>
      <c r="E64" s="35">
        <v>357786</v>
      </c>
      <c r="F64" s="20" t="s">
        <v>300</v>
      </c>
      <c r="G64" s="20" t="s">
        <v>301</v>
      </c>
      <c r="H64" s="51">
        <v>2000</v>
      </c>
      <c r="I64" s="30">
        <v>43.8</v>
      </c>
      <c r="J64" s="19" t="s">
        <v>302</v>
      </c>
      <c r="K64" s="34" t="s">
        <v>69</v>
      </c>
      <c r="L64" s="31">
        <v>30</v>
      </c>
      <c r="M64" s="31">
        <v>-34</v>
      </c>
      <c r="N64" s="31">
        <v>34</v>
      </c>
      <c r="O64" s="36">
        <v>34</v>
      </c>
      <c r="P64" s="31">
        <v>40</v>
      </c>
      <c r="Q64" s="31">
        <v>45</v>
      </c>
      <c r="R64" s="31">
        <v>-50</v>
      </c>
      <c r="S64" s="36">
        <v>45</v>
      </c>
      <c r="T64" s="37">
        <v>79</v>
      </c>
      <c r="U64" s="65">
        <v>-8.5999999999999943</v>
      </c>
      <c r="V64" s="41" t="s">
        <v>59</v>
      </c>
      <c r="W64" s="33">
        <v>9</v>
      </c>
      <c r="X64" s="40" t="s">
        <v>73</v>
      </c>
      <c r="Y64" s="39">
        <v>140.79532809649223</v>
      </c>
      <c r="Z64">
        <f>IF(V64="OLY +",1,IF(V64="INTA +",2,IF(V64="INTB +",3,4)))</f>
        <v>4</v>
      </c>
      <c r="AA64" t="str">
        <f t="shared" si="2"/>
        <v>U15</v>
      </c>
      <c r="AB64" t="str">
        <f t="shared" si="3"/>
        <v>MACEDORIANE2000</v>
      </c>
    </row>
    <row r="65" spans="1:28" ht="21" x14ac:dyDescent="0.2">
      <c r="A65" s="12" t="s">
        <v>69</v>
      </c>
      <c r="B65" s="18" t="s">
        <v>298</v>
      </c>
      <c r="C65" s="19" t="s">
        <v>404</v>
      </c>
      <c r="D65" s="61">
        <v>1</v>
      </c>
      <c r="E65" s="35">
        <v>359845</v>
      </c>
      <c r="F65" s="20" t="s">
        <v>407</v>
      </c>
      <c r="G65" s="20" t="s">
        <v>154</v>
      </c>
      <c r="H65" s="51">
        <v>2000</v>
      </c>
      <c r="I65" s="30">
        <v>57.27</v>
      </c>
      <c r="J65" s="19" t="s">
        <v>406</v>
      </c>
      <c r="K65" s="34" t="s">
        <v>69</v>
      </c>
      <c r="L65" s="31">
        <v>35</v>
      </c>
      <c r="M65" s="31">
        <v>38</v>
      </c>
      <c r="N65" s="31">
        <v>-40</v>
      </c>
      <c r="O65" s="36">
        <v>38</v>
      </c>
      <c r="P65" s="31">
        <v>48</v>
      </c>
      <c r="Q65" s="31">
        <v>-52</v>
      </c>
      <c r="R65" s="31">
        <v>52</v>
      </c>
      <c r="S65" s="36">
        <v>52</v>
      </c>
      <c r="T65" s="37">
        <v>90</v>
      </c>
      <c r="U65" s="65">
        <v>-24.540000000000006</v>
      </c>
      <c r="V65" s="41" t="s">
        <v>59</v>
      </c>
      <c r="W65" s="33">
        <v>0</v>
      </c>
      <c r="X65" s="40" t="s">
        <v>76</v>
      </c>
      <c r="Y65" s="39">
        <v>127.89425167905696</v>
      </c>
      <c r="Z65">
        <f>IF(V65="OLY +",1,IF(V65="INTA +",2,IF(V65="INTB +",3,4)))</f>
        <v>4</v>
      </c>
      <c r="AA65" t="str">
        <f t="shared" si="2"/>
        <v>U15</v>
      </c>
      <c r="AB65" t="str">
        <f t="shared" si="3"/>
        <v>PARANTHOENKIMBERLEY2000</v>
      </c>
    </row>
    <row r="66" spans="1:28" ht="21" x14ac:dyDescent="0.2">
      <c r="A66" s="12" t="s">
        <v>69</v>
      </c>
      <c r="B66" s="18" t="s">
        <v>71</v>
      </c>
      <c r="C66" s="19" t="s">
        <v>801</v>
      </c>
      <c r="D66" s="61">
        <v>4</v>
      </c>
      <c r="E66" s="35">
        <v>363002</v>
      </c>
      <c r="F66" s="20" t="s">
        <v>132</v>
      </c>
      <c r="G66" s="20" t="s">
        <v>816</v>
      </c>
      <c r="H66" s="51">
        <v>1998</v>
      </c>
      <c r="I66" s="30">
        <v>47.8</v>
      </c>
      <c r="J66" s="19" t="s">
        <v>803</v>
      </c>
      <c r="K66" s="34" t="s">
        <v>69</v>
      </c>
      <c r="L66" s="31">
        <v>39</v>
      </c>
      <c r="M66" s="31">
        <v>42</v>
      </c>
      <c r="N66" s="31">
        <v>44</v>
      </c>
      <c r="O66" s="36">
        <v>44</v>
      </c>
      <c r="P66" s="31">
        <v>50</v>
      </c>
      <c r="Q66" s="31">
        <v>53</v>
      </c>
      <c r="R66" s="31">
        <v>56</v>
      </c>
      <c r="S66" s="36">
        <v>56</v>
      </c>
      <c r="T66" s="37">
        <v>100</v>
      </c>
      <c r="U66" s="65">
        <v>4.4000000000000057</v>
      </c>
      <c r="V66" s="41" t="s">
        <v>60</v>
      </c>
      <c r="W66" s="33">
        <v>5</v>
      </c>
      <c r="X66" s="40" t="s">
        <v>81</v>
      </c>
      <c r="Y66" s="39">
        <v>164.52553743759114</v>
      </c>
      <c r="Z66">
        <f>IF(V66="OLY +",1,IF(V66="INTA +",2,IF(V66="INTB +",3,4)))</f>
        <v>3</v>
      </c>
      <c r="AA66" t="str">
        <f t="shared" si="2"/>
        <v>U17</v>
      </c>
      <c r="AB66" t="str">
        <f t="shared" si="3"/>
        <v>MAILLOTASIA1998</v>
      </c>
    </row>
    <row r="67" spans="1:28" ht="21" x14ac:dyDescent="0.2">
      <c r="A67" s="12" t="s">
        <v>69</v>
      </c>
      <c r="B67" s="18" t="s">
        <v>108</v>
      </c>
      <c r="C67" s="19" t="s">
        <v>264</v>
      </c>
      <c r="D67" s="61">
        <v>1</v>
      </c>
      <c r="E67" s="35">
        <v>363267</v>
      </c>
      <c r="F67" s="20" t="s">
        <v>265</v>
      </c>
      <c r="G67" s="20" t="s">
        <v>266</v>
      </c>
      <c r="H67" s="51">
        <v>2000</v>
      </c>
      <c r="I67" s="30">
        <v>60.3</v>
      </c>
      <c r="J67" s="19" t="s">
        <v>267</v>
      </c>
      <c r="K67" s="34" t="s">
        <v>69</v>
      </c>
      <c r="L67" s="31">
        <v>49</v>
      </c>
      <c r="M67" s="31">
        <v>52</v>
      </c>
      <c r="N67" s="31">
        <v>55</v>
      </c>
      <c r="O67" s="36">
        <v>55</v>
      </c>
      <c r="P67" s="31">
        <v>62</v>
      </c>
      <c r="Q67" s="31">
        <v>-65</v>
      </c>
      <c r="R67" s="31">
        <v>65</v>
      </c>
      <c r="S67" s="36">
        <v>65</v>
      </c>
      <c r="T67" s="37">
        <v>120</v>
      </c>
      <c r="U67" s="65">
        <v>-0.59999999999999432</v>
      </c>
      <c r="V67" s="41" t="s">
        <v>60</v>
      </c>
      <c r="W67" s="33">
        <v>10</v>
      </c>
      <c r="X67" s="40" t="s">
        <v>77</v>
      </c>
      <c r="Y67" s="39">
        <v>164.31192597057972</v>
      </c>
      <c r="Z67">
        <f>IF(V67="OLY +",1,IF(V67="INTA +",2,IF(V67="INTB +",3,4)))</f>
        <v>3</v>
      </c>
      <c r="AA67" t="str">
        <f t="shared" si="2"/>
        <v>U15</v>
      </c>
      <c r="AB67" t="str">
        <f t="shared" si="3"/>
        <v>GRAILLOTVICKY2000</v>
      </c>
    </row>
    <row r="68" spans="1:28" ht="21" x14ac:dyDescent="0.2">
      <c r="A68" s="12" t="s">
        <v>69</v>
      </c>
      <c r="B68" s="18" t="s">
        <v>298</v>
      </c>
      <c r="C68" s="19" t="s">
        <v>404</v>
      </c>
      <c r="D68" s="61">
        <v>4</v>
      </c>
      <c r="E68" s="35">
        <v>367010</v>
      </c>
      <c r="F68" s="20" t="s">
        <v>408</v>
      </c>
      <c r="G68" s="20" t="s">
        <v>409</v>
      </c>
      <c r="H68" s="57">
        <v>2000</v>
      </c>
      <c r="I68" s="30">
        <v>43.9</v>
      </c>
      <c r="J68" s="19" t="s">
        <v>406</v>
      </c>
      <c r="K68" s="34" t="s">
        <v>69</v>
      </c>
      <c r="L68" s="31">
        <v>28</v>
      </c>
      <c r="M68" s="31">
        <v>30</v>
      </c>
      <c r="N68" s="31">
        <v>-32</v>
      </c>
      <c r="O68" s="36">
        <v>30</v>
      </c>
      <c r="P68" s="31">
        <v>40</v>
      </c>
      <c r="Q68" s="31">
        <v>43</v>
      </c>
      <c r="R68" s="31">
        <v>45</v>
      </c>
      <c r="S68" s="36">
        <v>45</v>
      </c>
      <c r="T68" s="37">
        <v>75</v>
      </c>
      <c r="U68" s="65">
        <v>-12.799999999999997</v>
      </c>
      <c r="V68" s="41" t="s">
        <v>59</v>
      </c>
      <c r="W68" s="33">
        <v>5</v>
      </c>
      <c r="X68" s="40" t="s">
        <v>73</v>
      </c>
      <c r="Y68" s="39">
        <v>133.37773576466134</v>
      </c>
      <c r="Z68">
        <f>IF(V68="OLY +",1,IF(V68="INTA +",2,IF(V68="INTB +",3,4)))</f>
        <v>4</v>
      </c>
      <c r="AA68" t="str">
        <f t="shared" si="2"/>
        <v>U15</v>
      </c>
      <c r="AB68" t="str">
        <f t="shared" si="3"/>
        <v>PIETERSJUSTINE2000</v>
      </c>
    </row>
    <row r="69" spans="1:28" ht="21" x14ac:dyDescent="0.2">
      <c r="A69" s="12" t="s">
        <v>69</v>
      </c>
      <c r="B69" s="18" t="s">
        <v>71</v>
      </c>
      <c r="C69" s="19" t="s">
        <v>72</v>
      </c>
      <c r="D69" s="61">
        <v>11</v>
      </c>
      <c r="E69" s="35">
        <v>372599</v>
      </c>
      <c r="F69" s="20" t="s">
        <v>967</v>
      </c>
      <c r="G69" s="20" t="s">
        <v>524</v>
      </c>
      <c r="H69" s="51">
        <v>1991</v>
      </c>
      <c r="I69" s="30">
        <v>57.11</v>
      </c>
      <c r="J69" s="19" t="s">
        <v>921</v>
      </c>
      <c r="K69" s="34" t="s">
        <v>69</v>
      </c>
      <c r="L69" s="31">
        <v>54</v>
      </c>
      <c r="M69" s="31">
        <v>-58</v>
      </c>
      <c r="N69" s="31">
        <v>58</v>
      </c>
      <c r="O69" s="36">
        <v>58</v>
      </c>
      <c r="P69" s="31">
        <v>72</v>
      </c>
      <c r="Q69" s="31">
        <v>76</v>
      </c>
      <c r="R69" s="31">
        <v>-78</v>
      </c>
      <c r="S69" s="36">
        <v>76</v>
      </c>
      <c r="T69" s="37">
        <v>134</v>
      </c>
      <c r="U69" s="65">
        <v>19.78</v>
      </c>
      <c r="V69" s="32" t="s">
        <v>59</v>
      </c>
      <c r="W69" s="33">
        <v>4</v>
      </c>
      <c r="X69" s="40" t="s">
        <v>22</v>
      </c>
      <c r="Y69" s="39">
        <v>190.815589325708</v>
      </c>
      <c r="Z69">
        <f>IF(V69="OLY +",1,IF(V69="INTA +",2,IF(V69="INTB +",3,4)))</f>
        <v>4</v>
      </c>
      <c r="AA69" t="str">
        <f t="shared" si="2"/>
        <v>SEN</v>
      </c>
      <c r="AB69" t="str">
        <f t="shared" si="3"/>
        <v>SAINT AIMESARAH1991</v>
      </c>
    </row>
    <row r="70" spans="1:28" ht="21" x14ac:dyDescent="0.2">
      <c r="A70" s="12" t="s">
        <v>69</v>
      </c>
      <c r="B70" s="18" t="s">
        <v>71</v>
      </c>
      <c r="C70" s="19" t="s">
        <v>872</v>
      </c>
      <c r="D70" s="61">
        <v>6</v>
      </c>
      <c r="E70" s="35">
        <v>375907</v>
      </c>
      <c r="F70" s="20" t="s">
        <v>879</v>
      </c>
      <c r="G70" s="20" t="s">
        <v>263</v>
      </c>
      <c r="H70" s="51">
        <v>1985</v>
      </c>
      <c r="I70" s="30">
        <v>58</v>
      </c>
      <c r="J70" s="19" t="s">
        <v>880</v>
      </c>
      <c r="K70" s="34" t="s">
        <v>69</v>
      </c>
      <c r="L70" s="31">
        <v>55</v>
      </c>
      <c r="M70" s="31">
        <v>59</v>
      </c>
      <c r="N70" s="31">
        <v>63</v>
      </c>
      <c r="O70" s="36">
        <v>63</v>
      </c>
      <c r="P70" s="31">
        <v>73</v>
      </c>
      <c r="Q70" s="31">
        <v>78</v>
      </c>
      <c r="R70" s="31">
        <v>83</v>
      </c>
      <c r="S70" s="36">
        <v>83</v>
      </c>
      <c r="T70" s="37">
        <v>146</v>
      </c>
      <c r="U70" s="65">
        <v>30</v>
      </c>
      <c r="V70" s="41" t="s">
        <v>59</v>
      </c>
      <c r="W70" s="33">
        <v>16</v>
      </c>
      <c r="X70" s="40" t="s">
        <v>22</v>
      </c>
      <c r="Y70" s="39">
        <v>205.5500001491404</v>
      </c>
      <c r="Z70">
        <f>IF(V70="OLY +",1,IF(V70="INTA +",2,IF(V70="INTB +",3,4)))</f>
        <v>4</v>
      </c>
      <c r="AA70" t="str">
        <f t="shared" si="2"/>
        <v>SEN</v>
      </c>
      <c r="AB70" t="str">
        <f t="shared" si="3"/>
        <v>SUNE CAROLINE1985</v>
      </c>
    </row>
    <row r="71" spans="1:28" ht="21" x14ac:dyDescent="0.2">
      <c r="A71" s="12" t="s">
        <v>69</v>
      </c>
      <c r="B71" s="18" t="s">
        <v>71</v>
      </c>
      <c r="C71" s="19" t="s">
        <v>801</v>
      </c>
      <c r="D71" s="61">
        <v>8</v>
      </c>
      <c r="E71" s="35">
        <v>377635</v>
      </c>
      <c r="F71" s="20" t="s">
        <v>848</v>
      </c>
      <c r="G71" s="20" t="s">
        <v>849</v>
      </c>
      <c r="H71" s="51">
        <v>1990</v>
      </c>
      <c r="I71" s="30">
        <v>58</v>
      </c>
      <c r="J71" s="19" t="s">
        <v>837</v>
      </c>
      <c r="K71" s="34" t="s">
        <v>69</v>
      </c>
      <c r="L71" s="31">
        <v>55</v>
      </c>
      <c r="M71" s="31">
        <v>58</v>
      </c>
      <c r="N71" s="31">
        <v>60</v>
      </c>
      <c r="O71" s="36">
        <v>60</v>
      </c>
      <c r="P71" s="31">
        <v>70</v>
      </c>
      <c r="Q71" s="31">
        <v>75</v>
      </c>
      <c r="R71" s="31">
        <v>-77</v>
      </c>
      <c r="S71" s="36">
        <v>75</v>
      </c>
      <c r="T71" s="37">
        <v>135</v>
      </c>
      <c r="U71" s="65">
        <v>19</v>
      </c>
      <c r="V71" s="41" t="s">
        <v>59</v>
      </c>
      <c r="W71" s="33">
        <v>5</v>
      </c>
      <c r="X71" s="40" t="s">
        <v>22</v>
      </c>
      <c r="Y71" s="39">
        <v>190.06335630228736</v>
      </c>
      <c r="Z71">
        <f>IF(V71="OLY +",1,IF(V71="INTA +",2,IF(V71="INTB +",3,4)))</f>
        <v>4</v>
      </c>
      <c r="AA71" t="str">
        <f t="shared" si="2"/>
        <v>SEN</v>
      </c>
      <c r="AB71" t="str">
        <f t="shared" si="3"/>
        <v>GABBIANICELIA1990</v>
      </c>
    </row>
    <row r="72" spans="1:28" ht="21" x14ac:dyDescent="0.2">
      <c r="A72" s="12" t="s">
        <v>69</v>
      </c>
      <c r="B72" s="18" t="s">
        <v>721</v>
      </c>
      <c r="C72" s="19" t="s">
        <v>722</v>
      </c>
      <c r="D72" s="61">
        <v>2</v>
      </c>
      <c r="E72" s="35">
        <v>379232</v>
      </c>
      <c r="F72" s="20" t="s">
        <v>723</v>
      </c>
      <c r="G72" s="20" t="s">
        <v>724</v>
      </c>
      <c r="H72" s="51">
        <v>2000</v>
      </c>
      <c r="I72" s="30">
        <v>43.96</v>
      </c>
      <c r="J72" s="19" t="s">
        <v>725</v>
      </c>
      <c r="K72" s="34" t="s">
        <v>69</v>
      </c>
      <c r="L72" s="31">
        <v>30</v>
      </c>
      <c r="M72" s="31">
        <v>33</v>
      </c>
      <c r="N72" s="31">
        <v>35</v>
      </c>
      <c r="O72" s="36">
        <v>35</v>
      </c>
      <c r="P72" s="31">
        <v>40</v>
      </c>
      <c r="Q72" s="31">
        <v>43</v>
      </c>
      <c r="R72" s="31">
        <v>45</v>
      </c>
      <c r="S72" s="36">
        <v>45</v>
      </c>
      <c r="T72" s="37">
        <v>80</v>
      </c>
      <c r="U72" s="65">
        <v>-7.9200000000000017</v>
      </c>
      <c r="V72" s="41" t="s">
        <v>60</v>
      </c>
      <c r="W72" s="33">
        <v>0</v>
      </c>
      <c r="X72" s="40" t="s">
        <v>73</v>
      </c>
      <c r="Y72" s="39">
        <v>142.08573810880586</v>
      </c>
      <c r="Z72">
        <f>IF(V72="OLY +",1,IF(V72="INTA +",2,IF(V72="INTB +",3,4)))</f>
        <v>3</v>
      </c>
      <c r="AA72" t="str">
        <f t="shared" si="2"/>
        <v>U15</v>
      </c>
      <c r="AB72" t="str">
        <f t="shared" si="3"/>
        <v>HEUZEEMMA2000</v>
      </c>
    </row>
    <row r="73" spans="1:28" ht="21" x14ac:dyDescent="0.2">
      <c r="A73" s="12" t="s">
        <v>69</v>
      </c>
      <c r="B73" s="18" t="s">
        <v>649</v>
      </c>
      <c r="C73" s="19" t="s">
        <v>669</v>
      </c>
      <c r="D73" s="61">
        <v>3</v>
      </c>
      <c r="E73" s="35">
        <v>382038</v>
      </c>
      <c r="F73" s="20" t="s">
        <v>678</v>
      </c>
      <c r="G73" s="20" t="s">
        <v>417</v>
      </c>
      <c r="H73" s="51">
        <v>1999</v>
      </c>
      <c r="I73" s="30">
        <v>62.2</v>
      </c>
      <c r="J73" s="19" t="s">
        <v>672</v>
      </c>
      <c r="K73" s="34" t="s">
        <v>69</v>
      </c>
      <c r="L73" s="31">
        <v>50</v>
      </c>
      <c r="M73" s="31">
        <v>55</v>
      </c>
      <c r="N73" s="31">
        <v>57</v>
      </c>
      <c r="O73" s="36">
        <v>57</v>
      </c>
      <c r="P73" s="31">
        <v>63</v>
      </c>
      <c r="Q73" s="31">
        <v>67</v>
      </c>
      <c r="R73" s="31">
        <v>-70</v>
      </c>
      <c r="S73" s="36">
        <v>67</v>
      </c>
      <c r="T73" s="37">
        <v>124</v>
      </c>
      <c r="U73" s="65">
        <v>-0.40000000000000568</v>
      </c>
      <c r="V73" s="41" t="s">
        <v>59</v>
      </c>
      <c r="W73" s="33">
        <v>14</v>
      </c>
      <c r="X73" s="40" t="s">
        <v>84</v>
      </c>
      <c r="Y73" s="39">
        <v>166.20442764082253</v>
      </c>
      <c r="Z73">
        <f>IF(V73="OLY +",1,IF(V73="INTA +",2,IF(V73="INTB +",3,4)))</f>
        <v>4</v>
      </c>
      <c r="AA73" t="str">
        <f t="shared" si="2"/>
        <v>U17</v>
      </c>
      <c r="AB73" t="str">
        <f t="shared" si="3"/>
        <v>NUIRONAOMI1999</v>
      </c>
    </row>
    <row r="74" spans="1:28" ht="21" x14ac:dyDescent="0.2">
      <c r="A74" s="12" t="s">
        <v>69</v>
      </c>
      <c r="B74" s="18" t="s">
        <v>108</v>
      </c>
      <c r="C74" s="19" t="s">
        <v>146</v>
      </c>
      <c r="D74" s="61">
        <v>1</v>
      </c>
      <c r="E74" s="35">
        <v>382515</v>
      </c>
      <c r="F74" s="21" t="s">
        <v>150</v>
      </c>
      <c r="G74" s="20" t="s">
        <v>151</v>
      </c>
      <c r="H74" s="51">
        <v>1999</v>
      </c>
      <c r="I74" s="30">
        <v>52.8</v>
      </c>
      <c r="J74" s="19" t="s">
        <v>152</v>
      </c>
      <c r="K74" s="34" t="s">
        <v>69</v>
      </c>
      <c r="L74" s="31">
        <v>45</v>
      </c>
      <c r="M74" s="31">
        <v>48</v>
      </c>
      <c r="N74" s="31">
        <v>51</v>
      </c>
      <c r="O74" s="36">
        <v>51</v>
      </c>
      <c r="P74" s="31">
        <v>58</v>
      </c>
      <c r="Q74" s="31">
        <v>64</v>
      </c>
      <c r="R74" s="31">
        <v>68</v>
      </c>
      <c r="S74" s="36">
        <v>68</v>
      </c>
      <c r="T74" s="37">
        <v>119</v>
      </c>
      <c r="U74" s="65">
        <v>13.400000000000006</v>
      </c>
      <c r="V74" s="41" t="s">
        <v>60</v>
      </c>
      <c r="W74" s="33">
        <v>14</v>
      </c>
      <c r="X74" s="40" t="s">
        <v>82</v>
      </c>
      <c r="Y74" s="39">
        <v>180.04992999508838</v>
      </c>
      <c r="Z74">
        <f>IF(V74="OLY +",1,IF(V74="INTA +",2,IF(V74="INTB +",3,4)))</f>
        <v>3</v>
      </c>
      <c r="AA74" t="str">
        <f t="shared" si="2"/>
        <v>U17</v>
      </c>
      <c r="AB74" t="str">
        <f t="shared" si="3"/>
        <v>PRUVOTSAMANTHA1999</v>
      </c>
    </row>
    <row r="75" spans="1:28" ht="21" x14ac:dyDescent="0.2">
      <c r="A75" s="12" t="s">
        <v>69</v>
      </c>
      <c r="B75" s="18" t="s">
        <v>108</v>
      </c>
      <c r="C75" s="19" t="s">
        <v>264</v>
      </c>
      <c r="D75" s="61">
        <v>2</v>
      </c>
      <c r="E75" s="35">
        <v>391211</v>
      </c>
      <c r="F75" s="20" t="s">
        <v>287</v>
      </c>
      <c r="G75" s="20" t="s">
        <v>288</v>
      </c>
      <c r="H75" s="51">
        <v>1991</v>
      </c>
      <c r="I75" s="30">
        <v>68.34</v>
      </c>
      <c r="J75" s="19" t="s">
        <v>267</v>
      </c>
      <c r="K75" s="34" t="s">
        <v>69</v>
      </c>
      <c r="L75" s="31">
        <v>85</v>
      </c>
      <c r="M75" s="31">
        <v>90</v>
      </c>
      <c r="N75" s="31">
        <v>-96</v>
      </c>
      <c r="O75" s="36">
        <v>90</v>
      </c>
      <c r="P75" s="31">
        <v>115</v>
      </c>
      <c r="Q75" s="31">
        <v>120</v>
      </c>
      <c r="R75" s="31">
        <v>125</v>
      </c>
      <c r="S75" s="36">
        <v>125</v>
      </c>
      <c r="T75" s="37">
        <v>215</v>
      </c>
      <c r="U75" s="65">
        <v>78.319999999999993</v>
      </c>
      <c r="V75" s="41" t="s">
        <v>62</v>
      </c>
      <c r="W75" s="33">
        <v>10</v>
      </c>
      <c r="X75" s="40" t="s">
        <v>24</v>
      </c>
      <c r="Y75" s="39">
        <v>271.35168994522496</v>
      </c>
      <c r="Z75">
        <f>IF(V75="OLY +",1,IF(V75="INTA +",2,IF(V75="INTB +",3,4)))</f>
        <v>1</v>
      </c>
      <c r="AA75" t="str">
        <f t="shared" si="2"/>
        <v>SEN</v>
      </c>
      <c r="AB75" t="str">
        <f t="shared" si="3"/>
        <v>FEGUEMARIE JOSEPHE1991</v>
      </c>
    </row>
    <row r="76" spans="1:28" ht="21" x14ac:dyDescent="0.2">
      <c r="A76" s="12" t="s">
        <v>69</v>
      </c>
      <c r="B76" s="18" t="s">
        <v>71</v>
      </c>
      <c r="C76" s="19" t="s">
        <v>72</v>
      </c>
      <c r="D76" s="61">
        <v>5</v>
      </c>
      <c r="E76" s="35">
        <v>392577</v>
      </c>
      <c r="F76" s="20" t="s">
        <v>932</v>
      </c>
      <c r="G76" s="20" t="s">
        <v>933</v>
      </c>
      <c r="H76" s="51">
        <v>1998</v>
      </c>
      <c r="I76" s="30">
        <v>51.9</v>
      </c>
      <c r="J76" s="19" t="s">
        <v>927</v>
      </c>
      <c r="K76" s="34" t="s">
        <v>69</v>
      </c>
      <c r="L76" s="31">
        <v>-38</v>
      </c>
      <c r="M76" s="31">
        <v>38</v>
      </c>
      <c r="N76" s="31">
        <v>-43</v>
      </c>
      <c r="O76" s="36">
        <v>38</v>
      </c>
      <c r="P76" s="31">
        <v>55</v>
      </c>
      <c r="Q76" s="31">
        <v>58</v>
      </c>
      <c r="R76" s="31">
        <v>60</v>
      </c>
      <c r="S76" s="36">
        <v>60</v>
      </c>
      <c r="T76" s="37">
        <v>98</v>
      </c>
      <c r="U76" s="65">
        <v>-5.7999999999999972</v>
      </c>
      <c r="V76" s="41" t="s">
        <v>59</v>
      </c>
      <c r="W76" s="33">
        <v>3</v>
      </c>
      <c r="X76" s="40" t="s">
        <v>82</v>
      </c>
      <c r="Y76" s="39">
        <v>150.35602653474839</v>
      </c>
      <c r="Z76">
        <f>IF(V76="OLY +",1,IF(V76="INTA +",2,IF(V76="INTB +",3,4)))</f>
        <v>4</v>
      </c>
      <c r="AA76" t="str">
        <f t="shared" si="2"/>
        <v>U17</v>
      </c>
      <c r="AB76" t="str">
        <f t="shared" si="3"/>
        <v>TESTEFLAVIE1998</v>
      </c>
    </row>
    <row r="77" spans="1:28" ht="21" x14ac:dyDescent="0.2">
      <c r="A77" s="12" t="s">
        <v>69</v>
      </c>
      <c r="B77" s="18" t="s">
        <v>108</v>
      </c>
      <c r="C77" s="19" t="s">
        <v>109</v>
      </c>
      <c r="D77" s="61">
        <v>7</v>
      </c>
      <c r="E77" s="35" t="s">
        <v>183</v>
      </c>
      <c r="F77" s="20" t="s">
        <v>184</v>
      </c>
      <c r="G77" s="20" t="s">
        <v>159</v>
      </c>
      <c r="H77" s="51">
        <v>1985</v>
      </c>
      <c r="I77" s="30">
        <v>69</v>
      </c>
      <c r="J77" s="19" t="s">
        <v>112</v>
      </c>
      <c r="K77" s="34" t="s">
        <v>69</v>
      </c>
      <c r="L77" s="31">
        <v>67</v>
      </c>
      <c r="M77" s="31">
        <v>70</v>
      </c>
      <c r="N77" s="31">
        <v>-72</v>
      </c>
      <c r="O77" s="36">
        <v>70</v>
      </c>
      <c r="P77" s="31">
        <v>79</v>
      </c>
      <c r="Q77" s="31">
        <v>83</v>
      </c>
      <c r="R77" s="31">
        <v>-86</v>
      </c>
      <c r="S77" s="36">
        <v>83</v>
      </c>
      <c r="T77" s="37">
        <v>153</v>
      </c>
      <c r="U77" s="65">
        <v>15</v>
      </c>
      <c r="V77" s="41" t="s">
        <v>59</v>
      </c>
      <c r="W77" s="33">
        <v>3</v>
      </c>
      <c r="X77" s="40" t="s">
        <v>24</v>
      </c>
      <c r="Y77" s="39">
        <v>191.99363757099655</v>
      </c>
      <c r="Z77">
        <f>IF(V77="OLY +",1,IF(V77="INTA +",2,IF(V77="INTB +",3,4)))</f>
        <v>4</v>
      </c>
      <c r="AA77" t="str">
        <f t="shared" si="2"/>
        <v>SEN</v>
      </c>
      <c r="AB77" t="str">
        <f t="shared" si="3"/>
        <v>CRISTOFOLI ADELINE1985</v>
      </c>
    </row>
  </sheetData>
  <autoFilter ref="A1:AB77" xr:uid="{9CA5297D-E2B1-4BE1-940D-20A32654DAF9}"/>
  <sortState xmlns:xlrd2="http://schemas.microsoft.com/office/spreadsheetml/2017/richdata2" ref="A2:Z107">
    <sortCondition ref="E2:E107"/>
    <sortCondition ref="Z2:Z107"/>
    <sortCondition descending="1" ref="W2:W107"/>
  </sortState>
  <conditionalFormatting sqref="L18:N21 P18:R21 P11:R13 L11:N13 L5:N6 P5:R6 L1:N1 L60:N69 P60:R69 L27:N34 P27:R34">
    <cfRule type="cellIs" dxfId="248" priority="398" stopIfTrue="1" operator="lessThan">
      <formula>0</formula>
    </cfRule>
  </conditionalFormatting>
  <conditionalFormatting sqref="H24:H25 H11:H21 H4:H6 H1 H59:H70 H27:H34">
    <cfRule type="cellIs" dxfId="247" priority="393" stopIfTrue="1" operator="between">
      <formula>2000</formula>
      <formula>2001</formula>
    </cfRule>
    <cfRule type="cellIs" dxfId="246" priority="394" stopIfTrue="1" operator="between">
      <formula>2002</formula>
      <formula>2020</formula>
    </cfRule>
    <cfRule type="cellIs" dxfId="245" priority="395" stopIfTrue="1" operator="between">
      <formula>1998</formula>
      <formula>1999</formula>
    </cfRule>
    <cfRule type="cellIs" dxfId="244" priority="396" stopIfTrue="1" operator="between">
      <formula>1995</formula>
      <formula>1997</formula>
    </cfRule>
    <cfRule type="cellIs" dxfId="243" priority="397" stopIfTrue="1" operator="lessThan">
      <formula>1995</formula>
    </cfRule>
  </conditionalFormatting>
  <conditionalFormatting sqref="W24:W25 W11:W21 W4:W6 W1 W59:W70 W27:W34">
    <cfRule type="cellIs" dxfId="242" priority="392" operator="lessThan">
      <formula>0</formula>
    </cfRule>
  </conditionalFormatting>
  <conditionalFormatting sqref="P2:R3">
    <cfRule type="cellIs" dxfId="241" priority="386" stopIfTrue="1" operator="lessThan">
      <formula>0</formula>
    </cfRule>
  </conditionalFormatting>
  <conditionalFormatting sqref="E2:E3 E60:E69 E27:E34">
    <cfRule type="cellIs" dxfId="240" priority="391" stopIfTrue="1" operator="notBetween">
      <formula>1</formula>
      <formula>100000</formula>
    </cfRule>
  </conditionalFormatting>
  <conditionalFormatting sqref="A2:A3 A60:A69 A54:A57 A31:A34">
    <cfRule type="containsText" dxfId="239" priority="389" stopIfTrue="1" operator="containsText" text="H">
      <formula>NOT(ISERROR(SEARCH("H",A2)))</formula>
    </cfRule>
    <cfRule type="containsText" dxfId="238" priority="390" stopIfTrue="1" operator="containsText" text="F">
      <formula>NOT(ISERROR(SEARCH("F",A2)))</formula>
    </cfRule>
  </conditionalFormatting>
  <conditionalFormatting sqref="K2:K3 K60:K69 K27:K34">
    <cfRule type="cellIs" dxfId="237" priority="388" stopIfTrue="1" operator="notEqual">
      <formula>"F"</formula>
    </cfRule>
  </conditionalFormatting>
  <conditionalFormatting sqref="L2:N3">
    <cfRule type="cellIs" dxfId="236" priority="387" stopIfTrue="1" operator="lessThan">
      <formula>0</formula>
    </cfRule>
  </conditionalFormatting>
  <conditionalFormatting sqref="H2:H3">
    <cfRule type="cellIs" dxfId="235" priority="381" stopIfTrue="1" operator="between">
      <formula>2000</formula>
      <formula>2001</formula>
    </cfRule>
    <cfRule type="cellIs" dxfId="234" priority="382" stopIfTrue="1" operator="between">
      <formula>2002</formula>
      <formula>2020</formula>
    </cfRule>
    <cfRule type="cellIs" dxfId="233" priority="383" stopIfTrue="1" operator="between">
      <formula>1998</formula>
      <formula>1999</formula>
    </cfRule>
    <cfRule type="cellIs" dxfId="232" priority="384" stopIfTrue="1" operator="between">
      <formula>1995</formula>
      <formula>1997</formula>
    </cfRule>
    <cfRule type="cellIs" dxfId="231" priority="385" stopIfTrue="1" operator="lessThan">
      <formula>1995</formula>
    </cfRule>
  </conditionalFormatting>
  <conditionalFormatting sqref="W2:W3">
    <cfRule type="cellIs" dxfId="230" priority="380" operator="lessThan">
      <formula>0</formula>
    </cfRule>
  </conditionalFormatting>
  <conditionalFormatting sqref="E18:E21 E11:E13 E5:E6">
    <cfRule type="cellIs" dxfId="229" priority="379" stopIfTrue="1" operator="notBetween">
      <formula>1</formula>
      <formula>100000</formula>
    </cfRule>
  </conditionalFormatting>
  <conditionalFormatting sqref="A18:A21 A11:A13 A5:A6">
    <cfRule type="containsText" dxfId="228" priority="377" stopIfTrue="1" operator="containsText" text="H">
      <formula>NOT(ISERROR(SEARCH("H",A5)))</formula>
    </cfRule>
    <cfRule type="containsText" dxfId="227" priority="378" stopIfTrue="1" operator="containsText" text="F">
      <formula>NOT(ISERROR(SEARCH("F",A5)))</formula>
    </cfRule>
  </conditionalFormatting>
  <conditionalFormatting sqref="K18:K21 K5:K6">
    <cfRule type="cellIs" dxfId="226" priority="376" stopIfTrue="1" operator="notEqual">
      <formula>"F"</formula>
    </cfRule>
  </conditionalFormatting>
  <conditionalFormatting sqref="E4">
    <cfRule type="cellIs" dxfId="225" priority="375" stopIfTrue="1" operator="notBetween">
      <formula>1</formula>
      <formula>100000</formula>
    </cfRule>
  </conditionalFormatting>
  <conditionalFormatting sqref="A4">
    <cfRule type="containsText" dxfId="224" priority="373" stopIfTrue="1" operator="containsText" text="H">
      <formula>NOT(ISERROR(SEARCH("H",A4)))</formula>
    </cfRule>
    <cfRule type="containsText" dxfId="223" priority="374" stopIfTrue="1" operator="containsText" text="F">
      <formula>NOT(ISERROR(SEARCH("F",A4)))</formula>
    </cfRule>
  </conditionalFormatting>
  <conditionalFormatting sqref="K4">
    <cfRule type="cellIs" dxfId="222" priority="372" stopIfTrue="1" operator="notEqual">
      <formula>"F"</formula>
    </cfRule>
  </conditionalFormatting>
  <conditionalFormatting sqref="L4:N4">
    <cfRule type="cellIs" dxfId="221" priority="371" stopIfTrue="1" operator="lessThan">
      <formula>0</formula>
    </cfRule>
  </conditionalFormatting>
  <conditionalFormatting sqref="P4:R4">
    <cfRule type="cellIs" dxfId="220" priority="370" stopIfTrue="1" operator="lessThan">
      <formula>0</formula>
    </cfRule>
  </conditionalFormatting>
  <conditionalFormatting sqref="P7:R10">
    <cfRule type="cellIs" dxfId="219" priority="364" stopIfTrue="1" operator="lessThan">
      <formula>0</formula>
    </cfRule>
  </conditionalFormatting>
  <conditionalFormatting sqref="E7:E10">
    <cfRule type="cellIs" dxfId="218" priority="369" stopIfTrue="1" operator="notBetween">
      <formula>1</formula>
      <formula>100000</formula>
    </cfRule>
  </conditionalFormatting>
  <conditionalFormatting sqref="A7:A10">
    <cfRule type="containsText" dxfId="217" priority="367" stopIfTrue="1" operator="containsText" text="H">
      <formula>NOT(ISERROR(SEARCH("H",A7)))</formula>
    </cfRule>
    <cfRule type="containsText" dxfId="216" priority="368" stopIfTrue="1" operator="containsText" text="F">
      <formula>NOT(ISERROR(SEARCH("F",A7)))</formula>
    </cfRule>
  </conditionalFormatting>
  <conditionalFormatting sqref="K7:K10">
    <cfRule type="cellIs" dxfId="215" priority="366" stopIfTrue="1" operator="notEqual">
      <formula>"F"</formula>
    </cfRule>
  </conditionalFormatting>
  <conditionalFormatting sqref="L7:N10">
    <cfRule type="cellIs" dxfId="214" priority="365" stopIfTrue="1" operator="lessThan">
      <formula>0</formula>
    </cfRule>
  </conditionalFormatting>
  <conditionalFormatting sqref="H7:H10">
    <cfRule type="cellIs" dxfId="213" priority="359" stopIfTrue="1" operator="between">
      <formula>2000</formula>
      <formula>2001</formula>
    </cfRule>
    <cfRule type="cellIs" dxfId="212" priority="360" stopIfTrue="1" operator="between">
      <formula>2002</formula>
      <formula>2020</formula>
    </cfRule>
    <cfRule type="cellIs" dxfId="211" priority="361" stopIfTrue="1" operator="between">
      <formula>1998</formula>
      <formula>1999</formula>
    </cfRule>
    <cfRule type="cellIs" dxfId="210" priority="362" stopIfTrue="1" operator="between">
      <formula>1995</formula>
      <formula>1997</formula>
    </cfRule>
    <cfRule type="cellIs" dxfId="209" priority="363" stopIfTrue="1" operator="lessThan">
      <formula>1995</formula>
    </cfRule>
  </conditionalFormatting>
  <conditionalFormatting sqref="W7:W10">
    <cfRule type="cellIs" dxfId="208" priority="358" operator="lessThan">
      <formula>0</formula>
    </cfRule>
  </conditionalFormatting>
  <conditionalFormatting sqref="E14:E17">
    <cfRule type="cellIs" dxfId="207" priority="357" stopIfTrue="1" operator="notBetween">
      <formula>1</formula>
      <formula>100000</formula>
    </cfRule>
  </conditionalFormatting>
  <conditionalFormatting sqref="A14:A17">
    <cfRule type="containsText" dxfId="206" priority="355" stopIfTrue="1" operator="containsText" text="H">
      <formula>NOT(ISERROR(SEARCH("H",A14)))</formula>
    </cfRule>
    <cfRule type="containsText" dxfId="205" priority="356" stopIfTrue="1" operator="containsText" text="F">
      <formula>NOT(ISERROR(SEARCH("F",A14)))</formula>
    </cfRule>
  </conditionalFormatting>
  <conditionalFormatting sqref="K14:K17">
    <cfRule type="cellIs" dxfId="204" priority="354" stopIfTrue="1" operator="notEqual">
      <formula>"F"</formula>
    </cfRule>
  </conditionalFormatting>
  <conditionalFormatting sqref="L14:N17">
    <cfRule type="cellIs" dxfId="203" priority="353" stopIfTrue="1" operator="lessThan">
      <formula>0</formula>
    </cfRule>
  </conditionalFormatting>
  <conditionalFormatting sqref="P14:R17">
    <cfRule type="cellIs" dxfId="202" priority="352" stopIfTrue="1" operator="lessThan">
      <formula>0</formula>
    </cfRule>
  </conditionalFormatting>
  <conditionalFormatting sqref="K11:K13">
    <cfRule type="cellIs" dxfId="201" priority="351" stopIfTrue="1" operator="notEqual">
      <formula>"F"</formula>
    </cfRule>
  </conditionalFormatting>
  <conditionalFormatting sqref="E22:E23">
    <cfRule type="cellIs" dxfId="200" priority="350" stopIfTrue="1" operator="notBetween">
      <formula>1</formula>
      <formula>100000</formula>
    </cfRule>
  </conditionalFormatting>
  <conditionalFormatting sqref="K22:K23">
    <cfRule type="cellIs" dxfId="199" priority="349" stopIfTrue="1" operator="notEqual">
      <formula>"F"</formula>
    </cfRule>
  </conditionalFormatting>
  <conditionalFormatting sqref="L22:N23">
    <cfRule type="cellIs" dxfId="198" priority="348" stopIfTrue="1" operator="lessThan">
      <formula>0</formula>
    </cfRule>
  </conditionalFormatting>
  <conditionalFormatting sqref="P22:R23">
    <cfRule type="cellIs" dxfId="197" priority="347" stopIfTrue="1" operator="lessThan">
      <formula>0</formula>
    </cfRule>
  </conditionalFormatting>
  <conditionalFormatting sqref="H22:H23">
    <cfRule type="cellIs" dxfId="196" priority="342" stopIfTrue="1" operator="between">
      <formula>2000</formula>
      <formula>2001</formula>
    </cfRule>
    <cfRule type="cellIs" dxfId="195" priority="343" stopIfTrue="1" operator="between">
      <formula>2002</formula>
      <formula>2020</formula>
    </cfRule>
    <cfRule type="cellIs" dxfId="194" priority="344" stopIfTrue="1" operator="between">
      <formula>1998</formula>
      <formula>1999</formula>
    </cfRule>
    <cfRule type="cellIs" dxfId="193" priority="345" stopIfTrue="1" operator="between">
      <formula>1995</formula>
      <formula>1997</formula>
    </cfRule>
    <cfRule type="cellIs" dxfId="192" priority="346" stopIfTrue="1" operator="lessThan">
      <formula>1995</formula>
    </cfRule>
  </conditionalFormatting>
  <conditionalFormatting sqref="W22:W23">
    <cfRule type="cellIs" dxfId="191" priority="341" operator="lessThan">
      <formula>0</formula>
    </cfRule>
  </conditionalFormatting>
  <conditionalFormatting sqref="A22:A23">
    <cfRule type="containsText" dxfId="190" priority="339" stopIfTrue="1" operator="containsText" text="H">
      <formula>NOT(ISERROR(SEARCH("H",A22)))</formula>
    </cfRule>
    <cfRule type="containsText" dxfId="189" priority="340" stopIfTrue="1" operator="containsText" text="F">
      <formula>NOT(ISERROR(SEARCH("F",A22)))</formula>
    </cfRule>
  </conditionalFormatting>
  <conditionalFormatting sqref="E24:E25">
    <cfRule type="cellIs" dxfId="188" priority="338" stopIfTrue="1" operator="notBetween">
      <formula>1</formula>
      <formula>100000</formula>
    </cfRule>
  </conditionalFormatting>
  <conditionalFormatting sqref="K24:K25">
    <cfRule type="cellIs" dxfId="187" priority="337" stopIfTrue="1" operator="notEqual">
      <formula>"F"</formula>
    </cfRule>
  </conditionalFormatting>
  <conditionalFormatting sqref="L24:N25">
    <cfRule type="cellIs" dxfId="186" priority="336" stopIfTrue="1" operator="lessThan">
      <formula>0</formula>
    </cfRule>
  </conditionalFormatting>
  <conditionalFormatting sqref="P24:R25">
    <cfRule type="cellIs" dxfId="185" priority="335" stopIfTrue="1" operator="lessThan">
      <formula>0</formula>
    </cfRule>
  </conditionalFormatting>
  <conditionalFormatting sqref="A24:A30">
    <cfRule type="containsText" dxfId="184" priority="333" stopIfTrue="1" operator="containsText" text="H">
      <formula>NOT(ISERROR(SEARCH("H",A24)))</formula>
    </cfRule>
    <cfRule type="containsText" dxfId="183" priority="334" stopIfTrue="1" operator="containsText" text="F">
      <formula>NOT(ISERROR(SEARCH("F",A24)))</formula>
    </cfRule>
  </conditionalFormatting>
  <conditionalFormatting sqref="E26">
    <cfRule type="cellIs" dxfId="182" priority="332" stopIfTrue="1" operator="notBetween">
      <formula>1</formula>
      <formula>100000</formula>
    </cfRule>
  </conditionalFormatting>
  <conditionalFormatting sqref="K26">
    <cfRule type="cellIs" dxfId="181" priority="331" stopIfTrue="1" operator="notEqual">
      <formula>"F"</formula>
    </cfRule>
  </conditionalFormatting>
  <conditionalFormatting sqref="L26:N26 P26:R26">
    <cfRule type="cellIs" dxfId="180" priority="330" stopIfTrue="1" operator="lessThan">
      <formula>0</formula>
    </cfRule>
  </conditionalFormatting>
  <conditionalFormatting sqref="H26">
    <cfRule type="cellIs" dxfId="179" priority="325" stopIfTrue="1" operator="between">
      <formula>2000</formula>
      <formula>2001</formula>
    </cfRule>
    <cfRule type="cellIs" dxfId="178" priority="326" stopIfTrue="1" operator="between">
      <formula>2002</formula>
      <formula>2020</formula>
    </cfRule>
    <cfRule type="cellIs" dxfId="177" priority="327" stopIfTrue="1" operator="between">
      <formula>1998</formula>
      <formula>1999</formula>
    </cfRule>
    <cfRule type="cellIs" dxfId="176" priority="328" stopIfTrue="1" operator="between">
      <formula>1995</formula>
      <formula>1997</formula>
    </cfRule>
    <cfRule type="cellIs" dxfId="175" priority="329" stopIfTrue="1" operator="lessThan">
      <formula>1995</formula>
    </cfRule>
  </conditionalFormatting>
  <conditionalFormatting sqref="W26">
    <cfRule type="cellIs" dxfId="174" priority="324" operator="lessThan">
      <formula>0</formula>
    </cfRule>
  </conditionalFormatting>
  <conditionalFormatting sqref="E49 E42:E45 E38 E36">
    <cfRule type="cellIs" dxfId="173" priority="323" stopIfTrue="1" operator="notBetween">
      <formula>1</formula>
      <formula>100000</formula>
    </cfRule>
  </conditionalFormatting>
  <conditionalFormatting sqref="A49 A42:A45 A38 A36">
    <cfRule type="containsText" dxfId="172" priority="321" stopIfTrue="1" operator="containsText" text="H">
      <formula>NOT(ISERROR(SEARCH("H",A36)))</formula>
    </cfRule>
    <cfRule type="containsText" dxfId="171" priority="322" stopIfTrue="1" operator="containsText" text="F">
      <formula>NOT(ISERROR(SEARCH("F",A36)))</formula>
    </cfRule>
  </conditionalFormatting>
  <conditionalFormatting sqref="K49 K42:K45 K38 K36">
    <cfRule type="cellIs" dxfId="170" priority="320" stopIfTrue="1" operator="notEqual">
      <formula>"F"</formula>
    </cfRule>
  </conditionalFormatting>
  <conditionalFormatting sqref="P49:R49 L49:N49 P42:R45 L42:N45 L38:N38 P38:R38 L36:N36 P36:R36">
    <cfRule type="cellIs" dxfId="169" priority="319" stopIfTrue="1" operator="lessThan">
      <formula>0</formula>
    </cfRule>
  </conditionalFormatting>
  <conditionalFormatting sqref="P35:R35">
    <cfRule type="cellIs" dxfId="168" priority="309" stopIfTrue="1" operator="lessThan">
      <formula>0</formula>
    </cfRule>
  </conditionalFormatting>
  <conditionalFormatting sqref="H49 H42:H45 H36:H38">
    <cfRule type="cellIs" dxfId="167" priority="314" stopIfTrue="1" operator="between">
      <formula>2000</formula>
      <formula>2001</formula>
    </cfRule>
    <cfRule type="cellIs" dxfId="166" priority="315" stopIfTrue="1" operator="between">
      <formula>2002</formula>
      <formula>2020</formula>
    </cfRule>
    <cfRule type="cellIs" dxfId="165" priority="316" stopIfTrue="1" operator="between">
      <formula>1998</formula>
      <formula>1999</formula>
    </cfRule>
    <cfRule type="cellIs" dxfId="164" priority="317" stopIfTrue="1" operator="between">
      <formula>1995</formula>
      <formula>1997</formula>
    </cfRule>
    <cfRule type="cellIs" dxfId="163" priority="318" stopIfTrue="1" operator="lessThan">
      <formula>1995</formula>
    </cfRule>
  </conditionalFormatting>
  <conditionalFormatting sqref="W49 W42:W45 W36:W38">
    <cfRule type="cellIs" dxfId="162" priority="313" operator="lessThan">
      <formula>0</formula>
    </cfRule>
  </conditionalFormatting>
  <conditionalFormatting sqref="E35">
    <cfRule type="cellIs" dxfId="161" priority="312" stopIfTrue="1" operator="notBetween">
      <formula>1</formula>
      <formula>100000</formula>
    </cfRule>
  </conditionalFormatting>
  <conditionalFormatting sqref="K35">
    <cfRule type="cellIs" dxfId="160" priority="311" stopIfTrue="1" operator="notEqual">
      <formula>"F"</formula>
    </cfRule>
  </conditionalFormatting>
  <conditionalFormatting sqref="L35:N35">
    <cfRule type="cellIs" dxfId="159" priority="310" stopIfTrue="1" operator="lessThan">
      <formula>0</formula>
    </cfRule>
  </conditionalFormatting>
  <conditionalFormatting sqref="H35">
    <cfRule type="cellIs" dxfId="158" priority="304" stopIfTrue="1" operator="between">
      <formula>2000</formula>
      <formula>2001</formula>
    </cfRule>
    <cfRule type="cellIs" dxfId="157" priority="305" stopIfTrue="1" operator="between">
      <formula>2002</formula>
      <formula>2020</formula>
    </cfRule>
    <cfRule type="cellIs" dxfId="156" priority="306" stopIfTrue="1" operator="between">
      <formula>1998</formula>
      <formula>1999</formula>
    </cfRule>
    <cfRule type="cellIs" dxfId="155" priority="307" stopIfTrue="1" operator="between">
      <formula>1995</formula>
      <formula>1997</formula>
    </cfRule>
    <cfRule type="cellIs" dxfId="154" priority="308" stopIfTrue="1" operator="lessThan">
      <formula>1995</formula>
    </cfRule>
  </conditionalFormatting>
  <conditionalFormatting sqref="W35">
    <cfRule type="cellIs" dxfId="153" priority="303" operator="lessThan">
      <formula>0</formula>
    </cfRule>
  </conditionalFormatting>
  <conditionalFormatting sqref="A35">
    <cfRule type="containsText" dxfId="152" priority="301" stopIfTrue="1" operator="containsText" text="H">
      <formula>NOT(ISERROR(SEARCH("H",A35)))</formula>
    </cfRule>
    <cfRule type="containsText" dxfId="151" priority="302" stopIfTrue="1" operator="containsText" text="F">
      <formula>NOT(ISERROR(SEARCH("F",A35)))</formula>
    </cfRule>
  </conditionalFormatting>
  <conditionalFormatting sqref="E37">
    <cfRule type="cellIs" dxfId="150" priority="300" stopIfTrue="1" operator="notBetween">
      <formula>1</formula>
      <formula>100000</formula>
    </cfRule>
  </conditionalFormatting>
  <conditionalFormatting sqref="K37">
    <cfRule type="cellIs" dxfId="149" priority="299" stopIfTrue="1" operator="notEqual">
      <formula>"F"</formula>
    </cfRule>
  </conditionalFormatting>
  <conditionalFormatting sqref="L37:N37">
    <cfRule type="cellIs" dxfId="148" priority="298" stopIfTrue="1" operator="lessThan">
      <formula>0</formula>
    </cfRule>
  </conditionalFormatting>
  <conditionalFormatting sqref="P37:R37">
    <cfRule type="cellIs" dxfId="147" priority="297" stopIfTrue="1" operator="lessThan">
      <formula>0</formula>
    </cfRule>
  </conditionalFormatting>
  <conditionalFormatting sqref="A37">
    <cfRule type="containsText" dxfId="146" priority="295" stopIfTrue="1" operator="containsText" text="H">
      <formula>NOT(ISERROR(SEARCH("H",A37)))</formula>
    </cfRule>
    <cfRule type="containsText" dxfId="145" priority="296" stopIfTrue="1" operator="containsText" text="F">
      <formula>NOT(ISERROR(SEARCH("F",A37)))</formula>
    </cfRule>
  </conditionalFormatting>
  <conditionalFormatting sqref="E39:E41">
    <cfRule type="cellIs" dxfId="144" priority="294" stopIfTrue="1" operator="notBetween">
      <formula>1</formula>
      <formula>100000</formula>
    </cfRule>
  </conditionalFormatting>
  <conditionalFormatting sqref="K39:K41">
    <cfRule type="cellIs" dxfId="143" priority="293" stopIfTrue="1" operator="notEqual">
      <formula>"F"</formula>
    </cfRule>
  </conditionalFormatting>
  <conditionalFormatting sqref="L39:N41">
    <cfRule type="cellIs" dxfId="142" priority="292" stopIfTrue="1" operator="lessThan">
      <formula>0</formula>
    </cfRule>
  </conditionalFormatting>
  <conditionalFormatting sqref="P39:R41">
    <cfRule type="cellIs" dxfId="141" priority="291" stopIfTrue="1" operator="lessThan">
      <formula>0</formula>
    </cfRule>
  </conditionalFormatting>
  <conditionalFormatting sqref="H39:H41">
    <cfRule type="cellIs" dxfId="140" priority="286" stopIfTrue="1" operator="between">
      <formula>2000</formula>
      <formula>2001</formula>
    </cfRule>
    <cfRule type="cellIs" dxfId="139" priority="287" stopIfTrue="1" operator="between">
      <formula>2002</formula>
      <formula>2020</formula>
    </cfRule>
    <cfRule type="cellIs" dxfId="138" priority="288" stopIfTrue="1" operator="between">
      <formula>1998</formula>
      <formula>1999</formula>
    </cfRule>
    <cfRule type="cellIs" dxfId="137" priority="289" stopIfTrue="1" operator="between">
      <formula>1995</formula>
      <formula>1997</formula>
    </cfRule>
    <cfRule type="cellIs" dxfId="136" priority="290" stopIfTrue="1" operator="lessThan">
      <formula>1995</formula>
    </cfRule>
  </conditionalFormatting>
  <conditionalFormatting sqref="W39:W41">
    <cfRule type="cellIs" dxfId="135" priority="285" operator="lessThan">
      <formula>0</formula>
    </cfRule>
  </conditionalFormatting>
  <conditionalFormatting sqref="A39:A41">
    <cfRule type="containsText" dxfId="134" priority="283" stopIfTrue="1" operator="containsText" text="H">
      <formula>NOT(ISERROR(SEARCH("H",A39)))</formula>
    </cfRule>
    <cfRule type="containsText" dxfId="133" priority="284" stopIfTrue="1" operator="containsText" text="F">
      <formula>NOT(ISERROR(SEARCH("F",A39)))</formula>
    </cfRule>
  </conditionalFormatting>
  <conditionalFormatting sqref="E46:E48">
    <cfRule type="cellIs" dxfId="132" priority="282" stopIfTrue="1" operator="notBetween">
      <formula>1</formula>
      <formula>100000</formula>
    </cfRule>
  </conditionalFormatting>
  <conditionalFormatting sqref="K46:K48">
    <cfRule type="cellIs" dxfId="131" priority="281" stopIfTrue="1" operator="notEqual">
      <formula>"F"</formula>
    </cfRule>
  </conditionalFormatting>
  <conditionalFormatting sqref="P46:R48 L46:N48">
    <cfRule type="cellIs" dxfId="130" priority="280" stopIfTrue="1" operator="lessThan">
      <formula>0</formula>
    </cfRule>
  </conditionalFormatting>
  <conditionalFormatting sqref="H46:H48">
    <cfRule type="cellIs" dxfId="129" priority="275" stopIfTrue="1" operator="between">
      <formula>2000</formula>
      <formula>2001</formula>
    </cfRule>
    <cfRule type="cellIs" dxfId="128" priority="276" stopIfTrue="1" operator="between">
      <formula>2002</formula>
      <formula>2020</formula>
    </cfRule>
    <cfRule type="cellIs" dxfId="127" priority="277" stopIfTrue="1" operator="between">
      <formula>1998</formula>
      <formula>1999</formula>
    </cfRule>
    <cfRule type="cellIs" dxfId="126" priority="278" stopIfTrue="1" operator="between">
      <formula>1995</formula>
      <formula>1997</formula>
    </cfRule>
    <cfRule type="cellIs" dxfId="125" priority="279" stopIfTrue="1" operator="lessThan">
      <formula>1995</formula>
    </cfRule>
  </conditionalFormatting>
  <conditionalFormatting sqref="W46:W48">
    <cfRule type="cellIs" dxfId="124" priority="274" operator="lessThan">
      <formula>0</formula>
    </cfRule>
  </conditionalFormatting>
  <conditionalFormatting sqref="A46:A48">
    <cfRule type="containsText" dxfId="123" priority="272" stopIfTrue="1" operator="containsText" text="H">
      <formula>NOT(ISERROR(SEARCH("H",A46)))</formula>
    </cfRule>
    <cfRule type="containsText" dxfId="122" priority="273" stopIfTrue="1" operator="containsText" text="F">
      <formula>NOT(ISERROR(SEARCH("F",A46)))</formula>
    </cfRule>
  </conditionalFormatting>
  <conditionalFormatting sqref="E50">
    <cfRule type="cellIs" dxfId="121" priority="271" stopIfTrue="1" operator="notBetween">
      <formula>1</formula>
      <formula>100000</formula>
    </cfRule>
  </conditionalFormatting>
  <conditionalFormatting sqref="A50">
    <cfRule type="containsText" dxfId="120" priority="269" stopIfTrue="1" operator="containsText" text="H">
      <formula>NOT(ISERROR(SEARCH("H",A50)))</formula>
    </cfRule>
    <cfRule type="containsText" dxfId="119" priority="270" stopIfTrue="1" operator="containsText" text="F">
      <formula>NOT(ISERROR(SEARCH("F",A50)))</formula>
    </cfRule>
  </conditionalFormatting>
  <conditionalFormatting sqref="K50">
    <cfRule type="cellIs" dxfId="118" priority="268" stopIfTrue="1" operator="notEqual">
      <formula>"F"</formula>
    </cfRule>
  </conditionalFormatting>
  <conditionalFormatting sqref="P50:R50 L50:N50">
    <cfRule type="cellIs" dxfId="117" priority="267" stopIfTrue="1" operator="lessThan">
      <formula>0</formula>
    </cfRule>
  </conditionalFormatting>
  <conditionalFormatting sqref="H50">
    <cfRule type="cellIs" dxfId="116" priority="262" stopIfTrue="1" operator="between">
      <formula>2000</formula>
      <formula>2001</formula>
    </cfRule>
    <cfRule type="cellIs" dxfId="115" priority="263" stopIfTrue="1" operator="between">
      <formula>2002</formula>
      <formula>2020</formula>
    </cfRule>
    <cfRule type="cellIs" dxfId="114" priority="264" stopIfTrue="1" operator="between">
      <formula>1998</formula>
      <formula>1999</formula>
    </cfRule>
    <cfRule type="cellIs" dxfId="113" priority="265" stopIfTrue="1" operator="between">
      <formula>1995</formula>
      <formula>1997</formula>
    </cfRule>
    <cfRule type="cellIs" dxfId="112" priority="266" stopIfTrue="1" operator="lessThan">
      <formula>1995</formula>
    </cfRule>
  </conditionalFormatting>
  <conditionalFormatting sqref="W50">
    <cfRule type="cellIs" dxfId="111" priority="261" operator="lessThan">
      <formula>0</formula>
    </cfRule>
  </conditionalFormatting>
  <conditionalFormatting sqref="E51">
    <cfRule type="cellIs" dxfId="110" priority="260" stopIfTrue="1" operator="notBetween">
      <formula>1</formula>
      <formula>100000</formula>
    </cfRule>
  </conditionalFormatting>
  <conditionalFormatting sqref="A51">
    <cfRule type="containsText" dxfId="109" priority="258" stopIfTrue="1" operator="containsText" text="H">
      <formula>NOT(ISERROR(SEARCH("H",A51)))</formula>
    </cfRule>
    <cfRule type="containsText" dxfId="108" priority="259" stopIfTrue="1" operator="containsText" text="F">
      <formula>NOT(ISERROR(SEARCH("F",A51)))</formula>
    </cfRule>
  </conditionalFormatting>
  <conditionalFormatting sqref="K51">
    <cfRule type="cellIs" dxfId="107" priority="257" stopIfTrue="1" operator="notEqual">
      <formula>"F"</formula>
    </cfRule>
  </conditionalFormatting>
  <conditionalFormatting sqref="L51:N51">
    <cfRule type="cellIs" dxfId="106" priority="256" stopIfTrue="1" operator="lessThan">
      <formula>0</formula>
    </cfRule>
  </conditionalFormatting>
  <conditionalFormatting sqref="P51:R51">
    <cfRule type="cellIs" dxfId="105" priority="255" stopIfTrue="1" operator="lessThan">
      <formula>0</formula>
    </cfRule>
  </conditionalFormatting>
  <conditionalFormatting sqref="E52:E53">
    <cfRule type="cellIs" dxfId="104" priority="254" stopIfTrue="1" operator="notBetween">
      <formula>1</formula>
      <formula>100000</formula>
    </cfRule>
  </conditionalFormatting>
  <conditionalFormatting sqref="A52:A53">
    <cfRule type="containsText" dxfId="103" priority="252" stopIfTrue="1" operator="containsText" text="H">
      <formula>NOT(ISERROR(SEARCH("H",A52)))</formula>
    </cfRule>
    <cfRule type="containsText" dxfId="102" priority="253" stopIfTrue="1" operator="containsText" text="F">
      <formula>NOT(ISERROR(SEARCH("F",A52)))</formula>
    </cfRule>
  </conditionalFormatting>
  <conditionalFormatting sqref="K52:K53">
    <cfRule type="cellIs" dxfId="101" priority="251" stopIfTrue="1" operator="notEqual">
      <formula>"F"</formula>
    </cfRule>
  </conditionalFormatting>
  <conditionalFormatting sqref="L52:N53">
    <cfRule type="cellIs" dxfId="100" priority="250" stopIfTrue="1" operator="lessThan">
      <formula>0</formula>
    </cfRule>
  </conditionalFormatting>
  <conditionalFormatting sqref="P52:R53">
    <cfRule type="cellIs" dxfId="99" priority="249" stopIfTrue="1" operator="lessThan">
      <formula>0</formula>
    </cfRule>
  </conditionalFormatting>
  <conditionalFormatting sqref="H51:H53">
    <cfRule type="cellIs" dxfId="98" priority="244" stopIfTrue="1" operator="between">
      <formula>2000</formula>
      <formula>2001</formula>
    </cfRule>
    <cfRule type="cellIs" dxfId="97" priority="245" stopIfTrue="1" operator="between">
      <formula>2002</formula>
      <formula>2020</formula>
    </cfRule>
    <cfRule type="cellIs" dxfId="96" priority="246" stopIfTrue="1" operator="between">
      <formula>1998</formula>
      <formula>1999</formula>
    </cfRule>
    <cfRule type="cellIs" dxfId="95" priority="247" stopIfTrue="1" operator="between">
      <formula>1995</formula>
      <formula>1997</formula>
    </cfRule>
    <cfRule type="cellIs" dxfId="94" priority="248" stopIfTrue="1" operator="lessThan">
      <formula>1995</formula>
    </cfRule>
  </conditionalFormatting>
  <conditionalFormatting sqref="W51:W53">
    <cfRule type="cellIs" dxfId="93" priority="243" operator="lessThan">
      <formula>0</formula>
    </cfRule>
  </conditionalFormatting>
  <conditionalFormatting sqref="V51:V53 V59:V70">
    <cfRule type="cellIs" dxfId="92" priority="242" operator="equal">
      <formula>"DEB"</formula>
    </cfRule>
  </conditionalFormatting>
  <conditionalFormatting sqref="E54:E56">
    <cfRule type="cellIs" dxfId="91" priority="241" stopIfTrue="1" operator="notBetween">
      <formula>1</formula>
      <formula>100000</formula>
    </cfRule>
  </conditionalFormatting>
  <conditionalFormatting sqref="K54:K56">
    <cfRule type="cellIs" dxfId="90" priority="238" stopIfTrue="1" operator="notEqual">
      <formula>"F"</formula>
    </cfRule>
  </conditionalFormatting>
  <conditionalFormatting sqref="P54:R56 L54:N56">
    <cfRule type="cellIs" dxfId="89" priority="237" stopIfTrue="1" operator="lessThan">
      <formula>0</formula>
    </cfRule>
  </conditionalFormatting>
  <conditionalFormatting sqref="H54:H56">
    <cfRule type="cellIs" dxfId="88" priority="232" stopIfTrue="1" operator="between">
      <formula>2000</formula>
      <formula>2001</formula>
    </cfRule>
    <cfRule type="cellIs" dxfId="87" priority="233" stopIfTrue="1" operator="between">
      <formula>2002</formula>
      <formula>2020</formula>
    </cfRule>
    <cfRule type="cellIs" dxfId="86" priority="234" stopIfTrue="1" operator="between">
      <formula>1998</formula>
      <formula>1999</formula>
    </cfRule>
    <cfRule type="cellIs" dxfId="85" priority="235" stopIfTrue="1" operator="between">
      <formula>1995</formula>
      <formula>1997</formula>
    </cfRule>
    <cfRule type="cellIs" dxfId="84" priority="236" stopIfTrue="1" operator="lessThan">
      <formula>1995</formula>
    </cfRule>
  </conditionalFormatting>
  <conditionalFormatting sqref="W54:W56">
    <cfRule type="cellIs" dxfId="83" priority="231" operator="lessThan">
      <formula>0</formula>
    </cfRule>
  </conditionalFormatting>
  <conditionalFormatting sqref="V54:V56">
    <cfRule type="cellIs" dxfId="82" priority="230" operator="equal">
      <formula>"DEB"</formula>
    </cfRule>
  </conditionalFormatting>
  <conditionalFormatting sqref="E57">
    <cfRule type="cellIs" dxfId="81" priority="225" stopIfTrue="1" operator="notBetween">
      <formula>1</formula>
      <formula>100000</formula>
    </cfRule>
  </conditionalFormatting>
  <conditionalFormatting sqref="K57">
    <cfRule type="cellIs" dxfId="80" priority="224" stopIfTrue="1" operator="notEqual">
      <formula>"F"</formula>
    </cfRule>
  </conditionalFormatting>
  <conditionalFormatting sqref="L57:N57 P57:R57">
    <cfRule type="cellIs" dxfId="79" priority="223" stopIfTrue="1" operator="lessThan">
      <formula>0</formula>
    </cfRule>
  </conditionalFormatting>
  <conditionalFormatting sqref="H57">
    <cfRule type="cellIs" dxfId="78" priority="218" stopIfTrue="1" operator="between">
      <formula>2000</formula>
      <formula>2001</formula>
    </cfRule>
    <cfRule type="cellIs" dxfId="77" priority="219" stopIfTrue="1" operator="between">
      <formula>2002</formula>
      <formula>2020</formula>
    </cfRule>
    <cfRule type="cellIs" dxfId="76" priority="220" stopIfTrue="1" operator="between">
      <formula>1998</formula>
      <formula>1999</formula>
    </cfRule>
    <cfRule type="cellIs" dxfId="75" priority="221" stopIfTrue="1" operator="between">
      <formula>1995</formula>
      <formula>1997</formula>
    </cfRule>
    <cfRule type="cellIs" dxfId="74" priority="222" stopIfTrue="1" operator="lessThan">
      <formula>1995</formula>
    </cfRule>
  </conditionalFormatting>
  <conditionalFormatting sqref="W57">
    <cfRule type="cellIs" dxfId="73" priority="217" operator="lessThan">
      <formula>0</formula>
    </cfRule>
  </conditionalFormatting>
  <conditionalFormatting sqref="V57">
    <cfRule type="cellIs" dxfId="72" priority="216" operator="equal">
      <formula>"DEB"</formula>
    </cfRule>
  </conditionalFormatting>
  <conditionalFormatting sqref="E59">
    <cfRule type="cellIs" dxfId="71" priority="203" stopIfTrue="1" operator="notBetween">
      <formula>1</formula>
      <formula>100000</formula>
    </cfRule>
  </conditionalFormatting>
  <conditionalFormatting sqref="A59">
    <cfRule type="containsText" dxfId="70" priority="201" stopIfTrue="1" operator="containsText" text="H">
      <formula>NOT(ISERROR(SEARCH("H",A59)))</formula>
    </cfRule>
    <cfRule type="containsText" dxfId="69" priority="202" stopIfTrue="1" operator="containsText" text="F">
      <formula>NOT(ISERROR(SEARCH("F",A59)))</formula>
    </cfRule>
  </conditionalFormatting>
  <conditionalFormatting sqref="K59">
    <cfRule type="cellIs" dxfId="68" priority="200" stopIfTrue="1" operator="notEqual">
      <formula>"F"</formula>
    </cfRule>
  </conditionalFormatting>
  <conditionalFormatting sqref="L59:N59">
    <cfRule type="cellIs" dxfId="67" priority="199" stopIfTrue="1" operator="lessThan">
      <formula>0</formula>
    </cfRule>
  </conditionalFormatting>
  <conditionalFormatting sqref="P59:R59">
    <cfRule type="cellIs" dxfId="66" priority="198" stopIfTrue="1" operator="lessThan">
      <formula>0</formula>
    </cfRule>
  </conditionalFormatting>
  <conditionalFormatting sqref="E58">
    <cfRule type="cellIs" dxfId="65" priority="197" stopIfTrue="1" operator="notBetween">
      <formula>1</formula>
      <formula>100000</formula>
    </cfRule>
  </conditionalFormatting>
  <conditionalFormatting sqref="A58">
    <cfRule type="containsText" dxfId="64" priority="195" stopIfTrue="1" operator="containsText" text="H">
      <formula>NOT(ISERROR(SEARCH("H",A58)))</formula>
    </cfRule>
    <cfRule type="containsText" dxfId="63" priority="196" stopIfTrue="1" operator="containsText" text="F">
      <formula>NOT(ISERROR(SEARCH("F",A58)))</formula>
    </cfRule>
  </conditionalFormatting>
  <conditionalFormatting sqref="K58">
    <cfRule type="cellIs" dxfId="62" priority="194" stopIfTrue="1" operator="notEqual">
      <formula>"F"</formula>
    </cfRule>
  </conditionalFormatting>
  <conditionalFormatting sqref="L58:N58 P58:R58">
    <cfRule type="cellIs" dxfId="61" priority="193" stopIfTrue="1" operator="lessThan">
      <formula>0</formula>
    </cfRule>
  </conditionalFormatting>
  <conditionalFormatting sqref="H58">
    <cfRule type="cellIs" dxfId="60" priority="188" stopIfTrue="1" operator="between">
      <formula>2000</formula>
      <formula>2001</formula>
    </cfRule>
    <cfRule type="cellIs" dxfId="59" priority="189" stopIfTrue="1" operator="between">
      <formula>2002</formula>
      <formula>2020</formula>
    </cfRule>
    <cfRule type="cellIs" dxfId="58" priority="190" stopIfTrue="1" operator="between">
      <formula>1998</formula>
      <formula>1999</formula>
    </cfRule>
    <cfRule type="cellIs" dxfId="57" priority="191" stopIfTrue="1" operator="between">
      <formula>1995</formula>
      <formula>1997</formula>
    </cfRule>
    <cfRule type="cellIs" dxfId="56" priority="192" stopIfTrue="1" operator="lessThan">
      <formula>1995</formula>
    </cfRule>
  </conditionalFormatting>
  <conditionalFormatting sqref="W58">
    <cfRule type="cellIs" dxfId="55" priority="187" operator="lessThan">
      <formula>0</formula>
    </cfRule>
  </conditionalFormatting>
  <conditionalFormatting sqref="V58">
    <cfRule type="cellIs" dxfId="54" priority="186" operator="equal">
      <formula>"DEB"</formula>
    </cfRule>
  </conditionalFormatting>
  <conditionalFormatting sqref="E70">
    <cfRule type="cellIs" dxfId="53" priority="179" stopIfTrue="1" operator="notBetween">
      <formula>1</formula>
      <formula>100000</formula>
    </cfRule>
  </conditionalFormatting>
  <conditionalFormatting sqref="A70">
    <cfRule type="containsText" dxfId="52" priority="177" stopIfTrue="1" operator="containsText" text="H">
      <formula>NOT(ISERROR(SEARCH("H",A70)))</formula>
    </cfRule>
    <cfRule type="containsText" dxfId="51" priority="178" stopIfTrue="1" operator="containsText" text="F">
      <formula>NOT(ISERROR(SEARCH("F",A70)))</formula>
    </cfRule>
  </conditionalFormatting>
  <conditionalFormatting sqref="K70">
    <cfRule type="cellIs" dxfId="50" priority="176" stopIfTrue="1" operator="notEqual">
      <formula>"F"</formula>
    </cfRule>
  </conditionalFormatting>
  <conditionalFormatting sqref="L70:N70">
    <cfRule type="cellIs" dxfId="49" priority="175" stopIfTrue="1" operator="lessThan">
      <formula>0</formula>
    </cfRule>
  </conditionalFormatting>
  <conditionalFormatting sqref="P70:R70">
    <cfRule type="cellIs" dxfId="48" priority="174" stopIfTrue="1" operator="lessThan">
      <formula>0</formula>
    </cfRule>
  </conditionalFormatting>
  <conditionalFormatting sqref="H76:H77 H71">
    <cfRule type="cellIs" dxfId="47" priority="169" stopIfTrue="1" operator="between">
      <formula>2000</formula>
      <formula>2001</formula>
    </cfRule>
    <cfRule type="cellIs" dxfId="46" priority="170" stopIfTrue="1" operator="between">
      <formula>2002</formula>
      <formula>2020</formula>
    </cfRule>
    <cfRule type="cellIs" dxfId="45" priority="171" stopIfTrue="1" operator="between">
      <formula>1998</formula>
      <formula>1999</formula>
    </cfRule>
    <cfRule type="cellIs" dxfId="44" priority="172" stopIfTrue="1" operator="between">
      <formula>1995</formula>
      <formula>1997</formula>
    </cfRule>
    <cfRule type="cellIs" dxfId="43" priority="173" stopIfTrue="1" operator="lessThan">
      <formula>1995</formula>
    </cfRule>
  </conditionalFormatting>
  <conditionalFormatting sqref="W76:W77 W71">
    <cfRule type="cellIs" dxfId="42" priority="168" operator="lessThan">
      <formula>0</formula>
    </cfRule>
  </conditionalFormatting>
  <conditionalFormatting sqref="V76:V77 V71">
    <cfRule type="cellIs" dxfId="41" priority="167" operator="equal">
      <formula>"DEB"</formula>
    </cfRule>
  </conditionalFormatting>
  <conditionalFormatting sqref="E71">
    <cfRule type="cellIs" dxfId="40" priority="153" stopIfTrue="1" operator="notBetween">
      <formula>1</formula>
      <formula>100000</formula>
    </cfRule>
  </conditionalFormatting>
  <conditionalFormatting sqref="A71">
    <cfRule type="containsText" dxfId="39" priority="151" stopIfTrue="1" operator="containsText" text="H">
      <formula>NOT(ISERROR(SEARCH("H",A71)))</formula>
    </cfRule>
    <cfRule type="containsText" dxfId="38" priority="152" stopIfTrue="1" operator="containsText" text="F">
      <formula>NOT(ISERROR(SEARCH("F",A71)))</formula>
    </cfRule>
  </conditionalFormatting>
  <conditionalFormatting sqref="K71">
    <cfRule type="cellIs" dxfId="37" priority="150" stopIfTrue="1" operator="notEqual">
      <formula>"F"</formula>
    </cfRule>
  </conditionalFormatting>
  <conditionalFormatting sqref="L71:N71">
    <cfRule type="cellIs" dxfId="36" priority="149" stopIfTrue="1" operator="lessThan">
      <formula>0</formula>
    </cfRule>
  </conditionalFormatting>
  <conditionalFormatting sqref="P71:R71">
    <cfRule type="cellIs" dxfId="35" priority="148" stopIfTrue="1" operator="lessThan">
      <formula>0</formula>
    </cfRule>
  </conditionalFormatting>
  <conditionalFormatting sqref="E72">
    <cfRule type="cellIs" dxfId="34" priority="140" stopIfTrue="1" operator="notBetween">
      <formula>1</formula>
      <formula>100000</formula>
    </cfRule>
  </conditionalFormatting>
  <conditionalFormatting sqref="A72">
    <cfRule type="containsText" dxfId="33" priority="138" stopIfTrue="1" operator="containsText" text="H">
      <formula>NOT(ISERROR(SEARCH("H",A72)))</formula>
    </cfRule>
    <cfRule type="containsText" dxfId="32" priority="139" stopIfTrue="1" operator="containsText" text="F">
      <formula>NOT(ISERROR(SEARCH("F",A72)))</formula>
    </cfRule>
  </conditionalFormatting>
  <conditionalFormatting sqref="K72">
    <cfRule type="cellIs" dxfId="31" priority="137" stopIfTrue="1" operator="notEqual">
      <formula>"F"</formula>
    </cfRule>
  </conditionalFormatting>
  <conditionalFormatting sqref="L72:N72">
    <cfRule type="cellIs" dxfId="30" priority="136" stopIfTrue="1" operator="lessThan">
      <formula>0</formula>
    </cfRule>
  </conditionalFormatting>
  <conditionalFormatting sqref="P72:R72">
    <cfRule type="cellIs" dxfId="29" priority="135" stopIfTrue="1" operator="lessThan">
      <formula>0</formula>
    </cfRule>
  </conditionalFormatting>
  <conditionalFormatting sqref="H72">
    <cfRule type="cellIs" dxfId="28" priority="130" stopIfTrue="1" operator="between">
      <formula>2000</formula>
      <formula>2001</formula>
    </cfRule>
    <cfRule type="cellIs" dxfId="27" priority="131" stopIfTrue="1" operator="between">
      <formula>2002</formula>
      <formula>2020</formula>
    </cfRule>
    <cfRule type="cellIs" dxfId="26" priority="132" stopIfTrue="1" operator="between">
      <formula>1998</formula>
      <formula>1999</formula>
    </cfRule>
    <cfRule type="cellIs" dxfId="25" priority="133" stopIfTrue="1" operator="between">
      <formula>1995</formula>
      <formula>1997</formula>
    </cfRule>
    <cfRule type="cellIs" dxfId="24" priority="134" stopIfTrue="1" operator="lessThan">
      <formula>1995</formula>
    </cfRule>
  </conditionalFormatting>
  <conditionalFormatting sqref="W72">
    <cfRule type="cellIs" dxfId="23" priority="129" operator="lessThan">
      <formula>0</formula>
    </cfRule>
  </conditionalFormatting>
  <conditionalFormatting sqref="V72">
    <cfRule type="cellIs" dxfId="22" priority="128" operator="equal">
      <formula>"DEB"</formula>
    </cfRule>
  </conditionalFormatting>
  <conditionalFormatting sqref="E73:E75">
    <cfRule type="cellIs" dxfId="21" priority="127" stopIfTrue="1" operator="notBetween">
      <formula>1</formula>
      <formula>100000</formula>
    </cfRule>
  </conditionalFormatting>
  <conditionalFormatting sqref="A73:A75">
    <cfRule type="containsText" dxfId="20" priority="125" stopIfTrue="1" operator="containsText" text="H">
      <formula>NOT(ISERROR(SEARCH("H",A73)))</formula>
    </cfRule>
    <cfRule type="containsText" dxfId="19" priority="126" stopIfTrue="1" operator="containsText" text="F">
      <formula>NOT(ISERROR(SEARCH("F",A73)))</formula>
    </cfRule>
  </conditionalFormatting>
  <conditionalFormatting sqref="K73:K75">
    <cfRule type="cellIs" dxfId="18" priority="124" stopIfTrue="1" operator="notEqual">
      <formula>"F"</formula>
    </cfRule>
  </conditionalFormatting>
  <conditionalFormatting sqref="L73:N75">
    <cfRule type="cellIs" dxfId="17" priority="123" stopIfTrue="1" operator="lessThan">
      <formula>0</formula>
    </cfRule>
  </conditionalFormatting>
  <conditionalFormatting sqref="P73:R75">
    <cfRule type="cellIs" dxfId="16" priority="122" stopIfTrue="1" operator="lessThan">
      <formula>0</formula>
    </cfRule>
  </conditionalFormatting>
  <conditionalFormatting sqref="H73:H75">
    <cfRule type="cellIs" dxfId="15" priority="117" stopIfTrue="1" operator="between">
      <formula>2000</formula>
      <formula>2001</formula>
    </cfRule>
    <cfRule type="cellIs" dxfId="14" priority="118" stopIfTrue="1" operator="between">
      <formula>2002</formula>
      <formula>2020</formula>
    </cfRule>
    <cfRule type="cellIs" dxfId="13" priority="119" stopIfTrue="1" operator="between">
      <formula>1998</formula>
      <formula>1999</formula>
    </cfRule>
    <cfRule type="cellIs" dxfId="12" priority="120" stopIfTrue="1" operator="between">
      <formula>1995</formula>
      <formula>1997</formula>
    </cfRule>
    <cfRule type="cellIs" dxfId="11" priority="121" stopIfTrue="1" operator="lessThan">
      <formula>1995</formula>
    </cfRule>
  </conditionalFormatting>
  <conditionalFormatting sqref="W73:W75">
    <cfRule type="cellIs" dxfId="10" priority="116" operator="lessThan">
      <formula>0</formula>
    </cfRule>
  </conditionalFormatting>
  <conditionalFormatting sqref="V73:V75">
    <cfRule type="cellIs" dxfId="9" priority="115" operator="equal">
      <formula>"DEB"</formula>
    </cfRule>
  </conditionalFormatting>
  <conditionalFormatting sqref="E76">
    <cfRule type="cellIs" dxfId="8" priority="114" stopIfTrue="1" operator="notBetween">
      <formula>1</formula>
      <formula>100000</formula>
    </cfRule>
  </conditionalFormatting>
  <conditionalFormatting sqref="A76:A77">
    <cfRule type="containsText" dxfId="7" priority="112" stopIfTrue="1" operator="containsText" text="H">
      <formula>NOT(ISERROR(SEARCH("H",A76)))</formula>
    </cfRule>
    <cfRule type="containsText" dxfId="6" priority="113" stopIfTrue="1" operator="containsText" text="F">
      <formula>NOT(ISERROR(SEARCH("F",A76)))</formula>
    </cfRule>
  </conditionalFormatting>
  <conditionalFormatting sqref="K76">
    <cfRule type="cellIs" dxfId="5" priority="111" stopIfTrue="1" operator="notEqual">
      <formula>"F"</formula>
    </cfRule>
  </conditionalFormatting>
  <conditionalFormatting sqref="P76:R76 L76:N76">
    <cfRule type="cellIs" dxfId="4" priority="110" stopIfTrue="1" operator="lessThan">
      <formula>0</formula>
    </cfRule>
  </conditionalFormatting>
  <conditionalFormatting sqref="E77">
    <cfRule type="cellIs" dxfId="3" priority="109" stopIfTrue="1" operator="notBetween">
      <formula>1</formula>
      <formula>100000</formula>
    </cfRule>
  </conditionalFormatting>
  <conditionalFormatting sqref="K77">
    <cfRule type="cellIs" dxfId="2" priority="108" stopIfTrue="1" operator="notEqual">
      <formula>"F"</formula>
    </cfRule>
  </conditionalFormatting>
  <conditionalFormatting sqref="L77:N77">
    <cfRule type="cellIs" dxfId="1" priority="107" stopIfTrue="1" operator="lessThan">
      <formula>0</formula>
    </cfRule>
  </conditionalFormatting>
  <conditionalFormatting sqref="P77:R77">
    <cfRule type="cellIs" dxfId="0" priority="106" stopIfTrue="1" operator="lessThan">
      <formula>0</formula>
    </cfRule>
  </conditionalFormatting>
  <dataValidations count="1">
    <dataValidation type="list" allowBlank="1" showInputMessage="1" showErrorMessage="1" sqref="A2:A77" xr:uid="{A526B2F6-F53A-4CFB-8C4D-69971950C20D}">
      <formula1>"H,F"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949DD-F5AD-459F-9EDD-27E5719AE63B}"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4</vt:i4>
      </vt:variant>
    </vt:vector>
  </HeadingPairs>
  <TitlesOfParts>
    <vt:vector size="11" baseType="lpstr">
      <vt:lpstr>Feuil1</vt:lpstr>
      <vt:lpstr>CADETS 1</vt:lpstr>
      <vt:lpstr>CADETS 2</vt:lpstr>
      <vt:lpstr>JUNIORS</vt:lpstr>
      <vt:lpstr>SENIORS</vt:lpstr>
      <vt:lpstr>Recap</vt:lpstr>
      <vt:lpstr>Feuil3</vt:lpstr>
      <vt:lpstr>'CADETS 1'!Zone_d_impression</vt:lpstr>
      <vt:lpstr>'CADETS 2'!Zone_d_impression</vt:lpstr>
      <vt:lpstr>JUNIORS!Zone_d_impression</vt:lpstr>
      <vt:lpstr>SENIORS!Zone_d_impression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Joris Dawid</cp:lastModifiedBy>
  <cp:lastPrinted>2015-04-15T13:00:09Z</cp:lastPrinted>
  <dcterms:created xsi:type="dcterms:W3CDTF">2007-09-04T12:22:57Z</dcterms:created>
  <dcterms:modified xsi:type="dcterms:W3CDTF">2025-06-08T13:42:53Z</dcterms:modified>
</cp:coreProperties>
</file>